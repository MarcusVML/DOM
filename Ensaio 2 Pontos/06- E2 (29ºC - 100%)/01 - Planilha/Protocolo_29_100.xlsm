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queryTables/queryTable1.xml" ContentType="application/vnd.openxmlformats-officedocument.spreadsheetml.query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comments3.xml" ContentType="application/vnd.openxmlformats-officedocument.spreadsheetml.comment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T:\Laboratórios\Equipamentos Elétricos de Uso Doméstico\Eficiência Energética\Equipamentos Ensaiados\CAD\2023\Ventisol\69388 - 0283 -Agratto 9k Fixa Nova Met\07- E3 (29ºC - 100%)\01 - Planilha\"/>
    </mc:Choice>
  </mc:AlternateContent>
  <xr:revisionPtr revIDLastSave="0" documentId="13_ncr:1_{B8818B58-E591-44FD-99C2-5AAE65C4788B}" xr6:coauthVersionLast="47" xr6:coauthVersionMax="47" xr10:uidLastSave="{00000000-0000-0000-0000-000000000000}"/>
  <bookViews>
    <workbookView xWindow="0" yWindow="60" windowWidth="25200" windowHeight="13185" tabRatio="849" xr2:uid="{00000000-000D-0000-FFFF-FFFF00000000}"/>
  </bookViews>
  <sheets>
    <sheet name="Resumo" sheetId="9" r:id="rId1"/>
    <sheet name="PBE" sheetId="15" state="hidden" r:id="rId2"/>
    <sheet name="ASHRAE" sheetId="18" r:id="rId3"/>
    <sheet name="Condicionador de ar" sheetId="1" r:id="rId4"/>
    <sheet name="Temperatura" sheetId="12" r:id="rId5"/>
    <sheet name="Pressão" sheetId="13" r:id="rId6"/>
    <sheet name="i.m. instrumentos" sheetId="5" r:id="rId7"/>
    <sheet name="i.m. equação" sheetId="8" r:id="rId8"/>
    <sheet name="descrição" sheetId="4" r:id="rId9"/>
    <sheet name="Cálculo cond ambiental" sheetId="6" r:id="rId10"/>
    <sheet name="Dados2" sheetId="14" state="hidden" r:id="rId11"/>
    <sheet name="Controle de atualização" sheetId="16" r:id="rId12"/>
    <sheet name="Wattimetro" sheetId="17" state="hidden" r:id="rId13"/>
  </sheets>
  <functionGroups builtInGroupCount="19"/>
  <externalReferences>
    <externalReference r:id="rId14"/>
    <externalReference r:id="rId15"/>
  </externalReferences>
  <definedNames>
    <definedName name="_xlnm.Print_Area" localSheetId="9">'Cálculo cond ambiental'!$A$1:$AQ$45</definedName>
    <definedName name="_xlnm.Print_Area" localSheetId="3">'Condicionador de ar'!$B$6:$Y$37</definedName>
    <definedName name="_xlnm.Print_Area" localSheetId="11">'Controle de atualização'!$A$1:$C$50</definedName>
    <definedName name="_xlnm.Print_Area" localSheetId="7">'i.m. equação'!$A$2:$P$71,'i.m. equação'!$A$73:$P$142,'i.m. equação'!$A$145:$P$228,'i.m. equação'!$A$230:$P$303</definedName>
    <definedName name="_xlnm.Print_Area" localSheetId="6">'i.m. instrumentos'!$A$1:$AF$122</definedName>
    <definedName name="_xlnm.Print_Area" localSheetId="1">PBE!$A$1:$D$24</definedName>
    <definedName name="_xlnm.Print_Area" localSheetId="5">Pressão!$A$1:$L$35</definedName>
    <definedName name="_xlnm.Print_Area" localSheetId="0">Resumo!$A$1:$S$45,Resumo!$A$46:$T$82</definedName>
    <definedName name="_xlnm.Print_Area" localSheetId="4">Temperatura!$AS$6:$BK$105</definedName>
    <definedName name="excluir_1" localSheetId="2">ASHRAE!$O$3:$S$154</definedName>
    <definedName name="OLE_LINK21" localSheetId="3">'Condicionador de ar'!$B$35</definedName>
    <definedName name="_xlnm.Print_Titles" localSheetId="4">Temperatura!$1:$5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44" i="9" l="1"/>
  <c r="R19" i="9" l="1"/>
  <c r="J42" i="9" l="1"/>
  <c r="H51" i="9"/>
  <c r="C10" i="18" l="1"/>
  <c r="E38" i="18" l="1"/>
  <c r="C4" i="18"/>
  <c r="F281" i="8" l="1"/>
  <c r="F84" i="5"/>
  <c r="AD102" i="5" l="1"/>
  <c r="AA102" i="5"/>
  <c r="Y102" i="5"/>
  <c r="V102" i="5"/>
  <c r="Z102" i="5" s="1"/>
  <c r="AC102" i="5" s="1"/>
  <c r="AD86" i="5"/>
  <c r="AA86" i="5"/>
  <c r="Y86" i="5"/>
  <c r="V86" i="5"/>
  <c r="AD60" i="5"/>
  <c r="AA60" i="5"/>
  <c r="Y60" i="5"/>
  <c r="V60" i="5"/>
  <c r="AD45" i="5"/>
  <c r="AA45" i="5"/>
  <c r="Y45" i="5"/>
  <c r="V45" i="5"/>
  <c r="AD29" i="5"/>
  <c r="AA29" i="5"/>
  <c r="Y29" i="5"/>
  <c r="V29" i="5"/>
  <c r="AD14" i="5"/>
  <c r="AA14" i="5"/>
  <c r="Y14" i="5"/>
  <c r="V14" i="5"/>
  <c r="N42" i="5"/>
  <c r="K42" i="5"/>
  <c r="I42" i="5"/>
  <c r="F42" i="5"/>
  <c r="K27" i="5"/>
  <c r="N27" i="5"/>
  <c r="I27" i="5"/>
  <c r="F27" i="5"/>
  <c r="J27" i="5" s="1"/>
  <c r="M27" i="5" l="1"/>
  <c r="O27" i="5" s="1"/>
  <c r="Z14" i="5"/>
  <c r="AC14" i="5" s="1"/>
  <c r="Z60" i="5"/>
  <c r="AC60" i="5" s="1"/>
  <c r="AE60" i="5" s="1"/>
  <c r="J42" i="5"/>
  <c r="M42" i="5" s="1"/>
  <c r="O42" i="5" s="1"/>
  <c r="Z45" i="5"/>
  <c r="AC45" i="5" s="1"/>
  <c r="AE45" i="5" s="1"/>
  <c r="Z29" i="5"/>
  <c r="AC29" i="5" s="1"/>
  <c r="AE29" i="5" s="1"/>
  <c r="Z86" i="5"/>
  <c r="AC86" i="5" s="1"/>
  <c r="AE86" i="5" s="1"/>
  <c r="AE102" i="5"/>
  <c r="AE14" i="5"/>
  <c r="Y28" i="5"/>
  <c r="Y13" i="5"/>
  <c r="D284" i="8" l="1"/>
  <c r="D285" i="8"/>
  <c r="D87" i="5"/>
  <c r="D88" i="5" s="1"/>
  <c r="K282" i="8"/>
  <c r="I282" i="8"/>
  <c r="N281" i="8" l="1"/>
  <c r="K281" i="8"/>
  <c r="J281" i="8" l="1"/>
  <c r="M281" i="8" s="1"/>
  <c r="O281" i="8" s="1"/>
  <c r="Y12" i="5" l="1"/>
  <c r="K111" i="5"/>
  <c r="K110" i="5"/>
  <c r="I111" i="5"/>
  <c r="J111" i="5" s="1"/>
  <c r="M111" i="5" s="1"/>
  <c r="O111" i="5" s="1"/>
  <c r="I41" i="5" l="1"/>
  <c r="I110" i="5" l="1"/>
  <c r="K109" i="5"/>
  <c r="I109" i="5"/>
  <c r="J109" i="5" s="1"/>
  <c r="M109" i="5"/>
  <c r="O109" i="5" s="1"/>
  <c r="Y101" i="5"/>
  <c r="Y100" i="5"/>
  <c r="Y85" i="5"/>
  <c r="J110" i="5" l="1"/>
  <c r="M110" i="5" s="1"/>
  <c r="O110" i="5" s="1"/>
  <c r="I84" i="5"/>
  <c r="I83" i="5"/>
  <c r="I82" i="5"/>
  <c r="Y84" i="5"/>
  <c r="Y59" i="5"/>
  <c r="Y58" i="5"/>
  <c r="Y44" i="5"/>
  <c r="Y43" i="5"/>
  <c r="I40" i="5"/>
  <c r="Y27" i="5"/>
  <c r="I25" i="5"/>
  <c r="C34" i="18" l="1"/>
  <c r="C29" i="18"/>
  <c r="C24" i="18"/>
  <c r="C19" i="18"/>
  <c r="N3" i="18"/>
  <c r="L3" i="18"/>
  <c r="J3" i="18"/>
  <c r="H3" i="18"/>
  <c r="H55" i="9" l="1"/>
  <c r="H54" i="9"/>
  <c r="H53" i="9"/>
  <c r="H52" i="9"/>
  <c r="E29" i="17" l="1"/>
  <c r="E28" i="17"/>
  <c r="E27" i="17"/>
  <c r="E26" i="17"/>
  <c r="E25" i="17"/>
  <c r="E24" i="17"/>
  <c r="E23" i="17"/>
  <c r="E22" i="17"/>
  <c r="E21" i="17"/>
  <c r="E20" i="17"/>
  <c r="E19" i="17"/>
  <c r="E18" i="17"/>
  <c r="E17" i="17"/>
  <c r="E16" i="17"/>
  <c r="E15" i="17"/>
  <c r="E14" i="17"/>
  <c r="E13" i="17"/>
  <c r="E12" i="17"/>
  <c r="E11" i="17"/>
  <c r="E10" i="17"/>
  <c r="E9" i="17"/>
  <c r="E8" i="17"/>
  <c r="E7" i="17"/>
  <c r="E6" i="17"/>
  <c r="E5" i="17"/>
  <c r="E4" i="17"/>
  <c r="E3" i="17"/>
  <c r="G2" i="17"/>
  <c r="G5" i="17" s="1"/>
  <c r="E2" i="17"/>
  <c r="BG31" i="12" l="1"/>
  <c r="J41" i="9" l="1"/>
  <c r="J40" i="9" l="1"/>
  <c r="J39" i="9" l="1"/>
  <c r="F11" i="5" l="1"/>
  <c r="U24" i="1" l="1"/>
  <c r="E33" i="13" l="1"/>
  <c r="G21" i="13"/>
  <c r="D32" i="13"/>
  <c r="D30" i="13" l="1"/>
  <c r="E30" i="13" s="1"/>
  <c r="D31" i="13"/>
  <c r="E31" i="13" s="1"/>
  <c r="D28" i="13"/>
  <c r="E28" i="13" s="1"/>
  <c r="D29" i="13"/>
  <c r="E29" i="13" s="1"/>
  <c r="D26" i="13"/>
  <c r="E26" i="13" s="1"/>
  <c r="D27" i="13"/>
  <c r="E27" i="13" s="1"/>
  <c r="D24" i="13"/>
  <c r="E24" i="13" s="1"/>
  <c r="D25" i="13"/>
  <c r="E25" i="13" s="1"/>
  <c r="D22" i="13"/>
  <c r="E22" i="13" s="1"/>
  <c r="D23" i="13"/>
  <c r="E23" i="13" s="1"/>
  <c r="D21" i="13"/>
  <c r="E21" i="13" s="1"/>
  <c r="E32" i="13"/>
  <c r="G22" i="13" l="1"/>
  <c r="G24" i="13" s="1"/>
  <c r="O25" i="1" s="1"/>
  <c r="F83" i="5" l="1"/>
  <c r="D91" i="5"/>
  <c r="D90" i="5"/>
  <c r="J38" i="9"/>
  <c r="J43" i="9"/>
  <c r="BE14" i="12"/>
  <c r="BE13" i="12"/>
  <c r="D92" i="5" l="1"/>
  <c r="Q25" i="1"/>
  <c r="L75" i="5"/>
  <c r="BD19" i="12"/>
  <c r="BD20" i="12"/>
  <c r="BD21" i="12" s="1"/>
  <c r="BD18" i="12"/>
  <c r="AD101" i="5" l="1"/>
  <c r="AA101" i="5"/>
  <c r="AD85" i="5"/>
  <c r="AA85" i="5"/>
  <c r="AD59" i="5"/>
  <c r="AA59" i="5"/>
  <c r="AD44" i="5"/>
  <c r="AA44" i="5"/>
  <c r="AD28" i="5"/>
  <c r="AA28" i="5"/>
  <c r="AD13" i="5"/>
  <c r="AA13" i="5"/>
  <c r="N41" i="5"/>
  <c r="K41" i="5"/>
  <c r="N26" i="5"/>
  <c r="K26" i="5"/>
  <c r="I26" i="5"/>
  <c r="C14" i="1" l="1"/>
  <c r="G75" i="9" l="1"/>
  <c r="O77" i="9"/>
  <c r="O75" i="9"/>
  <c r="K6" i="12" l="1"/>
  <c r="J37" i="9" l="1"/>
  <c r="F10" i="5" l="1"/>
  <c r="I7" i="13" l="1"/>
  <c r="B6" i="13"/>
  <c r="BF21" i="12"/>
  <c r="BF18" i="12"/>
  <c r="J23" i="1"/>
  <c r="F96" i="5"/>
  <c r="F82" i="5"/>
  <c r="F56" i="5"/>
  <c r="G79" i="9" l="1"/>
  <c r="G80" i="9"/>
  <c r="F95" i="5"/>
  <c r="G51" i="5"/>
  <c r="J83" i="5" l="1"/>
  <c r="M83" i="5" s="1"/>
  <c r="O83" i="5" s="1"/>
  <c r="J84" i="5"/>
  <c r="M84" i="5" s="1"/>
  <c r="O84" i="5" s="1"/>
  <c r="F81" i="5"/>
  <c r="G55" i="5" l="1"/>
  <c r="F55" i="5"/>
  <c r="N63" i="5" l="1"/>
  <c r="H51" i="5"/>
  <c r="L56" i="5"/>
  <c r="G56" i="5"/>
  <c r="L55" i="5"/>
  <c r="W24" i="1" l="1"/>
  <c r="F13" i="13"/>
  <c r="F12" i="13"/>
  <c r="F11" i="13"/>
  <c r="F10" i="13"/>
  <c r="F9" i="13"/>
  <c r="H7" i="13"/>
  <c r="Y24" i="1" l="1"/>
  <c r="I56" i="5" l="1"/>
  <c r="I55" i="5"/>
  <c r="I96" i="5" l="1"/>
  <c r="I95" i="5"/>
  <c r="J95" i="5" s="1"/>
  <c r="M95" i="5" s="1"/>
  <c r="J96" i="5" l="1"/>
  <c r="M96" i="5" s="1"/>
  <c r="O96" i="5" s="1"/>
  <c r="O95" i="5"/>
  <c r="O101" i="5" l="1"/>
  <c r="M101" i="5"/>
  <c r="N101" i="5" l="1"/>
  <c r="J101" i="5" s="1"/>
  <c r="M103" i="5" s="1"/>
  <c r="G11" i="13" l="1"/>
  <c r="AU14" i="12"/>
  <c r="AU15" i="12"/>
  <c r="AU16" i="12"/>
  <c r="AU17" i="12"/>
  <c r="AU18" i="12"/>
  <c r="AU23" i="12"/>
  <c r="AU24" i="12"/>
  <c r="AU25" i="12"/>
  <c r="AU26" i="12"/>
  <c r="AU27" i="12"/>
  <c r="AU32" i="12"/>
  <c r="AU33" i="12"/>
  <c r="AU34" i="12"/>
  <c r="AU35" i="12"/>
  <c r="AU36" i="12"/>
  <c r="AU41" i="12"/>
  <c r="AU42" i="12"/>
  <c r="AU43" i="12"/>
  <c r="AU44" i="12"/>
  <c r="AU45" i="12"/>
  <c r="AU50" i="12"/>
  <c r="AU51" i="12"/>
  <c r="AU52" i="12"/>
  <c r="AU53" i="12"/>
  <c r="AU54" i="12"/>
  <c r="AU59" i="12"/>
  <c r="AU60" i="12"/>
  <c r="AU61" i="12"/>
  <c r="AU62" i="12"/>
  <c r="AU63" i="12"/>
  <c r="AU68" i="12"/>
  <c r="AU69" i="12"/>
  <c r="AU70" i="12"/>
  <c r="AU71" i="12"/>
  <c r="AU72" i="12"/>
  <c r="AU77" i="12"/>
  <c r="AU78" i="12"/>
  <c r="AU79" i="12"/>
  <c r="AU80" i="12"/>
  <c r="AU81" i="12"/>
  <c r="G10" i="13" l="1"/>
  <c r="H10" i="13" s="1"/>
  <c r="G12" i="13"/>
  <c r="J12" i="13" s="1"/>
  <c r="J56" i="5"/>
  <c r="M56" i="5" s="1"/>
  <c r="O56" i="5" s="1"/>
  <c r="H11" i="13"/>
  <c r="G13" i="13"/>
  <c r="H13" i="13" s="1"/>
  <c r="G9" i="13"/>
  <c r="G14" i="13"/>
  <c r="H9" i="13" l="1"/>
  <c r="I9" i="13" s="1"/>
  <c r="H14" i="13"/>
  <c r="C5" i="18" s="1"/>
  <c r="H12" i="13"/>
  <c r="I10" i="13"/>
  <c r="J10" i="13"/>
  <c r="J13" i="13"/>
  <c r="I12" i="13"/>
  <c r="I13" i="13"/>
  <c r="J9" i="13"/>
  <c r="J11" i="13"/>
  <c r="J14" i="13"/>
  <c r="I11" i="13"/>
  <c r="J21" i="1" l="1"/>
  <c r="G220" i="8" s="1"/>
  <c r="C14" i="18"/>
  <c r="O113" i="5"/>
  <c r="I14" i="13"/>
  <c r="M113" i="5" l="1"/>
  <c r="N113" i="5" l="1"/>
  <c r="J113" i="5" s="1"/>
  <c r="D6" i="1"/>
  <c r="D7" i="1"/>
  <c r="D8" i="1"/>
  <c r="D9" i="1"/>
  <c r="I224" i="8" l="1"/>
  <c r="M115" i="5"/>
  <c r="F224" i="8" s="1"/>
  <c r="J224" i="8"/>
  <c r="BF19" i="12"/>
  <c r="BF20" i="12" l="1"/>
  <c r="BF22" i="12" s="1"/>
  <c r="AG16" i="12"/>
  <c r="H17" i="1" s="1"/>
  <c r="AG15" i="12"/>
  <c r="D17" i="1" s="1"/>
  <c r="AG14" i="12"/>
  <c r="H16" i="1" s="1"/>
  <c r="AG13" i="12"/>
  <c r="D16" i="1" s="1"/>
  <c r="AG12" i="12"/>
  <c r="H15" i="1" s="1"/>
  <c r="AG11" i="12"/>
  <c r="D15" i="1" s="1"/>
  <c r="AG10" i="12"/>
  <c r="H14" i="1" s="1"/>
  <c r="AG9" i="12"/>
  <c r="D14" i="1" s="1"/>
  <c r="AS78" i="12"/>
  <c r="AT78" i="12"/>
  <c r="AS79" i="12"/>
  <c r="AT79" i="12"/>
  <c r="AS80" i="12"/>
  <c r="AT80" i="12"/>
  <c r="AS81" i="12"/>
  <c r="AT81" i="12"/>
  <c r="AT77" i="12"/>
  <c r="AS69" i="12"/>
  <c r="AT69" i="12"/>
  <c r="AS70" i="12"/>
  <c r="AT70" i="12"/>
  <c r="AS71" i="12"/>
  <c r="AT71" i="12"/>
  <c r="AS72" i="12"/>
  <c r="AT72" i="12"/>
  <c r="AT68" i="12"/>
  <c r="AS60" i="12"/>
  <c r="AT60" i="12"/>
  <c r="AS61" i="12"/>
  <c r="AT61" i="12"/>
  <c r="AS62" i="12"/>
  <c r="AT62" i="12"/>
  <c r="AS63" i="12"/>
  <c r="AT63" i="12"/>
  <c r="AT59" i="12"/>
  <c r="AS51" i="12"/>
  <c r="AT51" i="12"/>
  <c r="AS52" i="12"/>
  <c r="AT52" i="12"/>
  <c r="AS53" i="12"/>
  <c r="AT53" i="12"/>
  <c r="AS54" i="12"/>
  <c r="AT54" i="12"/>
  <c r="AT50" i="12"/>
  <c r="AS42" i="12"/>
  <c r="AT42" i="12"/>
  <c r="AS43" i="12"/>
  <c r="AT43" i="12"/>
  <c r="AS44" i="12"/>
  <c r="AT44" i="12"/>
  <c r="AS45" i="12"/>
  <c r="AT45" i="12"/>
  <c r="AT41" i="12"/>
  <c r="AS33" i="12"/>
  <c r="AT33" i="12"/>
  <c r="AS34" i="12"/>
  <c r="AT34" i="12"/>
  <c r="AS35" i="12"/>
  <c r="AT35" i="12"/>
  <c r="AS36" i="12"/>
  <c r="AT36" i="12"/>
  <c r="AT32" i="12"/>
  <c r="AS24" i="12"/>
  <c r="AT24" i="12"/>
  <c r="AS25" i="12"/>
  <c r="AT25" i="12"/>
  <c r="AS26" i="12"/>
  <c r="AT26" i="12"/>
  <c r="AS27" i="12"/>
  <c r="AT27" i="12"/>
  <c r="AT23" i="12"/>
  <c r="AS77" i="12"/>
  <c r="AS68" i="12"/>
  <c r="AS59" i="12"/>
  <c r="AS50" i="12"/>
  <c r="AS41" i="12"/>
  <c r="AS32" i="12"/>
  <c r="AS23" i="12"/>
  <c r="G219" i="8" l="1"/>
  <c r="K223" i="8" s="1"/>
  <c r="AT15" i="12"/>
  <c r="AT16" i="12"/>
  <c r="AT17" i="12"/>
  <c r="AT18" i="12"/>
  <c r="AS15" i="12"/>
  <c r="AS16" i="12"/>
  <c r="AS17" i="12"/>
  <c r="AS18" i="12"/>
  <c r="AT14" i="12"/>
  <c r="AS14" i="12"/>
  <c r="AW80" i="12"/>
  <c r="AW79" i="12"/>
  <c r="AW78" i="12"/>
  <c r="AW77" i="12"/>
  <c r="AW71" i="12"/>
  <c r="AW70" i="12"/>
  <c r="AW69" i="12"/>
  <c r="AW68" i="12"/>
  <c r="AW62" i="12"/>
  <c r="AW61" i="12"/>
  <c r="AW60" i="12"/>
  <c r="AW59" i="12"/>
  <c r="AW53" i="12"/>
  <c r="AW52" i="12"/>
  <c r="AW51" i="12"/>
  <c r="AW50" i="12"/>
  <c r="AW44" i="12"/>
  <c r="AW43" i="12"/>
  <c r="AW42" i="12"/>
  <c r="AW41" i="12"/>
  <c r="AW35" i="12"/>
  <c r="AW34" i="12"/>
  <c r="AW33" i="12"/>
  <c r="AW32" i="12"/>
  <c r="AW26" i="12"/>
  <c r="AW25" i="12"/>
  <c r="AW24" i="12"/>
  <c r="AW23" i="12"/>
  <c r="AB16" i="12" a="1"/>
  <c r="AB16" i="12" s="1"/>
  <c r="AB15" i="12" a="1"/>
  <c r="AB15" i="12" s="1"/>
  <c r="AB14" i="12" a="1"/>
  <c r="AB14" i="12" s="1"/>
  <c r="AB13" i="12" a="1"/>
  <c r="AB13" i="12" s="1"/>
  <c r="AB12" i="12" a="1"/>
  <c r="AB12" i="12" s="1"/>
  <c r="AB11" i="12" a="1"/>
  <c r="AB11" i="12" s="1"/>
  <c r="AB10" i="12" a="1"/>
  <c r="AB10" i="12" s="1"/>
  <c r="AB9" i="12" a="1"/>
  <c r="AB9" i="12" s="1"/>
  <c r="M10" i="6"/>
  <c r="N10" i="6" s="1"/>
  <c r="Q10" i="6" s="1"/>
  <c r="M11" i="6"/>
  <c r="N11" i="6" s="1"/>
  <c r="Q11" i="6" s="1"/>
  <c r="S11" i="6" s="1"/>
  <c r="J22" i="6"/>
  <c r="N22" i="6" s="1"/>
  <c r="Q22" i="6" s="1"/>
  <c r="J23" i="6"/>
  <c r="N23" i="6" s="1"/>
  <c r="Q23" i="6" s="1"/>
  <c r="S23" i="6" s="1"/>
  <c r="AW17" i="12" l="1"/>
  <c r="AW15" i="12"/>
  <c r="K224" i="8"/>
  <c r="M224" i="8" s="1"/>
  <c r="O224" i="8" s="1"/>
  <c r="BH18" i="12"/>
  <c r="BH20" i="12"/>
  <c r="BH19" i="12"/>
  <c r="BH21" i="12"/>
  <c r="AW16" i="12"/>
  <c r="AW14" i="12"/>
  <c r="AE15" i="12"/>
  <c r="AE13" i="12"/>
  <c r="AC13" i="12"/>
  <c r="AE14" i="12"/>
  <c r="AE10" i="12"/>
  <c r="AE11" i="12"/>
  <c r="AE12" i="12"/>
  <c r="AC15" i="12"/>
  <c r="AE16" i="12"/>
  <c r="AC11" i="12"/>
  <c r="AC10" i="12"/>
  <c r="AC12" i="12"/>
  <c r="AC14" i="12"/>
  <c r="AC16" i="12"/>
  <c r="AF16" i="12"/>
  <c r="AD16" i="12"/>
  <c r="AF15" i="12"/>
  <c r="AD15" i="12"/>
  <c r="AF14" i="12"/>
  <c r="AD14" i="12"/>
  <c r="AF13" i="12"/>
  <c r="AD13" i="12"/>
  <c r="AF12" i="12"/>
  <c r="AD12" i="12"/>
  <c r="AF11" i="12"/>
  <c r="AD11" i="12"/>
  <c r="AF10" i="12"/>
  <c r="AD10" i="12"/>
  <c r="AE9" i="12"/>
  <c r="AC9" i="12"/>
  <c r="AF9" i="12"/>
  <c r="AD9" i="12"/>
  <c r="S22" i="6"/>
  <c r="S10" i="6"/>
  <c r="S16" i="6" s="1"/>
  <c r="Q16" i="6"/>
  <c r="Q15" i="12" l="1"/>
  <c r="W11" i="12"/>
  <c r="R16" i="6"/>
  <c r="N16" i="6" s="1"/>
  <c r="Q18" i="6" s="1"/>
  <c r="J24" i="6" s="1"/>
  <c r="Q10" i="12"/>
  <c r="Q12" i="12"/>
  <c r="Q14" i="12"/>
  <c r="Q16" i="12"/>
  <c r="Q18" i="12"/>
  <c r="Q20" i="12"/>
  <c r="Q22" i="12"/>
  <c r="Q24" i="12"/>
  <c r="Q26" i="12"/>
  <c r="Q28" i="12"/>
  <c r="Q30" i="12"/>
  <c r="Q32" i="12"/>
  <c r="Q34" i="12"/>
  <c r="Q36" i="12"/>
  <c r="Q38" i="12"/>
  <c r="Q40" i="12"/>
  <c r="Q42" i="12"/>
  <c r="Q44" i="12"/>
  <c r="Q46" i="12"/>
  <c r="Q48" i="12"/>
  <c r="Q50" i="12"/>
  <c r="Q52" i="12"/>
  <c r="Q54" i="12"/>
  <c r="Q56" i="12"/>
  <c r="Q58" i="12"/>
  <c r="Q60" i="12"/>
  <c r="Q62" i="12"/>
  <c r="Q64" i="12"/>
  <c r="Q66" i="12"/>
  <c r="Q68" i="12"/>
  <c r="Q70" i="12"/>
  <c r="Q72" i="12"/>
  <c r="Q74" i="12"/>
  <c r="Q76" i="12"/>
  <c r="Q78" i="12"/>
  <c r="Q80" i="12"/>
  <c r="Q82" i="12"/>
  <c r="Q84" i="12"/>
  <c r="Q86" i="12"/>
  <c r="Q88" i="12"/>
  <c r="Q90" i="12"/>
  <c r="Q92" i="12"/>
  <c r="Q94" i="12"/>
  <c r="Q96" i="12"/>
  <c r="Q98" i="12"/>
  <c r="Q100" i="12"/>
  <c r="Q102" i="12"/>
  <c r="Q104" i="12"/>
  <c r="Q106" i="12"/>
  <c r="Q108" i="12"/>
  <c r="Q110" i="12"/>
  <c r="Q112" i="12"/>
  <c r="Q114" i="12"/>
  <c r="Q116" i="12"/>
  <c r="Q118" i="12"/>
  <c r="Q120" i="12"/>
  <c r="Q122" i="12"/>
  <c r="Q124" i="12"/>
  <c r="Q126" i="12"/>
  <c r="Q128" i="12"/>
  <c r="Q130" i="12"/>
  <c r="Q132" i="12"/>
  <c r="Q134" i="12"/>
  <c r="Q136" i="12"/>
  <c r="Q138" i="12"/>
  <c r="Q140" i="12"/>
  <c r="Q142" i="12"/>
  <c r="Q144" i="12"/>
  <c r="Q146" i="12"/>
  <c r="Q148" i="12"/>
  <c r="Q150" i="12"/>
  <c r="Q152" i="12"/>
  <c r="Q154" i="12"/>
  <c r="Q156" i="12"/>
  <c r="Q158" i="12"/>
  <c r="Q160" i="12"/>
  <c r="Q162" i="12"/>
  <c r="Q164" i="12"/>
  <c r="Q166" i="12"/>
  <c r="Q168" i="12"/>
  <c r="Q170" i="12"/>
  <c r="Q172" i="12"/>
  <c r="Q174" i="12"/>
  <c r="Q176" i="12"/>
  <c r="Q178" i="12"/>
  <c r="Q180" i="12"/>
  <c r="Q182" i="12"/>
  <c r="Q184" i="12"/>
  <c r="Q186" i="12"/>
  <c r="Q188" i="12"/>
  <c r="Q190" i="12"/>
  <c r="Q192" i="12"/>
  <c r="Q194" i="12"/>
  <c r="Q196" i="12"/>
  <c r="Q198" i="12"/>
  <c r="Q200" i="12"/>
  <c r="Q202" i="12"/>
  <c r="Q204" i="12"/>
  <c r="Q206" i="12"/>
  <c r="Q208" i="12"/>
  <c r="Q210" i="12"/>
  <c r="Q212" i="12"/>
  <c r="Q214" i="12"/>
  <c r="Q216" i="12"/>
  <c r="Q218" i="12"/>
  <c r="Q220" i="12"/>
  <c r="Q222" i="12"/>
  <c r="Q224" i="12"/>
  <c r="Q226" i="12"/>
  <c r="Q228" i="12"/>
  <c r="Q230" i="12"/>
  <c r="Q232" i="12"/>
  <c r="Q234" i="12"/>
  <c r="Q236" i="12"/>
  <c r="Q238" i="12"/>
  <c r="Q240" i="12"/>
  <c r="Q242" i="12"/>
  <c r="Q244" i="12"/>
  <c r="Q246" i="12"/>
  <c r="Q248" i="12"/>
  <c r="Q250" i="12"/>
  <c r="Q252" i="12"/>
  <c r="Q254" i="12"/>
  <c r="Q256" i="12"/>
  <c r="Q258" i="12"/>
  <c r="Q260" i="12"/>
  <c r="Q262" i="12"/>
  <c r="Q264" i="12"/>
  <c r="Q266" i="12"/>
  <c r="Q268" i="12"/>
  <c r="Q270" i="12"/>
  <c r="Q272" i="12"/>
  <c r="Q274" i="12"/>
  <c r="Q276" i="12"/>
  <c r="Q278" i="12"/>
  <c r="Q280" i="12"/>
  <c r="Q282" i="12"/>
  <c r="Q284" i="12"/>
  <c r="Q286" i="12"/>
  <c r="Q288" i="12"/>
  <c r="Q290" i="12"/>
  <c r="Q292" i="12"/>
  <c r="Q294" i="12"/>
  <c r="Q296" i="12"/>
  <c r="Q298" i="12"/>
  <c r="Q300" i="12"/>
  <c r="Q302" i="12"/>
  <c r="Q304" i="12"/>
  <c r="Q306" i="12"/>
  <c r="Q308" i="12"/>
  <c r="Q310" i="12"/>
  <c r="Q312" i="12"/>
  <c r="Q314" i="12"/>
  <c r="Q316" i="12"/>
  <c r="Q318" i="12"/>
  <c r="Q320" i="12"/>
  <c r="Q322" i="12"/>
  <c r="Q324" i="12"/>
  <c r="Q326" i="12"/>
  <c r="Q328" i="12"/>
  <c r="Q330" i="12"/>
  <c r="Q332" i="12"/>
  <c r="Q334" i="12"/>
  <c r="Q336" i="12"/>
  <c r="Q338" i="12"/>
  <c r="Q340" i="12"/>
  <c r="Q342" i="12"/>
  <c r="Q344" i="12"/>
  <c r="Q346" i="12"/>
  <c r="Q348" i="12"/>
  <c r="Q350" i="12"/>
  <c r="Q352" i="12"/>
  <c r="Q354" i="12"/>
  <c r="Q356" i="12"/>
  <c r="Q358" i="12"/>
  <c r="Q360" i="12"/>
  <c r="Q362" i="12"/>
  <c r="Q364" i="12"/>
  <c r="Q366" i="12"/>
  <c r="Q368" i="12"/>
  <c r="Q370" i="12"/>
  <c r="Q372" i="12"/>
  <c r="Q374" i="12"/>
  <c r="Q376" i="12"/>
  <c r="Q378" i="12"/>
  <c r="Q380" i="12"/>
  <c r="Q382" i="12"/>
  <c r="Q384" i="12"/>
  <c r="Q386" i="12"/>
  <c r="Q388" i="12"/>
  <c r="Q390" i="12"/>
  <c r="Q392" i="12"/>
  <c r="Q394" i="12"/>
  <c r="Q396" i="12"/>
  <c r="Q398" i="12"/>
  <c r="Q400" i="12"/>
  <c r="Q402" i="12"/>
  <c r="Q404" i="12"/>
  <c r="Q406" i="12"/>
  <c r="Q408" i="12"/>
  <c r="Q410" i="12"/>
  <c r="Q412" i="12"/>
  <c r="Q414" i="12"/>
  <c r="Q416" i="12"/>
  <c r="Q418" i="12"/>
  <c r="Q420" i="12"/>
  <c r="Q422" i="12"/>
  <c r="Q424" i="12"/>
  <c r="Q426" i="12"/>
  <c r="Q428" i="12"/>
  <c r="Q430" i="12"/>
  <c r="Q432" i="12"/>
  <c r="Q434" i="12"/>
  <c r="Q436" i="12"/>
  <c r="Q438" i="12"/>
  <c r="Q440" i="12"/>
  <c r="Q442" i="12"/>
  <c r="Q444" i="12"/>
  <c r="Q446" i="12"/>
  <c r="Q448" i="12"/>
  <c r="Q450" i="12"/>
  <c r="Q452" i="12"/>
  <c r="Q454" i="12"/>
  <c r="Q456" i="12"/>
  <c r="Q458" i="12"/>
  <c r="Q460" i="12"/>
  <c r="Q462" i="12"/>
  <c r="Q464" i="12"/>
  <c r="Q466" i="12"/>
  <c r="Q468" i="12"/>
  <c r="Q470" i="12"/>
  <c r="Q472" i="12"/>
  <c r="Q474" i="12"/>
  <c r="Q476" i="12"/>
  <c r="Q478" i="12"/>
  <c r="Q480" i="12"/>
  <c r="Q482" i="12"/>
  <c r="Q484" i="12"/>
  <c r="Q486" i="12"/>
  <c r="Q488" i="12"/>
  <c r="Q490" i="12"/>
  <c r="Q492" i="12"/>
  <c r="Q494" i="12"/>
  <c r="Q496" i="12"/>
  <c r="Q498" i="12"/>
  <c r="Q500" i="12"/>
  <c r="Q502" i="12"/>
  <c r="Q504" i="12"/>
  <c r="Q506" i="12"/>
  <c r="Q508" i="12"/>
  <c r="Q510" i="12"/>
  <c r="Q512" i="12"/>
  <c r="Q514" i="12"/>
  <c r="Q516" i="12"/>
  <c r="Q518" i="12"/>
  <c r="Q520" i="12"/>
  <c r="Q522" i="12"/>
  <c r="Q524" i="12"/>
  <c r="Q526" i="12"/>
  <c r="Q528" i="12"/>
  <c r="Q530" i="12"/>
  <c r="Q532" i="12"/>
  <c r="Q534" i="12"/>
  <c r="Q536" i="12"/>
  <c r="Q538" i="12"/>
  <c r="Q540" i="12"/>
  <c r="Q542" i="12"/>
  <c r="Q544" i="12"/>
  <c r="Q546" i="12"/>
  <c r="Q548" i="12"/>
  <c r="Q550" i="12"/>
  <c r="Q552" i="12"/>
  <c r="Q554" i="12"/>
  <c r="Q556" i="12"/>
  <c r="Q558" i="12"/>
  <c r="Q560" i="12"/>
  <c r="Q562" i="12"/>
  <c r="Q564" i="12"/>
  <c r="Q566" i="12"/>
  <c r="Q568" i="12"/>
  <c r="Q570" i="12"/>
  <c r="Q572" i="12"/>
  <c r="Q574" i="12"/>
  <c r="Q576" i="12"/>
  <c r="Q578" i="12"/>
  <c r="Q580" i="12"/>
  <c r="Q582" i="12"/>
  <c r="Q584" i="12"/>
  <c r="Q586" i="12"/>
  <c r="Q588" i="12"/>
  <c r="Q590" i="12"/>
  <c r="Q592" i="12"/>
  <c r="Q594" i="12"/>
  <c r="Q596" i="12"/>
  <c r="Q598" i="12"/>
  <c r="Q600" i="12"/>
  <c r="Q602" i="12"/>
  <c r="Q604" i="12"/>
  <c r="Q606" i="12"/>
  <c r="Q608" i="12"/>
  <c r="Q610" i="12"/>
  <c r="Q612" i="12"/>
  <c r="Q614" i="12"/>
  <c r="Q616" i="12"/>
  <c r="Q618" i="12"/>
  <c r="Q620" i="12"/>
  <c r="Q622" i="12"/>
  <c r="Q624" i="12"/>
  <c r="Q626" i="12"/>
  <c r="Q628" i="12"/>
  <c r="Q630" i="12"/>
  <c r="Q632" i="12"/>
  <c r="Q634" i="12"/>
  <c r="Q645" i="12"/>
  <c r="Q647" i="12"/>
  <c r="Q649" i="12"/>
  <c r="Q651" i="12"/>
  <c r="Q653" i="12"/>
  <c r="Q655" i="12"/>
  <c r="Q657" i="12"/>
  <c r="Q659" i="12"/>
  <c r="Q661" i="12"/>
  <c r="Q663" i="12"/>
  <c r="Q665" i="12"/>
  <c r="Q667" i="12"/>
  <c r="Q669" i="12"/>
  <c r="Q671" i="12"/>
  <c r="Q673" i="12"/>
  <c r="Q675" i="12"/>
  <c r="Q677" i="12"/>
  <c r="Q679" i="12"/>
  <c r="Q681" i="12"/>
  <c r="Q683" i="12"/>
  <c r="Q685" i="12"/>
  <c r="Q687" i="12"/>
  <c r="Q689" i="12"/>
  <c r="Q691" i="12"/>
  <c r="Q693" i="12"/>
  <c r="Q695" i="12"/>
  <c r="Q697" i="12"/>
  <c r="Q699" i="12"/>
  <c r="Q701" i="12"/>
  <c r="Q703" i="12"/>
  <c r="Q705" i="12"/>
  <c r="Q707" i="12"/>
  <c r="Q709" i="12"/>
  <c r="Q711" i="12"/>
  <c r="Q713" i="12"/>
  <c r="Q715" i="12"/>
  <c r="Q717" i="12"/>
  <c r="Q719" i="12"/>
  <c r="Q721" i="12"/>
  <c r="Q723" i="12"/>
  <c r="Q725" i="12"/>
  <c r="Q727" i="12"/>
  <c r="Q729" i="12"/>
  <c r="Q731" i="12"/>
  <c r="Q733" i="12"/>
  <c r="Q735" i="12"/>
  <c r="Q737" i="12"/>
  <c r="Q739" i="12"/>
  <c r="Q741" i="12"/>
  <c r="Q743" i="12"/>
  <c r="Q745" i="12"/>
  <c r="Q747" i="12"/>
  <c r="Q749" i="12"/>
  <c r="Q751" i="12"/>
  <c r="Q753" i="12"/>
  <c r="Q755" i="12"/>
  <c r="Q757" i="12"/>
  <c r="Q759" i="12"/>
  <c r="Q761" i="12"/>
  <c r="Q763" i="12"/>
  <c r="Q765" i="12"/>
  <c r="Q767" i="12"/>
  <c r="Q769" i="12"/>
  <c r="Q771" i="12"/>
  <c r="Q773" i="12"/>
  <c r="Q775" i="12"/>
  <c r="Q777" i="12"/>
  <c r="Q779" i="12"/>
  <c r="Q781" i="12"/>
  <c r="Q783" i="12"/>
  <c r="Q785" i="12"/>
  <c r="Q787" i="12"/>
  <c r="Q789" i="12"/>
  <c r="Q791" i="12"/>
  <c r="Q793" i="12"/>
  <c r="Q795" i="12"/>
  <c r="Q797" i="12"/>
  <c r="Q799" i="12"/>
  <c r="Q801" i="12"/>
  <c r="Q803" i="12"/>
  <c r="Q805" i="12"/>
  <c r="Q807" i="12"/>
  <c r="Q809" i="12"/>
  <c r="Q811" i="12"/>
  <c r="Q813" i="12"/>
  <c r="Q815" i="12"/>
  <c r="Q817" i="12"/>
  <c r="Q819" i="12"/>
  <c r="Q821" i="12"/>
  <c r="Q823" i="12"/>
  <c r="Q825" i="12"/>
  <c r="Q827" i="12"/>
  <c r="Q829" i="12"/>
  <c r="Q831" i="12"/>
  <c r="Q833" i="12"/>
  <c r="Q835" i="12"/>
  <c r="Q837" i="12"/>
  <c r="Q839" i="12"/>
  <c r="Q841" i="12"/>
  <c r="Q843" i="12"/>
  <c r="Q845" i="12"/>
  <c r="Q847" i="12"/>
  <c r="Q849" i="12"/>
  <c r="Q851" i="12"/>
  <c r="Q853" i="12"/>
  <c r="Q855" i="12"/>
  <c r="Q857" i="12"/>
  <c r="Q859" i="12"/>
  <c r="Q861" i="12"/>
  <c r="Q863" i="12"/>
  <c r="Q865" i="12"/>
  <c r="Q867" i="12"/>
  <c r="Q869" i="12"/>
  <c r="Q871" i="12"/>
  <c r="Q873" i="12"/>
  <c r="Q875" i="12"/>
  <c r="Q877" i="12"/>
  <c r="Q879" i="12"/>
  <c r="Q881" i="12"/>
  <c r="Q883" i="12"/>
  <c r="Q885" i="12"/>
  <c r="Q887" i="12"/>
  <c r="Q889" i="12"/>
  <c r="Q891" i="12"/>
  <c r="Q893" i="12"/>
  <c r="Q895" i="12"/>
  <c r="Q636" i="12"/>
  <c r="Q638" i="12"/>
  <c r="Q640" i="12"/>
  <c r="Q642" i="12"/>
  <c r="Q903" i="12"/>
  <c r="Q905" i="12"/>
  <c r="Q907" i="12"/>
  <c r="Q909" i="12"/>
  <c r="Q911" i="12"/>
  <c r="Q913" i="12"/>
  <c r="Q915" i="12"/>
  <c r="Q917" i="12"/>
  <c r="Q919" i="12"/>
  <c r="Q921" i="12"/>
  <c r="Q923" i="12"/>
  <c r="Q925" i="12"/>
  <c r="Q927" i="12"/>
  <c r="Q929" i="12"/>
  <c r="Q931" i="12"/>
  <c r="Q933" i="12"/>
  <c r="Q935" i="12"/>
  <c r="Q937" i="12"/>
  <c r="Q939" i="12"/>
  <c r="Q941" i="12"/>
  <c r="Q943" i="12"/>
  <c r="Q945" i="12"/>
  <c r="Q947" i="12"/>
  <c r="Q949" i="12"/>
  <c r="Q951" i="12"/>
  <c r="Q953" i="12"/>
  <c r="Q955" i="12"/>
  <c r="Q957" i="12"/>
  <c r="Q959" i="12"/>
  <c r="Q961" i="12"/>
  <c r="Q963" i="12"/>
  <c r="Q965" i="12"/>
  <c r="Q967" i="12"/>
  <c r="Q969" i="12"/>
  <c r="Q971" i="12"/>
  <c r="Q973" i="12"/>
  <c r="Q975" i="12"/>
  <c r="Q977" i="12"/>
  <c r="Q979" i="12"/>
  <c r="Q981" i="12"/>
  <c r="Q983" i="12"/>
  <c r="Q985" i="12"/>
  <c r="Q987" i="12"/>
  <c r="Q989" i="12"/>
  <c r="Q991" i="12"/>
  <c r="Q993" i="12"/>
  <c r="Q995" i="12"/>
  <c r="Q997" i="12"/>
  <c r="Q999" i="12"/>
  <c r="Q1001" i="12"/>
  <c r="Q1003" i="12"/>
  <c r="Q1005" i="12"/>
  <c r="Q1007" i="12"/>
  <c r="Q1009" i="12"/>
  <c r="Q1011" i="12"/>
  <c r="Q1013" i="12"/>
  <c r="Q1015" i="12"/>
  <c r="Q1017" i="12"/>
  <c r="Q1019" i="12"/>
  <c r="Q1021" i="12"/>
  <c r="Q1023" i="12"/>
  <c r="Q1025" i="12"/>
  <c r="Q1027" i="12"/>
  <c r="Q1029" i="12"/>
  <c r="Q1031" i="12"/>
  <c r="Q1033" i="12"/>
  <c r="Q1035" i="12"/>
  <c r="Q1037" i="12"/>
  <c r="Q1039" i="12"/>
  <c r="Q1041" i="12"/>
  <c r="Q1043" i="12"/>
  <c r="Q1045" i="12"/>
  <c r="Q1047" i="12"/>
  <c r="Q1049" i="12"/>
  <c r="Q1051" i="12"/>
  <c r="Q1053" i="12"/>
  <c r="Q1055" i="12"/>
  <c r="Q1057" i="12"/>
  <c r="Q1059" i="12"/>
  <c r="Q1061" i="12"/>
  <c r="Q1063" i="12"/>
  <c r="Q1065" i="12"/>
  <c r="Q1067" i="12"/>
  <c r="Q1069" i="12"/>
  <c r="Q1071" i="12"/>
  <c r="Q1073" i="12"/>
  <c r="Q1075" i="12"/>
  <c r="Q1077" i="12"/>
  <c r="Q1079" i="12"/>
  <c r="Q1081" i="12"/>
  <c r="Q1083" i="12"/>
  <c r="Q1085" i="12"/>
  <c r="Q1087" i="12"/>
  <c r="Q1089" i="12"/>
  <c r="Q1091" i="12"/>
  <c r="Q1093" i="12"/>
  <c r="Q1095" i="12"/>
  <c r="Q1097" i="12"/>
  <c r="Q1099" i="12"/>
  <c r="Q1101" i="12"/>
  <c r="Q1103" i="12"/>
  <c r="Q1105" i="12"/>
  <c r="Q1107" i="12"/>
  <c r="Q1109" i="12"/>
  <c r="Q1111" i="12"/>
  <c r="Q1113" i="12"/>
  <c r="Q1115" i="12"/>
  <c r="Q1117" i="12"/>
  <c r="Q1119" i="12"/>
  <c r="Q1121" i="12"/>
  <c r="Q1123" i="12"/>
  <c r="Q1125" i="12"/>
  <c r="Q1127" i="12"/>
  <c r="Q1129" i="12"/>
  <c r="Q1131" i="12"/>
  <c r="Q1133" i="12"/>
  <c r="Q1135" i="12"/>
  <c r="Q1137" i="12"/>
  <c r="Q1139" i="12"/>
  <c r="Q1141" i="12"/>
  <c r="Q1143" i="12"/>
  <c r="Q1145" i="12"/>
  <c r="Q1147" i="12"/>
  <c r="Q1149" i="12"/>
  <c r="Q1151" i="12"/>
  <c r="Q1153" i="12"/>
  <c r="Q1155" i="12"/>
  <c r="Q1157" i="12"/>
  <c r="Q1159" i="12"/>
  <c r="Q1161" i="12"/>
  <c r="Q1163" i="12"/>
  <c r="Q1165" i="12"/>
  <c r="Q1167" i="12"/>
  <c r="Q1169" i="12"/>
  <c r="Q1171" i="12"/>
  <c r="Q1173" i="12"/>
  <c r="Q1175" i="12"/>
  <c r="Q1177" i="12"/>
  <c r="Q1179" i="12"/>
  <c r="Q1181" i="12"/>
  <c r="Q1183" i="12"/>
  <c r="Q1185" i="12"/>
  <c r="Q1187" i="12"/>
  <c r="Q1189" i="12"/>
  <c r="Q1191" i="12"/>
  <c r="Q1193" i="12"/>
  <c r="Q1195" i="12"/>
  <c r="Q1197" i="12"/>
  <c r="Q1199" i="12"/>
  <c r="Q1201" i="12"/>
  <c r="Q1203" i="12"/>
  <c r="Q1205" i="12"/>
  <c r="Q1207" i="12"/>
  <c r="Q1209" i="12"/>
  <c r="Q1211" i="12"/>
  <c r="Q1213" i="12"/>
  <c r="Q1215" i="12"/>
  <c r="Q1217" i="12"/>
  <c r="Q1219" i="12"/>
  <c r="Q1221" i="12"/>
  <c r="Q1223" i="12"/>
  <c r="Q1225" i="12"/>
  <c r="Q1227" i="12"/>
  <c r="Q1229" i="12"/>
  <c r="Q1231" i="12"/>
  <c r="Q1233" i="12"/>
  <c r="Q1235" i="12"/>
  <c r="Q1237" i="12"/>
  <c r="Q1239" i="12"/>
  <c r="Q1241" i="12"/>
  <c r="Q1243" i="12"/>
  <c r="Q1245" i="12"/>
  <c r="Q1247" i="12"/>
  <c r="Q1249" i="12"/>
  <c r="Q1251" i="12"/>
  <c r="Q1253" i="12"/>
  <c r="Q1255" i="12"/>
  <c r="Q1257" i="12"/>
  <c r="Q1259" i="12"/>
  <c r="Q1261" i="12"/>
  <c r="Q1263" i="12"/>
  <c r="Q1265" i="12"/>
  <c r="Q1267" i="12"/>
  <c r="Q1269" i="12"/>
  <c r="Q1271" i="12"/>
  <c r="Q1273" i="12"/>
  <c r="Q1275" i="12"/>
  <c r="Q1277" i="12"/>
  <c r="Q1279" i="12"/>
  <c r="Q1281" i="12"/>
  <c r="Q1283" i="12"/>
  <c r="Q1285" i="12"/>
  <c r="Q1287" i="12"/>
  <c r="Q1289" i="12"/>
  <c r="Q1291" i="12"/>
  <c r="Q1293" i="12"/>
  <c r="Q1295" i="12"/>
  <c r="Q1297" i="12"/>
  <c r="Q1299" i="12"/>
  <c r="Q1301" i="12"/>
  <c r="Q1303" i="12"/>
  <c r="Q1305" i="12"/>
  <c r="Q1307" i="12"/>
  <c r="Q1309" i="12"/>
  <c r="Q1311" i="12"/>
  <c r="Q1313" i="12"/>
  <c r="Q1315" i="12"/>
  <c r="Q1317" i="12"/>
  <c r="Q1319" i="12"/>
  <c r="Q1321" i="12"/>
  <c r="Q1323" i="12"/>
  <c r="Q1325" i="12"/>
  <c r="Q1327" i="12"/>
  <c r="Q1329" i="12"/>
  <c r="Q1331" i="12"/>
  <c r="Q1333" i="12"/>
  <c r="Q1335" i="12"/>
  <c r="Q1337" i="12"/>
  <c r="Q1339" i="12"/>
  <c r="Q1341" i="12"/>
  <c r="Q1343" i="12"/>
  <c r="Q1345" i="12"/>
  <c r="Q1347" i="12"/>
  <c r="Q1349" i="12"/>
  <c r="Q1351" i="12"/>
  <c r="Q1353" i="12"/>
  <c r="Q1355" i="12"/>
  <c r="Q1357" i="12"/>
  <c r="Q1359" i="12"/>
  <c r="Q1361" i="12"/>
  <c r="Q1363" i="12"/>
  <c r="Q1365" i="12"/>
  <c r="Q1367" i="12"/>
  <c r="Q1369" i="12"/>
  <c r="Q1371" i="12"/>
  <c r="Q1373" i="12"/>
  <c r="Q1375" i="12"/>
  <c r="Q1377" i="12"/>
  <c r="Q1379" i="12"/>
  <c r="Q1381" i="12"/>
  <c r="Q1383" i="12"/>
  <c r="Q1385" i="12"/>
  <c r="Q1387" i="12"/>
  <c r="Q1389" i="12"/>
  <c r="Q1391" i="12"/>
  <c r="Q1393" i="12"/>
  <c r="Q1395" i="12"/>
  <c r="Q1397" i="12"/>
  <c r="Q1399" i="12"/>
  <c r="Q1401" i="12"/>
  <c r="Q1403" i="12"/>
  <c r="Q1405" i="12"/>
  <c r="Q1407" i="12"/>
  <c r="Q1409" i="12"/>
  <c r="Q896" i="12"/>
  <c r="Q898" i="12"/>
  <c r="Q900" i="12"/>
  <c r="Q902" i="12"/>
  <c r="Q1412" i="12"/>
  <c r="Q1414" i="12"/>
  <c r="Q1416" i="12"/>
  <c r="Q1418" i="12"/>
  <c r="Q1420" i="12"/>
  <c r="Q1422" i="12"/>
  <c r="Q1424" i="12"/>
  <c r="Q1426" i="12"/>
  <c r="Q1428" i="12"/>
  <c r="Q1430" i="12"/>
  <c r="Q1432" i="12"/>
  <c r="Q1434" i="12"/>
  <c r="Q1436" i="12"/>
  <c r="Q1438" i="12"/>
  <c r="Q1440" i="12"/>
  <c r="Q1442" i="12"/>
  <c r="Q1444" i="12"/>
  <c r="Q1446" i="12"/>
  <c r="Q1448" i="12"/>
  <c r="Q1450" i="12"/>
  <c r="Q1452" i="12"/>
  <c r="Q1454" i="12"/>
  <c r="Q1456" i="12"/>
  <c r="Q1458" i="12"/>
  <c r="Q1460" i="12"/>
  <c r="Q1462" i="12"/>
  <c r="Q1464" i="12"/>
  <c r="Q1466" i="12"/>
  <c r="Q1468" i="12"/>
  <c r="Q1470" i="12"/>
  <c r="Q1472" i="12"/>
  <c r="Q1474" i="12"/>
  <c r="Q1476" i="12"/>
  <c r="Q1478" i="12"/>
  <c r="Q1480" i="12"/>
  <c r="Q1482" i="12"/>
  <c r="Q1484" i="12"/>
  <c r="Q1486" i="12"/>
  <c r="Q1488" i="12"/>
  <c r="Q1490" i="12"/>
  <c r="Q1492" i="12"/>
  <c r="Q1494" i="12"/>
  <c r="Q1496" i="12"/>
  <c r="Q1498" i="12"/>
  <c r="Q1500" i="12"/>
  <c r="Q1502" i="12"/>
  <c r="Q1504" i="12"/>
  <c r="Q1506" i="12"/>
  <c r="Q1508" i="12"/>
  <c r="Q1510" i="12"/>
  <c r="Q1512" i="12"/>
  <c r="Q1514" i="12"/>
  <c r="Q1516" i="12"/>
  <c r="Q1518" i="12"/>
  <c r="Q1520" i="12"/>
  <c r="Q1522" i="12"/>
  <c r="Q1524" i="12"/>
  <c r="Q1526" i="12"/>
  <c r="Q1528" i="12"/>
  <c r="Q1530" i="12"/>
  <c r="Q1532" i="12"/>
  <c r="Q1534" i="12"/>
  <c r="Q1536" i="12"/>
  <c r="Q1538" i="12"/>
  <c r="Q1540" i="12"/>
  <c r="Q1542" i="12"/>
  <c r="Q1544" i="12"/>
  <c r="Q1546" i="12"/>
  <c r="Q1548" i="12"/>
  <c r="Q1550" i="12"/>
  <c r="Q1552" i="12"/>
  <c r="Q1554" i="12"/>
  <c r="Q1556" i="12"/>
  <c r="Q1558" i="12"/>
  <c r="Q1560" i="12"/>
  <c r="Q1562" i="12"/>
  <c r="Q1564" i="12"/>
  <c r="Q1566" i="12"/>
  <c r="Q1568" i="12"/>
  <c r="Q1570" i="12"/>
  <c r="Q1572" i="12"/>
  <c r="Q1574" i="12"/>
  <c r="Q1576" i="12"/>
  <c r="Q1578" i="12"/>
  <c r="Q1580" i="12"/>
  <c r="Q1582" i="12"/>
  <c r="Q1584" i="12"/>
  <c r="Q1586" i="12"/>
  <c r="Q1588" i="12"/>
  <c r="Q1590" i="12"/>
  <c r="Q1592" i="12"/>
  <c r="Q1594" i="12"/>
  <c r="Q1596" i="12"/>
  <c r="Q1598" i="12"/>
  <c r="Q1600" i="12"/>
  <c r="Q1602" i="12"/>
  <c r="Q1604" i="12"/>
  <c r="Q1606" i="12"/>
  <c r="Q1608" i="12"/>
  <c r="Q1610" i="12"/>
  <c r="Q1612" i="12"/>
  <c r="Q1614" i="12"/>
  <c r="Q1616" i="12"/>
  <c r="Q1618" i="12"/>
  <c r="Q1620" i="12"/>
  <c r="Q1622" i="12"/>
  <c r="Q1624" i="12"/>
  <c r="Q1626" i="12"/>
  <c r="Q1628" i="12"/>
  <c r="Q1630" i="12"/>
  <c r="Q1632" i="12"/>
  <c r="Q1634" i="12"/>
  <c r="Q1636" i="12"/>
  <c r="Q1638" i="12"/>
  <c r="Q1640" i="12"/>
  <c r="Q1642" i="12"/>
  <c r="Q1644" i="12"/>
  <c r="Q1646" i="12"/>
  <c r="Q1648" i="12"/>
  <c r="Q1650" i="12"/>
  <c r="Q1652" i="12"/>
  <c r="Q1654" i="12"/>
  <c r="Q1656" i="12"/>
  <c r="Q1658" i="12"/>
  <c r="Q1660" i="12"/>
  <c r="Q1662" i="12"/>
  <c r="Q1664" i="12"/>
  <c r="Q1666" i="12"/>
  <c r="Q1668" i="12"/>
  <c r="Q1670" i="12"/>
  <c r="Q1672" i="12"/>
  <c r="Q1674" i="12"/>
  <c r="Q1676" i="12"/>
  <c r="Q1678" i="12"/>
  <c r="Q1680" i="12"/>
  <c r="Q1682" i="12"/>
  <c r="Q1684" i="12"/>
  <c r="Q1686" i="12"/>
  <c r="Q1688" i="12"/>
  <c r="Q1690" i="12"/>
  <c r="Q1692" i="12"/>
  <c r="Q1694" i="12"/>
  <c r="Q1696" i="12"/>
  <c r="Q1698" i="12"/>
  <c r="Q1700" i="12"/>
  <c r="Q1702" i="12"/>
  <c r="Q1704" i="12"/>
  <c r="Q1706" i="12"/>
  <c r="Q1708" i="12"/>
  <c r="Q1710" i="12"/>
  <c r="Q1712" i="12"/>
  <c r="Q1714" i="12"/>
  <c r="Q1716" i="12"/>
  <c r="Q1718" i="12"/>
  <c r="Q1720" i="12"/>
  <c r="Q1722" i="12"/>
  <c r="Q1724" i="12"/>
  <c r="Q1726" i="12"/>
  <c r="Q1728" i="12"/>
  <c r="Q1730" i="12"/>
  <c r="Q1732" i="12"/>
  <c r="Q1734" i="12"/>
  <c r="Q1736" i="12"/>
  <c r="Q1738" i="12"/>
  <c r="Q1740" i="12"/>
  <c r="Q1742" i="12"/>
  <c r="Q1744" i="12"/>
  <c r="Q1746" i="12"/>
  <c r="Q1748" i="12"/>
  <c r="Q1750" i="12"/>
  <c r="Q1752" i="12"/>
  <c r="Q1754" i="12"/>
  <c r="Q1756" i="12"/>
  <c r="Q1758" i="12"/>
  <c r="Q1760" i="12"/>
  <c r="Q1762" i="12"/>
  <c r="Q1764" i="12"/>
  <c r="Q1766" i="12"/>
  <c r="Q1768" i="12"/>
  <c r="Q1770" i="12"/>
  <c r="Q1772" i="12"/>
  <c r="Q1774" i="12"/>
  <c r="Q1776" i="12"/>
  <c r="Q1778" i="12"/>
  <c r="Q1780" i="12"/>
  <c r="Q1782" i="12"/>
  <c r="Q1784" i="12"/>
  <c r="Q1786" i="12"/>
  <c r="Q1788" i="12"/>
  <c r="Q1790" i="12"/>
  <c r="Q1792" i="12"/>
  <c r="Q1794" i="12"/>
  <c r="Q1796" i="12"/>
  <c r="Q1798" i="12"/>
  <c r="Q1800" i="12"/>
  <c r="Q1802" i="12"/>
  <c r="Q1804" i="12"/>
  <c r="Q1806" i="12"/>
  <c r="Q1808" i="12"/>
  <c r="Q1810" i="12"/>
  <c r="Q1812" i="12"/>
  <c r="Q1814" i="12"/>
  <c r="Q1816" i="12"/>
  <c r="Q1818" i="12"/>
  <c r="Q1820" i="12"/>
  <c r="Q1822" i="12"/>
  <c r="Q1824" i="12"/>
  <c r="Q1826" i="12"/>
  <c r="Q1828" i="12"/>
  <c r="Q1830" i="12"/>
  <c r="Q1832" i="12"/>
  <c r="Q1834" i="12"/>
  <c r="Q1836" i="12"/>
  <c r="Q1838" i="12"/>
  <c r="Q1840" i="12"/>
  <c r="Q1842" i="12"/>
  <c r="Q1844" i="12"/>
  <c r="Q1846" i="12"/>
  <c r="Q1848" i="12"/>
  <c r="Q1850" i="12"/>
  <c r="Q1852" i="12"/>
  <c r="Q1854" i="12"/>
  <c r="Q1856" i="12"/>
  <c r="Q1858" i="12"/>
  <c r="Q1860" i="12"/>
  <c r="Q1862" i="12"/>
  <c r="Q1864" i="12"/>
  <c r="Q1866" i="12"/>
  <c r="Q1868" i="12"/>
  <c r="Q1870" i="12"/>
  <c r="Q1872" i="12"/>
  <c r="Q1874" i="12"/>
  <c r="Q1876" i="12"/>
  <c r="Q1878" i="12"/>
  <c r="Q1880" i="12"/>
  <c r="Q1882" i="12"/>
  <c r="Q1884" i="12"/>
  <c r="Q1886" i="12"/>
  <c r="Q1888" i="12"/>
  <c r="Q1890" i="12"/>
  <c r="Q1892" i="12"/>
  <c r="Q1894" i="12"/>
  <c r="Q1896" i="12"/>
  <c r="Q1898" i="12"/>
  <c r="Q1900" i="12"/>
  <c r="Q1902" i="12"/>
  <c r="Q1904" i="12"/>
  <c r="Q1906" i="12"/>
  <c r="Q1908" i="12"/>
  <c r="Q1910" i="12"/>
  <c r="Q1912" i="12"/>
  <c r="Q1914" i="12"/>
  <c r="Q1916" i="12"/>
  <c r="Q1918" i="12"/>
  <c r="Q1920" i="12"/>
  <c r="Q1922" i="12"/>
  <c r="Q1924" i="12"/>
  <c r="Q1926" i="12"/>
  <c r="Q1928" i="12"/>
  <c r="Q1930" i="12"/>
  <c r="Q1932" i="12"/>
  <c r="Q1934" i="12"/>
  <c r="Q1936" i="12"/>
  <c r="Q1938" i="12"/>
  <c r="Q1940" i="12"/>
  <c r="Q1942" i="12"/>
  <c r="Q1944" i="12"/>
  <c r="Q1946" i="12"/>
  <c r="Q1948" i="12"/>
  <c r="Q1950" i="12"/>
  <c r="Q1952" i="12"/>
  <c r="Q1954" i="12"/>
  <c r="Q1956" i="12"/>
  <c r="Q1958" i="12"/>
  <c r="Q1960" i="12"/>
  <c r="Q1962" i="12"/>
  <c r="Q1964" i="12"/>
  <c r="Q1966" i="12"/>
  <c r="Q1968" i="12"/>
  <c r="Q1970" i="12"/>
  <c r="Q1972" i="12"/>
  <c r="Q1974" i="12"/>
  <c r="Q1976" i="12"/>
  <c r="Q1978" i="12"/>
  <c r="Q1980" i="12"/>
  <c r="Q1982" i="12"/>
  <c r="Q1984" i="12"/>
  <c r="Q1986" i="12"/>
  <c r="Q1988" i="12"/>
  <c r="Q1990" i="12"/>
  <c r="Q1992" i="12"/>
  <c r="Q1994" i="12"/>
  <c r="Q1996" i="12"/>
  <c r="Q1998" i="12"/>
  <c r="Q2000" i="12"/>
  <c r="Q2002" i="12"/>
  <c r="Q2004" i="12"/>
  <c r="Q2006" i="12"/>
  <c r="Q2008" i="12"/>
  <c r="Q2010" i="12"/>
  <c r="Q2012" i="12"/>
  <c r="Q2014" i="12"/>
  <c r="Q2016" i="12"/>
  <c r="Q2018" i="12"/>
  <c r="Q2020" i="12"/>
  <c r="Q2022" i="12"/>
  <c r="Q2024" i="12"/>
  <c r="Q2026" i="12"/>
  <c r="Q2028" i="12"/>
  <c r="Q2030" i="12"/>
  <c r="Q2032" i="12"/>
  <c r="Q2034" i="12"/>
  <c r="Q2036" i="12"/>
  <c r="Q2038" i="12"/>
  <c r="Q2040" i="12"/>
  <c r="Q2042" i="12"/>
  <c r="Q2044" i="12"/>
  <c r="Q2046" i="12"/>
  <c r="Q2048" i="12"/>
  <c r="Q2050" i="12"/>
  <c r="Q2052" i="12"/>
  <c r="Q2054" i="12"/>
  <c r="Q2056" i="12"/>
  <c r="Q2058" i="12"/>
  <c r="Q2060" i="12"/>
  <c r="Q2062" i="12"/>
  <c r="Q2064" i="12"/>
  <c r="Q2066" i="12"/>
  <c r="Q2068" i="12"/>
  <c r="Q2070" i="12"/>
  <c r="Q2072" i="12"/>
  <c r="Q2074" i="12"/>
  <c r="Q2076" i="12"/>
  <c r="Q2078" i="12"/>
  <c r="Q2080" i="12"/>
  <c r="Q2082" i="12"/>
  <c r="Q2084" i="12"/>
  <c r="Q2086" i="12"/>
  <c r="Q2088" i="12"/>
  <c r="Q2090" i="12"/>
  <c r="Q2092" i="12"/>
  <c r="Q2094" i="12"/>
  <c r="Q2096" i="12"/>
  <c r="Q2098" i="12"/>
  <c r="Q2100" i="12"/>
  <c r="Q2102" i="12"/>
  <c r="Q2104" i="12"/>
  <c r="Q2106" i="12"/>
  <c r="Q2108" i="12"/>
  <c r="Q2110" i="12"/>
  <c r="Q2112" i="12"/>
  <c r="Q2114" i="12"/>
  <c r="Q2116" i="12"/>
  <c r="Q2118" i="12"/>
  <c r="Q2120" i="12"/>
  <c r="Q2122" i="12"/>
  <c r="Q2124" i="12"/>
  <c r="Q2126" i="12"/>
  <c r="Q2128" i="12"/>
  <c r="Q2130" i="12"/>
  <c r="Q2132" i="12"/>
  <c r="Q2134" i="12"/>
  <c r="Q2136" i="12"/>
  <c r="Q2138" i="12"/>
  <c r="Q2140" i="12"/>
  <c r="Q2142" i="12"/>
  <c r="Q2144" i="12"/>
  <c r="Q2146" i="12"/>
  <c r="Q2148" i="12"/>
  <c r="Q2150" i="12"/>
  <c r="Q2152" i="12"/>
  <c r="Q2154" i="12"/>
  <c r="Q2156" i="12"/>
  <c r="Q2158" i="12"/>
  <c r="Q2160" i="12"/>
  <c r="Q2162" i="12"/>
  <c r="Q2164" i="12"/>
  <c r="Q2166" i="12"/>
  <c r="Q2168" i="12"/>
  <c r="Q2170" i="12"/>
  <c r="Q2172" i="12"/>
  <c r="Q2174" i="12"/>
  <c r="Q2176" i="12"/>
  <c r="Q2178" i="12"/>
  <c r="Q2180" i="12"/>
  <c r="Q2182" i="12"/>
  <c r="Q2184" i="12"/>
  <c r="Q2186" i="12"/>
  <c r="Q2188" i="12"/>
  <c r="Q2190" i="12"/>
  <c r="Q2192" i="12"/>
  <c r="Q2194" i="12"/>
  <c r="Q2196" i="12"/>
  <c r="Q2198" i="12"/>
  <c r="Q2200" i="12"/>
  <c r="Q2202" i="12"/>
  <c r="Q2204" i="12"/>
  <c r="Q2206" i="12"/>
  <c r="Q2208" i="12"/>
  <c r="Q2210" i="12"/>
  <c r="Q2212" i="12"/>
  <c r="Q2214" i="12"/>
  <c r="Q2216" i="12"/>
  <c r="Q2218" i="12"/>
  <c r="Q2220" i="12"/>
  <c r="Q2222" i="12"/>
  <c r="Q2224" i="12"/>
  <c r="Q2226" i="12"/>
  <c r="Q2228" i="12"/>
  <c r="Q2230" i="12"/>
  <c r="Q2232" i="12"/>
  <c r="Q2234" i="12"/>
  <c r="Q2236" i="12"/>
  <c r="Q2238" i="12"/>
  <c r="Q2240" i="12"/>
  <c r="Q2242" i="12"/>
  <c r="Q2244" i="12"/>
  <c r="Q2246" i="12"/>
  <c r="Q2248" i="12"/>
  <c r="Q2250" i="12"/>
  <c r="Q2252" i="12"/>
  <c r="Q2254" i="12"/>
  <c r="Q2256" i="12"/>
  <c r="Q2258" i="12"/>
  <c r="Q2260" i="12"/>
  <c r="Q2262" i="12"/>
  <c r="Q2264" i="12"/>
  <c r="Q2266" i="12"/>
  <c r="Q2268" i="12"/>
  <c r="Q2270" i="12"/>
  <c r="Q2272" i="12"/>
  <c r="Q2274" i="12"/>
  <c r="Q2276" i="12"/>
  <c r="Q2278" i="12"/>
  <c r="Q2280" i="12"/>
  <c r="Q2282" i="12"/>
  <c r="Q2284" i="12"/>
  <c r="Q2286" i="12"/>
  <c r="Q2288" i="12"/>
  <c r="Q2290" i="12"/>
  <c r="Q2292" i="12"/>
  <c r="Q2294" i="12"/>
  <c r="Q2296" i="12"/>
  <c r="Q2298" i="12"/>
  <c r="Q2300" i="12"/>
  <c r="Q2302" i="12"/>
  <c r="Q2304" i="12"/>
  <c r="Q2306" i="12"/>
  <c r="Q2308" i="12"/>
  <c r="Q2310" i="12"/>
  <c r="Q2312" i="12"/>
  <c r="Q2314" i="12"/>
  <c r="Q2316" i="12"/>
  <c r="Q2318" i="12"/>
  <c r="Q2320" i="12"/>
  <c r="Q2322" i="12"/>
  <c r="Q2324" i="12"/>
  <c r="Q2326" i="12"/>
  <c r="Q2328" i="12"/>
  <c r="Q2330" i="12"/>
  <c r="Q2332" i="12"/>
  <c r="Q2334" i="12"/>
  <c r="Q2336" i="12"/>
  <c r="Q2338" i="12"/>
  <c r="Q2340" i="12"/>
  <c r="Q2342" i="12"/>
  <c r="Q2344" i="12"/>
  <c r="Q2346" i="12"/>
  <c r="Q2348" i="12"/>
  <c r="Q2350" i="12"/>
  <c r="Q2352" i="12"/>
  <c r="Q2354" i="12"/>
  <c r="Q2356" i="12"/>
  <c r="Q2358" i="12"/>
  <c r="Q2360" i="12"/>
  <c r="Q2362" i="12"/>
  <c r="Q2364" i="12"/>
  <c r="Q2366" i="12"/>
  <c r="Q2368" i="12"/>
  <c r="Q2370" i="12"/>
  <c r="Q2372" i="12"/>
  <c r="Q2374" i="12"/>
  <c r="Q2376" i="12"/>
  <c r="Q2378" i="12"/>
  <c r="Q2380" i="12"/>
  <c r="Q2382" i="12"/>
  <c r="Q2384" i="12"/>
  <c r="Q2386" i="12"/>
  <c r="Q2388" i="12"/>
  <c r="Q2390" i="12"/>
  <c r="Q2392" i="12"/>
  <c r="Q2394" i="12"/>
  <c r="Q2396" i="12"/>
  <c r="Q2398" i="12"/>
  <c r="Q2400" i="12"/>
  <c r="Q2402" i="12"/>
  <c r="Q2404" i="12"/>
  <c r="Q2406" i="12"/>
  <c r="Q2408" i="12"/>
  <c r="Q2410" i="12"/>
  <c r="Q2412" i="12"/>
  <c r="Q2414" i="12"/>
  <c r="Q2416" i="12"/>
  <c r="Q2418" i="12"/>
  <c r="Q2420" i="12"/>
  <c r="Q2422" i="12"/>
  <c r="Q2424" i="12"/>
  <c r="Q2426" i="12"/>
  <c r="Q2428" i="12"/>
  <c r="Q2430" i="12"/>
  <c r="Q2432" i="12"/>
  <c r="Q2434" i="12"/>
  <c r="Q2436" i="12"/>
  <c r="Q2438" i="12"/>
  <c r="Q2440" i="12"/>
  <c r="Q2442" i="12"/>
  <c r="Q2444" i="12"/>
  <c r="Q2446" i="12"/>
  <c r="Q2448" i="12"/>
  <c r="Q2450" i="12"/>
  <c r="Q2452" i="12"/>
  <c r="Q2454" i="12"/>
  <c r="Q2456" i="12"/>
  <c r="Q2458" i="12"/>
  <c r="Q2460" i="12"/>
  <c r="Q2462" i="12"/>
  <c r="Q2464" i="12"/>
  <c r="Q2466" i="12"/>
  <c r="Q2468" i="12"/>
  <c r="Q2470" i="12"/>
  <c r="Q2472" i="12"/>
  <c r="Q2474" i="12"/>
  <c r="Q2476" i="12"/>
  <c r="Q2478" i="12"/>
  <c r="Q2480" i="12"/>
  <c r="Q2482" i="12"/>
  <c r="Q2484" i="12"/>
  <c r="Q2486" i="12"/>
  <c r="Q2488" i="12"/>
  <c r="Q2490" i="12"/>
  <c r="Q2492" i="12"/>
  <c r="Q2494" i="12"/>
  <c r="Q2496" i="12"/>
  <c r="Q2498" i="12"/>
  <c r="Q2500" i="12"/>
  <c r="Q2502" i="12"/>
  <c r="Q2504" i="12"/>
  <c r="Q2506" i="12"/>
  <c r="Q2508" i="12"/>
  <c r="Q2510" i="12"/>
  <c r="Q2512" i="12"/>
  <c r="Q2514" i="12"/>
  <c r="Q2516" i="12"/>
  <c r="Q2518" i="12"/>
  <c r="Q2520" i="12"/>
  <c r="Q2522" i="12"/>
  <c r="Q2524" i="12"/>
  <c r="Q2526" i="12"/>
  <c r="Q2528" i="12"/>
  <c r="Q2530" i="12"/>
  <c r="Q2532" i="12"/>
  <c r="Q2534" i="12"/>
  <c r="Q2536" i="12"/>
  <c r="Q2538" i="12"/>
  <c r="Q2540" i="12"/>
  <c r="Q2542" i="12"/>
  <c r="Q2544" i="12"/>
  <c r="Q2546" i="12"/>
  <c r="Q2548" i="12"/>
  <c r="Q2550" i="12"/>
  <c r="Q2552" i="12"/>
  <c r="Q2554" i="12"/>
  <c r="Q2556" i="12"/>
  <c r="Q2558" i="12"/>
  <c r="Q2560" i="12"/>
  <c r="Q2562" i="12"/>
  <c r="Q2564" i="12"/>
  <c r="Q2566" i="12"/>
  <c r="Q2568" i="12"/>
  <c r="Q2570" i="12"/>
  <c r="Q2572" i="12"/>
  <c r="Q2574" i="12"/>
  <c r="Q2576" i="12"/>
  <c r="Q2578" i="12"/>
  <c r="Q2580" i="12"/>
  <c r="Q2582" i="12"/>
  <c r="Q2584" i="12"/>
  <c r="Q2586" i="12"/>
  <c r="Q2588" i="12"/>
  <c r="Q2590" i="12"/>
  <c r="Q2592" i="12"/>
  <c r="Q2594" i="12"/>
  <c r="Q2596" i="12"/>
  <c r="Q2598" i="12"/>
  <c r="Q2600" i="12"/>
  <c r="Q2602" i="12"/>
  <c r="Q2604" i="12"/>
  <c r="Q2606" i="12"/>
  <c r="Q2608" i="12"/>
  <c r="Q2610" i="12"/>
  <c r="Q2612" i="12"/>
  <c r="Q2614" i="12"/>
  <c r="Q2616" i="12"/>
  <c r="Q2618" i="12"/>
  <c r="Q2620" i="12"/>
  <c r="Q2622" i="12"/>
  <c r="Q2624" i="12"/>
  <c r="Q2626" i="12"/>
  <c r="Q2628" i="12"/>
  <c r="Q2630" i="12"/>
  <c r="Q2632" i="12"/>
  <c r="Q2634" i="12"/>
  <c r="Q2636" i="12"/>
  <c r="Q2638" i="12"/>
  <c r="Q2640" i="12"/>
  <c r="Q2642" i="12"/>
  <c r="Q2644" i="12"/>
  <c r="Q2646" i="12"/>
  <c r="Q2648" i="12"/>
  <c r="Q2650" i="12"/>
  <c r="Q2652" i="12"/>
  <c r="Q2654" i="12"/>
  <c r="Q2656" i="12"/>
  <c r="Q2658" i="12"/>
  <c r="Q2660" i="12"/>
  <c r="Q2662" i="12"/>
  <c r="Q2664" i="12"/>
  <c r="Q2666" i="12"/>
  <c r="Q2668" i="12"/>
  <c r="Q2670" i="12"/>
  <c r="Q2672" i="12"/>
  <c r="Q2674" i="12"/>
  <c r="Q2676" i="12"/>
  <c r="Q2678" i="12"/>
  <c r="Q2680" i="12"/>
  <c r="Q2682" i="12"/>
  <c r="Q2684" i="12"/>
  <c r="Q2686" i="12"/>
  <c r="Q2688" i="12"/>
  <c r="Q2690" i="12"/>
  <c r="Q2692" i="12"/>
  <c r="Q2694" i="12"/>
  <c r="Q2696" i="12"/>
  <c r="Q2698" i="12"/>
  <c r="Q2700" i="12"/>
  <c r="Q2702" i="12"/>
  <c r="Q2704" i="12"/>
  <c r="Q2706" i="12"/>
  <c r="Q2708" i="12"/>
  <c r="Q2710" i="12"/>
  <c r="Q2712" i="12"/>
  <c r="Q2714" i="12"/>
  <c r="Q2716" i="12"/>
  <c r="Q2718" i="12"/>
  <c r="Q2720" i="12"/>
  <c r="Q2722" i="12"/>
  <c r="Q2724" i="12"/>
  <c r="Q2726" i="12"/>
  <c r="Q2728" i="12"/>
  <c r="Q2730" i="12"/>
  <c r="Q2732" i="12"/>
  <c r="Q2734" i="12"/>
  <c r="Q2736" i="12"/>
  <c r="Q2738" i="12"/>
  <c r="Q2740" i="12"/>
  <c r="Q2742" i="12"/>
  <c r="Q2744" i="12"/>
  <c r="Q2746" i="12"/>
  <c r="Q2748" i="12"/>
  <c r="Q2750" i="12"/>
  <c r="Q2752" i="12"/>
  <c r="Q2754" i="12"/>
  <c r="Q2756" i="12"/>
  <c r="Q2758" i="12"/>
  <c r="Q2760" i="12"/>
  <c r="Q2762" i="12"/>
  <c r="Q2764" i="12"/>
  <c r="Q2766" i="12"/>
  <c r="Q2768" i="12"/>
  <c r="Q2770" i="12"/>
  <c r="Q2772" i="12"/>
  <c r="Q2774" i="12"/>
  <c r="Q2776" i="12"/>
  <c r="Q2778" i="12"/>
  <c r="Q2780" i="12"/>
  <c r="Q2782" i="12"/>
  <c r="Q2784" i="12"/>
  <c r="Q2786" i="12"/>
  <c r="Q2788" i="12"/>
  <c r="Q2790" i="12"/>
  <c r="Q2792" i="12"/>
  <c r="Q2794" i="12"/>
  <c r="Q2796" i="12"/>
  <c r="Q2798" i="12"/>
  <c r="Q2800" i="12"/>
  <c r="Q2802" i="12"/>
  <c r="Q2804" i="12"/>
  <c r="Q2806" i="12"/>
  <c r="Q2808" i="12"/>
  <c r="Q2810" i="12"/>
  <c r="Q2812" i="12"/>
  <c r="Q2814" i="12"/>
  <c r="Q2816" i="12"/>
  <c r="Q2818" i="12"/>
  <c r="Q2820" i="12"/>
  <c r="Q2822" i="12"/>
  <c r="Q2824" i="12"/>
  <c r="Q2826" i="12"/>
  <c r="Q2828" i="12"/>
  <c r="Q2830" i="12"/>
  <c r="Q2832" i="12"/>
  <c r="Q2834" i="12"/>
  <c r="Q2836" i="12"/>
  <c r="Q2838" i="12"/>
  <c r="Q2840" i="12"/>
  <c r="Q2842" i="12"/>
  <c r="Q2844" i="12"/>
  <c r="Q2846" i="12"/>
  <c r="Q2848" i="12"/>
  <c r="Q2850" i="12"/>
  <c r="Q2852" i="12"/>
  <c r="Q2854" i="12"/>
  <c r="Q2856" i="12"/>
  <c r="Q2858" i="12"/>
  <c r="Q2860" i="12"/>
  <c r="Q2862" i="12"/>
  <c r="Q2864" i="12"/>
  <c r="Q2866" i="12"/>
  <c r="Q2868" i="12"/>
  <c r="Q2870" i="12"/>
  <c r="Q2872" i="12"/>
  <c r="Q2874" i="12"/>
  <c r="Q2876" i="12"/>
  <c r="Q2878" i="12"/>
  <c r="Q2880" i="12"/>
  <c r="Q2882" i="12"/>
  <c r="Q2884" i="12"/>
  <c r="Q2886" i="12"/>
  <c r="Q2888" i="12"/>
  <c r="Q2890" i="12"/>
  <c r="Q2892" i="12"/>
  <c r="Q2894" i="12"/>
  <c r="Q2896" i="12"/>
  <c r="Q2898" i="12"/>
  <c r="Q2900" i="12"/>
  <c r="Q2902" i="12"/>
  <c r="Q2904" i="12"/>
  <c r="Q2906" i="12"/>
  <c r="Q2908" i="12"/>
  <c r="Q2910" i="12"/>
  <c r="Q2912" i="12"/>
  <c r="Q2914" i="12"/>
  <c r="Q2916" i="12"/>
  <c r="Q2918" i="12"/>
  <c r="Q2920" i="12"/>
  <c r="Q2922" i="12"/>
  <c r="Q2924" i="12"/>
  <c r="Q2926" i="12"/>
  <c r="Q2928" i="12"/>
  <c r="Q2930" i="12"/>
  <c r="Q2932" i="12"/>
  <c r="Q2934" i="12"/>
  <c r="Q2936" i="12"/>
  <c r="Q2938" i="12"/>
  <c r="Q2940" i="12"/>
  <c r="Q2942" i="12"/>
  <c r="Q2944" i="12"/>
  <c r="Q2946" i="12"/>
  <c r="Q2948" i="12"/>
  <c r="Q2950" i="12"/>
  <c r="Q2952" i="12"/>
  <c r="Q2954" i="12"/>
  <c r="Q2956" i="12"/>
  <c r="Q2958" i="12"/>
  <c r="Q2960" i="12"/>
  <c r="Q2962" i="12"/>
  <c r="Q2964" i="12"/>
  <c r="Q2966" i="12"/>
  <c r="Q2968" i="12"/>
  <c r="Q2970" i="12"/>
  <c r="Q2972" i="12"/>
  <c r="Q2974" i="12"/>
  <c r="Q2976" i="12"/>
  <c r="Q2978" i="12"/>
  <c r="Q2980" i="12"/>
  <c r="Q2982" i="12"/>
  <c r="Q2984" i="12"/>
  <c r="Q2986" i="12"/>
  <c r="Q2988" i="12"/>
  <c r="Q2990" i="12"/>
  <c r="Q2992" i="12"/>
  <c r="Q2994" i="12"/>
  <c r="Q2996" i="12"/>
  <c r="Q2998" i="12"/>
  <c r="Q3000" i="12"/>
  <c r="Q3002" i="12"/>
  <c r="Q3004" i="12"/>
  <c r="Q3006" i="12"/>
  <c r="Q3008" i="12"/>
  <c r="Q3010" i="12"/>
  <c r="Q3012" i="12"/>
  <c r="Q3014" i="12"/>
  <c r="Q3016" i="12"/>
  <c r="Q3018" i="12"/>
  <c r="Q3020" i="12"/>
  <c r="Q3022" i="12"/>
  <c r="Q3024" i="12"/>
  <c r="Q3026" i="12"/>
  <c r="Q3028" i="12"/>
  <c r="Q3030" i="12"/>
  <c r="Q3032" i="12"/>
  <c r="Q3034" i="12"/>
  <c r="Q3036" i="12"/>
  <c r="Q3038" i="12"/>
  <c r="Q3040" i="12"/>
  <c r="Q3042" i="12"/>
  <c r="Q3044" i="12"/>
  <c r="Q3046" i="12"/>
  <c r="Q3048" i="12"/>
  <c r="Q3050" i="12"/>
  <c r="Q3052" i="12"/>
  <c r="Q3054" i="12"/>
  <c r="Q3056" i="12"/>
  <c r="Q3058" i="12"/>
  <c r="Q3060" i="12"/>
  <c r="Q3062" i="12"/>
  <c r="Q3064" i="12"/>
  <c r="Q3066" i="12"/>
  <c r="Q3068" i="12"/>
  <c r="Q3070" i="12"/>
  <c r="Q3072" i="12"/>
  <c r="Q3074" i="12"/>
  <c r="Q3076" i="12"/>
  <c r="Q3078" i="12"/>
  <c r="Q3080" i="12"/>
  <c r="Q3082" i="12"/>
  <c r="Q3084" i="12"/>
  <c r="Q3086" i="12"/>
  <c r="Q3088" i="12"/>
  <c r="Q3090" i="12"/>
  <c r="Q3092" i="12"/>
  <c r="Q3094" i="12"/>
  <c r="Q3096" i="12"/>
  <c r="Q3098" i="12"/>
  <c r="Q3100" i="12"/>
  <c r="Q3102" i="12"/>
  <c r="Q3104" i="12"/>
  <c r="Q3106" i="12"/>
  <c r="Q3108" i="12"/>
  <c r="Q3110" i="12"/>
  <c r="Q3112" i="12"/>
  <c r="Q3114" i="12"/>
  <c r="Q3116" i="12"/>
  <c r="Q3118" i="12"/>
  <c r="Q3120" i="12"/>
  <c r="Q3122" i="12"/>
  <c r="Q3124" i="12"/>
  <c r="Q3126" i="12"/>
  <c r="Q3128" i="12"/>
  <c r="Q3130" i="12"/>
  <c r="Q3132" i="12"/>
  <c r="Q3134" i="12"/>
  <c r="Q3136" i="12"/>
  <c r="Q3138" i="12"/>
  <c r="Q3140" i="12"/>
  <c r="Q3142" i="12"/>
  <c r="Q3144" i="12"/>
  <c r="Q3146" i="12"/>
  <c r="Q3148" i="12"/>
  <c r="Q3150" i="12"/>
  <c r="Q3152" i="12"/>
  <c r="Q3154" i="12"/>
  <c r="Q3156" i="12"/>
  <c r="Q3158" i="12"/>
  <c r="Q3160" i="12"/>
  <c r="Q3162" i="12"/>
  <c r="Q3164" i="12"/>
  <c r="Q3166" i="12"/>
  <c r="Q3168" i="12"/>
  <c r="Q3170" i="12"/>
  <c r="Q3172" i="12"/>
  <c r="Q3174" i="12"/>
  <c r="Q3176" i="12"/>
  <c r="Q3178" i="12"/>
  <c r="Q3180" i="12"/>
  <c r="Q3182" i="12"/>
  <c r="Q3184" i="12"/>
  <c r="Q3186" i="12"/>
  <c r="Q3188" i="12"/>
  <c r="Q3190" i="12"/>
  <c r="Q3192" i="12"/>
  <c r="Q3194" i="12"/>
  <c r="Q3196" i="12"/>
  <c r="Q3198" i="12"/>
  <c r="Q3200" i="12"/>
  <c r="Q3202" i="12"/>
  <c r="Q3204" i="12"/>
  <c r="Q3206" i="12"/>
  <c r="Q3208" i="12"/>
  <c r="Q3210" i="12"/>
  <c r="Q3212" i="12"/>
  <c r="Q3214" i="12"/>
  <c r="Q3216" i="12"/>
  <c r="Q3218" i="12"/>
  <c r="Q3220" i="12"/>
  <c r="Q3222" i="12"/>
  <c r="Q3224" i="12"/>
  <c r="Q3226" i="12"/>
  <c r="Q3228" i="12"/>
  <c r="Q3230" i="12"/>
  <c r="Q3232" i="12"/>
  <c r="Q3234" i="12"/>
  <c r="Q3236" i="12"/>
  <c r="Q3238" i="12"/>
  <c r="Q3240" i="12"/>
  <c r="Q3242" i="12"/>
  <c r="Q3244" i="12"/>
  <c r="Q3246" i="12"/>
  <c r="Q3248" i="12"/>
  <c r="Q3250" i="12"/>
  <c r="Q3252" i="12"/>
  <c r="Q3254" i="12"/>
  <c r="Q3256" i="12"/>
  <c r="Q3258" i="12"/>
  <c r="Q3260" i="12"/>
  <c r="Q3262" i="12"/>
  <c r="Q3264" i="12"/>
  <c r="Q3266" i="12"/>
  <c r="Q3268" i="12"/>
  <c r="Q3270" i="12"/>
  <c r="Q3272" i="12"/>
  <c r="Q3274" i="12"/>
  <c r="Q3276" i="12"/>
  <c r="Q3278" i="12"/>
  <c r="Q3280" i="12"/>
  <c r="Q3282" i="12"/>
  <c r="Q3284" i="12"/>
  <c r="Q3286" i="12"/>
  <c r="Q3288" i="12"/>
  <c r="Q3290" i="12"/>
  <c r="Q3292" i="12"/>
  <c r="Q3294" i="12"/>
  <c r="Q3296" i="12"/>
  <c r="Q3298" i="12"/>
  <c r="Q3300" i="12"/>
  <c r="Q3302" i="12"/>
  <c r="Q3304" i="12"/>
  <c r="Q3306" i="12"/>
  <c r="Q3308" i="12"/>
  <c r="Q3310" i="12"/>
  <c r="Q3312" i="12"/>
  <c r="Q3314" i="12"/>
  <c r="Q3316" i="12"/>
  <c r="Q3318" i="12"/>
  <c r="Q3320" i="12"/>
  <c r="Q3322" i="12"/>
  <c r="Q3324" i="12"/>
  <c r="Q3326" i="12"/>
  <c r="Q3328" i="12"/>
  <c r="Q3330" i="12"/>
  <c r="Q3332" i="12"/>
  <c r="Q3334" i="12"/>
  <c r="Q3336" i="12"/>
  <c r="Q3338" i="12"/>
  <c r="Q3340" i="12"/>
  <c r="Q3342" i="12"/>
  <c r="Q3344" i="12"/>
  <c r="Q3346" i="12"/>
  <c r="Q3348" i="12"/>
  <c r="Q3350" i="12"/>
  <c r="Q3352" i="12"/>
  <c r="Q3354" i="12"/>
  <c r="Q3356" i="12"/>
  <c r="Q3358" i="12"/>
  <c r="Q3360" i="12"/>
  <c r="Q3362" i="12"/>
  <c r="Q3364" i="12"/>
  <c r="Q3366" i="12"/>
  <c r="Q3368" i="12"/>
  <c r="Q3370" i="12"/>
  <c r="Q3372" i="12"/>
  <c r="Q3374" i="12"/>
  <c r="Q3376" i="12"/>
  <c r="Q3378" i="12"/>
  <c r="Q3380" i="12"/>
  <c r="Q3382" i="12"/>
  <c r="Q3384" i="12"/>
  <c r="Q3386" i="12"/>
  <c r="Q3388" i="12"/>
  <c r="Q3390" i="12"/>
  <c r="Q3392" i="12"/>
  <c r="Q3394" i="12"/>
  <c r="Q3396" i="12"/>
  <c r="Q3398" i="12"/>
  <c r="Q3400" i="12"/>
  <c r="Q3402" i="12"/>
  <c r="Q3404" i="12"/>
  <c r="Q3406" i="12"/>
  <c r="Q3408" i="12"/>
  <c r="Q3410" i="12"/>
  <c r="Q3412" i="12"/>
  <c r="Q3414" i="12"/>
  <c r="Q3416" i="12"/>
  <c r="Q3418" i="12"/>
  <c r="Q3420" i="12"/>
  <c r="Q3422" i="12"/>
  <c r="Q3424" i="12"/>
  <c r="Q3426" i="12"/>
  <c r="Q3428" i="12"/>
  <c r="Q3430" i="12"/>
  <c r="Q3432" i="12"/>
  <c r="Q3434" i="12"/>
  <c r="Q3436" i="12"/>
  <c r="Q3438" i="12"/>
  <c r="Q3440" i="12"/>
  <c r="Q3442" i="12"/>
  <c r="Q3444" i="12"/>
  <c r="Q3446" i="12"/>
  <c r="Q3448" i="12"/>
  <c r="Q3450" i="12"/>
  <c r="Q3452" i="12"/>
  <c r="Q3454" i="12"/>
  <c r="Q3456" i="12"/>
  <c r="Q3458" i="12"/>
  <c r="Q3460" i="12"/>
  <c r="Q3462" i="12"/>
  <c r="Q3464" i="12"/>
  <c r="Q3466" i="12"/>
  <c r="Q3468" i="12"/>
  <c r="Q3470" i="12"/>
  <c r="Q3472" i="12"/>
  <c r="Q3474" i="12"/>
  <c r="Q3476" i="12"/>
  <c r="Q3478" i="12"/>
  <c r="Q3480" i="12"/>
  <c r="Q3482" i="12"/>
  <c r="Q3484" i="12"/>
  <c r="Q3486" i="12"/>
  <c r="Q3488" i="12"/>
  <c r="Q3490" i="12"/>
  <c r="Q3492" i="12"/>
  <c r="Q3494" i="12"/>
  <c r="Q3496" i="12"/>
  <c r="Q3498" i="12"/>
  <c r="Q3500" i="12"/>
  <c r="Q3502" i="12"/>
  <c r="Q3504" i="12"/>
  <c r="Q3506" i="12"/>
  <c r="Q3508" i="12"/>
  <c r="Q3510" i="12"/>
  <c r="Q3512" i="12"/>
  <c r="Q3514" i="12"/>
  <c r="Q3516" i="12"/>
  <c r="Q3518" i="12"/>
  <c r="Q3520" i="12"/>
  <c r="Q3522" i="12"/>
  <c r="Q3524" i="12"/>
  <c r="Q3526" i="12"/>
  <c r="Q3528" i="12"/>
  <c r="Q3530" i="12"/>
  <c r="Q3532" i="12"/>
  <c r="Q3534" i="12"/>
  <c r="Q3536" i="12"/>
  <c r="Q3538" i="12"/>
  <c r="Q3540" i="12"/>
  <c r="Q3542" i="12"/>
  <c r="Q3544" i="12"/>
  <c r="Q3546" i="12"/>
  <c r="Q3548" i="12"/>
  <c r="Q3550" i="12"/>
  <c r="Q3552" i="12"/>
  <c r="Q3554" i="12"/>
  <c r="Q3556" i="12"/>
  <c r="Q3558" i="12"/>
  <c r="Q3560" i="12"/>
  <c r="Q3562" i="12"/>
  <c r="Q3564" i="12"/>
  <c r="Q3566" i="12"/>
  <c r="Q3568" i="12"/>
  <c r="Q3570" i="12"/>
  <c r="Q3572" i="12"/>
  <c r="Q3574" i="12"/>
  <c r="Q3576" i="12"/>
  <c r="Q3578" i="12"/>
  <c r="Q3580" i="12"/>
  <c r="Q3582" i="12"/>
  <c r="Q3584" i="12"/>
  <c r="Q3586" i="12"/>
  <c r="Q3588" i="12"/>
  <c r="Q3590" i="12"/>
  <c r="Q3592" i="12"/>
  <c r="Q3594" i="12"/>
  <c r="Q3596" i="12"/>
  <c r="Q3598" i="12"/>
  <c r="Q3600" i="12"/>
  <c r="Q3602" i="12"/>
  <c r="Q3604" i="12"/>
  <c r="Q3606" i="12"/>
  <c r="Q3608" i="12"/>
  <c r="Q11" i="12"/>
  <c r="Q13" i="12"/>
  <c r="Q17" i="12"/>
  <c r="Q19" i="12"/>
  <c r="Q21" i="12"/>
  <c r="Q23" i="12"/>
  <c r="Q25" i="12"/>
  <c r="Q27" i="12"/>
  <c r="Q29" i="12"/>
  <c r="Q31" i="12"/>
  <c r="Q33" i="12"/>
  <c r="Q35" i="12"/>
  <c r="Q37" i="12"/>
  <c r="Q39" i="12"/>
  <c r="Q41" i="12"/>
  <c r="Q43" i="12"/>
  <c r="Q45" i="12"/>
  <c r="Q47" i="12"/>
  <c r="Q49" i="12"/>
  <c r="Q51" i="12"/>
  <c r="Q53" i="12"/>
  <c r="Q55" i="12"/>
  <c r="Q57" i="12"/>
  <c r="Q59" i="12"/>
  <c r="Q61" i="12"/>
  <c r="Q63" i="12"/>
  <c r="Q65" i="12"/>
  <c r="Q67" i="12"/>
  <c r="Q69" i="12"/>
  <c r="Q71" i="12"/>
  <c r="Q73" i="12"/>
  <c r="Q75" i="12"/>
  <c r="Q77" i="12"/>
  <c r="Q79" i="12"/>
  <c r="Q81" i="12"/>
  <c r="Q83" i="12"/>
  <c r="Q85" i="12"/>
  <c r="Q87" i="12"/>
  <c r="Q89" i="12"/>
  <c r="Q91" i="12"/>
  <c r="Q93" i="12"/>
  <c r="Q95" i="12"/>
  <c r="Q97" i="12"/>
  <c r="Q99" i="12"/>
  <c r="Q101" i="12"/>
  <c r="Q103" i="12"/>
  <c r="Q105" i="12"/>
  <c r="Q107" i="12"/>
  <c r="Q109" i="12"/>
  <c r="Q111" i="12"/>
  <c r="Q113" i="12"/>
  <c r="Q115" i="12"/>
  <c r="Q117" i="12"/>
  <c r="Q119" i="12"/>
  <c r="Q121" i="12"/>
  <c r="Q123" i="12"/>
  <c r="Q125" i="12"/>
  <c r="Q127" i="12"/>
  <c r="Q129" i="12"/>
  <c r="Q131" i="12"/>
  <c r="Q133" i="12"/>
  <c r="Q135" i="12"/>
  <c r="Q137" i="12"/>
  <c r="Q139" i="12"/>
  <c r="Q141" i="12"/>
  <c r="Q143" i="12"/>
  <c r="Q145" i="12"/>
  <c r="Q147" i="12"/>
  <c r="Q149" i="12"/>
  <c r="Q151" i="12"/>
  <c r="Q153" i="12"/>
  <c r="Q155" i="12"/>
  <c r="Q157" i="12"/>
  <c r="Q159" i="12"/>
  <c r="Q161" i="12"/>
  <c r="Q163" i="12"/>
  <c r="Q165" i="12"/>
  <c r="Q167" i="12"/>
  <c r="Q169" i="12"/>
  <c r="Q171" i="12"/>
  <c r="Q173" i="12"/>
  <c r="Q175" i="12"/>
  <c r="Q177" i="12"/>
  <c r="Q179" i="12"/>
  <c r="Q181" i="12"/>
  <c r="Q183" i="12"/>
  <c r="Q185" i="12"/>
  <c r="Q187" i="12"/>
  <c r="Q189" i="12"/>
  <c r="Q191" i="12"/>
  <c r="Q193" i="12"/>
  <c r="Q195" i="12"/>
  <c r="Q197" i="12"/>
  <c r="Q199" i="12"/>
  <c r="Q201" i="12"/>
  <c r="Q203" i="12"/>
  <c r="Q205" i="12"/>
  <c r="Q207" i="12"/>
  <c r="Q209" i="12"/>
  <c r="Q211" i="12"/>
  <c r="Q213" i="12"/>
  <c r="Q215" i="12"/>
  <c r="Q217" i="12"/>
  <c r="Q219" i="12"/>
  <c r="Q221" i="12"/>
  <c r="Q223" i="12"/>
  <c r="Q225" i="12"/>
  <c r="Q227" i="12"/>
  <c r="Q229" i="12"/>
  <c r="Q231" i="12"/>
  <c r="Q233" i="12"/>
  <c r="Q235" i="12"/>
  <c r="Q237" i="12"/>
  <c r="Q239" i="12"/>
  <c r="Q241" i="12"/>
  <c r="Q243" i="12"/>
  <c r="Q245" i="12"/>
  <c r="Q247" i="12"/>
  <c r="Q249" i="12"/>
  <c r="Q251" i="12"/>
  <c r="Q253" i="12"/>
  <c r="Q255" i="12"/>
  <c r="Q257" i="12"/>
  <c r="Q259" i="12"/>
  <c r="Q261" i="12"/>
  <c r="Q263" i="12"/>
  <c r="Q265" i="12"/>
  <c r="Q267" i="12"/>
  <c r="Q269" i="12"/>
  <c r="Q271" i="12"/>
  <c r="Q273" i="12"/>
  <c r="Q275" i="12"/>
  <c r="Q277" i="12"/>
  <c r="Q279" i="12"/>
  <c r="Q281" i="12"/>
  <c r="Q283" i="12"/>
  <c r="Q285" i="12"/>
  <c r="Q287" i="12"/>
  <c r="Q289" i="12"/>
  <c r="Q291" i="12"/>
  <c r="Q293" i="12"/>
  <c r="Q295" i="12"/>
  <c r="Q297" i="12"/>
  <c r="Q299" i="12"/>
  <c r="Q301" i="12"/>
  <c r="Q303" i="12"/>
  <c r="Q305" i="12"/>
  <c r="Q307" i="12"/>
  <c r="Q309" i="12"/>
  <c r="Q311" i="12"/>
  <c r="Q313" i="12"/>
  <c r="Q315" i="12"/>
  <c r="Q317" i="12"/>
  <c r="Q319" i="12"/>
  <c r="Q321" i="12"/>
  <c r="Q323" i="12"/>
  <c r="Q325" i="12"/>
  <c r="Q327" i="12"/>
  <c r="Q329" i="12"/>
  <c r="Q331" i="12"/>
  <c r="Q333" i="12"/>
  <c r="Q335" i="12"/>
  <c r="Q337" i="12"/>
  <c r="Q339" i="12"/>
  <c r="Q341" i="12"/>
  <c r="Q343" i="12"/>
  <c r="Q345" i="12"/>
  <c r="Q347" i="12"/>
  <c r="Q349" i="12"/>
  <c r="Q351" i="12"/>
  <c r="Q353" i="12"/>
  <c r="Q355" i="12"/>
  <c r="Q357" i="12"/>
  <c r="Q359" i="12"/>
  <c r="Q361" i="12"/>
  <c r="Q363" i="12"/>
  <c r="Q365" i="12"/>
  <c r="Q367" i="12"/>
  <c r="Q369" i="12"/>
  <c r="Q371" i="12"/>
  <c r="Q373" i="12"/>
  <c r="Q375" i="12"/>
  <c r="Q377" i="12"/>
  <c r="Q379" i="12"/>
  <c r="Q381" i="12"/>
  <c r="Q383" i="12"/>
  <c r="Q385" i="12"/>
  <c r="Q387" i="12"/>
  <c r="Q389" i="12"/>
  <c r="Q391" i="12"/>
  <c r="Q393" i="12"/>
  <c r="Q395" i="12"/>
  <c r="Q397" i="12"/>
  <c r="Q399" i="12"/>
  <c r="Q401" i="12"/>
  <c r="Q403" i="12"/>
  <c r="Q405" i="12"/>
  <c r="Q407" i="12"/>
  <c r="Q409" i="12"/>
  <c r="Q411" i="12"/>
  <c r="Q413" i="12"/>
  <c r="Q415" i="12"/>
  <c r="Q417" i="12"/>
  <c r="Q419" i="12"/>
  <c r="Q421" i="12"/>
  <c r="Q423" i="12"/>
  <c r="Q425" i="12"/>
  <c r="Q427" i="12"/>
  <c r="Q429" i="12"/>
  <c r="Q431" i="12"/>
  <c r="Q433" i="12"/>
  <c r="Q435" i="12"/>
  <c r="Q437" i="12"/>
  <c r="Q439" i="12"/>
  <c r="Q441" i="12"/>
  <c r="Q443" i="12"/>
  <c r="Q445" i="12"/>
  <c r="Q447" i="12"/>
  <c r="Q449" i="12"/>
  <c r="Q451" i="12"/>
  <c r="Q453" i="12"/>
  <c r="Q455" i="12"/>
  <c r="Q457" i="12"/>
  <c r="Q459" i="12"/>
  <c r="Q461" i="12"/>
  <c r="Q463" i="12"/>
  <c r="Q465" i="12"/>
  <c r="Q467" i="12"/>
  <c r="Q469" i="12"/>
  <c r="Q471" i="12"/>
  <c r="Q473" i="12"/>
  <c r="Q475" i="12"/>
  <c r="Q477" i="12"/>
  <c r="Q479" i="12"/>
  <c r="Q481" i="12"/>
  <c r="Q483" i="12"/>
  <c r="Q485" i="12"/>
  <c r="Q487" i="12"/>
  <c r="Q489" i="12"/>
  <c r="Q491" i="12"/>
  <c r="Q493" i="12"/>
  <c r="Q495" i="12"/>
  <c r="Q497" i="12"/>
  <c r="Q499" i="12"/>
  <c r="Q501" i="12"/>
  <c r="Q503" i="12"/>
  <c r="Q505" i="12"/>
  <c r="Q507" i="12"/>
  <c r="Q509" i="12"/>
  <c r="Q511" i="12"/>
  <c r="Q513" i="12"/>
  <c r="Q515" i="12"/>
  <c r="Q517" i="12"/>
  <c r="Q519" i="12"/>
  <c r="Q521" i="12"/>
  <c r="Q523" i="12"/>
  <c r="Q525" i="12"/>
  <c r="Q527" i="12"/>
  <c r="Q529" i="12"/>
  <c r="Q531" i="12"/>
  <c r="Q533" i="12"/>
  <c r="Q535" i="12"/>
  <c r="Q537" i="12"/>
  <c r="Q539" i="12"/>
  <c r="Q541" i="12"/>
  <c r="Q543" i="12"/>
  <c r="Q545" i="12"/>
  <c r="Q547" i="12"/>
  <c r="Q549" i="12"/>
  <c r="Q551" i="12"/>
  <c r="Q553" i="12"/>
  <c r="Q555" i="12"/>
  <c r="Q557" i="12"/>
  <c r="Q559" i="12"/>
  <c r="Q561" i="12"/>
  <c r="Q563" i="12"/>
  <c r="Q565" i="12"/>
  <c r="Q567" i="12"/>
  <c r="Q569" i="12"/>
  <c r="Q571" i="12"/>
  <c r="Q573" i="12"/>
  <c r="Q575" i="12"/>
  <c r="Q577" i="12"/>
  <c r="Q579" i="12"/>
  <c r="Q581" i="12"/>
  <c r="Q583" i="12"/>
  <c r="Q585" i="12"/>
  <c r="Q587" i="12"/>
  <c r="Q589" i="12"/>
  <c r="Q591" i="12"/>
  <c r="Q593" i="12"/>
  <c r="Q595" i="12"/>
  <c r="Q597" i="12"/>
  <c r="Q599" i="12"/>
  <c r="Q601" i="12"/>
  <c r="Q603" i="12"/>
  <c r="Q605" i="12"/>
  <c r="Q607" i="12"/>
  <c r="Q609" i="12"/>
  <c r="Q611" i="12"/>
  <c r="Q613" i="12"/>
  <c r="Q615" i="12"/>
  <c r="Q617" i="12"/>
  <c r="Q619" i="12"/>
  <c r="Q621" i="12"/>
  <c r="Q623" i="12"/>
  <c r="Q625" i="12"/>
  <c r="Q627" i="12"/>
  <c r="Q629" i="12"/>
  <c r="Q631" i="12"/>
  <c r="Q633" i="12"/>
  <c r="Q644" i="12"/>
  <c r="Q646" i="12"/>
  <c r="Q648" i="12"/>
  <c r="Q650" i="12"/>
  <c r="Q652" i="12"/>
  <c r="Q654" i="12"/>
  <c r="Q656" i="12"/>
  <c r="Q658" i="12"/>
  <c r="Q660" i="12"/>
  <c r="Q662" i="12"/>
  <c r="Q664" i="12"/>
  <c r="Q666" i="12"/>
  <c r="Q668" i="12"/>
  <c r="Q670" i="12"/>
  <c r="Q672" i="12"/>
  <c r="Q674" i="12"/>
  <c r="Q676" i="12"/>
  <c r="Q678" i="12"/>
  <c r="Q680" i="12"/>
  <c r="Q682" i="12"/>
  <c r="Q684" i="12"/>
  <c r="Q686" i="12"/>
  <c r="Q688" i="12"/>
  <c r="Q690" i="12"/>
  <c r="Q692" i="12"/>
  <c r="Q694" i="12"/>
  <c r="Q696" i="12"/>
  <c r="Q698" i="12"/>
  <c r="Q700" i="12"/>
  <c r="Q702" i="12"/>
  <c r="Q704" i="12"/>
  <c r="Q706" i="12"/>
  <c r="Q708" i="12"/>
  <c r="Q710" i="12"/>
  <c r="Q712" i="12"/>
  <c r="Q714" i="12"/>
  <c r="Q716" i="12"/>
  <c r="Q718" i="12"/>
  <c r="Q720" i="12"/>
  <c r="Q722" i="12"/>
  <c r="Q724" i="12"/>
  <c r="Q726" i="12"/>
  <c r="Q728" i="12"/>
  <c r="Q730" i="12"/>
  <c r="Q732" i="12"/>
  <c r="Q734" i="12"/>
  <c r="Q736" i="12"/>
  <c r="Q738" i="12"/>
  <c r="Q740" i="12"/>
  <c r="Q742" i="12"/>
  <c r="Q744" i="12"/>
  <c r="Q746" i="12"/>
  <c r="Q748" i="12"/>
  <c r="Q750" i="12"/>
  <c r="Q752" i="12"/>
  <c r="Q754" i="12"/>
  <c r="Q756" i="12"/>
  <c r="Q758" i="12"/>
  <c r="Q760" i="12"/>
  <c r="Q762" i="12"/>
  <c r="Q764" i="12"/>
  <c r="Q766" i="12"/>
  <c r="Q768" i="12"/>
  <c r="Q770" i="12"/>
  <c r="Q772" i="12"/>
  <c r="Q774" i="12"/>
  <c r="Q776" i="12"/>
  <c r="Q778" i="12"/>
  <c r="Q780" i="12"/>
  <c r="Q782" i="12"/>
  <c r="Q784" i="12"/>
  <c r="Q786" i="12"/>
  <c r="Q788" i="12"/>
  <c r="Q790" i="12"/>
  <c r="Q792" i="12"/>
  <c r="Q794" i="12"/>
  <c r="Q796" i="12"/>
  <c r="Q798" i="12"/>
  <c r="Q800" i="12"/>
  <c r="Q802" i="12"/>
  <c r="Q804" i="12"/>
  <c r="Q806" i="12"/>
  <c r="Q808" i="12"/>
  <c r="Q810" i="12"/>
  <c r="Q812" i="12"/>
  <c r="Q814" i="12"/>
  <c r="Q816" i="12"/>
  <c r="Q818" i="12"/>
  <c r="Q820" i="12"/>
  <c r="Q822" i="12"/>
  <c r="Q824" i="12"/>
  <c r="Q826" i="12"/>
  <c r="Q828" i="12"/>
  <c r="Q830" i="12"/>
  <c r="Q832" i="12"/>
  <c r="Q834" i="12"/>
  <c r="Q836" i="12"/>
  <c r="Q838" i="12"/>
  <c r="Q840" i="12"/>
  <c r="Q842" i="12"/>
  <c r="Q844" i="12"/>
  <c r="Q846" i="12"/>
  <c r="Q848" i="12"/>
  <c r="Q850" i="12"/>
  <c r="Q852" i="12"/>
  <c r="Q854" i="12"/>
  <c r="Q856" i="12"/>
  <c r="Q858" i="12"/>
  <c r="Q860" i="12"/>
  <c r="Q862" i="12"/>
  <c r="Q864" i="12"/>
  <c r="Q866" i="12"/>
  <c r="Q868" i="12"/>
  <c r="Q870" i="12"/>
  <c r="Q872" i="12"/>
  <c r="Q874" i="12"/>
  <c r="Q876" i="12"/>
  <c r="Q878" i="12"/>
  <c r="Q880" i="12"/>
  <c r="Q882" i="12"/>
  <c r="Q884" i="12"/>
  <c r="Q886" i="12"/>
  <c r="Q888" i="12"/>
  <c r="Q890" i="12"/>
  <c r="Q892" i="12"/>
  <c r="Q894" i="12"/>
  <c r="Q635" i="12"/>
  <c r="Q637" i="12"/>
  <c r="Q639" i="12"/>
  <c r="Q641" i="12"/>
  <c r="Q643" i="12"/>
  <c r="Q904" i="12"/>
  <c r="Q906" i="12"/>
  <c r="Q908" i="12"/>
  <c r="Q910" i="12"/>
  <c r="Q912" i="12"/>
  <c r="Q914" i="12"/>
  <c r="Q916" i="12"/>
  <c r="Q918" i="12"/>
  <c r="Q920" i="12"/>
  <c r="Q922" i="12"/>
  <c r="Q924" i="12"/>
  <c r="Q926" i="12"/>
  <c r="Q928" i="12"/>
  <c r="Q930" i="12"/>
  <c r="Q932" i="12"/>
  <c r="Q934" i="12"/>
  <c r="Q936" i="12"/>
  <c r="Q938" i="12"/>
  <c r="Q940" i="12"/>
  <c r="Q942" i="12"/>
  <c r="Q944" i="12"/>
  <c r="Q946" i="12"/>
  <c r="Q948" i="12"/>
  <c r="Q950" i="12"/>
  <c r="Q952" i="12"/>
  <c r="Q954" i="12"/>
  <c r="Q956" i="12"/>
  <c r="Q958" i="12"/>
  <c r="Q960" i="12"/>
  <c r="Q962" i="12"/>
  <c r="Q964" i="12"/>
  <c r="Q966" i="12"/>
  <c r="Q968" i="12"/>
  <c r="Q970" i="12"/>
  <c r="Q972" i="12"/>
  <c r="Q974" i="12"/>
  <c r="Q976" i="12"/>
  <c r="Q978" i="12"/>
  <c r="Q980" i="12"/>
  <c r="Q982" i="12"/>
  <c r="Q984" i="12"/>
  <c r="Q986" i="12"/>
  <c r="Q988" i="12"/>
  <c r="Q990" i="12"/>
  <c r="Q992" i="12"/>
  <c r="Q994" i="12"/>
  <c r="Q996" i="12"/>
  <c r="Q998" i="12"/>
  <c r="Q1000" i="12"/>
  <c r="Q1002" i="12"/>
  <c r="Q1004" i="12"/>
  <c r="Q1006" i="12"/>
  <c r="Q1008" i="12"/>
  <c r="Q1010" i="12"/>
  <c r="Q1012" i="12"/>
  <c r="Q1014" i="12"/>
  <c r="Q1016" i="12"/>
  <c r="Q1018" i="12"/>
  <c r="Q1020" i="12"/>
  <c r="Q1022" i="12"/>
  <c r="Q1024" i="12"/>
  <c r="Q1026" i="12"/>
  <c r="Q1028" i="12"/>
  <c r="Q1030" i="12"/>
  <c r="Q1032" i="12"/>
  <c r="Q1034" i="12"/>
  <c r="Q1036" i="12"/>
  <c r="Q1038" i="12"/>
  <c r="Q1040" i="12"/>
  <c r="Q1042" i="12"/>
  <c r="Q1044" i="12"/>
  <c r="Q1046" i="12"/>
  <c r="Q1048" i="12"/>
  <c r="Q1050" i="12"/>
  <c r="Q1052" i="12"/>
  <c r="Q1054" i="12"/>
  <c r="Q1056" i="12"/>
  <c r="Q1058" i="12"/>
  <c r="Q1060" i="12"/>
  <c r="Q1062" i="12"/>
  <c r="Q1064" i="12"/>
  <c r="Q1066" i="12"/>
  <c r="Q1068" i="12"/>
  <c r="Q1070" i="12"/>
  <c r="Q1072" i="12"/>
  <c r="Q1074" i="12"/>
  <c r="Q1076" i="12"/>
  <c r="Q1078" i="12"/>
  <c r="Q1080" i="12"/>
  <c r="Q1082" i="12"/>
  <c r="Q1084" i="12"/>
  <c r="Q1086" i="12"/>
  <c r="Q1088" i="12"/>
  <c r="Q1090" i="12"/>
  <c r="Q1092" i="12"/>
  <c r="Q1094" i="12"/>
  <c r="Q1096" i="12"/>
  <c r="Q1098" i="12"/>
  <c r="Q1100" i="12"/>
  <c r="Q1102" i="12"/>
  <c r="Q1104" i="12"/>
  <c r="Q1106" i="12"/>
  <c r="Q1108" i="12"/>
  <c r="Q1110" i="12"/>
  <c r="Q1112" i="12"/>
  <c r="Q1114" i="12"/>
  <c r="Q1116" i="12"/>
  <c r="Q1118" i="12"/>
  <c r="Q1120" i="12"/>
  <c r="Q1122" i="12"/>
  <c r="Q1124" i="12"/>
  <c r="Q1126" i="12"/>
  <c r="Q1128" i="12"/>
  <c r="Q1130" i="12"/>
  <c r="Q1132" i="12"/>
  <c r="Q1134" i="12"/>
  <c r="Q1136" i="12"/>
  <c r="Q1138" i="12"/>
  <c r="Q1140" i="12"/>
  <c r="Q1142" i="12"/>
  <c r="Q1144" i="12"/>
  <c r="Q1146" i="12"/>
  <c r="Q1148" i="12"/>
  <c r="Q1150" i="12"/>
  <c r="Q1152" i="12"/>
  <c r="Q1154" i="12"/>
  <c r="Q1156" i="12"/>
  <c r="Q1158" i="12"/>
  <c r="Q1160" i="12"/>
  <c r="Q1162" i="12"/>
  <c r="Q1164" i="12"/>
  <c r="Q1166" i="12"/>
  <c r="Q1168" i="12"/>
  <c r="Q1170" i="12"/>
  <c r="Q1172" i="12"/>
  <c r="Q1174" i="12"/>
  <c r="Q1176" i="12"/>
  <c r="Q1178" i="12"/>
  <c r="Q1180" i="12"/>
  <c r="Q1182" i="12"/>
  <c r="Q1184" i="12"/>
  <c r="Q1186" i="12"/>
  <c r="Q1188" i="12"/>
  <c r="Q1190" i="12"/>
  <c r="Q1192" i="12"/>
  <c r="Q1194" i="12"/>
  <c r="Q1196" i="12"/>
  <c r="Q1198" i="12"/>
  <c r="Q1200" i="12"/>
  <c r="Q1202" i="12"/>
  <c r="Q1204" i="12"/>
  <c r="Q1206" i="12"/>
  <c r="Q1208" i="12"/>
  <c r="Q1210" i="12"/>
  <c r="Q1212" i="12"/>
  <c r="Q1214" i="12"/>
  <c r="Q1216" i="12"/>
  <c r="Q1218" i="12"/>
  <c r="Q1220" i="12"/>
  <c r="Q1222" i="12"/>
  <c r="Q1224" i="12"/>
  <c r="Q1226" i="12"/>
  <c r="Q1228" i="12"/>
  <c r="Q1230" i="12"/>
  <c r="Q1232" i="12"/>
  <c r="Q1234" i="12"/>
  <c r="Q1236" i="12"/>
  <c r="Q1238" i="12"/>
  <c r="Q1240" i="12"/>
  <c r="Q1242" i="12"/>
  <c r="Q1244" i="12"/>
  <c r="Q1246" i="12"/>
  <c r="Q1248" i="12"/>
  <c r="Q1250" i="12"/>
  <c r="Q1252" i="12"/>
  <c r="Q1254" i="12"/>
  <c r="Q1256" i="12"/>
  <c r="Q1258" i="12"/>
  <c r="Q1260" i="12"/>
  <c r="Q1262" i="12"/>
  <c r="Q1264" i="12"/>
  <c r="Q1266" i="12"/>
  <c r="Q1268" i="12"/>
  <c r="Q1270" i="12"/>
  <c r="Q1272" i="12"/>
  <c r="Q1274" i="12"/>
  <c r="Q1276" i="12"/>
  <c r="Q1278" i="12"/>
  <c r="Q1280" i="12"/>
  <c r="Q1282" i="12"/>
  <c r="Q1284" i="12"/>
  <c r="Q1286" i="12"/>
  <c r="Q1288" i="12"/>
  <c r="Q1290" i="12"/>
  <c r="Q1292" i="12"/>
  <c r="Q1294" i="12"/>
  <c r="Q1296" i="12"/>
  <c r="Q1298" i="12"/>
  <c r="Q1300" i="12"/>
  <c r="Q1302" i="12"/>
  <c r="Q1304" i="12"/>
  <c r="Q1306" i="12"/>
  <c r="Q1308" i="12"/>
  <c r="Q1310" i="12"/>
  <c r="Q1312" i="12"/>
  <c r="Q1314" i="12"/>
  <c r="Q1316" i="12"/>
  <c r="Q1318" i="12"/>
  <c r="Q1320" i="12"/>
  <c r="Q1322" i="12"/>
  <c r="Q1324" i="12"/>
  <c r="Q1326" i="12"/>
  <c r="Q1328" i="12"/>
  <c r="Q1330" i="12"/>
  <c r="Q1332" i="12"/>
  <c r="Q1334" i="12"/>
  <c r="Q1336" i="12"/>
  <c r="Q1338" i="12"/>
  <c r="Q1340" i="12"/>
  <c r="Q1342" i="12"/>
  <c r="Q1344" i="12"/>
  <c r="Q1346" i="12"/>
  <c r="Q1348" i="12"/>
  <c r="Q1350" i="12"/>
  <c r="Q1352" i="12"/>
  <c r="Q1354" i="12"/>
  <c r="Q1356" i="12"/>
  <c r="Q1358" i="12"/>
  <c r="Q1360" i="12"/>
  <c r="Q1362" i="12"/>
  <c r="Q1364" i="12"/>
  <c r="Q1366" i="12"/>
  <c r="Q1368" i="12"/>
  <c r="Q1370" i="12"/>
  <c r="Q1372" i="12"/>
  <c r="Q1374" i="12"/>
  <c r="Q1376" i="12"/>
  <c r="Q1378" i="12"/>
  <c r="Q1380" i="12"/>
  <c r="Q1382" i="12"/>
  <c r="Q1384" i="12"/>
  <c r="Q1386" i="12"/>
  <c r="Q1388" i="12"/>
  <c r="Q1390" i="12"/>
  <c r="Q1392" i="12"/>
  <c r="Q1394" i="12"/>
  <c r="Q1396" i="12"/>
  <c r="Q1398" i="12"/>
  <c r="Q1400" i="12"/>
  <c r="Q1402" i="12"/>
  <c r="Q1404" i="12"/>
  <c r="Q1406" i="12"/>
  <c r="Q1408" i="12"/>
  <c r="Q1410" i="12"/>
  <c r="Q897" i="12"/>
  <c r="Q899" i="12"/>
  <c r="Q901" i="12"/>
  <c r="Q1411" i="12"/>
  <c r="Q1413" i="12"/>
  <c r="Q1415" i="12"/>
  <c r="Q1417" i="12"/>
  <c r="Q1419" i="12"/>
  <c r="Q1421" i="12"/>
  <c r="Q1423" i="12"/>
  <c r="Q1425" i="12"/>
  <c r="Q1427" i="12"/>
  <c r="Q1429" i="12"/>
  <c r="Q1431" i="12"/>
  <c r="Q1433" i="12"/>
  <c r="Q1435" i="12"/>
  <c r="Q1437" i="12"/>
  <c r="Q1439" i="12"/>
  <c r="Q1441" i="12"/>
  <c r="Q1443" i="12"/>
  <c r="Q1445" i="12"/>
  <c r="Q1447" i="12"/>
  <c r="Q1449" i="12"/>
  <c r="Q1451" i="12"/>
  <c r="Q1453" i="12"/>
  <c r="Q1455" i="12"/>
  <c r="Q1457" i="12"/>
  <c r="Q1459" i="12"/>
  <c r="Q1461" i="12"/>
  <c r="Q1463" i="12"/>
  <c r="Q1465" i="12"/>
  <c r="Q1467" i="12"/>
  <c r="Q1469" i="12"/>
  <c r="Q1471" i="12"/>
  <c r="Q1473" i="12"/>
  <c r="Q1475" i="12"/>
  <c r="Q1477" i="12"/>
  <c r="Q1479" i="12"/>
  <c r="Q1481" i="12"/>
  <c r="Q1483" i="12"/>
  <c r="Q1485" i="12"/>
  <c r="Q1487" i="12"/>
  <c r="Q1489" i="12"/>
  <c r="Q1491" i="12"/>
  <c r="Q1493" i="12"/>
  <c r="Q1495" i="12"/>
  <c r="Q1497" i="12"/>
  <c r="Q1499" i="12"/>
  <c r="Q1501" i="12"/>
  <c r="Q1503" i="12"/>
  <c r="Q1505" i="12"/>
  <c r="Q1507" i="12"/>
  <c r="Q1509" i="12"/>
  <c r="Q1511" i="12"/>
  <c r="Q1513" i="12"/>
  <c r="Q1515" i="12"/>
  <c r="Q1517" i="12"/>
  <c r="Q1519" i="12"/>
  <c r="Q1521" i="12"/>
  <c r="Q1523" i="12"/>
  <c r="Q1525" i="12"/>
  <c r="Q1527" i="12"/>
  <c r="Q1529" i="12"/>
  <c r="Q1531" i="12"/>
  <c r="Q1533" i="12"/>
  <c r="Q1535" i="12"/>
  <c r="Q1537" i="12"/>
  <c r="Q1539" i="12"/>
  <c r="Q1541" i="12"/>
  <c r="Q1543" i="12"/>
  <c r="Q1545" i="12"/>
  <c r="Q1547" i="12"/>
  <c r="Q1549" i="12"/>
  <c r="Q1551" i="12"/>
  <c r="Q1553" i="12"/>
  <c r="Q1555" i="12"/>
  <c r="Q1557" i="12"/>
  <c r="Q1559" i="12"/>
  <c r="Q1561" i="12"/>
  <c r="Q1563" i="12"/>
  <c r="Q1565" i="12"/>
  <c r="Q1567" i="12"/>
  <c r="Q1569" i="12"/>
  <c r="Q1571" i="12"/>
  <c r="Q1573" i="12"/>
  <c r="Q1575" i="12"/>
  <c r="Q1577" i="12"/>
  <c r="Q1579" i="12"/>
  <c r="Q1581" i="12"/>
  <c r="Q1583" i="12"/>
  <c r="Q1585" i="12"/>
  <c r="Q1587" i="12"/>
  <c r="Q1589" i="12"/>
  <c r="Q1591" i="12"/>
  <c r="Q1593" i="12"/>
  <c r="Q1595" i="12"/>
  <c r="Q1597" i="12"/>
  <c r="Q1599" i="12"/>
  <c r="Q1601" i="12"/>
  <c r="Q1603" i="12"/>
  <c r="Q1605" i="12"/>
  <c r="Q1607" i="12"/>
  <c r="Q1609" i="12"/>
  <c r="Q1611" i="12"/>
  <c r="Q1613" i="12"/>
  <c r="Q1615" i="12"/>
  <c r="Q1617" i="12"/>
  <c r="Q1619" i="12"/>
  <c r="Q1621" i="12"/>
  <c r="Q1623" i="12"/>
  <c r="Q1625" i="12"/>
  <c r="Q1627" i="12"/>
  <c r="Q1629" i="12"/>
  <c r="Q1631" i="12"/>
  <c r="Q1633" i="12"/>
  <c r="Q1635" i="12"/>
  <c r="Q1637" i="12"/>
  <c r="Q1639" i="12"/>
  <c r="Q1641" i="12"/>
  <c r="Q1643" i="12"/>
  <c r="Q1645" i="12"/>
  <c r="Q1647" i="12"/>
  <c r="Q1649" i="12"/>
  <c r="Q1651" i="12"/>
  <c r="Q1653" i="12"/>
  <c r="Q1655" i="12"/>
  <c r="Q1657" i="12"/>
  <c r="Q1659" i="12"/>
  <c r="Q1661" i="12"/>
  <c r="Q1663" i="12"/>
  <c r="Q1665" i="12"/>
  <c r="Q1667" i="12"/>
  <c r="Q1669" i="12"/>
  <c r="Q1671" i="12"/>
  <c r="Q1673" i="12"/>
  <c r="Q1675" i="12"/>
  <c r="Q1677" i="12"/>
  <c r="Q1679" i="12"/>
  <c r="Q1681" i="12"/>
  <c r="Q1683" i="12"/>
  <c r="Q1685" i="12"/>
  <c r="Q1687" i="12"/>
  <c r="Q1689" i="12"/>
  <c r="Q1691" i="12"/>
  <c r="Q1693" i="12"/>
  <c r="Q1695" i="12"/>
  <c r="Q1697" i="12"/>
  <c r="Q1699" i="12"/>
  <c r="Q1701" i="12"/>
  <c r="Q1703" i="12"/>
  <c r="Q1705" i="12"/>
  <c r="Q1707" i="12"/>
  <c r="Q1709" i="12"/>
  <c r="Q1711" i="12"/>
  <c r="Q1713" i="12"/>
  <c r="Q1715" i="12"/>
  <c r="Q1717" i="12"/>
  <c r="Q1719" i="12"/>
  <c r="Q1721" i="12"/>
  <c r="Q1723" i="12"/>
  <c r="Q1725" i="12"/>
  <c r="Q1727" i="12"/>
  <c r="Q1729" i="12"/>
  <c r="Q1731" i="12"/>
  <c r="Q1733" i="12"/>
  <c r="Q1735" i="12"/>
  <c r="Q1737" i="12"/>
  <c r="Q1739" i="12"/>
  <c r="Q1741" i="12"/>
  <c r="Q1743" i="12"/>
  <c r="Q1745" i="12"/>
  <c r="Q1747" i="12"/>
  <c r="Q1749" i="12"/>
  <c r="Q1751" i="12"/>
  <c r="Q1753" i="12"/>
  <c r="Q1755" i="12"/>
  <c r="Q1757" i="12"/>
  <c r="Q1759" i="12"/>
  <c r="Q1761" i="12"/>
  <c r="Q1763" i="12"/>
  <c r="Q1765" i="12"/>
  <c r="Q1767" i="12"/>
  <c r="Q1769" i="12"/>
  <c r="Q1771" i="12"/>
  <c r="Q1773" i="12"/>
  <c r="Q1775" i="12"/>
  <c r="Q1777" i="12"/>
  <c r="Q1779" i="12"/>
  <c r="Q1781" i="12"/>
  <c r="Q1783" i="12"/>
  <c r="Q1785" i="12"/>
  <c r="Q1787" i="12"/>
  <c r="Q1789" i="12"/>
  <c r="Q1791" i="12"/>
  <c r="Q1793" i="12"/>
  <c r="Q1795" i="12"/>
  <c r="Q1797" i="12"/>
  <c r="Q1799" i="12"/>
  <c r="Q1801" i="12"/>
  <c r="Q1803" i="12"/>
  <c r="Q1805" i="12"/>
  <c r="Q1807" i="12"/>
  <c r="Q1809" i="12"/>
  <c r="Q1811" i="12"/>
  <c r="Q1813" i="12"/>
  <c r="Q1815" i="12"/>
  <c r="Q1817" i="12"/>
  <c r="Q1819" i="12"/>
  <c r="Q1821" i="12"/>
  <c r="Q1823" i="12"/>
  <c r="Q1825" i="12"/>
  <c r="Q1827" i="12"/>
  <c r="Q1829" i="12"/>
  <c r="Q1831" i="12"/>
  <c r="Q1833" i="12"/>
  <c r="Q1835" i="12"/>
  <c r="Q1837" i="12"/>
  <c r="Q1839" i="12"/>
  <c r="Q1841" i="12"/>
  <c r="Q1843" i="12"/>
  <c r="Q1845" i="12"/>
  <c r="Q1847" i="12"/>
  <c r="Q1849" i="12"/>
  <c r="Q1851" i="12"/>
  <c r="Q1853" i="12"/>
  <c r="Q1855" i="12"/>
  <c r="Q1857" i="12"/>
  <c r="Q1859" i="12"/>
  <c r="Q1861" i="12"/>
  <c r="Q1863" i="12"/>
  <c r="Q1865" i="12"/>
  <c r="Q1867" i="12"/>
  <c r="Q1869" i="12"/>
  <c r="Q1871" i="12"/>
  <c r="Q1873" i="12"/>
  <c r="Q1875" i="12"/>
  <c r="Q1877" i="12"/>
  <c r="Q1879" i="12"/>
  <c r="Q1881" i="12"/>
  <c r="Q1883" i="12"/>
  <c r="Q1885" i="12"/>
  <c r="Q1887" i="12"/>
  <c r="Q1889" i="12"/>
  <c r="Q1891" i="12"/>
  <c r="Q1893" i="12"/>
  <c r="Q1895" i="12"/>
  <c r="Q1897" i="12"/>
  <c r="Q1899" i="12"/>
  <c r="Q1901" i="12"/>
  <c r="Q1903" i="12"/>
  <c r="Q1905" i="12"/>
  <c r="Q1907" i="12"/>
  <c r="Q1909" i="12"/>
  <c r="Q1911" i="12"/>
  <c r="Q1913" i="12"/>
  <c r="Q1915" i="12"/>
  <c r="Q1917" i="12"/>
  <c r="Q1919" i="12"/>
  <c r="Q1921" i="12"/>
  <c r="Q1923" i="12"/>
  <c r="Q1925" i="12"/>
  <c r="Q1927" i="12"/>
  <c r="Q1929" i="12"/>
  <c r="Q1931" i="12"/>
  <c r="Q1933" i="12"/>
  <c r="Q1935" i="12"/>
  <c r="Q1937" i="12"/>
  <c r="Q1939" i="12"/>
  <c r="Q1941" i="12"/>
  <c r="Q1943" i="12"/>
  <c r="Q1945" i="12"/>
  <c r="Q1947" i="12"/>
  <c r="Q1949" i="12"/>
  <c r="Q1951" i="12"/>
  <c r="Q1953" i="12"/>
  <c r="Q1955" i="12"/>
  <c r="Q1957" i="12"/>
  <c r="Q1959" i="12"/>
  <c r="Q1961" i="12"/>
  <c r="Q1963" i="12"/>
  <c r="Q1965" i="12"/>
  <c r="Q1967" i="12"/>
  <c r="Q1969" i="12"/>
  <c r="Q1971" i="12"/>
  <c r="Q1973" i="12"/>
  <c r="Q1975" i="12"/>
  <c r="Q1977" i="12"/>
  <c r="Q1979" i="12"/>
  <c r="Q1981" i="12"/>
  <c r="Q1983" i="12"/>
  <c r="Q1985" i="12"/>
  <c r="Q1987" i="12"/>
  <c r="Q1989" i="12"/>
  <c r="Q1991" i="12"/>
  <c r="Q1993" i="12"/>
  <c r="Q1995" i="12"/>
  <c r="Q1997" i="12"/>
  <c r="Q1999" i="12"/>
  <c r="Q2001" i="12"/>
  <c r="Q2003" i="12"/>
  <c r="Q2005" i="12"/>
  <c r="Q2007" i="12"/>
  <c r="Q2009" i="12"/>
  <c r="Q2011" i="12"/>
  <c r="Q2013" i="12"/>
  <c r="Q2015" i="12"/>
  <c r="Q2017" i="12"/>
  <c r="Q2019" i="12"/>
  <c r="Q2021" i="12"/>
  <c r="Q2023" i="12"/>
  <c r="Q2025" i="12"/>
  <c r="Q2027" i="12"/>
  <c r="Q2029" i="12"/>
  <c r="Q2031" i="12"/>
  <c r="Q2033" i="12"/>
  <c r="Q2035" i="12"/>
  <c r="Q2037" i="12"/>
  <c r="Q2039" i="12"/>
  <c r="Q2041" i="12"/>
  <c r="Q2043" i="12"/>
  <c r="Q2045" i="12"/>
  <c r="Q2047" i="12"/>
  <c r="Q2049" i="12"/>
  <c r="Q2051" i="12"/>
  <c r="Q2053" i="12"/>
  <c r="Q2055" i="12"/>
  <c r="Q2057" i="12"/>
  <c r="Q2059" i="12"/>
  <c r="Q2061" i="12"/>
  <c r="Q2063" i="12"/>
  <c r="Q2065" i="12"/>
  <c r="Q2067" i="12"/>
  <c r="Q2069" i="12"/>
  <c r="Q2071" i="12"/>
  <c r="Q2073" i="12"/>
  <c r="Q2075" i="12"/>
  <c r="Q2077" i="12"/>
  <c r="Q2079" i="12"/>
  <c r="Q2081" i="12"/>
  <c r="Q2083" i="12"/>
  <c r="Q2085" i="12"/>
  <c r="Q2087" i="12"/>
  <c r="Q2089" i="12"/>
  <c r="Q2091" i="12"/>
  <c r="Q2093" i="12"/>
  <c r="Q2095" i="12"/>
  <c r="Q2097" i="12"/>
  <c r="Q2099" i="12"/>
  <c r="Q2101" i="12"/>
  <c r="Q2103" i="12"/>
  <c r="Q2105" i="12"/>
  <c r="Q2107" i="12"/>
  <c r="Q2109" i="12"/>
  <c r="Q2111" i="12"/>
  <c r="Q2113" i="12"/>
  <c r="Q2115" i="12"/>
  <c r="Q2117" i="12"/>
  <c r="Q2119" i="12"/>
  <c r="Q2121" i="12"/>
  <c r="Q2123" i="12"/>
  <c r="Q2125" i="12"/>
  <c r="Q2127" i="12"/>
  <c r="Q2129" i="12"/>
  <c r="Q2131" i="12"/>
  <c r="Q2133" i="12"/>
  <c r="Q2135" i="12"/>
  <c r="Q2137" i="12"/>
  <c r="Q2139" i="12"/>
  <c r="Q2141" i="12"/>
  <c r="Q2143" i="12"/>
  <c r="Q2145" i="12"/>
  <c r="Q2147" i="12"/>
  <c r="Q2149" i="12"/>
  <c r="Q2151" i="12"/>
  <c r="Q2153" i="12"/>
  <c r="Q2155" i="12"/>
  <c r="Q2157" i="12"/>
  <c r="Q2159" i="12"/>
  <c r="Q2161" i="12"/>
  <c r="Q2163" i="12"/>
  <c r="Q2165" i="12"/>
  <c r="Q2167" i="12"/>
  <c r="Q2169" i="12"/>
  <c r="Q2171" i="12"/>
  <c r="Q2173" i="12"/>
  <c r="Q2175" i="12"/>
  <c r="Q2177" i="12"/>
  <c r="Q2179" i="12"/>
  <c r="Q2181" i="12"/>
  <c r="Q2183" i="12"/>
  <c r="Q2185" i="12"/>
  <c r="Q2187" i="12"/>
  <c r="Q2189" i="12"/>
  <c r="Q2191" i="12"/>
  <c r="Q2193" i="12"/>
  <c r="Q2195" i="12"/>
  <c r="Q2197" i="12"/>
  <c r="Q2199" i="12"/>
  <c r="Q2201" i="12"/>
  <c r="Q2203" i="12"/>
  <c r="Q2205" i="12"/>
  <c r="Q2207" i="12"/>
  <c r="Q2209" i="12"/>
  <c r="Q2211" i="12"/>
  <c r="Q2213" i="12"/>
  <c r="Q2215" i="12"/>
  <c r="Q2217" i="12"/>
  <c r="Q2219" i="12"/>
  <c r="Q2221" i="12"/>
  <c r="Q2223" i="12"/>
  <c r="Q2225" i="12"/>
  <c r="Q2227" i="12"/>
  <c r="Q2229" i="12"/>
  <c r="Q2231" i="12"/>
  <c r="Q2233" i="12"/>
  <c r="Q2235" i="12"/>
  <c r="Q2237" i="12"/>
  <c r="Q2239" i="12"/>
  <c r="Q2241" i="12"/>
  <c r="Q2243" i="12"/>
  <c r="Q2245" i="12"/>
  <c r="Q2247" i="12"/>
  <c r="Q2249" i="12"/>
  <c r="Q2251" i="12"/>
  <c r="Q2253" i="12"/>
  <c r="Q2255" i="12"/>
  <c r="Q2257" i="12"/>
  <c r="Q2259" i="12"/>
  <c r="Q2261" i="12"/>
  <c r="Q2263" i="12"/>
  <c r="Q2265" i="12"/>
  <c r="Q2267" i="12"/>
  <c r="Q2269" i="12"/>
  <c r="Q2271" i="12"/>
  <c r="Q2273" i="12"/>
  <c r="Q2275" i="12"/>
  <c r="Q2277" i="12"/>
  <c r="Q2279" i="12"/>
  <c r="Q2281" i="12"/>
  <c r="Q2283" i="12"/>
  <c r="Q2285" i="12"/>
  <c r="Q2287" i="12"/>
  <c r="Q2289" i="12"/>
  <c r="Q2291" i="12"/>
  <c r="Q2293" i="12"/>
  <c r="Q2295" i="12"/>
  <c r="Q2297" i="12"/>
  <c r="Q2299" i="12"/>
  <c r="Q2301" i="12"/>
  <c r="Q2303" i="12"/>
  <c r="Q2305" i="12"/>
  <c r="Q2307" i="12"/>
  <c r="Q2309" i="12"/>
  <c r="Q2311" i="12"/>
  <c r="Q2313" i="12"/>
  <c r="Q2315" i="12"/>
  <c r="Q2317" i="12"/>
  <c r="Q2319" i="12"/>
  <c r="Q2321" i="12"/>
  <c r="Q2323" i="12"/>
  <c r="Q2325" i="12"/>
  <c r="Q2327" i="12"/>
  <c r="Q2329" i="12"/>
  <c r="Q2331" i="12"/>
  <c r="Q2333" i="12"/>
  <c r="Q2335" i="12"/>
  <c r="Q2337" i="12"/>
  <c r="Q2339" i="12"/>
  <c r="Q2341" i="12"/>
  <c r="Q2343" i="12"/>
  <c r="Q2345" i="12"/>
  <c r="Q2347" i="12"/>
  <c r="Q2349" i="12"/>
  <c r="Q2351" i="12"/>
  <c r="Q2353" i="12"/>
  <c r="Q2355" i="12"/>
  <c r="Q2357" i="12"/>
  <c r="Q2359" i="12"/>
  <c r="Q2361" i="12"/>
  <c r="Q2363" i="12"/>
  <c r="Q2365" i="12"/>
  <c r="Q2367" i="12"/>
  <c r="Q2369" i="12"/>
  <c r="Q2371" i="12"/>
  <c r="Q2373" i="12"/>
  <c r="Q2375" i="12"/>
  <c r="Q2377" i="12"/>
  <c r="Q2379" i="12"/>
  <c r="Q2381" i="12"/>
  <c r="Q2383" i="12"/>
  <c r="Q2385" i="12"/>
  <c r="Q2387" i="12"/>
  <c r="Q2389" i="12"/>
  <c r="Q2391" i="12"/>
  <c r="Q2393" i="12"/>
  <c r="Q2395" i="12"/>
  <c r="Q2397" i="12"/>
  <c r="Q2399" i="12"/>
  <c r="Q2401" i="12"/>
  <c r="Q2403" i="12"/>
  <c r="Q2405" i="12"/>
  <c r="Q2407" i="12"/>
  <c r="Q2409" i="12"/>
  <c r="Q2411" i="12"/>
  <c r="Q2413" i="12"/>
  <c r="Q2415" i="12"/>
  <c r="Q2417" i="12"/>
  <c r="Q2419" i="12"/>
  <c r="Q2421" i="12"/>
  <c r="Q2423" i="12"/>
  <c r="Q2425" i="12"/>
  <c r="Q2427" i="12"/>
  <c r="Q2429" i="12"/>
  <c r="Q2431" i="12"/>
  <c r="Q2433" i="12"/>
  <c r="Q2435" i="12"/>
  <c r="Q2437" i="12"/>
  <c r="Q2439" i="12"/>
  <c r="Q2441" i="12"/>
  <c r="Q2443" i="12"/>
  <c r="Q2445" i="12"/>
  <c r="Q2447" i="12"/>
  <c r="Q2449" i="12"/>
  <c r="Q2451" i="12"/>
  <c r="Q2453" i="12"/>
  <c r="Q2455" i="12"/>
  <c r="Q2457" i="12"/>
  <c r="Q2459" i="12"/>
  <c r="Q2461" i="12"/>
  <c r="Q2463" i="12"/>
  <c r="Q2465" i="12"/>
  <c r="Q2467" i="12"/>
  <c r="Q2469" i="12"/>
  <c r="Q2471" i="12"/>
  <c r="Q2473" i="12"/>
  <c r="Q2475" i="12"/>
  <c r="Q2477" i="12"/>
  <c r="Q2479" i="12"/>
  <c r="Q2481" i="12"/>
  <c r="Q2483" i="12"/>
  <c r="Q2485" i="12"/>
  <c r="Q2487" i="12"/>
  <c r="Q2489" i="12"/>
  <c r="Q2491" i="12"/>
  <c r="Q2493" i="12"/>
  <c r="Q2495" i="12"/>
  <c r="Q2497" i="12"/>
  <c r="Q2499" i="12"/>
  <c r="Q2501" i="12"/>
  <c r="Q2503" i="12"/>
  <c r="Q2505" i="12"/>
  <c r="Q2507" i="12"/>
  <c r="Q2509" i="12"/>
  <c r="Q2511" i="12"/>
  <c r="Q2513" i="12"/>
  <c r="Q2515" i="12"/>
  <c r="Q2517" i="12"/>
  <c r="Q2519" i="12"/>
  <c r="Q2521" i="12"/>
  <c r="Q2523" i="12"/>
  <c r="Q2525" i="12"/>
  <c r="Q2527" i="12"/>
  <c r="Q2529" i="12"/>
  <c r="Q2531" i="12"/>
  <c r="Q2533" i="12"/>
  <c r="Q2535" i="12"/>
  <c r="Q2537" i="12"/>
  <c r="Q2539" i="12"/>
  <c r="Q2541" i="12"/>
  <c r="Q2543" i="12"/>
  <c r="Q2545" i="12"/>
  <c r="Q2547" i="12"/>
  <c r="Q2549" i="12"/>
  <c r="Q2551" i="12"/>
  <c r="Q2553" i="12"/>
  <c r="Q2555" i="12"/>
  <c r="Q2557" i="12"/>
  <c r="Q2559" i="12"/>
  <c r="Q2561" i="12"/>
  <c r="Q2563" i="12"/>
  <c r="Q2565" i="12"/>
  <c r="Q2567" i="12"/>
  <c r="Q2569" i="12"/>
  <c r="Q2571" i="12"/>
  <c r="Q2573" i="12"/>
  <c r="Q2575" i="12"/>
  <c r="Q2577" i="12"/>
  <c r="Q2579" i="12"/>
  <c r="Q2581" i="12"/>
  <c r="Q2583" i="12"/>
  <c r="Q2585" i="12"/>
  <c r="Q2587" i="12"/>
  <c r="Q2589" i="12"/>
  <c r="Q2591" i="12"/>
  <c r="Q2593" i="12"/>
  <c r="Q2595" i="12"/>
  <c r="Q2597" i="12"/>
  <c r="Q2599" i="12"/>
  <c r="Q2601" i="12"/>
  <c r="Q2603" i="12"/>
  <c r="Q2605" i="12"/>
  <c r="Q2607" i="12"/>
  <c r="Q2609" i="12"/>
  <c r="Q2611" i="12"/>
  <c r="Q2613" i="12"/>
  <c r="Q2615" i="12"/>
  <c r="Q2617" i="12"/>
  <c r="Q2619" i="12"/>
  <c r="Q2621" i="12"/>
  <c r="Q2623" i="12"/>
  <c r="Q2625" i="12"/>
  <c r="Q2627" i="12"/>
  <c r="Q2629" i="12"/>
  <c r="Q2631" i="12"/>
  <c r="Q2633" i="12"/>
  <c r="Q2635" i="12"/>
  <c r="Q2637" i="12"/>
  <c r="Q2639" i="12"/>
  <c r="Q2641" i="12"/>
  <c r="Q2643" i="12"/>
  <c r="Q2645" i="12"/>
  <c r="Q2647" i="12"/>
  <c r="Q2649" i="12"/>
  <c r="Q2651" i="12"/>
  <c r="Q2653" i="12"/>
  <c r="Q2655" i="12"/>
  <c r="Q2657" i="12"/>
  <c r="Q2659" i="12"/>
  <c r="Q2661" i="12"/>
  <c r="Q2663" i="12"/>
  <c r="Q2665" i="12"/>
  <c r="Q2667" i="12"/>
  <c r="Q2669" i="12"/>
  <c r="Q2671" i="12"/>
  <c r="Q2673" i="12"/>
  <c r="Q2675" i="12"/>
  <c r="Q2677" i="12"/>
  <c r="Q2679" i="12"/>
  <c r="Q2681" i="12"/>
  <c r="Q2683" i="12"/>
  <c r="Q2685" i="12"/>
  <c r="Q2687" i="12"/>
  <c r="Q2689" i="12"/>
  <c r="Q2691" i="12"/>
  <c r="Q2693" i="12"/>
  <c r="Q2695" i="12"/>
  <c r="Q2697" i="12"/>
  <c r="Q2699" i="12"/>
  <c r="Q2701" i="12"/>
  <c r="Q2703" i="12"/>
  <c r="Q2705" i="12"/>
  <c r="Q2707" i="12"/>
  <c r="Q2709" i="12"/>
  <c r="Q2711" i="12"/>
  <c r="Q2713" i="12"/>
  <c r="Q2715" i="12"/>
  <c r="Q2717" i="12"/>
  <c r="Q2719" i="12"/>
  <c r="Q2721" i="12"/>
  <c r="Q2723" i="12"/>
  <c r="Q2725" i="12"/>
  <c r="Q2727" i="12"/>
  <c r="Q2729" i="12"/>
  <c r="Q2731" i="12"/>
  <c r="Q2733" i="12"/>
  <c r="Q2735" i="12"/>
  <c r="Q2737" i="12"/>
  <c r="Q2739" i="12"/>
  <c r="Q2741" i="12"/>
  <c r="Q2743" i="12"/>
  <c r="Q2745" i="12"/>
  <c r="Q2747" i="12"/>
  <c r="Q2749" i="12"/>
  <c r="Q2751" i="12"/>
  <c r="Q2753" i="12"/>
  <c r="Q2755" i="12"/>
  <c r="Q2757" i="12"/>
  <c r="Q2759" i="12"/>
  <c r="Q2761" i="12"/>
  <c r="Q2763" i="12"/>
  <c r="Q2765" i="12"/>
  <c r="Q2767" i="12"/>
  <c r="Q2769" i="12"/>
  <c r="Q2771" i="12"/>
  <c r="Q2773" i="12"/>
  <c r="Q2775" i="12"/>
  <c r="Q2777" i="12"/>
  <c r="Q2779" i="12"/>
  <c r="Q2781" i="12"/>
  <c r="Q2783" i="12"/>
  <c r="Q2785" i="12"/>
  <c r="Q2787" i="12"/>
  <c r="Q2789" i="12"/>
  <c r="Q2791" i="12"/>
  <c r="Q2793" i="12"/>
  <c r="Q2795" i="12"/>
  <c r="Q2797" i="12"/>
  <c r="Q2799" i="12"/>
  <c r="Q2801" i="12"/>
  <c r="Q2803" i="12"/>
  <c r="Q2805" i="12"/>
  <c r="Q2807" i="12"/>
  <c r="Q2809" i="12"/>
  <c r="Q2811" i="12"/>
  <c r="Q2813" i="12"/>
  <c r="Q2815" i="12"/>
  <c r="Q2817" i="12"/>
  <c r="Q2819" i="12"/>
  <c r="Q2821" i="12"/>
  <c r="Q2823" i="12"/>
  <c r="Q2825" i="12"/>
  <c r="Q2827" i="12"/>
  <c r="Q2829" i="12"/>
  <c r="Q2831" i="12"/>
  <c r="Q2833" i="12"/>
  <c r="Q2835" i="12"/>
  <c r="Q2837" i="12"/>
  <c r="Q2839" i="12"/>
  <c r="Q2841" i="12"/>
  <c r="Q2843" i="12"/>
  <c r="Q2845" i="12"/>
  <c r="Q2847" i="12"/>
  <c r="Q2849" i="12"/>
  <c r="Q2851" i="12"/>
  <c r="Q2853" i="12"/>
  <c r="Q2855" i="12"/>
  <c r="Q2857" i="12"/>
  <c r="Q2859" i="12"/>
  <c r="Q2861" i="12"/>
  <c r="Q2863" i="12"/>
  <c r="Q2865" i="12"/>
  <c r="Q2867" i="12"/>
  <c r="Q2869" i="12"/>
  <c r="Q2871" i="12"/>
  <c r="Q2873" i="12"/>
  <c r="Q2875" i="12"/>
  <c r="Q2877" i="12"/>
  <c r="Q2879" i="12"/>
  <c r="Q2881" i="12"/>
  <c r="Q2883" i="12"/>
  <c r="Q2885" i="12"/>
  <c r="Q2887" i="12"/>
  <c r="Q2889" i="12"/>
  <c r="Q2891" i="12"/>
  <c r="Q2893" i="12"/>
  <c r="Q2895" i="12"/>
  <c r="Q2897" i="12"/>
  <c r="Q2899" i="12"/>
  <c r="Q2901" i="12"/>
  <c r="Q2903" i="12"/>
  <c r="Q2905" i="12"/>
  <c r="Q2907" i="12"/>
  <c r="Q2909" i="12"/>
  <c r="Q2911" i="12"/>
  <c r="Q2913" i="12"/>
  <c r="Q2915" i="12"/>
  <c r="Q2917" i="12"/>
  <c r="Q2919" i="12"/>
  <c r="Q2921" i="12"/>
  <c r="Q2923" i="12"/>
  <c r="Q2925" i="12"/>
  <c r="Q2927" i="12"/>
  <c r="Q2929" i="12"/>
  <c r="Q2931" i="12"/>
  <c r="Q2933" i="12"/>
  <c r="Q2935" i="12"/>
  <c r="Q2937" i="12"/>
  <c r="Q2939" i="12"/>
  <c r="Q2941" i="12"/>
  <c r="Q2943" i="12"/>
  <c r="Q2945" i="12"/>
  <c r="Q2947" i="12"/>
  <c r="Q2949" i="12"/>
  <c r="Q2951" i="12"/>
  <c r="Q2953" i="12"/>
  <c r="Q2955" i="12"/>
  <c r="Q2957" i="12"/>
  <c r="Q2959" i="12"/>
  <c r="Q2961" i="12"/>
  <c r="Q2963" i="12"/>
  <c r="Q2965" i="12"/>
  <c r="Q2967" i="12"/>
  <c r="Q2969" i="12"/>
  <c r="Q2971" i="12"/>
  <c r="Q2973" i="12"/>
  <c r="Q2975" i="12"/>
  <c r="Q2977" i="12"/>
  <c r="Q2979" i="12"/>
  <c r="Q2981" i="12"/>
  <c r="Q2983" i="12"/>
  <c r="Q2985" i="12"/>
  <c r="Q2987" i="12"/>
  <c r="Q2989" i="12"/>
  <c r="Q2991" i="12"/>
  <c r="Q2993" i="12"/>
  <c r="Q2995" i="12"/>
  <c r="Q2997" i="12"/>
  <c r="Q2999" i="12"/>
  <c r="Q3001" i="12"/>
  <c r="Q3003" i="12"/>
  <c r="Q3005" i="12"/>
  <c r="Q3007" i="12"/>
  <c r="Q3009" i="12"/>
  <c r="Q3011" i="12"/>
  <c r="Q3013" i="12"/>
  <c r="Q3015" i="12"/>
  <c r="Q3017" i="12"/>
  <c r="Q3019" i="12"/>
  <c r="Q3021" i="12"/>
  <c r="Q3023" i="12"/>
  <c r="Q3025" i="12"/>
  <c r="Q3027" i="12"/>
  <c r="Q3029" i="12"/>
  <c r="Q3031" i="12"/>
  <c r="Q3033" i="12"/>
  <c r="Q3035" i="12"/>
  <c r="Q3037" i="12"/>
  <c r="Q3039" i="12"/>
  <c r="Q3041" i="12"/>
  <c r="Q3043" i="12"/>
  <c r="Q3045" i="12"/>
  <c r="Q3047" i="12"/>
  <c r="Q3049" i="12"/>
  <c r="Q3051" i="12"/>
  <c r="Q3053" i="12"/>
  <c r="Q3055" i="12"/>
  <c r="Q3057" i="12"/>
  <c r="Q3059" i="12"/>
  <c r="Q3061" i="12"/>
  <c r="Q3063" i="12"/>
  <c r="Q3065" i="12"/>
  <c r="Q3067" i="12"/>
  <c r="Q3069" i="12"/>
  <c r="Q3071" i="12"/>
  <c r="Q3073" i="12"/>
  <c r="Q3075" i="12"/>
  <c r="Q3077" i="12"/>
  <c r="Q3079" i="12"/>
  <c r="Q3081" i="12"/>
  <c r="Q3083" i="12"/>
  <c r="Q3085" i="12"/>
  <c r="Q3087" i="12"/>
  <c r="Q3089" i="12"/>
  <c r="Q3091" i="12"/>
  <c r="Q3093" i="12"/>
  <c r="Q3095" i="12"/>
  <c r="Q3097" i="12"/>
  <c r="Q3099" i="12"/>
  <c r="Q3101" i="12"/>
  <c r="Q3103" i="12"/>
  <c r="Q3105" i="12"/>
  <c r="Q3107" i="12"/>
  <c r="Q3109" i="12"/>
  <c r="Q3111" i="12"/>
  <c r="Q3113" i="12"/>
  <c r="Q3115" i="12"/>
  <c r="Q3117" i="12"/>
  <c r="Q3119" i="12"/>
  <c r="Q3121" i="12"/>
  <c r="Q3123" i="12"/>
  <c r="Q3125" i="12"/>
  <c r="Q3127" i="12"/>
  <c r="Q3129" i="12"/>
  <c r="Q3131" i="12"/>
  <c r="Q3133" i="12"/>
  <c r="Q3135" i="12"/>
  <c r="Q3137" i="12"/>
  <c r="Q3139" i="12"/>
  <c r="Q3141" i="12"/>
  <c r="Q3143" i="12"/>
  <c r="Q3145" i="12"/>
  <c r="Q3147" i="12"/>
  <c r="Q3149" i="12"/>
  <c r="Q3151" i="12"/>
  <c r="Q3153" i="12"/>
  <c r="Q3155" i="12"/>
  <c r="Q3157" i="12"/>
  <c r="Q3159" i="12"/>
  <c r="Q3161" i="12"/>
  <c r="Q3163" i="12"/>
  <c r="Q3165" i="12"/>
  <c r="Q3167" i="12"/>
  <c r="Q3169" i="12"/>
  <c r="Q3171" i="12"/>
  <c r="Q3173" i="12"/>
  <c r="Q3175" i="12"/>
  <c r="Q3177" i="12"/>
  <c r="Q3179" i="12"/>
  <c r="Q3181" i="12"/>
  <c r="Q3183" i="12"/>
  <c r="Q3185" i="12"/>
  <c r="Q3187" i="12"/>
  <c r="Q3189" i="12"/>
  <c r="Q3191" i="12"/>
  <c r="Q3193" i="12"/>
  <c r="Q3195" i="12"/>
  <c r="Q3197" i="12"/>
  <c r="Q3199" i="12"/>
  <c r="Q3201" i="12"/>
  <c r="Q3203" i="12"/>
  <c r="Q3205" i="12"/>
  <c r="Q3207" i="12"/>
  <c r="Q3209" i="12"/>
  <c r="Q3211" i="12"/>
  <c r="Q3213" i="12"/>
  <c r="Q3215" i="12"/>
  <c r="Q3217" i="12"/>
  <c r="Q3219" i="12"/>
  <c r="Q3221" i="12"/>
  <c r="Q3223" i="12"/>
  <c r="Q3225" i="12"/>
  <c r="Q3227" i="12"/>
  <c r="Q3229" i="12"/>
  <c r="Q3231" i="12"/>
  <c r="Q3233" i="12"/>
  <c r="Q3235" i="12"/>
  <c r="Q3237" i="12"/>
  <c r="Q3239" i="12"/>
  <c r="Q3241" i="12"/>
  <c r="Q3243" i="12"/>
  <c r="Q3245" i="12"/>
  <c r="Q3247" i="12"/>
  <c r="Q3249" i="12"/>
  <c r="Q3251" i="12"/>
  <c r="Q3253" i="12"/>
  <c r="Q3255" i="12"/>
  <c r="Q3257" i="12"/>
  <c r="Q3259" i="12"/>
  <c r="Q3261" i="12"/>
  <c r="Q3263" i="12"/>
  <c r="Q3265" i="12"/>
  <c r="Q3267" i="12"/>
  <c r="Q3269" i="12"/>
  <c r="Q3271" i="12"/>
  <c r="Q3273" i="12"/>
  <c r="Q3275" i="12"/>
  <c r="Q3277" i="12"/>
  <c r="Q3279" i="12"/>
  <c r="Q3281" i="12"/>
  <c r="Q3283" i="12"/>
  <c r="Q3285" i="12"/>
  <c r="Q3287" i="12"/>
  <c r="Q3289" i="12"/>
  <c r="Q3291" i="12"/>
  <c r="Q3293" i="12"/>
  <c r="Q3295" i="12"/>
  <c r="Q3297" i="12"/>
  <c r="Q3299" i="12"/>
  <c r="Q3301" i="12"/>
  <c r="Q3303" i="12"/>
  <c r="Q3305" i="12"/>
  <c r="Q3307" i="12"/>
  <c r="Q3309" i="12"/>
  <c r="Q3311" i="12"/>
  <c r="Q3313" i="12"/>
  <c r="Q3315" i="12"/>
  <c r="Q3317" i="12"/>
  <c r="Q3319" i="12"/>
  <c r="Q3321" i="12"/>
  <c r="Q3323" i="12"/>
  <c r="Q3325" i="12"/>
  <c r="Q3327" i="12"/>
  <c r="Q3329" i="12"/>
  <c r="Q3331" i="12"/>
  <c r="Q3333" i="12"/>
  <c r="Q3335" i="12"/>
  <c r="Q3337" i="12"/>
  <c r="Q3339" i="12"/>
  <c r="Q3341" i="12"/>
  <c r="Q3343" i="12"/>
  <c r="Q3345" i="12"/>
  <c r="Q3347" i="12"/>
  <c r="Q3349" i="12"/>
  <c r="Q3351" i="12"/>
  <c r="Q3353" i="12"/>
  <c r="Q3355" i="12"/>
  <c r="Q3357" i="12"/>
  <c r="Q3359" i="12"/>
  <c r="Q3361" i="12"/>
  <c r="Q3363" i="12"/>
  <c r="Q3365" i="12"/>
  <c r="Q3367" i="12"/>
  <c r="Q3369" i="12"/>
  <c r="Q3371" i="12"/>
  <c r="Q3373" i="12"/>
  <c r="Q3375" i="12"/>
  <c r="Q3377" i="12"/>
  <c r="Q3379" i="12"/>
  <c r="Q3381" i="12"/>
  <c r="Q3383" i="12"/>
  <c r="Q3385" i="12"/>
  <c r="Q3387" i="12"/>
  <c r="Q3389" i="12"/>
  <c r="Q3391" i="12"/>
  <c r="Q3393" i="12"/>
  <c r="Q3395" i="12"/>
  <c r="Q3397" i="12"/>
  <c r="Q3399" i="12"/>
  <c r="Q3401" i="12"/>
  <c r="Q3403" i="12"/>
  <c r="Q3405" i="12"/>
  <c r="Q3407" i="12"/>
  <c r="Q3409" i="12"/>
  <c r="Q3411" i="12"/>
  <c r="Q3413" i="12"/>
  <c r="Q3415" i="12"/>
  <c r="Q3417" i="12"/>
  <c r="Q3419" i="12"/>
  <c r="Q3421" i="12"/>
  <c r="Q3423" i="12"/>
  <c r="Q3425" i="12"/>
  <c r="Q3427" i="12"/>
  <c r="Q3429" i="12"/>
  <c r="Q3431" i="12"/>
  <c r="Q3433" i="12"/>
  <c r="Q3435" i="12"/>
  <c r="Q3437" i="12"/>
  <c r="Q3439" i="12"/>
  <c r="Q3441" i="12"/>
  <c r="Q3443" i="12"/>
  <c r="Q3445" i="12"/>
  <c r="Q3447" i="12"/>
  <c r="Q3449" i="12"/>
  <c r="Q3451" i="12"/>
  <c r="Q3453" i="12"/>
  <c r="Q3455" i="12"/>
  <c r="Q3457" i="12"/>
  <c r="Q3459" i="12"/>
  <c r="Q3461" i="12"/>
  <c r="Q3463" i="12"/>
  <c r="Q3465" i="12"/>
  <c r="Q3467" i="12"/>
  <c r="Q3469" i="12"/>
  <c r="Q3471" i="12"/>
  <c r="Q3473" i="12"/>
  <c r="Q3475" i="12"/>
  <c r="Q3477" i="12"/>
  <c r="Q3479" i="12"/>
  <c r="Q3481" i="12"/>
  <c r="Q3483" i="12"/>
  <c r="Q3485" i="12"/>
  <c r="Q3487" i="12"/>
  <c r="Q3489" i="12"/>
  <c r="Q3491" i="12"/>
  <c r="Q3493" i="12"/>
  <c r="Q3495" i="12"/>
  <c r="Q3497" i="12"/>
  <c r="Q3499" i="12"/>
  <c r="Q3501" i="12"/>
  <c r="Q3503" i="12"/>
  <c r="Q3505" i="12"/>
  <c r="Q3507" i="12"/>
  <c r="Q3509" i="12"/>
  <c r="Q3511" i="12"/>
  <c r="Q3513" i="12"/>
  <c r="Q3515" i="12"/>
  <c r="Q3517" i="12"/>
  <c r="Q3519" i="12"/>
  <c r="Q3521" i="12"/>
  <c r="Q3523" i="12"/>
  <c r="Q3525" i="12"/>
  <c r="Q3527" i="12"/>
  <c r="Q3529" i="12"/>
  <c r="Q3531" i="12"/>
  <c r="Q3533" i="12"/>
  <c r="Q3535" i="12"/>
  <c r="Q3537" i="12"/>
  <c r="Q3539" i="12"/>
  <c r="Q3541" i="12"/>
  <c r="Q3543" i="12"/>
  <c r="Q3545" i="12"/>
  <c r="Q3547" i="12"/>
  <c r="Q3549" i="12"/>
  <c r="Q3551" i="12"/>
  <c r="Q3553" i="12"/>
  <c r="Q3555" i="12"/>
  <c r="Q3557" i="12"/>
  <c r="Q3559" i="12"/>
  <c r="Q3561" i="12"/>
  <c r="Q3563" i="12"/>
  <c r="Q3565" i="12"/>
  <c r="Q3567" i="12"/>
  <c r="Q3569" i="12"/>
  <c r="Q3571" i="12"/>
  <c r="Q3573" i="12"/>
  <c r="Q3575" i="12"/>
  <c r="Q3577" i="12"/>
  <c r="Q3579" i="12"/>
  <c r="Q3581" i="12"/>
  <c r="Q3583" i="12"/>
  <c r="Q3585" i="12"/>
  <c r="Q3587" i="12"/>
  <c r="Q3589" i="12"/>
  <c r="Q3591" i="12"/>
  <c r="Q3593" i="12"/>
  <c r="Q3595" i="12"/>
  <c r="Q3597" i="12"/>
  <c r="Q3599" i="12"/>
  <c r="Q3601" i="12"/>
  <c r="Q3603" i="12"/>
  <c r="Q3605" i="12"/>
  <c r="Q3607" i="12"/>
  <c r="Q9" i="12"/>
  <c r="X10" i="12"/>
  <c r="X12" i="12"/>
  <c r="X14" i="12"/>
  <c r="X16" i="12"/>
  <c r="X18" i="12"/>
  <c r="X20" i="12"/>
  <c r="X22" i="12"/>
  <c r="X24" i="12"/>
  <c r="X26" i="12"/>
  <c r="X28" i="12"/>
  <c r="X30" i="12"/>
  <c r="X32" i="12"/>
  <c r="X34" i="12"/>
  <c r="X36" i="12"/>
  <c r="X38" i="12"/>
  <c r="X40" i="12"/>
  <c r="X42" i="12"/>
  <c r="X44" i="12"/>
  <c r="X46" i="12"/>
  <c r="X48" i="12"/>
  <c r="X50" i="12"/>
  <c r="X52" i="12"/>
  <c r="X54" i="12"/>
  <c r="X56" i="12"/>
  <c r="X58" i="12"/>
  <c r="X60" i="12"/>
  <c r="X62" i="12"/>
  <c r="X64" i="12"/>
  <c r="X66" i="12"/>
  <c r="X68" i="12"/>
  <c r="X70" i="12"/>
  <c r="X72" i="12"/>
  <c r="X74" i="12"/>
  <c r="X76" i="12"/>
  <c r="X78" i="12"/>
  <c r="X80" i="12"/>
  <c r="X82" i="12"/>
  <c r="X84" i="12"/>
  <c r="X86" i="12"/>
  <c r="X88" i="12"/>
  <c r="X90" i="12"/>
  <c r="X92" i="12"/>
  <c r="X94" i="12"/>
  <c r="X96" i="12"/>
  <c r="X98" i="12"/>
  <c r="X100" i="12"/>
  <c r="X102" i="12"/>
  <c r="X104" i="12"/>
  <c r="X106" i="12"/>
  <c r="X108" i="12"/>
  <c r="X110" i="12"/>
  <c r="X112" i="12"/>
  <c r="X114" i="12"/>
  <c r="X116" i="12"/>
  <c r="X118" i="12"/>
  <c r="X120" i="12"/>
  <c r="X122" i="12"/>
  <c r="X124" i="12"/>
  <c r="X126" i="12"/>
  <c r="X128" i="12"/>
  <c r="X130" i="12"/>
  <c r="X132" i="12"/>
  <c r="X134" i="12"/>
  <c r="X136" i="12"/>
  <c r="X138" i="12"/>
  <c r="X140" i="12"/>
  <c r="X142" i="12"/>
  <c r="X144" i="12"/>
  <c r="X146" i="12"/>
  <c r="X148" i="12"/>
  <c r="X150" i="12"/>
  <c r="X152" i="12"/>
  <c r="X154" i="12"/>
  <c r="X156" i="12"/>
  <c r="X158" i="12"/>
  <c r="X160" i="12"/>
  <c r="X162" i="12"/>
  <c r="X164" i="12"/>
  <c r="X166" i="12"/>
  <c r="X168" i="12"/>
  <c r="X170" i="12"/>
  <c r="X172" i="12"/>
  <c r="X174" i="12"/>
  <c r="X176" i="12"/>
  <c r="X178" i="12"/>
  <c r="X180" i="12"/>
  <c r="X182" i="12"/>
  <c r="X184" i="12"/>
  <c r="X186" i="12"/>
  <c r="X188" i="12"/>
  <c r="X190" i="12"/>
  <c r="X192" i="12"/>
  <c r="X194" i="12"/>
  <c r="X196" i="12"/>
  <c r="X198" i="12"/>
  <c r="X200" i="12"/>
  <c r="X202" i="12"/>
  <c r="X204" i="12"/>
  <c r="X206" i="12"/>
  <c r="X208" i="12"/>
  <c r="X210" i="12"/>
  <c r="X212" i="12"/>
  <c r="X214" i="12"/>
  <c r="X216" i="12"/>
  <c r="X218" i="12"/>
  <c r="X220" i="12"/>
  <c r="X222" i="12"/>
  <c r="X224" i="12"/>
  <c r="X226" i="12"/>
  <c r="X228" i="12"/>
  <c r="X230" i="12"/>
  <c r="X232" i="12"/>
  <c r="X234" i="12"/>
  <c r="X236" i="12"/>
  <c r="X238" i="12"/>
  <c r="X240" i="12"/>
  <c r="X242" i="12"/>
  <c r="X244" i="12"/>
  <c r="X246" i="12"/>
  <c r="X248" i="12"/>
  <c r="X250" i="12"/>
  <c r="X252" i="12"/>
  <c r="X254" i="12"/>
  <c r="X256" i="12"/>
  <c r="X258" i="12"/>
  <c r="X260" i="12"/>
  <c r="X262" i="12"/>
  <c r="X264" i="12"/>
  <c r="X266" i="12"/>
  <c r="X268" i="12"/>
  <c r="X270" i="12"/>
  <c r="X272" i="12"/>
  <c r="X274" i="12"/>
  <c r="X276" i="12"/>
  <c r="X278" i="12"/>
  <c r="X280" i="12"/>
  <c r="X282" i="12"/>
  <c r="X284" i="12"/>
  <c r="X286" i="12"/>
  <c r="X288" i="12"/>
  <c r="X290" i="12"/>
  <c r="X292" i="12"/>
  <c r="X294" i="12"/>
  <c r="X296" i="12"/>
  <c r="X298" i="12"/>
  <c r="X300" i="12"/>
  <c r="X302" i="12"/>
  <c r="X304" i="12"/>
  <c r="X306" i="12"/>
  <c r="X308" i="12"/>
  <c r="X310" i="12"/>
  <c r="X312" i="12"/>
  <c r="X314" i="12"/>
  <c r="X316" i="12"/>
  <c r="X318" i="12"/>
  <c r="X320" i="12"/>
  <c r="X322" i="12"/>
  <c r="X324" i="12"/>
  <c r="X326" i="12"/>
  <c r="X328" i="12"/>
  <c r="X330" i="12"/>
  <c r="X332" i="12"/>
  <c r="X334" i="12"/>
  <c r="X336" i="12"/>
  <c r="X338" i="12"/>
  <c r="X340" i="12"/>
  <c r="X342" i="12"/>
  <c r="X344" i="12"/>
  <c r="X346" i="12"/>
  <c r="X348" i="12"/>
  <c r="X350" i="12"/>
  <c r="X352" i="12"/>
  <c r="X354" i="12"/>
  <c r="X356" i="12"/>
  <c r="X358" i="12"/>
  <c r="X360" i="12"/>
  <c r="X362" i="12"/>
  <c r="X364" i="12"/>
  <c r="X366" i="12"/>
  <c r="X368" i="12"/>
  <c r="X370" i="12"/>
  <c r="X372" i="12"/>
  <c r="X374" i="12"/>
  <c r="X376" i="12"/>
  <c r="X378" i="12"/>
  <c r="X380" i="12"/>
  <c r="X382" i="12"/>
  <c r="X384" i="12"/>
  <c r="X386" i="12"/>
  <c r="X388" i="12"/>
  <c r="X390" i="12"/>
  <c r="X392" i="12"/>
  <c r="X394" i="12"/>
  <c r="X396" i="12"/>
  <c r="X398" i="12"/>
  <c r="X400" i="12"/>
  <c r="X402" i="12"/>
  <c r="X404" i="12"/>
  <c r="X406" i="12"/>
  <c r="X408" i="12"/>
  <c r="X410" i="12"/>
  <c r="X412" i="12"/>
  <c r="X414" i="12"/>
  <c r="X416" i="12"/>
  <c r="X418" i="12"/>
  <c r="X420" i="12"/>
  <c r="X422" i="12"/>
  <c r="X424" i="12"/>
  <c r="X426" i="12"/>
  <c r="X428" i="12"/>
  <c r="X430" i="12"/>
  <c r="X432" i="12"/>
  <c r="X434" i="12"/>
  <c r="X436" i="12"/>
  <c r="X438" i="12"/>
  <c r="X440" i="12"/>
  <c r="X442" i="12"/>
  <c r="X444" i="12"/>
  <c r="X446" i="12"/>
  <c r="X448" i="12"/>
  <c r="X450" i="12"/>
  <c r="X452" i="12"/>
  <c r="X454" i="12"/>
  <c r="X456" i="12"/>
  <c r="X458" i="12"/>
  <c r="X460" i="12"/>
  <c r="X462" i="12"/>
  <c r="X464" i="12"/>
  <c r="X466" i="12"/>
  <c r="X468" i="12"/>
  <c r="X470" i="12"/>
  <c r="X472" i="12"/>
  <c r="X474" i="12"/>
  <c r="X476" i="12"/>
  <c r="X478" i="12"/>
  <c r="X480" i="12"/>
  <c r="X482" i="12"/>
  <c r="X484" i="12"/>
  <c r="X486" i="12"/>
  <c r="X488" i="12"/>
  <c r="X490" i="12"/>
  <c r="X492" i="12"/>
  <c r="X494" i="12"/>
  <c r="X496" i="12"/>
  <c r="X498" i="12"/>
  <c r="X500" i="12"/>
  <c r="X502" i="12"/>
  <c r="X504" i="12"/>
  <c r="X506" i="12"/>
  <c r="X508" i="12"/>
  <c r="X510" i="12"/>
  <c r="X512" i="12"/>
  <c r="X514" i="12"/>
  <c r="X516" i="12"/>
  <c r="X518" i="12"/>
  <c r="X520" i="12"/>
  <c r="X522" i="12"/>
  <c r="X524" i="12"/>
  <c r="X526" i="12"/>
  <c r="X528" i="12"/>
  <c r="X530" i="12"/>
  <c r="X532" i="12"/>
  <c r="X534" i="12"/>
  <c r="X536" i="12"/>
  <c r="X538" i="12"/>
  <c r="X540" i="12"/>
  <c r="X542" i="12"/>
  <c r="X544" i="12"/>
  <c r="X546" i="12"/>
  <c r="X548" i="12"/>
  <c r="X550" i="12"/>
  <c r="X552" i="12"/>
  <c r="X554" i="12"/>
  <c r="X556" i="12"/>
  <c r="X558" i="12"/>
  <c r="X560" i="12"/>
  <c r="X562" i="12"/>
  <c r="X564" i="12"/>
  <c r="X566" i="12"/>
  <c r="X568" i="12"/>
  <c r="X570" i="12"/>
  <c r="X572" i="12"/>
  <c r="X574" i="12"/>
  <c r="X576" i="12"/>
  <c r="X578" i="12"/>
  <c r="X580" i="12"/>
  <c r="X582" i="12"/>
  <c r="X584" i="12"/>
  <c r="X586" i="12"/>
  <c r="X588" i="12"/>
  <c r="X590" i="12"/>
  <c r="X592" i="12"/>
  <c r="X594" i="12"/>
  <c r="X596" i="12"/>
  <c r="X598" i="12"/>
  <c r="X600" i="12"/>
  <c r="X602" i="12"/>
  <c r="X604" i="12"/>
  <c r="X606" i="12"/>
  <c r="X608" i="12"/>
  <c r="X610" i="12"/>
  <c r="X612" i="12"/>
  <c r="X614" i="12"/>
  <c r="X616" i="12"/>
  <c r="X618" i="12"/>
  <c r="X620" i="12"/>
  <c r="X622" i="12"/>
  <c r="X624" i="12"/>
  <c r="X626" i="12"/>
  <c r="X628" i="12"/>
  <c r="X630" i="12"/>
  <c r="X632" i="12"/>
  <c r="X634" i="12"/>
  <c r="X636" i="12"/>
  <c r="X638" i="12"/>
  <c r="X640" i="12"/>
  <c r="X642" i="12"/>
  <c r="X644" i="12"/>
  <c r="X646" i="12"/>
  <c r="X648" i="12"/>
  <c r="X650" i="12"/>
  <c r="X652" i="12"/>
  <c r="X654" i="12"/>
  <c r="X656" i="12"/>
  <c r="X658" i="12"/>
  <c r="X660" i="12"/>
  <c r="X662" i="12"/>
  <c r="X664" i="12"/>
  <c r="X666" i="12"/>
  <c r="X668" i="12"/>
  <c r="X670" i="12"/>
  <c r="X672" i="12"/>
  <c r="X674" i="12"/>
  <c r="X676" i="12"/>
  <c r="X678" i="12"/>
  <c r="X680" i="12"/>
  <c r="X682" i="12"/>
  <c r="X684" i="12"/>
  <c r="X686" i="12"/>
  <c r="X688" i="12"/>
  <c r="X690" i="12"/>
  <c r="X692" i="12"/>
  <c r="X694" i="12"/>
  <c r="X696" i="12"/>
  <c r="X698" i="12"/>
  <c r="X700" i="12"/>
  <c r="X702" i="12"/>
  <c r="X704" i="12"/>
  <c r="X706" i="12"/>
  <c r="X708" i="12"/>
  <c r="X710" i="12"/>
  <c r="X712" i="12"/>
  <c r="X714" i="12"/>
  <c r="X716" i="12"/>
  <c r="X718" i="12"/>
  <c r="X720" i="12"/>
  <c r="X722" i="12"/>
  <c r="X724" i="12"/>
  <c r="X726" i="12"/>
  <c r="X728" i="12"/>
  <c r="X730" i="12"/>
  <c r="X732" i="12"/>
  <c r="X734" i="12"/>
  <c r="X736" i="12"/>
  <c r="X738" i="12"/>
  <c r="X740" i="12"/>
  <c r="X742" i="12"/>
  <c r="X744" i="12"/>
  <c r="X746" i="12"/>
  <c r="X748" i="12"/>
  <c r="X750" i="12"/>
  <c r="X752" i="12"/>
  <c r="X754" i="12"/>
  <c r="X756" i="12"/>
  <c r="X758" i="12"/>
  <c r="X760" i="12"/>
  <c r="X762" i="12"/>
  <c r="X764" i="12"/>
  <c r="X766" i="12"/>
  <c r="X768" i="12"/>
  <c r="X770" i="12"/>
  <c r="X772" i="12"/>
  <c r="X774" i="12"/>
  <c r="X776" i="12"/>
  <c r="X778" i="12"/>
  <c r="X780" i="12"/>
  <c r="X782" i="12"/>
  <c r="X784" i="12"/>
  <c r="X786" i="12"/>
  <c r="X788" i="12"/>
  <c r="X790" i="12"/>
  <c r="X792" i="12"/>
  <c r="X794" i="12"/>
  <c r="X796" i="12"/>
  <c r="X798" i="12"/>
  <c r="X800" i="12"/>
  <c r="X802" i="12"/>
  <c r="X804" i="12"/>
  <c r="X806" i="12"/>
  <c r="X808" i="12"/>
  <c r="X810" i="12"/>
  <c r="X812" i="12"/>
  <c r="X814" i="12"/>
  <c r="X816" i="12"/>
  <c r="X818" i="12"/>
  <c r="X820" i="12"/>
  <c r="X822" i="12"/>
  <c r="X824" i="12"/>
  <c r="X826" i="12"/>
  <c r="X828" i="12"/>
  <c r="X830" i="12"/>
  <c r="X832" i="12"/>
  <c r="X834" i="12"/>
  <c r="X836" i="12"/>
  <c r="X838" i="12"/>
  <c r="X840" i="12"/>
  <c r="X842" i="12"/>
  <c r="X844" i="12"/>
  <c r="X846" i="12"/>
  <c r="X848" i="12"/>
  <c r="X850" i="12"/>
  <c r="X852" i="12"/>
  <c r="X854" i="12"/>
  <c r="X856" i="12"/>
  <c r="X858" i="12"/>
  <c r="X860" i="12"/>
  <c r="X862" i="12"/>
  <c r="X864" i="12"/>
  <c r="X866" i="12"/>
  <c r="X868" i="12"/>
  <c r="X870" i="12"/>
  <c r="X872" i="12"/>
  <c r="X874" i="12"/>
  <c r="X876" i="12"/>
  <c r="X878" i="12"/>
  <c r="X880" i="12"/>
  <c r="X882" i="12"/>
  <c r="X884" i="12"/>
  <c r="X886" i="12"/>
  <c r="X888" i="12"/>
  <c r="X890" i="12"/>
  <c r="X892" i="12"/>
  <c r="X894" i="12"/>
  <c r="X896" i="12"/>
  <c r="X898" i="12"/>
  <c r="X900" i="12"/>
  <c r="X902" i="12"/>
  <c r="X904" i="12"/>
  <c r="X906" i="12"/>
  <c r="X908" i="12"/>
  <c r="X910" i="12"/>
  <c r="X912" i="12"/>
  <c r="X914" i="12"/>
  <c r="X916" i="12"/>
  <c r="X918" i="12"/>
  <c r="X920" i="12"/>
  <c r="X922" i="12"/>
  <c r="X924" i="12"/>
  <c r="X926" i="12"/>
  <c r="X928" i="12"/>
  <c r="X930" i="12"/>
  <c r="X932" i="12"/>
  <c r="X934" i="12"/>
  <c r="X936" i="12"/>
  <c r="X938" i="12"/>
  <c r="X940" i="12"/>
  <c r="X942" i="12"/>
  <c r="X944" i="12"/>
  <c r="X946" i="12"/>
  <c r="X948" i="12"/>
  <c r="X950" i="12"/>
  <c r="X952" i="12"/>
  <c r="X954" i="12"/>
  <c r="X956" i="12"/>
  <c r="X958" i="12"/>
  <c r="X960" i="12"/>
  <c r="X962" i="12"/>
  <c r="X964" i="12"/>
  <c r="X966" i="12"/>
  <c r="X968" i="12"/>
  <c r="X970" i="12"/>
  <c r="X972" i="12"/>
  <c r="X974" i="12"/>
  <c r="X976" i="12"/>
  <c r="X978" i="12"/>
  <c r="X980" i="12"/>
  <c r="X982" i="12"/>
  <c r="X984" i="12"/>
  <c r="X986" i="12"/>
  <c r="X988" i="12"/>
  <c r="X990" i="12"/>
  <c r="X992" i="12"/>
  <c r="X994" i="12"/>
  <c r="X996" i="12"/>
  <c r="X998" i="12"/>
  <c r="X1000" i="12"/>
  <c r="X1002" i="12"/>
  <c r="X1004" i="12"/>
  <c r="X1006" i="12"/>
  <c r="X1008" i="12"/>
  <c r="X1010" i="12"/>
  <c r="X1012" i="12"/>
  <c r="X1014" i="12"/>
  <c r="X1016" i="12"/>
  <c r="X1018" i="12"/>
  <c r="X1020" i="12"/>
  <c r="X1022" i="12"/>
  <c r="X1024" i="12"/>
  <c r="X1026" i="12"/>
  <c r="X1028" i="12"/>
  <c r="X1030" i="12"/>
  <c r="X1032" i="12"/>
  <c r="X1034" i="12"/>
  <c r="X1036" i="12"/>
  <c r="X1038" i="12"/>
  <c r="X1040" i="12"/>
  <c r="X1042" i="12"/>
  <c r="X1044" i="12"/>
  <c r="X1046" i="12"/>
  <c r="X1048" i="12"/>
  <c r="X1050" i="12"/>
  <c r="X1052" i="12"/>
  <c r="X1054" i="12"/>
  <c r="X1056" i="12"/>
  <c r="X1058" i="12"/>
  <c r="X1060" i="12"/>
  <c r="X1062" i="12"/>
  <c r="X1064" i="12"/>
  <c r="X1066" i="12"/>
  <c r="X1068" i="12"/>
  <c r="X1070" i="12"/>
  <c r="X1072" i="12"/>
  <c r="X1074" i="12"/>
  <c r="X1076" i="12"/>
  <c r="X1078" i="12"/>
  <c r="X1080" i="12"/>
  <c r="X1082" i="12"/>
  <c r="X1084" i="12"/>
  <c r="X1086" i="12"/>
  <c r="X1088" i="12"/>
  <c r="X1090" i="12"/>
  <c r="X1092" i="12"/>
  <c r="X1094" i="12"/>
  <c r="X1096" i="12"/>
  <c r="X1098" i="12"/>
  <c r="X1100" i="12"/>
  <c r="X1102" i="12"/>
  <c r="X1104" i="12"/>
  <c r="X1106" i="12"/>
  <c r="X1108" i="12"/>
  <c r="X1110" i="12"/>
  <c r="X1112" i="12"/>
  <c r="X1114" i="12"/>
  <c r="X1116" i="12"/>
  <c r="X1118" i="12"/>
  <c r="X1120" i="12"/>
  <c r="X1122" i="12"/>
  <c r="X1124" i="12"/>
  <c r="X1126" i="12"/>
  <c r="X1128" i="12"/>
  <c r="X1130" i="12"/>
  <c r="X1132" i="12"/>
  <c r="X1134" i="12"/>
  <c r="X1136" i="12"/>
  <c r="X1138" i="12"/>
  <c r="X1140" i="12"/>
  <c r="X1142" i="12"/>
  <c r="X1144" i="12"/>
  <c r="X1146" i="12"/>
  <c r="X1148" i="12"/>
  <c r="X1150" i="12"/>
  <c r="X1152" i="12"/>
  <c r="X1154" i="12"/>
  <c r="X1156" i="12"/>
  <c r="X1158" i="12"/>
  <c r="X1160" i="12"/>
  <c r="X1162" i="12"/>
  <c r="X1164" i="12"/>
  <c r="X1166" i="12"/>
  <c r="X1168" i="12"/>
  <c r="X1170" i="12"/>
  <c r="X1172" i="12"/>
  <c r="X1174" i="12"/>
  <c r="X1176" i="12"/>
  <c r="X1178" i="12"/>
  <c r="X1180" i="12"/>
  <c r="X1182" i="12"/>
  <c r="X1184" i="12"/>
  <c r="X1186" i="12"/>
  <c r="X1188" i="12"/>
  <c r="X1190" i="12"/>
  <c r="X1192" i="12"/>
  <c r="X1194" i="12"/>
  <c r="X1196" i="12"/>
  <c r="X1198" i="12"/>
  <c r="X1200" i="12"/>
  <c r="X1202" i="12"/>
  <c r="X1204" i="12"/>
  <c r="X1206" i="12"/>
  <c r="X1208" i="12"/>
  <c r="X1210" i="12"/>
  <c r="X1212" i="12"/>
  <c r="X1214" i="12"/>
  <c r="X1216" i="12"/>
  <c r="X1218" i="12"/>
  <c r="X1220" i="12"/>
  <c r="X1222" i="12"/>
  <c r="X1224" i="12"/>
  <c r="X1226" i="12"/>
  <c r="X1228" i="12"/>
  <c r="X1230" i="12"/>
  <c r="X1232" i="12"/>
  <c r="X1234" i="12"/>
  <c r="X1236" i="12"/>
  <c r="X1238" i="12"/>
  <c r="X1240" i="12"/>
  <c r="X1242" i="12"/>
  <c r="X1244" i="12"/>
  <c r="X1246" i="12"/>
  <c r="X1248" i="12"/>
  <c r="X1250" i="12"/>
  <c r="X1252" i="12"/>
  <c r="X1254" i="12"/>
  <c r="X1256" i="12"/>
  <c r="X1258" i="12"/>
  <c r="X1260" i="12"/>
  <c r="X1262" i="12"/>
  <c r="X1264" i="12"/>
  <c r="X1266" i="12"/>
  <c r="X1268" i="12"/>
  <c r="X1270" i="12"/>
  <c r="X1272" i="12"/>
  <c r="X1274" i="12"/>
  <c r="X1276" i="12"/>
  <c r="X1278" i="12"/>
  <c r="X1280" i="12"/>
  <c r="X1282" i="12"/>
  <c r="X1284" i="12"/>
  <c r="X1286" i="12"/>
  <c r="X1288" i="12"/>
  <c r="X1290" i="12"/>
  <c r="X1292" i="12"/>
  <c r="X1294" i="12"/>
  <c r="X1296" i="12"/>
  <c r="X1298" i="12"/>
  <c r="X1300" i="12"/>
  <c r="X1302" i="12"/>
  <c r="X1304" i="12"/>
  <c r="X1306" i="12"/>
  <c r="X1308" i="12"/>
  <c r="X1310" i="12"/>
  <c r="X1312" i="12"/>
  <c r="X1314" i="12"/>
  <c r="X1316" i="12"/>
  <c r="X1318" i="12"/>
  <c r="X1320" i="12"/>
  <c r="X1322" i="12"/>
  <c r="X1324" i="12"/>
  <c r="X1326" i="12"/>
  <c r="X1328" i="12"/>
  <c r="X1330" i="12"/>
  <c r="X1332" i="12"/>
  <c r="X1334" i="12"/>
  <c r="X1336" i="12"/>
  <c r="X1338" i="12"/>
  <c r="X1340" i="12"/>
  <c r="X1342" i="12"/>
  <c r="X1344" i="12"/>
  <c r="X1346" i="12"/>
  <c r="X1348" i="12"/>
  <c r="X1350" i="12"/>
  <c r="X1352" i="12"/>
  <c r="X1354" i="12"/>
  <c r="X1356" i="12"/>
  <c r="X1358" i="12"/>
  <c r="X1360" i="12"/>
  <c r="X1362" i="12"/>
  <c r="X1364" i="12"/>
  <c r="X1366" i="12"/>
  <c r="X1368" i="12"/>
  <c r="X1370" i="12"/>
  <c r="X1372" i="12"/>
  <c r="X1374" i="12"/>
  <c r="X1376" i="12"/>
  <c r="X1378" i="12"/>
  <c r="X1380" i="12"/>
  <c r="X1382" i="12"/>
  <c r="X1384" i="12"/>
  <c r="X1386" i="12"/>
  <c r="X1388" i="12"/>
  <c r="X1390" i="12"/>
  <c r="X1392" i="12"/>
  <c r="X1394" i="12"/>
  <c r="X1396" i="12"/>
  <c r="X1398" i="12"/>
  <c r="X1400" i="12"/>
  <c r="X1402" i="12"/>
  <c r="X1404" i="12"/>
  <c r="X1406" i="12"/>
  <c r="X1408" i="12"/>
  <c r="X1410" i="12"/>
  <c r="X1412" i="12"/>
  <c r="X1414" i="12"/>
  <c r="X1416" i="12"/>
  <c r="X1418" i="12"/>
  <c r="X1420" i="12"/>
  <c r="X1422" i="12"/>
  <c r="X1424" i="12"/>
  <c r="X1426" i="12"/>
  <c r="X1428" i="12"/>
  <c r="X1430" i="12"/>
  <c r="X1432" i="12"/>
  <c r="X1434" i="12"/>
  <c r="X1436" i="12"/>
  <c r="X1438" i="12"/>
  <c r="X1440" i="12"/>
  <c r="X1442" i="12"/>
  <c r="X1444" i="12"/>
  <c r="X1446" i="12"/>
  <c r="X1448" i="12"/>
  <c r="X1450" i="12"/>
  <c r="X1452" i="12"/>
  <c r="X1454" i="12"/>
  <c r="X1456" i="12"/>
  <c r="X1458" i="12"/>
  <c r="X1460" i="12"/>
  <c r="X1462" i="12"/>
  <c r="X1464" i="12"/>
  <c r="X1466" i="12"/>
  <c r="X1468" i="12"/>
  <c r="X1470" i="12"/>
  <c r="X1472" i="12"/>
  <c r="X1474" i="12"/>
  <c r="X1476" i="12"/>
  <c r="X1478" i="12"/>
  <c r="X1480" i="12"/>
  <c r="X1482" i="12"/>
  <c r="X1484" i="12"/>
  <c r="X1486" i="12"/>
  <c r="X1488" i="12"/>
  <c r="X1490" i="12"/>
  <c r="X1492" i="12"/>
  <c r="X1494" i="12"/>
  <c r="X1496" i="12"/>
  <c r="X1498" i="12"/>
  <c r="X1500" i="12"/>
  <c r="X1502" i="12"/>
  <c r="X1504" i="12"/>
  <c r="X1506" i="12"/>
  <c r="X1508" i="12"/>
  <c r="X1510" i="12"/>
  <c r="X1512" i="12"/>
  <c r="X1514" i="12"/>
  <c r="X1516" i="12"/>
  <c r="X1518" i="12"/>
  <c r="X1520" i="12"/>
  <c r="X1522" i="12"/>
  <c r="X1524" i="12"/>
  <c r="X1526" i="12"/>
  <c r="X1528" i="12"/>
  <c r="X1530" i="12"/>
  <c r="X1532" i="12"/>
  <c r="X1534" i="12"/>
  <c r="X1536" i="12"/>
  <c r="X1538" i="12"/>
  <c r="X1540" i="12"/>
  <c r="X1542" i="12"/>
  <c r="X1544" i="12"/>
  <c r="X1546" i="12"/>
  <c r="X1548" i="12"/>
  <c r="X1550" i="12"/>
  <c r="X1552" i="12"/>
  <c r="X1554" i="12"/>
  <c r="X1556" i="12"/>
  <c r="X1558" i="12"/>
  <c r="X1560" i="12"/>
  <c r="X1562" i="12"/>
  <c r="X1564" i="12"/>
  <c r="X1566" i="12"/>
  <c r="X1568" i="12"/>
  <c r="X1570" i="12"/>
  <c r="X1572" i="12"/>
  <c r="X1574" i="12"/>
  <c r="X1576" i="12"/>
  <c r="X1578" i="12"/>
  <c r="X1580" i="12"/>
  <c r="X1582" i="12"/>
  <c r="X1584" i="12"/>
  <c r="X1586" i="12"/>
  <c r="X1588" i="12"/>
  <c r="X1590" i="12"/>
  <c r="X1592" i="12"/>
  <c r="X1594" i="12"/>
  <c r="X1596" i="12"/>
  <c r="X1598" i="12"/>
  <c r="X1600" i="12"/>
  <c r="X1602" i="12"/>
  <c r="X1604" i="12"/>
  <c r="X1606" i="12"/>
  <c r="X1608" i="12"/>
  <c r="X1610" i="12"/>
  <c r="X1612" i="12"/>
  <c r="X1614" i="12"/>
  <c r="X1616" i="12"/>
  <c r="X1618" i="12"/>
  <c r="X1620" i="12"/>
  <c r="X1622" i="12"/>
  <c r="X1624" i="12"/>
  <c r="X1626" i="12"/>
  <c r="X1628" i="12"/>
  <c r="X1630" i="12"/>
  <c r="X1632" i="12"/>
  <c r="X1634" i="12"/>
  <c r="X1636" i="12"/>
  <c r="X1638" i="12"/>
  <c r="X1640" i="12"/>
  <c r="X1642" i="12"/>
  <c r="X1644" i="12"/>
  <c r="X1646" i="12"/>
  <c r="X1648" i="12"/>
  <c r="X1650" i="12"/>
  <c r="X1652" i="12"/>
  <c r="X1654" i="12"/>
  <c r="X1656" i="12"/>
  <c r="X1658" i="12"/>
  <c r="X1660" i="12"/>
  <c r="X1662" i="12"/>
  <c r="X1664" i="12"/>
  <c r="X1666" i="12"/>
  <c r="X1668" i="12"/>
  <c r="X1670" i="12"/>
  <c r="X1672" i="12"/>
  <c r="X1674" i="12"/>
  <c r="X1676" i="12"/>
  <c r="X1678" i="12"/>
  <c r="X1680" i="12"/>
  <c r="X1682" i="12"/>
  <c r="X1684" i="12"/>
  <c r="X1686" i="12"/>
  <c r="X1688" i="12"/>
  <c r="X1690" i="12"/>
  <c r="X1692" i="12"/>
  <c r="X1694" i="12"/>
  <c r="X1696" i="12"/>
  <c r="X1698" i="12"/>
  <c r="X1700" i="12"/>
  <c r="X1702" i="12"/>
  <c r="X1704" i="12"/>
  <c r="X1706" i="12"/>
  <c r="X1708" i="12"/>
  <c r="X1710" i="12"/>
  <c r="X1712" i="12"/>
  <c r="X1714" i="12"/>
  <c r="X1716" i="12"/>
  <c r="X1718" i="12"/>
  <c r="X1720" i="12"/>
  <c r="X1722" i="12"/>
  <c r="X1724" i="12"/>
  <c r="X1726" i="12"/>
  <c r="X1728" i="12"/>
  <c r="X1730" i="12"/>
  <c r="X1732" i="12"/>
  <c r="X1734" i="12"/>
  <c r="X1736" i="12"/>
  <c r="X1738" i="12"/>
  <c r="X1740" i="12"/>
  <c r="X1742" i="12"/>
  <c r="X1744" i="12"/>
  <c r="X1746" i="12"/>
  <c r="X1748" i="12"/>
  <c r="X1750" i="12"/>
  <c r="X1752" i="12"/>
  <c r="X1754" i="12"/>
  <c r="X1756" i="12"/>
  <c r="X1758" i="12"/>
  <c r="X1760" i="12"/>
  <c r="X1762" i="12"/>
  <c r="X1764" i="12"/>
  <c r="X1766" i="12"/>
  <c r="X1768" i="12"/>
  <c r="X1770" i="12"/>
  <c r="X1772" i="12"/>
  <c r="X1774" i="12"/>
  <c r="X1776" i="12"/>
  <c r="X1778" i="12"/>
  <c r="X1780" i="12"/>
  <c r="X1782" i="12"/>
  <c r="X1784" i="12"/>
  <c r="X1786" i="12"/>
  <c r="X1788" i="12"/>
  <c r="X1790" i="12"/>
  <c r="X1792" i="12"/>
  <c r="X1794" i="12"/>
  <c r="X1796" i="12"/>
  <c r="X1798" i="12"/>
  <c r="X1800" i="12"/>
  <c r="X1802" i="12"/>
  <c r="X1804" i="12"/>
  <c r="X1806" i="12"/>
  <c r="X1808" i="12"/>
  <c r="X1810" i="12"/>
  <c r="X1812" i="12"/>
  <c r="X1814" i="12"/>
  <c r="X1816" i="12"/>
  <c r="X1818" i="12"/>
  <c r="X1820" i="12"/>
  <c r="X1822" i="12"/>
  <c r="X1824" i="12"/>
  <c r="X1826" i="12"/>
  <c r="X1828" i="12"/>
  <c r="X1830" i="12"/>
  <c r="X1832" i="12"/>
  <c r="X1834" i="12"/>
  <c r="X1836" i="12"/>
  <c r="X1838" i="12"/>
  <c r="X1840" i="12"/>
  <c r="X1842" i="12"/>
  <c r="X1844" i="12"/>
  <c r="X1846" i="12"/>
  <c r="X1848" i="12"/>
  <c r="X1850" i="12"/>
  <c r="X1852" i="12"/>
  <c r="X1854" i="12"/>
  <c r="X1856" i="12"/>
  <c r="X1858" i="12"/>
  <c r="X1860" i="12"/>
  <c r="X1862" i="12"/>
  <c r="X1864" i="12"/>
  <c r="X1866" i="12"/>
  <c r="X1868" i="12"/>
  <c r="X1870" i="12"/>
  <c r="X1872" i="12"/>
  <c r="X1874" i="12"/>
  <c r="X1876" i="12"/>
  <c r="X1878" i="12"/>
  <c r="X1880" i="12"/>
  <c r="X1882" i="12"/>
  <c r="X1884" i="12"/>
  <c r="X1886" i="12"/>
  <c r="X1888" i="12"/>
  <c r="X1890" i="12"/>
  <c r="X1892" i="12"/>
  <c r="X1894" i="12"/>
  <c r="X1896" i="12"/>
  <c r="X1898" i="12"/>
  <c r="X1900" i="12"/>
  <c r="X1902" i="12"/>
  <c r="X1904" i="12"/>
  <c r="X1906" i="12"/>
  <c r="X1908" i="12"/>
  <c r="X1910" i="12"/>
  <c r="X1912" i="12"/>
  <c r="X1914" i="12"/>
  <c r="X1916" i="12"/>
  <c r="X1918" i="12"/>
  <c r="X1920" i="12"/>
  <c r="X1922" i="12"/>
  <c r="X1924" i="12"/>
  <c r="X1926" i="12"/>
  <c r="X1928" i="12"/>
  <c r="X1930" i="12"/>
  <c r="X1932" i="12"/>
  <c r="X1934" i="12"/>
  <c r="X1936" i="12"/>
  <c r="X1938" i="12"/>
  <c r="X1940" i="12"/>
  <c r="X1942" i="12"/>
  <c r="X1944" i="12"/>
  <c r="X1946" i="12"/>
  <c r="X1948" i="12"/>
  <c r="X1950" i="12"/>
  <c r="X1952" i="12"/>
  <c r="X1954" i="12"/>
  <c r="X1956" i="12"/>
  <c r="X1958" i="12"/>
  <c r="X1960" i="12"/>
  <c r="X1962" i="12"/>
  <c r="X1964" i="12"/>
  <c r="X1966" i="12"/>
  <c r="X1968" i="12"/>
  <c r="X1970" i="12"/>
  <c r="X1972" i="12"/>
  <c r="X1974" i="12"/>
  <c r="X1976" i="12"/>
  <c r="X1978" i="12"/>
  <c r="X1980" i="12"/>
  <c r="X1982" i="12"/>
  <c r="X1984" i="12"/>
  <c r="X1986" i="12"/>
  <c r="X1988" i="12"/>
  <c r="X1990" i="12"/>
  <c r="X1992" i="12"/>
  <c r="X1994" i="12"/>
  <c r="X1996" i="12"/>
  <c r="X1998" i="12"/>
  <c r="X2000" i="12"/>
  <c r="X2002" i="12"/>
  <c r="X2004" i="12"/>
  <c r="X2006" i="12"/>
  <c r="X2008" i="12"/>
  <c r="X2010" i="12"/>
  <c r="X2012" i="12"/>
  <c r="X2014" i="12"/>
  <c r="X2016" i="12"/>
  <c r="X2018" i="12"/>
  <c r="X2020" i="12"/>
  <c r="X2022" i="12"/>
  <c r="X2024" i="12"/>
  <c r="X2026" i="12"/>
  <c r="X2028" i="12"/>
  <c r="X2030" i="12"/>
  <c r="X2032" i="12"/>
  <c r="X2034" i="12"/>
  <c r="X2036" i="12"/>
  <c r="X2038" i="12"/>
  <c r="X2040" i="12"/>
  <c r="X2042" i="12"/>
  <c r="X2044" i="12"/>
  <c r="X2046" i="12"/>
  <c r="X2048" i="12"/>
  <c r="X2050" i="12"/>
  <c r="X2052" i="12"/>
  <c r="X2054" i="12"/>
  <c r="X2056" i="12"/>
  <c r="X2058" i="12"/>
  <c r="X2060" i="12"/>
  <c r="X2062" i="12"/>
  <c r="X2064" i="12"/>
  <c r="X2066" i="12"/>
  <c r="X2068" i="12"/>
  <c r="X2070" i="12"/>
  <c r="X2072" i="12"/>
  <c r="X2074" i="12"/>
  <c r="X2076" i="12"/>
  <c r="X2078" i="12"/>
  <c r="X2080" i="12"/>
  <c r="X2082" i="12"/>
  <c r="X2084" i="12"/>
  <c r="X2086" i="12"/>
  <c r="X2088" i="12"/>
  <c r="X2090" i="12"/>
  <c r="X2092" i="12"/>
  <c r="X2094" i="12"/>
  <c r="X2096" i="12"/>
  <c r="X2098" i="12"/>
  <c r="X2100" i="12"/>
  <c r="X2102" i="12"/>
  <c r="X2104" i="12"/>
  <c r="X2106" i="12"/>
  <c r="X2108" i="12"/>
  <c r="X2110" i="12"/>
  <c r="X2112" i="12"/>
  <c r="X2114" i="12"/>
  <c r="X2116" i="12"/>
  <c r="X2118" i="12"/>
  <c r="X2120" i="12"/>
  <c r="X2122" i="12"/>
  <c r="X2124" i="12"/>
  <c r="X2126" i="12"/>
  <c r="X2128" i="12"/>
  <c r="X2130" i="12"/>
  <c r="X2132" i="12"/>
  <c r="X2134" i="12"/>
  <c r="X2136" i="12"/>
  <c r="X2138" i="12"/>
  <c r="X2140" i="12"/>
  <c r="X2142" i="12"/>
  <c r="X2144" i="12"/>
  <c r="X2146" i="12"/>
  <c r="X2148" i="12"/>
  <c r="X2150" i="12"/>
  <c r="X2152" i="12"/>
  <c r="X2154" i="12"/>
  <c r="X2156" i="12"/>
  <c r="X2158" i="12"/>
  <c r="X2160" i="12"/>
  <c r="X2162" i="12"/>
  <c r="X2164" i="12"/>
  <c r="X2166" i="12"/>
  <c r="X2168" i="12"/>
  <c r="X2170" i="12"/>
  <c r="X2172" i="12"/>
  <c r="X2174" i="12"/>
  <c r="X2176" i="12"/>
  <c r="X2178" i="12"/>
  <c r="X2180" i="12"/>
  <c r="X2182" i="12"/>
  <c r="X2184" i="12"/>
  <c r="X2186" i="12"/>
  <c r="X2188" i="12"/>
  <c r="X2190" i="12"/>
  <c r="X2192" i="12"/>
  <c r="X2194" i="12"/>
  <c r="X2196" i="12"/>
  <c r="X2198" i="12"/>
  <c r="X2200" i="12"/>
  <c r="X2202" i="12"/>
  <c r="X2204" i="12"/>
  <c r="X2206" i="12"/>
  <c r="X2208" i="12"/>
  <c r="X2210" i="12"/>
  <c r="X2212" i="12"/>
  <c r="X2214" i="12"/>
  <c r="X2216" i="12"/>
  <c r="X2218" i="12"/>
  <c r="X2220" i="12"/>
  <c r="X2222" i="12"/>
  <c r="X2224" i="12"/>
  <c r="X2226" i="12"/>
  <c r="X2228" i="12"/>
  <c r="X2230" i="12"/>
  <c r="X2232" i="12"/>
  <c r="X2234" i="12"/>
  <c r="X2236" i="12"/>
  <c r="X2238" i="12"/>
  <c r="X2240" i="12"/>
  <c r="X2242" i="12"/>
  <c r="X2244" i="12"/>
  <c r="X2246" i="12"/>
  <c r="X2248" i="12"/>
  <c r="X2250" i="12"/>
  <c r="X2252" i="12"/>
  <c r="X2254" i="12"/>
  <c r="X2256" i="12"/>
  <c r="X2258" i="12"/>
  <c r="X2260" i="12"/>
  <c r="X2262" i="12"/>
  <c r="X2264" i="12"/>
  <c r="X2266" i="12"/>
  <c r="X2268" i="12"/>
  <c r="X2270" i="12"/>
  <c r="X2272" i="12"/>
  <c r="X2274" i="12"/>
  <c r="X2276" i="12"/>
  <c r="X2278" i="12"/>
  <c r="X2280" i="12"/>
  <c r="X2282" i="12"/>
  <c r="X2284" i="12"/>
  <c r="X2286" i="12"/>
  <c r="X2288" i="12"/>
  <c r="X2290" i="12"/>
  <c r="X2292" i="12"/>
  <c r="X2294" i="12"/>
  <c r="X2296" i="12"/>
  <c r="X2298" i="12"/>
  <c r="X2300" i="12"/>
  <c r="X2302" i="12"/>
  <c r="X2304" i="12"/>
  <c r="X2306" i="12"/>
  <c r="X2308" i="12"/>
  <c r="X2310" i="12"/>
  <c r="X2312" i="12"/>
  <c r="X2314" i="12"/>
  <c r="X2316" i="12"/>
  <c r="X2318" i="12"/>
  <c r="X2320" i="12"/>
  <c r="X2322" i="12"/>
  <c r="X2324" i="12"/>
  <c r="X2326" i="12"/>
  <c r="X2328" i="12"/>
  <c r="X2330" i="12"/>
  <c r="X2332" i="12"/>
  <c r="X2334" i="12"/>
  <c r="X2336" i="12"/>
  <c r="X2338" i="12"/>
  <c r="X2340" i="12"/>
  <c r="X2342" i="12"/>
  <c r="X2344" i="12"/>
  <c r="X2346" i="12"/>
  <c r="X2348" i="12"/>
  <c r="X2350" i="12"/>
  <c r="X2352" i="12"/>
  <c r="X2354" i="12"/>
  <c r="X2356" i="12"/>
  <c r="X2358" i="12"/>
  <c r="X2360" i="12"/>
  <c r="X2362" i="12"/>
  <c r="X2364" i="12"/>
  <c r="X2366" i="12"/>
  <c r="X2368" i="12"/>
  <c r="X2370" i="12"/>
  <c r="X2372" i="12"/>
  <c r="X2374" i="12"/>
  <c r="X2376" i="12"/>
  <c r="X2378" i="12"/>
  <c r="X2380" i="12"/>
  <c r="X2382" i="12"/>
  <c r="X2384" i="12"/>
  <c r="X2386" i="12"/>
  <c r="X2388" i="12"/>
  <c r="X2390" i="12"/>
  <c r="X2392" i="12"/>
  <c r="X2394" i="12"/>
  <c r="X2396" i="12"/>
  <c r="X2398" i="12"/>
  <c r="X2400" i="12"/>
  <c r="X2402" i="12"/>
  <c r="X2404" i="12"/>
  <c r="X2406" i="12"/>
  <c r="X2408" i="12"/>
  <c r="X2410" i="12"/>
  <c r="X2412" i="12"/>
  <c r="X2414" i="12"/>
  <c r="X2416" i="12"/>
  <c r="X2418" i="12"/>
  <c r="X2420" i="12"/>
  <c r="X2422" i="12"/>
  <c r="X2424" i="12"/>
  <c r="X2426" i="12"/>
  <c r="X2428" i="12"/>
  <c r="X2430" i="12"/>
  <c r="X2432" i="12"/>
  <c r="X2434" i="12"/>
  <c r="X2436" i="12"/>
  <c r="X2438" i="12"/>
  <c r="X2440" i="12"/>
  <c r="X2442" i="12"/>
  <c r="X2444" i="12"/>
  <c r="X2446" i="12"/>
  <c r="X2448" i="12"/>
  <c r="X2450" i="12"/>
  <c r="X2452" i="12"/>
  <c r="X2454" i="12"/>
  <c r="X2456" i="12"/>
  <c r="X2458" i="12"/>
  <c r="X2460" i="12"/>
  <c r="X2462" i="12"/>
  <c r="X2464" i="12"/>
  <c r="X2466" i="12"/>
  <c r="X2468" i="12"/>
  <c r="X2470" i="12"/>
  <c r="X2472" i="12"/>
  <c r="X2474" i="12"/>
  <c r="X2476" i="12"/>
  <c r="X2478" i="12"/>
  <c r="X2480" i="12"/>
  <c r="X2482" i="12"/>
  <c r="X2484" i="12"/>
  <c r="X2486" i="12"/>
  <c r="X2488" i="12"/>
  <c r="X2490" i="12"/>
  <c r="X2492" i="12"/>
  <c r="X2494" i="12"/>
  <c r="X2496" i="12"/>
  <c r="X2498" i="12"/>
  <c r="X2500" i="12"/>
  <c r="X2502" i="12"/>
  <c r="X2504" i="12"/>
  <c r="X2506" i="12"/>
  <c r="X2508" i="12"/>
  <c r="X2510" i="12"/>
  <c r="X2512" i="12"/>
  <c r="X2514" i="12"/>
  <c r="X2516" i="12"/>
  <c r="X2518" i="12"/>
  <c r="X2520" i="12"/>
  <c r="X2522" i="12"/>
  <c r="X2524" i="12"/>
  <c r="X2526" i="12"/>
  <c r="X2528" i="12"/>
  <c r="X2530" i="12"/>
  <c r="X2532" i="12"/>
  <c r="X2534" i="12"/>
  <c r="X2536" i="12"/>
  <c r="X2538" i="12"/>
  <c r="X2540" i="12"/>
  <c r="X2542" i="12"/>
  <c r="X2544" i="12"/>
  <c r="X2546" i="12"/>
  <c r="X2548" i="12"/>
  <c r="X2550" i="12"/>
  <c r="X2552" i="12"/>
  <c r="X2554" i="12"/>
  <c r="X2556" i="12"/>
  <c r="X2558" i="12"/>
  <c r="X2560" i="12"/>
  <c r="X2562" i="12"/>
  <c r="X2564" i="12"/>
  <c r="X2566" i="12"/>
  <c r="X2568" i="12"/>
  <c r="X2570" i="12"/>
  <c r="X2572" i="12"/>
  <c r="X2574" i="12"/>
  <c r="X2576" i="12"/>
  <c r="X2578" i="12"/>
  <c r="X2580" i="12"/>
  <c r="X2582" i="12"/>
  <c r="X2584" i="12"/>
  <c r="X2586" i="12"/>
  <c r="X2588" i="12"/>
  <c r="X2590" i="12"/>
  <c r="X2592" i="12"/>
  <c r="X2594" i="12"/>
  <c r="X2596" i="12"/>
  <c r="X2598" i="12"/>
  <c r="X2600" i="12"/>
  <c r="X2602" i="12"/>
  <c r="X2604" i="12"/>
  <c r="X2606" i="12"/>
  <c r="X2608" i="12"/>
  <c r="X2610" i="12"/>
  <c r="X2612" i="12"/>
  <c r="X2614" i="12"/>
  <c r="X2616" i="12"/>
  <c r="X2618" i="12"/>
  <c r="X2620" i="12"/>
  <c r="X2622" i="12"/>
  <c r="X2624" i="12"/>
  <c r="X2626" i="12"/>
  <c r="X2628" i="12"/>
  <c r="X2630" i="12"/>
  <c r="X2632" i="12"/>
  <c r="X2634" i="12"/>
  <c r="X2636" i="12"/>
  <c r="X2638" i="12"/>
  <c r="X2640" i="12"/>
  <c r="X2642" i="12"/>
  <c r="X2644" i="12"/>
  <c r="X2646" i="12"/>
  <c r="X2648" i="12"/>
  <c r="X2650" i="12"/>
  <c r="X2652" i="12"/>
  <c r="X2654" i="12"/>
  <c r="X2656" i="12"/>
  <c r="X2658" i="12"/>
  <c r="X2660" i="12"/>
  <c r="X2662" i="12"/>
  <c r="X2664" i="12"/>
  <c r="X2666" i="12"/>
  <c r="X2668" i="12"/>
  <c r="X2670" i="12"/>
  <c r="X2672" i="12"/>
  <c r="X2674" i="12"/>
  <c r="X2676" i="12"/>
  <c r="X2678" i="12"/>
  <c r="X2680" i="12"/>
  <c r="X2682" i="12"/>
  <c r="X2684" i="12"/>
  <c r="X2686" i="12"/>
  <c r="X2688" i="12"/>
  <c r="X2690" i="12"/>
  <c r="X2692" i="12"/>
  <c r="X2694" i="12"/>
  <c r="X2696" i="12"/>
  <c r="X2698" i="12"/>
  <c r="X2700" i="12"/>
  <c r="X2702" i="12"/>
  <c r="X2704" i="12"/>
  <c r="X2706" i="12"/>
  <c r="X2708" i="12"/>
  <c r="X2710" i="12"/>
  <c r="X2712" i="12"/>
  <c r="X2714" i="12"/>
  <c r="X2716" i="12"/>
  <c r="X2718" i="12"/>
  <c r="X2720" i="12"/>
  <c r="X2722" i="12"/>
  <c r="X2724" i="12"/>
  <c r="X2726" i="12"/>
  <c r="X2728" i="12"/>
  <c r="X2730" i="12"/>
  <c r="X2732" i="12"/>
  <c r="X2734" i="12"/>
  <c r="X2736" i="12"/>
  <c r="X2738" i="12"/>
  <c r="X2740" i="12"/>
  <c r="X2742" i="12"/>
  <c r="X2744" i="12"/>
  <c r="X2746" i="12"/>
  <c r="X2748" i="12"/>
  <c r="X2750" i="12"/>
  <c r="X2752" i="12"/>
  <c r="X2754" i="12"/>
  <c r="X2756" i="12"/>
  <c r="X2758" i="12"/>
  <c r="X2760" i="12"/>
  <c r="X2762" i="12"/>
  <c r="X2764" i="12"/>
  <c r="X2766" i="12"/>
  <c r="X2768" i="12"/>
  <c r="X2770" i="12"/>
  <c r="X2772" i="12"/>
  <c r="X2774" i="12"/>
  <c r="X2776" i="12"/>
  <c r="X2778" i="12"/>
  <c r="X2780" i="12"/>
  <c r="X2782" i="12"/>
  <c r="X2784" i="12"/>
  <c r="X2786" i="12"/>
  <c r="X2788" i="12"/>
  <c r="X2790" i="12"/>
  <c r="X2792" i="12"/>
  <c r="X2794" i="12"/>
  <c r="X2796" i="12"/>
  <c r="X2798" i="12"/>
  <c r="X2800" i="12"/>
  <c r="X2802" i="12"/>
  <c r="X2804" i="12"/>
  <c r="X2806" i="12"/>
  <c r="X2808" i="12"/>
  <c r="X2810" i="12"/>
  <c r="X2812" i="12"/>
  <c r="X2814" i="12"/>
  <c r="X2816" i="12"/>
  <c r="X2818" i="12"/>
  <c r="X2820" i="12"/>
  <c r="X2822" i="12"/>
  <c r="X2824" i="12"/>
  <c r="X2826" i="12"/>
  <c r="X2828" i="12"/>
  <c r="X2830" i="12"/>
  <c r="X2832" i="12"/>
  <c r="X2834" i="12"/>
  <c r="X2836" i="12"/>
  <c r="X2838" i="12"/>
  <c r="X2840" i="12"/>
  <c r="X2842" i="12"/>
  <c r="X2844" i="12"/>
  <c r="X2846" i="12"/>
  <c r="X2848" i="12"/>
  <c r="X2850" i="12"/>
  <c r="X2852" i="12"/>
  <c r="X2854" i="12"/>
  <c r="X2856" i="12"/>
  <c r="X2858" i="12"/>
  <c r="X2860" i="12"/>
  <c r="X2862" i="12"/>
  <c r="X2864" i="12"/>
  <c r="X2866" i="12"/>
  <c r="X2868" i="12"/>
  <c r="X2870" i="12"/>
  <c r="X2872" i="12"/>
  <c r="X2874" i="12"/>
  <c r="X2876" i="12"/>
  <c r="X2878" i="12"/>
  <c r="X2880" i="12"/>
  <c r="X2882" i="12"/>
  <c r="X2884" i="12"/>
  <c r="X2886" i="12"/>
  <c r="X2888" i="12"/>
  <c r="X2890" i="12"/>
  <c r="X2892" i="12"/>
  <c r="X2894" i="12"/>
  <c r="X2896" i="12"/>
  <c r="X2898" i="12"/>
  <c r="X2900" i="12"/>
  <c r="X2902" i="12"/>
  <c r="X2904" i="12"/>
  <c r="X2906" i="12"/>
  <c r="X2908" i="12"/>
  <c r="X2910" i="12"/>
  <c r="X2912" i="12"/>
  <c r="X2914" i="12"/>
  <c r="X2916" i="12"/>
  <c r="X2918" i="12"/>
  <c r="X2920" i="12"/>
  <c r="X2922" i="12"/>
  <c r="X2924" i="12"/>
  <c r="X2926" i="12"/>
  <c r="X2928" i="12"/>
  <c r="X9" i="12"/>
  <c r="X2931" i="12"/>
  <c r="X2933" i="12"/>
  <c r="X2935" i="12"/>
  <c r="X2937" i="12"/>
  <c r="X2939" i="12"/>
  <c r="X2941" i="12"/>
  <c r="X2943" i="12"/>
  <c r="X2945" i="12"/>
  <c r="X2947" i="12"/>
  <c r="X2949" i="12"/>
  <c r="X2951" i="12"/>
  <c r="X2953" i="12"/>
  <c r="X2955" i="12"/>
  <c r="X2957" i="12"/>
  <c r="X2959" i="12"/>
  <c r="X2961" i="12"/>
  <c r="X2963" i="12"/>
  <c r="X2965" i="12"/>
  <c r="X2967" i="12"/>
  <c r="X2969" i="12"/>
  <c r="X2971" i="12"/>
  <c r="X2973" i="12"/>
  <c r="X2975" i="12"/>
  <c r="X2977" i="12"/>
  <c r="X2979" i="12"/>
  <c r="X2981" i="12"/>
  <c r="X2983" i="12"/>
  <c r="X2985" i="12"/>
  <c r="X2987" i="12"/>
  <c r="X2989" i="12"/>
  <c r="X2991" i="12"/>
  <c r="X2993" i="12"/>
  <c r="X2995" i="12"/>
  <c r="X2997" i="12"/>
  <c r="X2999" i="12"/>
  <c r="X3001" i="12"/>
  <c r="X3003" i="12"/>
  <c r="X3005" i="12"/>
  <c r="X3007" i="12"/>
  <c r="X3009" i="12"/>
  <c r="X3011" i="12"/>
  <c r="X3013" i="12"/>
  <c r="X3015" i="12"/>
  <c r="X3017" i="12"/>
  <c r="X3019" i="12"/>
  <c r="X3021" i="12"/>
  <c r="X3023" i="12"/>
  <c r="X3025" i="12"/>
  <c r="X3027" i="12"/>
  <c r="X3029" i="12"/>
  <c r="X3031" i="12"/>
  <c r="X3033" i="12"/>
  <c r="X3035" i="12"/>
  <c r="X3037" i="12"/>
  <c r="X3039" i="12"/>
  <c r="X3041" i="12"/>
  <c r="X3043" i="12"/>
  <c r="X3045" i="12"/>
  <c r="X3047" i="12"/>
  <c r="X3049" i="12"/>
  <c r="X3051" i="12"/>
  <c r="X3053" i="12"/>
  <c r="X3055" i="12"/>
  <c r="X3057" i="12"/>
  <c r="X3059" i="12"/>
  <c r="X3061" i="12"/>
  <c r="X3063" i="12"/>
  <c r="X3065" i="12"/>
  <c r="X3067" i="12"/>
  <c r="X3069" i="12"/>
  <c r="X3071" i="12"/>
  <c r="X3073" i="12"/>
  <c r="X3075" i="12"/>
  <c r="X3077" i="12"/>
  <c r="X3079" i="12"/>
  <c r="X3081" i="12"/>
  <c r="X3083" i="12"/>
  <c r="X3085" i="12"/>
  <c r="X3087" i="12"/>
  <c r="X3089" i="12"/>
  <c r="X3091" i="12"/>
  <c r="X3093" i="12"/>
  <c r="X3095" i="12"/>
  <c r="X3097" i="12"/>
  <c r="X3099" i="12"/>
  <c r="X3101" i="12"/>
  <c r="X3103" i="12"/>
  <c r="X3105" i="12"/>
  <c r="X3107" i="12"/>
  <c r="X3109" i="12"/>
  <c r="X3111" i="12"/>
  <c r="X3113" i="12"/>
  <c r="X3115" i="12"/>
  <c r="X3117" i="12"/>
  <c r="X3119" i="12"/>
  <c r="X3121" i="12"/>
  <c r="X3123" i="12"/>
  <c r="X3125" i="12"/>
  <c r="X3127" i="12"/>
  <c r="X3129" i="12"/>
  <c r="X3131" i="12"/>
  <c r="X3133" i="12"/>
  <c r="X3135" i="12"/>
  <c r="X3137" i="12"/>
  <c r="X3139" i="12"/>
  <c r="X3141" i="12"/>
  <c r="X3143" i="12"/>
  <c r="X3145" i="12"/>
  <c r="X3147" i="12"/>
  <c r="X3149" i="12"/>
  <c r="X3151" i="12"/>
  <c r="X3153" i="12"/>
  <c r="X3155" i="12"/>
  <c r="X3157" i="12"/>
  <c r="X3159" i="12"/>
  <c r="X3161" i="12"/>
  <c r="X3163" i="12"/>
  <c r="X3165" i="12"/>
  <c r="X3167" i="12"/>
  <c r="X3169" i="12"/>
  <c r="X3171" i="12"/>
  <c r="X3173" i="12"/>
  <c r="X3175" i="12"/>
  <c r="X3177" i="12"/>
  <c r="X3179" i="12"/>
  <c r="X3181" i="12"/>
  <c r="X3183" i="12"/>
  <c r="X3185" i="12"/>
  <c r="X3187" i="12"/>
  <c r="X3189" i="12"/>
  <c r="X3191" i="12"/>
  <c r="X3193" i="12"/>
  <c r="X3195" i="12"/>
  <c r="X3197" i="12"/>
  <c r="X3199" i="12"/>
  <c r="X3201" i="12"/>
  <c r="X3203" i="12"/>
  <c r="X3205" i="12"/>
  <c r="X3207" i="12"/>
  <c r="X3209" i="12"/>
  <c r="X3211" i="12"/>
  <c r="X3213" i="12"/>
  <c r="X3215" i="12"/>
  <c r="X3217" i="12"/>
  <c r="X3219" i="12"/>
  <c r="X3221" i="12"/>
  <c r="X3223" i="12"/>
  <c r="X3225" i="12"/>
  <c r="X3227" i="12"/>
  <c r="X3229" i="12"/>
  <c r="X3231" i="12"/>
  <c r="X3233" i="12"/>
  <c r="X3235" i="12"/>
  <c r="X3237" i="12"/>
  <c r="X3239" i="12"/>
  <c r="X3241" i="12"/>
  <c r="X3243" i="12"/>
  <c r="X3245" i="12"/>
  <c r="X3247" i="12"/>
  <c r="X3249" i="12"/>
  <c r="X3251" i="12"/>
  <c r="X3253" i="12"/>
  <c r="X3255" i="12"/>
  <c r="X3257" i="12"/>
  <c r="X3259" i="12"/>
  <c r="X3261" i="12"/>
  <c r="X3263" i="12"/>
  <c r="X3265" i="12"/>
  <c r="X3267" i="12"/>
  <c r="X3269" i="12"/>
  <c r="X3271" i="12"/>
  <c r="X3273" i="12"/>
  <c r="X3275" i="12"/>
  <c r="X3277" i="12"/>
  <c r="X3279" i="12"/>
  <c r="X3281" i="12"/>
  <c r="X3283" i="12"/>
  <c r="X3285" i="12"/>
  <c r="X3287" i="12"/>
  <c r="X3289" i="12"/>
  <c r="X3291" i="12"/>
  <c r="X3293" i="12"/>
  <c r="X3295" i="12"/>
  <c r="X3297" i="12"/>
  <c r="X3299" i="12"/>
  <c r="X3301" i="12"/>
  <c r="X3303" i="12"/>
  <c r="X3305" i="12"/>
  <c r="X3307" i="12"/>
  <c r="X3309" i="12"/>
  <c r="X3311" i="12"/>
  <c r="X3313" i="12"/>
  <c r="X3315" i="12"/>
  <c r="X3317" i="12"/>
  <c r="X3319" i="12"/>
  <c r="X3321" i="12"/>
  <c r="X3323" i="12"/>
  <c r="X3325" i="12"/>
  <c r="X3327" i="12"/>
  <c r="X3329" i="12"/>
  <c r="X3331" i="12"/>
  <c r="X3333" i="12"/>
  <c r="X3335" i="12"/>
  <c r="X3337" i="12"/>
  <c r="X3339" i="12"/>
  <c r="X3341" i="12"/>
  <c r="X3343" i="12"/>
  <c r="X3345" i="12"/>
  <c r="X3347" i="12"/>
  <c r="X3349" i="12"/>
  <c r="X3351" i="12"/>
  <c r="X3353" i="12"/>
  <c r="X3355" i="12"/>
  <c r="X3357" i="12"/>
  <c r="X3359" i="12"/>
  <c r="X3361" i="12"/>
  <c r="X3363" i="12"/>
  <c r="X3365" i="12"/>
  <c r="X3367" i="12"/>
  <c r="X3369" i="12"/>
  <c r="X3371" i="12"/>
  <c r="X3373" i="12"/>
  <c r="X3375" i="12"/>
  <c r="X3377" i="12"/>
  <c r="X3379" i="12"/>
  <c r="X3381" i="12"/>
  <c r="X3383" i="12"/>
  <c r="X3385" i="12"/>
  <c r="X3387" i="12"/>
  <c r="X3389" i="12"/>
  <c r="X3391" i="12"/>
  <c r="X3393" i="12"/>
  <c r="X3395" i="12"/>
  <c r="X3397" i="12"/>
  <c r="X3399" i="12"/>
  <c r="X3401" i="12"/>
  <c r="X3403" i="12"/>
  <c r="X3405" i="12"/>
  <c r="X3407" i="12"/>
  <c r="X3409" i="12"/>
  <c r="X3411" i="12"/>
  <c r="X3413" i="12"/>
  <c r="X3415" i="12"/>
  <c r="X3417" i="12"/>
  <c r="X3419" i="12"/>
  <c r="X3421" i="12"/>
  <c r="X3423" i="12"/>
  <c r="X3425" i="12"/>
  <c r="X3427" i="12"/>
  <c r="X3429" i="12"/>
  <c r="X3431" i="12"/>
  <c r="X3433" i="12"/>
  <c r="X3435" i="12"/>
  <c r="X3437" i="12"/>
  <c r="X3439" i="12"/>
  <c r="X3441" i="12"/>
  <c r="X3443" i="12"/>
  <c r="X3445" i="12"/>
  <c r="X3447" i="12"/>
  <c r="X3449" i="12"/>
  <c r="X3451" i="12"/>
  <c r="X3453" i="12"/>
  <c r="X3455" i="12"/>
  <c r="X3457" i="12"/>
  <c r="X3459" i="12"/>
  <c r="X3461" i="12"/>
  <c r="X3463" i="12"/>
  <c r="X3465" i="12"/>
  <c r="X3467" i="12"/>
  <c r="X3469" i="12"/>
  <c r="X3471" i="12"/>
  <c r="X3473" i="12"/>
  <c r="X3475" i="12"/>
  <c r="X3477" i="12"/>
  <c r="X3479" i="12"/>
  <c r="X3481" i="12"/>
  <c r="X3483" i="12"/>
  <c r="X3485" i="12"/>
  <c r="X3487" i="12"/>
  <c r="X3489" i="12"/>
  <c r="X3491" i="12"/>
  <c r="X3493" i="12"/>
  <c r="X3495" i="12"/>
  <c r="X3497" i="12"/>
  <c r="X3499" i="12"/>
  <c r="X3501" i="12"/>
  <c r="X3503" i="12"/>
  <c r="X3505" i="12"/>
  <c r="X3507" i="12"/>
  <c r="X3509" i="12"/>
  <c r="X3511" i="12"/>
  <c r="X3513" i="12"/>
  <c r="X3515" i="12"/>
  <c r="X3517" i="12"/>
  <c r="X3519" i="12"/>
  <c r="X3521" i="12"/>
  <c r="X3523" i="12"/>
  <c r="X3525" i="12"/>
  <c r="X3527" i="12"/>
  <c r="X3529" i="12"/>
  <c r="X3531" i="12"/>
  <c r="X3533" i="12"/>
  <c r="X3535" i="12"/>
  <c r="X3537" i="12"/>
  <c r="X3539" i="12"/>
  <c r="X3541" i="12"/>
  <c r="X3543" i="12"/>
  <c r="X3545" i="12"/>
  <c r="X3547" i="12"/>
  <c r="X3549" i="12"/>
  <c r="X3551" i="12"/>
  <c r="X3553" i="12"/>
  <c r="X3555" i="12"/>
  <c r="X3557" i="12"/>
  <c r="X3559" i="12"/>
  <c r="X3561" i="12"/>
  <c r="X3563" i="12"/>
  <c r="X3565" i="12"/>
  <c r="X3567" i="12"/>
  <c r="X3569" i="12"/>
  <c r="X3571" i="12"/>
  <c r="X3573" i="12"/>
  <c r="X3575" i="12"/>
  <c r="X3577" i="12"/>
  <c r="X3579" i="12"/>
  <c r="X3581" i="12"/>
  <c r="X3583" i="12"/>
  <c r="X3585" i="12"/>
  <c r="X3587" i="12"/>
  <c r="X3589" i="12"/>
  <c r="X3591" i="12"/>
  <c r="X3593" i="12"/>
  <c r="X3595" i="12"/>
  <c r="X3597" i="12"/>
  <c r="X3599" i="12"/>
  <c r="X3601" i="12"/>
  <c r="X3603" i="12"/>
  <c r="X3605" i="12"/>
  <c r="X3607" i="12"/>
  <c r="X11" i="12"/>
  <c r="X13" i="12"/>
  <c r="X15" i="12"/>
  <c r="X17" i="12"/>
  <c r="X19" i="12"/>
  <c r="X21" i="12"/>
  <c r="X23" i="12"/>
  <c r="X25" i="12"/>
  <c r="X27" i="12"/>
  <c r="X29" i="12"/>
  <c r="X31" i="12"/>
  <c r="X33" i="12"/>
  <c r="X35" i="12"/>
  <c r="X37" i="12"/>
  <c r="X39" i="12"/>
  <c r="X41" i="12"/>
  <c r="X43" i="12"/>
  <c r="X45" i="12"/>
  <c r="X47" i="12"/>
  <c r="X49" i="12"/>
  <c r="X51" i="12"/>
  <c r="X53" i="12"/>
  <c r="X55" i="12"/>
  <c r="X57" i="12"/>
  <c r="X59" i="12"/>
  <c r="X61" i="12"/>
  <c r="X63" i="12"/>
  <c r="X65" i="12"/>
  <c r="X67" i="12"/>
  <c r="X69" i="12"/>
  <c r="X71" i="12"/>
  <c r="X73" i="12"/>
  <c r="X75" i="12"/>
  <c r="X77" i="12"/>
  <c r="X79" i="12"/>
  <c r="X81" i="12"/>
  <c r="X83" i="12"/>
  <c r="X85" i="12"/>
  <c r="X87" i="12"/>
  <c r="X89" i="12"/>
  <c r="X91" i="12"/>
  <c r="X93" i="12"/>
  <c r="X95" i="12"/>
  <c r="X97" i="12"/>
  <c r="X99" i="12"/>
  <c r="X101" i="12"/>
  <c r="X103" i="12"/>
  <c r="X105" i="12"/>
  <c r="X107" i="12"/>
  <c r="X109" i="12"/>
  <c r="X111" i="12"/>
  <c r="X113" i="12"/>
  <c r="X115" i="12"/>
  <c r="X117" i="12"/>
  <c r="X119" i="12"/>
  <c r="X121" i="12"/>
  <c r="X123" i="12"/>
  <c r="X125" i="12"/>
  <c r="X127" i="12"/>
  <c r="X129" i="12"/>
  <c r="X131" i="12"/>
  <c r="X133" i="12"/>
  <c r="X135" i="12"/>
  <c r="X137" i="12"/>
  <c r="X139" i="12"/>
  <c r="X141" i="12"/>
  <c r="X143" i="12"/>
  <c r="X145" i="12"/>
  <c r="X147" i="12"/>
  <c r="X149" i="12"/>
  <c r="X151" i="12"/>
  <c r="X153" i="12"/>
  <c r="X155" i="12"/>
  <c r="X157" i="12"/>
  <c r="X159" i="12"/>
  <c r="X161" i="12"/>
  <c r="X163" i="12"/>
  <c r="X165" i="12"/>
  <c r="X167" i="12"/>
  <c r="X169" i="12"/>
  <c r="X171" i="12"/>
  <c r="X173" i="12"/>
  <c r="X175" i="12"/>
  <c r="X177" i="12"/>
  <c r="X179" i="12"/>
  <c r="X181" i="12"/>
  <c r="X183" i="12"/>
  <c r="X185" i="12"/>
  <c r="X187" i="12"/>
  <c r="X189" i="12"/>
  <c r="X191" i="12"/>
  <c r="X193" i="12"/>
  <c r="X195" i="12"/>
  <c r="X197" i="12"/>
  <c r="X199" i="12"/>
  <c r="X201" i="12"/>
  <c r="X203" i="12"/>
  <c r="X205" i="12"/>
  <c r="X207" i="12"/>
  <c r="X209" i="12"/>
  <c r="X211" i="12"/>
  <c r="X213" i="12"/>
  <c r="X215" i="12"/>
  <c r="X217" i="12"/>
  <c r="X219" i="12"/>
  <c r="X221" i="12"/>
  <c r="X223" i="12"/>
  <c r="X225" i="12"/>
  <c r="X227" i="12"/>
  <c r="X229" i="12"/>
  <c r="X231" i="12"/>
  <c r="X233" i="12"/>
  <c r="X235" i="12"/>
  <c r="X237" i="12"/>
  <c r="X239" i="12"/>
  <c r="X241" i="12"/>
  <c r="X243" i="12"/>
  <c r="X245" i="12"/>
  <c r="X247" i="12"/>
  <c r="X249" i="12"/>
  <c r="X251" i="12"/>
  <c r="X253" i="12"/>
  <c r="X255" i="12"/>
  <c r="X257" i="12"/>
  <c r="X259" i="12"/>
  <c r="X261" i="12"/>
  <c r="X263" i="12"/>
  <c r="X265" i="12"/>
  <c r="X267" i="12"/>
  <c r="X269" i="12"/>
  <c r="X271" i="12"/>
  <c r="X273" i="12"/>
  <c r="X275" i="12"/>
  <c r="X277" i="12"/>
  <c r="X279" i="12"/>
  <c r="X281" i="12"/>
  <c r="X283" i="12"/>
  <c r="X285" i="12"/>
  <c r="X287" i="12"/>
  <c r="X289" i="12"/>
  <c r="X291" i="12"/>
  <c r="X293" i="12"/>
  <c r="X295" i="12"/>
  <c r="X297" i="12"/>
  <c r="X299" i="12"/>
  <c r="X301" i="12"/>
  <c r="X303" i="12"/>
  <c r="X305" i="12"/>
  <c r="X307" i="12"/>
  <c r="X309" i="12"/>
  <c r="X311" i="12"/>
  <c r="X313" i="12"/>
  <c r="X315" i="12"/>
  <c r="X317" i="12"/>
  <c r="X319" i="12"/>
  <c r="X321" i="12"/>
  <c r="X323" i="12"/>
  <c r="X325" i="12"/>
  <c r="X327" i="12"/>
  <c r="X329" i="12"/>
  <c r="X331" i="12"/>
  <c r="X333" i="12"/>
  <c r="X335" i="12"/>
  <c r="X337" i="12"/>
  <c r="X339" i="12"/>
  <c r="X341" i="12"/>
  <c r="X343" i="12"/>
  <c r="X345" i="12"/>
  <c r="X347" i="12"/>
  <c r="X349" i="12"/>
  <c r="X351" i="12"/>
  <c r="X353" i="12"/>
  <c r="X355" i="12"/>
  <c r="X357" i="12"/>
  <c r="X359" i="12"/>
  <c r="X361" i="12"/>
  <c r="X363" i="12"/>
  <c r="X365" i="12"/>
  <c r="X367" i="12"/>
  <c r="X369" i="12"/>
  <c r="X371" i="12"/>
  <c r="X373" i="12"/>
  <c r="X375" i="12"/>
  <c r="X377" i="12"/>
  <c r="X379" i="12"/>
  <c r="X381" i="12"/>
  <c r="X383" i="12"/>
  <c r="X385" i="12"/>
  <c r="X387" i="12"/>
  <c r="X389" i="12"/>
  <c r="X391" i="12"/>
  <c r="X393" i="12"/>
  <c r="X395" i="12"/>
  <c r="X397" i="12"/>
  <c r="X399" i="12"/>
  <c r="X401" i="12"/>
  <c r="X403" i="12"/>
  <c r="X405" i="12"/>
  <c r="X407" i="12"/>
  <c r="X409" i="12"/>
  <c r="X411" i="12"/>
  <c r="X413" i="12"/>
  <c r="X415" i="12"/>
  <c r="X417" i="12"/>
  <c r="X419" i="12"/>
  <c r="X421" i="12"/>
  <c r="X423" i="12"/>
  <c r="X425" i="12"/>
  <c r="X427" i="12"/>
  <c r="X429" i="12"/>
  <c r="X431" i="12"/>
  <c r="X433" i="12"/>
  <c r="X435" i="12"/>
  <c r="X437" i="12"/>
  <c r="X439" i="12"/>
  <c r="X441" i="12"/>
  <c r="X443" i="12"/>
  <c r="X445" i="12"/>
  <c r="X447" i="12"/>
  <c r="X449" i="12"/>
  <c r="X451" i="12"/>
  <c r="X453" i="12"/>
  <c r="X455" i="12"/>
  <c r="X457" i="12"/>
  <c r="X459" i="12"/>
  <c r="X461" i="12"/>
  <c r="X463" i="12"/>
  <c r="X465" i="12"/>
  <c r="X467" i="12"/>
  <c r="X469" i="12"/>
  <c r="X471" i="12"/>
  <c r="X473" i="12"/>
  <c r="X475" i="12"/>
  <c r="X477" i="12"/>
  <c r="X479" i="12"/>
  <c r="X481" i="12"/>
  <c r="X483" i="12"/>
  <c r="X485" i="12"/>
  <c r="X487" i="12"/>
  <c r="X489" i="12"/>
  <c r="X491" i="12"/>
  <c r="X493" i="12"/>
  <c r="X495" i="12"/>
  <c r="X497" i="12"/>
  <c r="X499" i="12"/>
  <c r="X501" i="12"/>
  <c r="X503" i="12"/>
  <c r="X505" i="12"/>
  <c r="X507" i="12"/>
  <c r="X509" i="12"/>
  <c r="X511" i="12"/>
  <c r="X513" i="12"/>
  <c r="X515" i="12"/>
  <c r="X517" i="12"/>
  <c r="X519" i="12"/>
  <c r="X521" i="12"/>
  <c r="X523" i="12"/>
  <c r="X525" i="12"/>
  <c r="X527" i="12"/>
  <c r="X529" i="12"/>
  <c r="X531" i="12"/>
  <c r="X533" i="12"/>
  <c r="X535" i="12"/>
  <c r="X537" i="12"/>
  <c r="X539" i="12"/>
  <c r="X541" i="12"/>
  <c r="X543" i="12"/>
  <c r="X545" i="12"/>
  <c r="X547" i="12"/>
  <c r="X549" i="12"/>
  <c r="X551" i="12"/>
  <c r="X553" i="12"/>
  <c r="X555" i="12"/>
  <c r="X557" i="12"/>
  <c r="X559" i="12"/>
  <c r="X561" i="12"/>
  <c r="X563" i="12"/>
  <c r="X565" i="12"/>
  <c r="X567" i="12"/>
  <c r="X569" i="12"/>
  <c r="X571" i="12"/>
  <c r="X573" i="12"/>
  <c r="X575" i="12"/>
  <c r="X577" i="12"/>
  <c r="X579" i="12"/>
  <c r="X581" i="12"/>
  <c r="X583" i="12"/>
  <c r="X585" i="12"/>
  <c r="X587" i="12"/>
  <c r="X589" i="12"/>
  <c r="X591" i="12"/>
  <c r="X593" i="12"/>
  <c r="X595" i="12"/>
  <c r="X597" i="12"/>
  <c r="X599" i="12"/>
  <c r="X601" i="12"/>
  <c r="X603" i="12"/>
  <c r="X605" i="12"/>
  <c r="X607" i="12"/>
  <c r="X609" i="12"/>
  <c r="X611" i="12"/>
  <c r="X613" i="12"/>
  <c r="X615" i="12"/>
  <c r="X617" i="12"/>
  <c r="X619" i="12"/>
  <c r="X621" i="12"/>
  <c r="X623" i="12"/>
  <c r="X625" i="12"/>
  <c r="X627" i="12"/>
  <c r="X629" i="12"/>
  <c r="X631" i="12"/>
  <c r="X633" i="12"/>
  <c r="X635" i="12"/>
  <c r="X637" i="12"/>
  <c r="X639" i="12"/>
  <c r="X641" i="12"/>
  <c r="X643" i="12"/>
  <c r="X645" i="12"/>
  <c r="X647" i="12"/>
  <c r="X649" i="12"/>
  <c r="X651" i="12"/>
  <c r="X653" i="12"/>
  <c r="X655" i="12"/>
  <c r="X657" i="12"/>
  <c r="X659" i="12"/>
  <c r="X661" i="12"/>
  <c r="X663" i="12"/>
  <c r="X665" i="12"/>
  <c r="X667" i="12"/>
  <c r="X669" i="12"/>
  <c r="X671" i="12"/>
  <c r="X673" i="12"/>
  <c r="X675" i="12"/>
  <c r="X677" i="12"/>
  <c r="X679" i="12"/>
  <c r="X681" i="12"/>
  <c r="X683" i="12"/>
  <c r="X685" i="12"/>
  <c r="X687" i="12"/>
  <c r="X689" i="12"/>
  <c r="X691" i="12"/>
  <c r="X693" i="12"/>
  <c r="X695" i="12"/>
  <c r="X697" i="12"/>
  <c r="X699" i="12"/>
  <c r="X701" i="12"/>
  <c r="X703" i="12"/>
  <c r="X705" i="12"/>
  <c r="X707" i="12"/>
  <c r="X709" i="12"/>
  <c r="X711" i="12"/>
  <c r="X713" i="12"/>
  <c r="X715" i="12"/>
  <c r="X717" i="12"/>
  <c r="X719" i="12"/>
  <c r="X721" i="12"/>
  <c r="X723" i="12"/>
  <c r="X725" i="12"/>
  <c r="X727" i="12"/>
  <c r="X729" i="12"/>
  <c r="X731" i="12"/>
  <c r="X733" i="12"/>
  <c r="X735" i="12"/>
  <c r="X737" i="12"/>
  <c r="X739" i="12"/>
  <c r="X741" i="12"/>
  <c r="X743" i="12"/>
  <c r="X745" i="12"/>
  <c r="X747" i="12"/>
  <c r="X749" i="12"/>
  <c r="X751" i="12"/>
  <c r="X753" i="12"/>
  <c r="X755" i="12"/>
  <c r="X757" i="12"/>
  <c r="X759" i="12"/>
  <c r="X761" i="12"/>
  <c r="X763" i="12"/>
  <c r="X765" i="12"/>
  <c r="X767" i="12"/>
  <c r="X769" i="12"/>
  <c r="X771" i="12"/>
  <c r="X773" i="12"/>
  <c r="X775" i="12"/>
  <c r="X777" i="12"/>
  <c r="X779" i="12"/>
  <c r="X781" i="12"/>
  <c r="X783" i="12"/>
  <c r="X785" i="12"/>
  <c r="X787" i="12"/>
  <c r="X789" i="12"/>
  <c r="X791" i="12"/>
  <c r="X793" i="12"/>
  <c r="X795" i="12"/>
  <c r="X797" i="12"/>
  <c r="X799" i="12"/>
  <c r="X801" i="12"/>
  <c r="X803" i="12"/>
  <c r="X805" i="12"/>
  <c r="X807" i="12"/>
  <c r="X809" i="12"/>
  <c r="X811" i="12"/>
  <c r="X813" i="12"/>
  <c r="X815" i="12"/>
  <c r="X817" i="12"/>
  <c r="X819" i="12"/>
  <c r="X821" i="12"/>
  <c r="X823" i="12"/>
  <c r="X825" i="12"/>
  <c r="X827" i="12"/>
  <c r="X829" i="12"/>
  <c r="X831" i="12"/>
  <c r="X833" i="12"/>
  <c r="X835" i="12"/>
  <c r="X837" i="12"/>
  <c r="X839" i="12"/>
  <c r="X841" i="12"/>
  <c r="X843" i="12"/>
  <c r="X845" i="12"/>
  <c r="X847" i="12"/>
  <c r="X849" i="12"/>
  <c r="X851" i="12"/>
  <c r="X853" i="12"/>
  <c r="X855" i="12"/>
  <c r="X857" i="12"/>
  <c r="X859" i="12"/>
  <c r="X861" i="12"/>
  <c r="X863" i="12"/>
  <c r="X865" i="12"/>
  <c r="X867" i="12"/>
  <c r="X869" i="12"/>
  <c r="X871" i="12"/>
  <c r="X873" i="12"/>
  <c r="X875" i="12"/>
  <c r="X877" i="12"/>
  <c r="X879" i="12"/>
  <c r="X881" i="12"/>
  <c r="X883" i="12"/>
  <c r="X885" i="12"/>
  <c r="X887" i="12"/>
  <c r="X889" i="12"/>
  <c r="X891" i="12"/>
  <c r="X893" i="12"/>
  <c r="X895" i="12"/>
  <c r="X897" i="12"/>
  <c r="X899" i="12"/>
  <c r="X901" i="12"/>
  <c r="X903" i="12"/>
  <c r="X905" i="12"/>
  <c r="X907" i="12"/>
  <c r="X909" i="12"/>
  <c r="X911" i="12"/>
  <c r="X913" i="12"/>
  <c r="X915" i="12"/>
  <c r="X917" i="12"/>
  <c r="X919" i="12"/>
  <c r="X921" i="12"/>
  <c r="X923" i="12"/>
  <c r="X925" i="12"/>
  <c r="X927" i="12"/>
  <c r="X929" i="12"/>
  <c r="X931" i="12"/>
  <c r="X933" i="12"/>
  <c r="X935" i="12"/>
  <c r="X937" i="12"/>
  <c r="X939" i="12"/>
  <c r="X941" i="12"/>
  <c r="X943" i="12"/>
  <c r="X945" i="12"/>
  <c r="X947" i="12"/>
  <c r="X949" i="12"/>
  <c r="X951" i="12"/>
  <c r="X953" i="12"/>
  <c r="X955" i="12"/>
  <c r="X957" i="12"/>
  <c r="X959" i="12"/>
  <c r="X961" i="12"/>
  <c r="X963" i="12"/>
  <c r="X965" i="12"/>
  <c r="X967" i="12"/>
  <c r="X969" i="12"/>
  <c r="X971" i="12"/>
  <c r="X973" i="12"/>
  <c r="X975" i="12"/>
  <c r="X977" i="12"/>
  <c r="X979" i="12"/>
  <c r="X981" i="12"/>
  <c r="X983" i="12"/>
  <c r="X985" i="12"/>
  <c r="X987" i="12"/>
  <c r="X989" i="12"/>
  <c r="X991" i="12"/>
  <c r="X993" i="12"/>
  <c r="X995" i="12"/>
  <c r="X997" i="12"/>
  <c r="X999" i="12"/>
  <c r="X1001" i="12"/>
  <c r="X1003" i="12"/>
  <c r="X1005" i="12"/>
  <c r="X1007" i="12"/>
  <c r="X1009" i="12"/>
  <c r="X1011" i="12"/>
  <c r="X1013" i="12"/>
  <c r="X1015" i="12"/>
  <c r="X1017" i="12"/>
  <c r="X1019" i="12"/>
  <c r="X1021" i="12"/>
  <c r="X1023" i="12"/>
  <c r="X1025" i="12"/>
  <c r="X1027" i="12"/>
  <c r="X1029" i="12"/>
  <c r="X1031" i="12"/>
  <c r="X1033" i="12"/>
  <c r="X1035" i="12"/>
  <c r="X1037" i="12"/>
  <c r="X1039" i="12"/>
  <c r="X1041" i="12"/>
  <c r="X1043" i="12"/>
  <c r="X1045" i="12"/>
  <c r="X1047" i="12"/>
  <c r="X1049" i="12"/>
  <c r="X1051" i="12"/>
  <c r="X1053" i="12"/>
  <c r="X1055" i="12"/>
  <c r="X1057" i="12"/>
  <c r="X1059" i="12"/>
  <c r="X1061" i="12"/>
  <c r="X1063" i="12"/>
  <c r="X1065" i="12"/>
  <c r="X1067" i="12"/>
  <c r="X1069" i="12"/>
  <c r="X1071" i="12"/>
  <c r="X1073" i="12"/>
  <c r="X1075" i="12"/>
  <c r="X1077" i="12"/>
  <c r="X1079" i="12"/>
  <c r="X1081" i="12"/>
  <c r="X1083" i="12"/>
  <c r="X1085" i="12"/>
  <c r="X1087" i="12"/>
  <c r="X1089" i="12"/>
  <c r="X1091" i="12"/>
  <c r="X1093" i="12"/>
  <c r="X1095" i="12"/>
  <c r="X1097" i="12"/>
  <c r="X1099" i="12"/>
  <c r="X1101" i="12"/>
  <c r="X1103" i="12"/>
  <c r="X1105" i="12"/>
  <c r="X1107" i="12"/>
  <c r="X1109" i="12"/>
  <c r="X1111" i="12"/>
  <c r="X1113" i="12"/>
  <c r="X1115" i="12"/>
  <c r="X1117" i="12"/>
  <c r="X1119" i="12"/>
  <c r="X1121" i="12"/>
  <c r="X1123" i="12"/>
  <c r="X1125" i="12"/>
  <c r="X1127" i="12"/>
  <c r="X1129" i="12"/>
  <c r="X1131" i="12"/>
  <c r="X1133" i="12"/>
  <c r="X1135" i="12"/>
  <c r="X1137" i="12"/>
  <c r="X1139" i="12"/>
  <c r="X1141" i="12"/>
  <c r="X1143" i="12"/>
  <c r="X1145" i="12"/>
  <c r="X1147" i="12"/>
  <c r="X1149" i="12"/>
  <c r="X1151" i="12"/>
  <c r="X1153" i="12"/>
  <c r="X1155" i="12"/>
  <c r="X1157" i="12"/>
  <c r="X1159" i="12"/>
  <c r="X1161" i="12"/>
  <c r="X1163" i="12"/>
  <c r="X1165" i="12"/>
  <c r="X1167" i="12"/>
  <c r="X1169" i="12"/>
  <c r="X1171" i="12"/>
  <c r="X1173" i="12"/>
  <c r="X1175" i="12"/>
  <c r="X1177" i="12"/>
  <c r="X1179" i="12"/>
  <c r="X1181" i="12"/>
  <c r="X1183" i="12"/>
  <c r="X1185" i="12"/>
  <c r="X1187" i="12"/>
  <c r="X1189" i="12"/>
  <c r="X1191" i="12"/>
  <c r="X1193" i="12"/>
  <c r="X1195" i="12"/>
  <c r="X1197" i="12"/>
  <c r="X1199" i="12"/>
  <c r="X1201" i="12"/>
  <c r="X1203" i="12"/>
  <c r="X1205" i="12"/>
  <c r="X1207" i="12"/>
  <c r="X1209" i="12"/>
  <c r="X1211" i="12"/>
  <c r="X1213" i="12"/>
  <c r="X1215" i="12"/>
  <c r="X1217" i="12"/>
  <c r="X1219" i="12"/>
  <c r="X1221" i="12"/>
  <c r="X1223" i="12"/>
  <c r="X1225" i="12"/>
  <c r="X1227" i="12"/>
  <c r="X1229" i="12"/>
  <c r="X1231" i="12"/>
  <c r="X1233" i="12"/>
  <c r="X1235" i="12"/>
  <c r="X1237" i="12"/>
  <c r="X1239" i="12"/>
  <c r="X1241" i="12"/>
  <c r="X1243" i="12"/>
  <c r="X1245" i="12"/>
  <c r="X1247" i="12"/>
  <c r="X1249" i="12"/>
  <c r="X1251" i="12"/>
  <c r="X1253" i="12"/>
  <c r="X1255" i="12"/>
  <c r="X1257" i="12"/>
  <c r="X1259" i="12"/>
  <c r="X1261" i="12"/>
  <c r="X1263" i="12"/>
  <c r="X1265" i="12"/>
  <c r="X1267" i="12"/>
  <c r="X1269" i="12"/>
  <c r="X1271" i="12"/>
  <c r="X1273" i="12"/>
  <c r="X1275" i="12"/>
  <c r="X1277" i="12"/>
  <c r="X1279" i="12"/>
  <c r="X1281" i="12"/>
  <c r="X1283" i="12"/>
  <c r="X1285" i="12"/>
  <c r="X1287" i="12"/>
  <c r="X1289" i="12"/>
  <c r="X1291" i="12"/>
  <c r="X1293" i="12"/>
  <c r="X1295" i="12"/>
  <c r="X1297" i="12"/>
  <c r="X1299" i="12"/>
  <c r="X1301" i="12"/>
  <c r="X1303" i="12"/>
  <c r="X1305" i="12"/>
  <c r="X1307" i="12"/>
  <c r="X1309" i="12"/>
  <c r="X1311" i="12"/>
  <c r="X1313" i="12"/>
  <c r="X1315" i="12"/>
  <c r="X1317" i="12"/>
  <c r="X1319" i="12"/>
  <c r="X1321" i="12"/>
  <c r="X1323" i="12"/>
  <c r="X1325" i="12"/>
  <c r="X1327" i="12"/>
  <c r="X1329" i="12"/>
  <c r="X1331" i="12"/>
  <c r="X1333" i="12"/>
  <c r="X1335" i="12"/>
  <c r="X1337" i="12"/>
  <c r="X1339" i="12"/>
  <c r="X1341" i="12"/>
  <c r="X1343" i="12"/>
  <c r="X1345" i="12"/>
  <c r="X1347" i="12"/>
  <c r="X1349" i="12"/>
  <c r="X1351" i="12"/>
  <c r="X1353" i="12"/>
  <c r="X1355" i="12"/>
  <c r="X1357" i="12"/>
  <c r="X1359" i="12"/>
  <c r="X1361" i="12"/>
  <c r="X1363" i="12"/>
  <c r="X1365" i="12"/>
  <c r="X1367" i="12"/>
  <c r="X1369" i="12"/>
  <c r="X1371" i="12"/>
  <c r="X1373" i="12"/>
  <c r="X1375" i="12"/>
  <c r="X1377" i="12"/>
  <c r="X1379" i="12"/>
  <c r="X1381" i="12"/>
  <c r="X1383" i="12"/>
  <c r="X1385" i="12"/>
  <c r="X1387" i="12"/>
  <c r="X1389" i="12"/>
  <c r="X1391" i="12"/>
  <c r="X1393" i="12"/>
  <c r="X1395" i="12"/>
  <c r="X1397" i="12"/>
  <c r="X1399" i="12"/>
  <c r="X1401" i="12"/>
  <c r="X1403" i="12"/>
  <c r="X1405" i="12"/>
  <c r="X1407" i="12"/>
  <c r="X1409" i="12"/>
  <c r="X1411" i="12"/>
  <c r="X1413" i="12"/>
  <c r="X1415" i="12"/>
  <c r="X1417" i="12"/>
  <c r="X1419" i="12"/>
  <c r="X1421" i="12"/>
  <c r="X1423" i="12"/>
  <c r="X1425" i="12"/>
  <c r="X1427" i="12"/>
  <c r="X1429" i="12"/>
  <c r="X1431" i="12"/>
  <c r="X1433" i="12"/>
  <c r="X1435" i="12"/>
  <c r="X1437" i="12"/>
  <c r="X1439" i="12"/>
  <c r="X1441" i="12"/>
  <c r="X1443" i="12"/>
  <c r="X1445" i="12"/>
  <c r="X1447" i="12"/>
  <c r="X1449" i="12"/>
  <c r="X1451" i="12"/>
  <c r="X1453" i="12"/>
  <c r="X1455" i="12"/>
  <c r="X1457" i="12"/>
  <c r="X1459" i="12"/>
  <c r="X1461" i="12"/>
  <c r="X1463" i="12"/>
  <c r="X1465" i="12"/>
  <c r="X1467" i="12"/>
  <c r="X1469" i="12"/>
  <c r="X1471" i="12"/>
  <c r="X1473" i="12"/>
  <c r="X1475" i="12"/>
  <c r="X1477" i="12"/>
  <c r="X1479" i="12"/>
  <c r="X1481" i="12"/>
  <c r="X1483" i="12"/>
  <c r="X1485" i="12"/>
  <c r="X1487" i="12"/>
  <c r="X1489" i="12"/>
  <c r="X1491" i="12"/>
  <c r="X1493" i="12"/>
  <c r="X1495" i="12"/>
  <c r="X1497" i="12"/>
  <c r="X1499" i="12"/>
  <c r="X1501" i="12"/>
  <c r="X1503" i="12"/>
  <c r="X1505" i="12"/>
  <c r="X1507" i="12"/>
  <c r="X1509" i="12"/>
  <c r="X1511" i="12"/>
  <c r="X1513" i="12"/>
  <c r="X1515" i="12"/>
  <c r="X1517" i="12"/>
  <c r="X1519" i="12"/>
  <c r="X1521" i="12"/>
  <c r="X1523" i="12"/>
  <c r="X1525" i="12"/>
  <c r="X1527" i="12"/>
  <c r="X1529" i="12"/>
  <c r="X1531" i="12"/>
  <c r="X1533" i="12"/>
  <c r="X1535" i="12"/>
  <c r="X1537" i="12"/>
  <c r="X1539" i="12"/>
  <c r="X1541" i="12"/>
  <c r="X1543" i="12"/>
  <c r="X1545" i="12"/>
  <c r="X1547" i="12"/>
  <c r="X1549" i="12"/>
  <c r="X1551" i="12"/>
  <c r="X1553" i="12"/>
  <c r="X1555" i="12"/>
  <c r="X1557" i="12"/>
  <c r="X1559" i="12"/>
  <c r="X1561" i="12"/>
  <c r="X1563" i="12"/>
  <c r="X1565" i="12"/>
  <c r="X1567" i="12"/>
  <c r="X1569" i="12"/>
  <c r="X1571" i="12"/>
  <c r="X1573" i="12"/>
  <c r="X1575" i="12"/>
  <c r="X1577" i="12"/>
  <c r="X1579" i="12"/>
  <c r="X1581" i="12"/>
  <c r="X1583" i="12"/>
  <c r="X1585" i="12"/>
  <c r="X1587" i="12"/>
  <c r="X1589" i="12"/>
  <c r="X1591" i="12"/>
  <c r="X1593" i="12"/>
  <c r="X1595" i="12"/>
  <c r="X1597" i="12"/>
  <c r="X1599" i="12"/>
  <c r="X1601" i="12"/>
  <c r="X1603" i="12"/>
  <c r="X1605" i="12"/>
  <c r="X1607" i="12"/>
  <c r="X1609" i="12"/>
  <c r="X1611" i="12"/>
  <c r="X1613" i="12"/>
  <c r="X1615" i="12"/>
  <c r="X1617" i="12"/>
  <c r="X1619" i="12"/>
  <c r="X1621" i="12"/>
  <c r="X1623" i="12"/>
  <c r="X1625" i="12"/>
  <c r="X1627" i="12"/>
  <c r="X1629" i="12"/>
  <c r="X1631" i="12"/>
  <c r="X1633" i="12"/>
  <c r="X1635" i="12"/>
  <c r="X1637" i="12"/>
  <c r="X1639" i="12"/>
  <c r="X1641" i="12"/>
  <c r="X1643" i="12"/>
  <c r="X1645" i="12"/>
  <c r="X1647" i="12"/>
  <c r="X1649" i="12"/>
  <c r="X1651" i="12"/>
  <c r="X1653" i="12"/>
  <c r="X1655" i="12"/>
  <c r="X1657" i="12"/>
  <c r="X1659" i="12"/>
  <c r="X1661" i="12"/>
  <c r="X1663" i="12"/>
  <c r="X1665" i="12"/>
  <c r="X1667" i="12"/>
  <c r="X1669" i="12"/>
  <c r="X1671" i="12"/>
  <c r="X1673" i="12"/>
  <c r="X1675" i="12"/>
  <c r="X1677" i="12"/>
  <c r="X1679" i="12"/>
  <c r="X1681" i="12"/>
  <c r="X1683" i="12"/>
  <c r="X1685" i="12"/>
  <c r="X1687" i="12"/>
  <c r="X1689" i="12"/>
  <c r="X1691" i="12"/>
  <c r="X1693" i="12"/>
  <c r="X1695" i="12"/>
  <c r="X1697" i="12"/>
  <c r="X1699" i="12"/>
  <c r="X1701" i="12"/>
  <c r="X1703" i="12"/>
  <c r="X1705" i="12"/>
  <c r="X1707" i="12"/>
  <c r="X1709" i="12"/>
  <c r="X1711" i="12"/>
  <c r="X1713" i="12"/>
  <c r="X1715" i="12"/>
  <c r="X1717" i="12"/>
  <c r="X1719" i="12"/>
  <c r="X1721" i="12"/>
  <c r="X1723" i="12"/>
  <c r="X1725" i="12"/>
  <c r="X1727" i="12"/>
  <c r="X1729" i="12"/>
  <c r="X1731" i="12"/>
  <c r="X1733" i="12"/>
  <c r="X1735" i="12"/>
  <c r="X1737" i="12"/>
  <c r="X1739" i="12"/>
  <c r="X1741" i="12"/>
  <c r="X1743" i="12"/>
  <c r="X1745" i="12"/>
  <c r="X1747" i="12"/>
  <c r="X1749" i="12"/>
  <c r="X1751" i="12"/>
  <c r="X1753" i="12"/>
  <c r="X1755" i="12"/>
  <c r="X1757" i="12"/>
  <c r="X1759" i="12"/>
  <c r="X1761" i="12"/>
  <c r="X1763" i="12"/>
  <c r="X1765" i="12"/>
  <c r="X1767" i="12"/>
  <c r="X1769" i="12"/>
  <c r="X1771" i="12"/>
  <c r="X1773" i="12"/>
  <c r="X1775" i="12"/>
  <c r="X1777" i="12"/>
  <c r="X1779" i="12"/>
  <c r="X1781" i="12"/>
  <c r="X1783" i="12"/>
  <c r="X1785" i="12"/>
  <c r="X1787" i="12"/>
  <c r="X1789" i="12"/>
  <c r="X1791" i="12"/>
  <c r="X1793" i="12"/>
  <c r="X1795" i="12"/>
  <c r="X1797" i="12"/>
  <c r="X1799" i="12"/>
  <c r="X1801" i="12"/>
  <c r="X1803" i="12"/>
  <c r="X1805" i="12"/>
  <c r="X1807" i="12"/>
  <c r="X1809" i="12"/>
  <c r="X1811" i="12"/>
  <c r="X1813" i="12"/>
  <c r="X1815" i="12"/>
  <c r="X1817" i="12"/>
  <c r="X1819" i="12"/>
  <c r="X1821" i="12"/>
  <c r="X1823" i="12"/>
  <c r="X1825" i="12"/>
  <c r="X1827" i="12"/>
  <c r="X1829" i="12"/>
  <c r="X1831" i="12"/>
  <c r="X1833" i="12"/>
  <c r="X1835" i="12"/>
  <c r="X1837" i="12"/>
  <c r="X1839" i="12"/>
  <c r="X1841" i="12"/>
  <c r="X1843" i="12"/>
  <c r="X1845" i="12"/>
  <c r="X1847" i="12"/>
  <c r="X1849" i="12"/>
  <c r="X1851" i="12"/>
  <c r="X1853" i="12"/>
  <c r="X1855" i="12"/>
  <c r="X1857" i="12"/>
  <c r="X1859" i="12"/>
  <c r="X1861" i="12"/>
  <c r="X1863" i="12"/>
  <c r="X1865" i="12"/>
  <c r="X1867" i="12"/>
  <c r="X1869" i="12"/>
  <c r="X1871" i="12"/>
  <c r="X1873" i="12"/>
  <c r="X1875" i="12"/>
  <c r="X1877" i="12"/>
  <c r="X1879" i="12"/>
  <c r="X1881" i="12"/>
  <c r="X1883" i="12"/>
  <c r="X1885" i="12"/>
  <c r="X1887" i="12"/>
  <c r="X1889" i="12"/>
  <c r="X1891" i="12"/>
  <c r="X1893" i="12"/>
  <c r="X1895" i="12"/>
  <c r="X1897" i="12"/>
  <c r="X1899" i="12"/>
  <c r="X1901" i="12"/>
  <c r="X1903" i="12"/>
  <c r="X1905" i="12"/>
  <c r="X1907" i="12"/>
  <c r="X1909" i="12"/>
  <c r="X1911" i="12"/>
  <c r="X1913" i="12"/>
  <c r="X1915" i="12"/>
  <c r="X1917" i="12"/>
  <c r="X1919" i="12"/>
  <c r="X1921" i="12"/>
  <c r="X1923" i="12"/>
  <c r="X1925" i="12"/>
  <c r="X1927" i="12"/>
  <c r="X1929" i="12"/>
  <c r="X1931" i="12"/>
  <c r="X1933" i="12"/>
  <c r="X1935" i="12"/>
  <c r="X1937" i="12"/>
  <c r="X1939" i="12"/>
  <c r="X1941" i="12"/>
  <c r="X1943" i="12"/>
  <c r="X1945" i="12"/>
  <c r="X1947" i="12"/>
  <c r="X1949" i="12"/>
  <c r="X1951" i="12"/>
  <c r="X1953" i="12"/>
  <c r="X1955" i="12"/>
  <c r="X1957" i="12"/>
  <c r="X1959" i="12"/>
  <c r="X1961" i="12"/>
  <c r="X1963" i="12"/>
  <c r="X1965" i="12"/>
  <c r="X1967" i="12"/>
  <c r="X1969" i="12"/>
  <c r="X1971" i="12"/>
  <c r="X1973" i="12"/>
  <c r="X1975" i="12"/>
  <c r="X1977" i="12"/>
  <c r="X1979" i="12"/>
  <c r="X1981" i="12"/>
  <c r="X1983" i="12"/>
  <c r="X1985" i="12"/>
  <c r="X1987" i="12"/>
  <c r="X1989" i="12"/>
  <c r="X1991" i="12"/>
  <c r="X1993" i="12"/>
  <c r="X1995" i="12"/>
  <c r="X1997" i="12"/>
  <c r="X1999" i="12"/>
  <c r="X2001" i="12"/>
  <c r="X2003" i="12"/>
  <c r="X2005" i="12"/>
  <c r="X2007" i="12"/>
  <c r="X2009" i="12"/>
  <c r="X2011" i="12"/>
  <c r="X2013" i="12"/>
  <c r="X2015" i="12"/>
  <c r="X2017" i="12"/>
  <c r="X2019" i="12"/>
  <c r="X2021" i="12"/>
  <c r="X2023" i="12"/>
  <c r="X2025" i="12"/>
  <c r="X2027" i="12"/>
  <c r="X2029" i="12"/>
  <c r="X2031" i="12"/>
  <c r="X2033" i="12"/>
  <c r="X2035" i="12"/>
  <c r="X2037" i="12"/>
  <c r="X2039" i="12"/>
  <c r="X2041" i="12"/>
  <c r="X2043" i="12"/>
  <c r="X2045" i="12"/>
  <c r="X2047" i="12"/>
  <c r="X2049" i="12"/>
  <c r="X2051" i="12"/>
  <c r="X2053" i="12"/>
  <c r="X2055" i="12"/>
  <c r="X2057" i="12"/>
  <c r="X2059" i="12"/>
  <c r="X2061" i="12"/>
  <c r="X2063" i="12"/>
  <c r="X2065" i="12"/>
  <c r="X2067" i="12"/>
  <c r="X2069" i="12"/>
  <c r="X2071" i="12"/>
  <c r="X2073" i="12"/>
  <c r="X2075" i="12"/>
  <c r="X2077" i="12"/>
  <c r="X2079" i="12"/>
  <c r="X2081" i="12"/>
  <c r="X2083" i="12"/>
  <c r="X2085" i="12"/>
  <c r="X2087" i="12"/>
  <c r="X2089" i="12"/>
  <c r="X2091" i="12"/>
  <c r="X2093" i="12"/>
  <c r="X2095" i="12"/>
  <c r="X2097" i="12"/>
  <c r="X2099" i="12"/>
  <c r="X2101" i="12"/>
  <c r="X2103" i="12"/>
  <c r="X2105" i="12"/>
  <c r="X2107" i="12"/>
  <c r="X2109" i="12"/>
  <c r="X2111" i="12"/>
  <c r="X2113" i="12"/>
  <c r="X2115" i="12"/>
  <c r="X2117" i="12"/>
  <c r="X2119" i="12"/>
  <c r="X2121" i="12"/>
  <c r="X2123" i="12"/>
  <c r="X2125" i="12"/>
  <c r="X2127" i="12"/>
  <c r="X2129" i="12"/>
  <c r="X2131" i="12"/>
  <c r="X2133" i="12"/>
  <c r="X2135" i="12"/>
  <c r="X2137" i="12"/>
  <c r="X2139" i="12"/>
  <c r="X2141" i="12"/>
  <c r="X2143" i="12"/>
  <c r="X2145" i="12"/>
  <c r="X2147" i="12"/>
  <c r="X2149" i="12"/>
  <c r="X2151" i="12"/>
  <c r="X2153" i="12"/>
  <c r="X2155" i="12"/>
  <c r="X2157" i="12"/>
  <c r="X2159" i="12"/>
  <c r="X2161" i="12"/>
  <c r="X2163" i="12"/>
  <c r="X2165" i="12"/>
  <c r="X2167" i="12"/>
  <c r="X2169" i="12"/>
  <c r="X2171" i="12"/>
  <c r="X2173" i="12"/>
  <c r="X2175" i="12"/>
  <c r="X2177" i="12"/>
  <c r="X2179" i="12"/>
  <c r="X2181" i="12"/>
  <c r="X2183" i="12"/>
  <c r="X2185" i="12"/>
  <c r="X2187" i="12"/>
  <c r="X2189" i="12"/>
  <c r="X2191" i="12"/>
  <c r="X2193" i="12"/>
  <c r="X2195" i="12"/>
  <c r="X2197" i="12"/>
  <c r="X2199" i="12"/>
  <c r="X2201" i="12"/>
  <c r="X2203" i="12"/>
  <c r="X2205" i="12"/>
  <c r="X2207" i="12"/>
  <c r="X2209" i="12"/>
  <c r="X2211" i="12"/>
  <c r="X2213" i="12"/>
  <c r="X2215" i="12"/>
  <c r="X2217" i="12"/>
  <c r="X2219" i="12"/>
  <c r="X2221" i="12"/>
  <c r="X2223" i="12"/>
  <c r="X2225" i="12"/>
  <c r="X2227" i="12"/>
  <c r="X2229" i="12"/>
  <c r="X2231" i="12"/>
  <c r="X2233" i="12"/>
  <c r="X2235" i="12"/>
  <c r="X2237" i="12"/>
  <c r="X2239" i="12"/>
  <c r="X2241" i="12"/>
  <c r="X2243" i="12"/>
  <c r="X2245" i="12"/>
  <c r="X2247" i="12"/>
  <c r="X2249" i="12"/>
  <c r="X2251" i="12"/>
  <c r="X2253" i="12"/>
  <c r="X2255" i="12"/>
  <c r="X2257" i="12"/>
  <c r="X2259" i="12"/>
  <c r="X2261" i="12"/>
  <c r="X2263" i="12"/>
  <c r="X2265" i="12"/>
  <c r="X2267" i="12"/>
  <c r="X2269" i="12"/>
  <c r="X2271" i="12"/>
  <c r="X2273" i="12"/>
  <c r="X2275" i="12"/>
  <c r="X2277" i="12"/>
  <c r="X2279" i="12"/>
  <c r="X2281" i="12"/>
  <c r="X2283" i="12"/>
  <c r="X2285" i="12"/>
  <c r="X2287" i="12"/>
  <c r="X2289" i="12"/>
  <c r="X2291" i="12"/>
  <c r="X2293" i="12"/>
  <c r="X2295" i="12"/>
  <c r="X2297" i="12"/>
  <c r="X2299" i="12"/>
  <c r="X2301" i="12"/>
  <c r="X2303" i="12"/>
  <c r="X2305" i="12"/>
  <c r="X2307" i="12"/>
  <c r="X2309" i="12"/>
  <c r="X2311" i="12"/>
  <c r="X2313" i="12"/>
  <c r="X2315" i="12"/>
  <c r="X2317" i="12"/>
  <c r="X2319" i="12"/>
  <c r="X2321" i="12"/>
  <c r="X2323" i="12"/>
  <c r="X2325" i="12"/>
  <c r="X2327" i="12"/>
  <c r="X2329" i="12"/>
  <c r="X2331" i="12"/>
  <c r="X2333" i="12"/>
  <c r="X2335" i="12"/>
  <c r="X2337" i="12"/>
  <c r="X2339" i="12"/>
  <c r="X2341" i="12"/>
  <c r="X2343" i="12"/>
  <c r="X2345" i="12"/>
  <c r="X2347" i="12"/>
  <c r="X2349" i="12"/>
  <c r="X2351" i="12"/>
  <c r="X2353" i="12"/>
  <c r="X2355" i="12"/>
  <c r="X2357" i="12"/>
  <c r="X2359" i="12"/>
  <c r="X2361" i="12"/>
  <c r="X2363" i="12"/>
  <c r="X2365" i="12"/>
  <c r="X2367" i="12"/>
  <c r="X2369" i="12"/>
  <c r="X2371" i="12"/>
  <c r="X2373" i="12"/>
  <c r="X2375" i="12"/>
  <c r="X2377" i="12"/>
  <c r="X2379" i="12"/>
  <c r="X2381" i="12"/>
  <c r="X2383" i="12"/>
  <c r="X2385" i="12"/>
  <c r="X2387" i="12"/>
  <c r="X2389" i="12"/>
  <c r="X2391" i="12"/>
  <c r="X2393" i="12"/>
  <c r="X2395" i="12"/>
  <c r="X2397" i="12"/>
  <c r="X2399" i="12"/>
  <c r="X2401" i="12"/>
  <c r="X2403" i="12"/>
  <c r="X2405" i="12"/>
  <c r="X2407" i="12"/>
  <c r="X2409" i="12"/>
  <c r="X2411" i="12"/>
  <c r="X2413" i="12"/>
  <c r="X2415" i="12"/>
  <c r="X2417" i="12"/>
  <c r="X2419" i="12"/>
  <c r="X2421" i="12"/>
  <c r="X2423" i="12"/>
  <c r="X2425" i="12"/>
  <c r="X2427" i="12"/>
  <c r="X2429" i="12"/>
  <c r="X2431" i="12"/>
  <c r="X2433" i="12"/>
  <c r="X2435" i="12"/>
  <c r="X2437" i="12"/>
  <c r="X2439" i="12"/>
  <c r="X2441" i="12"/>
  <c r="X2443" i="12"/>
  <c r="X2445" i="12"/>
  <c r="X2447" i="12"/>
  <c r="X2449" i="12"/>
  <c r="X2451" i="12"/>
  <c r="X2453" i="12"/>
  <c r="X2455" i="12"/>
  <c r="X2457" i="12"/>
  <c r="X2459" i="12"/>
  <c r="X2461" i="12"/>
  <c r="X2463" i="12"/>
  <c r="X2465" i="12"/>
  <c r="X2467" i="12"/>
  <c r="X2469" i="12"/>
  <c r="X2471" i="12"/>
  <c r="X2473" i="12"/>
  <c r="X2475" i="12"/>
  <c r="X2477" i="12"/>
  <c r="X2479" i="12"/>
  <c r="X2481" i="12"/>
  <c r="X2483" i="12"/>
  <c r="X2485" i="12"/>
  <c r="X2487" i="12"/>
  <c r="X2489" i="12"/>
  <c r="X2491" i="12"/>
  <c r="X2493" i="12"/>
  <c r="X2495" i="12"/>
  <c r="X2497" i="12"/>
  <c r="X2499" i="12"/>
  <c r="X2501" i="12"/>
  <c r="X2503" i="12"/>
  <c r="X2505" i="12"/>
  <c r="X2507" i="12"/>
  <c r="X2509" i="12"/>
  <c r="X2511" i="12"/>
  <c r="X2513" i="12"/>
  <c r="X2515" i="12"/>
  <c r="X2517" i="12"/>
  <c r="X2519" i="12"/>
  <c r="X2521" i="12"/>
  <c r="X2523" i="12"/>
  <c r="X2525" i="12"/>
  <c r="X2527" i="12"/>
  <c r="X2529" i="12"/>
  <c r="X2531" i="12"/>
  <c r="X2533" i="12"/>
  <c r="X2535" i="12"/>
  <c r="X2537" i="12"/>
  <c r="X2539" i="12"/>
  <c r="X2541" i="12"/>
  <c r="X2543" i="12"/>
  <c r="X2545" i="12"/>
  <c r="X2547" i="12"/>
  <c r="X2549" i="12"/>
  <c r="X2551" i="12"/>
  <c r="X2553" i="12"/>
  <c r="X2555" i="12"/>
  <c r="X2557" i="12"/>
  <c r="X2559" i="12"/>
  <c r="X2561" i="12"/>
  <c r="X2563" i="12"/>
  <c r="X2565" i="12"/>
  <c r="X2567" i="12"/>
  <c r="X2569" i="12"/>
  <c r="X2571" i="12"/>
  <c r="X2573" i="12"/>
  <c r="X2575" i="12"/>
  <c r="X2577" i="12"/>
  <c r="X2579" i="12"/>
  <c r="X2581" i="12"/>
  <c r="X2583" i="12"/>
  <c r="X2585" i="12"/>
  <c r="X2587" i="12"/>
  <c r="X2589" i="12"/>
  <c r="X2591" i="12"/>
  <c r="X2593" i="12"/>
  <c r="X2595" i="12"/>
  <c r="X2597" i="12"/>
  <c r="X2599" i="12"/>
  <c r="X2601" i="12"/>
  <c r="X2603" i="12"/>
  <c r="X2605" i="12"/>
  <c r="X2607" i="12"/>
  <c r="X2609" i="12"/>
  <c r="X2611" i="12"/>
  <c r="X2613" i="12"/>
  <c r="X2615" i="12"/>
  <c r="X2617" i="12"/>
  <c r="X2619" i="12"/>
  <c r="X2621" i="12"/>
  <c r="X2623" i="12"/>
  <c r="X2625" i="12"/>
  <c r="X2627" i="12"/>
  <c r="X2629" i="12"/>
  <c r="X2631" i="12"/>
  <c r="X2633" i="12"/>
  <c r="X2635" i="12"/>
  <c r="X2637" i="12"/>
  <c r="X2639" i="12"/>
  <c r="X2641" i="12"/>
  <c r="X2643" i="12"/>
  <c r="X2645" i="12"/>
  <c r="X2647" i="12"/>
  <c r="X2649" i="12"/>
  <c r="X2651" i="12"/>
  <c r="X2653" i="12"/>
  <c r="X2655" i="12"/>
  <c r="X2657" i="12"/>
  <c r="X2659" i="12"/>
  <c r="X2661" i="12"/>
  <c r="X2663" i="12"/>
  <c r="X2665" i="12"/>
  <c r="X2667" i="12"/>
  <c r="X2669" i="12"/>
  <c r="X2671" i="12"/>
  <c r="X2673" i="12"/>
  <c r="X2675" i="12"/>
  <c r="X2677" i="12"/>
  <c r="X2679" i="12"/>
  <c r="X2681" i="12"/>
  <c r="X2683" i="12"/>
  <c r="X2685" i="12"/>
  <c r="X2687" i="12"/>
  <c r="X2689" i="12"/>
  <c r="X2691" i="12"/>
  <c r="X2693" i="12"/>
  <c r="X2695" i="12"/>
  <c r="X2697" i="12"/>
  <c r="X2699" i="12"/>
  <c r="X2701" i="12"/>
  <c r="X2703" i="12"/>
  <c r="X2705" i="12"/>
  <c r="X2707" i="12"/>
  <c r="X2709" i="12"/>
  <c r="X2711" i="12"/>
  <c r="X2713" i="12"/>
  <c r="X2715" i="12"/>
  <c r="X2717" i="12"/>
  <c r="X2719" i="12"/>
  <c r="X2721" i="12"/>
  <c r="X2723" i="12"/>
  <c r="X2725" i="12"/>
  <c r="X2727" i="12"/>
  <c r="X2729" i="12"/>
  <c r="X2731" i="12"/>
  <c r="X2733" i="12"/>
  <c r="X2735" i="12"/>
  <c r="X2737" i="12"/>
  <c r="X2739" i="12"/>
  <c r="X2741" i="12"/>
  <c r="X2743" i="12"/>
  <c r="X2745" i="12"/>
  <c r="X2747" i="12"/>
  <c r="X2749" i="12"/>
  <c r="X2751" i="12"/>
  <c r="X2753" i="12"/>
  <c r="X2755" i="12"/>
  <c r="X2757" i="12"/>
  <c r="X2759" i="12"/>
  <c r="X2761" i="12"/>
  <c r="X2763" i="12"/>
  <c r="X2765" i="12"/>
  <c r="X2767" i="12"/>
  <c r="X2769" i="12"/>
  <c r="X2771" i="12"/>
  <c r="X2773" i="12"/>
  <c r="X2775" i="12"/>
  <c r="X2777" i="12"/>
  <c r="X2779" i="12"/>
  <c r="X2781" i="12"/>
  <c r="X2783" i="12"/>
  <c r="X2785" i="12"/>
  <c r="X2787" i="12"/>
  <c r="X2789" i="12"/>
  <c r="X2791" i="12"/>
  <c r="X2793" i="12"/>
  <c r="X2795" i="12"/>
  <c r="X2797" i="12"/>
  <c r="X2799" i="12"/>
  <c r="X2801" i="12"/>
  <c r="X2803" i="12"/>
  <c r="X2805" i="12"/>
  <c r="X2807" i="12"/>
  <c r="X2809" i="12"/>
  <c r="X2811" i="12"/>
  <c r="X2813" i="12"/>
  <c r="X2815" i="12"/>
  <c r="X2817" i="12"/>
  <c r="X2819" i="12"/>
  <c r="X2821" i="12"/>
  <c r="X2823" i="12"/>
  <c r="X2825" i="12"/>
  <c r="X2827" i="12"/>
  <c r="X2829" i="12"/>
  <c r="X2831" i="12"/>
  <c r="X2833" i="12"/>
  <c r="X2835" i="12"/>
  <c r="X2837" i="12"/>
  <c r="X2839" i="12"/>
  <c r="X2841" i="12"/>
  <c r="X2843" i="12"/>
  <c r="X2845" i="12"/>
  <c r="X2847" i="12"/>
  <c r="X2849" i="12"/>
  <c r="X2851" i="12"/>
  <c r="X2853" i="12"/>
  <c r="X2855" i="12"/>
  <c r="X2857" i="12"/>
  <c r="X2859" i="12"/>
  <c r="X2861" i="12"/>
  <c r="X2863" i="12"/>
  <c r="X2865" i="12"/>
  <c r="X2867" i="12"/>
  <c r="X2869" i="12"/>
  <c r="X2871" i="12"/>
  <c r="X2873" i="12"/>
  <c r="X2875" i="12"/>
  <c r="X2877" i="12"/>
  <c r="X2879" i="12"/>
  <c r="X2881" i="12"/>
  <c r="X2883" i="12"/>
  <c r="X2885" i="12"/>
  <c r="X2887" i="12"/>
  <c r="X2889" i="12"/>
  <c r="X2891" i="12"/>
  <c r="X2893" i="12"/>
  <c r="X2895" i="12"/>
  <c r="X2897" i="12"/>
  <c r="X2899" i="12"/>
  <c r="X2901" i="12"/>
  <c r="X2903" i="12"/>
  <c r="X2905" i="12"/>
  <c r="X2907" i="12"/>
  <c r="X2909" i="12"/>
  <c r="X2911" i="12"/>
  <c r="X2913" i="12"/>
  <c r="X2915" i="12"/>
  <c r="X2917" i="12"/>
  <c r="X2919" i="12"/>
  <c r="X2921" i="12"/>
  <c r="X2923" i="12"/>
  <c r="X2925" i="12"/>
  <c r="X2927" i="12"/>
  <c r="X2929" i="12"/>
  <c r="X2930" i="12"/>
  <c r="X2932" i="12"/>
  <c r="X2934" i="12"/>
  <c r="X2936" i="12"/>
  <c r="X2938" i="12"/>
  <c r="X2940" i="12"/>
  <c r="X2942" i="12"/>
  <c r="X2944" i="12"/>
  <c r="X2946" i="12"/>
  <c r="X2948" i="12"/>
  <c r="X2950" i="12"/>
  <c r="X2952" i="12"/>
  <c r="X2954" i="12"/>
  <c r="X2956" i="12"/>
  <c r="X2958" i="12"/>
  <c r="X2960" i="12"/>
  <c r="X2962" i="12"/>
  <c r="X2964" i="12"/>
  <c r="X2966" i="12"/>
  <c r="X2968" i="12"/>
  <c r="X2970" i="12"/>
  <c r="X2972" i="12"/>
  <c r="X2974" i="12"/>
  <c r="X2976" i="12"/>
  <c r="X2978" i="12"/>
  <c r="X2980" i="12"/>
  <c r="X2982" i="12"/>
  <c r="X2984" i="12"/>
  <c r="X2986" i="12"/>
  <c r="X2988" i="12"/>
  <c r="X2990" i="12"/>
  <c r="X2992" i="12"/>
  <c r="X2994" i="12"/>
  <c r="X2996" i="12"/>
  <c r="X2998" i="12"/>
  <c r="X3000" i="12"/>
  <c r="X3002" i="12"/>
  <c r="X3004" i="12"/>
  <c r="X3006" i="12"/>
  <c r="X3008" i="12"/>
  <c r="X3010" i="12"/>
  <c r="X3012" i="12"/>
  <c r="X3014" i="12"/>
  <c r="X3016" i="12"/>
  <c r="X3018" i="12"/>
  <c r="X3020" i="12"/>
  <c r="X3022" i="12"/>
  <c r="X3024" i="12"/>
  <c r="X3026" i="12"/>
  <c r="X3028" i="12"/>
  <c r="X3030" i="12"/>
  <c r="X3032" i="12"/>
  <c r="X3034" i="12"/>
  <c r="X3036" i="12"/>
  <c r="X3038" i="12"/>
  <c r="X3040" i="12"/>
  <c r="X3042" i="12"/>
  <c r="X3044" i="12"/>
  <c r="X3046" i="12"/>
  <c r="X3048" i="12"/>
  <c r="X3050" i="12"/>
  <c r="X3052" i="12"/>
  <c r="X3054" i="12"/>
  <c r="X3056" i="12"/>
  <c r="X3058" i="12"/>
  <c r="X3060" i="12"/>
  <c r="X3062" i="12"/>
  <c r="X3064" i="12"/>
  <c r="X3066" i="12"/>
  <c r="X3068" i="12"/>
  <c r="X3070" i="12"/>
  <c r="X3072" i="12"/>
  <c r="X3074" i="12"/>
  <c r="X3076" i="12"/>
  <c r="X3078" i="12"/>
  <c r="X3080" i="12"/>
  <c r="X3082" i="12"/>
  <c r="X3084" i="12"/>
  <c r="X3086" i="12"/>
  <c r="X3088" i="12"/>
  <c r="X3090" i="12"/>
  <c r="X3092" i="12"/>
  <c r="X3094" i="12"/>
  <c r="X3096" i="12"/>
  <c r="X3098" i="12"/>
  <c r="X3100" i="12"/>
  <c r="X3102" i="12"/>
  <c r="X3104" i="12"/>
  <c r="X3106" i="12"/>
  <c r="X3108" i="12"/>
  <c r="X3110" i="12"/>
  <c r="X3112" i="12"/>
  <c r="X3114" i="12"/>
  <c r="X3116" i="12"/>
  <c r="X3118" i="12"/>
  <c r="X3120" i="12"/>
  <c r="X3122" i="12"/>
  <c r="X3124" i="12"/>
  <c r="X3126" i="12"/>
  <c r="X3128" i="12"/>
  <c r="X3130" i="12"/>
  <c r="X3132" i="12"/>
  <c r="X3134" i="12"/>
  <c r="X3136" i="12"/>
  <c r="X3138" i="12"/>
  <c r="X3140" i="12"/>
  <c r="X3142" i="12"/>
  <c r="X3144" i="12"/>
  <c r="X3146" i="12"/>
  <c r="X3148" i="12"/>
  <c r="X3150" i="12"/>
  <c r="X3152" i="12"/>
  <c r="X3154" i="12"/>
  <c r="X3156" i="12"/>
  <c r="X3158" i="12"/>
  <c r="X3160" i="12"/>
  <c r="X3162" i="12"/>
  <c r="X3164" i="12"/>
  <c r="X3166" i="12"/>
  <c r="X3168" i="12"/>
  <c r="X3170" i="12"/>
  <c r="X3172" i="12"/>
  <c r="X3174" i="12"/>
  <c r="X3176" i="12"/>
  <c r="X3178" i="12"/>
  <c r="X3180" i="12"/>
  <c r="X3182" i="12"/>
  <c r="X3184" i="12"/>
  <c r="X3186" i="12"/>
  <c r="X3188" i="12"/>
  <c r="X3190" i="12"/>
  <c r="X3192" i="12"/>
  <c r="X3194" i="12"/>
  <c r="X3196" i="12"/>
  <c r="X3198" i="12"/>
  <c r="X3200" i="12"/>
  <c r="X3202" i="12"/>
  <c r="X3204" i="12"/>
  <c r="X3206" i="12"/>
  <c r="X3208" i="12"/>
  <c r="X3210" i="12"/>
  <c r="X3212" i="12"/>
  <c r="X3214" i="12"/>
  <c r="X3216" i="12"/>
  <c r="X3218" i="12"/>
  <c r="X3220" i="12"/>
  <c r="X3222" i="12"/>
  <c r="X3224" i="12"/>
  <c r="X3226" i="12"/>
  <c r="X3228" i="12"/>
  <c r="X3230" i="12"/>
  <c r="X3232" i="12"/>
  <c r="X3234" i="12"/>
  <c r="X3236" i="12"/>
  <c r="X3238" i="12"/>
  <c r="X3240" i="12"/>
  <c r="X3242" i="12"/>
  <c r="X3244" i="12"/>
  <c r="X3246" i="12"/>
  <c r="X3248" i="12"/>
  <c r="X3250" i="12"/>
  <c r="X3252" i="12"/>
  <c r="X3254" i="12"/>
  <c r="X3256" i="12"/>
  <c r="X3258" i="12"/>
  <c r="X3260" i="12"/>
  <c r="X3262" i="12"/>
  <c r="X3264" i="12"/>
  <c r="X3266" i="12"/>
  <c r="X3268" i="12"/>
  <c r="X3270" i="12"/>
  <c r="X3272" i="12"/>
  <c r="X3274" i="12"/>
  <c r="X3276" i="12"/>
  <c r="X3278" i="12"/>
  <c r="X3280" i="12"/>
  <c r="X3282" i="12"/>
  <c r="X3284" i="12"/>
  <c r="X3286" i="12"/>
  <c r="X3288" i="12"/>
  <c r="X3290" i="12"/>
  <c r="X3292" i="12"/>
  <c r="X3294" i="12"/>
  <c r="X3296" i="12"/>
  <c r="X3298" i="12"/>
  <c r="X3300" i="12"/>
  <c r="X3302" i="12"/>
  <c r="X3304" i="12"/>
  <c r="X3306" i="12"/>
  <c r="X3308" i="12"/>
  <c r="X3310" i="12"/>
  <c r="X3312" i="12"/>
  <c r="X3314" i="12"/>
  <c r="X3316" i="12"/>
  <c r="X3318" i="12"/>
  <c r="X3320" i="12"/>
  <c r="X3322" i="12"/>
  <c r="X3324" i="12"/>
  <c r="X3326" i="12"/>
  <c r="X3328" i="12"/>
  <c r="X3330" i="12"/>
  <c r="X3332" i="12"/>
  <c r="X3334" i="12"/>
  <c r="X3336" i="12"/>
  <c r="X3338" i="12"/>
  <c r="X3340" i="12"/>
  <c r="X3342" i="12"/>
  <c r="X3344" i="12"/>
  <c r="X3346" i="12"/>
  <c r="X3348" i="12"/>
  <c r="X3350" i="12"/>
  <c r="X3352" i="12"/>
  <c r="X3354" i="12"/>
  <c r="X3356" i="12"/>
  <c r="X3358" i="12"/>
  <c r="X3360" i="12"/>
  <c r="X3362" i="12"/>
  <c r="X3364" i="12"/>
  <c r="X3366" i="12"/>
  <c r="X3368" i="12"/>
  <c r="X3370" i="12"/>
  <c r="X3372" i="12"/>
  <c r="X3374" i="12"/>
  <c r="X3376" i="12"/>
  <c r="X3378" i="12"/>
  <c r="X3380" i="12"/>
  <c r="X3382" i="12"/>
  <c r="X3384" i="12"/>
  <c r="X3386" i="12"/>
  <c r="X3388" i="12"/>
  <c r="X3390" i="12"/>
  <c r="X3392" i="12"/>
  <c r="X3394" i="12"/>
  <c r="X3396" i="12"/>
  <c r="X3398" i="12"/>
  <c r="X3400" i="12"/>
  <c r="X3402" i="12"/>
  <c r="X3404" i="12"/>
  <c r="X3406" i="12"/>
  <c r="X3408" i="12"/>
  <c r="X3410" i="12"/>
  <c r="X3412" i="12"/>
  <c r="X3414" i="12"/>
  <c r="X3416" i="12"/>
  <c r="X3418" i="12"/>
  <c r="X3420" i="12"/>
  <c r="X3422" i="12"/>
  <c r="X3424" i="12"/>
  <c r="X3426" i="12"/>
  <c r="X3428" i="12"/>
  <c r="X3430" i="12"/>
  <c r="X3432" i="12"/>
  <c r="X3434" i="12"/>
  <c r="X3436" i="12"/>
  <c r="X3438" i="12"/>
  <c r="X3440" i="12"/>
  <c r="X3442" i="12"/>
  <c r="X3444" i="12"/>
  <c r="X3446" i="12"/>
  <c r="X3448" i="12"/>
  <c r="X3450" i="12"/>
  <c r="X3452" i="12"/>
  <c r="X3454" i="12"/>
  <c r="X3456" i="12"/>
  <c r="X3458" i="12"/>
  <c r="X3460" i="12"/>
  <c r="X3462" i="12"/>
  <c r="X3464" i="12"/>
  <c r="X3466" i="12"/>
  <c r="X3468" i="12"/>
  <c r="X3470" i="12"/>
  <c r="X3472" i="12"/>
  <c r="X3474" i="12"/>
  <c r="X3476" i="12"/>
  <c r="X3478" i="12"/>
  <c r="X3480" i="12"/>
  <c r="X3482" i="12"/>
  <c r="X3484" i="12"/>
  <c r="X3486" i="12"/>
  <c r="X3488" i="12"/>
  <c r="X3490" i="12"/>
  <c r="X3492" i="12"/>
  <c r="X3494" i="12"/>
  <c r="X3496" i="12"/>
  <c r="X3498" i="12"/>
  <c r="X3500" i="12"/>
  <c r="X3502" i="12"/>
  <c r="X3504" i="12"/>
  <c r="X3506" i="12"/>
  <c r="X3508" i="12"/>
  <c r="X3510" i="12"/>
  <c r="X3512" i="12"/>
  <c r="X3514" i="12"/>
  <c r="X3516" i="12"/>
  <c r="X3518" i="12"/>
  <c r="X3520" i="12"/>
  <c r="X3522" i="12"/>
  <c r="X3524" i="12"/>
  <c r="X3526" i="12"/>
  <c r="X3528" i="12"/>
  <c r="X3530" i="12"/>
  <c r="X3532" i="12"/>
  <c r="X3534" i="12"/>
  <c r="X3536" i="12"/>
  <c r="X3538" i="12"/>
  <c r="X3540" i="12"/>
  <c r="X3542" i="12"/>
  <c r="X3544" i="12"/>
  <c r="X3546" i="12"/>
  <c r="X3548" i="12"/>
  <c r="X3550" i="12"/>
  <c r="X3552" i="12"/>
  <c r="X3554" i="12"/>
  <c r="X3556" i="12"/>
  <c r="X3558" i="12"/>
  <c r="X3560" i="12"/>
  <c r="X3562" i="12"/>
  <c r="X3564" i="12"/>
  <c r="X3566" i="12"/>
  <c r="X3568" i="12"/>
  <c r="X3570" i="12"/>
  <c r="X3572" i="12"/>
  <c r="X3574" i="12"/>
  <c r="X3576" i="12"/>
  <c r="X3578" i="12"/>
  <c r="X3580" i="12"/>
  <c r="X3582" i="12"/>
  <c r="X3584" i="12"/>
  <c r="X3586" i="12"/>
  <c r="X3588" i="12"/>
  <c r="X3590" i="12"/>
  <c r="X3592" i="12"/>
  <c r="X3594" i="12"/>
  <c r="X3596" i="12"/>
  <c r="X3598" i="12"/>
  <c r="X3600" i="12"/>
  <c r="X3602" i="12"/>
  <c r="X3604" i="12"/>
  <c r="X3606" i="12"/>
  <c r="X3608" i="12"/>
  <c r="T11" i="12"/>
  <c r="T13" i="12"/>
  <c r="T15" i="12"/>
  <c r="T17" i="12"/>
  <c r="T19" i="12"/>
  <c r="T21" i="12"/>
  <c r="T23" i="12"/>
  <c r="T25" i="12"/>
  <c r="T27" i="12"/>
  <c r="T29" i="12"/>
  <c r="T31" i="12"/>
  <c r="T33" i="12"/>
  <c r="T35" i="12"/>
  <c r="T37" i="12"/>
  <c r="T39" i="12"/>
  <c r="T41" i="12"/>
  <c r="T43" i="12"/>
  <c r="T45" i="12"/>
  <c r="T47" i="12"/>
  <c r="T49" i="12"/>
  <c r="T51" i="12"/>
  <c r="T53" i="12"/>
  <c r="T55" i="12"/>
  <c r="T57" i="12"/>
  <c r="T59" i="12"/>
  <c r="T61" i="12"/>
  <c r="T63" i="12"/>
  <c r="T65" i="12"/>
  <c r="T67" i="12"/>
  <c r="T69" i="12"/>
  <c r="T71" i="12"/>
  <c r="T73" i="12"/>
  <c r="T75" i="12"/>
  <c r="T77" i="12"/>
  <c r="T79" i="12"/>
  <c r="T81" i="12"/>
  <c r="T83" i="12"/>
  <c r="T85" i="12"/>
  <c r="T87" i="12"/>
  <c r="T89" i="12"/>
  <c r="T91" i="12"/>
  <c r="T93" i="12"/>
  <c r="T95" i="12"/>
  <c r="T97" i="12"/>
  <c r="T99" i="12"/>
  <c r="T101" i="12"/>
  <c r="T103" i="12"/>
  <c r="T105" i="12"/>
  <c r="T107" i="12"/>
  <c r="T109" i="12"/>
  <c r="T111" i="12"/>
  <c r="T113" i="12"/>
  <c r="T115" i="12"/>
  <c r="T117" i="12"/>
  <c r="T119" i="12"/>
  <c r="T121" i="12"/>
  <c r="T123" i="12"/>
  <c r="T125" i="12"/>
  <c r="T127" i="12"/>
  <c r="T129" i="12"/>
  <c r="T131" i="12"/>
  <c r="T133" i="12"/>
  <c r="T135" i="12"/>
  <c r="T137" i="12"/>
  <c r="T139" i="12"/>
  <c r="T141" i="12"/>
  <c r="T143" i="12"/>
  <c r="T145" i="12"/>
  <c r="T147" i="12"/>
  <c r="T149" i="12"/>
  <c r="T151" i="12"/>
  <c r="T153" i="12"/>
  <c r="T155" i="12"/>
  <c r="T157" i="12"/>
  <c r="T159" i="12"/>
  <c r="T161" i="12"/>
  <c r="T163" i="12"/>
  <c r="T165" i="12"/>
  <c r="T167" i="12"/>
  <c r="T169" i="12"/>
  <c r="T171" i="12"/>
  <c r="T173" i="12"/>
  <c r="T175" i="12"/>
  <c r="T177" i="12"/>
  <c r="T179" i="12"/>
  <c r="T181" i="12"/>
  <c r="T183" i="12"/>
  <c r="T185" i="12"/>
  <c r="T187" i="12"/>
  <c r="T189" i="12"/>
  <c r="T191" i="12"/>
  <c r="T193" i="12"/>
  <c r="T195" i="12"/>
  <c r="T197" i="12"/>
  <c r="T199" i="12"/>
  <c r="T201" i="12"/>
  <c r="T203" i="12"/>
  <c r="T205" i="12"/>
  <c r="T207" i="12"/>
  <c r="T209" i="12"/>
  <c r="T211" i="12"/>
  <c r="T213" i="12"/>
  <c r="T215" i="12"/>
  <c r="T217" i="12"/>
  <c r="T219" i="12"/>
  <c r="T221" i="12"/>
  <c r="T223" i="12"/>
  <c r="T225" i="12"/>
  <c r="T227" i="12"/>
  <c r="T229" i="12"/>
  <c r="T231" i="12"/>
  <c r="T233" i="12"/>
  <c r="T235" i="12"/>
  <c r="T237" i="12"/>
  <c r="T239" i="12"/>
  <c r="T241" i="12"/>
  <c r="T243" i="12"/>
  <c r="T245" i="12"/>
  <c r="T247" i="12"/>
  <c r="T249" i="12"/>
  <c r="T251" i="12"/>
  <c r="T253" i="12"/>
  <c r="T255" i="12"/>
  <c r="T257" i="12"/>
  <c r="T259" i="12"/>
  <c r="T261" i="12"/>
  <c r="T263" i="12"/>
  <c r="T265" i="12"/>
  <c r="T267" i="12"/>
  <c r="T269" i="12"/>
  <c r="T271" i="12"/>
  <c r="T273" i="12"/>
  <c r="T275" i="12"/>
  <c r="T277" i="12"/>
  <c r="T279" i="12"/>
  <c r="T281" i="12"/>
  <c r="T283" i="12"/>
  <c r="T285" i="12"/>
  <c r="T287" i="12"/>
  <c r="T289" i="12"/>
  <c r="T291" i="12"/>
  <c r="T293" i="12"/>
  <c r="T295" i="12"/>
  <c r="T297" i="12"/>
  <c r="T299" i="12"/>
  <c r="T301" i="12"/>
  <c r="T303" i="12"/>
  <c r="T305" i="12"/>
  <c r="T307" i="12"/>
  <c r="T309" i="12"/>
  <c r="T311" i="12"/>
  <c r="T313" i="12"/>
  <c r="T315" i="12"/>
  <c r="T317" i="12"/>
  <c r="T319" i="12"/>
  <c r="T321" i="12"/>
  <c r="T323" i="12"/>
  <c r="T325" i="12"/>
  <c r="T327" i="12"/>
  <c r="T329" i="12"/>
  <c r="T331" i="12"/>
  <c r="T333" i="12"/>
  <c r="T335" i="12"/>
  <c r="T337" i="12"/>
  <c r="T339" i="12"/>
  <c r="T341" i="12"/>
  <c r="T343" i="12"/>
  <c r="T345" i="12"/>
  <c r="T347" i="12"/>
  <c r="T349" i="12"/>
  <c r="T351" i="12"/>
  <c r="T353" i="12"/>
  <c r="T355" i="12"/>
  <c r="T357" i="12"/>
  <c r="T359" i="12"/>
  <c r="T361" i="12"/>
  <c r="T363" i="12"/>
  <c r="T365" i="12"/>
  <c r="T367" i="12"/>
  <c r="T369" i="12"/>
  <c r="T371" i="12"/>
  <c r="T373" i="12"/>
  <c r="T375" i="12"/>
  <c r="T377" i="12"/>
  <c r="T379" i="12"/>
  <c r="T381" i="12"/>
  <c r="T383" i="12"/>
  <c r="T385" i="12"/>
  <c r="T387" i="12"/>
  <c r="T389" i="12"/>
  <c r="T391" i="12"/>
  <c r="T393" i="12"/>
  <c r="T395" i="12"/>
  <c r="T397" i="12"/>
  <c r="T399" i="12"/>
  <c r="T401" i="12"/>
  <c r="T403" i="12"/>
  <c r="T405" i="12"/>
  <c r="T407" i="12"/>
  <c r="T409" i="12"/>
  <c r="T411" i="12"/>
  <c r="T413" i="12"/>
  <c r="T415" i="12"/>
  <c r="T417" i="12"/>
  <c r="T419" i="12"/>
  <c r="T421" i="12"/>
  <c r="T423" i="12"/>
  <c r="T425" i="12"/>
  <c r="T427" i="12"/>
  <c r="T429" i="12"/>
  <c r="T431" i="12"/>
  <c r="T433" i="12"/>
  <c r="T435" i="12"/>
  <c r="T437" i="12"/>
  <c r="T439" i="12"/>
  <c r="T441" i="12"/>
  <c r="T443" i="12"/>
  <c r="T445" i="12"/>
  <c r="T447" i="12"/>
  <c r="T449" i="12"/>
  <c r="T451" i="12"/>
  <c r="T453" i="12"/>
  <c r="T455" i="12"/>
  <c r="T457" i="12"/>
  <c r="T459" i="12"/>
  <c r="T461" i="12"/>
  <c r="T463" i="12"/>
  <c r="T465" i="12"/>
  <c r="T467" i="12"/>
  <c r="T469" i="12"/>
  <c r="T471" i="12"/>
  <c r="T473" i="12"/>
  <c r="T475" i="12"/>
  <c r="T477" i="12"/>
  <c r="T479" i="12"/>
  <c r="T481" i="12"/>
  <c r="T483" i="12"/>
  <c r="T485" i="12"/>
  <c r="T487" i="12"/>
  <c r="T489" i="12"/>
  <c r="T491" i="12"/>
  <c r="T493" i="12"/>
  <c r="T495" i="12"/>
  <c r="T497" i="12"/>
  <c r="T499" i="12"/>
  <c r="T501" i="12"/>
  <c r="T503" i="12"/>
  <c r="T505" i="12"/>
  <c r="T507" i="12"/>
  <c r="T509" i="12"/>
  <c r="T511" i="12"/>
  <c r="T513" i="12"/>
  <c r="T515" i="12"/>
  <c r="T517" i="12"/>
  <c r="T519" i="12"/>
  <c r="T521" i="12"/>
  <c r="T523" i="12"/>
  <c r="T525" i="12"/>
  <c r="T527" i="12"/>
  <c r="T529" i="12"/>
  <c r="T531" i="12"/>
  <c r="T533" i="12"/>
  <c r="T535" i="12"/>
  <c r="T537" i="12"/>
  <c r="T539" i="12"/>
  <c r="T541" i="12"/>
  <c r="T543" i="12"/>
  <c r="T545" i="12"/>
  <c r="T547" i="12"/>
  <c r="T549" i="12"/>
  <c r="T551" i="12"/>
  <c r="T553" i="12"/>
  <c r="T555" i="12"/>
  <c r="T557" i="12"/>
  <c r="T559" i="12"/>
  <c r="T561" i="12"/>
  <c r="T563" i="12"/>
  <c r="T565" i="12"/>
  <c r="T567" i="12"/>
  <c r="T569" i="12"/>
  <c r="T571" i="12"/>
  <c r="T573" i="12"/>
  <c r="T575" i="12"/>
  <c r="T577" i="12"/>
  <c r="T579" i="12"/>
  <c r="T581" i="12"/>
  <c r="T583" i="12"/>
  <c r="T585" i="12"/>
  <c r="T587" i="12"/>
  <c r="T589" i="12"/>
  <c r="T591" i="12"/>
  <c r="T593" i="12"/>
  <c r="T595" i="12"/>
  <c r="T597" i="12"/>
  <c r="T599" i="12"/>
  <c r="T601" i="12"/>
  <c r="T603" i="12"/>
  <c r="T605" i="12"/>
  <c r="T607" i="12"/>
  <c r="T609" i="12"/>
  <c r="T611" i="12"/>
  <c r="T613" i="12"/>
  <c r="T615" i="12"/>
  <c r="T617" i="12"/>
  <c r="T619" i="12"/>
  <c r="T621" i="12"/>
  <c r="T623" i="12"/>
  <c r="T625" i="12"/>
  <c r="T627" i="12"/>
  <c r="T629" i="12"/>
  <c r="T631" i="12"/>
  <c r="T633" i="12"/>
  <c r="T635" i="12"/>
  <c r="T637" i="12"/>
  <c r="T639" i="12"/>
  <c r="T641" i="12"/>
  <c r="T643" i="12"/>
  <c r="T645" i="12"/>
  <c r="T647" i="12"/>
  <c r="T649" i="12"/>
  <c r="T651" i="12"/>
  <c r="T653" i="12"/>
  <c r="T655" i="12"/>
  <c r="T657" i="12"/>
  <c r="T659" i="12"/>
  <c r="T661" i="12"/>
  <c r="T663" i="12"/>
  <c r="T665" i="12"/>
  <c r="T667" i="12"/>
  <c r="T669" i="12"/>
  <c r="T671" i="12"/>
  <c r="T673" i="12"/>
  <c r="T675" i="12"/>
  <c r="T677" i="12"/>
  <c r="T679" i="12"/>
  <c r="T681" i="12"/>
  <c r="T683" i="12"/>
  <c r="T685" i="12"/>
  <c r="T687" i="12"/>
  <c r="T689" i="12"/>
  <c r="T691" i="12"/>
  <c r="T693" i="12"/>
  <c r="T695" i="12"/>
  <c r="T697" i="12"/>
  <c r="T699" i="12"/>
  <c r="T701" i="12"/>
  <c r="T703" i="12"/>
  <c r="T705" i="12"/>
  <c r="T707" i="12"/>
  <c r="T709" i="12"/>
  <c r="T711" i="12"/>
  <c r="T713" i="12"/>
  <c r="T715" i="12"/>
  <c r="T717" i="12"/>
  <c r="T719" i="12"/>
  <c r="T721" i="12"/>
  <c r="T723" i="12"/>
  <c r="T725" i="12"/>
  <c r="T727" i="12"/>
  <c r="T729" i="12"/>
  <c r="T731" i="12"/>
  <c r="T733" i="12"/>
  <c r="T735" i="12"/>
  <c r="T737" i="12"/>
  <c r="T739" i="12"/>
  <c r="T741" i="12"/>
  <c r="T743" i="12"/>
  <c r="T745" i="12"/>
  <c r="T747" i="12"/>
  <c r="T749" i="12"/>
  <c r="T751" i="12"/>
  <c r="T753" i="12"/>
  <c r="T755" i="12"/>
  <c r="T757" i="12"/>
  <c r="T759" i="12"/>
  <c r="T761" i="12"/>
  <c r="T763" i="12"/>
  <c r="T765" i="12"/>
  <c r="T767" i="12"/>
  <c r="T769" i="12"/>
  <c r="T771" i="12"/>
  <c r="T773" i="12"/>
  <c r="T775" i="12"/>
  <c r="T777" i="12"/>
  <c r="T779" i="12"/>
  <c r="T781" i="12"/>
  <c r="T783" i="12"/>
  <c r="T785" i="12"/>
  <c r="T787" i="12"/>
  <c r="T789" i="12"/>
  <c r="T791" i="12"/>
  <c r="T793" i="12"/>
  <c r="T795" i="12"/>
  <c r="T797" i="12"/>
  <c r="T799" i="12"/>
  <c r="T801" i="12"/>
  <c r="T803" i="12"/>
  <c r="T805" i="12"/>
  <c r="T807" i="12"/>
  <c r="T809" i="12"/>
  <c r="T811" i="12"/>
  <c r="T813" i="12"/>
  <c r="T815" i="12"/>
  <c r="T817" i="12"/>
  <c r="T819" i="12"/>
  <c r="T821" i="12"/>
  <c r="T823" i="12"/>
  <c r="T825" i="12"/>
  <c r="T827" i="12"/>
  <c r="T829" i="12"/>
  <c r="T831" i="12"/>
  <c r="T833" i="12"/>
  <c r="T835" i="12"/>
  <c r="T837" i="12"/>
  <c r="T839" i="12"/>
  <c r="T841" i="12"/>
  <c r="T843" i="12"/>
  <c r="T845" i="12"/>
  <c r="T847" i="12"/>
  <c r="T849" i="12"/>
  <c r="T851" i="12"/>
  <c r="T853" i="12"/>
  <c r="T855" i="12"/>
  <c r="T857" i="12"/>
  <c r="T859" i="12"/>
  <c r="T861" i="12"/>
  <c r="T863" i="12"/>
  <c r="T865" i="12"/>
  <c r="T867" i="12"/>
  <c r="T869" i="12"/>
  <c r="T871" i="12"/>
  <c r="T873" i="12"/>
  <c r="T875" i="12"/>
  <c r="T877" i="12"/>
  <c r="T879" i="12"/>
  <c r="T881" i="12"/>
  <c r="T883" i="12"/>
  <c r="T885" i="12"/>
  <c r="T887" i="12"/>
  <c r="T889" i="12"/>
  <c r="T891" i="12"/>
  <c r="T893" i="12"/>
  <c r="T895" i="12"/>
  <c r="T897" i="12"/>
  <c r="T899" i="12"/>
  <c r="T901" i="12"/>
  <c r="T903" i="12"/>
  <c r="T905" i="12"/>
  <c r="T907" i="12"/>
  <c r="T909" i="12"/>
  <c r="T911" i="12"/>
  <c r="T913" i="12"/>
  <c r="T915" i="12"/>
  <c r="T917" i="12"/>
  <c r="T919" i="12"/>
  <c r="T921" i="12"/>
  <c r="T923" i="12"/>
  <c r="T925" i="12"/>
  <c r="T927" i="12"/>
  <c r="T929" i="12"/>
  <c r="T931" i="12"/>
  <c r="T933" i="12"/>
  <c r="T935" i="12"/>
  <c r="T937" i="12"/>
  <c r="T939" i="12"/>
  <c r="T941" i="12"/>
  <c r="T943" i="12"/>
  <c r="T945" i="12"/>
  <c r="T947" i="12"/>
  <c r="T949" i="12"/>
  <c r="T951" i="12"/>
  <c r="T953" i="12"/>
  <c r="T955" i="12"/>
  <c r="T957" i="12"/>
  <c r="T959" i="12"/>
  <c r="T961" i="12"/>
  <c r="T963" i="12"/>
  <c r="T965" i="12"/>
  <c r="T967" i="12"/>
  <c r="T969" i="12"/>
  <c r="T971" i="12"/>
  <c r="T973" i="12"/>
  <c r="T975" i="12"/>
  <c r="T977" i="12"/>
  <c r="T979" i="12"/>
  <c r="T981" i="12"/>
  <c r="T983" i="12"/>
  <c r="T985" i="12"/>
  <c r="T987" i="12"/>
  <c r="T989" i="12"/>
  <c r="T991" i="12"/>
  <c r="T993" i="12"/>
  <c r="T995" i="12"/>
  <c r="T997" i="12"/>
  <c r="T999" i="12"/>
  <c r="T1001" i="12"/>
  <c r="T1003" i="12"/>
  <c r="T1005" i="12"/>
  <c r="T1007" i="12"/>
  <c r="T1009" i="12"/>
  <c r="T1011" i="12"/>
  <c r="T1013" i="12"/>
  <c r="T1015" i="12"/>
  <c r="T1017" i="12"/>
  <c r="T1019" i="12"/>
  <c r="T1021" i="12"/>
  <c r="T1023" i="12"/>
  <c r="T1025" i="12"/>
  <c r="T1027" i="12"/>
  <c r="T1029" i="12"/>
  <c r="T1031" i="12"/>
  <c r="T1033" i="12"/>
  <c r="T1035" i="12"/>
  <c r="T1037" i="12"/>
  <c r="T1039" i="12"/>
  <c r="T1041" i="12"/>
  <c r="T1043" i="12"/>
  <c r="T1045" i="12"/>
  <c r="T1047" i="12"/>
  <c r="T1049" i="12"/>
  <c r="T1051" i="12"/>
  <c r="T1053" i="12"/>
  <c r="T1055" i="12"/>
  <c r="T1057" i="12"/>
  <c r="T1059" i="12"/>
  <c r="T1061" i="12"/>
  <c r="T1063" i="12"/>
  <c r="T1065" i="12"/>
  <c r="T1067" i="12"/>
  <c r="T1069" i="12"/>
  <c r="T1071" i="12"/>
  <c r="T1073" i="12"/>
  <c r="T1075" i="12"/>
  <c r="T1077" i="12"/>
  <c r="T1079" i="12"/>
  <c r="T1081" i="12"/>
  <c r="T1083" i="12"/>
  <c r="T1085" i="12"/>
  <c r="T1087" i="12"/>
  <c r="T1089" i="12"/>
  <c r="T1091" i="12"/>
  <c r="T1093" i="12"/>
  <c r="T1095" i="12"/>
  <c r="T1097" i="12"/>
  <c r="T1099" i="12"/>
  <c r="T1101" i="12"/>
  <c r="T1103" i="12"/>
  <c r="T1105" i="12"/>
  <c r="T1107" i="12"/>
  <c r="T1109" i="12"/>
  <c r="T1111" i="12"/>
  <c r="T1113" i="12"/>
  <c r="T1115" i="12"/>
  <c r="T1117" i="12"/>
  <c r="T1119" i="12"/>
  <c r="T1121" i="12"/>
  <c r="T1123" i="12"/>
  <c r="T1125" i="12"/>
  <c r="T1127" i="12"/>
  <c r="T1129" i="12"/>
  <c r="T1131" i="12"/>
  <c r="T1133" i="12"/>
  <c r="T1135" i="12"/>
  <c r="T1137" i="12"/>
  <c r="T1139" i="12"/>
  <c r="T1141" i="12"/>
  <c r="T1143" i="12"/>
  <c r="T1145" i="12"/>
  <c r="T1147" i="12"/>
  <c r="T1149" i="12"/>
  <c r="T1151" i="12"/>
  <c r="T1153" i="12"/>
  <c r="T1155" i="12"/>
  <c r="T1157" i="12"/>
  <c r="T1159" i="12"/>
  <c r="T1161" i="12"/>
  <c r="T1163" i="12"/>
  <c r="T1165" i="12"/>
  <c r="T1167" i="12"/>
  <c r="T1169" i="12"/>
  <c r="T1171" i="12"/>
  <c r="T1173" i="12"/>
  <c r="T1175" i="12"/>
  <c r="T1177" i="12"/>
  <c r="T1179" i="12"/>
  <c r="T1181" i="12"/>
  <c r="T1183" i="12"/>
  <c r="T1185" i="12"/>
  <c r="T1187" i="12"/>
  <c r="T1189" i="12"/>
  <c r="T1191" i="12"/>
  <c r="T1193" i="12"/>
  <c r="T1195" i="12"/>
  <c r="T1197" i="12"/>
  <c r="T1199" i="12"/>
  <c r="T1201" i="12"/>
  <c r="T1203" i="12"/>
  <c r="T1205" i="12"/>
  <c r="T1207" i="12"/>
  <c r="T1209" i="12"/>
  <c r="T1211" i="12"/>
  <c r="T1213" i="12"/>
  <c r="T1215" i="12"/>
  <c r="T1217" i="12"/>
  <c r="T1219" i="12"/>
  <c r="T1221" i="12"/>
  <c r="T1223" i="12"/>
  <c r="T1225" i="12"/>
  <c r="T1227" i="12"/>
  <c r="T1229" i="12"/>
  <c r="T1231" i="12"/>
  <c r="T1233" i="12"/>
  <c r="T1235" i="12"/>
  <c r="T1237" i="12"/>
  <c r="T1239" i="12"/>
  <c r="T1241" i="12"/>
  <c r="T1243" i="12"/>
  <c r="T1245" i="12"/>
  <c r="T1247" i="12"/>
  <c r="T1249" i="12"/>
  <c r="T1251" i="12"/>
  <c r="T1253" i="12"/>
  <c r="T1255" i="12"/>
  <c r="T1257" i="12"/>
  <c r="T1259" i="12"/>
  <c r="T1261" i="12"/>
  <c r="T1263" i="12"/>
  <c r="T1265" i="12"/>
  <c r="T1267" i="12"/>
  <c r="T1269" i="12"/>
  <c r="T1271" i="12"/>
  <c r="T1273" i="12"/>
  <c r="T1275" i="12"/>
  <c r="T1277" i="12"/>
  <c r="T1279" i="12"/>
  <c r="T1281" i="12"/>
  <c r="T1283" i="12"/>
  <c r="T1285" i="12"/>
  <c r="T1287" i="12"/>
  <c r="T1289" i="12"/>
  <c r="T1291" i="12"/>
  <c r="T1293" i="12"/>
  <c r="T1295" i="12"/>
  <c r="T1297" i="12"/>
  <c r="T1299" i="12"/>
  <c r="T1301" i="12"/>
  <c r="T1303" i="12"/>
  <c r="T1305" i="12"/>
  <c r="T1307" i="12"/>
  <c r="T1309" i="12"/>
  <c r="T1311" i="12"/>
  <c r="T1313" i="12"/>
  <c r="T1315" i="12"/>
  <c r="T1317" i="12"/>
  <c r="T1319" i="12"/>
  <c r="T1321" i="12"/>
  <c r="T1323" i="12"/>
  <c r="T1325" i="12"/>
  <c r="T1327" i="12"/>
  <c r="T1329" i="12"/>
  <c r="T1331" i="12"/>
  <c r="T1333" i="12"/>
  <c r="T1335" i="12"/>
  <c r="T1337" i="12"/>
  <c r="T1339" i="12"/>
  <c r="T1341" i="12"/>
  <c r="T1343" i="12"/>
  <c r="T1345" i="12"/>
  <c r="T1347" i="12"/>
  <c r="T1349" i="12"/>
  <c r="T1351" i="12"/>
  <c r="T1353" i="12"/>
  <c r="T1355" i="12"/>
  <c r="T1357" i="12"/>
  <c r="T1359" i="12"/>
  <c r="T1361" i="12"/>
  <c r="T1363" i="12"/>
  <c r="T1365" i="12"/>
  <c r="T1367" i="12"/>
  <c r="T1369" i="12"/>
  <c r="T1371" i="12"/>
  <c r="T1373" i="12"/>
  <c r="T1375" i="12"/>
  <c r="T1377" i="12"/>
  <c r="T1379" i="12"/>
  <c r="T1381" i="12"/>
  <c r="T1383" i="12"/>
  <c r="T1385" i="12"/>
  <c r="T1387" i="12"/>
  <c r="T1389" i="12"/>
  <c r="T1391" i="12"/>
  <c r="T1393" i="12"/>
  <c r="T1395" i="12"/>
  <c r="T1397" i="12"/>
  <c r="T1399" i="12"/>
  <c r="T1401" i="12"/>
  <c r="T1403" i="12"/>
  <c r="T1405" i="12"/>
  <c r="T1407" i="12"/>
  <c r="T1409" i="12"/>
  <c r="T1411" i="12"/>
  <c r="T1413" i="12"/>
  <c r="T1415" i="12"/>
  <c r="T1417" i="12"/>
  <c r="T1419" i="12"/>
  <c r="T1421" i="12"/>
  <c r="T1423" i="12"/>
  <c r="T1425" i="12"/>
  <c r="T1427" i="12"/>
  <c r="T1429" i="12"/>
  <c r="T1431" i="12"/>
  <c r="T1433" i="12"/>
  <c r="T1435" i="12"/>
  <c r="T1437" i="12"/>
  <c r="T1439" i="12"/>
  <c r="T1441" i="12"/>
  <c r="T1443" i="12"/>
  <c r="T1445" i="12"/>
  <c r="T1447" i="12"/>
  <c r="T1449" i="12"/>
  <c r="T1451" i="12"/>
  <c r="T1453" i="12"/>
  <c r="T1455" i="12"/>
  <c r="T1457" i="12"/>
  <c r="T1459" i="12"/>
  <c r="T1461" i="12"/>
  <c r="T1463" i="12"/>
  <c r="T1465" i="12"/>
  <c r="T1467" i="12"/>
  <c r="T1469" i="12"/>
  <c r="T1471" i="12"/>
  <c r="T1473" i="12"/>
  <c r="T1475" i="12"/>
  <c r="T1477" i="12"/>
  <c r="T1479" i="12"/>
  <c r="T1481" i="12"/>
  <c r="T1483" i="12"/>
  <c r="T1485" i="12"/>
  <c r="T1487" i="12"/>
  <c r="T1489" i="12"/>
  <c r="T1491" i="12"/>
  <c r="T1493" i="12"/>
  <c r="T1495" i="12"/>
  <c r="T1497" i="12"/>
  <c r="T1499" i="12"/>
  <c r="T1501" i="12"/>
  <c r="T1503" i="12"/>
  <c r="T1505" i="12"/>
  <c r="T1507" i="12"/>
  <c r="T1509" i="12"/>
  <c r="T1511" i="12"/>
  <c r="T1513" i="12"/>
  <c r="T1515" i="12"/>
  <c r="T1517" i="12"/>
  <c r="T1519" i="12"/>
  <c r="T1521" i="12"/>
  <c r="T1523" i="12"/>
  <c r="T1525" i="12"/>
  <c r="T1527" i="12"/>
  <c r="T1529" i="12"/>
  <c r="T1531" i="12"/>
  <c r="T1533" i="12"/>
  <c r="T1535" i="12"/>
  <c r="T1537" i="12"/>
  <c r="T1539" i="12"/>
  <c r="T1541" i="12"/>
  <c r="T1543" i="12"/>
  <c r="T1545" i="12"/>
  <c r="T1547" i="12"/>
  <c r="T1549" i="12"/>
  <c r="T1551" i="12"/>
  <c r="T1553" i="12"/>
  <c r="T1555" i="12"/>
  <c r="T1557" i="12"/>
  <c r="T1559" i="12"/>
  <c r="T1561" i="12"/>
  <c r="T1563" i="12"/>
  <c r="T1565" i="12"/>
  <c r="T1567" i="12"/>
  <c r="T1569" i="12"/>
  <c r="T1571" i="12"/>
  <c r="T1573" i="12"/>
  <c r="T1575" i="12"/>
  <c r="T1577" i="12"/>
  <c r="T1579" i="12"/>
  <c r="T1581" i="12"/>
  <c r="T1583" i="12"/>
  <c r="T1585" i="12"/>
  <c r="T1587" i="12"/>
  <c r="T1589" i="12"/>
  <c r="T1591" i="12"/>
  <c r="T1593" i="12"/>
  <c r="T1595" i="12"/>
  <c r="T1597" i="12"/>
  <c r="T1599" i="12"/>
  <c r="T1601" i="12"/>
  <c r="T1603" i="12"/>
  <c r="T1605" i="12"/>
  <c r="T1607" i="12"/>
  <c r="T1609" i="12"/>
  <c r="T1611" i="12"/>
  <c r="T1613" i="12"/>
  <c r="T1615" i="12"/>
  <c r="T1617" i="12"/>
  <c r="T1619" i="12"/>
  <c r="T1621" i="12"/>
  <c r="T1623" i="12"/>
  <c r="T1625" i="12"/>
  <c r="T1627" i="12"/>
  <c r="T1629" i="12"/>
  <c r="T1631" i="12"/>
  <c r="T1633" i="12"/>
  <c r="T1635" i="12"/>
  <c r="T1637" i="12"/>
  <c r="T1639" i="12"/>
  <c r="T1641" i="12"/>
  <c r="T1643" i="12"/>
  <c r="T1645" i="12"/>
  <c r="T1647" i="12"/>
  <c r="T1649" i="12"/>
  <c r="T1651" i="12"/>
  <c r="T1653" i="12"/>
  <c r="T1655" i="12"/>
  <c r="T1657" i="12"/>
  <c r="T1659" i="12"/>
  <c r="T1661" i="12"/>
  <c r="T1663" i="12"/>
  <c r="T1665" i="12"/>
  <c r="T1667" i="12"/>
  <c r="T1669" i="12"/>
  <c r="T1671" i="12"/>
  <c r="T1673" i="12"/>
  <c r="T1675" i="12"/>
  <c r="T1677" i="12"/>
  <c r="T1679" i="12"/>
  <c r="T1681" i="12"/>
  <c r="T1683" i="12"/>
  <c r="T1685" i="12"/>
  <c r="T1687" i="12"/>
  <c r="T1689" i="12"/>
  <c r="T1691" i="12"/>
  <c r="T1693" i="12"/>
  <c r="T1695" i="12"/>
  <c r="T1697" i="12"/>
  <c r="T1699" i="12"/>
  <c r="T1701" i="12"/>
  <c r="T1703" i="12"/>
  <c r="T1705" i="12"/>
  <c r="T1707" i="12"/>
  <c r="T1709" i="12"/>
  <c r="T1711" i="12"/>
  <c r="T1713" i="12"/>
  <c r="T1715" i="12"/>
  <c r="T1717" i="12"/>
  <c r="T1719" i="12"/>
  <c r="T1721" i="12"/>
  <c r="T1723" i="12"/>
  <c r="T1725" i="12"/>
  <c r="T1727" i="12"/>
  <c r="T1729" i="12"/>
  <c r="T1731" i="12"/>
  <c r="T1733" i="12"/>
  <c r="T1735" i="12"/>
  <c r="T1737" i="12"/>
  <c r="T1739" i="12"/>
  <c r="T1741" i="12"/>
  <c r="T1743" i="12"/>
  <c r="T1745" i="12"/>
  <c r="T1747" i="12"/>
  <c r="T1749" i="12"/>
  <c r="T1751" i="12"/>
  <c r="T1753" i="12"/>
  <c r="T1755" i="12"/>
  <c r="T1757" i="12"/>
  <c r="T1759" i="12"/>
  <c r="T1761" i="12"/>
  <c r="T1763" i="12"/>
  <c r="T1765" i="12"/>
  <c r="T1767" i="12"/>
  <c r="T1769" i="12"/>
  <c r="T1771" i="12"/>
  <c r="T1773" i="12"/>
  <c r="T1775" i="12"/>
  <c r="T1777" i="12"/>
  <c r="T1779" i="12"/>
  <c r="T1781" i="12"/>
  <c r="T1783" i="12"/>
  <c r="T1785" i="12"/>
  <c r="T1787" i="12"/>
  <c r="T1789" i="12"/>
  <c r="T1791" i="12"/>
  <c r="T1793" i="12"/>
  <c r="T1795" i="12"/>
  <c r="T1797" i="12"/>
  <c r="T1799" i="12"/>
  <c r="T1801" i="12"/>
  <c r="T1803" i="12"/>
  <c r="T1805" i="12"/>
  <c r="T1807" i="12"/>
  <c r="T1809" i="12"/>
  <c r="T1811" i="12"/>
  <c r="T1813" i="12"/>
  <c r="T1815" i="12"/>
  <c r="T1817" i="12"/>
  <c r="T1819" i="12"/>
  <c r="T1821" i="12"/>
  <c r="T1823" i="12"/>
  <c r="T1825" i="12"/>
  <c r="T1827" i="12"/>
  <c r="T1829" i="12"/>
  <c r="T1831" i="12"/>
  <c r="T1833" i="12"/>
  <c r="T1835" i="12"/>
  <c r="T1837" i="12"/>
  <c r="T1839" i="12"/>
  <c r="T1841" i="12"/>
  <c r="T1843" i="12"/>
  <c r="T1845" i="12"/>
  <c r="T1847" i="12"/>
  <c r="T1849" i="12"/>
  <c r="T1851" i="12"/>
  <c r="T1853" i="12"/>
  <c r="T1855" i="12"/>
  <c r="T1857" i="12"/>
  <c r="T1859" i="12"/>
  <c r="T1861" i="12"/>
  <c r="T1863" i="12"/>
  <c r="T1865" i="12"/>
  <c r="T1867" i="12"/>
  <c r="T1869" i="12"/>
  <c r="T1871" i="12"/>
  <c r="T1873" i="12"/>
  <c r="T1875" i="12"/>
  <c r="T1877" i="12"/>
  <c r="T1879" i="12"/>
  <c r="T1881" i="12"/>
  <c r="T1883" i="12"/>
  <c r="T1885" i="12"/>
  <c r="T1887" i="12"/>
  <c r="T1889" i="12"/>
  <c r="T1891" i="12"/>
  <c r="T1893" i="12"/>
  <c r="T1895" i="12"/>
  <c r="T1897" i="12"/>
  <c r="T1899" i="12"/>
  <c r="T1901" i="12"/>
  <c r="T1903" i="12"/>
  <c r="T1905" i="12"/>
  <c r="T1907" i="12"/>
  <c r="T1909" i="12"/>
  <c r="T1911" i="12"/>
  <c r="T1913" i="12"/>
  <c r="T1915" i="12"/>
  <c r="T1917" i="12"/>
  <c r="T1919" i="12"/>
  <c r="T1921" i="12"/>
  <c r="T1923" i="12"/>
  <c r="T1925" i="12"/>
  <c r="T1927" i="12"/>
  <c r="T1929" i="12"/>
  <c r="T1931" i="12"/>
  <c r="T1933" i="12"/>
  <c r="T1935" i="12"/>
  <c r="T1937" i="12"/>
  <c r="T1939" i="12"/>
  <c r="T1941" i="12"/>
  <c r="T1943" i="12"/>
  <c r="T1945" i="12"/>
  <c r="T1947" i="12"/>
  <c r="T1949" i="12"/>
  <c r="T1951" i="12"/>
  <c r="T1953" i="12"/>
  <c r="T1955" i="12"/>
  <c r="T1957" i="12"/>
  <c r="T1959" i="12"/>
  <c r="T1961" i="12"/>
  <c r="T1963" i="12"/>
  <c r="T1965" i="12"/>
  <c r="T1967" i="12"/>
  <c r="T1969" i="12"/>
  <c r="T1971" i="12"/>
  <c r="T1973" i="12"/>
  <c r="T1975" i="12"/>
  <c r="T1977" i="12"/>
  <c r="T1979" i="12"/>
  <c r="T1981" i="12"/>
  <c r="T1983" i="12"/>
  <c r="T1985" i="12"/>
  <c r="T1987" i="12"/>
  <c r="T1989" i="12"/>
  <c r="T1991" i="12"/>
  <c r="T1993" i="12"/>
  <c r="T1995" i="12"/>
  <c r="T1997" i="12"/>
  <c r="T1999" i="12"/>
  <c r="T2001" i="12"/>
  <c r="T2003" i="12"/>
  <c r="T2005" i="12"/>
  <c r="T2007" i="12"/>
  <c r="T2009" i="12"/>
  <c r="T2011" i="12"/>
  <c r="T2013" i="12"/>
  <c r="T2015" i="12"/>
  <c r="T2017" i="12"/>
  <c r="T2019" i="12"/>
  <c r="T2021" i="12"/>
  <c r="T2023" i="12"/>
  <c r="T2025" i="12"/>
  <c r="T2027" i="12"/>
  <c r="T2029" i="12"/>
  <c r="T2031" i="12"/>
  <c r="T2033" i="12"/>
  <c r="T2035" i="12"/>
  <c r="T2037" i="12"/>
  <c r="T2039" i="12"/>
  <c r="T2041" i="12"/>
  <c r="T2043" i="12"/>
  <c r="T2045" i="12"/>
  <c r="T2047" i="12"/>
  <c r="T2049" i="12"/>
  <c r="T2051" i="12"/>
  <c r="T2053" i="12"/>
  <c r="T2055" i="12"/>
  <c r="T2057" i="12"/>
  <c r="T2059" i="12"/>
  <c r="T2061" i="12"/>
  <c r="T2063" i="12"/>
  <c r="T2065" i="12"/>
  <c r="T2067" i="12"/>
  <c r="T2069" i="12"/>
  <c r="T2071" i="12"/>
  <c r="T2073" i="12"/>
  <c r="T2075" i="12"/>
  <c r="T2077" i="12"/>
  <c r="T2079" i="12"/>
  <c r="T2081" i="12"/>
  <c r="T2083" i="12"/>
  <c r="T2085" i="12"/>
  <c r="T2087" i="12"/>
  <c r="T2089" i="12"/>
  <c r="T2091" i="12"/>
  <c r="T2093" i="12"/>
  <c r="T2095" i="12"/>
  <c r="T2097" i="12"/>
  <c r="T2099" i="12"/>
  <c r="T2101" i="12"/>
  <c r="T2103" i="12"/>
  <c r="T2105" i="12"/>
  <c r="T2107" i="12"/>
  <c r="T2109" i="12"/>
  <c r="T2111" i="12"/>
  <c r="T2113" i="12"/>
  <c r="T2115" i="12"/>
  <c r="T2117" i="12"/>
  <c r="T2119" i="12"/>
  <c r="T2121" i="12"/>
  <c r="T2123" i="12"/>
  <c r="T2125" i="12"/>
  <c r="T2127" i="12"/>
  <c r="T2129" i="12"/>
  <c r="T2131" i="12"/>
  <c r="T2133" i="12"/>
  <c r="T2135" i="12"/>
  <c r="T2137" i="12"/>
  <c r="T2139" i="12"/>
  <c r="T2141" i="12"/>
  <c r="T2143" i="12"/>
  <c r="T2145" i="12"/>
  <c r="T2147" i="12"/>
  <c r="T2149" i="12"/>
  <c r="T2151" i="12"/>
  <c r="T2153" i="12"/>
  <c r="T2155" i="12"/>
  <c r="T2157" i="12"/>
  <c r="T2159" i="12"/>
  <c r="T2161" i="12"/>
  <c r="T2163" i="12"/>
  <c r="T2165" i="12"/>
  <c r="T2167" i="12"/>
  <c r="T2169" i="12"/>
  <c r="T2171" i="12"/>
  <c r="T2173" i="12"/>
  <c r="T2175" i="12"/>
  <c r="T2177" i="12"/>
  <c r="T2179" i="12"/>
  <c r="T2181" i="12"/>
  <c r="T2183" i="12"/>
  <c r="T2185" i="12"/>
  <c r="T2187" i="12"/>
  <c r="T2189" i="12"/>
  <c r="T2191" i="12"/>
  <c r="T2193" i="12"/>
  <c r="T2195" i="12"/>
  <c r="T2197" i="12"/>
  <c r="T2199" i="12"/>
  <c r="T2201" i="12"/>
  <c r="T2203" i="12"/>
  <c r="T2205" i="12"/>
  <c r="T2207" i="12"/>
  <c r="T2209" i="12"/>
  <c r="T2211" i="12"/>
  <c r="T2213" i="12"/>
  <c r="T2215" i="12"/>
  <c r="T2217" i="12"/>
  <c r="T2219" i="12"/>
  <c r="T2221" i="12"/>
  <c r="T2223" i="12"/>
  <c r="T2225" i="12"/>
  <c r="T2227" i="12"/>
  <c r="T2229" i="12"/>
  <c r="T2231" i="12"/>
  <c r="T2233" i="12"/>
  <c r="T2235" i="12"/>
  <c r="T2237" i="12"/>
  <c r="T2239" i="12"/>
  <c r="T2241" i="12"/>
  <c r="T2243" i="12"/>
  <c r="T2245" i="12"/>
  <c r="T2247" i="12"/>
  <c r="T2249" i="12"/>
  <c r="T2251" i="12"/>
  <c r="T2253" i="12"/>
  <c r="T2255" i="12"/>
  <c r="T2257" i="12"/>
  <c r="T2259" i="12"/>
  <c r="T2261" i="12"/>
  <c r="T2263" i="12"/>
  <c r="T2265" i="12"/>
  <c r="T2267" i="12"/>
  <c r="T2269" i="12"/>
  <c r="T2271" i="12"/>
  <c r="T2273" i="12"/>
  <c r="T2275" i="12"/>
  <c r="T2277" i="12"/>
  <c r="T2279" i="12"/>
  <c r="T2281" i="12"/>
  <c r="T2283" i="12"/>
  <c r="T2285" i="12"/>
  <c r="T2287" i="12"/>
  <c r="T2289" i="12"/>
  <c r="T2291" i="12"/>
  <c r="T2293" i="12"/>
  <c r="T2295" i="12"/>
  <c r="T2297" i="12"/>
  <c r="T2299" i="12"/>
  <c r="T2301" i="12"/>
  <c r="T2303" i="12"/>
  <c r="T2305" i="12"/>
  <c r="T2307" i="12"/>
  <c r="T2309" i="12"/>
  <c r="T2311" i="12"/>
  <c r="T2313" i="12"/>
  <c r="T2315" i="12"/>
  <c r="T2317" i="12"/>
  <c r="T2319" i="12"/>
  <c r="T2321" i="12"/>
  <c r="T2323" i="12"/>
  <c r="T2325" i="12"/>
  <c r="T2327" i="12"/>
  <c r="T2329" i="12"/>
  <c r="T2331" i="12"/>
  <c r="T2333" i="12"/>
  <c r="T2335" i="12"/>
  <c r="T2337" i="12"/>
  <c r="T2339" i="12"/>
  <c r="T2341" i="12"/>
  <c r="T2343" i="12"/>
  <c r="T2345" i="12"/>
  <c r="T2347" i="12"/>
  <c r="T2349" i="12"/>
  <c r="T2351" i="12"/>
  <c r="T2353" i="12"/>
  <c r="T2355" i="12"/>
  <c r="T2357" i="12"/>
  <c r="T2359" i="12"/>
  <c r="T2361" i="12"/>
  <c r="T2363" i="12"/>
  <c r="T2365" i="12"/>
  <c r="T2367" i="12"/>
  <c r="T2369" i="12"/>
  <c r="T2371" i="12"/>
  <c r="T2373" i="12"/>
  <c r="T2375" i="12"/>
  <c r="T2377" i="12"/>
  <c r="T2379" i="12"/>
  <c r="T2381" i="12"/>
  <c r="T2383" i="12"/>
  <c r="T2385" i="12"/>
  <c r="T2387" i="12"/>
  <c r="T2389" i="12"/>
  <c r="T2391" i="12"/>
  <c r="T2393" i="12"/>
  <c r="T2395" i="12"/>
  <c r="T2397" i="12"/>
  <c r="T2399" i="12"/>
  <c r="T2401" i="12"/>
  <c r="T2403" i="12"/>
  <c r="T2405" i="12"/>
  <c r="T2407" i="12"/>
  <c r="T2409" i="12"/>
  <c r="T2411" i="12"/>
  <c r="T2413" i="12"/>
  <c r="T2415" i="12"/>
  <c r="T2417" i="12"/>
  <c r="T2419" i="12"/>
  <c r="T2421" i="12"/>
  <c r="T2423" i="12"/>
  <c r="T2425" i="12"/>
  <c r="T2427" i="12"/>
  <c r="T2429" i="12"/>
  <c r="T2431" i="12"/>
  <c r="T2433" i="12"/>
  <c r="T2435" i="12"/>
  <c r="T2437" i="12"/>
  <c r="T2439" i="12"/>
  <c r="T2441" i="12"/>
  <c r="T2443" i="12"/>
  <c r="T2445" i="12"/>
  <c r="T2447" i="12"/>
  <c r="T2449" i="12"/>
  <c r="T2451" i="12"/>
  <c r="T2453" i="12"/>
  <c r="T2455" i="12"/>
  <c r="T2457" i="12"/>
  <c r="T2459" i="12"/>
  <c r="T2461" i="12"/>
  <c r="T2463" i="12"/>
  <c r="T2465" i="12"/>
  <c r="T2467" i="12"/>
  <c r="T2469" i="12"/>
  <c r="T2471" i="12"/>
  <c r="T2473" i="12"/>
  <c r="T2475" i="12"/>
  <c r="T2477" i="12"/>
  <c r="T2479" i="12"/>
  <c r="T2481" i="12"/>
  <c r="T2483" i="12"/>
  <c r="T2485" i="12"/>
  <c r="T2487" i="12"/>
  <c r="T2489" i="12"/>
  <c r="T2491" i="12"/>
  <c r="T2493" i="12"/>
  <c r="T2495" i="12"/>
  <c r="T2497" i="12"/>
  <c r="T2499" i="12"/>
  <c r="T2501" i="12"/>
  <c r="T2503" i="12"/>
  <c r="T2505" i="12"/>
  <c r="T2507" i="12"/>
  <c r="T2509" i="12"/>
  <c r="T2511" i="12"/>
  <c r="T2513" i="12"/>
  <c r="T2515" i="12"/>
  <c r="T2517" i="12"/>
  <c r="T2519" i="12"/>
  <c r="T2521" i="12"/>
  <c r="T2523" i="12"/>
  <c r="T2525" i="12"/>
  <c r="T2527" i="12"/>
  <c r="T2529" i="12"/>
  <c r="T2531" i="12"/>
  <c r="T2533" i="12"/>
  <c r="T2535" i="12"/>
  <c r="T2537" i="12"/>
  <c r="T2539" i="12"/>
  <c r="T2541" i="12"/>
  <c r="T2543" i="12"/>
  <c r="T2545" i="12"/>
  <c r="T2547" i="12"/>
  <c r="T2549" i="12"/>
  <c r="T2551" i="12"/>
  <c r="T2553" i="12"/>
  <c r="T2555" i="12"/>
  <c r="T2557" i="12"/>
  <c r="T2559" i="12"/>
  <c r="T2561" i="12"/>
  <c r="T2563" i="12"/>
  <c r="T2565" i="12"/>
  <c r="T2567" i="12"/>
  <c r="T2569" i="12"/>
  <c r="T2571" i="12"/>
  <c r="T2573" i="12"/>
  <c r="T2575" i="12"/>
  <c r="T2577" i="12"/>
  <c r="T2579" i="12"/>
  <c r="T2581" i="12"/>
  <c r="T2583" i="12"/>
  <c r="T2585" i="12"/>
  <c r="T2587" i="12"/>
  <c r="T2589" i="12"/>
  <c r="T2591" i="12"/>
  <c r="T2593" i="12"/>
  <c r="T2595" i="12"/>
  <c r="T2597" i="12"/>
  <c r="T2599" i="12"/>
  <c r="T2601" i="12"/>
  <c r="T2603" i="12"/>
  <c r="T2605" i="12"/>
  <c r="T2607" i="12"/>
  <c r="T2609" i="12"/>
  <c r="T2611" i="12"/>
  <c r="T2613" i="12"/>
  <c r="T2615" i="12"/>
  <c r="T2617" i="12"/>
  <c r="T2619" i="12"/>
  <c r="T2621" i="12"/>
  <c r="T2623" i="12"/>
  <c r="T2625" i="12"/>
  <c r="T2627" i="12"/>
  <c r="T2629" i="12"/>
  <c r="T2631" i="12"/>
  <c r="T2633" i="12"/>
  <c r="T2635" i="12"/>
  <c r="T2637" i="12"/>
  <c r="T2639" i="12"/>
  <c r="T2641" i="12"/>
  <c r="T2643" i="12"/>
  <c r="T2645" i="12"/>
  <c r="T2647" i="12"/>
  <c r="T2649" i="12"/>
  <c r="T2651" i="12"/>
  <c r="T2653" i="12"/>
  <c r="T2655" i="12"/>
  <c r="T2657" i="12"/>
  <c r="T2659" i="12"/>
  <c r="T2661" i="12"/>
  <c r="T2663" i="12"/>
  <c r="T2665" i="12"/>
  <c r="T2667" i="12"/>
  <c r="T2669" i="12"/>
  <c r="T2671" i="12"/>
  <c r="T2673" i="12"/>
  <c r="T2675" i="12"/>
  <c r="T2677" i="12"/>
  <c r="T2679" i="12"/>
  <c r="T2681" i="12"/>
  <c r="T2683" i="12"/>
  <c r="T2685" i="12"/>
  <c r="T2687" i="12"/>
  <c r="T2689" i="12"/>
  <c r="T2691" i="12"/>
  <c r="T2693" i="12"/>
  <c r="T2695" i="12"/>
  <c r="T2697" i="12"/>
  <c r="T2699" i="12"/>
  <c r="T2701" i="12"/>
  <c r="T2703" i="12"/>
  <c r="T2705" i="12"/>
  <c r="T2707" i="12"/>
  <c r="T2709" i="12"/>
  <c r="T2711" i="12"/>
  <c r="T2713" i="12"/>
  <c r="T2715" i="12"/>
  <c r="T2717" i="12"/>
  <c r="T2719" i="12"/>
  <c r="T2721" i="12"/>
  <c r="T2723" i="12"/>
  <c r="T2725" i="12"/>
  <c r="T2727" i="12"/>
  <c r="T2729" i="12"/>
  <c r="T2731" i="12"/>
  <c r="T2733" i="12"/>
  <c r="T2735" i="12"/>
  <c r="T2737" i="12"/>
  <c r="T2739" i="12"/>
  <c r="T2741" i="12"/>
  <c r="T2743" i="12"/>
  <c r="T2745" i="12"/>
  <c r="T2747" i="12"/>
  <c r="T2749" i="12"/>
  <c r="T2751" i="12"/>
  <c r="T2753" i="12"/>
  <c r="T2755" i="12"/>
  <c r="T2757" i="12"/>
  <c r="T2759" i="12"/>
  <c r="T2761" i="12"/>
  <c r="T2763" i="12"/>
  <c r="T2765" i="12"/>
  <c r="T2767" i="12"/>
  <c r="T2769" i="12"/>
  <c r="T2771" i="12"/>
  <c r="T2773" i="12"/>
  <c r="T2775" i="12"/>
  <c r="T2777" i="12"/>
  <c r="T2779" i="12"/>
  <c r="T2781" i="12"/>
  <c r="T2783" i="12"/>
  <c r="T2785" i="12"/>
  <c r="T2787" i="12"/>
  <c r="T2789" i="12"/>
  <c r="T2791" i="12"/>
  <c r="T2793" i="12"/>
  <c r="T2795" i="12"/>
  <c r="T2797" i="12"/>
  <c r="T2799" i="12"/>
  <c r="T2801" i="12"/>
  <c r="T2803" i="12"/>
  <c r="T2805" i="12"/>
  <c r="T2807" i="12"/>
  <c r="T2809" i="12"/>
  <c r="T2811" i="12"/>
  <c r="T2813" i="12"/>
  <c r="T2815" i="12"/>
  <c r="T2817" i="12"/>
  <c r="T2819" i="12"/>
  <c r="T2821" i="12"/>
  <c r="T2823" i="12"/>
  <c r="T2825" i="12"/>
  <c r="T2827" i="12"/>
  <c r="T2829" i="12"/>
  <c r="T2831" i="12"/>
  <c r="T2833" i="12"/>
  <c r="T2835" i="12"/>
  <c r="T2837" i="12"/>
  <c r="T2839" i="12"/>
  <c r="T2841" i="12"/>
  <c r="T2843" i="12"/>
  <c r="T2845" i="12"/>
  <c r="T2847" i="12"/>
  <c r="T2849" i="12"/>
  <c r="T2851" i="12"/>
  <c r="T2853" i="12"/>
  <c r="T2855" i="12"/>
  <c r="T2857" i="12"/>
  <c r="T2859" i="12"/>
  <c r="T2861" i="12"/>
  <c r="T2863" i="12"/>
  <c r="T2865" i="12"/>
  <c r="T2867" i="12"/>
  <c r="T2869" i="12"/>
  <c r="T2871" i="12"/>
  <c r="T2873" i="12"/>
  <c r="T2875" i="12"/>
  <c r="T2877" i="12"/>
  <c r="T2879" i="12"/>
  <c r="T2881" i="12"/>
  <c r="T2883" i="12"/>
  <c r="T2885" i="12"/>
  <c r="T2887" i="12"/>
  <c r="T2889" i="12"/>
  <c r="T2891" i="12"/>
  <c r="T2893" i="12"/>
  <c r="T2895" i="12"/>
  <c r="T2897" i="12"/>
  <c r="T2899" i="12"/>
  <c r="T2901" i="12"/>
  <c r="T2903" i="12"/>
  <c r="T2905" i="12"/>
  <c r="T2907" i="12"/>
  <c r="T2909" i="12"/>
  <c r="T2911" i="12"/>
  <c r="T2913" i="12"/>
  <c r="T2915" i="12"/>
  <c r="T2917" i="12"/>
  <c r="T2919" i="12"/>
  <c r="T2921" i="12"/>
  <c r="T2923" i="12"/>
  <c r="T2925" i="12"/>
  <c r="T2927" i="12"/>
  <c r="T2929" i="12"/>
  <c r="T2931" i="12"/>
  <c r="T2933" i="12"/>
  <c r="T2935" i="12"/>
  <c r="T2937" i="12"/>
  <c r="T2939" i="12"/>
  <c r="T2941" i="12"/>
  <c r="T2943" i="12"/>
  <c r="T2945" i="12"/>
  <c r="T2947" i="12"/>
  <c r="T2949" i="12"/>
  <c r="T2951" i="12"/>
  <c r="T2953" i="12"/>
  <c r="T2955" i="12"/>
  <c r="T2957" i="12"/>
  <c r="T2959" i="12"/>
  <c r="T2961" i="12"/>
  <c r="T2963" i="12"/>
  <c r="T2965" i="12"/>
  <c r="T2967" i="12"/>
  <c r="T2969" i="12"/>
  <c r="T2971" i="12"/>
  <c r="T2973" i="12"/>
  <c r="T2975" i="12"/>
  <c r="T2977" i="12"/>
  <c r="T2979" i="12"/>
  <c r="T2981" i="12"/>
  <c r="T2983" i="12"/>
  <c r="T2985" i="12"/>
  <c r="T2987" i="12"/>
  <c r="T2989" i="12"/>
  <c r="T2991" i="12"/>
  <c r="T2993" i="12"/>
  <c r="T2995" i="12"/>
  <c r="T2997" i="12"/>
  <c r="T2999" i="12"/>
  <c r="T3001" i="12"/>
  <c r="T3003" i="12"/>
  <c r="T3005" i="12"/>
  <c r="T3007" i="12"/>
  <c r="T3009" i="12"/>
  <c r="T3011" i="12"/>
  <c r="T3013" i="12"/>
  <c r="T3015" i="12"/>
  <c r="T3017" i="12"/>
  <c r="T3019" i="12"/>
  <c r="T3021" i="12"/>
  <c r="T3023" i="12"/>
  <c r="T3025" i="12"/>
  <c r="T3027" i="12"/>
  <c r="T3029" i="12"/>
  <c r="T3031" i="12"/>
  <c r="T3033" i="12"/>
  <c r="T3035" i="12"/>
  <c r="T3037" i="12"/>
  <c r="T3039" i="12"/>
  <c r="T3041" i="12"/>
  <c r="T3043" i="12"/>
  <c r="T3045" i="12"/>
  <c r="T3047" i="12"/>
  <c r="T3049" i="12"/>
  <c r="T3051" i="12"/>
  <c r="T3053" i="12"/>
  <c r="T3055" i="12"/>
  <c r="T3057" i="12"/>
  <c r="T3059" i="12"/>
  <c r="T3061" i="12"/>
  <c r="T3063" i="12"/>
  <c r="T3065" i="12"/>
  <c r="T3067" i="12"/>
  <c r="T3069" i="12"/>
  <c r="T3071" i="12"/>
  <c r="T3073" i="12"/>
  <c r="T3075" i="12"/>
  <c r="T3077" i="12"/>
  <c r="T3079" i="12"/>
  <c r="T3081" i="12"/>
  <c r="T3083" i="12"/>
  <c r="T3085" i="12"/>
  <c r="T3087" i="12"/>
  <c r="T3089" i="12"/>
  <c r="T3091" i="12"/>
  <c r="T3093" i="12"/>
  <c r="T3095" i="12"/>
  <c r="T3097" i="12"/>
  <c r="T3099" i="12"/>
  <c r="T3101" i="12"/>
  <c r="T3103" i="12"/>
  <c r="T3105" i="12"/>
  <c r="T3107" i="12"/>
  <c r="T3109" i="12"/>
  <c r="T3111" i="12"/>
  <c r="T3113" i="12"/>
  <c r="T3115" i="12"/>
  <c r="T3117" i="12"/>
  <c r="T3119" i="12"/>
  <c r="T3121" i="12"/>
  <c r="T3123" i="12"/>
  <c r="T3125" i="12"/>
  <c r="T3127" i="12"/>
  <c r="T3129" i="12"/>
  <c r="T3131" i="12"/>
  <c r="T3133" i="12"/>
  <c r="T3135" i="12"/>
  <c r="T3137" i="12"/>
  <c r="T3139" i="12"/>
  <c r="T3141" i="12"/>
  <c r="T3143" i="12"/>
  <c r="T3145" i="12"/>
  <c r="T3147" i="12"/>
  <c r="T3149" i="12"/>
  <c r="T3151" i="12"/>
  <c r="T3153" i="12"/>
  <c r="T3155" i="12"/>
  <c r="T3157" i="12"/>
  <c r="T3159" i="12"/>
  <c r="T3161" i="12"/>
  <c r="T3163" i="12"/>
  <c r="T3165" i="12"/>
  <c r="T3167" i="12"/>
  <c r="T3169" i="12"/>
  <c r="T3171" i="12"/>
  <c r="T3173" i="12"/>
  <c r="T3175" i="12"/>
  <c r="T3177" i="12"/>
  <c r="T3179" i="12"/>
  <c r="T3181" i="12"/>
  <c r="T3183" i="12"/>
  <c r="T3185" i="12"/>
  <c r="T3187" i="12"/>
  <c r="T3189" i="12"/>
  <c r="T3191" i="12"/>
  <c r="T3193" i="12"/>
  <c r="T3195" i="12"/>
  <c r="T3197" i="12"/>
  <c r="T3199" i="12"/>
  <c r="T3201" i="12"/>
  <c r="T3203" i="12"/>
  <c r="T3205" i="12"/>
  <c r="T3207" i="12"/>
  <c r="T3209" i="12"/>
  <c r="T3211" i="12"/>
  <c r="T3213" i="12"/>
  <c r="T3215" i="12"/>
  <c r="T3217" i="12"/>
  <c r="T3219" i="12"/>
  <c r="T3221" i="12"/>
  <c r="T3223" i="12"/>
  <c r="T3225" i="12"/>
  <c r="T3227" i="12"/>
  <c r="T3229" i="12"/>
  <c r="T3231" i="12"/>
  <c r="T3233" i="12"/>
  <c r="T3235" i="12"/>
  <c r="T3237" i="12"/>
  <c r="T3239" i="12"/>
  <c r="T3241" i="12"/>
  <c r="T3243" i="12"/>
  <c r="T3245" i="12"/>
  <c r="T3247" i="12"/>
  <c r="T3249" i="12"/>
  <c r="T3251" i="12"/>
  <c r="T3253" i="12"/>
  <c r="T3255" i="12"/>
  <c r="T3257" i="12"/>
  <c r="T3259" i="12"/>
  <c r="T3261" i="12"/>
  <c r="T3263" i="12"/>
  <c r="T3265" i="12"/>
  <c r="T3267" i="12"/>
  <c r="T3269" i="12"/>
  <c r="T3271" i="12"/>
  <c r="T3273" i="12"/>
  <c r="T3275" i="12"/>
  <c r="T3277" i="12"/>
  <c r="T3279" i="12"/>
  <c r="T3281" i="12"/>
  <c r="T3283" i="12"/>
  <c r="T3285" i="12"/>
  <c r="T3287" i="12"/>
  <c r="T3289" i="12"/>
  <c r="T3291" i="12"/>
  <c r="T3293" i="12"/>
  <c r="T3295" i="12"/>
  <c r="T3297" i="12"/>
  <c r="T3299" i="12"/>
  <c r="T3301" i="12"/>
  <c r="T3303" i="12"/>
  <c r="T3305" i="12"/>
  <c r="T3307" i="12"/>
  <c r="T3309" i="12"/>
  <c r="T3311" i="12"/>
  <c r="T3313" i="12"/>
  <c r="T3315" i="12"/>
  <c r="T3317" i="12"/>
  <c r="T3319" i="12"/>
  <c r="T3321" i="12"/>
  <c r="T3323" i="12"/>
  <c r="T3325" i="12"/>
  <c r="T3327" i="12"/>
  <c r="T3329" i="12"/>
  <c r="T3331" i="12"/>
  <c r="T3333" i="12"/>
  <c r="T3335" i="12"/>
  <c r="T3337" i="12"/>
  <c r="T3339" i="12"/>
  <c r="T3341" i="12"/>
  <c r="T3343" i="12"/>
  <c r="T3345" i="12"/>
  <c r="T3347" i="12"/>
  <c r="T3349" i="12"/>
  <c r="T3351" i="12"/>
  <c r="T3353" i="12"/>
  <c r="T3355" i="12"/>
  <c r="T3357" i="12"/>
  <c r="T3359" i="12"/>
  <c r="T3361" i="12"/>
  <c r="T3363" i="12"/>
  <c r="T3365" i="12"/>
  <c r="T3367" i="12"/>
  <c r="T3369" i="12"/>
  <c r="T3371" i="12"/>
  <c r="T3373" i="12"/>
  <c r="T3375" i="12"/>
  <c r="T3377" i="12"/>
  <c r="T3379" i="12"/>
  <c r="T3381" i="12"/>
  <c r="T3383" i="12"/>
  <c r="T3385" i="12"/>
  <c r="T3387" i="12"/>
  <c r="T3389" i="12"/>
  <c r="T3391" i="12"/>
  <c r="T3393" i="12"/>
  <c r="T3395" i="12"/>
  <c r="T3397" i="12"/>
  <c r="T3399" i="12"/>
  <c r="T3401" i="12"/>
  <c r="T3403" i="12"/>
  <c r="T3405" i="12"/>
  <c r="T3407" i="12"/>
  <c r="T3409" i="12"/>
  <c r="T3411" i="12"/>
  <c r="T3413" i="12"/>
  <c r="T3415" i="12"/>
  <c r="T3417" i="12"/>
  <c r="T3419" i="12"/>
  <c r="T3421" i="12"/>
  <c r="T3423" i="12"/>
  <c r="T3425" i="12"/>
  <c r="T3427" i="12"/>
  <c r="T3429" i="12"/>
  <c r="T3431" i="12"/>
  <c r="T3433" i="12"/>
  <c r="T3435" i="12"/>
  <c r="T3437" i="12"/>
  <c r="T3439" i="12"/>
  <c r="T3441" i="12"/>
  <c r="T3443" i="12"/>
  <c r="T3445" i="12"/>
  <c r="T3447" i="12"/>
  <c r="T3449" i="12"/>
  <c r="T3451" i="12"/>
  <c r="T3453" i="12"/>
  <c r="T3455" i="12"/>
  <c r="T3457" i="12"/>
  <c r="T3459" i="12"/>
  <c r="T3461" i="12"/>
  <c r="T3463" i="12"/>
  <c r="T3465" i="12"/>
  <c r="T3467" i="12"/>
  <c r="T3469" i="12"/>
  <c r="T3471" i="12"/>
  <c r="T3473" i="12"/>
  <c r="T3475" i="12"/>
  <c r="T3477" i="12"/>
  <c r="T3479" i="12"/>
  <c r="T3481" i="12"/>
  <c r="T3483" i="12"/>
  <c r="T3485" i="12"/>
  <c r="T3487" i="12"/>
  <c r="T3489" i="12"/>
  <c r="T3491" i="12"/>
  <c r="T3493" i="12"/>
  <c r="T3495" i="12"/>
  <c r="T3497" i="12"/>
  <c r="T3499" i="12"/>
  <c r="T3501" i="12"/>
  <c r="T3503" i="12"/>
  <c r="T3505" i="12"/>
  <c r="T3507" i="12"/>
  <c r="T3509" i="12"/>
  <c r="T3511" i="12"/>
  <c r="T3513" i="12"/>
  <c r="T3515" i="12"/>
  <c r="T3517" i="12"/>
  <c r="T3519" i="12"/>
  <c r="T3521" i="12"/>
  <c r="T3523" i="12"/>
  <c r="T3525" i="12"/>
  <c r="T3527" i="12"/>
  <c r="T3529" i="12"/>
  <c r="T3531" i="12"/>
  <c r="T3533" i="12"/>
  <c r="T3535" i="12"/>
  <c r="T3537" i="12"/>
  <c r="T3539" i="12"/>
  <c r="T3541" i="12"/>
  <c r="T3543" i="12"/>
  <c r="T3545" i="12"/>
  <c r="T3547" i="12"/>
  <c r="T3549" i="12"/>
  <c r="T3551" i="12"/>
  <c r="T3553" i="12"/>
  <c r="T3555" i="12"/>
  <c r="T3557" i="12"/>
  <c r="T3559" i="12"/>
  <c r="T3561" i="12"/>
  <c r="T3563" i="12"/>
  <c r="T3565" i="12"/>
  <c r="T3567" i="12"/>
  <c r="T3569" i="12"/>
  <c r="T3571" i="12"/>
  <c r="T3573" i="12"/>
  <c r="T3575" i="12"/>
  <c r="T3577" i="12"/>
  <c r="T3579" i="12"/>
  <c r="T3581" i="12"/>
  <c r="T3583" i="12"/>
  <c r="T3585" i="12"/>
  <c r="T3587" i="12"/>
  <c r="T3589" i="12"/>
  <c r="T3591" i="12"/>
  <c r="T3593" i="12"/>
  <c r="T3595" i="12"/>
  <c r="T3597" i="12"/>
  <c r="T3599" i="12"/>
  <c r="T3601" i="12"/>
  <c r="T3603" i="12"/>
  <c r="T3605" i="12"/>
  <c r="T3607" i="12"/>
  <c r="T9" i="12"/>
  <c r="T10" i="12"/>
  <c r="T12" i="12"/>
  <c r="T14" i="12"/>
  <c r="T16" i="12"/>
  <c r="T18" i="12"/>
  <c r="T20" i="12"/>
  <c r="T22" i="12"/>
  <c r="T24" i="12"/>
  <c r="T26" i="12"/>
  <c r="T28" i="12"/>
  <c r="T30" i="12"/>
  <c r="T32" i="12"/>
  <c r="T34" i="12"/>
  <c r="T36" i="12"/>
  <c r="T38" i="12"/>
  <c r="T40" i="12"/>
  <c r="T42" i="12"/>
  <c r="T44" i="12"/>
  <c r="T46" i="12"/>
  <c r="T48" i="12"/>
  <c r="T50" i="12"/>
  <c r="T52" i="12"/>
  <c r="T54" i="12"/>
  <c r="T56" i="12"/>
  <c r="T58" i="12"/>
  <c r="T60" i="12"/>
  <c r="T62" i="12"/>
  <c r="T64" i="12"/>
  <c r="T66" i="12"/>
  <c r="T68" i="12"/>
  <c r="T70" i="12"/>
  <c r="T72" i="12"/>
  <c r="T74" i="12"/>
  <c r="T76" i="12"/>
  <c r="T78" i="12"/>
  <c r="T80" i="12"/>
  <c r="T82" i="12"/>
  <c r="T84" i="12"/>
  <c r="T86" i="12"/>
  <c r="T88" i="12"/>
  <c r="T90" i="12"/>
  <c r="T92" i="12"/>
  <c r="T94" i="12"/>
  <c r="T96" i="12"/>
  <c r="T98" i="12"/>
  <c r="T100" i="12"/>
  <c r="T102" i="12"/>
  <c r="T104" i="12"/>
  <c r="T106" i="12"/>
  <c r="T108" i="12"/>
  <c r="T110" i="12"/>
  <c r="T112" i="12"/>
  <c r="T114" i="12"/>
  <c r="T116" i="12"/>
  <c r="T118" i="12"/>
  <c r="T120" i="12"/>
  <c r="T122" i="12"/>
  <c r="T124" i="12"/>
  <c r="T126" i="12"/>
  <c r="T128" i="12"/>
  <c r="T130" i="12"/>
  <c r="T132" i="12"/>
  <c r="T134" i="12"/>
  <c r="T136" i="12"/>
  <c r="T138" i="12"/>
  <c r="T140" i="12"/>
  <c r="T142" i="12"/>
  <c r="T144" i="12"/>
  <c r="T146" i="12"/>
  <c r="T148" i="12"/>
  <c r="T150" i="12"/>
  <c r="T152" i="12"/>
  <c r="T154" i="12"/>
  <c r="T156" i="12"/>
  <c r="T158" i="12"/>
  <c r="T160" i="12"/>
  <c r="T162" i="12"/>
  <c r="T164" i="12"/>
  <c r="T166" i="12"/>
  <c r="T168" i="12"/>
  <c r="T170" i="12"/>
  <c r="T172" i="12"/>
  <c r="T174" i="12"/>
  <c r="T176" i="12"/>
  <c r="T178" i="12"/>
  <c r="T180" i="12"/>
  <c r="T182" i="12"/>
  <c r="T184" i="12"/>
  <c r="T186" i="12"/>
  <c r="T188" i="12"/>
  <c r="T190" i="12"/>
  <c r="T192" i="12"/>
  <c r="T194" i="12"/>
  <c r="T196" i="12"/>
  <c r="T198" i="12"/>
  <c r="T200" i="12"/>
  <c r="T202" i="12"/>
  <c r="T204" i="12"/>
  <c r="T206" i="12"/>
  <c r="T208" i="12"/>
  <c r="T210" i="12"/>
  <c r="T212" i="12"/>
  <c r="T214" i="12"/>
  <c r="T216" i="12"/>
  <c r="T218" i="12"/>
  <c r="T220" i="12"/>
  <c r="T222" i="12"/>
  <c r="T224" i="12"/>
  <c r="T226" i="12"/>
  <c r="T228" i="12"/>
  <c r="T230" i="12"/>
  <c r="T232" i="12"/>
  <c r="T234" i="12"/>
  <c r="T236" i="12"/>
  <c r="T238" i="12"/>
  <c r="T240" i="12"/>
  <c r="T242" i="12"/>
  <c r="T244" i="12"/>
  <c r="T246" i="12"/>
  <c r="T248" i="12"/>
  <c r="T250" i="12"/>
  <c r="T252" i="12"/>
  <c r="T254" i="12"/>
  <c r="T256" i="12"/>
  <c r="T258" i="12"/>
  <c r="T260" i="12"/>
  <c r="T262" i="12"/>
  <c r="T264" i="12"/>
  <c r="T266" i="12"/>
  <c r="T268" i="12"/>
  <c r="T270" i="12"/>
  <c r="T272" i="12"/>
  <c r="T274" i="12"/>
  <c r="T276" i="12"/>
  <c r="T278" i="12"/>
  <c r="T280" i="12"/>
  <c r="T282" i="12"/>
  <c r="T284" i="12"/>
  <c r="T286" i="12"/>
  <c r="T288" i="12"/>
  <c r="T290" i="12"/>
  <c r="T292" i="12"/>
  <c r="T294" i="12"/>
  <c r="T296" i="12"/>
  <c r="T298" i="12"/>
  <c r="T300" i="12"/>
  <c r="T302" i="12"/>
  <c r="T304" i="12"/>
  <c r="T306" i="12"/>
  <c r="T308" i="12"/>
  <c r="T310" i="12"/>
  <c r="T312" i="12"/>
  <c r="T314" i="12"/>
  <c r="T316" i="12"/>
  <c r="T318" i="12"/>
  <c r="T320" i="12"/>
  <c r="T322" i="12"/>
  <c r="T324" i="12"/>
  <c r="T326" i="12"/>
  <c r="T328" i="12"/>
  <c r="T330" i="12"/>
  <c r="T332" i="12"/>
  <c r="T334" i="12"/>
  <c r="T336" i="12"/>
  <c r="T338" i="12"/>
  <c r="T340" i="12"/>
  <c r="T342" i="12"/>
  <c r="T344" i="12"/>
  <c r="T346" i="12"/>
  <c r="T348" i="12"/>
  <c r="T350" i="12"/>
  <c r="T352" i="12"/>
  <c r="T354" i="12"/>
  <c r="T356" i="12"/>
  <c r="T358" i="12"/>
  <c r="T360" i="12"/>
  <c r="T362" i="12"/>
  <c r="T364" i="12"/>
  <c r="T366" i="12"/>
  <c r="T368" i="12"/>
  <c r="T370" i="12"/>
  <c r="T372" i="12"/>
  <c r="T374" i="12"/>
  <c r="T376" i="12"/>
  <c r="T378" i="12"/>
  <c r="T380" i="12"/>
  <c r="T382" i="12"/>
  <c r="T384" i="12"/>
  <c r="T386" i="12"/>
  <c r="T388" i="12"/>
  <c r="T390" i="12"/>
  <c r="T392" i="12"/>
  <c r="T394" i="12"/>
  <c r="T396" i="12"/>
  <c r="T398" i="12"/>
  <c r="T400" i="12"/>
  <c r="T402" i="12"/>
  <c r="T404" i="12"/>
  <c r="T406" i="12"/>
  <c r="T408" i="12"/>
  <c r="T410" i="12"/>
  <c r="T412" i="12"/>
  <c r="T414" i="12"/>
  <c r="T416" i="12"/>
  <c r="T418" i="12"/>
  <c r="T420" i="12"/>
  <c r="T422" i="12"/>
  <c r="T424" i="12"/>
  <c r="T426" i="12"/>
  <c r="T428" i="12"/>
  <c r="T430" i="12"/>
  <c r="T432" i="12"/>
  <c r="T434" i="12"/>
  <c r="T436" i="12"/>
  <c r="T438" i="12"/>
  <c r="T440" i="12"/>
  <c r="T442" i="12"/>
  <c r="T444" i="12"/>
  <c r="T446" i="12"/>
  <c r="T448" i="12"/>
  <c r="T450" i="12"/>
  <c r="T452" i="12"/>
  <c r="T454" i="12"/>
  <c r="T456" i="12"/>
  <c r="T458" i="12"/>
  <c r="T460" i="12"/>
  <c r="T462" i="12"/>
  <c r="T464" i="12"/>
  <c r="T466" i="12"/>
  <c r="T468" i="12"/>
  <c r="T470" i="12"/>
  <c r="T472" i="12"/>
  <c r="T474" i="12"/>
  <c r="T476" i="12"/>
  <c r="T478" i="12"/>
  <c r="T480" i="12"/>
  <c r="T482" i="12"/>
  <c r="T484" i="12"/>
  <c r="T486" i="12"/>
  <c r="T488" i="12"/>
  <c r="T490" i="12"/>
  <c r="T492" i="12"/>
  <c r="T494" i="12"/>
  <c r="T496" i="12"/>
  <c r="T498" i="12"/>
  <c r="T500" i="12"/>
  <c r="T502" i="12"/>
  <c r="T504" i="12"/>
  <c r="T506" i="12"/>
  <c r="T508" i="12"/>
  <c r="T510" i="12"/>
  <c r="T512" i="12"/>
  <c r="T514" i="12"/>
  <c r="T516" i="12"/>
  <c r="T518" i="12"/>
  <c r="T520" i="12"/>
  <c r="T522" i="12"/>
  <c r="T524" i="12"/>
  <c r="T526" i="12"/>
  <c r="T528" i="12"/>
  <c r="T530" i="12"/>
  <c r="T532" i="12"/>
  <c r="T534" i="12"/>
  <c r="T536" i="12"/>
  <c r="T538" i="12"/>
  <c r="T540" i="12"/>
  <c r="T542" i="12"/>
  <c r="T544" i="12"/>
  <c r="T546" i="12"/>
  <c r="T548" i="12"/>
  <c r="T550" i="12"/>
  <c r="T552" i="12"/>
  <c r="T554" i="12"/>
  <c r="T556" i="12"/>
  <c r="T558" i="12"/>
  <c r="T560" i="12"/>
  <c r="T562" i="12"/>
  <c r="T564" i="12"/>
  <c r="T566" i="12"/>
  <c r="T568" i="12"/>
  <c r="T570" i="12"/>
  <c r="T572" i="12"/>
  <c r="T574" i="12"/>
  <c r="T576" i="12"/>
  <c r="T578" i="12"/>
  <c r="T580" i="12"/>
  <c r="T582" i="12"/>
  <c r="T584" i="12"/>
  <c r="T586" i="12"/>
  <c r="T588" i="12"/>
  <c r="T590" i="12"/>
  <c r="T592" i="12"/>
  <c r="T594" i="12"/>
  <c r="T596" i="12"/>
  <c r="T598" i="12"/>
  <c r="T600" i="12"/>
  <c r="T602" i="12"/>
  <c r="T604" i="12"/>
  <c r="T606" i="12"/>
  <c r="T608" i="12"/>
  <c r="T610" i="12"/>
  <c r="T612" i="12"/>
  <c r="T614" i="12"/>
  <c r="T616" i="12"/>
  <c r="T618" i="12"/>
  <c r="T620" i="12"/>
  <c r="T622" i="12"/>
  <c r="T624" i="12"/>
  <c r="T626" i="12"/>
  <c r="T628" i="12"/>
  <c r="T630" i="12"/>
  <c r="T632" i="12"/>
  <c r="T634" i="12"/>
  <c r="T636" i="12"/>
  <c r="T638" i="12"/>
  <c r="T640" i="12"/>
  <c r="T642" i="12"/>
  <c r="T644" i="12"/>
  <c r="T646" i="12"/>
  <c r="T648" i="12"/>
  <c r="T650" i="12"/>
  <c r="T652" i="12"/>
  <c r="T654" i="12"/>
  <c r="T656" i="12"/>
  <c r="T658" i="12"/>
  <c r="T660" i="12"/>
  <c r="T662" i="12"/>
  <c r="T664" i="12"/>
  <c r="T666" i="12"/>
  <c r="T668" i="12"/>
  <c r="T670" i="12"/>
  <c r="T672" i="12"/>
  <c r="T674" i="12"/>
  <c r="T676" i="12"/>
  <c r="T678" i="12"/>
  <c r="T680" i="12"/>
  <c r="T682" i="12"/>
  <c r="T684" i="12"/>
  <c r="T686" i="12"/>
  <c r="T688" i="12"/>
  <c r="T690" i="12"/>
  <c r="T692" i="12"/>
  <c r="T694" i="12"/>
  <c r="T696" i="12"/>
  <c r="T698" i="12"/>
  <c r="T700" i="12"/>
  <c r="T702" i="12"/>
  <c r="T704" i="12"/>
  <c r="T706" i="12"/>
  <c r="T708" i="12"/>
  <c r="T710" i="12"/>
  <c r="T712" i="12"/>
  <c r="T714" i="12"/>
  <c r="T716" i="12"/>
  <c r="T718" i="12"/>
  <c r="T720" i="12"/>
  <c r="T722" i="12"/>
  <c r="T724" i="12"/>
  <c r="T726" i="12"/>
  <c r="T728" i="12"/>
  <c r="T730" i="12"/>
  <c r="T732" i="12"/>
  <c r="T734" i="12"/>
  <c r="T736" i="12"/>
  <c r="T738" i="12"/>
  <c r="T740" i="12"/>
  <c r="T742" i="12"/>
  <c r="T744" i="12"/>
  <c r="T746" i="12"/>
  <c r="T748" i="12"/>
  <c r="T750" i="12"/>
  <c r="T752" i="12"/>
  <c r="T754" i="12"/>
  <c r="T756" i="12"/>
  <c r="T758" i="12"/>
  <c r="T760" i="12"/>
  <c r="T762" i="12"/>
  <c r="T764" i="12"/>
  <c r="T766" i="12"/>
  <c r="T768" i="12"/>
  <c r="T770" i="12"/>
  <c r="T772" i="12"/>
  <c r="T774" i="12"/>
  <c r="T776" i="12"/>
  <c r="T778" i="12"/>
  <c r="T780" i="12"/>
  <c r="T782" i="12"/>
  <c r="T784" i="12"/>
  <c r="T786" i="12"/>
  <c r="T788" i="12"/>
  <c r="T790" i="12"/>
  <c r="T792" i="12"/>
  <c r="T794" i="12"/>
  <c r="T796" i="12"/>
  <c r="T798" i="12"/>
  <c r="T800" i="12"/>
  <c r="T802" i="12"/>
  <c r="T804" i="12"/>
  <c r="T806" i="12"/>
  <c r="T808" i="12"/>
  <c r="T810" i="12"/>
  <c r="T812" i="12"/>
  <c r="T814" i="12"/>
  <c r="T816" i="12"/>
  <c r="T818" i="12"/>
  <c r="T820" i="12"/>
  <c r="T822" i="12"/>
  <c r="T824" i="12"/>
  <c r="T826" i="12"/>
  <c r="T828" i="12"/>
  <c r="T830" i="12"/>
  <c r="T832" i="12"/>
  <c r="T834" i="12"/>
  <c r="T836" i="12"/>
  <c r="T838" i="12"/>
  <c r="T840" i="12"/>
  <c r="T842" i="12"/>
  <c r="T844" i="12"/>
  <c r="T846" i="12"/>
  <c r="T848" i="12"/>
  <c r="T850" i="12"/>
  <c r="T852" i="12"/>
  <c r="T854" i="12"/>
  <c r="T856" i="12"/>
  <c r="T858" i="12"/>
  <c r="T860" i="12"/>
  <c r="T862" i="12"/>
  <c r="T864" i="12"/>
  <c r="T866" i="12"/>
  <c r="T868" i="12"/>
  <c r="T870" i="12"/>
  <c r="T872" i="12"/>
  <c r="T874" i="12"/>
  <c r="T876" i="12"/>
  <c r="T878" i="12"/>
  <c r="T880" i="12"/>
  <c r="T882" i="12"/>
  <c r="T884" i="12"/>
  <c r="T886" i="12"/>
  <c r="T888" i="12"/>
  <c r="T890" i="12"/>
  <c r="T892" i="12"/>
  <c r="T894" i="12"/>
  <c r="T896" i="12"/>
  <c r="T898" i="12"/>
  <c r="T900" i="12"/>
  <c r="T902" i="12"/>
  <c r="T904" i="12"/>
  <c r="T906" i="12"/>
  <c r="T908" i="12"/>
  <c r="T910" i="12"/>
  <c r="T912" i="12"/>
  <c r="T914" i="12"/>
  <c r="T916" i="12"/>
  <c r="T918" i="12"/>
  <c r="T920" i="12"/>
  <c r="T922" i="12"/>
  <c r="T924" i="12"/>
  <c r="T926" i="12"/>
  <c r="T928" i="12"/>
  <c r="T930" i="12"/>
  <c r="T932" i="12"/>
  <c r="T934" i="12"/>
  <c r="T936" i="12"/>
  <c r="T938" i="12"/>
  <c r="T940" i="12"/>
  <c r="T942" i="12"/>
  <c r="T944" i="12"/>
  <c r="T946" i="12"/>
  <c r="T948" i="12"/>
  <c r="T950" i="12"/>
  <c r="T952" i="12"/>
  <c r="T954" i="12"/>
  <c r="T956" i="12"/>
  <c r="T958" i="12"/>
  <c r="T960" i="12"/>
  <c r="T962" i="12"/>
  <c r="T964" i="12"/>
  <c r="T966" i="12"/>
  <c r="T968" i="12"/>
  <c r="T970" i="12"/>
  <c r="T972" i="12"/>
  <c r="T974" i="12"/>
  <c r="T976" i="12"/>
  <c r="T978" i="12"/>
  <c r="T980" i="12"/>
  <c r="T982" i="12"/>
  <c r="T984" i="12"/>
  <c r="T986" i="12"/>
  <c r="T988" i="12"/>
  <c r="T990" i="12"/>
  <c r="T992" i="12"/>
  <c r="T994" i="12"/>
  <c r="T996" i="12"/>
  <c r="T998" i="12"/>
  <c r="T1000" i="12"/>
  <c r="T1002" i="12"/>
  <c r="T1004" i="12"/>
  <c r="T1006" i="12"/>
  <c r="T1008" i="12"/>
  <c r="T1010" i="12"/>
  <c r="T1012" i="12"/>
  <c r="T1014" i="12"/>
  <c r="T1016" i="12"/>
  <c r="T1018" i="12"/>
  <c r="T1020" i="12"/>
  <c r="T1022" i="12"/>
  <c r="T1024" i="12"/>
  <c r="T1026" i="12"/>
  <c r="T1028" i="12"/>
  <c r="T1030" i="12"/>
  <c r="T1032" i="12"/>
  <c r="T1034" i="12"/>
  <c r="T1036" i="12"/>
  <c r="T1038" i="12"/>
  <c r="T1040" i="12"/>
  <c r="T1042" i="12"/>
  <c r="T1044" i="12"/>
  <c r="T1046" i="12"/>
  <c r="T1048" i="12"/>
  <c r="T1050" i="12"/>
  <c r="T1052" i="12"/>
  <c r="T1054" i="12"/>
  <c r="T1056" i="12"/>
  <c r="T1058" i="12"/>
  <c r="T1060" i="12"/>
  <c r="T1062" i="12"/>
  <c r="T1064" i="12"/>
  <c r="T1066" i="12"/>
  <c r="T1068" i="12"/>
  <c r="T1070" i="12"/>
  <c r="T1072" i="12"/>
  <c r="T1074" i="12"/>
  <c r="T1076" i="12"/>
  <c r="T1078" i="12"/>
  <c r="T1080" i="12"/>
  <c r="T1082" i="12"/>
  <c r="T1084" i="12"/>
  <c r="T1086" i="12"/>
  <c r="T1088" i="12"/>
  <c r="T1090" i="12"/>
  <c r="T1092" i="12"/>
  <c r="T1094" i="12"/>
  <c r="T1096" i="12"/>
  <c r="T1098" i="12"/>
  <c r="T1100" i="12"/>
  <c r="T1102" i="12"/>
  <c r="T1104" i="12"/>
  <c r="T1106" i="12"/>
  <c r="T1108" i="12"/>
  <c r="T1110" i="12"/>
  <c r="T1112" i="12"/>
  <c r="T1114" i="12"/>
  <c r="T1116" i="12"/>
  <c r="T1118" i="12"/>
  <c r="T1120" i="12"/>
  <c r="T1122" i="12"/>
  <c r="T1124" i="12"/>
  <c r="T1126" i="12"/>
  <c r="T1128" i="12"/>
  <c r="T1130" i="12"/>
  <c r="T1132" i="12"/>
  <c r="T1134" i="12"/>
  <c r="T1136" i="12"/>
  <c r="T1138" i="12"/>
  <c r="T1140" i="12"/>
  <c r="T1142" i="12"/>
  <c r="T1144" i="12"/>
  <c r="T1146" i="12"/>
  <c r="T1148" i="12"/>
  <c r="T1150" i="12"/>
  <c r="T1152" i="12"/>
  <c r="T1154" i="12"/>
  <c r="T1156" i="12"/>
  <c r="T1158" i="12"/>
  <c r="T1160" i="12"/>
  <c r="T1162" i="12"/>
  <c r="T1164" i="12"/>
  <c r="T1166" i="12"/>
  <c r="T1168" i="12"/>
  <c r="T1170" i="12"/>
  <c r="T1172" i="12"/>
  <c r="T1174" i="12"/>
  <c r="T1176" i="12"/>
  <c r="T1178" i="12"/>
  <c r="T1180" i="12"/>
  <c r="T1182" i="12"/>
  <c r="T1184" i="12"/>
  <c r="T1186" i="12"/>
  <c r="T1188" i="12"/>
  <c r="T1190" i="12"/>
  <c r="T1192" i="12"/>
  <c r="T1194" i="12"/>
  <c r="T1196" i="12"/>
  <c r="T1198" i="12"/>
  <c r="T1200" i="12"/>
  <c r="T1202" i="12"/>
  <c r="T1204" i="12"/>
  <c r="T1206" i="12"/>
  <c r="T1208" i="12"/>
  <c r="T1210" i="12"/>
  <c r="T1212" i="12"/>
  <c r="T1214" i="12"/>
  <c r="T1216" i="12"/>
  <c r="T1218" i="12"/>
  <c r="T1220" i="12"/>
  <c r="T1222" i="12"/>
  <c r="T1224" i="12"/>
  <c r="T1226" i="12"/>
  <c r="T1228" i="12"/>
  <c r="T1230" i="12"/>
  <c r="T1232" i="12"/>
  <c r="T1234" i="12"/>
  <c r="T1236" i="12"/>
  <c r="T1238" i="12"/>
  <c r="T1240" i="12"/>
  <c r="T1242" i="12"/>
  <c r="T1244" i="12"/>
  <c r="T1246" i="12"/>
  <c r="T1248" i="12"/>
  <c r="T1250" i="12"/>
  <c r="T1252" i="12"/>
  <c r="T1254" i="12"/>
  <c r="T1256" i="12"/>
  <c r="T1258" i="12"/>
  <c r="T1260" i="12"/>
  <c r="T1262" i="12"/>
  <c r="T1264" i="12"/>
  <c r="T1266" i="12"/>
  <c r="T1268" i="12"/>
  <c r="T1270" i="12"/>
  <c r="T1272" i="12"/>
  <c r="T1274" i="12"/>
  <c r="T1276" i="12"/>
  <c r="T1278" i="12"/>
  <c r="T1280" i="12"/>
  <c r="T1282" i="12"/>
  <c r="T1284" i="12"/>
  <c r="T1286" i="12"/>
  <c r="T1288" i="12"/>
  <c r="T1290" i="12"/>
  <c r="T1292" i="12"/>
  <c r="T1294" i="12"/>
  <c r="T1296" i="12"/>
  <c r="T1298" i="12"/>
  <c r="T1300" i="12"/>
  <c r="T1302" i="12"/>
  <c r="T1304" i="12"/>
  <c r="T1306" i="12"/>
  <c r="T1308" i="12"/>
  <c r="T1310" i="12"/>
  <c r="T1312" i="12"/>
  <c r="T1314" i="12"/>
  <c r="T1316" i="12"/>
  <c r="T1318" i="12"/>
  <c r="T1320" i="12"/>
  <c r="T1322" i="12"/>
  <c r="T1324" i="12"/>
  <c r="T1326" i="12"/>
  <c r="T1328" i="12"/>
  <c r="T1330" i="12"/>
  <c r="T1332" i="12"/>
  <c r="T1334" i="12"/>
  <c r="T1336" i="12"/>
  <c r="T1338" i="12"/>
  <c r="T1340" i="12"/>
  <c r="T1342" i="12"/>
  <c r="T1344" i="12"/>
  <c r="T1346" i="12"/>
  <c r="T1348" i="12"/>
  <c r="T1350" i="12"/>
  <c r="T1352" i="12"/>
  <c r="T1354" i="12"/>
  <c r="T1356" i="12"/>
  <c r="T1358" i="12"/>
  <c r="T1360" i="12"/>
  <c r="T1362" i="12"/>
  <c r="T1364" i="12"/>
  <c r="T1366" i="12"/>
  <c r="T1368" i="12"/>
  <c r="T1370" i="12"/>
  <c r="T1372" i="12"/>
  <c r="T1374" i="12"/>
  <c r="T1376" i="12"/>
  <c r="T1378" i="12"/>
  <c r="T1380" i="12"/>
  <c r="T1382" i="12"/>
  <c r="T1384" i="12"/>
  <c r="T1386" i="12"/>
  <c r="T1388" i="12"/>
  <c r="T1390" i="12"/>
  <c r="T1392" i="12"/>
  <c r="T1394" i="12"/>
  <c r="T1396" i="12"/>
  <c r="T1398" i="12"/>
  <c r="T1400" i="12"/>
  <c r="T1402" i="12"/>
  <c r="T1404" i="12"/>
  <c r="T1406" i="12"/>
  <c r="T1408" i="12"/>
  <c r="T1410" i="12"/>
  <c r="T1412" i="12"/>
  <c r="T1414" i="12"/>
  <c r="T1416" i="12"/>
  <c r="T1418" i="12"/>
  <c r="T1420" i="12"/>
  <c r="T1422" i="12"/>
  <c r="T1424" i="12"/>
  <c r="T1426" i="12"/>
  <c r="T1428" i="12"/>
  <c r="T1430" i="12"/>
  <c r="T1432" i="12"/>
  <c r="T1434" i="12"/>
  <c r="T1436" i="12"/>
  <c r="T1438" i="12"/>
  <c r="T1440" i="12"/>
  <c r="T1442" i="12"/>
  <c r="T1444" i="12"/>
  <c r="T1446" i="12"/>
  <c r="T1448" i="12"/>
  <c r="T1450" i="12"/>
  <c r="T1452" i="12"/>
  <c r="T1454" i="12"/>
  <c r="T1456" i="12"/>
  <c r="T1458" i="12"/>
  <c r="T1460" i="12"/>
  <c r="T1462" i="12"/>
  <c r="T1464" i="12"/>
  <c r="T1466" i="12"/>
  <c r="T1468" i="12"/>
  <c r="T1470" i="12"/>
  <c r="T1472" i="12"/>
  <c r="T1474" i="12"/>
  <c r="T1476" i="12"/>
  <c r="T1478" i="12"/>
  <c r="T1480" i="12"/>
  <c r="T1482" i="12"/>
  <c r="T1484" i="12"/>
  <c r="T1486" i="12"/>
  <c r="T1488" i="12"/>
  <c r="T1490" i="12"/>
  <c r="T1492" i="12"/>
  <c r="T1494" i="12"/>
  <c r="T1496" i="12"/>
  <c r="T1498" i="12"/>
  <c r="T1500" i="12"/>
  <c r="T1502" i="12"/>
  <c r="T1504" i="12"/>
  <c r="T1506" i="12"/>
  <c r="T1508" i="12"/>
  <c r="T1510" i="12"/>
  <c r="T1512" i="12"/>
  <c r="T1514" i="12"/>
  <c r="T1516" i="12"/>
  <c r="T1518" i="12"/>
  <c r="T1520" i="12"/>
  <c r="T1522" i="12"/>
  <c r="T1524" i="12"/>
  <c r="T1526" i="12"/>
  <c r="T1528" i="12"/>
  <c r="T1530" i="12"/>
  <c r="T1532" i="12"/>
  <c r="T1534" i="12"/>
  <c r="T1536" i="12"/>
  <c r="T1538" i="12"/>
  <c r="T1540" i="12"/>
  <c r="T1542" i="12"/>
  <c r="T1544" i="12"/>
  <c r="T1546" i="12"/>
  <c r="T1548" i="12"/>
  <c r="T1550" i="12"/>
  <c r="T1552" i="12"/>
  <c r="T1554" i="12"/>
  <c r="T1556" i="12"/>
  <c r="T1558" i="12"/>
  <c r="T1560" i="12"/>
  <c r="T1562" i="12"/>
  <c r="T1564" i="12"/>
  <c r="T1566" i="12"/>
  <c r="T1568" i="12"/>
  <c r="T1570" i="12"/>
  <c r="T1572" i="12"/>
  <c r="T1574" i="12"/>
  <c r="T1576" i="12"/>
  <c r="T1578" i="12"/>
  <c r="T1580" i="12"/>
  <c r="T1582" i="12"/>
  <c r="T1584" i="12"/>
  <c r="T1586" i="12"/>
  <c r="T1588" i="12"/>
  <c r="T1590" i="12"/>
  <c r="T1592" i="12"/>
  <c r="T1594" i="12"/>
  <c r="T1596" i="12"/>
  <c r="T1598" i="12"/>
  <c r="T1600" i="12"/>
  <c r="T1602" i="12"/>
  <c r="T1604" i="12"/>
  <c r="T1606" i="12"/>
  <c r="T1608" i="12"/>
  <c r="T1610" i="12"/>
  <c r="T1612" i="12"/>
  <c r="T1614" i="12"/>
  <c r="T1616" i="12"/>
  <c r="T1618" i="12"/>
  <c r="T1620" i="12"/>
  <c r="T1622" i="12"/>
  <c r="T1624" i="12"/>
  <c r="T1626" i="12"/>
  <c r="T1628" i="12"/>
  <c r="T1630" i="12"/>
  <c r="T1632" i="12"/>
  <c r="T1634" i="12"/>
  <c r="T1636" i="12"/>
  <c r="T1638" i="12"/>
  <c r="T1640" i="12"/>
  <c r="T1642" i="12"/>
  <c r="T1644" i="12"/>
  <c r="T1646" i="12"/>
  <c r="T1648" i="12"/>
  <c r="T1650" i="12"/>
  <c r="T1652" i="12"/>
  <c r="T1654" i="12"/>
  <c r="T1656" i="12"/>
  <c r="T1658" i="12"/>
  <c r="T1660" i="12"/>
  <c r="T1662" i="12"/>
  <c r="T1664" i="12"/>
  <c r="T1666" i="12"/>
  <c r="T1668" i="12"/>
  <c r="T1670" i="12"/>
  <c r="T1672" i="12"/>
  <c r="T1674" i="12"/>
  <c r="T1676" i="12"/>
  <c r="T1678" i="12"/>
  <c r="T1680" i="12"/>
  <c r="T1682" i="12"/>
  <c r="T1684" i="12"/>
  <c r="T1686" i="12"/>
  <c r="T1688" i="12"/>
  <c r="T1690" i="12"/>
  <c r="T1692" i="12"/>
  <c r="T1694" i="12"/>
  <c r="T1696" i="12"/>
  <c r="T1698" i="12"/>
  <c r="T1700" i="12"/>
  <c r="T1702" i="12"/>
  <c r="T1704" i="12"/>
  <c r="T1706" i="12"/>
  <c r="T1708" i="12"/>
  <c r="T1710" i="12"/>
  <c r="T1712" i="12"/>
  <c r="T1714" i="12"/>
  <c r="T1716" i="12"/>
  <c r="T1718" i="12"/>
  <c r="T1720" i="12"/>
  <c r="T1722" i="12"/>
  <c r="T1724" i="12"/>
  <c r="T1726" i="12"/>
  <c r="T1728" i="12"/>
  <c r="T1730" i="12"/>
  <c r="T1732" i="12"/>
  <c r="T1734" i="12"/>
  <c r="T1736" i="12"/>
  <c r="T1738" i="12"/>
  <c r="T1740" i="12"/>
  <c r="T1742" i="12"/>
  <c r="T1744" i="12"/>
  <c r="T1746" i="12"/>
  <c r="T1748" i="12"/>
  <c r="T1750" i="12"/>
  <c r="T1752" i="12"/>
  <c r="T1754" i="12"/>
  <c r="T1756" i="12"/>
  <c r="T1758" i="12"/>
  <c r="T1760" i="12"/>
  <c r="T1762" i="12"/>
  <c r="T1764" i="12"/>
  <c r="T1766" i="12"/>
  <c r="T1768" i="12"/>
  <c r="T1770" i="12"/>
  <c r="T1772" i="12"/>
  <c r="T1774" i="12"/>
  <c r="T1776" i="12"/>
  <c r="T1778" i="12"/>
  <c r="T1780" i="12"/>
  <c r="T1782" i="12"/>
  <c r="T1784" i="12"/>
  <c r="T1786" i="12"/>
  <c r="T1788" i="12"/>
  <c r="T1790" i="12"/>
  <c r="T1792" i="12"/>
  <c r="T1794" i="12"/>
  <c r="T1796" i="12"/>
  <c r="T1798" i="12"/>
  <c r="T1800" i="12"/>
  <c r="T1802" i="12"/>
  <c r="T1804" i="12"/>
  <c r="T1806" i="12"/>
  <c r="T1808" i="12"/>
  <c r="T1810" i="12"/>
  <c r="T1812" i="12"/>
  <c r="T1814" i="12"/>
  <c r="T1816" i="12"/>
  <c r="T1818" i="12"/>
  <c r="T1820" i="12"/>
  <c r="T1822" i="12"/>
  <c r="T1824" i="12"/>
  <c r="T1826" i="12"/>
  <c r="T1828" i="12"/>
  <c r="T1830" i="12"/>
  <c r="T1832" i="12"/>
  <c r="T1834" i="12"/>
  <c r="T1836" i="12"/>
  <c r="T1838" i="12"/>
  <c r="T1840" i="12"/>
  <c r="T1842" i="12"/>
  <c r="T1844" i="12"/>
  <c r="T1846" i="12"/>
  <c r="T1848" i="12"/>
  <c r="T1850" i="12"/>
  <c r="T1852" i="12"/>
  <c r="T1854" i="12"/>
  <c r="T1856" i="12"/>
  <c r="T1858" i="12"/>
  <c r="T1860" i="12"/>
  <c r="T1862" i="12"/>
  <c r="T1864" i="12"/>
  <c r="T1866" i="12"/>
  <c r="T1868" i="12"/>
  <c r="T1870" i="12"/>
  <c r="T1872" i="12"/>
  <c r="T1874" i="12"/>
  <c r="T1876" i="12"/>
  <c r="T1878" i="12"/>
  <c r="T1880" i="12"/>
  <c r="T1882" i="12"/>
  <c r="T1884" i="12"/>
  <c r="T1886" i="12"/>
  <c r="T1888" i="12"/>
  <c r="T1890" i="12"/>
  <c r="T1892" i="12"/>
  <c r="T1894" i="12"/>
  <c r="T1896" i="12"/>
  <c r="T1898" i="12"/>
  <c r="T1900" i="12"/>
  <c r="T1902" i="12"/>
  <c r="T1904" i="12"/>
  <c r="T1906" i="12"/>
  <c r="T1908" i="12"/>
  <c r="T1910" i="12"/>
  <c r="T1912" i="12"/>
  <c r="T1914" i="12"/>
  <c r="T1916" i="12"/>
  <c r="T1918" i="12"/>
  <c r="T1920" i="12"/>
  <c r="T1922" i="12"/>
  <c r="T1924" i="12"/>
  <c r="T1926" i="12"/>
  <c r="T1928" i="12"/>
  <c r="T1930" i="12"/>
  <c r="T1932" i="12"/>
  <c r="T1934" i="12"/>
  <c r="T1936" i="12"/>
  <c r="T1938" i="12"/>
  <c r="T1940" i="12"/>
  <c r="T1942" i="12"/>
  <c r="T1944" i="12"/>
  <c r="T1946" i="12"/>
  <c r="T1948" i="12"/>
  <c r="T1950" i="12"/>
  <c r="T1952" i="12"/>
  <c r="T1954" i="12"/>
  <c r="T1956" i="12"/>
  <c r="T1958" i="12"/>
  <c r="T1960" i="12"/>
  <c r="T1962" i="12"/>
  <c r="T1964" i="12"/>
  <c r="T1966" i="12"/>
  <c r="T1968" i="12"/>
  <c r="T1970" i="12"/>
  <c r="T1972" i="12"/>
  <c r="T1974" i="12"/>
  <c r="T1976" i="12"/>
  <c r="T1978" i="12"/>
  <c r="T1980" i="12"/>
  <c r="T1982" i="12"/>
  <c r="T1984" i="12"/>
  <c r="T1986" i="12"/>
  <c r="T1988" i="12"/>
  <c r="T1990" i="12"/>
  <c r="T1992" i="12"/>
  <c r="T1994" i="12"/>
  <c r="T1996" i="12"/>
  <c r="T1998" i="12"/>
  <c r="T2000" i="12"/>
  <c r="T2002" i="12"/>
  <c r="T2004" i="12"/>
  <c r="T2006" i="12"/>
  <c r="T2008" i="12"/>
  <c r="T2010" i="12"/>
  <c r="T2012" i="12"/>
  <c r="T2014" i="12"/>
  <c r="T2016" i="12"/>
  <c r="T2018" i="12"/>
  <c r="T2020" i="12"/>
  <c r="T2022" i="12"/>
  <c r="T2024" i="12"/>
  <c r="T2026" i="12"/>
  <c r="T2028" i="12"/>
  <c r="T2030" i="12"/>
  <c r="T2032" i="12"/>
  <c r="T2034" i="12"/>
  <c r="T2036" i="12"/>
  <c r="T2038" i="12"/>
  <c r="T2040" i="12"/>
  <c r="T2042" i="12"/>
  <c r="T2044" i="12"/>
  <c r="T2046" i="12"/>
  <c r="T2048" i="12"/>
  <c r="T2050" i="12"/>
  <c r="T2052" i="12"/>
  <c r="T2054" i="12"/>
  <c r="T2056" i="12"/>
  <c r="T2058" i="12"/>
  <c r="T2060" i="12"/>
  <c r="T2062" i="12"/>
  <c r="T2064" i="12"/>
  <c r="T2066" i="12"/>
  <c r="T2068" i="12"/>
  <c r="T2070" i="12"/>
  <c r="T2072" i="12"/>
  <c r="T2074" i="12"/>
  <c r="T2076" i="12"/>
  <c r="T2078" i="12"/>
  <c r="T2080" i="12"/>
  <c r="T2082" i="12"/>
  <c r="T2084" i="12"/>
  <c r="T2086" i="12"/>
  <c r="T2088" i="12"/>
  <c r="T2090" i="12"/>
  <c r="T2092" i="12"/>
  <c r="T2094" i="12"/>
  <c r="T2096" i="12"/>
  <c r="T2098" i="12"/>
  <c r="T2100" i="12"/>
  <c r="T2102" i="12"/>
  <c r="T2104" i="12"/>
  <c r="T2106" i="12"/>
  <c r="T2108" i="12"/>
  <c r="T2110" i="12"/>
  <c r="T2112" i="12"/>
  <c r="T2114" i="12"/>
  <c r="T2116" i="12"/>
  <c r="T2118" i="12"/>
  <c r="T2120" i="12"/>
  <c r="T2122" i="12"/>
  <c r="T2124" i="12"/>
  <c r="T2126" i="12"/>
  <c r="T2128" i="12"/>
  <c r="T2130" i="12"/>
  <c r="T2132" i="12"/>
  <c r="T2134" i="12"/>
  <c r="T2136" i="12"/>
  <c r="T2138" i="12"/>
  <c r="T2140" i="12"/>
  <c r="T2142" i="12"/>
  <c r="T2144" i="12"/>
  <c r="T2146" i="12"/>
  <c r="T2148" i="12"/>
  <c r="T2150" i="12"/>
  <c r="T2152" i="12"/>
  <c r="T2154" i="12"/>
  <c r="T2156" i="12"/>
  <c r="T2158" i="12"/>
  <c r="T2160" i="12"/>
  <c r="T2162" i="12"/>
  <c r="T2164" i="12"/>
  <c r="T2166" i="12"/>
  <c r="T2168" i="12"/>
  <c r="T2170" i="12"/>
  <c r="T2172" i="12"/>
  <c r="T2174" i="12"/>
  <c r="T2176" i="12"/>
  <c r="T2178" i="12"/>
  <c r="T2180" i="12"/>
  <c r="T2182" i="12"/>
  <c r="T2184" i="12"/>
  <c r="T2186" i="12"/>
  <c r="T2188" i="12"/>
  <c r="T2190" i="12"/>
  <c r="T2192" i="12"/>
  <c r="T2194" i="12"/>
  <c r="T2196" i="12"/>
  <c r="T2198" i="12"/>
  <c r="T2200" i="12"/>
  <c r="T2202" i="12"/>
  <c r="T2204" i="12"/>
  <c r="T2206" i="12"/>
  <c r="T2208" i="12"/>
  <c r="T2210" i="12"/>
  <c r="T2212" i="12"/>
  <c r="T2214" i="12"/>
  <c r="T2216" i="12"/>
  <c r="T2218" i="12"/>
  <c r="T2220" i="12"/>
  <c r="T2222" i="12"/>
  <c r="T2224" i="12"/>
  <c r="T2226" i="12"/>
  <c r="T2228" i="12"/>
  <c r="T2230" i="12"/>
  <c r="T2232" i="12"/>
  <c r="T2234" i="12"/>
  <c r="T2236" i="12"/>
  <c r="T2238" i="12"/>
  <c r="T2240" i="12"/>
  <c r="T2242" i="12"/>
  <c r="T2244" i="12"/>
  <c r="T2246" i="12"/>
  <c r="T2248" i="12"/>
  <c r="T2250" i="12"/>
  <c r="T2252" i="12"/>
  <c r="T2254" i="12"/>
  <c r="T2256" i="12"/>
  <c r="T2258" i="12"/>
  <c r="T2260" i="12"/>
  <c r="T2262" i="12"/>
  <c r="T2264" i="12"/>
  <c r="T2266" i="12"/>
  <c r="T2268" i="12"/>
  <c r="T2270" i="12"/>
  <c r="T2272" i="12"/>
  <c r="T2274" i="12"/>
  <c r="T2276" i="12"/>
  <c r="T2278" i="12"/>
  <c r="T2280" i="12"/>
  <c r="T2282" i="12"/>
  <c r="T2284" i="12"/>
  <c r="T2286" i="12"/>
  <c r="T2288" i="12"/>
  <c r="T2290" i="12"/>
  <c r="T2292" i="12"/>
  <c r="T2294" i="12"/>
  <c r="T2296" i="12"/>
  <c r="T2298" i="12"/>
  <c r="T2300" i="12"/>
  <c r="T2302" i="12"/>
  <c r="T2304" i="12"/>
  <c r="T2306" i="12"/>
  <c r="T2308" i="12"/>
  <c r="T2310" i="12"/>
  <c r="T2312" i="12"/>
  <c r="T2314" i="12"/>
  <c r="T2316" i="12"/>
  <c r="T2318" i="12"/>
  <c r="T2320" i="12"/>
  <c r="T2322" i="12"/>
  <c r="T2324" i="12"/>
  <c r="T2326" i="12"/>
  <c r="T2328" i="12"/>
  <c r="T2330" i="12"/>
  <c r="T2332" i="12"/>
  <c r="T2334" i="12"/>
  <c r="T2336" i="12"/>
  <c r="T2338" i="12"/>
  <c r="T2340" i="12"/>
  <c r="T2342" i="12"/>
  <c r="T2344" i="12"/>
  <c r="T2346" i="12"/>
  <c r="T2348" i="12"/>
  <c r="T2350" i="12"/>
  <c r="T2352" i="12"/>
  <c r="T2354" i="12"/>
  <c r="T2356" i="12"/>
  <c r="T2358" i="12"/>
  <c r="T2360" i="12"/>
  <c r="T2362" i="12"/>
  <c r="T2364" i="12"/>
  <c r="T2366" i="12"/>
  <c r="T2368" i="12"/>
  <c r="T2370" i="12"/>
  <c r="T2372" i="12"/>
  <c r="T2374" i="12"/>
  <c r="T2376" i="12"/>
  <c r="T2378" i="12"/>
  <c r="T2380" i="12"/>
  <c r="T2382" i="12"/>
  <c r="T2384" i="12"/>
  <c r="T2386" i="12"/>
  <c r="T2388" i="12"/>
  <c r="T2390" i="12"/>
  <c r="T2392" i="12"/>
  <c r="T2394" i="12"/>
  <c r="T2396" i="12"/>
  <c r="T2398" i="12"/>
  <c r="T2400" i="12"/>
  <c r="T2402" i="12"/>
  <c r="T2404" i="12"/>
  <c r="T2406" i="12"/>
  <c r="T2408" i="12"/>
  <c r="T2410" i="12"/>
  <c r="T2412" i="12"/>
  <c r="T2414" i="12"/>
  <c r="T2416" i="12"/>
  <c r="T2418" i="12"/>
  <c r="T2420" i="12"/>
  <c r="T2422" i="12"/>
  <c r="T2424" i="12"/>
  <c r="T2426" i="12"/>
  <c r="T2428" i="12"/>
  <c r="T2430" i="12"/>
  <c r="T2432" i="12"/>
  <c r="T2434" i="12"/>
  <c r="T2436" i="12"/>
  <c r="T2438" i="12"/>
  <c r="T2440" i="12"/>
  <c r="T2442" i="12"/>
  <c r="T2444" i="12"/>
  <c r="T2446" i="12"/>
  <c r="T2448" i="12"/>
  <c r="T2450" i="12"/>
  <c r="T2452" i="12"/>
  <c r="T2454" i="12"/>
  <c r="T2456" i="12"/>
  <c r="T2458" i="12"/>
  <c r="T2460" i="12"/>
  <c r="T2462" i="12"/>
  <c r="T2464" i="12"/>
  <c r="T2466" i="12"/>
  <c r="T2468" i="12"/>
  <c r="T2470" i="12"/>
  <c r="T2472" i="12"/>
  <c r="T2474" i="12"/>
  <c r="T2476" i="12"/>
  <c r="T2478" i="12"/>
  <c r="T2480" i="12"/>
  <c r="T2482" i="12"/>
  <c r="T2484" i="12"/>
  <c r="T2486" i="12"/>
  <c r="T2488" i="12"/>
  <c r="T2490" i="12"/>
  <c r="T2492" i="12"/>
  <c r="T2494" i="12"/>
  <c r="T2496" i="12"/>
  <c r="T2498" i="12"/>
  <c r="T2500" i="12"/>
  <c r="T2502" i="12"/>
  <c r="T2504" i="12"/>
  <c r="T2506" i="12"/>
  <c r="T2508" i="12"/>
  <c r="T2510" i="12"/>
  <c r="T2512" i="12"/>
  <c r="T2514" i="12"/>
  <c r="T2516" i="12"/>
  <c r="T2518" i="12"/>
  <c r="T2520" i="12"/>
  <c r="T2522" i="12"/>
  <c r="T2524" i="12"/>
  <c r="T2526" i="12"/>
  <c r="T2528" i="12"/>
  <c r="T2530" i="12"/>
  <c r="T2532" i="12"/>
  <c r="T2534" i="12"/>
  <c r="T2536" i="12"/>
  <c r="T2538" i="12"/>
  <c r="T2540" i="12"/>
  <c r="T2542" i="12"/>
  <c r="T2544" i="12"/>
  <c r="T2546" i="12"/>
  <c r="T2548" i="12"/>
  <c r="T2550" i="12"/>
  <c r="T2552" i="12"/>
  <c r="T2554" i="12"/>
  <c r="T2556" i="12"/>
  <c r="T2558" i="12"/>
  <c r="T2560" i="12"/>
  <c r="T2562" i="12"/>
  <c r="T2564" i="12"/>
  <c r="T2566" i="12"/>
  <c r="T2568" i="12"/>
  <c r="T2570" i="12"/>
  <c r="T2572" i="12"/>
  <c r="T2574" i="12"/>
  <c r="T2576" i="12"/>
  <c r="T2578" i="12"/>
  <c r="T2580" i="12"/>
  <c r="T2582" i="12"/>
  <c r="T2584" i="12"/>
  <c r="T2586" i="12"/>
  <c r="T2588" i="12"/>
  <c r="T2590" i="12"/>
  <c r="T2592" i="12"/>
  <c r="T2594" i="12"/>
  <c r="T2596" i="12"/>
  <c r="T2598" i="12"/>
  <c r="T2600" i="12"/>
  <c r="T2602" i="12"/>
  <c r="T2604" i="12"/>
  <c r="T2606" i="12"/>
  <c r="T2608" i="12"/>
  <c r="T2610" i="12"/>
  <c r="T2612" i="12"/>
  <c r="T2614" i="12"/>
  <c r="T2616" i="12"/>
  <c r="T2618" i="12"/>
  <c r="T2620" i="12"/>
  <c r="T2622" i="12"/>
  <c r="T2624" i="12"/>
  <c r="T2626" i="12"/>
  <c r="T2628" i="12"/>
  <c r="T2630" i="12"/>
  <c r="T2632" i="12"/>
  <c r="T2634" i="12"/>
  <c r="T2636" i="12"/>
  <c r="T2638" i="12"/>
  <c r="T2640" i="12"/>
  <c r="T2642" i="12"/>
  <c r="T2644" i="12"/>
  <c r="T2646" i="12"/>
  <c r="T2648" i="12"/>
  <c r="T2650" i="12"/>
  <c r="T2652" i="12"/>
  <c r="T2654" i="12"/>
  <c r="T2656" i="12"/>
  <c r="T2658" i="12"/>
  <c r="T2660" i="12"/>
  <c r="T2662" i="12"/>
  <c r="T2664" i="12"/>
  <c r="T2666" i="12"/>
  <c r="T2668" i="12"/>
  <c r="T2670" i="12"/>
  <c r="T2672" i="12"/>
  <c r="T2674" i="12"/>
  <c r="T2676" i="12"/>
  <c r="T2678" i="12"/>
  <c r="T2680" i="12"/>
  <c r="T2682" i="12"/>
  <c r="T2684" i="12"/>
  <c r="T2686" i="12"/>
  <c r="T2688" i="12"/>
  <c r="T2690" i="12"/>
  <c r="T2692" i="12"/>
  <c r="T2694" i="12"/>
  <c r="T2696" i="12"/>
  <c r="T2698" i="12"/>
  <c r="T2700" i="12"/>
  <c r="T2702" i="12"/>
  <c r="T2704" i="12"/>
  <c r="T2706" i="12"/>
  <c r="T2708" i="12"/>
  <c r="T2710" i="12"/>
  <c r="T2712" i="12"/>
  <c r="T2714" i="12"/>
  <c r="T2716" i="12"/>
  <c r="T2718" i="12"/>
  <c r="T2720" i="12"/>
  <c r="T2722" i="12"/>
  <c r="T2724" i="12"/>
  <c r="T2726" i="12"/>
  <c r="T2728" i="12"/>
  <c r="T2730" i="12"/>
  <c r="T2732" i="12"/>
  <c r="T2734" i="12"/>
  <c r="T2736" i="12"/>
  <c r="T2738" i="12"/>
  <c r="T2740" i="12"/>
  <c r="T2742" i="12"/>
  <c r="T2744" i="12"/>
  <c r="T2746" i="12"/>
  <c r="T2748" i="12"/>
  <c r="T2750" i="12"/>
  <c r="T2752" i="12"/>
  <c r="T2754" i="12"/>
  <c r="T2756" i="12"/>
  <c r="T2758" i="12"/>
  <c r="T2760" i="12"/>
  <c r="T2762" i="12"/>
  <c r="T2764" i="12"/>
  <c r="T2766" i="12"/>
  <c r="T2768" i="12"/>
  <c r="T2770" i="12"/>
  <c r="T2772" i="12"/>
  <c r="T2774" i="12"/>
  <c r="T2776" i="12"/>
  <c r="T2778" i="12"/>
  <c r="T2780" i="12"/>
  <c r="T2782" i="12"/>
  <c r="T2784" i="12"/>
  <c r="T2786" i="12"/>
  <c r="T2788" i="12"/>
  <c r="T2790" i="12"/>
  <c r="T2792" i="12"/>
  <c r="T2794" i="12"/>
  <c r="T2796" i="12"/>
  <c r="T2798" i="12"/>
  <c r="T2800" i="12"/>
  <c r="T2802" i="12"/>
  <c r="T2804" i="12"/>
  <c r="T2806" i="12"/>
  <c r="T2808" i="12"/>
  <c r="T2810" i="12"/>
  <c r="T2812" i="12"/>
  <c r="T2814" i="12"/>
  <c r="T2816" i="12"/>
  <c r="T2818" i="12"/>
  <c r="T2820" i="12"/>
  <c r="T2822" i="12"/>
  <c r="T2824" i="12"/>
  <c r="T2826" i="12"/>
  <c r="T2828" i="12"/>
  <c r="T2830" i="12"/>
  <c r="T2832" i="12"/>
  <c r="T2834" i="12"/>
  <c r="T2836" i="12"/>
  <c r="T2838" i="12"/>
  <c r="T2840" i="12"/>
  <c r="T2842" i="12"/>
  <c r="T2844" i="12"/>
  <c r="T2846" i="12"/>
  <c r="T2848" i="12"/>
  <c r="T2850" i="12"/>
  <c r="T2852" i="12"/>
  <c r="T2854" i="12"/>
  <c r="T2856" i="12"/>
  <c r="T2858" i="12"/>
  <c r="T2860" i="12"/>
  <c r="T2862" i="12"/>
  <c r="T2864" i="12"/>
  <c r="T2866" i="12"/>
  <c r="T2868" i="12"/>
  <c r="T2870" i="12"/>
  <c r="T2872" i="12"/>
  <c r="T2874" i="12"/>
  <c r="T2876" i="12"/>
  <c r="T2878" i="12"/>
  <c r="T2880" i="12"/>
  <c r="T2882" i="12"/>
  <c r="T2884" i="12"/>
  <c r="T2886" i="12"/>
  <c r="T2888" i="12"/>
  <c r="T2890" i="12"/>
  <c r="T2892" i="12"/>
  <c r="T2894" i="12"/>
  <c r="T2896" i="12"/>
  <c r="T2898" i="12"/>
  <c r="T2900" i="12"/>
  <c r="T2902" i="12"/>
  <c r="T2904" i="12"/>
  <c r="T2906" i="12"/>
  <c r="T2908" i="12"/>
  <c r="T2910" i="12"/>
  <c r="T2912" i="12"/>
  <c r="T2914" i="12"/>
  <c r="T2916" i="12"/>
  <c r="T2918" i="12"/>
  <c r="T2920" i="12"/>
  <c r="T2922" i="12"/>
  <c r="T2924" i="12"/>
  <c r="T2926" i="12"/>
  <c r="T2928" i="12"/>
  <c r="T2930" i="12"/>
  <c r="T2932" i="12"/>
  <c r="T2934" i="12"/>
  <c r="T2936" i="12"/>
  <c r="T2938" i="12"/>
  <c r="T2940" i="12"/>
  <c r="T2942" i="12"/>
  <c r="T2944" i="12"/>
  <c r="T2946" i="12"/>
  <c r="T2948" i="12"/>
  <c r="T2950" i="12"/>
  <c r="T2952" i="12"/>
  <c r="T2954" i="12"/>
  <c r="T2956" i="12"/>
  <c r="T2958" i="12"/>
  <c r="T2960" i="12"/>
  <c r="T2962" i="12"/>
  <c r="T2964" i="12"/>
  <c r="T2966" i="12"/>
  <c r="T2968" i="12"/>
  <c r="T2970" i="12"/>
  <c r="T2972" i="12"/>
  <c r="T2974" i="12"/>
  <c r="T2976" i="12"/>
  <c r="T2978" i="12"/>
  <c r="T2980" i="12"/>
  <c r="T2982" i="12"/>
  <c r="T2984" i="12"/>
  <c r="T2986" i="12"/>
  <c r="T2988" i="12"/>
  <c r="T2990" i="12"/>
  <c r="T2992" i="12"/>
  <c r="T2994" i="12"/>
  <c r="T2996" i="12"/>
  <c r="T2998" i="12"/>
  <c r="T3000" i="12"/>
  <c r="T3002" i="12"/>
  <c r="T3004" i="12"/>
  <c r="T3006" i="12"/>
  <c r="T3008" i="12"/>
  <c r="T3010" i="12"/>
  <c r="T3012" i="12"/>
  <c r="T3014" i="12"/>
  <c r="T3016" i="12"/>
  <c r="T3018" i="12"/>
  <c r="T3020" i="12"/>
  <c r="T3022" i="12"/>
  <c r="T3024" i="12"/>
  <c r="T3026" i="12"/>
  <c r="T3028" i="12"/>
  <c r="T3030" i="12"/>
  <c r="T3032" i="12"/>
  <c r="T3034" i="12"/>
  <c r="T3036" i="12"/>
  <c r="T3038" i="12"/>
  <c r="T3040" i="12"/>
  <c r="T3042" i="12"/>
  <c r="T3044" i="12"/>
  <c r="T3046" i="12"/>
  <c r="T3048" i="12"/>
  <c r="T3050" i="12"/>
  <c r="T3052" i="12"/>
  <c r="T3054" i="12"/>
  <c r="T3056" i="12"/>
  <c r="T3058" i="12"/>
  <c r="T3060" i="12"/>
  <c r="T3062" i="12"/>
  <c r="T3064" i="12"/>
  <c r="T3066" i="12"/>
  <c r="T3068" i="12"/>
  <c r="T3070" i="12"/>
  <c r="T3072" i="12"/>
  <c r="T3074" i="12"/>
  <c r="T3076" i="12"/>
  <c r="T3078" i="12"/>
  <c r="T3080" i="12"/>
  <c r="T3082" i="12"/>
  <c r="T3084" i="12"/>
  <c r="T3086" i="12"/>
  <c r="T3088" i="12"/>
  <c r="T3090" i="12"/>
  <c r="T3092" i="12"/>
  <c r="T3094" i="12"/>
  <c r="T3096" i="12"/>
  <c r="T3098" i="12"/>
  <c r="T3100" i="12"/>
  <c r="T3102" i="12"/>
  <c r="T3104" i="12"/>
  <c r="T3106" i="12"/>
  <c r="T3108" i="12"/>
  <c r="T3110" i="12"/>
  <c r="T3112" i="12"/>
  <c r="T3114" i="12"/>
  <c r="T3116" i="12"/>
  <c r="T3118" i="12"/>
  <c r="T3120" i="12"/>
  <c r="T3122" i="12"/>
  <c r="T3124" i="12"/>
  <c r="T3126" i="12"/>
  <c r="T3128" i="12"/>
  <c r="T3130" i="12"/>
  <c r="T3132" i="12"/>
  <c r="T3134" i="12"/>
  <c r="T3136" i="12"/>
  <c r="T3138" i="12"/>
  <c r="T3140" i="12"/>
  <c r="T3142" i="12"/>
  <c r="T3144" i="12"/>
  <c r="T3146" i="12"/>
  <c r="T3148" i="12"/>
  <c r="T3150" i="12"/>
  <c r="T3152" i="12"/>
  <c r="T3154" i="12"/>
  <c r="T3156" i="12"/>
  <c r="T3158" i="12"/>
  <c r="T3160" i="12"/>
  <c r="T3162" i="12"/>
  <c r="T3164" i="12"/>
  <c r="T3166" i="12"/>
  <c r="T3168" i="12"/>
  <c r="T3170" i="12"/>
  <c r="T3172" i="12"/>
  <c r="T3174" i="12"/>
  <c r="T3176" i="12"/>
  <c r="T3178" i="12"/>
  <c r="T3180" i="12"/>
  <c r="T3182" i="12"/>
  <c r="T3184" i="12"/>
  <c r="T3186" i="12"/>
  <c r="T3188" i="12"/>
  <c r="T3190" i="12"/>
  <c r="T3192" i="12"/>
  <c r="T3194" i="12"/>
  <c r="T3196" i="12"/>
  <c r="T3198" i="12"/>
  <c r="T3200" i="12"/>
  <c r="T3202" i="12"/>
  <c r="T3204" i="12"/>
  <c r="T3206" i="12"/>
  <c r="T3208" i="12"/>
  <c r="T3210" i="12"/>
  <c r="T3212" i="12"/>
  <c r="T3214" i="12"/>
  <c r="T3216" i="12"/>
  <c r="T3218" i="12"/>
  <c r="T3220" i="12"/>
  <c r="T3222" i="12"/>
  <c r="T3224" i="12"/>
  <c r="T3226" i="12"/>
  <c r="T3228" i="12"/>
  <c r="T3230" i="12"/>
  <c r="T3232" i="12"/>
  <c r="T3234" i="12"/>
  <c r="T3236" i="12"/>
  <c r="T3238" i="12"/>
  <c r="T3240" i="12"/>
  <c r="T3242" i="12"/>
  <c r="T3244" i="12"/>
  <c r="T3246" i="12"/>
  <c r="T3248" i="12"/>
  <c r="T3250" i="12"/>
  <c r="T3252" i="12"/>
  <c r="T3254" i="12"/>
  <c r="T3256" i="12"/>
  <c r="T3258" i="12"/>
  <c r="T3260" i="12"/>
  <c r="T3262" i="12"/>
  <c r="T3264" i="12"/>
  <c r="T3266" i="12"/>
  <c r="T3268" i="12"/>
  <c r="T3270" i="12"/>
  <c r="T3272" i="12"/>
  <c r="T3274" i="12"/>
  <c r="T3276" i="12"/>
  <c r="T3278" i="12"/>
  <c r="T3280" i="12"/>
  <c r="T3282" i="12"/>
  <c r="T3284" i="12"/>
  <c r="T3286" i="12"/>
  <c r="T3288" i="12"/>
  <c r="T3290" i="12"/>
  <c r="T3292" i="12"/>
  <c r="T3294" i="12"/>
  <c r="T3296" i="12"/>
  <c r="T3298" i="12"/>
  <c r="T3300" i="12"/>
  <c r="T3302" i="12"/>
  <c r="T3304" i="12"/>
  <c r="T3306" i="12"/>
  <c r="T3308" i="12"/>
  <c r="T3310" i="12"/>
  <c r="T3312" i="12"/>
  <c r="T3314" i="12"/>
  <c r="T3316" i="12"/>
  <c r="T3318" i="12"/>
  <c r="T3320" i="12"/>
  <c r="T3322" i="12"/>
  <c r="T3324" i="12"/>
  <c r="T3326" i="12"/>
  <c r="T3328" i="12"/>
  <c r="T3330" i="12"/>
  <c r="T3332" i="12"/>
  <c r="T3334" i="12"/>
  <c r="T3336" i="12"/>
  <c r="T3338" i="12"/>
  <c r="T3340" i="12"/>
  <c r="T3342" i="12"/>
  <c r="T3344" i="12"/>
  <c r="T3346" i="12"/>
  <c r="T3348" i="12"/>
  <c r="T3350" i="12"/>
  <c r="T3352" i="12"/>
  <c r="T3354" i="12"/>
  <c r="T3356" i="12"/>
  <c r="T3358" i="12"/>
  <c r="T3360" i="12"/>
  <c r="T3362" i="12"/>
  <c r="T3364" i="12"/>
  <c r="T3366" i="12"/>
  <c r="T3368" i="12"/>
  <c r="T3370" i="12"/>
  <c r="T3372" i="12"/>
  <c r="T3374" i="12"/>
  <c r="T3376" i="12"/>
  <c r="T3378" i="12"/>
  <c r="T3380" i="12"/>
  <c r="T3382" i="12"/>
  <c r="T3384" i="12"/>
  <c r="T3386" i="12"/>
  <c r="T3388" i="12"/>
  <c r="T3390" i="12"/>
  <c r="T3392" i="12"/>
  <c r="T3394" i="12"/>
  <c r="T3396" i="12"/>
  <c r="T3398" i="12"/>
  <c r="T3400" i="12"/>
  <c r="T3402" i="12"/>
  <c r="T3404" i="12"/>
  <c r="T3406" i="12"/>
  <c r="T3408" i="12"/>
  <c r="T3410" i="12"/>
  <c r="T3412" i="12"/>
  <c r="T3414" i="12"/>
  <c r="T3416" i="12"/>
  <c r="T3418" i="12"/>
  <c r="T3420" i="12"/>
  <c r="T3422" i="12"/>
  <c r="T3424" i="12"/>
  <c r="T3426" i="12"/>
  <c r="T3428" i="12"/>
  <c r="T3430" i="12"/>
  <c r="T3432" i="12"/>
  <c r="T3434" i="12"/>
  <c r="T3436" i="12"/>
  <c r="T3438" i="12"/>
  <c r="T3440" i="12"/>
  <c r="T3442" i="12"/>
  <c r="T3444" i="12"/>
  <c r="T3446" i="12"/>
  <c r="T3448" i="12"/>
  <c r="T3450" i="12"/>
  <c r="T3452" i="12"/>
  <c r="T3454" i="12"/>
  <c r="T3456" i="12"/>
  <c r="T3458" i="12"/>
  <c r="T3460" i="12"/>
  <c r="T3462" i="12"/>
  <c r="T3464" i="12"/>
  <c r="T3466" i="12"/>
  <c r="T3468" i="12"/>
  <c r="T3470" i="12"/>
  <c r="T3472" i="12"/>
  <c r="T3474" i="12"/>
  <c r="T3476" i="12"/>
  <c r="T3478" i="12"/>
  <c r="T3480" i="12"/>
  <c r="T3482" i="12"/>
  <c r="T3484" i="12"/>
  <c r="T3486" i="12"/>
  <c r="T3488" i="12"/>
  <c r="T3490" i="12"/>
  <c r="T3492" i="12"/>
  <c r="T3494" i="12"/>
  <c r="T3496" i="12"/>
  <c r="T3498" i="12"/>
  <c r="T3500" i="12"/>
  <c r="T3502" i="12"/>
  <c r="T3504" i="12"/>
  <c r="T3506" i="12"/>
  <c r="T3508" i="12"/>
  <c r="T3510" i="12"/>
  <c r="T3512" i="12"/>
  <c r="T3514" i="12"/>
  <c r="T3516" i="12"/>
  <c r="T3518" i="12"/>
  <c r="T3520" i="12"/>
  <c r="T3522" i="12"/>
  <c r="T3524" i="12"/>
  <c r="T3526" i="12"/>
  <c r="T3528" i="12"/>
  <c r="T3530" i="12"/>
  <c r="T3532" i="12"/>
  <c r="T3534" i="12"/>
  <c r="T3536" i="12"/>
  <c r="T3538" i="12"/>
  <c r="T3540" i="12"/>
  <c r="T3542" i="12"/>
  <c r="T3544" i="12"/>
  <c r="T3546" i="12"/>
  <c r="T3548" i="12"/>
  <c r="T3550" i="12"/>
  <c r="T3552" i="12"/>
  <c r="T3554" i="12"/>
  <c r="T3556" i="12"/>
  <c r="T3558" i="12"/>
  <c r="T3560" i="12"/>
  <c r="T3562" i="12"/>
  <c r="T3564" i="12"/>
  <c r="T3566" i="12"/>
  <c r="T3568" i="12"/>
  <c r="T3570" i="12"/>
  <c r="T3572" i="12"/>
  <c r="T3574" i="12"/>
  <c r="T3576" i="12"/>
  <c r="T3578" i="12"/>
  <c r="T3580" i="12"/>
  <c r="T3582" i="12"/>
  <c r="T3584" i="12"/>
  <c r="T3586" i="12"/>
  <c r="T3588" i="12"/>
  <c r="T3590" i="12"/>
  <c r="T3592" i="12"/>
  <c r="T3594" i="12"/>
  <c r="T3596" i="12"/>
  <c r="T3598" i="12"/>
  <c r="T3600" i="12"/>
  <c r="T3602" i="12"/>
  <c r="T3604" i="12"/>
  <c r="T3606" i="12"/>
  <c r="T3608" i="12"/>
  <c r="S10" i="12"/>
  <c r="S12" i="12"/>
  <c r="S14" i="12"/>
  <c r="S16" i="12"/>
  <c r="S18" i="12"/>
  <c r="S20" i="12"/>
  <c r="S22" i="12"/>
  <c r="S24" i="12"/>
  <c r="S26" i="12"/>
  <c r="S28" i="12"/>
  <c r="S30" i="12"/>
  <c r="S32" i="12"/>
  <c r="S34" i="12"/>
  <c r="S36" i="12"/>
  <c r="S38" i="12"/>
  <c r="S40" i="12"/>
  <c r="S42" i="12"/>
  <c r="S44" i="12"/>
  <c r="S46" i="12"/>
  <c r="S48" i="12"/>
  <c r="S50" i="12"/>
  <c r="S52" i="12"/>
  <c r="S54" i="12"/>
  <c r="S56" i="12"/>
  <c r="S58" i="12"/>
  <c r="S60" i="12"/>
  <c r="S62" i="12"/>
  <c r="S64" i="12"/>
  <c r="S66" i="12"/>
  <c r="S68" i="12"/>
  <c r="S70" i="12"/>
  <c r="S72" i="12"/>
  <c r="S74" i="12"/>
  <c r="S76" i="12"/>
  <c r="S78" i="12"/>
  <c r="S80" i="12"/>
  <c r="S82" i="12"/>
  <c r="S84" i="12"/>
  <c r="S86" i="12"/>
  <c r="S88" i="12"/>
  <c r="S90" i="12"/>
  <c r="S92" i="12"/>
  <c r="S94" i="12"/>
  <c r="S96" i="12"/>
  <c r="S98" i="12"/>
  <c r="S100" i="12"/>
  <c r="S102" i="12"/>
  <c r="S104" i="12"/>
  <c r="S106" i="12"/>
  <c r="S108" i="12"/>
  <c r="S110" i="12"/>
  <c r="S112" i="12"/>
  <c r="S114" i="12"/>
  <c r="S116" i="12"/>
  <c r="S118" i="12"/>
  <c r="S120" i="12"/>
  <c r="S122" i="12"/>
  <c r="S124" i="12"/>
  <c r="S126" i="12"/>
  <c r="S128" i="12"/>
  <c r="S130" i="12"/>
  <c r="S132" i="12"/>
  <c r="S134" i="12"/>
  <c r="S136" i="12"/>
  <c r="S138" i="12"/>
  <c r="S140" i="12"/>
  <c r="S142" i="12"/>
  <c r="S144" i="12"/>
  <c r="S146" i="12"/>
  <c r="S148" i="12"/>
  <c r="S150" i="12"/>
  <c r="S152" i="12"/>
  <c r="S154" i="12"/>
  <c r="S156" i="12"/>
  <c r="S158" i="12"/>
  <c r="S160" i="12"/>
  <c r="S162" i="12"/>
  <c r="S164" i="12"/>
  <c r="S166" i="12"/>
  <c r="S168" i="12"/>
  <c r="S170" i="12"/>
  <c r="S172" i="12"/>
  <c r="S174" i="12"/>
  <c r="S176" i="12"/>
  <c r="S178" i="12"/>
  <c r="S180" i="12"/>
  <c r="S182" i="12"/>
  <c r="S184" i="12"/>
  <c r="S186" i="12"/>
  <c r="S188" i="12"/>
  <c r="S190" i="12"/>
  <c r="S192" i="12"/>
  <c r="S194" i="12"/>
  <c r="S196" i="12"/>
  <c r="S198" i="12"/>
  <c r="S200" i="12"/>
  <c r="S202" i="12"/>
  <c r="S204" i="12"/>
  <c r="S206" i="12"/>
  <c r="S208" i="12"/>
  <c r="S210" i="12"/>
  <c r="S212" i="12"/>
  <c r="S214" i="12"/>
  <c r="S216" i="12"/>
  <c r="S218" i="12"/>
  <c r="S220" i="12"/>
  <c r="S222" i="12"/>
  <c r="S224" i="12"/>
  <c r="S226" i="12"/>
  <c r="S228" i="12"/>
  <c r="S230" i="12"/>
  <c r="S232" i="12"/>
  <c r="S234" i="12"/>
  <c r="S236" i="12"/>
  <c r="S238" i="12"/>
  <c r="S240" i="12"/>
  <c r="S242" i="12"/>
  <c r="S244" i="12"/>
  <c r="S246" i="12"/>
  <c r="S248" i="12"/>
  <c r="S250" i="12"/>
  <c r="S252" i="12"/>
  <c r="S254" i="12"/>
  <c r="S256" i="12"/>
  <c r="S258" i="12"/>
  <c r="S260" i="12"/>
  <c r="S262" i="12"/>
  <c r="S264" i="12"/>
  <c r="S266" i="12"/>
  <c r="S268" i="12"/>
  <c r="S270" i="12"/>
  <c r="S272" i="12"/>
  <c r="S274" i="12"/>
  <c r="S276" i="12"/>
  <c r="S278" i="12"/>
  <c r="S280" i="12"/>
  <c r="S282" i="12"/>
  <c r="S284" i="12"/>
  <c r="S286" i="12"/>
  <c r="S288" i="12"/>
  <c r="S290" i="12"/>
  <c r="S292" i="12"/>
  <c r="S294" i="12"/>
  <c r="S296" i="12"/>
  <c r="S298" i="12"/>
  <c r="S300" i="12"/>
  <c r="S302" i="12"/>
  <c r="S304" i="12"/>
  <c r="S306" i="12"/>
  <c r="S308" i="12"/>
  <c r="S310" i="12"/>
  <c r="S312" i="12"/>
  <c r="S314" i="12"/>
  <c r="S316" i="12"/>
  <c r="S318" i="12"/>
  <c r="S320" i="12"/>
  <c r="S322" i="12"/>
  <c r="S324" i="12"/>
  <c r="S326" i="12"/>
  <c r="S328" i="12"/>
  <c r="S330" i="12"/>
  <c r="S332" i="12"/>
  <c r="S334" i="12"/>
  <c r="S336" i="12"/>
  <c r="S338" i="12"/>
  <c r="S340" i="12"/>
  <c r="S342" i="12"/>
  <c r="S344" i="12"/>
  <c r="S346" i="12"/>
  <c r="S348" i="12"/>
  <c r="S350" i="12"/>
  <c r="S352" i="12"/>
  <c r="S354" i="12"/>
  <c r="S356" i="12"/>
  <c r="S358" i="12"/>
  <c r="S360" i="12"/>
  <c r="S362" i="12"/>
  <c r="S364" i="12"/>
  <c r="S366" i="12"/>
  <c r="S368" i="12"/>
  <c r="S370" i="12"/>
  <c r="S372" i="12"/>
  <c r="S374" i="12"/>
  <c r="S376" i="12"/>
  <c r="S378" i="12"/>
  <c r="S380" i="12"/>
  <c r="S382" i="12"/>
  <c r="S384" i="12"/>
  <c r="S386" i="12"/>
  <c r="S388" i="12"/>
  <c r="S390" i="12"/>
  <c r="S392" i="12"/>
  <c r="S394" i="12"/>
  <c r="S396" i="12"/>
  <c r="S398" i="12"/>
  <c r="S400" i="12"/>
  <c r="S402" i="12"/>
  <c r="S404" i="12"/>
  <c r="S406" i="12"/>
  <c r="S408" i="12"/>
  <c r="S410" i="12"/>
  <c r="S412" i="12"/>
  <c r="S414" i="12"/>
  <c r="S416" i="12"/>
  <c r="S418" i="12"/>
  <c r="S420" i="12"/>
  <c r="S422" i="12"/>
  <c r="S424" i="12"/>
  <c r="S426" i="12"/>
  <c r="S428" i="12"/>
  <c r="S430" i="12"/>
  <c r="S432" i="12"/>
  <c r="S434" i="12"/>
  <c r="S436" i="12"/>
  <c r="S438" i="12"/>
  <c r="S440" i="12"/>
  <c r="S442" i="12"/>
  <c r="S444" i="12"/>
  <c r="S446" i="12"/>
  <c r="S448" i="12"/>
  <c r="S450" i="12"/>
  <c r="S452" i="12"/>
  <c r="S454" i="12"/>
  <c r="S456" i="12"/>
  <c r="S458" i="12"/>
  <c r="S460" i="12"/>
  <c r="S462" i="12"/>
  <c r="S464" i="12"/>
  <c r="S466" i="12"/>
  <c r="S468" i="12"/>
  <c r="S470" i="12"/>
  <c r="S472" i="12"/>
  <c r="S474" i="12"/>
  <c r="S476" i="12"/>
  <c r="S478" i="12"/>
  <c r="S480" i="12"/>
  <c r="S482" i="12"/>
  <c r="S484" i="12"/>
  <c r="S486" i="12"/>
  <c r="S488" i="12"/>
  <c r="S490" i="12"/>
  <c r="S492" i="12"/>
  <c r="S494" i="12"/>
  <c r="S496" i="12"/>
  <c r="S498" i="12"/>
  <c r="S500" i="12"/>
  <c r="S502" i="12"/>
  <c r="S504" i="12"/>
  <c r="S506" i="12"/>
  <c r="S508" i="12"/>
  <c r="S510" i="12"/>
  <c r="S512" i="12"/>
  <c r="S514" i="12"/>
  <c r="S516" i="12"/>
  <c r="S518" i="12"/>
  <c r="S520" i="12"/>
  <c r="S522" i="12"/>
  <c r="S524" i="12"/>
  <c r="S526" i="12"/>
  <c r="S528" i="12"/>
  <c r="S530" i="12"/>
  <c r="S532" i="12"/>
  <c r="S534" i="12"/>
  <c r="S536" i="12"/>
  <c r="S538" i="12"/>
  <c r="S540" i="12"/>
  <c r="S542" i="12"/>
  <c r="S544" i="12"/>
  <c r="S546" i="12"/>
  <c r="S548" i="12"/>
  <c r="S550" i="12"/>
  <c r="S552" i="12"/>
  <c r="S554" i="12"/>
  <c r="S556" i="12"/>
  <c r="S558" i="12"/>
  <c r="S560" i="12"/>
  <c r="S562" i="12"/>
  <c r="S564" i="12"/>
  <c r="S566" i="12"/>
  <c r="S568" i="12"/>
  <c r="S570" i="12"/>
  <c r="S572" i="12"/>
  <c r="S574" i="12"/>
  <c r="S576" i="12"/>
  <c r="S578" i="12"/>
  <c r="S580" i="12"/>
  <c r="S582" i="12"/>
  <c r="S584" i="12"/>
  <c r="S586" i="12"/>
  <c r="S588" i="12"/>
  <c r="S590" i="12"/>
  <c r="S592" i="12"/>
  <c r="S594" i="12"/>
  <c r="S596" i="12"/>
  <c r="S598" i="12"/>
  <c r="S600" i="12"/>
  <c r="S602" i="12"/>
  <c r="S604" i="12"/>
  <c r="S606" i="12"/>
  <c r="S608" i="12"/>
  <c r="S610" i="12"/>
  <c r="S612" i="12"/>
  <c r="S614" i="12"/>
  <c r="S616" i="12"/>
  <c r="S618" i="12"/>
  <c r="S620" i="12"/>
  <c r="S622" i="12"/>
  <c r="S624" i="12"/>
  <c r="S626" i="12"/>
  <c r="S628" i="12"/>
  <c r="S630" i="12"/>
  <c r="S632" i="12"/>
  <c r="S634" i="12"/>
  <c r="S636" i="12"/>
  <c r="S638" i="12"/>
  <c r="S640" i="12"/>
  <c r="S642" i="12"/>
  <c r="S644" i="12"/>
  <c r="S646" i="12"/>
  <c r="S648" i="12"/>
  <c r="S650" i="12"/>
  <c r="S652" i="12"/>
  <c r="S654" i="12"/>
  <c r="S656" i="12"/>
  <c r="S658" i="12"/>
  <c r="S660" i="12"/>
  <c r="S662" i="12"/>
  <c r="S664" i="12"/>
  <c r="S666" i="12"/>
  <c r="S668" i="12"/>
  <c r="S670" i="12"/>
  <c r="S672" i="12"/>
  <c r="S674" i="12"/>
  <c r="S676" i="12"/>
  <c r="S678" i="12"/>
  <c r="S680" i="12"/>
  <c r="S682" i="12"/>
  <c r="S684" i="12"/>
  <c r="S686" i="12"/>
  <c r="S688" i="12"/>
  <c r="S690" i="12"/>
  <c r="S692" i="12"/>
  <c r="S694" i="12"/>
  <c r="S696" i="12"/>
  <c r="S698" i="12"/>
  <c r="S700" i="12"/>
  <c r="S702" i="12"/>
  <c r="S704" i="12"/>
  <c r="S706" i="12"/>
  <c r="S708" i="12"/>
  <c r="S710" i="12"/>
  <c r="S712" i="12"/>
  <c r="S714" i="12"/>
  <c r="S716" i="12"/>
  <c r="S718" i="12"/>
  <c r="S720" i="12"/>
  <c r="S722" i="12"/>
  <c r="S724" i="12"/>
  <c r="S726" i="12"/>
  <c r="S728" i="12"/>
  <c r="S730" i="12"/>
  <c r="S732" i="12"/>
  <c r="S734" i="12"/>
  <c r="S736" i="12"/>
  <c r="S738" i="12"/>
  <c r="S740" i="12"/>
  <c r="S742" i="12"/>
  <c r="S744" i="12"/>
  <c r="S746" i="12"/>
  <c r="S748" i="12"/>
  <c r="S750" i="12"/>
  <c r="S752" i="12"/>
  <c r="S754" i="12"/>
  <c r="S756" i="12"/>
  <c r="S758" i="12"/>
  <c r="S760" i="12"/>
  <c r="S762" i="12"/>
  <c r="S764" i="12"/>
  <c r="S766" i="12"/>
  <c r="S768" i="12"/>
  <c r="S770" i="12"/>
  <c r="S772" i="12"/>
  <c r="S774" i="12"/>
  <c r="S776" i="12"/>
  <c r="S778" i="12"/>
  <c r="S780" i="12"/>
  <c r="S782" i="12"/>
  <c r="S784" i="12"/>
  <c r="S786" i="12"/>
  <c r="S788" i="12"/>
  <c r="S790" i="12"/>
  <c r="S792" i="12"/>
  <c r="S794" i="12"/>
  <c r="S796" i="12"/>
  <c r="S798" i="12"/>
  <c r="S800" i="12"/>
  <c r="S802" i="12"/>
  <c r="S804" i="12"/>
  <c r="S806" i="12"/>
  <c r="S808" i="12"/>
  <c r="S810" i="12"/>
  <c r="S812" i="12"/>
  <c r="S814" i="12"/>
  <c r="S816" i="12"/>
  <c r="S818" i="12"/>
  <c r="S820" i="12"/>
  <c r="S822" i="12"/>
  <c r="S824" i="12"/>
  <c r="S826" i="12"/>
  <c r="S828" i="12"/>
  <c r="S830" i="12"/>
  <c r="S832" i="12"/>
  <c r="S834" i="12"/>
  <c r="S836" i="12"/>
  <c r="S838" i="12"/>
  <c r="S840" i="12"/>
  <c r="S842" i="12"/>
  <c r="S844" i="12"/>
  <c r="S846" i="12"/>
  <c r="S848" i="12"/>
  <c r="S850" i="12"/>
  <c r="S852" i="12"/>
  <c r="S854" i="12"/>
  <c r="S856" i="12"/>
  <c r="S858" i="12"/>
  <c r="S860" i="12"/>
  <c r="S862" i="12"/>
  <c r="S864" i="12"/>
  <c r="S866" i="12"/>
  <c r="S868" i="12"/>
  <c r="S870" i="12"/>
  <c r="S872" i="12"/>
  <c r="S874" i="12"/>
  <c r="S876" i="12"/>
  <c r="S878" i="12"/>
  <c r="S880" i="12"/>
  <c r="S882" i="12"/>
  <c r="S884" i="12"/>
  <c r="S886" i="12"/>
  <c r="S888" i="12"/>
  <c r="S890" i="12"/>
  <c r="S892" i="12"/>
  <c r="S894" i="12"/>
  <c r="S896" i="12"/>
  <c r="S898" i="12"/>
  <c r="S900" i="12"/>
  <c r="S902" i="12"/>
  <c r="S904" i="12"/>
  <c r="S906" i="12"/>
  <c r="S908" i="12"/>
  <c r="S910" i="12"/>
  <c r="S912" i="12"/>
  <c r="S914" i="12"/>
  <c r="S916" i="12"/>
  <c r="S918" i="12"/>
  <c r="S920" i="12"/>
  <c r="S922" i="12"/>
  <c r="S924" i="12"/>
  <c r="S926" i="12"/>
  <c r="S928" i="12"/>
  <c r="S930" i="12"/>
  <c r="S932" i="12"/>
  <c r="S934" i="12"/>
  <c r="S936" i="12"/>
  <c r="S938" i="12"/>
  <c r="S940" i="12"/>
  <c r="S942" i="12"/>
  <c r="S944" i="12"/>
  <c r="S946" i="12"/>
  <c r="S948" i="12"/>
  <c r="S950" i="12"/>
  <c r="S952" i="12"/>
  <c r="S954" i="12"/>
  <c r="S956" i="12"/>
  <c r="S958" i="12"/>
  <c r="S960" i="12"/>
  <c r="S962" i="12"/>
  <c r="S964" i="12"/>
  <c r="S966" i="12"/>
  <c r="S968" i="12"/>
  <c r="S970" i="12"/>
  <c r="S972" i="12"/>
  <c r="S974" i="12"/>
  <c r="S976" i="12"/>
  <c r="S978" i="12"/>
  <c r="S980" i="12"/>
  <c r="S982" i="12"/>
  <c r="S984" i="12"/>
  <c r="S986" i="12"/>
  <c r="S988" i="12"/>
  <c r="S990" i="12"/>
  <c r="S992" i="12"/>
  <c r="S994" i="12"/>
  <c r="S996" i="12"/>
  <c r="S998" i="12"/>
  <c r="S1000" i="12"/>
  <c r="S1002" i="12"/>
  <c r="S1004" i="12"/>
  <c r="S1006" i="12"/>
  <c r="S1008" i="12"/>
  <c r="S1010" i="12"/>
  <c r="S1012" i="12"/>
  <c r="S1014" i="12"/>
  <c r="S1016" i="12"/>
  <c r="S1018" i="12"/>
  <c r="S1020" i="12"/>
  <c r="S1022" i="12"/>
  <c r="S1024" i="12"/>
  <c r="S1026" i="12"/>
  <c r="S1028" i="12"/>
  <c r="S1030" i="12"/>
  <c r="S1032" i="12"/>
  <c r="S1034" i="12"/>
  <c r="S1036" i="12"/>
  <c r="S1038" i="12"/>
  <c r="S1040" i="12"/>
  <c r="S1042" i="12"/>
  <c r="S1044" i="12"/>
  <c r="S1046" i="12"/>
  <c r="S1048" i="12"/>
  <c r="S1050" i="12"/>
  <c r="S1052" i="12"/>
  <c r="S1054" i="12"/>
  <c r="S1056" i="12"/>
  <c r="S1058" i="12"/>
  <c r="S1060" i="12"/>
  <c r="S1062" i="12"/>
  <c r="S1064" i="12"/>
  <c r="S1066" i="12"/>
  <c r="S1068" i="12"/>
  <c r="S1070" i="12"/>
  <c r="S1072" i="12"/>
  <c r="S1074" i="12"/>
  <c r="S1076" i="12"/>
  <c r="S1078" i="12"/>
  <c r="S1080" i="12"/>
  <c r="S1082" i="12"/>
  <c r="S1084" i="12"/>
  <c r="S1086" i="12"/>
  <c r="S1088" i="12"/>
  <c r="S1090" i="12"/>
  <c r="S1092" i="12"/>
  <c r="S1094" i="12"/>
  <c r="S1096" i="12"/>
  <c r="S1098" i="12"/>
  <c r="S1100" i="12"/>
  <c r="S1102" i="12"/>
  <c r="S1104" i="12"/>
  <c r="S1106" i="12"/>
  <c r="S1108" i="12"/>
  <c r="S1110" i="12"/>
  <c r="S1112" i="12"/>
  <c r="S1114" i="12"/>
  <c r="S1116" i="12"/>
  <c r="S1118" i="12"/>
  <c r="S1120" i="12"/>
  <c r="S1122" i="12"/>
  <c r="S1124" i="12"/>
  <c r="S1126" i="12"/>
  <c r="S1128" i="12"/>
  <c r="S1130" i="12"/>
  <c r="S1132" i="12"/>
  <c r="S1134" i="12"/>
  <c r="S1136" i="12"/>
  <c r="S1138" i="12"/>
  <c r="S1140" i="12"/>
  <c r="S1142" i="12"/>
  <c r="S1144" i="12"/>
  <c r="S1146" i="12"/>
  <c r="S1148" i="12"/>
  <c r="S1150" i="12"/>
  <c r="S1152" i="12"/>
  <c r="S1154" i="12"/>
  <c r="S1156" i="12"/>
  <c r="S1158" i="12"/>
  <c r="S1160" i="12"/>
  <c r="S1162" i="12"/>
  <c r="S1164" i="12"/>
  <c r="S1166" i="12"/>
  <c r="S1168" i="12"/>
  <c r="S1170" i="12"/>
  <c r="S1172" i="12"/>
  <c r="S1174" i="12"/>
  <c r="S1176" i="12"/>
  <c r="S1178" i="12"/>
  <c r="S1180" i="12"/>
  <c r="S1182" i="12"/>
  <c r="S1184" i="12"/>
  <c r="S1186" i="12"/>
  <c r="S1188" i="12"/>
  <c r="S1190" i="12"/>
  <c r="S1192" i="12"/>
  <c r="S1194" i="12"/>
  <c r="S1196" i="12"/>
  <c r="S1198" i="12"/>
  <c r="S1200" i="12"/>
  <c r="S1202" i="12"/>
  <c r="S1204" i="12"/>
  <c r="S1206" i="12"/>
  <c r="S1208" i="12"/>
  <c r="S1210" i="12"/>
  <c r="S1212" i="12"/>
  <c r="S1214" i="12"/>
  <c r="S1216" i="12"/>
  <c r="S1218" i="12"/>
  <c r="S1220" i="12"/>
  <c r="S1222" i="12"/>
  <c r="S1224" i="12"/>
  <c r="S1226" i="12"/>
  <c r="S1228" i="12"/>
  <c r="S1230" i="12"/>
  <c r="S1232" i="12"/>
  <c r="S1234" i="12"/>
  <c r="S1236" i="12"/>
  <c r="S1238" i="12"/>
  <c r="S1240" i="12"/>
  <c r="S1242" i="12"/>
  <c r="S1244" i="12"/>
  <c r="S1246" i="12"/>
  <c r="S1248" i="12"/>
  <c r="S1250" i="12"/>
  <c r="S1252" i="12"/>
  <c r="S1254" i="12"/>
  <c r="S1256" i="12"/>
  <c r="S1258" i="12"/>
  <c r="S1260" i="12"/>
  <c r="S1262" i="12"/>
  <c r="S1264" i="12"/>
  <c r="S1266" i="12"/>
  <c r="S1268" i="12"/>
  <c r="S1270" i="12"/>
  <c r="S1272" i="12"/>
  <c r="S1274" i="12"/>
  <c r="S1276" i="12"/>
  <c r="S1278" i="12"/>
  <c r="S1280" i="12"/>
  <c r="S1282" i="12"/>
  <c r="S1284" i="12"/>
  <c r="S1286" i="12"/>
  <c r="S1288" i="12"/>
  <c r="S1290" i="12"/>
  <c r="S1292" i="12"/>
  <c r="S1294" i="12"/>
  <c r="S1296" i="12"/>
  <c r="S1298" i="12"/>
  <c r="S1300" i="12"/>
  <c r="S1302" i="12"/>
  <c r="S1304" i="12"/>
  <c r="S1306" i="12"/>
  <c r="S1308" i="12"/>
  <c r="S1310" i="12"/>
  <c r="S1312" i="12"/>
  <c r="S1314" i="12"/>
  <c r="S1316" i="12"/>
  <c r="S1318" i="12"/>
  <c r="S1320" i="12"/>
  <c r="S1322" i="12"/>
  <c r="S1324" i="12"/>
  <c r="S1326" i="12"/>
  <c r="S1328" i="12"/>
  <c r="S1330" i="12"/>
  <c r="S1332" i="12"/>
  <c r="S1334" i="12"/>
  <c r="S1336" i="12"/>
  <c r="S1338" i="12"/>
  <c r="S1340" i="12"/>
  <c r="S1342" i="12"/>
  <c r="S1344" i="12"/>
  <c r="S1346" i="12"/>
  <c r="S1348" i="12"/>
  <c r="S1350" i="12"/>
  <c r="S1352" i="12"/>
  <c r="S1354" i="12"/>
  <c r="S1356" i="12"/>
  <c r="S1358" i="12"/>
  <c r="S1360" i="12"/>
  <c r="S1362" i="12"/>
  <c r="S1364" i="12"/>
  <c r="S1366" i="12"/>
  <c r="S1368" i="12"/>
  <c r="S1370" i="12"/>
  <c r="S1372" i="12"/>
  <c r="S1374" i="12"/>
  <c r="S1376" i="12"/>
  <c r="S1378" i="12"/>
  <c r="S1380" i="12"/>
  <c r="S1382" i="12"/>
  <c r="S1384" i="12"/>
  <c r="S1386" i="12"/>
  <c r="S1388" i="12"/>
  <c r="S1390" i="12"/>
  <c r="S1392" i="12"/>
  <c r="S1394" i="12"/>
  <c r="S1396" i="12"/>
  <c r="S1398" i="12"/>
  <c r="S1400" i="12"/>
  <c r="S1402" i="12"/>
  <c r="S1404" i="12"/>
  <c r="S1406" i="12"/>
  <c r="S1408" i="12"/>
  <c r="S1410" i="12"/>
  <c r="S1412" i="12"/>
  <c r="S1414" i="12"/>
  <c r="S1416" i="12"/>
  <c r="S1418" i="12"/>
  <c r="S1420" i="12"/>
  <c r="S1422" i="12"/>
  <c r="S1424" i="12"/>
  <c r="S1426" i="12"/>
  <c r="S1428" i="12"/>
  <c r="S1430" i="12"/>
  <c r="S1432" i="12"/>
  <c r="S1434" i="12"/>
  <c r="S1436" i="12"/>
  <c r="S1438" i="12"/>
  <c r="S1440" i="12"/>
  <c r="S1442" i="12"/>
  <c r="S1444" i="12"/>
  <c r="S1446" i="12"/>
  <c r="S1448" i="12"/>
  <c r="S1450" i="12"/>
  <c r="S1452" i="12"/>
  <c r="S1454" i="12"/>
  <c r="S1456" i="12"/>
  <c r="S1458" i="12"/>
  <c r="S1460" i="12"/>
  <c r="S1462" i="12"/>
  <c r="S1464" i="12"/>
  <c r="S1466" i="12"/>
  <c r="S1468" i="12"/>
  <c r="S1470" i="12"/>
  <c r="S1472" i="12"/>
  <c r="S1474" i="12"/>
  <c r="S1476" i="12"/>
  <c r="S1478" i="12"/>
  <c r="S1480" i="12"/>
  <c r="S1482" i="12"/>
  <c r="S1484" i="12"/>
  <c r="S1486" i="12"/>
  <c r="S1488" i="12"/>
  <c r="S1490" i="12"/>
  <c r="S1492" i="12"/>
  <c r="S1494" i="12"/>
  <c r="S1496" i="12"/>
  <c r="S1498" i="12"/>
  <c r="S1500" i="12"/>
  <c r="S1502" i="12"/>
  <c r="S1504" i="12"/>
  <c r="S1506" i="12"/>
  <c r="S1508" i="12"/>
  <c r="S1510" i="12"/>
  <c r="S1512" i="12"/>
  <c r="S1514" i="12"/>
  <c r="S1516" i="12"/>
  <c r="S1518" i="12"/>
  <c r="S1520" i="12"/>
  <c r="S1522" i="12"/>
  <c r="S1524" i="12"/>
  <c r="S1526" i="12"/>
  <c r="S1528" i="12"/>
  <c r="S1530" i="12"/>
  <c r="S1532" i="12"/>
  <c r="S1534" i="12"/>
  <c r="S1536" i="12"/>
  <c r="S1538" i="12"/>
  <c r="S1540" i="12"/>
  <c r="S1542" i="12"/>
  <c r="S1544" i="12"/>
  <c r="S1546" i="12"/>
  <c r="S1548" i="12"/>
  <c r="S1550" i="12"/>
  <c r="S1552" i="12"/>
  <c r="S1554" i="12"/>
  <c r="S1556" i="12"/>
  <c r="S1558" i="12"/>
  <c r="S1560" i="12"/>
  <c r="S1562" i="12"/>
  <c r="S1564" i="12"/>
  <c r="S1566" i="12"/>
  <c r="S1568" i="12"/>
  <c r="S1570" i="12"/>
  <c r="S1572" i="12"/>
  <c r="S1574" i="12"/>
  <c r="S1576" i="12"/>
  <c r="S1578" i="12"/>
  <c r="S1580" i="12"/>
  <c r="S1582" i="12"/>
  <c r="S1584" i="12"/>
  <c r="S1586" i="12"/>
  <c r="S1588" i="12"/>
  <c r="S1590" i="12"/>
  <c r="S1592" i="12"/>
  <c r="S1594" i="12"/>
  <c r="S1596" i="12"/>
  <c r="S1598" i="12"/>
  <c r="S1600" i="12"/>
  <c r="S1602" i="12"/>
  <c r="S1604" i="12"/>
  <c r="S1606" i="12"/>
  <c r="S1608" i="12"/>
  <c r="S1610" i="12"/>
  <c r="S1612" i="12"/>
  <c r="S1614" i="12"/>
  <c r="S1616" i="12"/>
  <c r="S1618" i="12"/>
  <c r="S1620" i="12"/>
  <c r="S1622" i="12"/>
  <c r="S1624" i="12"/>
  <c r="S1626" i="12"/>
  <c r="S1628" i="12"/>
  <c r="S1630" i="12"/>
  <c r="S1632" i="12"/>
  <c r="S1634" i="12"/>
  <c r="S1636" i="12"/>
  <c r="S1638" i="12"/>
  <c r="S1640" i="12"/>
  <c r="S1642" i="12"/>
  <c r="S1644" i="12"/>
  <c r="S1646" i="12"/>
  <c r="S1648" i="12"/>
  <c r="S1650" i="12"/>
  <c r="S1652" i="12"/>
  <c r="S1654" i="12"/>
  <c r="S1656" i="12"/>
  <c r="S1658" i="12"/>
  <c r="S1660" i="12"/>
  <c r="S1662" i="12"/>
  <c r="S1664" i="12"/>
  <c r="S1666" i="12"/>
  <c r="S1668" i="12"/>
  <c r="S1670" i="12"/>
  <c r="S1672" i="12"/>
  <c r="S1674" i="12"/>
  <c r="S1676" i="12"/>
  <c r="S1678" i="12"/>
  <c r="S1680" i="12"/>
  <c r="S1682" i="12"/>
  <c r="S1684" i="12"/>
  <c r="S1686" i="12"/>
  <c r="S1688" i="12"/>
  <c r="S1690" i="12"/>
  <c r="S1692" i="12"/>
  <c r="S1694" i="12"/>
  <c r="S1696" i="12"/>
  <c r="S1698" i="12"/>
  <c r="S1700" i="12"/>
  <c r="S1702" i="12"/>
  <c r="S1704" i="12"/>
  <c r="S1706" i="12"/>
  <c r="S1708" i="12"/>
  <c r="S1710" i="12"/>
  <c r="S1712" i="12"/>
  <c r="S1714" i="12"/>
  <c r="S1716" i="12"/>
  <c r="S1718" i="12"/>
  <c r="S1720" i="12"/>
  <c r="S1722" i="12"/>
  <c r="S1724" i="12"/>
  <c r="S1726" i="12"/>
  <c r="S1728" i="12"/>
  <c r="S1730" i="12"/>
  <c r="S1732" i="12"/>
  <c r="S1734" i="12"/>
  <c r="S1736" i="12"/>
  <c r="S1738" i="12"/>
  <c r="S1740" i="12"/>
  <c r="S1742" i="12"/>
  <c r="S1744" i="12"/>
  <c r="S1746" i="12"/>
  <c r="S1748" i="12"/>
  <c r="S1750" i="12"/>
  <c r="S1752" i="12"/>
  <c r="S1754" i="12"/>
  <c r="S1756" i="12"/>
  <c r="S1758" i="12"/>
  <c r="S1760" i="12"/>
  <c r="S1762" i="12"/>
  <c r="S1764" i="12"/>
  <c r="S1766" i="12"/>
  <c r="S1768" i="12"/>
  <c r="S1770" i="12"/>
  <c r="S1772" i="12"/>
  <c r="S1774" i="12"/>
  <c r="S1776" i="12"/>
  <c r="S1778" i="12"/>
  <c r="S1780" i="12"/>
  <c r="S1782" i="12"/>
  <c r="S1784" i="12"/>
  <c r="S1786" i="12"/>
  <c r="S1788" i="12"/>
  <c r="S1790" i="12"/>
  <c r="S1792" i="12"/>
  <c r="S1794" i="12"/>
  <c r="S1796" i="12"/>
  <c r="S1798" i="12"/>
  <c r="S1800" i="12"/>
  <c r="S1802" i="12"/>
  <c r="S1804" i="12"/>
  <c r="S1806" i="12"/>
  <c r="S1808" i="12"/>
  <c r="S1810" i="12"/>
  <c r="S1812" i="12"/>
  <c r="S1814" i="12"/>
  <c r="S1816" i="12"/>
  <c r="S1818" i="12"/>
  <c r="S1820" i="12"/>
  <c r="S1822" i="12"/>
  <c r="S1824" i="12"/>
  <c r="S1826" i="12"/>
  <c r="S1828" i="12"/>
  <c r="S1830" i="12"/>
  <c r="S1832" i="12"/>
  <c r="S1834" i="12"/>
  <c r="S1836" i="12"/>
  <c r="S1838" i="12"/>
  <c r="S1840" i="12"/>
  <c r="S1842" i="12"/>
  <c r="S1844" i="12"/>
  <c r="S1846" i="12"/>
  <c r="S1848" i="12"/>
  <c r="S1850" i="12"/>
  <c r="S1852" i="12"/>
  <c r="S1854" i="12"/>
  <c r="S1856" i="12"/>
  <c r="S1858" i="12"/>
  <c r="S1860" i="12"/>
  <c r="S1862" i="12"/>
  <c r="S1864" i="12"/>
  <c r="S1866" i="12"/>
  <c r="S1868" i="12"/>
  <c r="S1870" i="12"/>
  <c r="S1872" i="12"/>
  <c r="S1874" i="12"/>
  <c r="S1876" i="12"/>
  <c r="S1878" i="12"/>
  <c r="S1880" i="12"/>
  <c r="S1882" i="12"/>
  <c r="S1884" i="12"/>
  <c r="S1886" i="12"/>
  <c r="S1888" i="12"/>
  <c r="S1890" i="12"/>
  <c r="S1892" i="12"/>
  <c r="S1894" i="12"/>
  <c r="S1896" i="12"/>
  <c r="S1898" i="12"/>
  <c r="S1900" i="12"/>
  <c r="S1902" i="12"/>
  <c r="S1904" i="12"/>
  <c r="S1906" i="12"/>
  <c r="S1908" i="12"/>
  <c r="S1910" i="12"/>
  <c r="S1912" i="12"/>
  <c r="S1914" i="12"/>
  <c r="S1916" i="12"/>
  <c r="S1918" i="12"/>
  <c r="S1920" i="12"/>
  <c r="S1922" i="12"/>
  <c r="S1924" i="12"/>
  <c r="S1926" i="12"/>
  <c r="S1928" i="12"/>
  <c r="S1930" i="12"/>
  <c r="S1932" i="12"/>
  <c r="S1934" i="12"/>
  <c r="S1936" i="12"/>
  <c r="S1938" i="12"/>
  <c r="S1940" i="12"/>
  <c r="S1942" i="12"/>
  <c r="S1944" i="12"/>
  <c r="S1946" i="12"/>
  <c r="S1948" i="12"/>
  <c r="S1950" i="12"/>
  <c r="S1952" i="12"/>
  <c r="S1954" i="12"/>
  <c r="S1956" i="12"/>
  <c r="S1958" i="12"/>
  <c r="S1960" i="12"/>
  <c r="S1962" i="12"/>
  <c r="S1964" i="12"/>
  <c r="S1966" i="12"/>
  <c r="S1968" i="12"/>
  <c r="S1970" i="12"/>
  <c r="S1972" i="12"/>
  <c r="S1974" i="12"/>
  <c r="S1976" i="12"/>
  <c r="S1978" i="12"/>
  <c r="S1980" i="12"/>
  <c r="S1982" i="12"/>
  <c r="S1984" i="12"/>
  <c r="S1986" i="12"/>
  <c r="S1988" i="12"/>
  <c r="S1990" i="12"/>
  <c r="S1992" i="12"/>
  <c r="S1994" i="12"/>
  <c r="S1996" i="12"/>
  <c r="S1998" i="12"/>
  <c r="S2000" i="12"/>
  <c r="S2002" i="12"/>
  <c r="S2004" i="12"/>
  <c r="S2006" i="12"/>
  <c r="S2008" i="12"/>
  <c r="S2010" i="12"/>
  <c r="S2012" i="12"/>
  <c r="S2014" i="12"/>
  <c r="S2016" i="12"/>
  <c r="S2018" i="12"/>
  <c r="S2020" i="12"/>
  <c r="S2022" i="12"/>
  <c r="S2024" i="12"/>
  <c r="S2026" i="12"/>
  <c r="S2028" i="12"/>
  <c r="S2030" i="12"/>
  <c r="S2032" i="12"/>
  <c r="S2034" i="12"/>
  <c r="S2036" i="12"/>
  <c r="S2038" i="12"/>
  <c r="S2040" i="12"/>
  <c r="S2042" i="12"/>
  <c r="S2044" i="12"/>
  <c r="S2046" i="12"/>
  <c r="S2048" i="12"/>
  <c r="S2050" i="12"/>
  <c r="S2052" i="12"/>
  <c r="S2054" i="12"/>
  <c r="S2056" i="12"/>
  <c r="S2058" i="12"/>
  <c r="S2060" i="12"/>
  <c r="S2062" i="12"/>
  <c r="S2064" i="12"/>
  <c r="S2066" i="12"/>
  <c r="S2068" i="12"/>
  <c r="S2070" i="12"/>
  <c r="S2072" i="12"/>
  <c r="S2074" i="12"/>
  <c r="S2076" i="12"/>
  <c r="S2078" i="12"/>
  <c r="S2080" i="12"/>
  <c r="S2082" i="12"/>
  <c r="S2084" i="12"/>
  <c r="S2086" i="12"/>
  <c r="S2088" i="12"/>
  <c r="S2090" i="12"/>
  <c r="S2092" i="12"/>
  <c r="S2094" i="12"/>
  <c r="S2096" i="12"/>
  <c r="S2098" i="12"/>
  <c r="S2100" i="12"/>
  <c r="S2102" i="12"/>
  <c r="S2104" i="12"/>
  <c r="S2106" i="12"/>
  <c r="S2108" i="12"/>
  <c r="S2110" i="12"/>
  <c r="S2112" i="12"/>
  <c r="S2114" i="12"/>
  <c r="S2116" i="12"/>
  <c r="S2118" i="12"/>
  <c r="S2120" i="12"/>
  <c r="S2122" i="12"/>
  <c r="S2124" i="12"/>
  <c r="S2126" i="12"/>
  <c r="S2128" i="12"/>
  <c r="S2130" i="12"/>
  <c r="S2132" i="12"/>
  <c r="S2134" i="12"/>
  <c r="S2136" i="12"/>
  <c r="S2138" i="12"/>
  <c r="S2140" i="12"/>
  <c r="S2142" i="12"/>
  <c r="S2144" i="12"/>
  <c r="S2146" i="12"/>
  <c r="S2148" i="12"/>
  <c r="S2150" i="12"/>
  <c r="S2152" i="12"/>
  <c r="S2154" i="12"/>
  <c r="S2156" i="12"/>
  <c r="S2158" i="12"/>
  <c r="S2160" i="12"/>
  <c r="S2162" i="12"/>
  <c r="S2164" i="12"/>
  <c r="S2166" i="12"/>
  <c r="S2168" i="12"/>
  <c r="S2170" i="12"/>
  <c r="S2172" i="12"/>
  <c r="S2174" i="12"/>
  <c r="S2176" i="12"/>
  <c r="S2178" i="12"/>
  <c r="S2180" i="12"/>
  <c r="S2182" i="12"/>
  <c r="S2184" i="12"/>
  <c r="S2186" i="12"/>
  <c r="S2188" i="12"/>
  <c r="S2190" i="12"/>
  <c r="S2192" i="12"/>
  <c r="S2194" i="12"/>
  <c r="S2196" i="12"/>
  <c r="S2198" i="12"/>
  <c r="S2200" i="12"/>
  <c r="S2202" i="12"/>
  <c r="S2204" i="12"/>
  <c r="S2206" i="12"/>
  <c r="S2208" i="12"/>
  <c r="S2210" i="12"/>
  <c r="S2212" i="12"/>
  <c r="S2214" i="12"/>
  <c r="S2216" i="12"/>
  <c r="S2218" i="12"/>
  <c r="S2220" i="12"/>
  <c r="S2222" i="12"/>
  <c r="S2224" i="12"/>
  <c r="S2226" i="12"/>
  <c r="S2228" i="12"/>
  <c r="S2230" i="12"/>
  <c r="S2232" i="12"/>
  <c r="S2234" i="12"/>
  <c r="S2236" i="12"/>
  <c r="S2238" i="12"/>
  <c r="S2240" i="12"/>
  <c r="S2242" i="12"/>
  <c r="S2244" i="12"/>
  <c r="S2246" i="12"/>
  <c r="S2248" i="12"/>
  <c r="S2250" i="12"/>
  <c r="S2252" i="12"/>
  <c r="S2254" i="12"/>
  <c r="S2256" i="12"/>
  <c r="S2258" i="12"/>
  <c r="S2260" i="12"/>
  <c r="S2262" i="12"/>
  <c r="S2264" i="12"/>
  <c r="S2266" i="12"/>
  <c r="S2268" i="12"/>
  <c r="S2270" i="12"/>
  <c r="S2272" i="12"/>
  <c r="S2274" i="12"/>
  <c r="S2276" i="12"/>
  <c r="S2278" i="12"/>
  <c r="S2280" i="12"/>
  <c r="S2282" i="12"/>
  <c r="S2284" i="12"/>
  <c r="S2286" i="12"/>
  <c r="S2288" i="12"/>
  <c r="S2290" i="12"/>
  <c r="S2292" i="12"/>
  <c r="S2294" i="12"/>
  <c r="S2296" i="12"/>
  <c r="S2298" i="12"/>
  <c r="S2300" i="12"/>
  <c r="S2302" i="12"/>
  <c r="S2304" i="12"/>
  <c r="S2306" i="12"/>
  <c r="S2308" i="12"/>
  <c r="S2310" i="12"/>
  <c r="S2312" i="12"/>
  <c r="S2314" i="12"/>
  <c r="S2316" i="12"/>
  <c r="S2318" i="12"/>
  <c r="S2320" i="12"/>
  <c r="S2322" i="12"/>
  <c r="S2324" i="12"/>
  <c r="S2326" i="12"/>
  <c r="S2328" i="12"/>
  <c r="S2330" i="12"/>
  <c r="S2332" i="12"/>
  <c r="S2334" i="12"/>
  <c r="S2336" i="12"/>
  <c r="S2338" i="12"/>
  <c r="S2340" i="12"/>
  <c r="S2342" i="12"/>
  <c r="S2344" i="12"/>
  <c r="S2346" i="12"/>
  <c r="S2348" i="12"/>
  <c r="S2350" i="12"/>
  <c r="S2352" i="12"/>
  <c r="S2354" i="12"/>
  <c r="S2356" i="12"/>
  <c r="S2358" i="12"/>
  <c r="S2360" i="12"/>
  <c r="S2362" i="12"/>
  <c r="S2364" i="12"/>
  <c r="S2366" i="12"/>
  <c r="S2368" i="12"/>
  <c r="S2370" i="12"/>
  <c r="S2372" i="12"/>
  <c r="S2374" i="12"/>
  <c r="S2376" i="12"/>
  <c r="S2378" i="12"/>
  <c r="S2380" i="12"/>
  <c r="S2382" i="12"/>
  <c r="S2384" i="12"/>
  <c r="S2386" i="12"/>
  <c r="S2388" i="12"/>
  <c r="S2390" i="12"/>
  <c r="S2392" i="12"/>
  <c r="S2394" i="12"/>
  <c r="S2396" i="12"/>
  <c r="S2398" i="12"/>
  <c r="S2400" i="12"/>
  <c r="S2402" i="12"/>
  <c r="S2404" i="12"/>
  <c r="S2406" i="12"/>
  <c r="S2408" i="12"/>
  <c r="S2410" i="12"/>
  <c r="S2412" i="12"/>
  <c r="S2414" i="12"/>
  <c r="S2416" i="12"/>
  <c r="S2418" i="12"/>
  <c r="S2420" i="12"/>
  <c r="S2422" i="12"/>
  <c r="S2424" i="12"/>
  <c r="S2426" i="12"/>
  <c r="S2428" i="12"/>
  <c r="S2430" i="12"/>
  <c r="S2432" i="12"/>
  <c r="S2434" i="12"/>
  <c r="S2436" i="12"/>
  <c r="S2438" i="12"/>
  <c r="S2440" i="12"/>
  <c r="S2442" i="12"/>
  <c r="S2444" i="12"/>
  <c r="S2446" i="12"/>
  <c r="S2448" i="12"/>
  <c r="S2450" i="12"/>
  <c r="S2452" i="12"/>
  <c r="S2454" i="12"/>
  <c r="S2456" i="12"/>
  <c r="S2458" i="12"/>
  <c r="S2460" i="12"/>
  <c r="S2462" i="12"/>
  <c r="S2464" i="12"/>
  <c r="S2466" i="12"/>
  <c r="S2468" i="12"/>
  <c r="S2470" i="12"/>
  <c r="S2472" i="12"/>
  <c r="S2474" i="12"/>
  <c r="S2476" i="12"/>
  <c r="S2478" i="12"/>
  <c r="S2480" i="12"/>
  <c r="S2482" i="12"/>
  <c r="S2484" i="12"/>
  <c r="S2486" i="12"/>
  <c r="S2488" i="12"/>
  <c r="S2490" i="12"/>
  <c r="S2492" i="12"/>
  <c r="S2494" i="12"/>
  <c r="S2496" i="12"/>
  <c r="S2498" i="12"/>
  <c r="S2500" i="12"/>
  <c r="S2502" i="12"/>
  <c r="S2504" i="12"/>
  <c r="S2506" i="12"/>
  <c r="S2508" i="12"/>
  <c r="S2510" i="12"/>
  <c r="S2512" i="12"/>
  <c r="S2514" i="12"/>
  <c r="S2516" i="12"/>
  <c r="S2518" i="12"/>
  <c r="S2520" i="12"/>
  <c r="S2522" i="12"/>
  <c r="S2524" i="12"/>
  <c r="S2526" i="12"/>
  <c r="S2528" i="12"/>
  <c r="S2530" i="12"/>
  <c r="S2532" i="12"/>
  <c r="S2534" i="12"/>
  <c r="S2536" i="12"/>
  <c r="S2538" i="12"/>
  <c r="S2540" i="12"/>
  <c r="S2542" i="12"/>
  <c r="S2544" i="12"/>
  <c r="S2546" i="12"/>
  <c r="S2548" i="12"/>
  <c r="S2550" i="12"/>
  <c r="S2552" i="12"/>
  <c r="S2554" i="12"/>
  <c r="S2556" i="12"/>
  <c r="S2558" i="12"/>
  <c r="S2560" i="12"/>
  <c r="S2562" i="12"/>
  <c r="S2564" i="12"/>
  <c r="S2566" i="12"/>
  <c r="S2568" i="12"/>
  <c r="S2570" i="12"/>
  <c r="S2572" i="12"/>
  <c r="S2574" i="12"/>
  <c r="S2576" i="12"/>
  <c r="S2578" i="12"/>
  <c r="S2580" i="12"/>
  <c r="S2582" i="12"/>
  <c r="S2584" i="12"/>
  <c r="S2586" i="12"/>
  <c r="S2588" i="12"/>
  <c r="S2590" i="12"/>
  <c r="S2592" i="12"/>
  <c r="S2594" i="12"/>
  <c r="S2596" i="12"/>
  <c r="S2598" i="12"/>
  <c r="S2600" i="12"/>
  <c r="S2602" i="12"/>
  <c r="S2604" i="12"/>
  <c r="S2606" i="12"/>
  <c r="S2608" i="12"/>
  <c r="S2610" i="12"/>
  <c r="S2612" i="12"/>
  <c r="S2614" i="12"/>
  <c r="S2616" i="12"/>
  <c r="S2618" i="12"/>
  <c r="S2620" i="12"/>
  <c r="S2622" i="12"/>
  <c r="S2624" i="12"/>
  <c r="S2626" i="12"/>
  <c r="S2628" i="12"/>
  <c r="S2630" i="12"/>
  <c r="S2632" i="12"/>
  <c r="S2634" i="12"/>
  <c r="S2636" i="12"/>
  <c r="S2638" i="12"/>
  <c r="S2640" i="12"/>
  <c r="S2642" i="12"/>
  <c r="S2644" i="12"/>
  <c r="S2646" i="12"/>
  <c r="S2648" i="12"/>
  <c r="S2650" i="12"/>
  <c r="S2652" i="12"/>
  <c r="S2654" i="12"/>
  <c r="S2656" i="12"/>
  <c r="S2658" i="12"/>
  <c r="S2660" i="12"/>
  <c r="S2662" i="12"/>
  <c r="S2664" i="12"/>
  <c r="S2666" i="12"/>
  <c r="S2668" i="12"/>
  <c r="S2670" i="12"/>
  <c r="S2672" i="12"/>
  <c r="S2674" i="12"/>
  <c r="S2676" i="12"/>
  <c r="S2678" i="12"/>
  <c r="S2680" i="12"/>
  <c r="S2682" i="12"/>
  <c r="S2684" i="12"/>
  <c r="S2686" i="12"/>
  <c r="S2688" i="12"/>
  <c r="S2690" i="12"/>
  <c r="S2692" i="12"/>
  <c r="S2694" i="12"/>
  <c r="S2696" i="12"/>
  <c r="S2698" i="12"/>
  <c r="S2700" i="12"/>
  <c r="S2702" i="12"/>
  <c r="S2704" i="12"/>
  <c r="S2706" i="12"/>
  <c r="S2708" i="12"/>
  <c r="S2710" i="12"/>
  <c r="S2712" i="12"/>
  <c r="S2714" i="12"/>
  <c r="S2716" i="12"/>
  <c r="S2718" i="12"/>
  <c r="S2720" i="12"/>
  <c r="S2722" i="12"/>
  <c r="S2724" i="12"/>
  <c r="S2726" i="12"/>
  <c r="S2728" i="12"/>
  <c r="S2730" i="12"/>
  <c r="S2732" i="12"/>
  <c r="S2734" i="12"/>
  <c r="S2736" i="12"/>
  <c r="S2738" i="12"/>
  <c r="S2740" i="12"/>
  <c r="S2742" i="12"/>
  <c r="S2744" i="12"/>
  <c r="S2746" i="12"/>
  <c r="S2748" i="12"/>
  <c r="S2750" i="12"/>
  <c r="S2752" i="12"/>
  <c r="S2754" i="12"/>
  <c r="S2756" i="12"/>
  <c r="S2758" i="12"/>
  <c r="S2760" i="12"/>
  <c r="S2762" i="12"/>
  <c r="S2764" i="12"/>
  <c r="S2766" i="12"/>
  <c r="S2768" i="12"/>
  <c r="S2770" i="12"/>
  <c r="S2772" i="12"/>
  <c r="S2774" i="12"/>
  <c r="S2776" i="12"/>
  <c r="S2778" i="12"/>
  <c r="S2780" i="12"/>
  <c r="S2782" i="12"/>
  <c r="S2784" i="12"/>
  <c r="S2786" i="12"/>
  <c r="S2788" i="12"/>
  <c r="S2790" i="12"/>
  <c r="S2792" i="12"/>
  <c r="S2794" i="12"/>
  <c r="S2796" i="12"/>
  <c r="S2798" i="12"/>
  <c r="S2800" i="12"/>
  <c r="S2802" i="12"/>
  <c r="S2804" i="12"/>
  <c r="S2806" i="12"/>
  <c r="S2808" i="12"/>
  <c r="S2810" i="12"/>
  <c r="S2812" i="12"/>
  <c r="S2814" i="12"/>
  <c r="S2816" i="12"/>
  <c r="S2818" i="12"/>
  <c r="S2820" i="12"/>
  <c r="S2822" i="12"/>
  <c r="S2824" i="12"/>
  <c r="S2826" i="12"/>
  <c r="S2828" i="12"/>
  <c r="S2830" i="12"/>
  <c r="S2832" i="12"/>
  <c r="S2834" i="12"/>
  <c r="S2836" i="12"/>
  <c r="S2838" i="12"/>
  <c r="S2840" i="12"/>
  <c r="S2842" i="12"/>
  <c r="S2844" i="12"/>
  <c r="S2846" i="12"/>
  <c r="S2848" i="12"/>
  <c r="S2850" i="12"/>
  <c r="S2852" i="12"/>
  <c r="S2854" i="12"/>
  <c r="S2856" i="12"/>
  <c r="S2858" i="12"/>
  <c r="S2860" i="12"/>
  <c r="S2862" i="12"/>
  <c r="S2864" i="12"/>
  <c r="S2866" i="12"/>
  <c r="S2868" i="12"/>
  <c r="S2870" i="12"/>
  <c r="S2872" i="12"/>
  <c r="S2874" i="12"/>
  <c r="S2876" i="12"/>
  <c r="S2878" i="12"/>
  <c r="S2880" i="12"/>
  <c r="S2882" i="12"/>
  <c r="S2884" i="12"/>
  <c r="S2886" i="12"/>
  <c r="S2888" i="12"/>
  <c r="S2890" i="12"/>
  <c r="S2892" i="12"/>
  <c r="S2894" i="12"/>
  <c r="S2896" i="12"/>
  <c r="S2898" i="12"/>
  <c r="S2900" i="12"/>
  <c r="S2902" i="12"/>
  <c r="S2904" i="12"/>
  <c r="S2906" i="12"/>
  <c r="S2908" i="12"/>
  <c r="S2910" i="12"/>
  <c r="S2912" i="12"/>
  <c r="S2914" i="12"/>
  <c r="S2916" i="12"/>
  <c r="S2918" i="12"/>
  <c r="S2920" i="12"/>
  <c r="S2922" i="12"/>
  <c r="S2924" i="12"/>
  <c r="S2926" i="12"/>
  <c r="S2928" i="12"/>
  <c r="S2930" i="12"/>
  <c r="S2932" i="12"/>
  <c r="S2934" i="12"/>
  <c r="S2936" i="12"/>
  <c r="S2938" i="12"/>
  <c r="S2940" i="12"/>
  <c r="S2942" i="12"/>
  <c r="S2944" i="12"/>
  <c r="S2946" i="12"/>
  <c r="S2948" i="12"/>
  <c r="S2950" i="12"/>
  <c r="S2952" i="12"/>
  <c r="S2954" i="12"/>
  <c r="S2956" i="12"/>
  <c r="S2958" i="12"/>
  <c r="S2960" i="12"/>
  <c r="S2962" i="12"/>
  <c r="S2964" i="12"/>
  <c r="S2966" i="12"/>
  <c r="S2968" i="12"/>
  <c r="S2970" i="12"/>
  <c r="S2972" i="12"/>
  <c r="S2974" i="12"/>
  <c r="S2976" i="12"/>
  <c r="S2978" i="12"/>
  <c r="S2980" i="12"/>
  <c r="S2982" i="12"/>
  <c r="S2984" i="12"/>
  <c r="S2986" i="12"/>
  <c r="S2988" i="12"/>
  <c r="S2990" i="12"/>
  <c r="S2992" i="12"/>
  <c r="S2994" i="12"/>
  <c r="S2996" i="12"/>
  <c r="S2998" i="12"/>
  <c r="S3000" i="12"/>
  <c r="S3002" i="12"/>
  <c r="S3004" i="12"/>
  <c r="S3006" i="12"/>
  <c r="S3008" i="12"/>
  <c r="S3010" i="12"/>
  <c r="S3012" i="12"/>
  <c r="S3014" i="12"/>
  <c r="S3016" i="12"/>
  <c r="S3018" i="12"/>
  <c r="S3020" i="12"/>
  <c r="S3022" i="12"/>
  <c r="S3024" i="12"/>
  <c r="S3026" i="12"/>
  <c r="S3028" i="12"/>
  <c r="S3030" i="12"/>
  <c r="S3032" i="12"/>
  <c r="S3034" i="12"/>
  <c r="S3036" i="12"/>
  <c r="S3038" i="12"/>
  <c r="S3040" i="12"/>
  <c r="S3042" i="12"/>
  <c r="S3044" i="12"/>
  <c r="S3046" i="12"/>
  <c r="S3048" i="12"/>
  <c r="S3050" i="12"/>
  <c r="S3052" i="12"/>
  <c r="S3054" i="12"/>
  <c r="S3056" i="12"/>
  <c r="S3058" i="12"/>
  <c r="S3060" i="12"/>
  <c r="S3062" i="12"/>
  <c r="S3064" i="12"/>
  <c r="S3066" i="12"/>
  <c r="S3068" i="12"/>
  <c r="S3070" i="12"/>
  <c r="S3072" i="12"/>
  <c r="S3074" i="12"/>
  <c r="S3076" i="12"/>
  <c r="S3078" i="12"/>
  <c r="S3080" i="12"/>
  <c r="S3082" i="12"/>
  <c r="S3084" i="12"/>
  <c r="S3086" i="12"/>
  <c r="S3088" i="12"/>
  <c r="S3090" i="12"/>
  <c r="S3092" i="12"/>
  <c r="S3094" i="12"/>
  <c r="S3096" i="12"/>
  <c r="S3098" i="12"/>
  <c r="S3100" i="12"/>
  <c r="S3102" i="12"/>
  <c r="S3104" i="12"/>
  <c r="S3106" i="12"/>
  <c r="S3108" i="12"/>
  <c r="S3110" i="12"/>
  <c r="S3112" i="12"/>
  <c r="S3114" i="12"/>
  <c r="S3116" i="12"/>
  <c r="S3118" i="12"/>
  <c r="S3120" i="12"/>
  <c r="S3122" i="12"/>
  <c r="S3124" i="12"/>
  <c r="S3126" i="12"/>
  <c r="S3128" i="12"/>
  <c r="S3130" i="12"/>
  <c r="S3132" i="12"/>
  <c r="S3134" i="12"/>
  <c r="S3136" i="12"/>
  <c r="S3138" i="12"/>
  <c r="S3140" i="12"/>
  <c r="S3142" i="12"/>
  <c r="S3144" i="12"/>
  <c r="S3146" i="12"/>
  <c r="S3148" i="12"/>
  <c r="S3150" i="12"/>
  <c r="S3152" i="12"/>
  <c r="S3154" i="12"/>
  <c r="S3156" i="12"/>
  <c r="S3158" i="12"/>
  <c r="S3160" i="12"/>
  <c r="S3162" i="12"/>
  <c r="S3164" i="12"/>
  <c r="S3166" i="12"/>
  <c r="S3168" i="12"/>
  <c r="S3170" i="12"/>
  <c r="S3172" i="12"/>
  <c r="S3174" i="12"/>
  <c r="S3176" i="12"/>
  <c r="S3178" i="12"/>
  <c r="S3180" i="12"/>
  <c r="S3182" i="12"/>
  <c r="S3184" i="12"/>
  <c r="S3186" i="12"/>
  <c r="S3188" i="12"/>
  <c r="S3190" i="12"/>
  <c r="S3192" i="12"/>
  <c r="S3194" i="12"/>
  <c r="S3196" i="12"/>
  <c r="S3198" i="12"/>
  <c r="S3200" i="12"/>
  <c r="S3202" i="12"/>
  <c r="S3204" i="12"/>
  <c r="S3206" i="12"/>
  <c r="S3208" i="12"/>
  <c r="S3210" i="12"/>
  <c r="S3212" i="12"/>
  <c r="S3214" i="12"/>
  <c r="S3216" i="12"/>
  <c r="S3218" i="12"/>
  <c r="S3220" i="12"/>
  <c r="S3222" i="12"/>
  <c r="S3224" i="12"/>
  <c r="S3226" i="12"/>
  <c r="S3228" i="12"/>
  <c r="S3230" i="12"/>
  <c r="S3232" i="12"/>
  <c r="S3234" i="12"/>
  <c r="S3236" i="12"/>
  <c r="S3238" i="12"/>
  <c r="S3240" i="12"/>
  <c r="S3242" i="12"/>
  <c r="S3244" i="12"/>
  <c r="S3246" i="12"/>
  <c r="S3248" i="12"/>
  <c r="S3250" i="12"/>
  <c r="S3252" i="12"/>
  <c r="S3254" i="12"/>
  <c r="S3256" i="12"/>
  <c r="S3258" i="12"/>
  <c r="S3260" i="12"/>
  <c r="S3262" i="12"/>
  <c r="S3264" i="12"/>
  <c r="S3266" i="12"/>
  <c r="S3268" i="12"/>
  <c r="S3270" i="12"/>
  <c r="S3272" i="12"/>
  <c r="S3274" i="12"/>
  <c r="S3276" i="12"/>
  <c r="S3278" i="12"/>
  <c r="S3280" i="12"/>
  <c r="S3282" i="12"/>
  <c r="S3284" i="12"/>
  <c r="S3286" i="12"/>
  <c r="S3288" i="12"/>
  <c r="S3290" i="12"/>
  <c r="S3292" i="12"/>
  <c r="S3294" i="12"/>
  <c r="S3296" i="12"/>
  <c r="S3298" i="12"/>
  <c r="S3300" i="12"/>
  <c r="S3302" i="12"/>
  <c r="S3304" i="12"/>
  <c r="S3306" i="12"/>
  <c r="S3308" i="12"/>
  <c r="S3310" i="12"/>
  <c r="S3312" i="12"/>
  <c r="S3314" i="12"/>
  <c r="S3316" i="12"/>
  <c r="S3318" i="12"/>
  <c r="S3320" i="12"/>
  <c r="S3322" i="12"/>
  <c r="S3324" i="12"/>
  <c r="S3326" i="12"/>
  <c r="S3328" i="12"/>
  <c r="S3330" i="12"/>
  <c r="S3332" i="12"/>
  <c r="S3334" i="12"/>
  <c r="S3336" i="12"/>
  <c r="S3338" i="12"/>
  <c r="S3340" i="12"/>
  <c r="S3342" i="12"/>
  <c r="S3344" i="12"/>
  <c r="S3346" i="12"/>
  <c r="S3348" i="12"/>
  <c r="S3350" i="12"/>
  <c r="S3352" i="12"/>
  <c r="S3354" i="12"/>
  <c r="S3356" i="12"/>
  <c r="S3358" i="12"/>
  <c r="S3360" i="12"/>
  <c r="S3362" i="12"/>
  <c r="S3364" i="12"/>
  <c r="S3366" i="12"/>
  <c r="S3368" i="12"/>
  <c r="S3370" i="12"/>
  <c r="S3372" i="12"/>
  <c r="S3374" i="12"/>
  <c r="S3376" i="12"/>
  <c r="S3378" i="12"/>
  <c r="S3380" i="12"/>
  <c r="S3382" i="12"/>
  <c r="S3384" i="12"/>
  <c r="S3386" i="12"/>
  <c r="S3388" i="12"/>
  <c r="S3390" i="12"/>
  <c r="S3392" i="12"/>
  <c r="S3394" i="12"/>
  <c r="S3396" i="12"/>
  <c r="S3398" i="12"/>
  <c r="S3400" i="12"/>
  <c r="S3402" i="12"/>
  <c r="S3404" i="12"/>
  <c r="S3406" i="12"/>
  <c r="S3408" i="12"/>
  <c r="S3410" i="12"/>
  <c r="S3412" i="12"/>
  <c r="S3414" i="12"/>
  <c r="S3416" i="12"/>
  <c r="S3418" i="12"/>
  <c r="S3420" i="12"/>
  <c r="S3422" i="12"/>
  <c r="S3424" i="12"/>
  <c r="S3426" i="12"/>
  <c r="S3428" i="12"/>
  <c r="S3430" i="12"/>
  <c r="S3432" i="12"/>
  <c r="S3434" i="12"/>
  <c r="S3436" i="12"/>
  <c r="S3438" i="12"/>
  <c r="S3440" i="12"/>
  <c r="S3442" i="12"/>
  <c r="S3444" i="12"/>
  <c r="S3446" i="12"/>
  <c r="S3448" i="12"/>
  <c r="S3450" i="12"/>
  <c r="S3452" i="12"/>
  <c r="S3454" i="12"/>
  <c r="S3456" i="12"/>
  <c r="S3458" i="12"/>
  <c r="S3460" i="12"/>
  <c r="S3462" i="12"/>
  <c r="S3464" i="12"/>
  <c r="S3466" i="12"/>
  <c r="S3468" i="12"/>
  <c r="S3470" i="12"/>
  <c r="S3472" i="12"/>
  <c r="S3474" i="12"/>
  <c r="S3476" i="12"/>
  <c r="S3478" i="12"/>
  <c r="S3480" i="12"/>
  <c r="S3482" i="12"/>
  <c r="S3484" i="12"/>
  <c r="S3486" i="12"/>
  <c r="S3488" i="12"/>
  <c r="S3490" i="12"/>
  <c r="S3492" i="12"/>
  <c r="S3494" i="12"/>
  <c r="S3496" i="12"/>
  <c r="S3498" i="12"/>
  <c r="S3500" i="12"/>
  <c r="S3502" i="12"/>
  <c r="S3504" i="12"/>
  <c r="S3506" i="12"/>
  <c r="S3508" i="12"/>
  <c r="S3510" i="12"/>
  <c r="S3512" i="12"/>
  <c r="S3514" i="12"/>
  <c r="S3516" i="12"/>
  <c r="S3518" i="12"/>
  <c r="S3520" i="12"/>
  <c r="S3522" i="12"/>
  <c r="S3524" i="12"/>
  <c r="S3526" i="12"/>
  <c r="S3528" i="12"/>
  <c r="S3530" i="12"/>
  <c r="S3532" i="12"/>
  <c r="S3534" i="12"/>
  <c r="S3536" i="12"/>
  <c r="S3538" i="12"/>
  <c r="S3540" i="12"/>
  <c r="S3542" i="12"/>
  <c r="S3544" i="12"/>
  <c r="S3546" i="12"/>
  <c r="S3548" i="12"/>
  <c r="S3550" i="12"/>
  <c r="S3552" i="12"/>
  <c r="S3554" i="12"/>
  <c r="S3556" i="12"/>
  <c r="S3558" i="12"/>
  <c r="S3560" i="12"/>
  <c r="S3562" i="12"/>
  <c r="S3564" i="12"/>
  <c r="S3566" i="12"/>
  <c r="S3568" i="12"/>
  <c r="S3570" i="12"/>
  <c r="S3572" i="12"/>
  <c r="S3574" i="12"/>
  <c r="S3576" i="12"/>
  <c r="S3578" i="12"/>
  <c r="S3580" i="12"/>
  <c r="S3582" i="12"/>
  <c r="S3584" i="12"/>
  <c r="S3586" i="12"/>
  <c r="S3588" i="12"/>
  <c r="S3590" i="12"/>
  <c r="S3592" i="12"/>
  <c r="S3594" i="12"/>
  <c r="S3596" i="12"/>
  <c r="S3598" i="12"/>
  <c r="S3600" i="12"/>
  <c r="S3602" i="12"/>
  <c r="S3604" i="12"/>
  <c r="S3606" i="12"/>
  <c r="S3607" i="12"/>
  <c r="S11" i="12"/>
  <c r="S13" i="12"/>
  <c r="S15" i="12"/>
  <c r="S17" i="12"/>
  <c r="S19" i="12"/>
  <c r="S21" i="12"/>
  <c r="S23" i="12"/>
  <c r="S25" i="12"/>
  <c r="S27" i="12"/>
  <c r="S29" i="12"/>
  <c r="S31" i="12"/>
  <c r="S33" i="12"/>
  <c r="S35" i="12"/>
  <c r="S37" i="12"/>
  <c r="S39" i="12"/>
  <c r="S41" i="12"/>
  <c r="S43" i="12"/>
  <c r="S45" i="12"/>
  <c r="S47" i="12"/>
  <c r="S49" i="12"/>
  <c r="S51" i="12"/>
  <c r="S53" i="12"/>
  <c r="S55" i="12"/>
  <c r="S57" i="12"/>
  <c r="S59" i="12"/>
  <c r="S61" i="12"/>
  <c r="S63" i="12"/>
  <c r="S65" i="12"/>
  <c r="S67" i="12"/>
  <c r="S69" i="12"/>
  <c r="S71" i="12"/>
  <c r="S73" i="12"/>
  <c r="S75" i="12"/>
  <c r="S77" i="12"/>
  <c r="S79" i="12"/>
  <c r="S81" i="12"/>
  <c r="S83" i="12"/>
  <c r="S85" i="12"/>
  <c r="S87" i="12"/>
  <c r="S89" i="12"/>
  <c r="S91" i="12"/>
  <c r="S93" i="12"/>
  <c r="S95" i="12"/>
  <c r="S97" i="12"/>
  <c r="S99" i="12"/>
  <c r="S101" i="12"/>
  <c r="S103" i="12"/>
  <c r="S105" i="12"/>
  <c r="S107" i="12"/>
  <c r="S109" i="12"/>
  <c r="S111" i="12"/>
  <c r="S113" i="12"/>
  <c r="S115" i="12"/>
  <c r="S117" i="12"/>
  <c r="S119" i="12"/>
  <c r="S121" i="12"/>
  <c r="S123" i="12"/>
  <c r="S125" i="12"/>
  <c r="S127" i="12"/>
  <c r="S129" i="12"/>
  <c r="S131" i="12"/>
  <c r="S133" i="12"/>
  <c r="S135" i="12"/>
  <c r="S137" i="12"/>
  <c r="S139" i="12"/>
  <c r="S141" i="12"/>
  <c r="S143" i="12"/>
  <c r="S145" i="12"/>
  <c r="S147" i="12"/>
  <c r="S149" i="12"/>
  <c r="S151" i="12"/>
  <c r="S153" i="12"/>
  <c r="S155" i="12"/>
  <c r="S157" i="12"/>
  <c r="S159" i="12"/>
  <c r="S161" i="12"/>
  <c r="S163" i="12"/>
  <c r="S165" i="12"/>
  <c r="S167" i="12"/>
  <c r="S169" i="12"/>
  <c r="S171" i="12"/>
  <c r="S173" i="12"/>
  <c r="S175" i="12"/>
  <c r="S177" i="12"/>
  <c r="S179" i="12"/>
  <c r="S181" i="12"/>
  <c r="S183" i="12"/>
  <c r="S185" i="12"/>
  <c r="S187" i="12"/>
  <c r="S189" i="12"/>
  <c r="S191" i="12"/>
  <c r="S193" i="12"/>
  <c r="S195" i="12"/>
  <c r="S197" i="12"/>
  <c r="S199" i="12"/>
  <c r="S201" i="12"/>
  <c r="S203" i="12"/>
  <c r="S205" i="12"/>
  <c r="S207" i="12"/>
  <c r="S209" i="12"/>
  <c r="S211" i="12"/>
  <c r="S213" i="12"/>
  <c r="S215" i="12"/>
  <c r="S217" i="12"/>
  <c r="S219" i="12"/>
  <c r="S221" i="12"/>
  <c r="S223" i="12"/>
  <c r="S225" i="12"/>
  <c r="S227" i="12"/>
  <c r="S229" i="12"/>
  <c r="S231" i="12"/>
  <c r="S233" i="12"/>
  <c r="S235" i="12"/>
  <c r="S237" i="12"/>
  <c r="S239" i="12"/>
  <c r="S241" i="12"/>
  <c r="S243" i="12"/>
  <c r="S245" i="12"/>
  <c r="S247" i="12"/>
  <c r="S249" i="12"/>
  <c r="S251" i="12"/>
  <c r="S253" i="12"/>
  <c r="S255" i="12"/>
  <c r="S257" i="12"/>
  <c r="S259" i="12"/>
  <c r="S261" i="12"/>
  <c r="S263" i="12"/>
  <c r="S265" i="12"/>
  <c r="S267" i="12"/>
  <c r="S269" i="12"/>
  <c r="S271" i="12"/>
  <c r="S273" i="12"/>
  <c r="S275" i="12"/>
  <c r="S277" i="12"/>
  <c r="S279" i="12"/>
  <c r="S281" i="12"/>
  <c r="S283" i="12"/>
  <c r="S285" i="12"/>
  <c r="S287" i="12"/>
  <c r="S289" i="12"/>
  <c r="S291" i="12"/>
  <c r="S293" i="12"/>
  <c r="S295" i="12"/>
  <c r="S297" i="12"/>
  <c r="S299" i="12"/>
  <c r="S301" i="12"/>
  <c r="S303" i="12"/>
  <c r="S305" i="12"/>
  <c r="S307" i="12"/>
  <c r="S309" i="12"/>
  <c r="S311" i="12"/>
  <c r="S313" i="12"/>
  <c r="S315" i="12"/>
  <c r="S317" i="12"/>
  <c r="S319" i="12"/>
  <c r="S321" i="12"/>
  <c r="S323" i="12"/>
  <c r="S325" i="12"/>
  <c r="S327" i="12"/>
  <c r="S329" i="12"/>
  <c r="S331" i="12"/>
  <c r="S333" i="12"/>
  <c r="S335" i="12"/>
  <c r="S337" i="12"/>
  <c r="S339" i="12"/>
  <c r="S341" i="12"/>
  <c r="S343" i="12"/>
  <c r="S345" i="12"/>
  <c r="S347" i="12"/>
  <c r="S349" i="12"/>
  <c r="S351" i="12"/>
  <c r="S353" i="12"/>
  <c r="S355" i="12"/>
  <c r="S357" i="12"/>
  <c r="S359" i="12"/>
  <c r="S361" i="12"/>
  <c r="S363" i="12"/>
  <c r="S365" i="12"/>
  <c r="S367" i="12"/>
  <c r="S369" i="12"/>
  <c r="S371" i="12"/>
  <c r="S373" i="12"/>
  <c r="S375" i="12"/>
  <c r="S377" i="12"/>
  <c r="S379" i="12"/>
  <c r="S381" i="12"/>
  <c r="S383" i="12"/>
  <c r="S385" i="12"/>
  <c r="S387" i="12"/>
  <c r="S389" i="12"/>
  <c r="S391" i="12"/>
  <c r="S393" i="12"/>
  <c r="S395" i="12"/>
  <c r="S397" i="12"/>
  <c r="S399" i="12"/>
  <c r="S401" i="12"/>
  <c r="S403" i="12"/>
  <c r="S405" i="12"/>
  <c r="S407" i="12"/>
  <c r="S409" i="12"/>
  <c r="S411" i="12"/>
  <c r="S413" i="12"/>
  <c r="S415" i="12"/>
  <c r="S417" i="12"/>
  <c r="S419" i="12"/>
  <c r="S421" i="12"/>
  <c r="S423" i="12"/>
  <c r="S425" i="12"/>
  <c r="S427" i="12"/>
  <c r="S429" i="12"/>
  <c r="S431" i="12"/>
  <c r="S433" i="12"/>
  <c r="S435" i="12"/>
  <c r="S437" i="12"/>
  <c r="S439" i="12"/>
  <c r="S441" i="12"/>
  <c r="S443" i="12"/>
  <c r="S445" i="12"/>
  <c r="S447" i="12"/>
  <c r="S449" i="12"/>
  <c r="S451" i="12"/>
  <c r="S453" i="12"/>
  <c r="S455" i="12"/>
  <c r="S457" i="12"/>
  <c r="S459" i="12"/>
  <c r="S461" i="12"/>
  <c r="S463" i="12"/>
  <c r="S465" i="12"/>
  <c r="S467" i="12"/>
  <c r="S469" i="12"/>
  <c r="S471" i="12"/>
  <c r="S473" i="12"/>
  <c r="S475" i="12"/>
  <c r="S477" i="12"/>
  <c r="S479" i="12"/>
  <c r="S481" i="12"/>
  <c r="S483" i="12"/>
  <c r="S485" i="12"/>
  <c r="S487" i="12"/>
  <c r="S489" i="12"/>
  <c r="S491" i="12"/>
  <c r="S493" i="12"/>
  <c r="S495" i="12"/>
  <c r="S497" i="12"/>
  <c r="S499" i="12"/>
  <c r="S501" i="12"/>
  <c r="S503" i="12"/>
  <c r="S505" i="12"/>
  <c r="S507" i="12"/>
  <c r="S509" i="12"/>
  <c r="S511" i="12"/>
  <c r="S513" i="12"/>
  <c r="S515" i="12"/>
  <c r="S517" i="12"/>
  <c r="S519" i="12"/>
  <c r="S521" i="12"/>
  <c r="S523" i="12"/>
  <c r="S525" i="12"/>
  <c r="S527" i="12"/>
  <c r="S529" i="12"/>
  <c r="S531" i="12"/>
  <c r="S533" i="12"/>
  <c r="S535" i="12"/>
  <c r="S537" i="12"/>
  <c r="S539" i="12"/>
  <c r="S541" i="12"/>
  <c r="S543" i="12"/>
  <c r="S545" i="12"/>
  <c r="S547" i="12"/>
  <c r="S549" i="12"/>
  <c r="S551" i="12"/>
  <c r="S553" i="12"/>
  <c r="S555" i="12"/>
  <c r="S557" i="12"/>
  <c r="S559" i="12"/>
  <c r="S561" i="12"/>
  <c r="S563" i="12"/>
  <c r="S565" i="12"/>
  <c r="S567" i="12"/>
  <c r="S569" i="12"/>
  <c r="S571" i="12"/>
  <c r="S573" i="12"/>
  <c r="S575" i="12"/>
  <c r="S577" i="12"/>
  <c r="S579" i="12"/>
  <c r="S581" i="12"/>
  <c r="S583" i="12"/>
  <c r="S585" i="12"/>
  <c r="S587" i="12"/>
  <c r="S589" i="12"/>
  <c r="S591" i="12"/>
  <c r="S593" i="12"/>
  <c r="S595" i="12"/>
  <c r="S597" i="12"/>
  <c r="S599" i="12"/>
  <c r="S601" i="12"/>
  <c r="S603" i="12"/>
  <c r="S605" i="12"/>
  <c r="S607" i="12"/>
  <c r="S609" i="12"/>
  <c r="S611" i="12"/>
  <c r="S613" i="12"/>
  <c r="S615" i="12"/>
  <c r="S617" i="12"/>
  <c r="S619" i="12"/>
  <c r="S621" i="12"/>
  <c r="S623" i="12"/>
  <c r="S625" i="12"/>
  <c r="S627" i="12"/>
  <c r="S629" i="12"/>
  <c r="S631" i="12"/>
  <c r="S633" i="12"/>
  <c r="S635" i="12"/>
  <c r="S637" i="12"/>
  <c r="S639" i="12"/>
  <c r="S641" i="12"/>
  <c r="S643" i="12"/>
  <c r="S645" i="12"/>
  <c r="S647" i="12"/>
  <c r="S649" i="12"/>
  <c r="S651" i="12"/>
  <c r="S653" i="12"/>
  <c r="S655" i="12"/>
  <c r="S657" i="12"/>
  <c r="S659" i="12"/>
  <c r="S661" i="12"/>
  <c r="S663" i="12"/>
  <c r="S665" i="12"/>
  <c r="S667" i="12"/>
  <c r="S669" i="12"/>
  <c r="S671" i="12"/>
  <c r="S673" i="12"/>
  <c r="S675" i="12"/>
  <c r="S677" i="12"/>
  <c r="S679" i="12"/>
  <c r="S681" i="12"/>
  <c r="S683" i="12"/>
  <c r="S685" i="12"/>
  <c r="S687" i="12"/>
  <c r="S689" i="12"/>
  <c r="S691" i="12"/>
  <c r="S693" i="12"/>
  <c r="S695" i="12"/>
  <c r="S697" i="12"/>
  <c r="S699" i="12"/>
  <c r="S701" i="12"/>
  <c r="S703" i="12"/>
  <c r="S705" i="12"/>
  <c r="S707" i="12"/>
  <c r="S709" i="12"/>
  <c r="S711" i="12"/>
  <c r="S713" i="12"/>
  <c r="S715" i="12"/>
  <c r="S717" i="12"/>
  <c r="S719" i="12"/>
  <c r="S721" i="12"/>
  <c r="S723" i="12"/>
  <c r="S725" i="12"/>
  <c r="S727" i="12"/>
  <c r="S729" i="12"/>
  <c r="S731" i="12"/>
  <c r="S733" i="12"/>
  <c r="S735" i="12"/>
  <c r="S737" i="12"/>
  <c r="S739" i="12"/>
  <c r="S741" i="12"/>
  <c r="S743" i="12"/>
  <c r="S745" i="12"/>
  <c r="S747" i="12"/>
  <c r="S749" i="12"/>
  <c r="S751" i="12"/>
  <c r="S753" i="12"/>
  <c r="S755" i="12"/>
  <c r="S757" i="12"/>
  <c r="S759" i="12"/>
  <c r="S761" i="12"/>
  <c r="S763" i="12"/>
  <c r="S765" i="12"/>
  <c r="S767" i="12"/>
  <c r="S769" i="12"/>
  <c r="S771" i="12"/>
  <c r="S773" i="12"/>
  <c r="S775" i="12"/>
  <c r="S777" i="12"/>
  <c r="S779" i="12"/>
  <c r="S781" i="12"/>
  <c r="S783" i="12"/>
  <c r="S785" i="12"/>
  <c r="S787" i="12"/>
  <c r="S789" i="12"/>
  <c r="S791" i="12"/>
  <c r="S793" i="12"/>
  <c r="S795" i="12"/>
  <c r="S797" i="12"/>
  <c r="S799" i="12"/>
  <c r="S801" i="12"/>
  <c r="S803" i="12"/>
  <c r="S805" i="12"/>
  <c r="S807" i="12"/>
  <c r="S809" i="12"/>
  <c r="S811" i="12"/>
  <c r="S813" i="12"/>
  <c r="S815" i="12"/>
  <c r="S817" i="12"/>
  <c r="S819" i="12"/>
  <c r="S821" i="12"/>
  <c r="S823" i="12"/>
  <c r="S825" i="12"/>
  <c r="S827" i="12"/>
  <c r="S829" i="12"/>
  <c r="S831" i="12"/>
  <c r="S833" i="12"/>
  <c r="S835" i="12"/>
  <c r="S837" i="12"/>
  <c r="S839" i="12"/>
  <c r="S841" i="12"/>
  <c r="S843" i="12"/>
  <c r="S845" i="12"/>
  <c r="S847" i="12"/>
  <c r="S849" i="12"/>
  <c r="S851" i="12"/>
  <c r="S853" i="12"/>
  <c r="S855" i="12"/>
  <c r="S857" i="12"/>
  <c r="S859" i="12"/>
  <c r="S861" i="12"/>
  <c r="S863" i="12"/>
  <c r="S865" i="12"/>
  <c r="S867" i="12"/>
  <c r="S869" i="12"/>
  <c r="S871" i="12"/>
  <c r="S873" i="12"/>
  <c r="S875" i="12"/>
  <c r="S877" i="12"/>
  <c r="S879" i="12"/>
  <c r="S881" i="12"/>
  <c r="S883" i="12"/>
  <c r="S885" i="12"/>
  <c r="S887" i="12"/>
  <c r="S889" i="12"/>
  <c r="S891" i="12"/>
  <c r="S893" i="12"/>
  <c r="S895" i="12"/>
  <c r="S897" i="12"/>
  <c r="S899" i="12"/>
  <c r="S901" i="12"/>
  <c r="S903" i="12"/>
  <c r="S905" i="12"/>
  <c r="S907" i="12"/>
  <c r="S909" i="12"/>
  <c r="S911" i="12"/>
  <c r="S913" i="12"/>
  <c r="S915" i="12"/>
  <c r="S917" i="12"/>
  <c r="S919" i="12"/>
  <c r="S921" i="12"/>
  <c r="S923" i="12"/>
  <c r="S925" i="12"/>
  <c r="S927" i="12"/>
  <c r="S929" i="12"/>
  <c r="S931" i="12"/>
  <c r="S933" i="12"/>
  <c r="S935" i="12"/>
  <c r="S937" i="12"/>
  <c r="S939" i="12"/>
  <c r="S941" i="12"/>
  <c r="S943" i="12"/>
  <c r="S945" i="12"/>
  <c r="S947" i="12"/>
  <c r="S949" i="12"/>
  <c r="S951" i="12"/>
  <c r="S953" i="12"/>
  <c r="S955" i="12"/>
  <c r="S957" i="12"/>
  <c r="S959" i="12"/>
  <c r="S961" i="12"/>
  <c r="S963" i="12"/>
  <c r="S965" i="12"/>
  <c r="S967" i="12"/>
  <c r="S969" i="12"/>
  <c r="S971" i="12"/>
  <c r="S973" i="12"/>
  <c r="S975" i="12"/>
  <c r="S977" i="12"/>
  <c r="S979" i="12"/>
  <c r="S981" i="12"/>
  <c r="S983" i="12"/>
  <c r="S985" i="12"/>
  <c r="S987" i="12"/>
  <c r="S989" i="12"/>
  <c r="S991" i="12"/>
  <c r="S993" i="12"/>
  <c r="S995" i="12"/>
  <c r="S997" i="12"/>
  <c r="S999" i="12"/>
  <c r="S1001" i="12"/>
  <c r="S1003" i="12"/>
  <c r="S1005" i="12"/>
  <c r="S1007" i="12"/>
  <c r="S1009" i="12"/>
  <c r="S1011" i="12"/>
  <c r="S1013" i="12"/>
  <c r="S1015" i="12"/>
  <c r="S1017" i="12"/>
  <c r="S1019" i="12"/>
  <c r="S1021" i="12"/>
  <c r="S1023" i="12"/>
  <c r="S1025" i="12"/>
  <c r="S1027" i="12"/>
  <c r="S1029" i="12"/>
  <c r="S1031" i="12"/>
  <c r="S1033" i="12"/>
  <c r="S1035" i="12"/>
  <c r="S1037" i="12"/>
  <c r="S1039" i="12"/>
  <c r="S1041" i="12"/>
  <c r="S1043" i="12"/>
  <c r="S1045" i="12"/>
  <c r="S1047" i="12"/>
  <c r="S1049" i="12"/>
  <c r="S1051" i="12"/>
  <c r="S1053" i="12"/>
  <c r="S1055" i="12"/>
  <c r="S1057" i="12"/>
  <c r="S1059" i="12"/>
  <c r="S1061" i="12"/>
  <c r="S1063" i="12"/>
  <c r="S1065" i="12"/>
  <c r="S1067" i="12"/>
  <c r="S1069" i="12"/>
  <c r="S1071" i="12"/>
  <c r="S1073" i="12"/>
  <c r="S1075" i="12"/>
  <c r="S1077" i="12"/>
  <c r="S1079" i="12"/>
  <c r="S1081" i="12"/>
  <c r="S1083" i="12"/>
  <c r="S1085" i="12"/>
  <c r="S1087" i="12"/>
  <c r="S1089" i="12"/>
  <c r="S1091" i="12"/>
  <c r="S1093" i="12"/>
  <c r="S1095" i="12"/>
  <c r="S1097" i="12"/>
  <c r="S1099" i="12"/>
  <c r="S1101" i="12"/>
  <c r="S1103" i="12"/>
  <c r="S1105" i="12"/>
  <c r="S1107" i="12"/>
  <c r="S1109" i="12"/>
  <c r="S1111" i="12"/>
  <c r="S1113" i="12"/>
  <c r="S1115" i="12"/>
  <c r="S1117" i="12"/>
  <c r="S1119" i="12"/>
  <c r="S1121" i="12"/>
  <c r="S1123" i="12"/>
  <c r="S1125" i="12"/>
  <c r="S1127" i="12"/>
  <c r="S1129" i="12"/>
  <c r="S1131" i="12"/>
  <c r="S1133" i="12"/>
  <c r="S1135" i="12"/>
  <c r="S1137" i="12"/>
  <c r="S1139" i="12"/>
  <c r="S1141" i="12"/>
  <c r="S1143" i="12"/>
  <c r="S1145" i="12"/>
  <c r="S1147" i="12"/>
  <c r="S1149" i="12"/>
  <c r="S1151" i="12"/>
  <c r="S1153" i="12"/>
  <c r="S1155" i="12"/>
  <c r="S1157" i="12"/>
  <c r="S1159" i="12"/>
  <c r="S1161" i="12"/>
  <c r="S1163" i="12"/>
  <c r="S1165" i="12"/>
  <c r="S1167" i="12"/>
  <c r="S1169" i="12"/>
  <c r="S1171" i="12"/>
  <c r="S1173" i="12"/>
  <c r="S1175" i="12"/>
  <c r="S1177" i="12"/>
  <c r="S1179" i="12"/>
  <c r="S1181" i="12"/>
  <c r="S1183" i="12"/>
  <c r="S1185" i="12"/>
  <c r="S1187" i="12"/>
  <c r="S1189" i="12"/>
  <c r="S1191" i="12"/>
  <c r="S1193" i="12"/>
  <c r="S1195" i="12"/>
  <c r="S1197" i="12"/>
  <c r="S1199" i="12"/>
  <c r="S1201" i="12"/>
  <c r="S1203" i="12"/>
  <c r="S1205" i="12"/>
  <c r="S1207" i="12"/>
  <c r="S1209" i="12"/>
  <c r="S1211" i="12"/>
  <c r="S1213" i="12"/>
  <c r="S1215" i="12"/>
  <c r="S1217" i="12"/>
  <c r="S1219" i="12"/>
  <c r="S1221" i="12"/>
  <c r="S1223" i="12"/>
  <c r="S1225" i="12"/>
  <c r="S1227" i="12"/>
  <c r="S1229" i="12"/>
  <c r="S1231" i="12"/>
  <c r="S1233" i="12"/>
  <c r="S1235" i="12"/>
  <c r="S1237" i="12"/>
  <c r="S1239" i="12"/>
  <c r="S1241" i="12"/>
  <c r="S1243" i="12"/>
  <c r="S1245" i="12"/>
  <c r="S1247" i="12"/>
  <c r="S1249" i="12"/>
  <c r="S1251" i="12"/>
  <c r="S1253" i="12"/>
  <c r="S1255" i="12"/>
  <c r="S1257" i="12"/>
  <c r="S1259" i="12"/>
  <c r="S1261" i="12"/>
  <c r="S1263" i="12"/>
  <c r="S1265" i="12"/>
  <c r="S1267" i="12"/>
  <c r="S1269" i="12"/>
  <c r="S1271" i="12"/>
  <c r="S1273" i="12"/>
  <c r="S1275" i="12"/>
  <c r="S1277" i="12"/>
  <c r="S1279" i="12"/>
  <c r="S1281" i="12"/>
  <c r="S1283" i="12"/>
  <c r="S1285" i="12"/>
  <c r="S1287" i="12"/>
  <c r="S1289" i="12"/>
  <c r="S1291" i="12"/>
  <c r="S1293" i="12"/>
  <c r="S1295" i="12"/>
  <c r="S1297" i="12"/>
  <c r="S1299" i="12"/>
  <c r="S1301" i="12"/>
  <c r="S1303" i="12"/>
  <c r="S1305" i="12"/>
  <c r="S1307" i="12"/>
  <c r="S1309" i="12"/>
  <c r="S1311" i="12"/>
  <c r="S1313" i="12"/>
  <c r="S1315" i="12"/>
  <c r="S1317" i="12"/>
  <c r="S1319" i="12"/>
  <c r="S1321" i="12"/>
  <c r="S1323" i="12"/>
  <c r="S1325" i="12"/>
  <c r="S1327" i="12"/>
  <c r="S1329" i="12"/>
  <c r="S1331" i="12"/>
  <c r="S1333" i="12"/>
  <c r="S1335" i="12"/>
  <c r="S1337" i="12"/>
  <c r="S1339" i="12"/>
  <c r="S1341" i="12"/>
  <c r="S1343" i="12"/>
  <c r="S1345" i="12"/>
  <c r="S1347" i="12"/>
  <c r="S1349" i="12"/>
  <c r="S1351" i="12"/>
  <c r="S1353" i="12"/>
  <c r="S1355" i="12"/>
  <c r="S1357" i="12"/>
  <c r="S1359" i="12"/>
  <c r="S1361" i="12"/>
  <c r="S1363" i="12"/>
  <c r="S1365" i="12"/>
  <c r="S1367" i="12"/>
  <c r="S1369" i="12"/>
  <c r="S1371" i="12"/>
  <c r="S1373" i="12"/>
  <c r="S1375" i="12"/>
  <c r="S1377" i="12"/>
  <c r="S1379" i="12"/>
  <c r="S1381" i="12"/>
  <c r="S1383" i="12"/>
  <c r="S1385" i="12"/>
  <c r="S1387" i="12"/>
  <c r="S1389" i="12"/>
  <c r="S1391" i="12"/>
  <c r="S1393" i="12"/>
  <c r="S1395" i="12"/>
  <c r="S1397" i="12"/>
  <c r="S1399" i="12"/>
  <c r="S1401" i="12"/>
  <c r="S1403" i="12"/>
  <c r="S1405" i="12"/>
  <c r="S1407" i="12"/>
  <c r="S1409" i="12"/>
  <c r="S1411" i="12"/>
  <c r="S1413" i="12"/>
  <c r="S1415" i="12"/>
  <c r="S1417" i="12"/>
  <c r="S1419" i="12"/>
  <c r="S1421" i="12"/>
  <c r="S1423" i="12"/>
  <c r="S1425" i="12"/>
  <c r="S1427" i="12"/>
  <c r="S1429" i="12"/>
  <c r="S1431" i="12"/>
  <c r="S1433" i="12"/>
  <c r="S1435" i="12"/>
  <c r="S1437" i="12"/>
  <c r="S1439" i="12"/>
  <c r="S1441" i="12"/>
  <c r="S1443" i="12"/>
  <c r="S1445" i="12"/>
  <c r="S1447" i="12"/>
  <c r="S1449" i="12"/>
  <c r="S1451" i="12"/>
  <c r="S1453" i="12"/>
  <c r="S1455" i="12"/>
  <c r="S1457" i="12"/>
  <c r="S1459" i="12"/>
  <c r="S1461" i="12"/>
  <c r="S1463" i="12"/>
  <c r="S1465" i="12"/>
  <c r="S1467" i="12"/>
  <c r="S1469" i="12"/>
  <c r="S1471" i="12"/>
  <c r="S1473" i="12"/>
  <c r="S1475" i="12"/>
  <c r="S1477" i="12"/>
  <c r="S1479" i="12"/>
  <c r="S1481" i="12"/>
  <c r="S1483" i="12"/>
  <c r="S1485" i="12"/>
  <c r="S1487" i="12"/>
  <c r="S1489" i="12"/>
  <c r="S1491" i="12"/>
  <c r="S1493" i="12"/>
  <c r="S1495" i="12"/>
  <c r="S1497" i="12"/>
  <c r="S1499" i="12"/>
  <c r="S1501" i="12"/>
  <c r="S1503" i="12"/>
  <c r="S1505" i="12"/>
  <c r="S1507" i="12"/>
  <c r="S1509" i="12"/>
  <c r="S1511" i="12"/>
  <c r="S1513" i="12"/>
  <c r="S1515" i="12"/>
  <c r="S1517" i="12"/>
  <c r="S1519" i="12"/>
  <c r="S1521" i="12"/>
  <c r="S1523" i="12"/>
  <c r="S1525" i="12"/>
  <c r="S1527" i="12"/>
  <c r="S1529" i="12"/>
  <c r="S1531" i="12"/>
  <c r="S1533" i="12"/>
  <c r="S1535" i="12"/>
  <c r="S1537" i="12"/>
  <c r="S1539" i="12"/>
  <c r="S1541" i="12"/>
  <c r="S1543" i="12"/>
  <c r="S1545" i="12"/>
  <c r="S1547" i="12"/>
  <c r="S1549" i="12"/>
  <c r="S1551" i="12"/>
  <c r="S1553" i="12"/>
  <c r="S1555" i="12"/>
  <c r="S1557" i="12"/>
  <c r="S1559" i="12"/>
  <c r="S1561" i="12"/>
  <c r="S1563" i="12"/>
  <c r="S1565" i="12"/>
  <c r="S1567" i="12"/>
  <c r="S1569" i="12"/>
  <c r="S1571" i="12"/>
  <c r="S1573" i="12"/>
  <c r="S1575" i="12"/>
  <c r="S1577" i="12"/>
  <c r="S1579" i="12"/>
  <c r="S1581" i="12"/>
  <c r="S1583" i="12"/>
  <c r="S1585" i="12"/>
  <c r="S1587" i="12"/>
  <c r="S1589" i="12"/>
  <c r="S1591" i="12"/>
  <c r="S1593" i="12"/>
  <c r="S1595" i="12"/>
  <c r="S1597" i="12"/>
  <c r="S1599" i="12"/>
  <c r="S1601" i="12"/>
  <c r="S1603" i="12"/>
  <c r="S1605" i="12"/>
  <c r="S1607" i="12"/>
  <c r="S1609" i="12"/>
  <c r="S1611" i="12"/>
  <c r="S1613" i="12"/>
  <c r="S1615" i="12"/>
  <c r="S1617" i="12"/>
  <c r="S1619" i="12"/>
  <c r="S1621" i="12"/>
  <c r="S1623" i="12"/>
  <c r="S1625" i="12"/>
  <c r="S1627" i="12"/>
  <c r="S1629" i="12"/>
  <c r="S1631" i="12"/>
  <c r="S1633" i="12"/>
  <c r="S1635" i="12"/>
  <c r="S1637" i="12"/>
  <c r="S1639" i="12"/>
  <c r="S1641" i="12"/>
  <c r="S1643" i="12"/>
  <c r="S1645" i="12"/>
  <c r="S1647" i="12"/>
  <c r="S1649" i="12"/>
  <c r="S1651" i="12"/>
  <c r="S1653" i="12"/>
  <c r="S1655" i="12"/>
  <c r="S1657" i="12"/>
  <c r="S1659" i="12"/>
  <c r="S1661" i="12"/>
  <c r="S1663" i="12"/>
  <c r="S1665" i="12"/>
  <c r="S1667" i="12"/>
  <c r="S1669" i="12"/>
  <c r="S1671" i="12"/>
  <c r="S1673" i="12"/>
  <c r="S1675" i="12"/>
  <c r="S1677" i="12"/>
  <c r="S1679" i="12"/>
  <c r="S1681" i="12"/>
  <c r="S1683" i="12"/>
  <c r="S1685" i="12"/>
  <c r="S1687" i="12"/>
  <c r="S1689" i="12"/>
  <c r="S1691" i="12"/>
  <c r="S1693" i="12"/>
  <c r="S1695" i="12"/>
  <c r="S1697" i="12"/>
  <c r="S1699" i="12"/>
  <c r="S1701" i="12"/>
  <c r="S1703" i="12"/>
  <c r="S1705" i="12"/>
  <c r="S1707" i="12"/>
  <c r="S1709" i="12"/>
  <c r="S1711" i="12"/>
  <c r="S1713" i="12"/>
  <c r="S1715" i="12"/>
  <c r="S1717" i="12"/>
  <c r="S1719" i="12"/>
  <c r="S1721" i="12"/>
  <c r="S1723" i="12"/>
  <c r="S1725" i="12"/>
  <c r="S1727" i="12"/>
  <c r="S1729" i="12"/>
  <c r="S1731" i="12"/>
  <c r="S1733" i="12"/>
  <c r="S1735" i="12"/>
  <c r="S1737" i="12"/>
  <c r="S1739" i="12"/>
  <c r="S1741" i="12"/>
  <c r="S1743" i="12"/>
  <c r="S1745" i="12"/>
  <c r="S1747" i="12"/>
  <c r="S1749" i="12"/>
  <c r="S1751" i="12"/>
  <c r="S1753" i="12"/>
  <c r="S1755" i="12"/>
  <c r="S1757" i="12"/>
  <c r="S1759" i="12"/>
  <c r="S1761" i="12"/>
  <c r="S1763" i="12"/>
  <c r="S1765" i="12"/>
  <c r="S1767" i="12"/>
  <c r="S1769" i="12"/>
  <c r="S1771" i="12"/>
  <c r="S1773" i="12"/>
  <c r="S1775" i="12"/>
  <c r="S1777" i="12"/>
  <c r="S1779" i="12"/>
  <c r="S1781" i="12"/>
  <c r="S1783" i="12"/>
  <c r="S1785" i="12"/>
  <c r="S1787" i="12"/>
  <c r="S1789" i="12"/>
  <c r="S1791" i="12"/>
  <c r="S1793" i="12"/>
  <c r="S1795" i="12"/>
  <c r="S1797" i="12"/>
  <c r="S1799" i="12"/>
  <c r="S1801" i="12"/>
  <c r="S1803" i="12"/>
  <c r="S1805" i="12"/>
  <c r="S1807" i="12"/>
  <c r="S1809" i="12"/>
  <c r="S1811" i="12"/>
  <c r="S1813" i="12"/>
  <c r="S1815" i="12"/>
  <c r="S1817" i="12"/>
  <c r="S1819" i="12"/>
  <c r="S1821" i="12"/>
  <c r="S1823" i="12"/>
  <c r="S1825" i="12"/>
  <c r="S1827" i="12"/>
  <c r="S1829" i="12"/>
  <c r="S1831" i="12"/>
  <c r="S1833" i="12"/>
  <c r="S1835" i="12"/>
  <c r="S1837" i="12"/>
  <c r="S1839" i="12"/>
  <c r="S1841" i="12"/>
  <c r="S1843" i="12"/>
  <c r="S1845" i="12"/>
  <c r="S1847" i="12"/>
  <c r="S1849" i="12"/>
  <c r="S1851" i="12"/>
  <c r="S1853" i="12"/>
  <c r="S1855" i="12"/>
  <c r="S1857" i="12"/>
  <c r="S1859" i="12"/>
  <c r="S1861" i="12"/>
  <c r="S1863" i="12"/>
  <c r="S1865" i="12"/>
  <c r="S1867" i="12"/>
  <c r="S1869" i="12"/>
  <c r="S1871" i="12"/>
  <c r="S1873" i="12"/>
  <c r="S1875" i="12"/>
  <c r="S1877" i="12"/>
  <c r="S1879" i="12"/>
  <c r="S1881" i="12"/>
  <c r="S1883" i="12"/>
  <c r="S1885" i="12"/>
  <c r="S1887" i="12"/>
  <c r="S1889" i="12"/>
  <c r="S1891" i="12"/>
  <c r="S1893" i="12"/>
  <c r="S1895" i="12"/>
  <c r="S1897" i="12"/>
  <c r="S1899" i="12"/>
  <c r="S1901" i="12"/>
  <c r="S1903" i="12"/>
  <c r="S1905" i="12"/>
  <c r="S1907" i="12"/>
  <c r="S1909" i="12"/>
  <c r="S1911" i="12"/>
  <c r="S1913" i="12"/>
  <c r="S1915" i="12"/>
  <c r="S1917" i="12"/>
  <c r="S1919" i="12"/>
  <c r="S1921" i="12"/>
  <c r="S1923" i="12"/>
  <c r="S1925" i="12"/>
  <c r="S1927" i="12"/>
  <c r="S1929" i="12"/>
  <c r="S1931" i="12"/>
  <c r="S1933" i="12"/>
  <c r="S1935" i="12"/>
  <c r="S1937" i="12"/>
  <c r="S1939" i="12"/>
  <c r="S1941" i="12"/>
  <c r="S1943" i="12"/>
  <c r="S1945" i="12"/>
  <c r="S1947" i="12"/>
  <c r="S1949" i="12"/>
  <c r="S1951" i="12"/>
  <c r="S1953" i="12"/>
  <c r="S1955" i="12"/>
  <c r="S1957" i="12"/>
  <c r="S1959" i="12"/>
  <c r="S1961" i="12"/>
  <c r="S1963" i="12"/>
  <c r="S1965" i="12"/>
  <c r="S1967" i="12"/>
  <c r="S1969" i="12"/>
  <c r="S1971" i="12"/>
  <c r="S1973" i="12"/>
  <c r="S1975" i="12"/>
  <c r="S1977" i="12"/>
  <c r="S1979" i="12"/>
  <c r="S1981" i="12"/>
  <c r="S1983" i="12"/>
  <c r="S1985" i="12"/>
  <c r="S1987" i="12"/>
  <c r="S1989" i="12"/>
  <c r="S1991" i="12"/>
  <c r="S1993" i="12"/>
  <c r="S1995" i="12"/>
  <c r="S1997" i="12"/>
  <c r="S1999" i="12"/>
  <c r="S2001" i="12"/>
  <c r="S2003" i="12"/>
  <c r="S2005" i="12"/>
  <c r="S2007" i="12"/>
  <c r="S2009" i="12"/>
  <c r="S2011" i="12"/>
  <c r="S2013" i="12"/>
  <c r="S2015" i="12"/>
  <c r="S2017" i="12"/>
  <c r="S2019" i="12"/>
  <c r="S2021" i="12"/>
  <c r="S2023" i="12"/>
  <c r="S2025" i="12"/>
  <c r="S2027" i="12"/>
  <c r="S2029" i="12"/>
  <c r="S2031" i="12"/>
  <c r="S2033" i="12"/>
  <c r="S2035" i="12"/>
  <c r="S2037" i="12"/>
  <c r="S2039" i="12"/>
  <c r="S2041" i="12"/>
  <c r="S2043" i="12"/>
  <c r="S2045" i="12"/>
  <c r="S2047" i="12"/>
  <c r="S2049" i="12"/>
  <c r="S2051" i="12"/>
  <c r="S2053" i="12"/>
  <c r="S2055" i="12"/>
  <c r="S2057" i="12"/>
  <c r="S2059" i="12"/>
  <c r="S2061" i="12"/>
  <c r="S2063" i="12"/>
  <c r="S2065" i="12"/>
  <c r="S2067" i="12"/>
  <c r="S2069" i="12"/>
  <c r="S2071" i="12"/>
  <c r="S2073" i="12"/>
  <c r="S2075" i="12"/>
  <c r="S2077" i="12"/>
  <c r="S2079" i="12"/>
  <c r="S2081" i="12"/>
  <c r="S2083" i="12"/>
  <c r="S2085" i="12"/>
  <c r="S2087" i="12"/>
  <c r="S2089" i="12"/>
  <c r="S2091" i="12"/>
  <c r="S2093" i="12"/>
  <c r="S2095" i="12"/>
  <c r="S2097" i="12"/>
  <c r="S2099" i="12"/>
  <c r="S2101" i="12"/>
  <c r="S2103" i="12"/>
  <c r="S2105" i="12"/>
  <c r="S2107" i="12"/>
  <c r="S2109" i="12"/>
  <c r="S2111" i="12"/>
  <c r="S2113" i="12"/>
  <c r="S2115" i="12"/>
  <c r="S2117" i="12"/>
  <c r="S2119" i="12"/>
  <c r="S2121" i="12"/>
  <c r="S2123" i="12"/>
  <c r="S2125" i="12"/>
  <c r="S2127" i="12"/>
  <c r="S2129" i="12"/>
  <c r="S2131" i="12"/>
  <c r="S2133" i="12"/>
  <c r="S2135" i="12"/>
  <c r="S2137" i="12"/>
  <c r="S2139" i="12"/>
  <c r="S2141" i="12"/>
  <c r="S2143" i="12"/>
  <c r="S2145" i="12"/>
  <c r="S2147" i="12"/>
  <c r="S2149" i="12"/>
  <c r="S2151" i="12"/>
  <c r="S2153" i="12"/>
  <c r="S2155" i="12"/>
  <c r="S2157" i="12"/>
  <c r="S2159" i="12"/>
  <c r="S2161" i="12"/>
  <c r="S2163" i="12"/>
  <c r="S2165" i="12"/>
  <c r="S2167" i="12"/>
  <c r="S2169" i="12"/>
  <c r="S2171" i="12"/>
  <c r="S2173" i="12"/>
  <c r="S2175" i="12"/>
  <c r="S2177" i="12"/>
  <c r="S2179" i="12"/>
  <c r="S2181" i="12"/>
  <c r="S2183" i="12"/>
  <c r="S2185" i="12"/>
  <c r="S2187" i="12"/>
  <c r="S2189" i="12"/>
  <c r="S2191" i="12"/>
  <c r="S2193" i="12"/>
  <c r="S2195" i="12"/>
  <c r="S2197" i="12"/>
  <c r="S2199" i="12"/>
  <c r="S2201" i="12"/>
  <c r="S2203" i="12"/>
  <c r="S2205" i="12"/>
  <c r="S2207" i="12"/>
  <c r="S2209" i="12"/>
  <c r="S2211" i="12"/>
  <c r="S2213" i="12"/>
  <c r="S2215" i="12"/>
  <c r="S2217" i="12"/>
  <c r="S2219" i="12"/>
  <c r="S2221" i="12"/>
  <c r="S2223" i="12"/>
  <c r="S2225" i="12"/>
  <c r="S2227" i="12"/>
  <c r="S2229" i="12"/>
  <c r="S2231" i="12"/>
  <c r="S2233" i="12"/>
  <c r="S2235" i="12"/>
  <c r="S2237" i="12"/>
  <c r="S2239" i="12"/>
  <c r="S2241" i="12"/>
  <c r="S2243" i="12"/>
  <c r="S2245" i="12"/>
  <c r="S2247" i="12"/>
  <c r="S2249" i="12"/>
  <c r="S2251" i="12"/>
  <c r="S2253" i="12"/>
  <c r="S2255" i="12"/>
  <c r="S2257" i="12"/>
  <c r="S2259" i="12"/>
  <c r="S2261" i="12"/>
  <c r="S2263" i="12"/>
  <c r="S2265" i="12"/>
  <c r="S2267" i="12"/>
  <c r="S2269" i="12"/>
  <c r="S2271" i="12"/>
  <c r="S2273" i="12"/>
  <c r="S2275" i="12"/>
  <c r="S2277" i="12"/>
  <c r="S2279" i="12"/>
  <c r="S2281" i="12"/>
  <c r="S2283" i="12"/>
  <c r="S2285" i="12"/>
  <c r="S2287" i="12"/>
  <c r="S2289" i="12"/>
  <c r="S2291" i="12"/>
  <c r="S2293" i="12"/>
  <c r="S2295" i="12"/>
  <c r="S2297" i="12"/>
  <c r="S2299" i="12"/>
  <c r="S2301" i="12"/>
  <c r="S2303" i="12"/>
  <c r="S2305" i="12"/>
  <c r="S2307" i="12"/>
  <c r="S2309" i="12"/>
  <c r="S2311" i="12"/>
  <c r="S2313" i="12"/>
  <c r="S2315" i="12"/>
  <c r="S2317" i="12"/>
  <c r="S2319" i="12"/>
  <c r="S2321" i="12"/>
  <c r="S2323" i="12"/>
  <c r="S2325" i="12"/>
  <c r="S2327" i="12"/>
  <c r="S2329" i="12"/>
  <c r="S2331" i="12"/>
  <c r="S2333" i="12"/>
  <c r="S2335" i="12"/>
  <c r="S2337" i="12"/>
  <c r="S2339" i="12"/>
  <c r="S2341" i="12"/>
  <c r="S2343" i="12"/>
  <c r="S2345" i="12"/>
  <c r="S2347" i="12"/>
  <c r="S2349" i="12"/>
  <c r="S2351" i="12"/>
  <c r="S2353" i="12"/>
  <c r="S2355" i="12"/>
  <c r="S2357" i="12"/>
  <c r="S2359" i="12"/>
  <c r="S2361" i="12"/>
  <c r="S2363" i="12"/>
  <c r="S2365" i="12"/>
  <c r="S2367" i="12"/>
  <c r="S2369" i="12"/>
  <c r="S2371" i="12"/>
  <c r="S2373" i="12"/>
  <c r="S2375" i="12"/>
  <c r="S2377" i="12"/>
  <c r="S2379" i="12"/>
  <c r="S2381" i="12"/>
  <c r="S2383" i="12"/>
  <c r="S2385" i="12"/>
  <c r="S2387" i="12"/>
  <c r="S2389" i="12"/>
  <c r="S2391" i="12"/>
  <c r="S2393" i="12"/>
  <c r="S2395" i="12"/>
  <c r="S2397" i="12"/>
  <c r="S2399" i="12"/>
  <c r="S2401" i="12"/>
  <c r="S2403" i="12"/>
  <c r="S2405" i="12"/>
  <c r="S2407" i="12"/>
  <c r="S2409" i="12"/>
  <c r="S2411" i="12"/>
  <c r="S2413" i="12"/>
  <c r="S2415" i="12"/>
  <c r="S2417" i="12"/>
  <c r="S2419" i="12"/>
  <c r="S2421" i="12"/>
  <c r="S2423" i="12"/>
  <c r="S2425" i="12"/>
  <c r="S2427" i="12"/>
  <c r="S2429" i="12"/>
  <c r="S2431" i="12"/>
  <c r="S2433" i="12"/>
  <c r="S2435" i="12"/>
  <c r="S2437" i="12"/>
  <c r="S2439" i="12"/>
  <c r="S2441" i="12"/>
  <c r="S2443" i="12"/>
  <c r="S2445" i="12"/>
  <c r="S2447" i="12"/>
  <c r="S2449" i="12"/>
  <c r="S2451" i="12"/>
  <c r="S2453" i="12"/>
  <c r="S2455" i="12"/>
  <c r="S2457" i="12"/>
  <c r="S2459" i="12"/>
  <c r="S2461" i="12"/>
  <c r="S2463" i="12"/>
  <c r="S2465" i="12"/>
  <c r="S2467" i="12"/>
  <c r="S2469" i="12"/>
  <c r="S2471" i="12"/>
  <c r="S2473" i="12"/>
  <c r="S2475" i="12"/>
  <c r="S2477" i="12"/>
  <c r="S2479" i="12"/>
  <c r="S2481" i="12"/>
  <c r="S2483" i="12"/>
  <c r="S2485" i="12"/>
  <c r="S2487" i="12"/>
  <c r="S2489" i="12"/>
  <c r="S2491" i="12"/>
  <c r="S2493" i="12"/>
  <c r="S2495" i="12"/>
  <c r="S2497" i="12"/>
  <c r="S2499" i="12"/>
  <c r="S2501" i="12"/>
  <c r="S2503" i="12"/>
  <c r="S2505" i="12"/>
  <c r="S2507" i="12"/>
  <c r="S2509" i="12"/>
  <c r="S2511" i="12"/>
  <c r="S2513" i="12"/>
  <c r="S2515" i="12"/>
  <c r="S2517" i="12"/>
  <c r="S2519" i="12"/>
  <c r="S2521" i="12"/>
  <c r="S2523" i="12"/>
  <c r="S2525" i="12"/>
  <c r="S2527" i="12"/>
  <c r="S2529" i="12"/>
  <c r="S2531" i="12"/>
  <c r="S2533" i="12"/>
  <c r="S2535" i="12"/>
  <c r="S2537" i="12"/>
  <c r="S2539" i="12"/>
  <c r="S2541" i="12"/>
  <c r="S2543" i="12"/>
  <c r="S2545" i="12"/>
  <c r="S2547" i="12"/>
  <c r="S2549" i="12"/>
  <c r="S2551" i="12"/>
  <c r="S2553" i="12"/>
  <c r="S2555" i="12"/>
  <c r="S2557" i="12"/>
  <c r="S2559" i="12"/>
  <c r="S2561" i="12"/>
  <c r="S2563" i="12"/>
  <c r="S2565" i="12"/>
  <c r="S2567" i="12"/>
  <c r="S2569" i="12"/>
  <c r="S2571" i="12"/>
  <c r="S2573" i="12"/>
  <c r="S2575" i="12"/>
  <c r="S2577" i="12"/>
  <c r="S2579" i="12"/>
  <c r="S2581" i="12"/>
  <c r="S2583" i="12"/>
  <c r="S2585" i="12"/>
  <c r="S2587" i="12"/>
  <c r="S2589" i="12"/>
  <c r="S2591" i="12"/>
  <c r="S2593" i="12"/>
  <c r="S2595" i="12"/>
  <c r="S2597" i="12"/>
  <c r="S2599" i="12"/>
  <c r="S2601" i="12"/>
  <c r="S2603" i="12"/>
  <c r="S2605" i="12"/>
  <c r="S2607" i="12"/>
  <c r="S2609" i="12"/>
  <c r="S2611" i="12"/>
  <c r="S2613" i="12"/>
  <c r="S2615" i="12"/>
  <c r="S2617" i="12"/>
  <c r="S2619" i="12"/>
  <c r="S2621" i="12"/>
  <c r="S2623" i="12"/>
  <c r="S2625" i="12"/>
  <c r="S2627" i="12"/>
  <c r="S2629" i="12"/>
  <c r="S2631" i="12"/>
  <c r="S2633" i="12"/>
  <c r="S2635" i="12"/>
  <c r="S2637" i="12"/>
  <c r="S2639" i="12"/>
  <c r="S2641" i="12"/>
  <c r="S2643" i="12"/>
  <c r="S2645" i="12"/>
  <c r="S2647" i="12"/>
  <c r="S2649" i="12"/>
  <c r="S2651" i="12"/>
  <c r="S2653" i="12"/>
  <c r="S2655" i="12"/>
  <c r="S2657" i="12"/>
  <c r="S2659" i="12"/>
  <c r="S2661" i="12"/>
  <c r="S2663" i="12"/>
  <c r="S2665" i="12"/>
  <c r="S2667" i="12"/>
  <c r="S2669" i="12"/>
  <c r="S2671" i="12"/>
  <c r="S2673" i="12"/>
  <c r="S2675" i="12"/>
  <c r="S2677" i="12"/>
  <c r="S2679" i="12"/>
  <c r="S2681" i="12"/>
  <c r="S2683" i="12"/>
  <c r="S2685" i="12"/>
  <c r="S2687" i="12"/>
  <c r="S2689" i="12"/>
  <c r="S2691" i="12"/>
  <c r="S2693" i="12"/>
  <c r="S2695" i="12"/>
  <c r="S2697" i="12"/>
  <c r="S2699" i="12"/>
  <c r="S2701" i="12"/>
  <c r="S2703" i="12"/>
  <c r="S2705" i="12"/>
  <c r="S2707" i="12"/>
  <c r="S2709" i="12"/>
  <c r="S2711" i="12"/>
  <c r="S2713" i="12"/>
  <c r="S2715" i="12"/>
  <c r="S2717" i="12"/>
  <c r="S2719" i="12"/>
  <c r="S2721" i="12"/>
  <c r="S2723" i="12"/>
  <c r="S2725" i="12"/>
  <c r="S2727" i="12"/>
  <c r="S2729" i="12"/>
  <c r="S2731" i="12"/>
  <c r="S2733" i="12"/>
  <c r="S2735" i="12"/>
  <c r="S2737" i="12"/>
  <c r="S2739" i="12"/>
  <c r="S2741" i="12"/>
  <c r="S2743" i="12"/>
  <c r="S2745" i="12"/>
  <c r="S2747" i="12"/>
  <c r="S2749" i="12"/>
  <c r="S2751" i="12"/>
  <c r="S2753" i="12"/>
  <c r="S2755" i="12"/>
  <c r="S2757" i="12"/>
  <c r="S2759" i="12"/>
  <c r="S2761" i="12"/>
  <c r="S2763" i="12"/>
  <c r="S2765" i="12"/>
  <c r="S2767" i="12"/>
  <c r="S2769" i="12"/>
  <c r="S2771" i="12"/>
  <c r="S2773" i="12"/>
  <c r="S2775" i="12"/>
  <c r="S2777" i="12"/>
  <c r="S2779" i="12"/>
  <c r="S2781" i="12"/>
  <c r="S2783" i="12"/>
  <c r="S2785" i="12"/>
  <c r="S2787" i="12"/>
  <c r="S2789" i="12"/>
  <c r="S2791" i="12"/>
  <c r="S2793" i="12"/>
  <c r="S2795" i="12"/>
  <c r="S2797" i="12"/>
  <c r="S2799" i="12"/>
  <c r="S2801" i="12"/>
  <c r="S2803" i="12"/>
  <c r="S2805" i="12"/>
  <c r="S2807" i="12"/>
  <c r="S2809" i="12"/>
  <c r="S2811" i="12"/>
  <c r="S2813" i="12"/>
  <c r="S2815" i="12"/>
  <c r="S2817" i="12"/>
  <c r="S2819" i="12"/>
  <c r="S2821" i="12"/>
  <c r="S2823" i="12"/>
  <c r="S2825" i="12"/>
  <c r="S2827" i="12"/>
  <c r="S2829" i="12"/>
  <c r="S2831" i="12"/>
  <c r="S2833" i="12"/>
  <c r="S2835" i="12"/>
  <c r="S2837" i="12"/>
  <c r="S2839" i="12"/>
  <c r="S2841" i="12"/>
  <c r="S2843" i="12"/>
  <c r="S2845" i="12"/>
  <c r="S2847" i="12"/>
  <c r="S2849" i="12"/>
  <c r="S2851" i="12"/>
  <c r="S2853" i="12"/>
  <c r="S2855" i="12"/>
  <c r="S2857" i="12"/>
  <c r="S2859" i="12"/>
  <c r="S2861" i="12"/>
  <c r="S2863" i="12"/>
  <c r="S2865" i="12"/>
  <c r="S2867" i="12"/>
  <c r="S2869" i="12"/>
  <c r="S2871" i="12"/>
  <c r="S2873" i="12"/>
  <c r="S2875" i="12"/>
  <c r="S2877" i="12"/>
  <c r="S2879" i="12"/>
  <c r="S2881" i="12"/>
  <c r="S2883" i="12"/>
  <c r="S2885" i="12"/>
  <c r="S2887" i="12"/>
  <c r="S2889" i="12"/>
  <c r="S2891" i="12"/>
  <c r="S2893" i="12"/>
  <c r="S2895" i="12"/>
  <c r="S2897" i="12"/>
  <c r="S2899" i="12"/>
  <c r="S2901" i="12"/>
  <c r="S2903" i="12"/>
  <c r="S2905" i="12"/>
  <c r="S2907" i="12"/>
  <c r="S2909" i="12"/>
  <c r="S2911" i="12"/>
  <c r="S2913" i="12"/>
  <c r="S2915" i="12"/>
  <c r="S2917" i="12"/>
  <c r="S2919" i="12"/>
  <c r="S2921" i="12"/>
  <c r="S2923" i="12"/>
  <c r="S2925" i="12"/>
  <c r="S2927" i="12"/>
  <c r="S2929" i="12"/>
  <c r="S2931" i="12"/>
  <c r="S2933" i="12"/>
  <c r="S2935" i="12"/>
  <c r="S2937" i="12"/>
  <c r="S2939" i="12"/>
  <c r="S2941" i="12"/>
  <c r="S2943" i="12"/>
  <c r="S2945" i="12"/>
  <c r="S2947" i="12"/>
  <c r="S2949" i="12"/>
  <c r="S2951" i="12"/>
  <c r="S2953" i="12"/>
  <c r="S2955" i="12"/>
  <c r="S2957" i="12"/>
  <c r="S2959" i="12"/>
  <c r="S2961" i="12"/>
  <c r="S2963" i="12"/>
  <c r="S2965" i="12"/>
  <c r="S2967" i="12"/>
  <c r="S2969" i="12"/>
  <c r="S2971" i="12"/>
  <c r="S2973" i="12"/>
  <c r="S2975" i="12"/>
  <c r="S2977" i="12"/>
  <c r="S2979" i="12"/>
  <c r="S2981" i="12"/>
  <c r="S2983" i="12"/>
  <c r="S2985" i="12"/>
  <c r="S2987" i="12"/>
  <c r="S2989" i="12"/>
  <c r="S2991" i="12"/>
  <c r="S2993" i="12"/>
  <c r="S2995" i="12"/>
  <c r="S2997" i="12"/>
  <c r="S2999" i="12"/>
  <c r="S3001" i="12"/>
  <c r="S3003" i="12"/>
  <c r="S3005" i="12"/>
  <c r="S3007" i="12"/>
  <c r="S3009" i="12"/>
  <c r="S3011" i="12"/>
  <c r="S3013" i="12"/>
  <c r="S3015" i="12"/>
  <c r="S3017" i="12"/>
  <c r="S3019" i="12"/>
  <c r="S3021" i="12"/>
  <c r="S3023" i="12"/>
  <c r="S3025" i="12"/>
  <c r="S3027" i="12"/>
  <c r="S3029" i="12"/>
  <c r="S3031" i="12"/>
  <c r="S3033" i="12"/>
  <c r="S3035" i="12"/>
  <c r="S3037" i="12"/>
  <c r="S3039" i="12"/>
  <c r="S3041" i="12"/>
  <c r="S3043" i="12"/>
  <c r="S3045" i="12"/>
  <c r="S3047" i="12"/>
  <c r="S3049" i="12"/>
  <c r="S3051" i="12"/>
  <c r="S3053" i="12"/>
  <c r="S3055" i="12"/>
  <c r="S3057" i="12"/>
  <c r="S3059" i="12"/>
  <c r="S3061" i="12"/>
  <c r="S3063" i="12"/>
  <c r="S3065" i="12"/>
  <c r="S3067" i="12"/>
  <c r="S3069" i="12"/>
  <c r="S3071" i="12"/>
  <c r="S3073" i="12"/>
  <c r="S3075" i="12"/>
  <c r="S3077" i="12"/>
  <c r="S3079" i="12"/>
  <c r="S3081" i="12"/>
  <c r="S3083" i="12"/>
  <c r="S3085" i="12"/>
  <c r="S3087" i="12"/>
  <c r="S3089" i="12"/>
  <c r="S3091" i="12"/>
  <c r="S3093" i="12"/>
  <c r="S3095" i="12"/>
  <c r="S3097" i="12"/>
  <c r="S3099" i="12"/>
  <c r="S3101" i="12"/>
  <c r="S3103" i="12"/>
  <c r="S3105" i="12"/>
  <c r="S3107" i="12"/>
  <c r="S3109" i="12"/>
  <c r="S3111" i="12"/>
  <c r="S3113" i="12"/>
  <c r="S3115" i="12"/>
  <c r="S3117" i="12"/>
  <c r="S3119" i="12"/>
  <c r="S3121" i="12"/>
  <c r="S3123" i="12"/>
  <c r="S3125" i="12"/>
  <c r="S3127" i="12"/>
  <c r="S3129" i="12"/>
  <c r="S3131" i="12"/>
  <c r="S3133" i="12"/>
  <c r="S3135" i="12"/>
  <c r="S3137" i="12"/>
  <c r="S3139" i="12"/>
  <c r="S3141" i="12"/>
  <c r="S3143" i="12"/>
  <c r="S3145" i="12"/>
  <c r="S3147" i="12"/>
  <c r="S3149" i="12"/>
  <c r="S3151" i="12"/>
  <c r="S3153" i="12"/>
  <c r="S3155" i="12"/>
  <c r="S3157" i="12"/>
  <c r="S3159" i="12"/>
  <c r="S3161" i="12"/>
  <c r="S3163" i="12"/>
  <c r="S3165" i="12"/>
  <c r="S3167" i="12"/>
  <c r="S3169" i="12"/>
  <c r="S3171" i="12"/>
  <c r="S3173" i="12"/>
  <c r="S3175" i="12"/>
  <c r="S3177" i="12"/>
  <c r="S3179" i="12"/>
  <c r="S3181" i="12"/>
  <c r="S3183" i="12"/>
  <c r="S3185" i="12"/>
  <c r="S3187" i="12"/>
  <c r="S3189" i="12"/>
  <c r="S3191" i="12"/>
  <c r="S3193" i="12"/>
  <c r="S3195" i="12"/>
  <c r="S3197" i="12"/>
  <c r="S3199" i="12"/>
  <c r="S3201" i="12"/>
  <c r="S3203" i="12"/>
  <c r="S3205" i="12"/>
  <c r="S3207" i="12"/>
  <c r="S3209" i="12"/>
  <c r="S3211" i="12"/>
  <c r="S3213" i="12"/>
  <c r="S3215" i="12"/>
  <c r="S3217" i="12"/>
  <c r="S3219" i="12"/>
  <c r="S3221" i="12"/>
  <c r="S3223" i="12"/>
  <c r="S3225" i="12"/>
  <c r="S3227" i="12"/>
  <c r="S3229" i="12"/>
  <c r="S3231" i="12"/>
  <c r="S3233" i="12"/>
  <c r="S3235" i="12"/>
  <c r="S3237" i="12"/>
  <c r="S3239" i="12"/>
  <c r="S3241" i="12"/>
  <c r="S3243" i="12"/>
  <c r="S3245" i="12"/>
  <c r="S3247" i="12"/>
  <c r="S3249" i="12"/>
  <c r="S3251" i="12"/>
  <c r="S3253" i="12"/>
  <c r="S3255" i="12"/>
  <c r="S3257" i="12"/>
  <c r="S3259" i="12"/>
  <c r="S3261" i="12"/>
  <c r="S3263" i="12"/>
  <c r="S3265" i="12"/>
  <c r="S3267" i="12"/>
  <c r="S3269" i="12"/>
  <c r="S3271" i="12"/>
  <c r="S3273" i="12"/>
  <c r="S3275" i="12"/>
  <c r="S3277" i="12"/>
  <c r="S3279" i="12"/>
  <c r="S3281" i="12"/>
  <c r="S3283" i="12"/>
  <c r="S3285" i="12"/>
  <c r="S3287" i="12"/>
  <c r="S3289" i="12"/>
  <c r="S3291" i="12"/>
  <c r="S3293" i="12"/>
  <c r="S3295" i="12"/>
  <c r="S3297" i="12"/>
  <c r="S3299" i="12"/>
  <c r="S3301" i="12"/>
  <c r="S3303" i="12"/>
  <c r="S3305" i="12"/>
  <c r="S3307" i="12"/>
  <c r="S3309" i="12"/>
  <c r="S3311" i="12"/>
  <c r="S3313" i="12"/>
  <c r="S3315" i="12"/>
  <c r="S3317" i="12"/>
  <c r="S3319" i="12"/>
  <c r="S3321" i="12"/>
  <c r="S3323" i="12"/>
  <c r="S3325" i="12"/>
  <c r="S3327" i="12"/>
  <c r="S3329" i="12"/>
  <c r="S3331" i="12"/>
  <c r="S3333" i="12"/>
  <c r="S3335" i="12"/>
  <c r="S3337" i="12"/>
  <c r="S3339" i="12"/>
  <c r="S3341" i="12"/>
  <c r="S3343" i="12"/>
  <c r="S3345" i="12"/>
  <c r="S3347" i="12"/>
  <c r="S3349" i="12"/>
  <c r="S3351" i="12"/>
  <c r="S3353" i="12"/>
  <c r="S3355" i="12"/>
  <c r="S3357" i="12"/>
  <c r="S3359" i="12"/>
  <c r="S3361" i="12"/>
  <c r="S3363" i="12"/>
  <c r="S3365" i="12"/>
  <c r="S3367" i="12"/>
  <c r="S3369" i="12"/>
  <c r="S3371" i="12"/>
  <c r="S3373" i="12"/>
  <c r="S3375" i="12"/>
  <c r="S3377" i="12"/>
  <c r="S3379" i="12"/>
  <c r="S3381" i="12"/>
  <c r="S3383" i="12"/>
  <c r="S3385" i="12"/>
  <c r="S3387" i="12"/>
  <c r="S3389" i="12"/>
  <c r="S3391" i="12"/>
  <c r="S3393" i="12"/>
  <c r="S3395" i="12"/>
  <c r="S3397" i="12"/>
  <c r="S3399" i="12"/>
  <c r="S3401" i="12"/>
  <c r="S3403" i="12"/>
  <c r="S3405" i="12"/>
  <c r="S3407" i="12"/>
  <c r="S3409" i="12"/>
  <c r="S3411" i="12"/>
  <c r="S3413" i="12"/>
  <c r="S3415" i="12"/>
  <c r="S3417" i="12"/>
  <c r="S3419" i="12"/>
  <c r="S3421" i="12"/>
  <c r="S3423" i="12"/>
  <c r="S3425" i="12"/>
  <c r="S3427" i="12"/>
  <c r="S3429" i="12"/>
  <c r="S3431" i="12"/>
  <c r="S3433" i="12"/>
  <c r="S3435" i="12"/>
  <c r="S3437" i="12"/>
  <c r="S3439" i="12"/>
  <c r="S3441" i="12"/>
  <c r="S3443" i="12"/>
  <c r="S3445" i="12"/>
  <c r="S3447" i="12"/>
  <c r="S3449" i="12"/>
  <c r="S3451" i="12"/>
  <c r="S3453" i="12"/>
  <c r="S3455" i="12"/>
  <c r="S3457" i="12"/>
  <c r="S3459" i="12"/>
  <c r="S3461" i="12"/>
  <c r="S3463" i="12"/>
  <c r="S3465" i="12"/>
  <c r="S3467" i="12"/>
  <c r="S3469" i="12"/>
  <c r="S3471" i="12"/>
  <c r="S3473" i="12"/>
  <c r="S3475" i="12"/>
  <c r="S3477" i="12"/>
  <c r="S3479" i="12"/>
  <c r="S3481" i="12"/>
  <c r="S3483" i="12"/>
  <c r="S3485" i="12"/>
  <c r="S3487" i="12"/>
  <c r="S3489" i="12"/>
  <c r="S3491" i="12"/>
  <c r="S3493" i="12"/>
  <c r="S3495" i="12"/>
  <c r="S3497" i="12"/>
  <c r="S3499" i="12"/>
  <c r="S3501" i="12"/>
  <c r="S3503" i="12"/>
  <c r="S3505" i="12"/>
  <c r="S3507" i="12"/>
  <c r="S3509" i="12"/>
  <c r="S3511" i="12"/>
  <c r="S3513" i="12"/>
  <c r="S3515" i="12"/>
  <c r="S3517" i="12"/>
  <c r="S3519" i="12"/>
  <c r="S3521" i="12"/>
  <c r="S3523" i="12"/>
  <c r="S3525" i="12"/>
  <c r="S3527" i="12"/>
  <c r="S3529" i="12"/>
  <c r="S3531" i="12"/>
  <c r="S3533" i="12"/>
  <c r="S3535" i="12"/>
  <c r="S3537" i="12"/>
  <c r="S3539" i="12"/>
  <c r="S3541" i="12"/>
  <c r="S3543" i="12"/>
  <c r="S3545" i="12"/>
  <c r="S3547" i="12"/>
  <c r="S3549" i="12"/>
  <c r="S3551" i="12"/>
  <c r="S3553" i="12"/>
  <c r="S3555" i="12"/>
  <c r="S3557" i="12"/>
  <c r="S3559" i="12"/>
  <c r="S3561" i="12"/>
  <c r="S3563" i="12"/>
  <c r="S3565" i="12"/>
  <c r="S3567" i="12"/>
  <c r="S3569" i="12"/>
  <c r="S3571" i="12"/>
  <c r="S3573" i="12"/>
  <c r="S3575" i="12"/>
  <c r="S3577" i="12"/>
  <c r="S3579" i="12"/>
  <c r="S3581" i="12"/>
  <c r="S3583" i="12"/>
  <c r="S3585" i="12"/>
  <c r="S3587" i="12"/>
  <c r="S3589" i="12"/>
  <c r="S3591" i="12"/>
  <c r="S3593" i="12"/>
  <c r="S3595" i="12"/>
  <c r="S3597" i="12"/>
  <c r="S3599" i="12"/>
  <c r="S3601" i="12"/>
  <c r="S3603" i="12"/>
  <c r="S3605" i="12"/>
  <c r="S9" i="12"/>
  <c r="S3608" i="12"/>
  <c r="V11" i="12"/>
  <c r="V13" i="12"/>
  <c r="V15" i="12"/>
  <c r="V17" i="12"/>
  <c r="V19" i="12"/>
  <c r="V21" i="12"/>
  <c r="V23" i="12"/>
  <c r="V25" i="12"/>
  <c r="V27" i="12"/>
  <c r="V29" i="12"/>
  <c r="V31" i="12"/>
  <c r="V33" i="12"/>
  <c r="V35" i="12"/>
  <c r="V37" i="12"/>
  <c r="V39" i="12"/>
  <c r="V41" i="12"/>
  <c r="V43" i="12"/>
  <c r="V45" i="12"/>
  <c r="V47" i="12"/>
  <c r="V49" i="12"/>
  <c r="V51" i="12"/>
  <c r="V53" i="12"/>
  <c r="V55" i="12"/>
  <c r="V57" i="12"/>
  <c r="V59" i="12"/>
  <c r="V61" i="12"/>
  <c r="V63" i="12"/>
  <c r="V65" i="12"/>
  <c r="V74" i="12"/>
  <c r="V76" i="12"/>
  <c r="V78" i="12"/>
  <c r="V80" i="12"/>
  <c r="V82" i="12"/>
  <c r="V84" i="12"/>
  <c r="V86" i="12"/>
  <c r="V88" i="12"/>
  <c r="V90" i="12"/>
  <c r="V92" i="12"/>
  <c r="V94" i="12"/>
  <c r="V96" i="12"/>
  <c r="V98" i="12"/>
  <c r="V100" i="12"/>
  <c r="V102" i="12"/>
  <c r="V104" i="12"/>
  <c r="V106" i="12"/>
  <c r="V108" i="12"/>
  <c r="V110" i="12"/>
  <c r="V112" i="12"/>
  <c r="V114" i="12"/>
  <c r="V116" i="12"/>
  <c r="V118" i="12"/>
  <c r="V120" i="12"/>
  <c r="V122" i="12"/>
  <c r="V124" i="12"/>
  <c r="V126" i="12"/>
  <c r="V128" i="12"/>
  <c r="V130" i="12"/>
  <c r="V132" i="12"/>
  <c r="V67" i="12"/>
  <c r="V69" i="12"/>
  <c r="V71" i="12"/>
  <c r="V73" i="12"/>
  <c r="V136" i="12"/>
  <c r="V138" i="12"/>
  <c r="V140" i="12"/>
  <c r="V142" i="12"/>
  <c r="V144" i="12"/>
  <c r="V146" i="12"/>
  <c r="V148" i="12"/>
  <c r="V150" i="12"/>
  <c r="V152" i="12"/>
  <c r="V154" i="12"/>
  <c r="V156" i="12"/>
  <c r="V158" i="12"/>
  <c r="V160" i="12"/>
  <c r="V162" i="12"/>
  <c r="V164" i="12"/>
  <c r="V166" i="12"/>
  <c r="V168" i="12"/>
  <c r="V170" i="12"/>
  <c r="V172" i="12"/>
  <c r="V174" i="12"/>
  <c r="V176" i="12"/>
  <c r="V178" i="12"/>
  <c r="V180" i="12"/>
  <c r="V182" i="12"/>
  <c r="V184" i="12"/>
  <c r="V186" i="12"/>
  <c r="V188" i="12"/>
  <c r="V190" i="12"/>
  <c r="V192" i="12"/>
  <c r="V194" i="12"/>
  <c r="V196" i="12"/>
  <c r="V198" i="12"/>
  <c r="V200" i="12"/>
  <c r="V202" i="12"/>
  <c r="V204" i="12"/>
  <c r="V206" i="12"/>
  <c r="V208" i="12"/>
  <c r="V210" i="12"/>
  <c r="V212" i="12"/>
  <c r="V214" i="12"/>
  <c r="V216" i="12"/>
  <c r="V218" i="12"/>
  <c r="V220" i="12"/>
  <c r="V222" i="12"/>
  <c r="V224" i="12"/>
  <c r="V226" i="12"/>
  <c r="V228" i="12"/>
  <c r="V230" i="12"/>
  <c r="V232" i="12"/>
  <c r="V234" i="12"/>
  <c r="V236" i="12"/>
  <c r="V238" i="12"/>
  <c r="V240" i="12"/>
  <c r="V242" i="12"/>
  <c r="V244" i="12"/>
  <c r="V246" i="12"/>
  <c r="V248" i="12"/>
  <c r="V250" i="12"/>
  <c r="V252" i="12"/>
  <c r="V134" i="12"/>
  <c r="V264" i="12"/>
  <c r="V266" i="12"/>
  <c r="V268" i="12"/>
  <c r="V270" i="12"/>
  <c r="V272" i="12"/>
  <c r="V274" i="12"/>
  <c r="V276" i="12"/>
  <c r="V278" i="12"/>
  <c r="V280" i="12"/>
  <c r="V282" i="12"/>
  <c r="V284" i="12"/>
  <c r="V286" i="12"/>
  <c r="V288" i="12"/>
  <c r="V290" i="12"/>
  <c r="V292" i="12"/>
  <c r="V294" i="12"/>
  <c r="V296" i="12"/>
  <c r="V298" i="12"/>
  <c r="V300" i="12"/>
  <c r="V302" i="12"/>
  <c r="V304" i="12"/>
  <c r="V306" i="12"/>
  <c r="V308" i="12"/>
  <c r="V310" i="12"/>
  <c r="V312" i="12"/>
  <c r="V314" i="12"/>
  <c r="V316" i="12"/>
  <c r="V318" i="12"/>
  <c r="V320" i="12"/>
  <c r="V322" i="12"/>
  <c r="V324" i="12"/>
  <c r="V326" i="12"/>
  <c r="V328" i="12"/>
  <c r="V330" i="12"/>
  <c r="V332" i="12"/>
  <c r="V334" i="12"/>
  <c r="V336" i="12"/>
  <c r="V338" i="12"/>
  <c r="V340" i="12"/>
  <c r="V342" i="12"/>
  <c r="V344" i="12"/>
  <c r="V346" i="12"/>
  <c r="V348" i="12"/>
  <c r="V350" i="12"/>
  <c r="V352" i="12"/>
  <c r="V354" i="12"/>
  <c r="V356" i="12"/>
  <c r="V358" i="12"/>
  <c r="V360" i="12"/>
  <c r="V362" i="12"/>
  <c r="V364" i="12"/>
  <c r="V366" i="12"/>
  <c r="V368" i="12"/>
  <c r="V370" i="12"/>
  <c r="V372" i="12"/>
  <c r="V374" i="12"/>
  <c r="V376" i="12"/>
  <c r="V378" i="12"/>
  <c r="V380" i="12"/>
  <c r="V382" i="12"/>
  <c r="V384" i="12"/>
  <c r="V386" i="12"/>
  <c r="V255" i="12"/>
  <c r="V257" i="12"/>
  <c r="V259" i="12"/>
  <c r="V261" i="12"/>
  <c r="V387" i="12"/>
  <c r="V389" i="12"/>
  <c r="V391" i="12"/>
  <c r="V393" i="12"/>
  <c r="V395" i="12"/>
  <c r="V397" i="12"/>
  <c r="V399" i="12"/>
  <c r="V401" i="12"/>
  <c r="V403" i="12"/>
  <c r="V405" i="12"/>
  <c r="V407" i="12"/>
  <c r="V409" i="12"/>
  <c r="V411" i="12"/>
  <c r="V413" i="12"/>
  <c r="V415" i="12"/>
  <c r="V417" i="12"/>
  <c r="V419" i="12"/>
  <c r="V421" i="12"/>
  <c r="V423" i="12"/>
  <c r="V425" i="12"/>
  <c r="V427" i="12"/>
  <c r="V429" i="12"/>
  <c r="V431" i="12"/>
  <c r="V433" i="12"/>
  <c r="V435" i="12"/>
  <c r="V437" i="12"/>
  <c r="V439" i="12"/>
  <c r="V441" i="12"/>
  <c r="V443" i="12"/>
  <c r="V445" i="12"/>
  <c r="V447" i="12"/>
  <c r="V449" i="12"/>
  <c r="V451" i="12"/>
  <c r="V453" i="12"/>
  <c r="V455" i="12"/>
  <c r="V457" i="12"/>
  <c r="V459" i="12"/>
  <c r="V461" i="12"/>
  <c r="V463" i="12"/>
  <c r="V465" i="12"/>
  <c r="V467" i="12"/>
  <c r="V469" i="12"/>
  <c r="V471" i="12"/>
  <c r="V473" i="12"/>
  <c r="V475" i="12"/>
  <c r="V477" i="12"/>
  <c r="V479" i="12"/>
  <c r="V481" i="12"/>
  <c r="V483" i="12"/>
  <c r="V485" i="12"/>
  <c r="V487" i="12"/>
  <c r="V489" i="12"/>
  <c r="V491" i="12"/>
  <c r="V493" i="12"/>
  <c r="V495" i="12"/>
  <c r="V497" i="12"/>
  <c r="V499" i="12"/>
  <c r="V501" i="12"/>
  <c r="V503" i="12"/>
  <c r="V505" i="12"/>
  <c r="V507" i="12"/>
  <c r="V509" i="12"/>
  <c r="V511" i="12"/>
  <c r="V513" i="12"/>
  <c r="V515" i="12"/>
  <c r="V517" i="12"/>
  <c r="V519" i="12"/>
  <c r="V521" i="12"/>
  <c r="V523" i="12"/>
  <c r="V525" i="12"/>
  <c r="V527" i="12"/>
  <c r="V529" i="12"/>
  <c r="V531" i="12"/>
  <c r="V533" i="12"/>
  <c r="V535" i="12"/>
  <c r="V537" i="12"/>
  <c r="V539" i="12"/>
  <c r="V541" i="12"/>
  <c r="V543" i="12"/>
  <c r="V545" i="12"/>
  <c r="V547" i="12"/>
  <c r="V549" i="12"/>
  <c r="V551" i="12"/>
  <c r="V553" i="12"/>
  <c r="V555" i="12"/>
  <c r="V557" i="12"/>
  <c r="V559" i="12"/>
  <c r="V561" i="12"/>
  <c r="V563" i="12"/>
  <c r="V565" i="12"/>
  <c r="V567" i="12"/>
  <c r="V569" i="12"/>
  <c r="V571" i="12"/>
  <c r="V573" i="12"/>
  <c r="V575" i="12"/>
  <c r="V577" i="12"/>
  <c r="V579" i="12"/>
  <c r="V581" i="12"/>
  <c r="V583" i="12"/>
  <c r="V585" i="12"/>
  <c r="V587" i="12"/>
  <c r="V589" i="12"/>
  <c r="V591" i="12"/>
  <c r="V593" i="12"/>
  <c r="V595" i="12"/>
  <c r="V597" i="12"/>
  <c r="V599" i="12"/>
  <c r="V601" i="12"/>
  <c r="V603" i="12"/>
  <c r="V605" i="12"/>
  <c r="V607" i="12"/>
  <c r="V609" i="12"/>
  <c r="V611" i="12"/>
  <c r="V613" i="12"/>
  <c r="V615" i="12"/>
  <c r="V617" i="12"/>
  <c r="V619" i="12"/>
  <c r="V621" i="12"/>
  <c r="V623" i="12"/>
  <c r="V625" i="12"/>
  <c r="V627" i="12"/>
  <c r="V629" i="12"/>
  <c r="V631" i="12"/>
  <c r="V633" i="12"/>
  <c r="V635" i="12"/>
  <c r="V637" i="12"/>
  <c r="V639" i="12"/>
  <c r="V641" i="12"/>
  <c r="V643" i="12"/>
  <c r="V645" i="12"/>
  <c r="V647" i="12"/>
  <c r="V649" i="12"/>
  <c r="V651" i="12"/>
  <c r="V653" i="12"/>
  <c r="V655" i="12"/>
  <c r="V657" i="12"/>
  <c r="V659" i="12"/>
  <c r="V661" i="12"/>
  <c r="V663" i="12"/>
  <c r="V665" i="12"/>
  <c r="V667" i="12"/>
  <c r="V669" i="12"/>
  <c r="V671" i="12"/>
  <c r="V673" i="12"/>
  <c r="V675" i="12"/>
  <c r="V677" i="12"/>
  <c r="V679" i="12"/>
  <c r="V681" i="12"/>
  <c r="V683" i="12"/>
  <c r="V685" i="12"/>
  <c r="V687" i="12"/>
  <c r="V689" i="12"/>
  <c r="V691" i="12"/>
  <c r="V693" i="12"/>
  <c r="V695" i="12"/>
  <c r="V697" i="12"/>
  <c r="V699" i="12"/>
  <c r="V701" i="12"/>
  <c r="V703" i="12"/>
  <c r="V705" i="12"/>
  <c r="V707" i="12"/>
  <c r="V709" i="12"/>
  <c r="V711" i="12"/>
  <c r="V713" i="12"/>
  <c r="V715" i="12"/>
  <c r="V717" i="12"/>
  <c r="V719" i="12"/>
  <c r="V721" i="12"/>
  <c r="V723" i="12"/>
  <c r="V725" i="12"/>
  <c r="V727" i="12"/>
  <c r="V729" i="12"/>
  <c r="V731" i="12"/>
  <c r="V733" i="12"/>
  <c r="V735" i="12"/>
  <c r="V737" i="12"/>
  <c r="V739" i="12"/>
  <c r="V741" i="12"/>
  <c r="V743" i="12"/>
  <c r="V745" i="12"/>
  <c r="V747" i="12"/>
  <c r="V749" i="12"/>
  <c r="V751" i="12"/>
  <c r="V753" i="12"/>
  <c r="V755" i="12"/>
  <c r="V757" i="12"/>
  <c r="V759" i="12"/>
  <c r="V761" i="12"/>
  <c r="V763" i="12"/>
  <c r="V765" i="12"/>
  <c r="V767" i="12"/>
  <c r="V769" i="12"/>
  <c r="V771" i="12"/>
  <c r="V773" i="12"/>
  <c r="V775" i="12"/>
  <c r="V777" i="12"/>
  <c r="V779" i="12"/>
  <c r="V781" i="12"/>
  <c r="V783" i="12"/>
  <c r="V785" i="12"/>
  <c r="V787" i="12"/>
  <c r="V789" i="12"/>
  <c r="V791" i="12"/>
  <c r="V793" i="12"/>
  <c r="V795" i="12"/>
  <c r="V797" i="12"/>
  <c r="V799" i="12"/>
  <c r="V801" i="12"/>
  <c r="V803" i="12"/>
  <c r="V805" i="12"/>
  <c r="V807" i="12"/>
  <c r="V809" i="12"/>
  <c r="V811" i="12"/>
  <c r="V813" i="12"/>
  <c r="V815" i="12"/>
  <c r="V817" i="12"/>
  <c r="V819" i="12"/>
  <c r="V821" i="12"/>
  <c r="V823" i="12"/>
  <c r="V825" i="12"/>
  <c r="V827" i="12"/>
  <c r="V829" i="12"/>
  <c r="V831" i="12"/>
  <c r="V833" i="12"/>
  <c r="V835" i="12"/>
  <c r="V837" i="12"/>
  <c r="V839" i="12"/>
  <c r="V841" i="12"/>
  <c r="V843" i="12"/>
  <c r="V845" i="12"/>
  <c r="V847" i="12"/>
  <c r="V849" i="12"/>
  <c r="V851" i="12"/>
  <c r="V853" i="12"/>
  <c r="V855" i="12"/>
  <c r="V857" i="12"/>
  <c r="V859" i="12"/>
  <c r="V861" i="12"/>
  <c r="V863" i="12"/>
  <c r="V865" i="12"/>
  <c r="V867" i="12"/>
  <c r="V869" i="12"/>
  <c r="V871" i="12"/>
  <c r="V873" i="12"/>
  <c r="V875" i="12"/>
  <c r="V877" i="12"/>
  <c r="V879" i="12"/>
  <c r="V881" i="12"/>
  <c r="V883" i="12"/>
  <c r="V885" i="12"/>
  <c r="V887" i="12"/>
  <c r="V889" i="12"/>
  <c r="V891" i="12"/>
  <c r="V893" i="12"/>
  <c r="V895" i="12"/>
  <c r="V897" i="12"/>
  <c r="V899" i="12"/>
  <c r="V901" i="12"/>
  <c r="V903" i="12"/>
  <c r="V905" i="12"/>
  <c r="V907" i="12"/>
  <c r="V909" i="12"/>
  <c r="V911" i="12"/>
  <c r="V913" i="12"/>
  <c r="V915" i="12"/>
  <c r="V917" i="12"/>
  <c r="V919" i="12"/>
  <c r="V921" i="12"/>
  <c r="V923" i="12"/>
  <c r="V925" i="12"/>
  <c r="V927" i="12"/>
  <c r="V929" i="12"/>
  <c r="V931" i="12"/>
  <c r="V933" i="12"/>
  <c r="V935" i="12"/>
  <c r="V937" i="12"/>
  <c r="V939" i="12"/>
  <c r="V941" i="12"/>
  <c r="V943" i="12"/>
  <c r="V945" i="12"/>
  <c r="V947" i="12"/>
  <c r="V949" i="12"/>
  <c r="V951" i="12"/>
  <c r="V953" i="12"/>
  <c r="V955" i="12"/>
  <c r="V957" i="12"/>
  <c r="V959" i="12"/>
  <c r="V961" i="12"/>
  <c r="V963" i="12"/>
  <c r="V965" i="12"/>
  <c r="V967" i="12"/>
  <c r="V969" i="12"/>
  <c r="V971" i="12"/>
  <c r="V973" i="12"/>
  <c r="V975" i="12"/>
  <c r="V977" i="12"/>
  <c r="V979" i="12"/>
  <c r="V981" i="12"/>
  <c r="V983" i="12"/>
  <c r="V985" i="12"/>
  <c r="V987" i="12"/>
  <c r="V989" i="12"/>
  <c r="V991" i="12"/>
  <c r="V993" i="12"/>
  <c r="V995" i="12"/>
  <c r="V997" i="12"/>
  <c r="V999" i="12"/>
  <c r="V1001" i="12"/>
  <c r="V10" i="12"/>
  <c r="V12" i="12"/>
  <c r="V14" i="12"/>
  <c r="V16" i="12"/>
  <c r="V18" i="12"/>
  <c r="V20" i="12"/>
  <c r="V22" i="12"/>
  <c r="V24" i="12"/>
  <c r="V26" i="12"/>
  <c r="V28" i="12"/>
  <c r="V30" i="12"/>
  <c r="V32" i="12"/>
  <c r="V34" i="12"/>
  <c r="V36" i="12"/>
  <c r="V38" i="12"/>
  <c r="V40" i="12"/>
  <c r="V42" i="12"/>
  <c r="V44" i="12"/>
  <c r="V46" i="12"/>
  <c r="V48" i="12"/>
  <c r="V50" i="12"/>
  <c r="V52" i="12"/>
  <c r="V54" i="12"/>
  <c r="V56" i="12"/>
  <c r="V58" i="12"/>
  <c r="V60" i="12"/>
  <c r="V62" i="12"/>
  <c r="V64" i="12"/>
  <c r="V66" i="12"/>
  <c r="V75" i="12"/>
  <c r="V77" i="12"/>
  <c r="V79" i="12"/>
  <c r="V81" i="12"/>
  <c r="V83" i="12"/>
  <c r="V85" i="12"/>
  <c r="V87" i="12"/>
  <c r="V89" i="12"/>
  <c r="V91" i="12"/>
  <c r="V93" i="12"/>
  <c r="V95" i="12"/>
  <c r="V97" i="12"/>
  <c r="V99" i="12"/>
  <c r="V101" i="12"/>
  <c r="V103" i="12"/>
  <c r="V105" i="12"/>
  <c r="V107" i="12"/>
  <c r="V109" i="12"/>
  <c r="V111" i="12"/>
  <c r="V113" i="12"/>
  <c r="V115" i="12"/>
  <c r="V117" i="12"/>
  <c r="V119" i="12"/>
  <c r="V121" i="12"/>
  <c r="V123" i="12"/>
  <c r="V125" i="12"/>
  <c r="V127" i="12"/>
  <c r="V129" i="12"/>
  <c r="V131" i="12"/>
  <c r="V133" i="12"/>
  <c r="V68" i="12"/>
  <c r="V70" i="12"/>
  <c r="V72" i="12"/>
  <c r="V135" i="12"/>
  <c r="V137" i="12"/>
  <c r="V139" i="12"/>
  <c r="V141" i="12"/>
  <c r="V143" i="12"/>
  <c r="V145" i="12"/>
  <c r="V147" i="12"/>
  <c r="V149" i="12"/>
  <c r="V151" i="12"/>
  <c r="V153" i="12"/>
  <c r="V155" i="12"/>
  <c r="V157" i="12"/>
  <c r="V159" i="12"/>
  <c r="V161" i="12"/>
  <c r="V163" i="12"/>
  <c r="V165" i="12"/>
  <c r="V167" i="12"/>
  <c r="V169" i="12"/>
  <c r="V171" i="12"/>
  <c r="V173" i="12"/>
  <c r="V175" i="12"/>
  <c r="V177" i="12"/>
  <c r="V179" i="12"/>
  <c r="V181" i="12"/>
  <c r="V183" i="12"/>
  <c r="V185" i="12"/>
  <c r="V187" i="12"/>
  <c r="V189" i="12"/>
  <c r="V191" i="12"/>
  <c r="V193" i="12"/>
  <c r="V195" i="12"/>
  <c r="V197" i="12"/>
  <c r="V199" i="12"/>
  <c r="V201" i="12"/>
  <c r="V203" i="12"/>
  <c r="V205" i="12"/>
  <c r="V207" i="12"/>
  <c r="V209" i="12"/>
  <c r="V211" i="12"/>
  <c r="V213" i="12"/>
  <c r="V215" i="12"/>
  <c r="V217" i="12"/>
  <c r="V219" i="12"/>
  <c r="V221" i="12"/>
  <c r="V223" i="12"/>
  <c r="V225" i="12"/>
  <c r="V227" i="12"/>
  <c r="V229" i="12"/>
  <c r="V231" i="12"/>
  <c r="V233" i="12"/>
  <c r="V235" i="12"/>
  <c r="V237" i="12"/>
  <c r="V239" i="12"/>
  <c r="V241" i="12"/>
  <c r="V243" i="12"/>
  <c r="V245" i="12"/>
  <c r="V247" i="12"/>
  <c r="V249" i="12"/>
  <c r="V251" i="12"/>
  <c r="V253" i="12"/>
  <c r="V263" i="12"/>
  <c r="V265" i="12"/>
  <c r="V267" i="12"/>
  <c r="V269" i="12"/>
  <c r="V271" i="12"/>
  <c r="V273" i="12"/>
  <c r="V275" i="12"/>
  <c r="V277" i="12"/>
  <c r="V279" i="12"/>
  <c r="V281" i="12"/>
  <c r="V283" i="12"/>
  <c r="V285" i="12"/>
  <c r="V287" i="12"/>
  <c r="V289" i="12"/>
  <c r="V291" i="12"/>
  <c r="V293" i="12"/>
  <c r="V295" i="12"/>
  <c r="V297" i="12"/>
  <c r="V299" i="12"/>
  <c r="V301" i="12"/>
  <c r="V303" i="12"/>
  <c r="V305" i="12"/>
  <c r="V307" i="12"/>
  <c r="V309" i="12"/>
  <c r="V311" i="12"/>
  <c r="V313" i="12"/>
  <c r="V315" i="12"/>
  <c r="V317" i="12"/>
  <c r="V319" i="12"/>
  <c r="V321" i="12"/>
  <c r="V323" i="12"/>
  <c r="V325" i="12"/>
  <c r="V327" i="12"/>
  <c r="V329" i="12"/>
  <c r="V331" i="12"/>
  <c r="V333" i="12"/>
  <c r="V335" i="12"/>
  <c r="V337" i="12"/>
  <c r="V339" i="12"/>
  <c r="V341" i="12"/>
  <c r="V343" i="12"/>
  <c r="V345" i="12"/>
  <c r="V347" i="12"/>
  <c r="V349" i="12"/>
  <c r="V351" i="12"/>
  <c r="V353" i="12"/>
  <c r="V355" i="12"/>
  <c r="V357" i="12"/>
  <c r="V359" i="12"/>
  <c r="V361" i="12"/>
  <c r="V363" i="12"/>
  <c r="V365" i="12"/>
  <c r="V367" i="12"/>
  <c r="V369" i="12"/>
  <c r="V371" i="12"/>
  <c r="V373" i="12"/>
  <c r="V375" i="12"/>
  <c r="V377" i="12"/>
  <c r="V379" i="12"/>
  <c r="V381" i="12"/>
  <c r="V383" i="12"/>
  <c r="V385" i="12"/>
  <c r="V254" i="12"/>
  <c r="V256" i="12"/>
  <c r="V258" i="12"/>
  <c r="V260" i="12"/>
  <c r="V262" i="12"/>
  <c r="V388" i="12"/>
  <c r="V390" i="12"/>
  <c r="V392" i="12"/>
  <c r="V394" i="12"/>
  <c r="V396" i="12"/>
  <c r="V398" i="12"/>
  <c r="V400" i="12"/>
  <c r="V402" i="12"/>
  <c r="V404" i="12"/>
  <c r="V406" i="12"/>
  <c r="V408" i="12"/>
  <c r="V410" i="12"/>
  <c r="V412" i="12"/>
  <c r="V414" i="12"/>
  <c r="V416" i="12"/>
  <c r="V418" i="12"/>
  <c r="V420" i="12"/>
  <c r="V422" i="12"/>
  <c r="V424" i="12"/>
  <c r="V426" i="12"/>
  <c r="V428" i="12"/>
  <c r="V430" i="12"/>
  <c r="V432" i="12"/>
  <c r="V434" i="12"/>
  <c r="V436" i="12"/>
  <c r="V438" i="12"/>
  <c r="V440" i="12"/>
  <c r="V442" i="12"/>
  <c r="V444" i="12"/>
  <c r="V446" i="12"/>
  <c r="V448" i="12"/>
  <c r="V450" i="12"/>
  <c r="V452" i="12"/>
  <c r="V454" i="12"/>
  <c r="V456" i="12"/>
  <c r="V458" i="12"/>
  <c r="V460" i="12"/>
  <c r="V462" i="12"/>
  <c r="V464" i="12"/>
  <c r="V466" i="12"/>
  <c r="V468" i="12"/>
  <c r="V470" i="12"/>
  <c r="V472" i="12"/>
  <c r="V474" i="12"/>
  <c r="V476" i="12"/>
  <c r="V478" i="12"/>
  <c r="V480" i="12"/>
  <c r="V482" i="12"/>
  <c r="V484" i="12"/>
  <c r="V486" i="12"/>
  <c r="V488" i="12"/>
  <c r="V490" i="12"/>
  <c r="V492" i="12"/>
  <c r="V494" i="12"/>
  <c r="V496" i="12"/>
  <c r="V498" i="12"/>
  <c r="V500" i="12"/>
  <c r="V502" i="12"/>
  <c r="V504" i="12"/>
  <c r="V506" i="12"/>
  <c r="V508" i="12"/>
  <c r="V510" i="12"/>
  <c r="V512" i="12"/>
  <c r="V514" i="12"/>
  <c r="V516" i="12"/>
  <c r="V518" i="12"/>
  <c r="V520" i="12"/>
  <c r="V522" i="12"/>
  <c r="V524" i="12"/>
  <c r="V526" i="12"/>
  <c r="V528" i="12"/>
  <c r="V530" i="12"/>
  <c r="V532" i="12"/>
  <c r="V534" i="12"/>
  <c r="V536" i="12"/>
  <c r="V538" i="12"/>
  <c r="V540" i="12"/>
  <c r="V542" i="12"/>
  <c r="V544" i="12"/>
  <c r="V546" i="12"/>
  <c r="V548" i="12"/>
  <c r="V550" i="12"/>
  <c r="V552" i="12"/>
  <c r="V554" i="12"/>
  <c r="V556" i="12"/>
  <c r="V558" i="12"/>
  <c r="V560" i="12"/>
  <c r="V562" i="12"/>
  <c r="V564" i="12"/>
  <c r="V566" i="12"/>
  <c r="V568" i="12"/>
  <c r="V570" i="12"/>
  <c r="V572" i="12"/>
  <c r="V574" i="12"/>
  <c r="V576" i="12"/>
  <c r="V578" i="12"/>
  <c r="V580" i="12"/>
  <c r="V582" i="12"/>
  <c r="V584" i="12"/>
  <c r="V586" i="12"/>
  <c r="V588" i="12"/>
  <c r="V590" i="12"/>
  <c r="V592" i="12"/>
  <c r="V594" i="12"/>
  <c r="V596" i="12"/>
  <c r="V598" i="12"/>
  <c r="V600" i="12"/>
  <c r="V602" i="12"/>
  <c r="V604" i="12"/>
  <c r="V606" i="12"/>
  <c r="V608" i="12"/>
  <c r="V610" i="12"/>
  <c r="V612" i="12"/>
  <c r="V614" i="12"/>
  <c r="V616" i="12"/>
  <c r="V618" i="12"/>
  <c r="V620" i="12"/>
  <c r="V622" i="12"/>
  <c r="V624" i="12"/>
  <c r="V626" i="12"/>
  <c r="V628" i="12"/>
  <c r="V630" i="12"/>
  <c r="V632" i="12"/>
  <c r="V634" i="12"/>
  <c r="V636" i="12"/>
  <c r="V638" i="12"/>
  <c r="V640" i="12"/>
  <c r="V642" i="12"/>
  <c r="V644" i="12"/>
  <c r="V646" i="12"/>
  <c r="V648" i="12"/>
  <c r="V650" i="12"/>
  <c r="V652" i="12"/>
  <c r="V654" i="12"/>
  <c r="V656" i="12"/>
  <c r="V658" i="12"/>
  <c r="V660" i="12"/>
  <c r="V662" i="12"/>
  <c r="V664" i="12"/>
  <c r="V666" i="12"/>
  <c r="V668" i="12"/>
  <c r="V670" i="12"/>
  <c r="V672" i="12"/>
  <c r="V674" i="12"/>
  <c r="V676" i="12"/>
  <c r="V678" i="12"/>
  <c r="V680" i="12"/>
  <c r="V682" i="12"/>
  <c r="V684" i="12"/>
  <c r="V686" i="12"/>
  <c r="V688" i="12"/>
  <c r="V690" i="12"/>
  <c r="V692" i="12"/>
  <c r="V694" i="12"/>
  <c r="V696" i="12"/>
  <c r="V698" i="12"/>
  <c r="V700" i="12"/>
  <c r="V702" i="12"/>
  <c r="V704" i="12"/>
  <c r="V706" i="12"/>
  <c r="V708" i="12"/>
  <c r="V710" i="12"/>
  <c r="V712" i="12"/>
  <c r="V714" i="12"/>
  <c r="V716" i="12"/>
  <c r="V718" i="12"/>
  <c r="V720" i="12"/>
  <c r="V722" i="12"/>
  <c r="V724" i="12"/>
  <c r="V726" i="12"/>
  <c r="V728" i="12"/>
  <c r="V730" i="12"/>
  <c r="V732" i="12"/>
  <c r="V734" i="12"/>
  <c r="V736" i="12"/>
  <c r="V738" i="12"/>
  <c r="V740" i="12"/>
  <c r="V742" i="12"/>
  <c r="V744" i="12"/>
  <c r="V746" i="12"/>
  <c r="V748" i="12"/>
  <c r="V750" i="12"/>
  <c r="V752" i="12"/>
  <c r="V754" i="12"/>
  <c r="V756" i="12"/>
  <c r="V758" i="12"/>
  <c r="V760" i="12"/>
  <c r="V762" i="12"/>
  <c r="V764" i="12"/>
  <c r="V766" i="12"/>
  <c r="V768" i="12"/>
  <c r="V770" i="12"/>
  <c r="V772" i="12"/>
  <c r="V774" i="12"/>
  <c r="V776" i="12"/>
  <c r="V778" i="12"/>
  <c r="V780" i="12"/>
  <c r="V782" i="12"/>
  <c r="V784" i="12"/>
  <c r="V786" i="12"/>
  <c r="V788" i="12"/>
  <c r="V790" i="12"/>
  <c r="V792" i="12"/>
  <c r="V794" i="12"/>
  <c r="V796" i="12"/>
  <c r="V798" i="12"/>
  <c r="V800" i="12"/>
  <c r="V802" i="12"/>
  <c r="V804" i="12"/>
  <c r="V806" i="12"/>
  <c r="V808" i="12"/>
  <c r="V810" i="12"/>
  <c r="V812" i="12"/>
  <c r="V814" i="12"/>
  <c r="V816" i="12"/>
  <c r="V818" i="12"/>
  <c r="V820" i="12"/>
  <c r="V822" i="12"/>
  <c r="V824" i="12"/>
  <c r="V826" i="12"/>
  <c r="V828" i="12"/>
  <c r="V830" i="12"/>
  <c r="V832" i="12"/>
  <c r="V834" i="12"/>
  <c r="V836" i="12"/>
  <c r="V838" i="12"/>
  <c r="V840" i="12"/>
  <c r="V842" i="12"/>
  <c r="V844" i="12"/>
  <c r="V846" i="12"/>
  <c r="V848" i="12"/>
  <c r="V850" i="12"/>
  <c r="V852" i="12"/>
  <c r="V854" i="12"/>
  <c r="V856" i="12"/>
  <c r="V858" i="12"/>
  <c r="V860" i="12"/>
  <c r="V862" i="12"/>
  <c r="V864" i="12"/>
  <c r="V866" i="12"/>
  <c r="V868" i="12"/>
  <c r="V870" i="12"/>
  <c r="V872" i="12"/>
  <c r="V874" i="12"/>
  <c r="V876" i="12"/>
  <c r="V878" i="12"/>
  <c r="V880" i="12"/>
  <c r="V882" i="12"/>
  <c r="V884" i="12"/>
  <c r="V886" i="12"/>
  <c r="V888" i="12"/>
  <c r="V890" i="12"/>
  <c r="V892" i="12"/>
  <c r="V894" i="12"/>
  <c r="V896" i="12"/>
  <c r="V898" i="12"/>
  <c r="V900" i="12"/>
  <c r="V902" i="12"/>
  <c r="V904" i="12"/>
  <c r="V906" i="12"/>
  <c r="V908" i="12"/>
  <c r="V910" i="12"/>
  <c r="V912" i="12"/>
  <c r="V914" i="12"/>
  <c r="V916" i="12"/>
  <c r="V918" i="12"/>
  <c r="V920" i="12"/>
  <c r="V922" i="12"/>
  <c r="V924" i="12"/>
  <c r="V926" i="12"/>
  <c r="V928" i="12"/>
  <c r="V930" i="12"/>
  <c r="V932" i="12"/>
  <c r="V934" i="12"/>
  <c r="V936" i="12"/>
  <c r="V938" i="12"/>
  <c r="V940" i="12"/>
  <c r="V942" i="12"/>
  <c r="V944" i="12"/>
  <c r="V946" i="12"/>
  <c r="V948" i="12"/>
  <c r="V950" i="12"/>
  <c r="V952" i="12"/>
  <c r="V954" i="12"/>
  <c r="V956" i="12"/>
  <c r="V958" i="12"/>
  <c r="V960" i="12"/>
  <c r="V962" i="12"/>
  <c r="V964" i="12"/>
  <c r="V966" i="12"/>
  <c r="V968" i="12"/>
  <c r="V970" i="12"/>
  <c r="V972" i="12"/>
  <c r="V974" i="12"/>
  <c r="V976" i="12"/>
  <c r="V978" i="12"/>
  <c r="V980" i="12"/>
  <c r="V982" i="12"/>
  <c r="V984" i="12"/>
  <c r="V986" i="12"/>
  <c r="V988" i="12"/>
  <c r="V990" i="12"/>
  <c r="V992" i="12"/>
  <c r="V994" i="12"/>
  <c r="V996" i="12"/>
  <c r="V998" i="12"/>
  <c r="V1000" i="12"/>
  <c r="V1002" i="12"/>
  <c r="V1004" i="12"/>
  <c r="V1006" i="12"/>
  <c r="V1008" i="12"/>
  <c r="V1010" i="12"/>
  <c r="V1012" i="12"/>
  <c r="V1014" i="12"/>
  <c r="V1016" i="12"/>
  <c r="V1018" i="12"/>
  <c r="V1020" i="12"/>
  <c r="V1022" i="12"/>
  <c r="V1024" i="12"/>
  <c r="V1026" i="12"/>
  <c r="V1028" i="12"/>
  <c r="V1030" i="12"/>
  <c r="V1032" i="12"/>
  <c r="V1034" i="12"/>
  <c r="V1036" i="12"/>
  <c r="V1038" i="12"/>
  <c r="V1040" i="12"/>
  <c r="V1042" i="12"/>
  <c r="V1044" i="12"/>
  <c r="V1046" i="12"/>
  <c r="V1048" i="12"/>
  <c r="V1050" i="12"/>
  <c r="V1052" i="12"/>
  <c r="V1054" i="12"/>
  <c r="V1056" i="12"/>
  <c r="V1058" i="12"/>
  <c r="V1060" i="12"/>
  <c r="V1062" i="12"/>
  <c r="V1064" i="12"/>
  <c r="V1066" i="12"/>
  <c r="V1068" i="12"/>
  <c r="V1070" i="12"/>
  <c r="V1072" i="12"/>
  <c r="V1074" i="12"/>
  <c r="V1076" i="12"/>
  <c r="V1078" i="12"/>
  <c r="V1080" i="12"/>
  <c r="V1082" i="12"/>
  <c r="V1084" i="12"/>
  <c r="V1086" i="12"/>
  <c r="V1088" i="12"/>
  <c r="V1090" i="12"/>
  <c r="V1092" i="12"/>
  <c r="V1094" i="12"/>
  <c r="V1096" i="12"/>
  <c r="V1098" i="12"/>
  <c r="V1100" i="12"/>
  <c r="V1102" i="12"/>
  <c r="V1104" i="12"/>
  <c r="V1106" i="12"/>
  <c r="V1108" i="12"/>
  <c r="V1110" i="12"/>
  <c r="V1112" i="12"/>
  <c r="V1114" i="12"/>
  <c r="V1116" i="12"/>
  <c r="V1118" i="12"/>
  <c r="V1120" i="12"/>
  <c r="V1122" i="12"/>
  <c r="V1124" i="12"/>
  <c r="V1126" i="12"/>
  <c r="V1128" i="12"/>
  <c r="V1130" i="12"/>
  <c r="V1132" i="12"/>
  <c r="V1134" i="12"/>
  <c r="V1136" i="12"/>
  <c r="V1138" i="12"/>
  <c r="V1140" i="12"/>
  <c r="V1142" i="12"/>
  <c r="V1144" i="12"/>
  <c r="V1146" i="12"/>
  <c r="V1148" i="12"/>
  <c r="V1150" i="12"/>
  <c r="V1152" i="12"/>
  <c r="V1154" i="12"/>
  <c r="V1156" i="12"/>
  <c r="V1158" i="12"/>
  <c r="V1160" i="12"/>
  <c r="V1162" i="12"/>
  <c r="V1164" i="12"/>
  <c r="V1166" i="12"/>
  <c r="V1005" i="12"/>
  <c r="V1009" i="12"/>
  <c r="V1013" i="12"/>
  <c r="V1017" i="12"/>
  <c r="V1021" i="12"/>
  <c r="V1025" i="12"/>
  <c r="V1029" i="12"/>
  <c r="V1033" i="12"/>
  <c r="V1037" i="12"/>
  <c r="V1041" i="12"/>
  <c r="V1045" i="12"/>
  <c r="V1049" i="12"/>
  <c r="V1053" i="12"/>
  <c r="V1057" i="12"/>
  <c r="V1061" i="12"/>
  <c r="V1065" i="12"/>
  <c r="V1069" i="12"/>
  <c r="V1073" i="12"/>
  <c r="V1077" i="12"/>
  <c r="V1081" i="12"/>
  <c r="V1085" i="12"/>
  <c r="V1089" i="12"/>
  <c r="V1093" i="12"/>
  <c r="V1097" i="12"/>
  <c r="V1101" i="12"/>
  <c r="V1105" i="12"/>
  <c r="V1109" i="12"/>
  <c r="V1113" i="12"/>
  <c r="V1117" i="12"/>
  <c r="V1121" i="12"/>
  <c r="V1125" i="12"/>
  <c r="V1129" i="12"/>
  <c r="V1133" i="12"/>
  <c r="V1137" i="12"/>
  <c r="V1141" i="12"/>
  <c r="V1145" i="12"/>
  <c r="V1149" i="12"/>
  <c r="V1153" i="12"/>
  <c r="V1157" i="12"/>
  <c r="V1161" i="12"/>
  <c r="V1165" i="12"/>
  <c r="V1168" i="12"/>
  <c r="V1170" i="12"/>
  <c r="V1172" i="12"/>
  <c r="V1174" i="12"/>
  <c r="V1176" i="12"/>
  <c r="V1178" i="12"/>
  <c r="V1180" i="12"/>
  <c r="V1182" i="12"/>
  <c r="V1184" i="12"/>
  <c r="V1186" i="12"/>
  <c r="V1188" i="12"/>
  <c r="V1190" i="12"/>
  <c r="V1192" i="12"/>
  <c r="V1194" i="12"/>
  <c r="V1196" i="12"/>
  <c r="V1198" i="12"/>
  <c r="V1200" i="12"/>
  <c r="V1202" i="12"/>
  <c r="V1204" i="12"/>
  <c r="V1206" i="12"/>
  <c r="V1208" i="12"/>
  <c r="V1210" i="12"/>
  <c r="V1212" i="12"/>
  <c r="V1214" i="12"/>
  <c r="V1216" i="12"/>
  <c r="V1218" i="12"/>
  <c r="V1220" i="12"/>
  <c r="V1222" i="12"/>
  <c r="V1224" i="12"/>
  <c r="V1226" i="12"/>
  <c r="V1228" i="12"/>
  <c r="V1230" i="12"/>
  <c r="V1232" i="12"/>
  <c r="V1234" i="12"/>
  <c r="V1236" i="12"/>
  <c r="V1238" i="12"/>
  <c r="V1240" i="12"/>
  <c r="V1242" i="12"/>
  <c r="V1244" i="12"/>
  <c r="V1246" i="12"/>
  <c r="V1248" i="12"/>
  <c r="V1250" i="12"/>
  <c r="V1252" i="12"/>
  <c r="V1254" i="12"/>
  <c r="V1256" i="12"/>
  <c r="V1258" i="12"/>
  <c r="V1260" i="12"/>
  <c r="V1262" i="12"/>
  <c r="V1264" i="12"/>
  <c r="V1266" i="12"/>
  <c r="V1268" i="12"/>
  <c r="V1270" i="12"/>
  <c r="V1272" i="12"/>
  <c r="V1274" i="12"/>
  <c r="V1276" i="12"/>
  <c r="V1278" i="12"/>
  <c r="V1280" i="12"/>
  <c r="V1282" i="12"/>
  <c r="V1284" i="12"/>
  <c r="V1286" i="12"/>
  <c r="V1288" i="12"/>
  <c r="V1290" i="12"/>
  <c r="V1292" i="12"/>
  <c r="V1294" i="12"/>
  <c r="V1296" i="12"/>
  <c r="V1298" i="12"/>
  <c r="V1300" i="12"/>
  <c r="V1302" i="12"/>
  <c r="V1304" i="12"/>
  <c r="V1306" i="12"/>
  <c r="V1308" i="12"/>
  <c r="V1310" i="12"/>
  <c r="V1312" i="12"/>
  <c r="V1314" i="12"/>
  <c r="V1316" i="12"/>
  <c r="V1318" i="12"/>
  <c r="V1320" i="12"/>
  <c r="V1322" i="12"/>
  <c r="V1324" i="12"/>
  <c r="V1326" i="12"/>
  <c r="V1328" i="12"/>
  <c r="V1330" i="12"/>
  <c r="V1332" i="12"/>
  <c r="V1334" i="12"/>
  <c r="V1336" i="12"/>
  <c r="V1338" i="12"/>
  <c r="V1340" i="12"/>
  <c r="V1342" i="12"/>
  <c r="V1344" i="12"/>
  <c r="V1346" i="12"/>
  <c r="V1348" i="12"/>
  <c r="V1350" i="12"/>
  <c r="V1352" i="12"/>
  <c r="V1354" i="12"/>
  <c r="V1356" i="12"/>
  <c r="V1358" i="12"/>
  <c r="V1360" i="12"/>
  <c r="V1362" i="12"/>
  <c r="V1364" i="12"/>
  <c r="V1366" i="12"/>
  <c r="V1368" i="12"/>
  <c r="V1370" i="12"/>
  <c r="V1372" i="12"/>
  <c r="V1374" i="12"/>
  <c r="V1376" i="12"/>
  <c r="V1378" i="12"/>
  <c r="V1380" i="12"/>
  <c r="V1382" i="12"/>
  <c r="V1384" i="12"/>
  <c r="V1386" i="12"/>
  <c r="V1388" i="12"/>
  <c r="V1390" i="12"/>
  <c r="V1392" i="12"/>
  <c r="V1394" i="12"/>
  <c r="V1396" i="12"/>
  <c r="V1398" i="12"/>
  <c r="V1400" i="12"/>
  <c r="V1411" i="12"/>
  <c r="V1413" i="12"/>
  <c r="V1415" i="12"/>
  <c r="V1417" i="12"/>
  <c r="V1419" i="12"/>
  <c r="V1421" i="12"/>
  <c r="V1423" i="12"/>
  <c r="V1425" i="12"/>
  <c r="V1427" i="12"/>
  <c r="V1429" i="12"/>
  <c r="V1431" i="12"/>
  <c r="V1433" i="12"/>
  <c r="V1435" i="12"/>
  <c r="V1437" i="12"/>
  <c r="V1439" i="12"/>
  <c r="V1441" i="12"/>
  <c r="V1443" i="12"/>
  <c r="V1445" i="12"/>
  <c r="V1447" i="12"/>
  <c r="V1449" i="12"/>
  <c r="V1451" i="12"/>
  <c r="V1453" i="12"/>
  <c r="V1455" i="12"/>
  <c r="V1457" i="12"/>
  <c r="V1459" i="12"/>
  <c r="V1461" i="12"/>
  <c r="V1463" i="12"/>
  <c r="V1465" i="12"/>
  <c r="V1467" i="12"/>
  <c r="V1469" i="12"/>
  <c r="V1471" i="12"/>
  <c r="V1473" i="12"/>
  <c r="V1475" i="12"/>
  <c r="V1477" i="12"/>
  <c r="V1479" i="12"/>
  <c r="V1481" i="12"/>
  <c r="V1483" i="12"/>
  <c r="V1485" i="12"/>
  <c r="V1487" i="12"/>
  <c r="V1489" i="12"/>
  <c r="V1491" i="12"/>
  <c r="V1493" i="12"/>
  <c r="V1495" i="12"/>
  <c r="V1497" i="12"/>
  <c r="V1499" i="12"/>
  <c r="V1501" i="12"/>
  <c r="V1503" i="12"/>
  <c r="V1505" i="12"/>
  <c r="V1507" i="12"/>
  <c r="V1509" i="12"/>
  <c r="V1511" i="12"/>
  <c r="V1513" i="12"/>
  <c r="V1515" i="12"/>
  <c r="V1517" i="12"/>
  <c r="V1519" i="12"/>
  <c r="V1521" i="12"/>
  <c r="V1523" i="12"/>
  <c r="V1525" i="12"/>
  <c r="V1527" i="12"/>
  <c r="V1529" i="12"/>
  <c r="V1531" i="12"/>
  <c r="V1533" i="12"/>
  <c r="V1535" i="12"/>
  <c r="V1537" i="12"/>
  <c r="V1539" i="12"/>
  <c r="V1541" i="12"/>
  <c r="V1543" i="12"/>
  <c r="V1545" i="12"/>
  <c r="V1547" i="12"/>
  <c r="V1549" i="12"/>
  <c r="V1551" i="12"/>
  <c r="V1553" i="12"/>
  <c r="V1555" i="12"/>
  <c r="V1557" i="12"/>
  <c r="V1559" i="12"/>
  <c r="V1561" i="12"/>
  <c r="V1563" i="12"/>
  <c r="V1565" i="12"/>
  <c r="V1567" i="12"/>
  <c r="V1569" i="12"/>
  <c r="V1571" i="12"/>
  <c r="V1573" i="12"/>
  <c r="V1575" i="12"/>
  <c r="V1577" i="12"/>
  <c r="V1579" i="12"/>
  <c r="V1581" i="12"/>
  <c r="V1583" i="12"/>
  <c r="V1585" i="12"/>
  <c r="V1587" i="12"/>
  <c r="V1589" i="12"/>
  <c r="V1591" i="12"/>
  <c r="V1593" i="12"/>
  <c r="V1595" i="12"/>
  <c r="V1597" i="12"/>
  <c r="V1599" i="12"/>
  <c r="V1601" i="12"/>
  <c r="V1603" i="12"/>
  <c r="V1605" i="12"/>
  <c r="V1607" i="12"/>
  <c r="V1609" i="12"/>
  <c r="V1611" i="12"/>
  <c r="V1613" i="12"/>
  <c r="V1615" i="12"/>
  <c r="V1617" i="12"/>
  <c r="V1619" i="12"/>
  <c r="V1621" i="12"/>
  <c r="V1623" i="12"/>
  <c r="V1625" i="12"/>
  <c r="V1627" i="12"/>
  <c r="V1629" i="12"/>
  <c r="V1631" i="12"/>
  <c r="V1633" i="12"/>
  <c r="V1635" i="12"/>
  <c r="V1637" i="12"/>
  <c r="V1639" i="12"/>
  <c r="V1641" i="12"/>
  <c r="V1643" i="12"/>
  <c r="V1645" i="12"/>
  <c r="V1647" i="12"/>
  <c r="V1649" i="12"/>
  <c r="V1651" i="12"/>
  <c r="V1653" i="12"/>
  <c r="V1655" i="12"/>
  <c r="V1657" i="12"/>
  <c r="V1659" i="12"/>
  <c r="V1661" i="12"/>
  <c r="V1663" i="12"/>
  <c r="V1665" i="12"/>
  <c r="V1667" i="12"/>
  <c r="V1669" i="12"/>
  <c r="V1671" i="12"/>
  <c r="V1673" i="12"/>
  <c r="V1675" i="12"/>
  <c r="V1677" i="12"/>
  <c r="V1679" i="12"/>
  <c r="V1681" i="12"/>
  <c r="V1683" i="12"/>
  <c r="V1685" i="12"/>
  <c r="V1687" i="12"/>
  <c r="V1689" i="12"/>
  <c r="V1691" i="12"/>
  <c r="V1693" i="12"/>
  <c r="V1695" i="12"/>
  <c r="V1697" i="12"/>
  <c r="V1699" i="12"/>
  <c r="V1701" i="12"/>
  <c r="V1703" i="12"/>
  <c r="V1705" i="12"/>
  <c r="V1707" i="12"/>
  <c r="V1709" i="12"/>
  <c r="V1711" i="12"/>
  <c r="V1713" i="12"/>
  <c r="V1715" i="12"/>
  <c r="V1717" i="12"/>
  <c r="V1719" i="12"/>
  <c r="V1721" i="12"/>
  <c r="V1723" i="12"/>
  <c r="V1725" i="12"/>
  <c r="V1727" i="12"/>
  <c r="V1729" i="12"/>
  <c r="V1731" i="12"/>
  <c r="V1733" i="12"/>
  <c r="V1735" i="12"/>
  <c r="V1737" i="12"/>
  <c r="V1739" i="12"/>
  <c r="V1741" i="12"/>
  <c r="V1743" i="12"/>
  <c r="V1745" i="12"/>
  <c r="V1747" i="12"/>
  <c r="V1749" i="12"/>
  <c r="V1751" i="12"/>
  <c r="V1753" i="12"/>
  <c r="V1755" i="12"/>
  <c r="V1757" i="12"/>
  <c r="V1759" i="12"/>
  <c r="V1761" i="12"/>
  <c r="V1763" i="12"/>
  <c r="V1765" i="12"/>
  <c r="V1767" i="12"/>
  <c r="V1769" i="12"/>
  <c r="V1771" i="12"/>
  <c r="V1773" i="12"/>
  <c r="V1775" i="12"/>
  <c r="V1777" i="12"/>
  <c r="V1779" i="12"/>
  <c r="V1781" i="12"/>
  <c r="V1783" i="12"/>
  <c r="V1785" i="12"/>
  <c r="V1787" i="12"/>
  <c r="V1789" i="12"/>
  <c r="V1791" i="12"/>
  <c r="V1793" i="12"/>
  <c r="V1795" i="12"/>
  <c r="V1797" i="12"/>
  <c r="V1799" i="12"/>
  <c r="V1801" i="12"/>
  <c r="V1803" i="12"/>
  <c r="V1805" i="12"/>
  <c r="V1807" i="12"/>
  <c r="V1809" i="12"/>
  <c r="V1811" i="12"/>
  <c r="V1813" i="12"/>
  <c r="V1815" i="12"/>
  <c r="V1817" i="12"/>
  <c r="V1819" i="12"/>
  <c r="V1821" i="12"/>
  <c r="V1823" i="12"/>
  <c r="V1825" i="12"/>
  <c r="V1827" i="12"/>
  <c r="V1829" i="12"/>
  <c r="V1831" i="12"/>
  <c r="V1833" i="12"/>
  <c r="V1835" i="12"/>
  <c r="V1837" i="12"/>
  <c r="V1839" i="12"/>
  <c r="V1841" i="12"/>
  <c r="V1843" i="12"/>
  <c r="V1845" i="12"/>
  <c r="V1847" i="12"/>
  <c r="V1849" i="12"/>
  <c r="V1851" i="12"/>
  <c r="V1853" i="12"/>
  <c r="V1855" i="12"/>
  <c r="V1857" i="12"/>
  <c r="V1859" i="12"/>
  <c r="V1861" i="12"/>
  <c r="V1863" i="12"/>
  <c r="V1865" i="12"/>
  <c r="V1867" i="12"/>
  <c r="V1869" i="12"/>
  <c r="V1871" i="12"/>
  <c r="V1873" i="12"/>
  <c r="V1875" i="12"/>
  <c r="V1877" i="12"/>
  <c r="V1879" i="12"/>
  <c r="V1881" i="12"/>
  <c r="V1883" i="12"/>
  <c r="V1885" i="12"/>
  <c r="V1887" i="12"/>
  <c r="V1889" i="12"/>
  <c r="V1891" i="12"/>
  <c r="V1893" i="12"/>
  <c r="V1402" i="12"/>
  <c r="V1404" i="12"/>
  <c r="V1406" i="12"/>
  <c r="V1408" i="12"/>
  <c r="V1410" i="12"/>
  <c r="V1896" i="12"/>
  <c r="V1898" i="12"/>
  <c r="V1900" i="12"/>
  <c r="V1902" i="12"/>
  <c r="V1904" i="12"/>
  <c r="V1906" i="12"/>
  <c r="V1908" i="12"/>
  <c r="V1910" i="12"/>
  <c r="V1912" i="12"/>
  <c r="V1914" i="12"/>
  <c r="V1916" i="12"/>
  <c r="V1918" i="12"/>
  <c r="V1920" i="12"/>
  <c r="V1922" i="12"/>
  <c r="V1924" i="12"/>
  <c r="V1926" i="12"/>
  <c r="V1928" i="12"/>
  <c r="V1930" i="12"/>
  <c r="V1932" i="12"/>
  <c r="V1934" i="12"/>
  <c r="V1936" i="12"/>
  <c r="V1938" i="12"/>
  <c r="V1940" i="12"/>
  <c r="V1942" i="12"/>
  <c r="V1944" i="12"/>
  <c r="V1946" i="12"/>
  <c r="V1948" i="12"/>
  <c r="V1950" i="12"/>
  <c r="V1952" i="12"/>
  <c r="V1954" i="12"/>
  <c r="V1956" i="12"/>
  <c r="V1958" i="12"/>
  <c r="V1960" i="12"/>
  <c r="V1962" i="12"/>
  <c r="V1964" i="12"/>
  <c r="V1966" i="12"/>
  <c r="V1968" i="12"/>
  <c r="V1970" i="12"/>
  <c r="V1972" i="12"/>
  <c r="V1974" i="12"/>
  <c r="V1976" i="12"/>
  <c r="V1978" i="12"/>
  <c r="V1980" i="12"/>
  <c r="V1982" i="12"/>
  <c r="V1984" i="12"/>
  <c r="V1986" i="12"/>
  <c r="V1988" i="12"/>
  <c r="V1990" i="12"/>
  <c r="V1992" i="12"/>
  <c r="V1994" i="12"/>
  <c r="V1996" i="12"/>
  <c r="V1998" i="12"/>
  <c r="V2000" i="12"/>
  <c r="V2002" i="12"/>
  <c r="V2004" i="12"/>
  <c r="V2006" i="12"/>
  <c r="V2008" i="12"/>
  <c r="V2010" i="12"/>
  <c r="V2012" i="12"/>
  <c r="V2014" i="12"/>
  <c r="V2016" i="12"/>
  <c r="V2018" i="12"/>
  <c r="V2020" i="12"/>
  <c r="V2022" i="12"/>
  <c r="V2024" i="12"/>
  <c r="V2026" i="12"/>
  <c r="V2028" i="12"/>
  <c r="V2030" i="12"/>
  <c r="V2032" i="12"/>
  <c r="V2034" i="12"/>
  <c r="V2036" i="12"/>
  <c r="V2038" i="12"/>
  <c r="V2040" i="12"/>
  <c r="V2042" i="12"/>
  <c r="V2044" i="12"/>
  <c r="V2046" i="12"/>
  <c r="V2048" i="12"/>
  <c r="V2050" i="12"/>
  <c r="V2052" i="12"/>
  <c r="V2054" i="12"/>
  <c r="V2056" i="12"/>
  <c r="V2058" i="12"/>
  <c r="V2060" i="12"/>
  <c r="V2062" i="12"/>
  <c r="V2064" i="12"/>
  <c r="V2066" i="12"/>
  <c r="V2068" i="12"/>
  <c r="V2070" i="12"/>
  <c r="V2072" i="12"/>
  <c r="V2074" i="12"/>
  <c r="V2076" i="12"/>
  <c r="V2078" i="12"/>
  <c r="V2080" i="12"/>
  <c r="V2082" i="12"/>
  <c r="V2084" i="12"/>
  <c r="V2086" i="12"/>
  <c r="V2088" i="12"/>
  <c r="V2090" i="12"/>
  <c r="V2092" i="12"/>
  <c r="V2094" i="12"/>
  <c r="V2096" i="12"/>
  <c r="V2098" i="12"/>
  <c r="V2100" i="12"/>
  <c r="V2102" i="12"/>
  <c r="V2104" i="12"/>
  <c r="V2106" i="12"/>
  <c r="V2108" i="12"/>
  <c r="V2110" i="12"/>
  <c r="V2112" i="12"/>
  <c r="V2114" i="12"/>
  <c r="V2116" i="12"/>
  <c r="V2118" i="12"/>
  <c r="V2120" i="12"/>
  <c r="V2122" i="12"/>
  <c r="V2124" i="12"/>
  <c r="V2126" i="12"/>
  <c r="V2128" i="12"/>
  <c r="V2130" i="12"/>
  <c r="V2132" i="12"/>
  <c r="V2134" i="12"/>
  <c r="V2136" i="12"/>
  <c r="V2138" i="12"/>
  <c r="V2140" i="12"/>
  <c r="V2142" i="12"/>
  <c r="V2144" i="12"/>
  <c r="V2146" i="12"/>
  <c r="V2148" i="12"/>
  <c r="V2150" i="12"/>
  <c r="V2152" i="12"/>
  <c r="V2154" i="12"/>
  <c r="V2156" i="12"/>
  <c r="V2158" i="12"/>
  <c r="V2160" i="12"/>
  <c r="V2162" i="12"/>
  <c r="V2164" i="12"/>
  <c r="V2166" i="12"/>
  <c r="V2168" i="12"/>
  <c r="V2170" i="12"/>
  <c r="V2172" i="12"/>
  <c r="V2174" i="12"/>
  <c r="V2176" i="12"/>
  <c r="V2178" i="12"/>
  <c r="V2180" i="12"/>
  <c r="V2182" i="12"/>
  <c r="V2184" i="12"/>
  <c r="V2186" i="12"/>
  <c r="V2188" i="12"/>
  <c r="V2190" i="12"/>
  <c r="V2192" i="12"/>
  <c r="V2194" i="12"/>
  <c r="V2196" i="12"/>
  <c r="V2198" i="12"/>
  <c r="V2200" i="12"/>
  <c r="V2202" i="12"/>
  <c r="V2204" i="12"/>
  <c r="V2206" i="12"/>
  <c r="V2208" i="12"/>
  <c r="V2210" i="12"/>
  <c r="V2212" i="12"/>
  <c r="V2214" i="12"/>
  <c r="V2216" i="12"/>
  <c r="V2218" i="12"/>
  <c r="V2220" i="12"/>
  <c r="V2222" i="12"/>
  <c r="V2224" i="12"/>
  <c r="V2226" i="12"/>
  <c r="V2228" i="12"/>
  <c r="V2230" i="12"/>
  <c r="V2232" i="12"/>
  <c r="V2234" i="12"/>
  <c r="V2236" i="12"/>
  <c r="V2238" i="12"/>
  <c r="V2240" i="12"/>
  <c r="V2242" i="12"/>
  <c r="V2244" i="12"/>
  <c r="V2246" i="12"/>
  <c r="V2248" i="12"/>
  <c r="V2250" i="12"/>
  <c r="V2252" i="12"/>
  <c r="V2254" i="12"/>
  <c r="V2256" i="12"/>
  <c r="V2258" i="12"/>
  <c r="V2260" i="12"/>
  <c r="V2262" i="12"/>
  <c r="V2264" i="12"/>
  <c r="V2266" i="12"/>
  <c r="V2268" i="12"/>
  <c r="V2270" i="12"/>
  <c r="V2272" i="12"/>
  <c r="V2274" i="12"/>
  <c r="V2276" i="12"/>
  <c r="V2278" i="12"/>
  <c r="V2280" i="12"/>
  <c r="V2282" i="12"/>
  <c r="V2284" i="12"/>
  <c r="V2286" i="12"/>
  <c r="V2288" i="12"/>
  <c r="V2290" i="12"/>
  <c r="V2292" i="12"/>
  <c r="V2294" i="12"/>
  <c r="V2296" i="12"/>
  <c r="V2298" i="12"/>
  <c r="V2300" i="12"/>
  <c r="V2302" i="12"/>
  <c r="V2304" i="12"/>
  <c r="V2306" i="12"/>
  <c r="V2308" i="12"/>
  <c r="V2310" i="12"/>
  <c r="V2312" i="12"/>
  <c r="V2314" i="12"/>
  <c r="V2316" i="12"/>
  <c r="V2318" i="12"/>
  <c r="V2320" i="12"/>
  <c r="V2322" i="12"/>
  <c r="V2324" i="12"/>
  <c r="V2326" i="12"/>
  <c r="V2328" i="12"/>
  <c r="V2330" i="12"/>
  <c r="V2332" i="12"/>
  <c r="V2334" i="12"/>
  <c r="V2336" i="12"/>
  <c r="V2338" i="12"/>
  <c r="V2340" i="12"/>
  <c r="V2342" i="12"/>
  <c r="V2344" i="12"/>
  <c r="V2346" i="12"/>
  <c r="V2348" i="12"/>
  <c r="V2350" i="12"/>
  <c r="V2352" i="12"/>
  <c r="V2354" i="12"/>
  <c r="V2356" i="12"/>
  <c r="V2358" i="12"/>
  <c r="V2360" i="12"/>
  <c r="V2362" i="12"/>
  <c r="V2364" i="12"/>
  <c r="V2366" i="12"/>
  <c r="V2368" i="12"/>
  <c r="V2370" i="12"/>
  <c r="V2372" i="12"/>
  <c r="V2374" i="12"/>
  <c r="V2376" i="12"/>
  <c r="V2378" i="12"/>
  <c r="V2380" i="12"/>
  <c r="V2382" i="12"/>
  <c r="V2384" i="12"/>
  <c r="V2386" i="12"/>
  <c r="V2388" i="12"/>
  <c r="V2390" i="12"/>
  <c r="V2392" i="12"/>
  <c r="V2394" i="12"/>
  <c r="V2396" i="12"/>
  <c r="V2398" i="12"/>
  <c r="V2400" i="12"/>
  <c r="V2402" i="12"/>
  <c r="V2404" i="12"/>
  <c r="V2406" i="12"/>
  <c r="V2408" i="12"/>
  <c r="V2410" i="12"/>
  <c r="V2412" i="12"/>
  <c r="V2414" i="12"/>
  <c r="V2416" i="12"/>
  <c r="V2418" i="12"/>
  <c r="V2420" i="12"/>
  <c r="V2422" i="12"/>
  <c r="V2424" i="12"/>
  <c r="V2426" i="12"/>
  <c r="V2428" i="12"/>
  <c r="V2430" i="12"/>
  <c r="V2432" i="12"/>
  <c r="V2434" i="12"/>
  <c r="V2436" i="12"/>
  <c r="V2438" i="12"/>
  <c r="V2440" i="12"/>
  <c r="V2442" i="12"/>
  <c r="V2444" i="12"/>
  <c r="V2446" i="12"/>
  <c r="V2448" i="12"/>
  <c r="V2450" i="12"/>
  <c r="V2452" i="12"/>
  <c r="V2454" i="12"/>
  <c r="V2456" i="12"/>
  <c r="V2458" i="12"/>
  <c r="V2460" i="12"/>
  <c r="V2462" i="12"/>
  <c r="V2464" i="12"/>
  <c r="V2466" i="12"/>
  <c r="V2468" i="12"/>
  <c r="V2470" i="12"/>
  <c r="V2472" i="12"/>
  <c r="V2474" i="12"/>
  <c r="V2476" i="12"/>
  <c r="V2478" i="12"/>
  <c r="V2480" i="12"/>
  <c r="V2482" i="12"/>
  <c r="V2484" i="12"/>
  <c r="V2486" i="12"/>
  <c r="V2488" i="12"/>
  <c r="V2490" i="12"/>
  <c r="V2492" i="12"/>
  <c r="V2494" i="12"/>
  <c r="V2496" i="12"/>
  <c r="V2498" i="12"/>
  <c r="V2500" i="12"/>
  <c r="V2502" i="12"/>
  <c r="V2504" i="12"/>
  <c r="V2506" i="12"/>
  <c r="V2508" i="12"/>
  <c r="V2510" i="12"/>
  <c r="V2512" i="12"/>
  <c r="V2514" i="12"/>
  <c r="V2516" i="12"/>
  <c r="V2518" i="12"/>
  <c r="V2520" i="12"/>
  <c r="V2522" i="12"/>
  <c r="V2524" i="12"/>
  <c r="V2526" i="12"/>
  <c r="V2528" i="12"/>
  <c r="V2530" i="12"/>
  <c r="V2532" i="12"/>
  <c r="V2534" i="12"/>
  <c r="V2536" i="12"/>
  <c r="V2538" i="12"/>
  <c r="V2540" i="12"/>
  <c r="V2542" i="12"/>
  <c r="V2544" i="12"/>
  <c r="V2546" i="12"/>
  <c r="V2548" i="12"/>
  <c r="V2550" i="12"/>
  <c r="V2552" i="12"/>
  <c r="V2554" i="12"/>
  <c r="V2556" i="12"/>
  <c r="V2558" i="12"/>
  <c r="V2560" i="12"/>
  <c r="V2562" i="12"/>
  <c r="V2564" i="12"/>
  <c r="V2566" i="12"/>
  <c r="V2568" i="12"/>
  <c r="V2570" i="12"/>
  <c r="V2572" i="12"/>
  <c r="V2574" i="12"/>
  <c r="V2576" i="12"/>
  <c r="V2578" i="12"/>
  <c r="V2580" i="12"/>
  <c r="V2582" i="12"/>
  <c r="V2584" i="12"/>
  <c r="V2586" i="12"/>
  <c r="V2588" i="12"/>
  <c r="V2590" i="12"/>
  <c r="V2592" i="12"/>
  <c r="V2594" i="12"/>
  <c r="V2596" i="12"/>
  <c r="V2598" i="12"/>
  <c r="V2600" i="12"/>
  <c r="V2602" i="12"/>
  <c r="V2604" i="12"/>
  <c r="V2606" i="12"/>
  <c r="V2608" i="12"/>
  <c r="V2610" i="12"/>
  <c r="V2612" i="12"/>
  <c r="V2614" i="12"/>
  <c r="V2616" i="12"/>
  <c r="V2618" i="12"/>
  <c r="V2620" i="12"/>
  <c r="V2622" i="12"/>
  <c r="V2624" i="12"/>
  <c r="V2626" i="12"/>
  <c r="V2628" i="12"/>
  <c r="V2630" i="12"/>
  <c r="V2632" i="12"/>
  <c r="V2634" i="12"/>
  <c r="V2636" i="12"/>
  <c r="V2638" i="12"/>
  <c r="V2640" i="12"/>
  <c r="V2642" i="12"/>
  <c r="V2644" i="12"/>
  <c r="V2646" i="12"/>
  <c r="V2648" i="12"/>
  <c r="V2650" i="12"/>
  <c r="V2652" i="12"/>
  <c r="V2654" i="12"/>
  <c r="V2656" i="12"/>
  <c r="V2658" i="12"/>
  <c r="V2660" i="12"/>
  <c r="V2662" i="12"/>
  <c r="V2664" i="12"/>
  <c r="V2666" i="12"/>
  <c r="V2668" i="12"/>
  <c r="V2670" i="12"/>
  <c r="V2672" i="12"/>
  <c r="V2674" i="12"/>
  <c r="V2676" i="12"/>
  <c r="V2678" i="12"/>
  <c r="V2680" i="12"/>
  <c r="V2682" i="12"/>
  <c r="V2684" i="12"/>
  <c r="V2686" i="12"/>
  <c r="V2688" i="12"/>
  <c r="V2690" i="12"/>
  <c r="V2692" i="12"/>
  <c r="V2694" i="12"/>
  <c r="V2696" i="12"/>
  <c r="V2698" i="12"/>
  <c r="V2700" i="12"/>
  <c r="V2702" i="12"/>
  <c r="V2704" i="12"/>
  <c r="V2706" i="12"/>
  <c r="V2708" i="12"/>
  <c r="V2710" i="12"/>
  <c r="V2712" i="12"/>
  <c r="V2714" i="12"/>
  <c r="V2716" i="12"/>
  <c r="V2718" i="12"/>
  <c r="V2720" i="12"/>
  <c r="V2722" i="12"/>
  <c r="V2724" i="12"/>
  <c r="V2726" i="12"/>
  <c r="V2728" i="12"/>
  <c r="V2730" i="12"/>
  <c r="V2732" i="12"/>
  <c r="V2734" i="12"/>
  <c r="V2736" i="12"/>
  <c r="V2738" i="12"/>
  <c r="V2740" i="12"/>
  <c r="V2742" i="12"/>
  <c r="V2744" i="12"/>
  <c r="V2746" i="12"/>
  <c r="V2748" i="12"/>
  <c r="V2750" i="12"/>
  <c r="V2752" i="12"/>
  <c r="V2754" i="12"/>
  <c r="V2756" i="12"/>
  <c r="V2758" i="12"/>
  <c r="V2760" i="12"/>
  <c r="V2762" i="12"/>
  <c r="V2764" i="12"/>
  <c r="V2766" i="12"/>
  <c r="V2768" i="12"/>
  <c r="V2770" i="12"/>
  <c r="V2772" i="12"/>
  <c r="V2774" i="12"/>
  <c r="V2776" i="12"/>
  <c r="V2778" i="12"/>
  <c r="V2780" i="12"/>
  <c r="V2782" i="12"/>
  <c r="V2784" i="12"/>
  <c r="V2786" i="12"/>
  <c r="V2788" i="12"/>
  <c r="V2790" i="12"/>
  <c r="V2792" i="12"/>
  <c r="V2794" i="12"/>
  <c r="V2796" i="12"/>
  <c r="V2798" i="12"/>
  <c r="V2800" i="12"/>
  <c r="V2802" i="12"/>
  <c r="V2804" i="12"/>
  <c r="V2806" i="12"/>
  <c r="V2808" i="12"/>
  <c r="V2810" i="12"/>
  <c r="V2812" i="12"/>
  <c r="V2814" i="12"/>
  <c r="V2816" i="12"/>
  <c r="V2818" i="12"/>
  <c r="V2820" i="12"/>
  <c r="V2822" i="12"/>
  <c r="V2824" i="12"/>
  <c r="V2826" i="12"/>
  <c r="V2828" i="12"/>
  <c r="V2830" i="12"/>
  <c r="V2832" i="12"/>
  <c r="V2834" i="12"/>
  <c r="V2836" i="12"/>
  <c r="V2838" i="12"/>
  <c r="V2840" i="12"/>
  <c r="V2842" i="12"/>
  <c r="V2844" i="12"/>
  <c r="V2846" i="12"/>
  <c r="V2848" i="12"/>
  <c r="V2850" i="12"/>
  <c r="V2852" i="12"/>
  <c r="V2854" i="12"/>
  <c r="V2856" i="12"/>
  <c r="V2858" i="12"/>
  <c r="V2860" i="12"/>
  <c r="V2862" i="12"/>
  <c r="V2864" i="12"/>
  <c r="V2866" i="12"/>
  <c r="V2868" i="12"/>
  <c r="V2870" i="12"/>
  <c r="V2872" i="12"/>
  <c r="V2874" i="12"/>
  <c r="V2876" i="12"/>
  <c r="V2878" i="12"/>
  <c r="V2880" i="12"/>
  <c r="V2882" i="12"/>
  <c r="V2884" i="12"/>
  <c r="V2886" i="12"/>
  <c r="V2888" i="12"/>
  <c r="V2890" i="12"/>
  <c r="V2892" i="12"/>
  <c r="V2894" i="12"/>
  <c r="V2896" i="12"/>
  <c r="V2898" i="12"/>
  <c r="V2900" i="12"/>
  <c r="V2902" i="12"/>
  <c r="V2904" i="12"/>
  <c r="V2906" i="12"/>
  <c r="V2908" i="12"/>
  <c r="V2910" i="12"/>
  <c r="V2912" i="12"/>
  <c r="V2914" i="12"/>
  <c r="V2916" i="12"/>
  <c r="V2918" i="12"/>
  <c r="V2920" i="12"/>
  <c r="V2922" i="12"/>
  <c r="V2924" i="12"/>
  <c r="V2926" i="12"/>
  <c r="V2928" i="12"/>
  <c r="V2930" i="12"/>
  <c r="V2932" i="12"/>
  <c r="V2934" i="12"/>
  <c r="V2936" i="12"/>
  <c r="V2938" i="12"/>
  <c r="V2940" i="12"/>
  <c r="V2942" i="12"/>
  <c r="V2944" i="12"/>
  <c r="V2946" i="12"/>
  <c r="V2948" i="12"/>
  <c r="V2950" i="12"/>
  <c r="V2952" i="12"/>
  <c r="V2954" i="12"/>
  <c r="V2956" i="12"/>
  <c r="V2958" i="12"/>
  <c r="V2960" i="12"/>
  <c r="V2962" i="12"/>
  <c r="V2964" i="12"/>
  <c r="V2966" i="12"/>
  <c r="V2968" i="12"/>
  <c r="V2970" i="12"/>
  <c r="V2972" i="12"/>
  <c r="V2974" i="12"/>
  <c r="V2976" i="12"/>
  <c r="V2978" i="12"/>
  <c r="V2980" i="12"/>
  <c r="V2982" i="12"/>
  <c r="V2984" i="12"/>
  <c r="V2986" i="12"/>
  <c r="V2988" i="12"/>
  <c r="V2990" i="12"/>
  <c r="V2992" i="12"/>
  <c r="V2994" i="12"/>
  <c r="V2996" i="12"/>
  <c r="V2998" i="12"/>
  <c r="V3000" i="12"/>
  <c r="V3002" i="12"/>
  <c r="V3004" i="12"/>
  <c r="V3006" i="12"/>
  <c r="V3008" i="12"/>
  <c r="V3010" i="12"/>
  <c r="V3012" i="12"/>
  <c r="V3014" i="12"/>
  <c r="V3016" i="12"/>
  <c r="V3018" i="12"/>
  <c r="V3020" i="12"/>
  <c r="V3022" i="12"/>
  <c r="V3024" i="12"/>
  <c r="V3026" i="12"/>
  <c r="V3028" i="12"/>
  <c r="V3030" i="12"/>
  <c r="V3032" i="12"/>
  <c r="V3034" i="12"/>
  <c r="V3036" i="12"/>
  <c r="V3038" i="12"/>
  <c r="V3040" i="12"/>
  <c r="V3042" i="12"/>
  <c r="V3044" i="12"/>
  <c r="V3046" i="12"/>
  <c r="V3048" i="12"/>
  <c r="V3050" i="12"/>
  <c r="V3052" i="12"/>
  <c r="V3054" i="12"/>
  <c r="V3056" i="12"/>
  <c r="V3058" i="12"/>
  <c r="V3060" i="12"/>
  <c r="V3062" i="12"/>
  <c r="V3064" i="12"/>
  <c r="V3066" i="12"/>
  <c r="V3068" i="12"/>
  <c r="V3070" i="12"/>
  <c r="V3072" i="12"/>
  <c r="V3074" i="12"/>
  <c r="V3076" i="12"/>
  <c r="V3078" i="12"/>
  <c r="V3080" i="12"/>
  <c r="V3082" i="12"/>
  <c r="V3084" i="12"/>
  <c r="V3086" i="12"/>
  <c r="V3088" i="12"/>
  <c r="V3090" i="12"/>
  <c r="V3092" i="12"/>
  <c r="V3094" i="12"/>
  <c r="V3096" i="12"/>
  <c r="V3098" i="12"/>
  <c r="V3100" i="12"/>
  <c r="V3102" i="12"/>
  <c r="V3104" i="12"/>
  <c r="V3106" i="12"/>
  <c r="V3108" i="12"/>
  <c r="V3110" i="12"/>
  <c r="V3112" i="12"/>
  <c r="V3114" i="12"/>
  <c r="V3116" i="12"/>
  <c r="V3118" i="12"/>
  <c r="V3120" i="12"/>
  <c r="V3122" i="12"/>
  <c r="V3124" i="12"/>
  <c r="V3126" i="12"/>
  <c r="V3128" i="12"/>
  <c r="V3130" i="12"/>
  <c r="V3132" i="12"/>
  <c r="V3134" i="12"/>
  <c r="V3136" i="12"/>
  <c r="V3138" i="12"/>
  <c r="V3140" i="12"/>
  <c r="V3142" i="12"/>
  <c r="V3144" i="12"/>
  <c r="V3146" i="12"/>
  <c r="V3148" i="12"/>
  <c r="V3150" i="12"/>
  <c r="V3152" i="12"/>
  <c r="V3154" i="12"/>
  <c r="V3156" i="12"/>
  <c r="V3158" i="12"/>
  <c r="V3160" i="12"/>
  <c r="V3162" i="12"/>
  <c r="V3164" i="12"/>
  <c r="V3166" i="12"/>
  <c r="V3168" i="12"/>
  <c r="V3170" i="12"/>
  <c r="V3172" i="12"/>
  <c r="V3174" i="12"/>
  <c r="V3176" i="12"/>
  <c r="V3178" i="12"/>
  <c r="V3180" i="12"/>
  <c r="V3182" i="12"/>
  <c r="V3184" i="12"/>
  <c r="V3186" i="12"/>
  <c r="V3188" i="12"/>
  <c r="V3190" i="12"/>
  <c r="V3192" i="12"/>
  <c r="V3194" i="12"/>
  <c r="V3196" i="12"/>
  <c r="V3198" i="12"/>
  <c r="V3200" i="12"/>
  <c r="V3202" i="12"/>
  <c r="V3204" i="12"/>
  <c r="V3206" i="12"/>
  <c r="V3208" i="12"/>
  <c r="V3210" i="12"/>
  <c r="V3212" i="12"/>
  <c r="V3214" i="12"/>
  <c r="V3216" i="12"/>
  <c r="V3218" i="12"/>
  <c r="V3220" i="12"/>
  <c r="V3222" i="12"/>
  <c r="V3224" i="12"/>
  <c r="V3226" i="12"/>
  <c r="V3228" i="12"/>
  <c r="V3230" i="12"/>
  <c r="V3232" i="12"/>
  <c r="V3234" i="12"/>
  <c r="V3236" i="12"/>
  <c r="V3238" i="12"/>
  <c r="V3240" i="12"/>
  <c r="V3242" i="12"/>
  <c r="V3244" i="12"/>
  <c r="V3246" i="12"/>
  <c r="V3248" i="12"/>
  <c r="V3250" i="12"/>
  <c r="V3252" i="12"/>
  <c r="V3254" i="12"/>
  <c r="V3256" i="12"/>
  <c r="V3258" i="12"/>
  <c r="V3260" i="12"/>
  <c r="V3262" i="12"/>
  <c r="V3264" i="12"/>
  <c r="V3266" i="12"/>
  <c r="V3268" i="12"/>
  <c r="V3270" i="12"/>
  <c r="V3272" i="12"/>
  <c r="V3274" i="12"/>
  <c r="V3276" i="12"/>
  <c r="V3278" i="12"/>
  <c r="V3280" i="12"/>
  <c r="V3282" i="12"/>
  <c r="V3284" i="12"/>
  <c r="V3286" i="12"/>
  <c r="V3288" i="12"/>
  <c r="V3290" i="12"/>
  <c r="V3292" i="12"/>
  <c r="V3294" i="12"/>
  <c r="V3296" i="12"/>
  <c r="V3298" i="12"/>
  <c r="V3300" i="12"/>
  <c r="V3302" i="12"/>
  <c r="V3304" i="12"/>
  <c r="V3306" i="12"/>
  <c r="V3308" i="12"/>
  <c r="V3310" i="12"/>
  <c r="V3312" i="12"/>
  <c r="V3314" i="12"/>
  <c r="V3316" i="12"/>
  <c r="V3318" i="12"/>
  <c r="V3320" i="12"/>
  <c r="V3322" i="12"/>
  <c r="V3324" i="12"/>
  <c r="V3326" i="12"/>
  <c r="V3328" i="12"/>
  <c r="V3330" i="12"/>
  <c r="V3332" i="12"/>
  <c r="V3334" i="12"/>
  <c r="V3336" i="12"/>
  <c r="V3338" i="12"/>
  <c r="V3340" i="12"/>
  <c r="V3342" i="12"/>
  <c r="V3344" i="12"/>
  <c r="V3346" i="12"/>
  <c r="V3348" i="12"/>
  <c r="V3350" i="12"/>
  <c r="V3352" i="12"/>
  <c r="V3354" i="12"/>
  <c r="V3356" i="12"/>
  <c r="V3358" i="12"/>
  <c r="V3360" i="12"/>
  <c r="V3362" i="12"/>
  <c r="V3364" i="12"/>
  <c r="V3366" i="12"/>
  <c r="V3368" i="12"/>
  <c r="V3370" i="12"/>
  <c r="V3372" i="12"/>
  <c r="V3374" i="12"/>
  <c r="V3376" i="12"/>
  <c r="V3378" i="12"/>
  <c r="V3380" i="12"/>
  <c r="V3382" i="12"/>
  <c r="V3384" i="12"/>
  <c r="V3386" i="12"/>
  <c r="V3388" i="12"/>
  <c r="V3390" i="12"/>
  <c r="V3392" i="12"/>
  <c r="V3394" i="12"/>
  <c r="V3396" i="12"/>
  <c r="V3398" i="12"/>
  <c r="V3400" i="12"/>
  <c r="V3402" i="12"/>
  <c r="V3404" i="12"/>
  <c r="V3406" i="12"/>
  <c r="V3408" i="12"/>
  <c r="V3410" i="12"/>
  <c r="V3412" i="12"/>
  <c r="V3414" i="12"/>
  <c r="V3416" i="12"/>
  <c r="V3418" i="12"/>
  <c r="V3420" i="12"/>
  <c r="V3422" i="12"/>
  <c r="V3424" i="12"/>
  <c r="V3426" i="12"/>
  <c r="V3428" i="12"/>
  <c r="V3430" i="12"/>
  <c r="V3432" i="12"/>
  <c r="V3434" i="12"/>
  <c r="V3436" i="12"/>
  <c r="V3438" i="12"/>
  <c r="V3440" i="12"/>
  <c r="V3442" i="12"/>
  <c r="V3444" i="12"/>
  <c r="V3446" i="12"/>
  <c r="V3448" i="12"/>
  <c r="V3450" i="12"/>
  <c r="V3452" i="12"/>
  <c r="V3454" i="12"/>
  <c r="V3456" i="12"/>
  <c r="V3458" i="12"/>
  <c r="V3460" i="12"/>
  <c r="V3462" i="12"/>
  <c r="V3464" i="12"/>
  <c r="V3466" i="12"/>
  <c r="V3468" i="12"/>
  <c r="V3470" i="12"/>
  <c r="V3472" i="12"/>
  <c r="V3474" i="12"/>
  <c r="V3476" i="12"/>
  <c r="V3478" i="12"/>
  <c r="V3480" i="12"/>
  <c r="V3482" i="12"/>
  <c r="V3484" i="12"/>
  <c r="V3486" i="12"/>
  <c r="V3488" i="12"/>
  <c r="V3490" i="12"/>
  <c r="V3492" i="12"/>
  <c r="V3494" i="12"/>
  <c r="V3496" i="12"/>
  <c r="V3498" i="12"/>
  <c r="V3500" i="12"/>
  <c r="V3502" i="12"/>
  <c r="V3504" i="12"/>
  <c r="V3506" i="12"/>
  <c r="V3508" i="12"/>
  <c r="V3510" i="12"/>
  <c r="V3512" i="12"/>
  <c r="V3514" i="12"/>
  <c r="V3516" i="12"/>
  <c r="V3518" i="12"/>
  <c r="V3520" i="12"/>
  <c r="V3522" i="12"/>
  <c r="V3524" i="12"/>
  <c r="V3526" i="12"/>
  <c r="V3528" i="12"/>
  <c r="V3530" i="12"/>
  <c r="V3532" i="12"/>
  <c r="V3534" i="12"/>
  <c r="V3536" i="12"/>
  <c r="V3538" i="12"/>
  <c r="V3540" i="12"/>
  <c r="V3542" i="12"/>
  <c r="V3544" i="12"/>
  <c r="V3546" i="12"/>
  <c r="V3548" i="12"/>
  <c r="V3550" i="12"/>
  <c r="V3552" i="12"/>
  <c r="V3554" i="12"/>
  <c r="V3556" i="12"/>
  <c r="V3558" i="12"/>
  <c r="V3560" i="12"/>
  <c r="V3562" i="12"/>
  <c r="V3564" i="12"/>
  <c r="V3566" i="12"/>
  <c r="V3568" i="12"/>
  <c r="V3570" i="12"/>
  <c r="V3572" i="12"/>
  <c r="V3574" i="12"/>
  <c r="V3576" i="12"/>
  <c r="V3578" i="12"/>
  <c r="V3580" i="12"/>
  <c r="V3582" i="12"/>
  <c r="V3584" i="12"/>
  <c r="V3586" i="12"/>
  <c r="V3588" i="12"/>
  <c r="V3590" i="12"/>
  <c r="V3592" i="12"/>
  <c r="V3594" i="12"/>
  <c r="V3596" i="12"/>
  <c r="V3598" i="12"/>
  <c r="V3600" i="12"/>
  <c r="V3602" i="12"/>
  <c r="V3604" i="12"/>
  <c r="V3606" i="12"/>
  <c r="V3608" i="12"/>
  <c r="V1003" i="12"/>
  <c r="V1007" i="12"/>
  <c r="V1011" i="12"/>
  <c r="V1015" i="12"/>
  <c r="V1019" i="12"/>
  <c r="V1023" i="12"/>
  <c r="V1027" i="12"/>
  <c r="V1031" i="12"/>
  <c r="V1035" i="12"/>
  <c r="V1039" i="12"/>
  <c r="V1043" i="12"/>
  <c r="V1047" i="12"/>
  <c r="V1051" i="12"/>
  <c r="V1055" i="12"/>
  <c r="V1059" i="12"/>
  <c r="V1063" i="12"/>
  <c r="V1067" i="12"/>
  <c r="V1071" i="12"/>
  <c r="V1075" i="12"/>
  <c r="V1079" i="12"/>
  <c r="V1083" i="12"/>
  <c r="V1087" i="12"/>
  <c r="V1091" i="12"/>
  <c r="V1095" i="12"/>
  <c r="V1099" i="12"/>
  <c r="V1103" i="12"/>
  <c r="V1107" i="12"/>
  <c r="V1111" i="12"/>
  <c r="V1115" i="12"/>
  <c r="V1119" i="12"/>
  <c r="V1123" i="12"/>
  <c r="V1127" i="12"/>
  <c r="V1131" i="12"/>
  <c r="V1135" i="12"/>
  <c r="V1139" i="12"/>
  <c r="V1143" i="12"/>
  <c r="V1147" i="12"/>
  <c r="V1151" i="12"/>
  <c r="V1155" i="12"/>
  <c r="V1159" i="12"/>
  <c r="V1163" i="12"/>
  <c r="V1167" i="12"/>
  <c r="V1169" i="12"/>
  <c r="V1171" i="12"/>
  <c r="V1173" i="12"/>
  <c r="V1175" i="12"/>
  <c r="V1177" i="12"/>
  <c r="V1179" i="12"/>
  <c r="V1181" i="12"/>
  <c r="V1183" i="12"/>
  <c r="V1185" i="12"/>
  <c r="V1187" i="12"/>
  <c r="V1189" i="12"/>
  <c r="V1191" i="12"/>
  <c r="V1193" i="12"/>
  <c r="V1195" i="12"/>
  <c r="V1197" i="12"/>
  <c r="V1199" i="12"/>
  <c r="V1201" i="12"/>
  <c r="V1203" i="12"/>
  <c r="V1205" i="12"/>
  <c r="V1207" i="12"/>
  <c r="V1209" i="12"/>
  <c r="V1211" i="12"/>
  <c r="V1213" i="12"/>
  <c r="V1215" i="12"/>
  <c r="V1217" i="12"/>
  <c r="V1219" i="12"/>
  <c r="V1221" i="12"/>
  <c r="V1223" i="12"/>
  <c r="V1225" i="12"/>
  <c r="V1227" i="12"/>
  <c r="V1229" i="12"/>
  <c r="V1231" i="12"/>
  <c r="V1233" i="12"/>
  <c r="V1235" i="12"/>
  <c r="V1237" i="12"/>
  <c r="V1239" i="12"/>
  <c r="V1241" i="12"/>
  <c r="V1243" i="12"/>
  <c r="V1245" i="12"/>
  <c r="V1247" i="12"/>
  <c r="V1249" i="12"/>
  <c r="V1251" i="12"/>
  <c r="V1253" i="12"/>
  <c r="V1255" i="12"/>
  <c r="V1257" i="12"/>
  <c r="V1259" i="12"/>
  <c r="V1261" i="12"/>
  <c r="V1263" i="12"/>
  <c r="V1265" i="12"/>
  <c r="V1267" i="12"/>
  <c r="V1269" i="12"/>
  <c r="V1271" i="12"/>
  <c r="V1273" i="12"/>
  <c r="V1275" i="12"/>
  <c r="V1277" i="12"/>
  <c r="V1279" i="12"/>
  <c r="V1281" i="12"/>
  <c r="V1283" i="12"/>
  <c r="V1285" i="12"/>
  <c r="V1287" i="12"/>
  <c r="V1289" i="12"/>
  <c r="V1291" i="12"/>
  <c r="V1293" i="12"/>
  <c r="V1295" i="12"/>
  <c r="V1297" i="12"/>
  <c r="V1299" i="12"/>
  <c r="V1301" i="12"/>
  <c r="V1303" i="12"/>
  <c r="V1305" i="12"/>
  <c r="V1307" i="12"/>
  <c r="V1309" i="12"/>
  <c r="V1311" i="12"/>
  <c r="V1313" i="12"/>
  <c r="V1315" i="12"/>
  <c r="V1317" i="12"/>
  <c r="V1319" i="12"/>
  <c r="V1321" i="12"/>
  <c r="V1323" i="12"/>
  <c r="V1325" i="12"/>
  <c r="V1327" i="12"/>
  <c r="V1329" i="12"/>
  <c r="V1331" i="12"/>
  <c r="V1333" i="12"/>
  <c r="V1335" i="12"/>
  <c r="V1337" i="12"/>
  <c r="V1339" i="12"/>
  <c r="V1341" i="12"/>
  <c r="V1343" i="12"/>
  <c r="V1345" i="12"/>
  <c r="V1347" i="12"/>
  <c r="V1349" i="12"/>
  <c r="V1351" i="12"/>
  <c r="V1353" i="12"/>
  <c r="V1355" i="12"/>
  <c r="V1357" i="12"/>
  <c r="V1359" i="12"/>
  <c r="V1361" i="12"/>
  <c r="V1363" i="12"/>
  <c r="V1365" i="12"/>
  <c r="V1367" i="12"/>
  <c r="V1369" i="12"/>
  <c r="V1371" i="12"/>
  <c r="V1373" i="12"/>
  <c r="V1375" i="12"/>
  <c r="V1377" i="12"/>
  <c r="V1379" i="12"/>
  <c r="V1381" i="12"/>
  <c r="V1383" i="12"/>
  <c r="V1385" i="12"/>
  <c r="V1387" i="12"/>
  <c r="V1389" i="12"/>
  <c r="V1391" i="12"/>
  <c r="V1393" i="12"/>
  <c r="V1395" i="12"/>
  <c r="V1397" i="12"/>
  <c r="V1399" i="12"/>
  <c r="V1401" i="12"/>
  <c r="V1412" i="12"/>
  <c r="V1414" i="12"/>
  <c r="V1416" i="12"/>
  <c r="V1418" i="12"/>
  <c r="V1420" i="12"/>
  <c r="V1422" i="12"/>
  <c r="V1424" i="12"/>
  <c r="V1426" i="12"/>
  <c r="V1428" i="12"/>
  <c r="V1430" i="12"/>
  <c r="V1432" i="12"/>
  <c r="V1434" i="12"/>
  <c r="V1436" i="12"/>
  <c r="V1438" i="12"/>
  <c r="V1440" i="12"/>
  <c r="V1442" i="12"/>
  <c r="V1444" i="12"/>
  <c r="V1446" i="12"/>
  <c r="V1448" i="12"/>
  <c r="V1450" i="12"/>
  <c r="V1452" i="12"/>
  <c r="V1454" i="12"/>
  <c r="V1456" i="12"/>
  <c r="V1458" i="12"/>
  <c r="V1460" i="12"/>
  <c r="V1462" i="12"/>
  <c r="V1464" i="12"/>
  <c r="V1466" i="12"/>
  <c r="V1468" i="12"/>
  <c r="V1470" i="12"/>
  <c r="V1472" i="12"/>
  <c r="V1474" i="12"/>
  <c r="V1476" i="12"/>
  <c r="V1478" i="12"/>
  <c r="V1480" i="12"/>
  <c r="V1482" i="12"/>
  <c r="V1484" i="12"/>
  <c r="V1486" i="12"/>
  <c r="V1488" i="12"/>
  <c r="V1490" i="12"/>
  <c r="V1492" i="12"/>
  <c r="V1494" i="12"/>
  <c r="V1496" i="12"/>
  <c r="V1498" i="12"/>
  <c r="V1500" i="12"/>
  <c r="V1502" i="12"/>
  <c r="V1504" i="12"/>
  <c r="V1506" i="12"/>
  <c r="V1508" i="12"/>
  <c r="V1510" i="12"/>
  <c r="V1512" i="12"/>
  <c r="V1514" i="12"/>
  <c r="V1516" i="12"/>
  <c r="V1518" i="12"/>
  <c r="V1520" i="12"/>
  <c r="V1522" i="12"/>
  <c r="V1524" i="12"/>
  <c r="V1526" i="12"/>
  <c r="V1528" i="12"/>
  <c r="V1530" i="12"/>
  <c r="V1532" i="12"/>
  <c r="V1534" i="12"/>
  <c r="V1536" i="12"/>
  <c r="V1538" i="12"/>
  <c r="V1540" i="12"/>
  <c r="V1542" i="12"/>
  <c r="V1544" i="12"/>
  <c r="V1546" i="12"/>
  <c r="V1548" i="12"/>
  <c r="V1550" i="12"/>
  <c r="V1552" i="12"/>
  <c r="V1554" i="12"/>
  <c r="V1556" i="12"/>
  <c r="V1558" i="12"/>
  <c r="V1560" i="12"/>
  <c r="V1562" i="12"/>
  <c r="V1564" i="12"/>
  <c r="V1566" i="12"/>
  <c r="V1568" i="12"/>
  <c r="V1570" i="12"/>
  <c r="V1572" i="12"/>
  <c r="V1574" i="12"/>
  <c r="V1576" i="12"/>
  <c r="V1578" i="12"/>
  <c r="V1580" i="12"/>
  <c r="V1582" i="12"/>
  <c r="V1584" i="12"/>
  <c r="V1586" i="12"/>
  <c r="V1588" i="12"/>
  <c r="V1590" i="12"/>
  <c r="V1592" i="12"/>
  <c r="V1594" i="12"/>
  <c r="V1596" i="12"/>
  <c r="V1598" i="12"/>
  <c r="V1600" i="12"/>
  <c r="V1602" i="12"/>
  <c r="V1604" i="12"/>
  <c r="V1606" i="12"/>
  <c r="V1608" i="12"/>
  <c r="V1610" i="12"/>
  <c r="V1612" i="12"/>
  <c r="V1614" i="12"/>
  <c r="V1616" i="12"/>
  <c r="V1618" i="12"/>
  <c r="V1620" i="12"/>
  <c r="V1622" i="12"/>
  <c r="V1624" i="12"/>
  <c r="V1626" i="12"/>
  <c r="V1628" i="12"/>
  <c r="V1630" i="12"/>
  <c r="V1632" i="12"/>
  <c r="V1634" i="12"/>
  <c r="V1636" i="12"/>
  <c r="V1638" i="12"/>
  <c r="V1640" i="12"/>
  <c r="V1642" i="12"/>
  <c r="V1644" i="12"/>
  <c r="V1646" i="12"/>
  <c r="V1648" i="12"/>
  <c r="V1650" i="12"/>
  <c r="V1652" i="12"/>
  <c r="V1654" i="12"/>
  <c r="V1656" i="12"/>
  <c r="V1658" i="12"/>
  <c r="V1660" i="12"/>
  <c r="V1662" i="12"/>
  <c r="V1664" i="12"/>
  <c r="V1666" i="12"/>
  <c r="V1668" i="12"/>
  <c r="V1670" i="12"/>
  <c r="V1672" i="12"/>
  <c r="V1674" i="12"/>
  <c r="V1676" i="12"/>
  <c r="V1678" i="12"/>
  <c r="V1680" i="12"/>
  <c r="V1682" i="12"/>
  <c r="V1684" i="12"/>
  <c r="V1686" i="12"/>
  <c r="V1688" i="12"/>
  <c r="V1690" i="12"/>
  <c r="V1692" i="12"/>
  <c r="V1694" i="12"/>
  <c r="V1696" i="12"/>
  <c r="V1698" i="12"/>
  <c r="V1700" i="12"/>
  <c r="V1702" i="12"/>
  <c r="V1704" i="12"/>
  <c r="V1706" i="12"/>
  <c r="V1708" i="12"/>
  <c r="V1710" i="12"/>
  <c r="V1712" i="12"/>
  <c r="V1714" i="12"/>
  <c r="V1716" i="12"/>
  <c r="V1718" i="12"/>
  <c r="V1720" i="12"/>
  <c r="V1722" i="12"/>
  <c r="V1724" i="12"/>
  <c r="V1726" i="12"/>
  <c r="V1728" i="12"/>
  <c r="V1730" i="12"/>
  <c r="V1732" i="12"/>
  <c r="V1734" i="12"/>
  <c r="V1736" i="12"/>
  <c r="V1738" i="12"/>
  <c r="V1740" i="12"/>
  <c r="V1742" i="12"/>
  <c r="V1744" i="12"/>
  <c r="V1746" i="12"/>
  <c r="V1748" i="12"/>
  <c r="V1750" i="12"/>
  <c r="V1752" i="12"/>
  <c r="V1754" i="12"/>
  <c r="V1756" i="12"/>
  <c r="V1758" i="12"/>
  <c r="V1760" i="12"/>
  <c r="V1762" i="12"/>
  <c r="V1764" i="12"/>
  <c r="V1766" i="12"/>
  <c r="V1768" i="12"/>
  <c r="V1770" i="12"/>
  <c r="V1772" i="12"/>
  <c r="V1774" i="12"/>
  <c r="V1776" i="12"/>
  <c r="V1778" i="12"/>
  <c r="V1780" i="12"/>
  <c r="V1782" i="12"/>
  <c r="V1784" i="12"/>
  <c r="V1786" i="12"/>
  <c r="V1788" i="12"/>
  <c r="V1790" i="12"/>
  <c r="V1792" i="12"/>
  <c r="V1794" i="12"/>
  <c r="V1796" i="12"/>
  <c r="V1798" i="12"/>
  <c r="V1800" i="12"/>
  <c r="V1802" i="12"/>
  <c r="V1804" i="12"/>
  <c r="V1806" i="12"/>
  <c r="V1808" i="12"/>
  <c r="V1810" i="12"/>
  <c r="V1812" i="12"/>
  <c r="V1814" i="12"/>
  <c r="V1816" i="12"/>
  <c r="V1818" i="12"/>
  <c r="V1820" i="12"/>
  <c r="V1822" i="12"/>
  <c r="V1824" i="12"/>
  <c r="V1826" i="12"/>
  <c r="V1828" i="12"/>
  <c r="V1830" i="12"/>
  <c r="V1832" i="12"/>
  <c r="V1834" i="12"/>
  <c r="V1836" i="12"/>
  <c r="V1838" i="12"/>
  <c r="V1840" i="12"/>
  <c r="V1842" i="12"/>
  <c r="V1844" i="12"/>
  <c r="V1846" i="12"/>
  <c r="V1848" i="12"/>
  <c r="V1850" i="12"/>
  <c r="V1852" i="12"/>
  <c r="V1854" i="12"/>
  <c r="V1856" i="12"/>
  <c r="V1858" i="12"/>
  <c r="V1860" i="12"/>
  <c r="V1862" i="12"/>
  <c r="V1864" i="12"/>
  <c r="V1866" i="12"/>
  <c r="V1868" i="12"/>
  <c r="V1870" i="12"/>
  <c r="V1872" i="12"/>
  <c r="V1874" i="12"/>
  <c r="V1876" i="12"/>
  <c r="V1878" i="12"/>
  <c r="V1880" i="12"/>
  <c r="V1882" i="12"/>
  <c r="V1884" i="12"/>
  <c r="V1886" i="12"/>
  <c r="V1888" i="12"/>
  <c r="V1890" i="12"/>
  <c r="V1892" i="12"/>
  <c r="V1894" i="12"/>
  <c r="V1403" i="12"/>
  <c r="V1405" i="12"/>
  <c r="V1407" i="12"/>
  <c r="V1409" i="12"/>
  <c r="V1895" i="12"/>
  <c r="V1897" i="12"/>
  <c r="V1899" i="12"/>
  <c r="V1901" i="12"/>
  <c r="V1903" i="12"/>
  <c r="V1905" i="12"/>
  <c r="V1907" i="12"/>
  <c r="V1909" i="12"/>
  <c r="V1911" i="12"/>
  <c r="V1913" i="12"/>
  <c r="V1915" i="12"/>
  <c r="V1917" i="12"/>
  <c r="V1919" i="12"/>
  <c r="V1921" i="12"/>
  <c r="V1923" i="12"/>
  <c r="V1925" i="12"/>
  <c r="V1927" i="12"/>
  <c r="V1929" i="12"/>
  <c r="V1931" i="12"/>
  <c r="V1933" i="12"/>
  <c r="V1935" i="12"/>
  <c r="V1937" i="12"/>
  <c r="V1939" i="12"/>
  <c r="V1941" i="12"/>
  <c r="V1943" i="12"/>
  <c r="V1945" i="12"/>
  <c r="V1947" i="12"/>
  <c r="V1949" i="12"/>
  <c r="V1951" i="12"/>
  <c r="V1953" i="12"/>
  <c r="V1955" i="12"/>
  <c r="V1957" i="12"/>
  <c r="V1959" i="12"/>
  <c r="V1961" i="12"/>
  <c r="V1963" i="12"/>
  <c r="V1965" i="12"/>
  <c r="V1967" i="12"/>
  <c r="V1969" i="12"/>
  <c r="V1971" i="12"/>
  <c r="V1973" i="12"/>
  <c r="V1975" i="12"/>
  <c r="V1977" i="12"/>
  <c r="V1979" i="12"/>
  <c r="V1981" i="12"/>
  <c r="V1983" i="12"/>
  <c r="V1985" i="12"/>
  <c r="V1987" i="12"/>
  <c r="V1989" i="12"/>
  <c r="V1991" i="12"/>
  <c r="V1993" i="12"/>
  <c r="V1995" i="12"/>
  <c r="V1997" i="12"/>
  <c r="V1999" i="12"/>
  <c r="V2001" i="12"/>
  <c r="V2003" i="12"/>
  <c r="V2005" i="12"/>
  <c r="V2007" i="12"/>
  <c r="V2009" i="12"/>
  <c r="V2011" i="12"/>
  <c r="V2013" i="12"/>
  <c r="V2015" i="12"/>
  <c r="V2017" i="12"/>
  <c r="V2019" i="12"/>
  <c r="V2021" i="12"/>
  <c r="V2023" i="12"/>
  <c r="V2025" i="12"/>
  <c r="V2027" i="12"/>
  <c r="V2029" i="12"/>
  <c r="V2031" i="12"/>
  <c r="V2033" i="12"/>
  <c r="V2035" i="12"/>
  <c r="V2037" i="12"/>
  <c r="V2039" i="12"/>
  <c r="V2041" i="12"/>
  <c r="V2043" i="12"/>
  <c r="V2045" i="12"/>
  <c r="V2047" i="12"/>
  <c r="V2049" i="12"/>
  <c r="V2051" i="12"/>
  <c r="V2053" i="12"/>
  <c r="V2055" i="12"/>
  <c r="V2057" i="12"/>
  <c r="V2059" i="12"/>
  <c r="V2061" i="12"/>
  <c r="V2063" i="12"/>
  <c r="V2065" i="12"/>
  <c r="V2067" i="12"/>
  <c r="V2069" i="12"/>
  <c r="V2071" i="12"/>
  <c r="V2073" i="12"/>
  <c r="V2075" i="12"/>
  <c r="V2077" i="12"/>
  <c r="V2079" i="12"/>
  <c r="V2081" i="12"/>
  <c r="V2083" i="12"/>
  <c r="V2085" i="12"/>
  <c r="V2087" i="12"/>
  <c r="V2089" i="12"/>
  <c r="V2091" i="12"/>
  <c r="V2093" i="12"/>
  <c r="V2095" i="12"/>
  <c r="V2097" i="12"/>
  <c r="V2099" i="12"/>
  <c r="V2101" i="12"/>
  <c r="V2103" i="12"/>
  <c r="V2105" i="12"/>
  <c r="V2107" i="12"/>
  <c r="V2109" i="12"/>
  <c r="V2111" i="12"/>
  <c r="V2113" i="12"/>
  <c r="V2115" i="12"/>
  <c r="V2117" i="12"/>
  <c r="V2119" i="12"/>
  <c r="V2121" i="12"/>
  <c r="V2123" i="12"/>
  <c r="V2125" i="12"/>
  <c r="V2127" i="12"/>
  <c r="V2129" i="12"/>
  <c r="V2131" i="12"/>
  <c r="V2133" i="12"/>
  <c r="V2135" i="12"/>
  <c r="V2137" i="12"/>
  <c r="V2139" i="12"/>
  <c r="V2141" i="12"/>
  <c r="V2143" i="12"/>
  <c r="V2145" i="12"/>
  <c r="V2147" i="12"/>
  <c r="V2149" i="12"/>
  <c r="V2151" i="12"/>
  <c r="V2153" i="12"/>
  <c r="V2155" i="12"/>
  <c r="V2157" i="12"/>
  <c r="V2159" i="12"/>
  <c r="V2161" i="12"/>
  <c r="V2163" i="12"/>
  <c r="V2165" i="12"/>
  <c r="V2167" i="12"/>
  <c r="V2169" i="12"/>
  <c r="V2171" i="12"/>
  <c r="V2173" i="12"/>
  <c r="V2175" i="12"/>
  <c r="V2177" i="12"/>
  <c r="V2179" i="12"/>
  <c r="V2181" i="12"/>
  <c r="V2183" i="12"/>
  <c r="V2185" i="12"/>
  <c r="V2187" i="12"/>
  <c r="V2189" i="12"/>
  <c r="V2191" i="12"/>
  <c r="V2193" i="12"/>
  <c r="V2195" i="12"/>
  <c r="V2197" i="12"/>
  <c r="V2199" i="12"/>
  <c r="V2201" i="12"/>
  <c r="V2203" i="12"/>
  <c r="V2205" i="12"/>
  <c r="V2207" i="12"/>
  <c r="V2209" i="12"/>
  <c r="V2211" i="12"/>
  <c r="V2213" i="12"/>
  <c r="V2215" i="12"/>
  <c r="V2217" i="12"/>
  <c r="V2219" i="12"/>
  <c r="V2221" i="12"/>
  <c r="V2223" i="12"/>
  <c r="V2225" i="12"/>
  <c r="V2227" i="12"/>
  <c r="V2229" i="12"/>
  <c r="V2231" i="12"/>
  <c r="V2233" i="12"/>
  <c r="V2235" i="12"/>
  <c r="V2237" i="12"/>
  <c r="V2239" i="12"/>
  <c r="V2241" i="12"/>
  <c r="V2243" i="12"/>
  <c r="V2245" i="12"/>
  <c r="V2247" i="12"/>
  <c r="V2249" i="12"/>
  <c r="V2251" i="12"/>
  <c r="V2253" i="12"/>
  <c r="V2255" i="12"/>
  <c r="V2257" i="12"/>
  <c r="V2259" i="12"/>
  <c r="V2261" i="12"/>
  <c r="V2263" i="12"/>
  <c r="V2265" i="12"/>
  <c r="V2267" i="12"/>
  <c r="V2269" i="12"/>
  <c r="V2271" i="12"/>
  <c r="V2273" i="12"/>
  <c r="V2275" i="12"/>
  <c r="V2277" i="12"/>
  <c r="V2279" i="12"/>
  <c r="V2281" i="12"/>
  <c r="V2283" i="12"/>
  <c r="V2285" i="12"/>
  <c r="V2287" i="12"/>
  <c r="V2289" i="12"/>
  <c r="V2291" i="12"/>
  <c r="V2293" i="12"/>
  <c r="V2295" i="12"/>
  <c r="V2297" i="12"/>
  <c r="V2299" i="12"/>
  <c r="V2301" i="12"/>
  <c r="V2303" i="12"/>
  <c r="V2305" i="12"/>
  <c r="V2307" i="12"/>
  <c r="V2309" i="12"/>
  <c r="V2311" i="12"/>
  <c r="V2313" i="12"/>
  <c r="V2315" i="12"/>
  <c r="V2317" i="12"/>
  <c r="V2319" i="12"/>
  <c r="V2321" i="12"/>
  <c r="V2323" i="12"/>
  <c r="V2325" i="12"/>
  <c r="V2327" i="12"/>
  <c r="V2329" i="12"/>
  <c r="V2331" i="12"/>
  <c r="V2333" i="12"/>
  <c r="V2335" i="12"/>
  <c r="V2337" i="12"/>
  <c r="V2339" i="12"/>
  <c r="V2341" i="12"/>
  <c r="V2343" i="12"/>
  <c r="V2345" i="12"/>
  <c r="V2347" i="12"/>
  <c r="V2349" i="12"/>
  <c r="V2351" i="12"/>
  <c r="V2353" i="12"/>
  <c r="V2355" i="12"/>
  <c r="V2357" i="12"/>
  <c r="V2359" i="12"/>
  <c r="V2361" i="12"/>
  <c r="V2363" i="12"/>
  <c r="V2365" i="12"/>
  <c r="V2367" i="12"/>
  <c r="V2369" i="12"/>
  <c r="V2371" i="12"/>
  <c r="V2373" i="12"/>
  <c r="V2375" i="12"/>
  <c r="V2377" i="12"/>
  <c r="V2379" i="12"/>
  <c r="V2381" i="12"/>
  <c r="V2383" i="12"/>
  <c r="V2385" i="12"/>
  <c r="V2387" i="12"/>
  <c r="V2389" i="12"/>
  <c r="V2391" i="12"/>
  <c r="V2393" i="12"/>
  <c r="V2395" i="12"/>
  <c r="V2397" i="12"/>
  <c r="V2399" i="12"/>
  <c r="V2401" i="12"/>
  <c r="V2403" i="12"/>
  <c r="V2405" i="12"/>
  <c r="V2407" i="12"/>
  <c r="V2409" i="12"/>
  <c r="V2411" i="12"/>
  <c r="V2413" i="12"/>
  <c r="V2415" i="12"/>
  <c r="V2417" i="12"/>
  <c r="V2419" i="12"/>
  <c r="V2421" i="12"/>
  <c r="V2423" i="12"/>
  <c r="V2425" i="12"/>
  <c r="V2427" i="12"/>
  <c r="V2429" i="12"/>
  <c r="V2431" i="12"/>
  <c r="V2433" i="12"/>
  <c r="V2435" i="12"/>
  <c r="V2437" i="12"/>
  <c r="V2439" i="12"/>
  <c r="V2441" i="12"/>
  <c r="V2443" i="12"/>
  <c r="V2445" i="12"/>
  <c r="V2447" i="12"/>
  <c r="V2449" i="12"/>
  <c r="V2451" i="12"/>
  <c r="V2453" i="12"/>
  <c r="V2455" i="12"/>
  <c r="V2457" i="12"/>
  <c r="V2459" i="12"/>
  <c r="V2461" i="12"/>
  <c r="V2463" i="12"/>
  <c r="V2465" i="12"/>
  <c r="V2467" i="12"/>
  <c r="V2469" i="12"/>
  <c r="V2471" i="12"/>
  <c r="V2473" i="12"/>
  <c r="V2475" i="12"/>
  <c r="V2477" i="12"/>
  <c r="V2479" i="12"/>
  <c r="V2481" i="12"/>
  <c r="V2483" i="12"/>
  <c r="V2485" i="12"/>
  <c r="V2487" i="12"/>
  <c r="V2489" i="12"/>
  <c r="V2491" i="12"/>
  <c r="V2493" i="12"/>
  <c r="V2495" i="12"/>
  <c r="V2497" i="12"/>
  <c r="V2499" i="12"/>
  <c r="V2501" i="12"/>
  <c r="V2503" i="12"/>
  <c r="V2505" i="12"/>
  <c r="V2507" i="12"/>
  <c r="V2509" i="12"/>
  <c r="V2511" i="12"/>
  <c r="V2513" i="12"/>
  <c r="V2515" i="12"/>
  <c r="V2517" i="12"/>
  <c r="V2519" i="12"/>
  <c r="V2521" i="12"/>
  <c r="V2523" i="12"/>
  <c r="V2525" i="12"/>
  <c r="V2527" i="12"/>
  <c r="V2529" i="12"/>
  <c r="V2531" i="12"/>
  <c r="V2533" i="12"/>
  <c r="V2535" i="12"/>
  <c r="V2537" i="12"/>
  <c r="V2539" i="12"/>
  <c r="V2541" i="12"/>
  <c r="V2543" i="12"/>
  <c r="V2545" i="12"/>
  <c r="V2547" i="12"/>
  <c r="V2549" i="12"/>
  <c r="V2551" i="12"/>
  <c r="V2553" i="12"/>
  <c r="V2555" i="12"/>
  <c r="V2557" i="12"/>
  <c r="V2559" i="12"/>
  <c r="V2561" i="12"/>
  <c r="V2563" i="12"/>
  <c r="V2565" i="12"/>
  <c r="V2567" i="12"/>
  <c r="V2569" i="12"/>
  <c r="V2571" i="12"/>
  <c r="V2573" i="12"/>
  <c r="V2575" i="12"/>
  <c r="V2577" i="12"/>
  <c r="V2579" i="12"/>
  <c r="V2581" i="12"/>
  <c r="V2583" i="12"/>
  <c r="V2585" i="12"/>
  <c r="V2587" i="12"/>
  <c r="V2589" i="12"/>
  <c r="V2591" i="12"/>
  <c r="V2593" i="12"/>
  <c r="V2595" i="12"/>
  <c r="V2597" i="12"/>
  <c r="V2599" i="12"/>
  <c r="V2601" i="12"/>
  <c r="V2603" i="12"/>
  <c r="V2605" i="12"/>
  <c r="V2607" i="12"/>
  <c r="V2609" i="12"/>
  <c r="V2611" i="12"/>
  <c r="V2613" i="12"/>
  <c r="V2615" i="12"/>
  <c r="V2617" i="12"/>
  <c r="V2619" i="12"/>
  <c r="V2621" i="12"/>
  <c r="V2623" i="12"/>
  <c r="V2625" i="12"/>
  <c r="V2627" i="12"/>
  <c r="V2629" i="12"/>
  <c r="V2631" i="12"/>
  <c r="V2633" i="12"/>
  <c r="V2635" i="12"/>
  <c r="V2637" i="12"/>
  <c r="V2639" i="12"/>
  <c r="V2641" i="12"/>
  <c r="V2643" i="12"/>
  <c r="V2645" i="12"/>
  <c r="V2647" i="12"/>
  <c r="V2649" i="12"/>
  <c r="V2651" i="12"/>
  <c r="V2653" i="12"/>
  <c r="V2655" i="12"/>
  <c r="V2657" i="12"/>
  <c r="V2659" i="12"/>
  <c r="V2661" i="12"/>
  <c r="V2663" i="12"/>
  <c r="V2665" i="12"/>
  <c r="V2667" i="12"/>
  <c r="V2669" i="12"/>
  <c r="V2671" i="12"/>
  <c r="V2673" i="12"/>
  <c r="V2675" i="12"/>
  <c r="V2677" i="12"/>
  <c r="V2679" i="12"/>
  <c r="V2681" i="12"/>
  <c r="V2683" i="12"/>
  <c r="V2685" i="12"/>
  <c r="V2687" i="12"/>
  <c r="V2689" i="12"/>
  <c r="V2691" i="12"/>
  <c r="V2693" i="12"/>
  <c r="V2695" i="12"/>
  <c r="V2697" i="12"/>
  <c r="V2699" i="12"/>
  <c r="V2701" i="12"/>
  <c r="V2703" i="12"/>
  <c r="V2705" i="12"/>
  <c r="V2707" i="12"/>
  <c r="V2709" i="12"/>
  <c r="V2711" i="12"/>
  <c r="V2713" i="12"/>
  <c r="V2715" i="12"/>
  <c r="V2717" i="12"/>
  <c r="V2719" i="12"/>
  <c r="V2721" i="12"/>
  <c r="V2723" i="12"/>
  <c r="V2725" i="12"/>
  <c r="V2727" i="12"/>
  <c r="V2729" i="12"/>
  <c r="V2731" i="12"/>
  <c r="V2733" i="12"/>
  <c r="V2735" i="12"/>
  <c r="V2737" i="12"/>
  <c r="V2739" i="12"/>
  <c r="V2741" i="12"/>
  <c r="V2743" i="12"/>
  <c r="V2745" i="12"/>
  <c r="V2747" i="12"/>
  <c r="V2749" i="12"/>
  <c r="V2751" i="12"/>
  <c r="V2753" i="12"/>
  <c r="V2755" i="12"/>
  <c r="V2757" i="12"/>
  <c r="V2759" i="12"/>
  <c r="V2761" i="12"/>
  <c r="V2763" i="12"/>
  <c r="V2765" i="12"/>
  <c r="V2767" i="12"/>
  <c r="V2769" i="12"/>
  <c r="V2771" i="12"/>
  <c r="V2773" i="12"/>
  <c r="V2775" i="12"/>
  <c r="V2777" i="12"/>
  <c r="V2779" i="12"/>
  <c r="V2781" i="12"/>
  <c r="V2783" i="12"/>
  <c r="V2785" i="12"/>
  <c r="V2787" i="12"/>
  <c r="V2789" i="12"/>
  <c r="V2791" i="12"/>
  <c r="V2793" i="12"/>
  <c r="V2795" i="12"/>
  <c r="V2797" i="12"/>
  <c r="V2799" i="12"/>
  <c r="V2801" i="12"/>
  <c r="V2803" i="12"/>
  <c r="V2805" i="12"/>
  <c r="V2807" i="12"/>
  <c r="V2809" i="12"/>
  <c r="V2811" i="12"/>
  <c r="V2813" i="12"/>
  <c r="V2815" i="12"/>
  <c r="V2817" i="12"/>
  <c r="V2819" i="12"/>
  <c r="V2821" i="12"/>
  <c r="V2823" i="12"/>
  <c r="V2825" i="12"/>
  <c r="V2827" i="12"/>
  <c r="V2829" i="12"/>
  <c r="V2831" i="12"/>
  <c r="V2833" i="12"/>
  <c r="V2835" i="12"/>
  <c r="V2837" i="12"/>
  <c r="V2839" i="12"/>
  <c r="V2841" i="12"/>
  <c r="V2843" i="12"/>
  <c r="V2845" i="12"/>
  <c r="V2847" i="12"/>
  <c r="V2849" i="12"/>
  <c r="V2851" i="12"/>
  <c r="V2853" i="12"/>
  <c r="V2855" i="12"/>
  <c r="V2857" i="12"/>
  <c r="V2859" i="12"/>
  <c r="V2861" i="12"/>
  <c r="V2863" i="12"/>
  <c r="V2865" i="12"/>
  <c r="V2867" i="12"/>
  <c r="V2869" i="12"/>
  <c r="V2871" i="12"/>
  <c r="V2873" i="12"/>
  <c r="V2875" i="12"/>
  <c r="V2877" i="12"/>
  <c r="V2879" i="12"/>
  <c r="V2881" i="12"/>
  <c r="V2883" i="12"/>
  <c r="V2885" i="12"/>
  <c r="V2887" i="12"/>
  <c r="V2889" i="12"/>
  <c r="V2891" i="12"/>
  <c r="V2893" i="12"/>
  <c r="V2895" i="12"/>
  <c r="V2897" i="12"/>
  <c r="V2899" i="12"/>
  <c r="V2901" i="12"/>
  <c r="V2903" i="12"/>
  <c r="V2905" i="12"/>
  <c r="V2907" i="12"/>
  <c r="V2909" i="12"/>
  <c r="V2911" i="12"/>
  <c r="V2913" i="12"/>
  <c r="V2915" i="12"/>
  <c r="V2917" i="12"/>
  <c r="V2919" i="12"/>
  <c r="V2921" i="12"/>
  <c r="V2923" i="12"/>
  <c r="V2925" i="12"/>
  <c r="V2927" i="12"/>
  <c r="V2929" i="12"/>
  <c r="V2931" i="12"/>
  <c r="V2933" i="12"/>
  <c r="V2935" i="12"/>
  <c r="V2937" i="12"/>
  <c r="V2939" i="12"/>
  <c r="V2941" i="12"/>
  <c r="V2943" i="12"/>
  <c r="V2945" i="12"/>
  <c r="V2947" i="12"/>
  <c r="V2949" i="12"/>
  <c r="V2951" i="12"/>
  <c r="V2953" i="12"/>
  <c r="V2955" i="12"/>
  <c r="V2957" i="12"/>
  <c r="V2959" i="12"/>
  <c r="V2961" i="12"/>
  <c r="V2963" i="12"/>
  <c r="V2965" i="12"/>
  <c r="V2967" i="12"/>
  <c r="V2969" i="12"/>
  <c r="V2971" i="12"/>
  <c r="V2973" i="12"/>
  <c r="V2975" i="12"/>
  <c r="V2977" i="12"/>
  <c r="V2979" i="12"/>
  <c r="V2981" i="12"/>
  <c r="V2983" i="12"/>
  <c r="V2985" i="12"/>
  <c r="V2987" i="12"/>
  <c r="V2989" i="12"/>
  <c r="V2991" i="12"/>
  <c r="V2993" i="12"/>
  <c r="V2995" i="12"/>
  <c r="V2997" i="12"/>
  <c r="V2999" i="12"/>
  <c r="V3001" i="12"/>
  <c r="V3003" i="12"/>
  <c r="V3005" i="12"/>
  <c r="V3007" i="12"/>
  <c r="V3009" i="12"/>
  <c r="V3011" i="12"/>
  <c r="V3013" i="12"/>
  <c r="V3015" i="12"/>
  <c r="V3017" i="12"/>
  <c r="V3019" i="12"/>
  <c r="V3021" i="12"/>
  <c r="V3023" i="12"/>
  <c r="V3025" i="12"/>
  <c r="V3027" i="12"/>
  <c r="V3029" i="12"/>
  <c r="V3031" i="12"/>
  <c r="V3033" i="12"/>
  <c r="V3035" i="12"/>
  <c r="V3037" i="12"/>
  <c r="V3039" i="12"/>
  <c r="V3041" i="12"/>
  <c r="V3043" i="12"/>
  <c r="V3045" i="12"/>
  <c r="V3047" i="12"/>
  <c r="V3049" i="12"/>
  <c r="V3051" i="12"/>
  <c r="V3053" i="12"/>
  <c r="V3055" i="12"/>
  <c r="V3057" i="12"/>
  <c r="V3059" i="12"/>
  <c r="V3061" i="12"/>
  <c r="V3063" i="12"/>
  <c r="V3065" i="12"/>
  <c r="V3067" i="12"/>
  <c r="V3069" i="12"/>
  <c r="V3071" i="12"/>
  <c r="V3073" i="12"/>
  <c r="V3075" i="12"/>
  <c r="V3077" i="12"/>
  <c r="V3079" i="12"/>
  <c r="V3081" i="12"/>
  <c r="V3083" i="12"/>
  <c r="V3085" i="12"/>
  <c r="V3087" i="12"/>
  <c r="V3089" i="12"/>
  <c r="V3091" i="12"/>
  <c r="V3093" i="12"/>
  <c r="V3095" i="12"/>
  <c r="V3097" i="12"/>
  <c r="V3099" i="12"/>
  <c r="V3101" i="12"/>
  <c r="V3103" i="12"/>
  <c r="V3105" i="12"/>
  <c r="V3107" i="12"/>
  <c r="V3109" i="12"/>
  <c r="V3111" i="12"/>
  <c r="V3113" i="12"/>
  <c r="V3115" i="12"/>
  <c r="V3117" i="12"/>
  <c r="V3119" i="12"/>
  <c r="V3121" i="12"/>
  <c r="V3123" i="12"/>
  <c r="V3125" i="12"/>
  <c r="V3127" i="12"/>
  <c r="V3129" i="12"/>
  <c r="V3131" i="12"/>
  <c r="V3133" i="12"/>
  <c r="V3135" i="12"/>
  <c r="V3137" i="12"/>
  <c r="V3139" i="12"/>
  <c r="V3141" i="12"/>
  <c r="V3143" i="12"/>
  <c r="V3145" i="12"/>
  <c r="V3147" i="12"/>
  <c r="V3149" i="12"/>
  <c r="V3151" i="12"/>
  <c r="V3153" i="12"/>
  <c r="V3155" i="12"/>
  <c r="V3157" i="12"/>
  <c r="V3159" i="12"/>
  <c r="V3161" i="12"/>
  <c r="V3163" i="12"/>
  <c r="V3165" i="12"/>
  <c r="V3167" i="12"/>
  <c r="V3169" i="12"/>
  <c r="V3171" i="12"/>
  <c r="V3173" i="12"/>
  <c r="V3175" i="12"/>
  <c r="V3177" i="12"/>
  <c r="V3179" i="12"/>
  <c r="V3181" i="12"/>
  <c r="V3183" i="12"/>
  <c r="V3185" i="12"/>
  <c r="V3187" i="12"/>
  <c r="V3189" i="12"/>
  <c r="V3191" i="12"/>
  <c r="V3193" i="12"/>
  <c r="V3195" i="12"/>
  <c r="V3197" i="12"/>
  <c r="V3199" i="12"/>
  <c r="V3201" i="12"/>
  <c r="V3203" i="12"/>
  <c r="V3205" i="12"/>
  <c r="V3207" i="12"/>
  <c r="V3209" i="12"/>
  <c r="V3211" i="12"/>
  <c r="V3213" i="12"/>
  <c r="V3215" i="12"/>
  <c r="V3217" i="12"/>
  <c r="V3219" i="12"/>
  <c r="V3221" i="12"/>
  <c r="V3223" i="12"/>
  <c r="V3225" i="12"/>
  <c r="V3227" i="12"/>
  <c r="V3229" i="12"/>
  <c r="V3231" i="12"/>
  <c r="V3233" i="12"/>
  <c r="V3235" i="12"/>
  <c r="V3237" i="12"/>
  <c r="V3239" i="12"/>
  <c r="V3241" i="12"/>
  <c r="V3243" i="12"/>
  <c r="V3245" i="12"/>
  <c r="V3247" i="12"/>
  <c r="V3249" i="12"/>
  <c r="V3251" i="12"/>
  <c r="V3253" i="12"/>
  <c r="V3255" i="12"/>
  <c r="V3257" i="12"/>
  <c r="V3259" i="12"/>
  <c r="V3261" i="12"/>
  <c r="V3263" i="12"/>
  <c r="V3265" i="12"/>
  <c r="V3267" i="12"/>
  <c r="V3269" i="12"/>
  <c r="V3271" i="12"/>
  <c r="V3273" i="12"/>
  <c r="V3275" i="12"/>
  <c r="V3277" i="12"/>
  <c r="V3279" i="12"/>
  <c r="V3281" i="12"/>
  <c r="V3283" i="12"/>
  <c r="V3285" i="12"/>
  <c r="V3287" i="12"/>
  <c r="V3289" i="12"/>
  <c r="V3291" i="12"/>
  <c r="V3293" i="12"/>
  <c r="V3295" i="12"/>
  <c r="V3297" i="12"/>
  <c r="V3299" i="12"/>
  <c r="V3301" i="12"/>
  <c r="V3303" i="12"/>
  <c r="V3305" i="12"/>
  <c r="V3307" i="12"/>
  <c r="V3309" i="12"/>
  <c r="V3311" i="12"/>
  <c r="V3313" i="12"/>
  <c r="V3315" i="12"/>
  <c r="V3317" i="12"/>
  <c r="V3319" i="12"/>
  <c r="V3321" i="12"/>
  <c r="V3323" i="12"/>
  <c r="V3325" i="12"/>
  <c r="V3327" i="12"/>
  <c r="V3329" i="12"/>
  <c r="V3331" i="12"/>
  <c r="V3333" i="12"/>
  <c r="V3335" i="12"/>
  <c r="V3337" i="12"/>
  <c r="V3339" i="12"/>
  <c r="V3341" i="12"/>
  <c r="V3343" i="12"/>
  <c r="V3345" i="12"/>
  <c r="V3347" i="12"/>
  <c r="V3349" i="12"/>
  <c r="V3351" i="12"/>
  <c r="V3353" i="12"/>
  <c r="V3355" i="12"/>
  <c r="V3357" i="12"/>
  <c r="V3359" i="12"/>
  <c r="V3361" i="12"/>
  <c r="V3363" i="12"/>
  <c r="V3365" i="12"/>
  <c r="V3367" i="12"/>
  <c r="V3369" i="12"/>
  <c r="V3371" i="12"/>
  <c r="V3373" i="12"/>
  <c r="V3375" i="12"/>
  <c r="V3377" i="12"/>
  <c r="V3379" i="12"/>
  <c r="V3381" i="12"/>
  <c r="V3383" i="12"/>
  <c r="V3385" i="12"/>
  <c r="V3387" i="12"/>
  <c r="V3389" i="12"/>
  <c r="V3391" i="12"/>
  <c r="V3393" i="12"/>
  <c r="V3395" i="12"/>
  <c r="V3397" i="12"/>
  <c r="V3399" i="12"/>
  <c r="V3401" i="12"/>
  <c r="V3403" i="12"/>
  <c r="V3405" i="12"/>
  <c r="V3407" i="12"/>
  <c r="V3409" i="12"/>
  <c r="V3411" i="12"/>
  <c r="V3413" i="12"/>
  <c r="V3415" i="12"/>
  <c r="V3417" i="12"/>
  <c r="V3419" i="12"/>
  <c r="V3421" i="12"/>
  <c r="V3423" i="12"/>
  <c r="V3425" i="12"/>
  <c r="V3427" i="12"/>
  <c r="V3429" i="12"/>
  <c r="V3431" i="12"/>
  <c r="V3433" i="12"/>
  <c r="V3435" i="12"/>
  <c r="V3437" i="12"/>
  <c r="V3439" i="12"/>
  <c r="V3441" i="12"/>
  <c r="V3443" i="12"/>
  <c r="V3445" i="12"/>
  <c r="V3447" i="12"/>
  <c r="V3449" i="12"/>
  <c r="V3451" i="12"/>
  <c r="V3453" i="12"/>
  <c r="V3455" i="12"/>
  <c r="V3457" i="12"/>
  <c r="V3459" i="12"/>
  <c r="V3461" i="12"/>
  <c r="V3463" i="12"/>
  <c r="V3465" i="12"/>
  <c r="V3467" i="12"/>
  <c r="V3469" i="12"/>
  <c r="V3471" i="12"/>
  <c r="V3473" i="12"/>
  <c r="V3475" i="12"/>
  <c r="V3477" i="12"/>
  <c r="V3479" i="12"/>
  <c r="V3481" i="12"/>
  <c r="V3483" i="12"/>
  <c r="V3485" i="12"/>
  <c r="V3487" i="12"/>
  <c r="V3489" i="12"/>
  <c r="V3491" i="12"/>
  <c r="V3493" i="12"/>
  <c r="V3495" i="12"/>
  <c r="V3497" i="12"/>
  <c r="V3499" i="12"/>
  <c r="V3501" i="12"/>
  <c r="V3503" i="12"/>
  <c r="V3505" i="12"/>
  <c r="V3507" i="12"/>
  <c r="V3509" i="12"/>
  <c r="V3511" i="12"/>
  <c r="V3513" i="12"/>
  <c r="V3515" i="12"/>
  <c r="V3517" i="12"/>
  <c r="V3519" i="12"/>
  <c r="V3521" i="12"/>
  <c r="V3523" i="12"/>
  <c r="V3525" i="12"/>
  <c r="V3527" i="12"/>
  <c r="V3529" i="12"/>
  <c r="V3531" i="12"/>
  <c r="V3533" i="12"/>
  <c r="V3535" i="12"/>
  <c r="V3537" i="12"/>
  <c r="V3539" i="12"/>
  <c r="V3541" i="12"/>
  <c r="V3543" i="12"/>
  <c r="V3545" i="12"/>
  <c r="V3547" i="12"/>
  <c r="V3549" i="12"/>
  <c r="V3551" i="12"/>
  <c r="V3553" i="12"/>
  <c r="V3555" i="12"/>
  <c r="V3557" i="12"/>
  <c r="V3559" i="12"/>
  <c r="V3561" i="12"/>
  <c r="V3563" i="12"/>
  <c r="V3565" i="12"/>
  <c r="V3567" i="12"/>
  <c r="V3569" i="12"/>
  <c r="V3571" i="12"/>
  <c r="V3573" i="12"/>
  <c r="V3575" i="12"/>
  <c r="V3577" i="12"/>
  <c r="V3579" i="12"/>
  <c r="V3581" i="12"/>
  <c r="V3583" i="12"/>
  <c r="V3585" i="12"/>
  <c r="V3587" i="12"/>
  <c r="V3589" i="12"/>
  <c r="V3591" i="12"/>
  <c r="V3593" i="12"/>
  <c r="V3595" i="12"/>
  <c r="V3597" i="12"/>
  <c r="V3599" i="12"/>
  <c r="V3601" i="12"/>
  <c r="V3603" i="12"/>
  <c r="V3605" i="12"/>
  <c r="V3607" i="12"/>
  <c r="V9" i="12"/>
  <c r="R11" i="12"/>
  <c r="R13" i="12"/>
  <c r="R15" i="12"/>
  <c r="R17" i="12"/>
  <c r="R19" i="12"/>
  <c r="R21" i="12"/>
  <c r="R23" i="12"/>
  <c r="R25" i="12"/>
  <c r="R27" i="12"/>
  <c r="R29" i="12"/>
  <c r="R31" i="12"/>
  <c r="R33" i="12"/>
  <c r="R35" i="12"/>
  <c r="R37" i="12"/>
  <c r="R39" i="12"/>
  <c r="R41" i="12"/>
  <c r="R43" i="12"/>
  <c r="R45" i="12"/>
  <c r="R47" i="12"/>
  <c r="R49" i="12"/>
  <c r="R51" i="12"/>
  <c r="R53" i="12"/>
  <c r="R55" i="12"/>
  <c r="R57" i="12"/>
  <c r="R59" i="12"/>
  <c r="R61" i="12"/>
  <c r="R63" i="12"/>
  <c r="R65" i="12"/>
  <c r="R74" i="12"/>
  <c r="R76" i="12"/>
  <c r="R78" i="12"/>
  <c r="R80" i="12"/>
  <c r="R82" i="12"/>
  <c r="R84" i="12"/>
  <c r="R86" i="12"/>
  <c r="R88" i="12"/>
  <c r="R90" i="12"/>
  <c r="R92" i="12"/>
  <c r="R94" i="12"/>
  <c r="R96" i="12"/>
  <c r="R98" i="12"/>
  <c r="R100" i="12"/>
  <c r="R102" i="12"/>
  <c r="R104" i="12"/>
  <c r="R106" i="12"/>
  <c r="R108" i="12"/>
  <c r="R110" i="12"/>
  <c r="R112" i="12"/>
  <c r="R114" i="12"/>
  <c r="R116" i="12"/>
  <c r="R118" i="12"/>
  <c r="R120" i="12"/>
  <c r="R122" i="12"/>
  <c r="R124" i="12"/>
  <c r="R126" i="12"/>
  <c r="R128" i="12"/>
  <c r="R130" i="12"/>
  <c r="R132" i="12"/>
  <c r="R134" i="12"/>
  <c r="R68" i="12"/>
  <c r="R70" i="12"/>
  <c r="R72" i="12"/>
  <c r="R136" i="12"/>
  <c r="R138" i="12"/>
  <c r="R140" i="12"/>
  <c r="R142" i="12"/>
  <c r="R144" i="12"/>
  <c r="R146" i="12"/>
  <c r="R148" i="12"/>
  <c r="R150" i="12"/>
  <c r="R152" i="12"/>
  <c r="R154" i="12"/>
  <c r="R156" i="12"/>
  <c r="R158" i="12"/>
  <c r="R160" i="12"/>
  <c r="R162" i="12"/>
  <c r="R164" i="12"/>
  <c r="R166" i="12"/>
  <c r="R168" i="12"/>
  <c r="R170" i="12"/>
  <c r="R172" i="12"/>
  <c r="R174" i="12"/>
  <c r="R176" i="12"/>
  <c r="R178" i="12"/>
  <c r="R180" i="12"/>
  <c r="R182" i="12"/>
  <c r="R184" i="12"/>
  <c r="R186" i="12"/>
  <c r="R188" i="12"/>
  <c r="R190" i="12"/>
  <c r="R192" i="12"/>
  <c r="R194" i="12"/>
  <c r="R196" i="12"/>
  <c r="R198" i="12"/>
  <c r="R200" i="12"/>
  <c r="R202" i="12"/>
  <c r="R204" i="12"/>
  <c r="R206" i="12"/>
  <c r="R208" i="12"/>
  <c r="R210" i="12"/>
  <c r="R212" i="12"/>
  <c r="R214" i="12"/>
  <c r="R216" i="12"/>
  <c r="R218" i="12"/>
  <c r="R220" i="12"/>
  <c r="R222" i="12"/>
  <c r="R224" i="12"/>
  <c r="R226" i="12"/>
  <c r="R228" i="12"/>
  <c r="R230" i="12"/>
  <c r="R232" i="12"/>
  <c r="R234" i="12"/>
  <c r="R236" i="12"/>
  <c r="R238" i="12"/>
  <c r="R240" i="12"/>
  <c r="R242" i="12"/>
  <c r="R244" i="12"/>
  <c r="R246" i="12"/>
  <c r="R248" i="12"/>
  <c r="R250" i="12"/>
  <c r="R252" i="12"/>
  <c r="R254" i="12"/>
  <c r="R263" i="12"/>
  <c r="R265" i="12"/>
  <c r="R267" i="12"/>
  <c r="R269" i="12"/>
  <c r="R271" i="12"/>
  <c r="R273" i="12"/>
  <c r="R275" i="12"/>
  <c r="R277" i="12"/>
  <c r="R279" i="12"/>
  <c r="R281" i="12"/>
  <c r="R283" i="12"/>
  <c r="R285" i="12"/>
  <c r="R287" i="12"/>
  <c r="R289" i="12"/>
  <c r="R291" i="12"/>
  <c r="R293" i="12"/>
  <c r="R295" i="12"/>
  <c r="R297" i="12"/>
  <c r="R299" i="12"/>
  <c r="R301" i="12"/>
  <c r="R303" i="12"/>
  <c r="R305" i="12"/>
  <c r="R307" i="12"/>
  <c r="R309" i="12"/>
  <c r="R311" i="12"/>
  <c r="R313" i="12"/>
  <c r="R315" i="12"/>
  <c r="R317" i="12"/>
  <c r="R319" i="12"/>
  <c r="R321" i="12"/>
  <c r="R323" i="12"/>
  <c r="R325" i="12"/>
  <c r="R327" i="12"/>
  <c r="R329" i="12"/>
  <c r="R331" i="12"/>
  <c r="R333" i="12"/>
  <c r="R335" i="12"/>
  <c r="R337" i="12"/>
  <c r="R339" i="12"/>
  <c r="R341" i="12"/>
  <c r="R343" i="12"/>
  <c r="R345" i="12"/>
  <c r="R347" i="12"/>
  <c r="R349" i="12"/>
  <c r="R351" i="12"/>
  <c r="R353" i="12"/>
  <c r="R355" i="12"/>
  <c r="R357" i="12"/>
  <c r="R359" i="12"/>
  <c r="R361" i="12"/>
  <c r="R363" i="12"/>
  <c r="R365" i="12"/>
  <c r="R367" i="12"/>
  <c r="R369" i="12"/>
  <c r="R371" i="12"/>
  <c r="R373" i="12"/>
  <c r="R375" i="12"/>
  <c r="R377" i="12"/>
  <c r="R379" i="12"/>
  <c r="R381" i="12"/>
  <c r="R383" i="12"/>
  <c r="R385" i="12"/>
  <c r="R255" i="12"/>
  <c r="R257" i="12"/>
  <c r="R259" i="12"/>
  <c r="R261" i="12"/>
  <c r="R387" i="12"/>
  <c r="R389" i="12"/>
  <c r="R391" i="12"/>
  <c r="R393" i="12"/>
  <c r="R395" i="12"/>
  <c r="R397" i="12"/>
  <c r="R399" i="12"/>
  <c r="R401" i="12"/>
  <c r="R403" i="12"/>
  <c r="R405" i="12"/>
  <c r="R407" i="12"/>
  <c r="R409" i="12"/>
  <c r="R411" i="12"/>
  <c r="R413" i="12"/>
  <c r="R415" i="12"/>
  <c r="R417" i="12"/>
  <c r="R419" i="12"/>
  <c r="R421" i="12"/>
  <c r="R423" i="12"/>
  <c r="R425" i="12"/>
  <c r="R427" i="12"/>
  <c r="R429" i="12"/>
  <c r="R431" i="12"/>
  <c r="R433" i="12"/>
  <c r="R435" i="12"/>
  <c r="R437" i="12"/>
  <c r="R439" i="12"/>
  <c r="R441" i="12"/>
  <c r="R443" i="12"/>
  <c r="R445" i="12"/>
  <c r="R447" i="12"/>
  <c r="R449" i="12"/>
  <c r="R451" i="12"/>
  <c r="R453" i="12"/>
  <c r="R455" i="12"/>
  <c r="R457" i="12"/>
  <c r="R459" i="12"/>
  <c r="R461" i="12"/>
  <c r="R463" i="12"/>
  <c r="R465" i="12"/>
  <c r="R467" i="12"/>
  <c r="R469" i="12"/>
  <c r="R471" i="12"/>
  <c r="R473" i="12"/>
  <c r="R475" i="12"/>
  <c r="R477" i="12"/>
  <c r="R479" i="12"/>
  <c r="R481" i="12"/>
  <c r="R483" i="12"/>
  <c r="R485" i="12"/>
  <c r="R487" i="12"/>
  <c r="R489" i="12"/>
  <c r="R491" i="12"/>
  <c r="R493" i="12"/>
  <c r="R495" i="12"/>
  <c r="R497" i="12"/>
  <c r="R499" i="12"/>
  <c r="R501" i="12"/>
  <c r="R503" i="12"/>
  <c r="R505" i="12"/>
  <c r="R507" i="12"/>
  <c r="R509" i="12"/>
  <c r="R511" i="12"/>
  <c r="R513" i="12"/>
  <c r="R515" i="12"/>
  <c r="R517" i="12"/>
  <c r="R519" i="12"/>
  <c r="R521" i="12"/>
  <c r="R523" i="12"/>
  <c r="R525" i="12"/>
  <c r="R527" i="12"/>
  <c r="R529" i="12"/>
  <c r="R531" i="12"/>
  <c r="R533" i="12"/>
  <c r="R535" i="12"/>
  <c r="R537" i="12"/>
  <c r="R539" i="12"/>
  <c r="R541" i="12"/>
  <c r="R543" i="12"/>
  <c r="R545" i="12"/>
  <c r="R547" i="12"/>
  <c r="R549" i="12"/>
  <c r="R551" i="12"/>
  <c r="R553" i="12"/>
  <c r="R555" i="12"/>
  <c r="R557" i="12"/>
  <c r="R559" i="12"/>
  <c r="R561" i="12"/>
  <c r="R563" i="12"/>
  <c r="R565" i="12"/>
  <c r="R567" i="12"/>
  <c r="R569" i="12"/>
  <c r="R571" i="12"/>
  <c r="R573" i="12"/>
  <c r="R575" i="12"/>
  <c r="R577" i="12"/>
  <c r="R579" i="12"/>
  <c r="R581" i="12"/>
  <c r="R583" i="12"/>
  <c r="R585" i="12"/>
  <c r="R587" i="12"/>
  <c r="R589" i="12"/>
  <c r="R591" i="12"/>
  <c r="R593" i="12"/>
  <c r="R595" i="12"/>
  <c r="R597" i="12"/>
  <c r="R599" i="12"/>
  <c r="R601" i="12"/>
  <c r="R603" i="12"/>
  <c r="R605" i="12"/>
  <c r="R607" i="12"/>
  <c r="R609" i="12"/>
  <c r="R611" i="12"/>
  <c r="R613" i="12"/>
  <c r="R615" i="12"/>
  <c r="R617" i="12"/>
  <c r="R619" i="12"/>
  <c r="R621" i="12"/>
  <c r="R623" i="12"/>
  <c r="R625" i="12"/>
  <c r="R627" i="12"/>
  <c r="R629" i="12"/>
  <c r="R631" i="12"/>
  <c r="R633" i="12"/>
  <c r="R635" i="12"/>
  <c r="R637" i="12"/>
  <c r="R639" i="12"/>
  <c r="R641" i="12"/>
  <c r="R643" i="12"/>
  <c r="R645" i="12"/>
  <c r="R647" i="12"/>
  <c r="R649" i="12"/>
  <c r="R651" i="12"/>
  <c r="R653" i="12"/>
  <c r="R655" i="12"/>
  <c r="R657" i="12"/>
  <c r="R659" i="12"/>
  <c r="R661" i="12"/>
  <c r="R663" i="12"/>
  <c r="R665" i="12"/>
  <c r="R667" i="12"/>
  <c r="R669" i="12"/>
  <c r="R671" i="12"/>
  <c r="R673" i="12"/>
  <c r="R675" i="12"/>
  <c r="R677" i="12"/>
  <c r="R679" i="12"/>
  <c r="R681" i="12"/>
  <c r="R683" i="12"/>
  <c r="R685" i="12"/>
  <c r="R687" i="12"/>
  <c r="R689" i="12"/>
  <c r="R691" i="12"/>
  <c r="R693" i="12"/>
  <c r="R695" i="12"/>
  <c r="R697" i="12"/>
  <c r="R699" i="12"/>
  <c r="R701" i="12"/>
  <c r="R703" i="12"/>
  <c r="R705" i="12"/>
  <c r="R707" i="12"/>
  <c r="R709" i="12"/>
  <c r="R711" i="12"/>
  <c r="R713" i="12"/>
  <c r="R715" i="12"/>
  <c r="R717" i="12"/>
  <c r="R719" i="12"/>
  <c r="R721" i="12"/>
  <c r="R723" i="12"/>
  <c r="R725" i="12"/>
  <c r="R727" i="12"/>
  <c r="R729" i="12"/>
  <c r="R731" i="12"/>
  <c r="R733" i="12"/>
  <c r="R735" i="12"/>
  <c r="R737" i="12"/>
  <c r="R739" i="12"/>
  <c r="R741" i="12"/>
  <c r="R743" i="12"/>
  <c r="R745" i="12"/>
  <c r="R747" i="12"/>
  <c r="R749" i="12"/>
  <c r="R751" i="12"/>
  <c r="R753" i="12"/>
  <c r="R755" i="12"/>
  <c r="R757" i="12"/>
  <c r="R759" i="12"/>
  <c r="R761" i="12"/>
  <c r="R763" i="12"/>
  <c r="R765" i="12"/>
  <c r="R767" i="12"/>
  <c r="R769" i="12"/>
  <c r="R771" i="12"/>
  <c r="R773" i="12"/>
  <c r="R775" i="12"/>
  <c r="R777" i="12"/>
  <c r="R779" i="12"/>
  <c r="R781" i="12"/>
  <c r="R783" i="12"/>
  <c r="R785" i="12"/>
  <c r="R787" i="12"/>
  <c r="R789" i="12"/>
  <c r="R791" i="12"/>
  <c r="R793" i="12"/>
  <c r="R795" i="12"/>
  <c r="R797" i="12"/>
  <c r="R799" i="12"/>
  <c r="R801" i="12"/>
  <c r="R803" i="12"/>
  <c r="R805" i="12"/>
  <c r="R807" i="12"/>
  <c r="R809" i="12"/>
  <c r="R811" i="12"/>
  <c r="R813" i="12"/>
  <c r="R815" i="12"/>
  <c r="R817" i="12"/>
  <c r="R819" i="12"/>
  <c r="R821" i="12"/>
  <c r="R823" i="12"/>
  <c r="R825" i="12"/>
  <c r="R827" i="12"/>
  <c r="R829" i="12"/>
  <c r="R831" i="12"/>
  <c r="R833" i="12"/>
  <c r="R835" i="12"/>
  <c r="R837" i="12"/>
  <c r="R839" i="12"/>
  <c r="R841" i="12"/>
  <c r="R843" i="12"/>
  <c r="R845" i="12"/>
  <c r="R847" i="12"/>
  <c r="R849" i="12"/>
  <c r="R851" i="12"/>
  <c r="R853" i="12"/>
  <c r="R855" i="12"/>
  <c r="R857" i="12"/>
  <c r="R859" i="12"/>
  <c r="R861" i="12"/>
  <c r="R863" i="12"/>
  <c r="R865" i="12"/>
  <c r="R867" i="12"/>
  <c r="R869" i="12"/>
  <c r="R871" i="12"/>
  <c r="R873" i="12"/>
  <c r="R875" i="12"/>
  <c r="R877" i="12"/>
  <c r="R879" i="12"/>
  <c r="R881" i="12"/>
  <c r="R883" i="12"/>
  <c r="R885" i="12"/>
  <c r="R887" i="12"/>
  <c r="R889" i="12"/>
  <c r="R891" i="12"/>
  <c r="R893" i="12"/>
  <c r="R895" i="12"/>
  <c r="R897" i="12"/>
  <c r="R899" i="12"/>
  <c r="R901" i="12"/>
  <c r="R903" i="12"/>
  <c r="R905" i="12"/>
  <c r="R907" i="12"/>
  <c r="R909" i="12"/>
  <c r="R911" i="12"/>
  <c r="R913" i="12"/>
  <c r="R915" i="12"/>
  <c r="R917" i="12"/>
  <c r="R919" i="12"/>
  <c r="R921" i="12"/>
  <c r="R923" i="12"/>
  <c r="R925" i="12"/>
  <c r="R927" i="12"/>
  <c r="R929" i="12"/>
  <c r="R931" i="12"/>
  <c r="R933" i="12"/>
  <c r="R935" i="12"/>
  <c r="R937" i="12"/>
  <c r="R939" i="12"/>
  <c r="R941" i="12"/>
  <c r="R943" i="12"/>
  <c r="R945" i="12"/>
  <c r="R947" i="12"/>
  <c r="R949" i="12"/>
  <c r="R951" i="12"/>
  <c r="R953" i="12"/>
  <c r="R955" i="12"/>
  <c r="R957" i="12"/>
  <c r="R959" i="12"/>
  <c r="R961" i="12"/>
  <c r="R963" i="12"/>
  <c r="R965" i="12"/>
  <c r="R967" i="12"/>
  <c r="R969" i="12"/>
  <c r="R971" i="12"/>
  <c r="R973" i="12"/>
  <c r="R975" i="12"/>
  <c r="R977" i="12"/>
  <c r="R979" i="12"/>
  <c r="R981" i="12"/>
  <c r="R983" i="12"/>
  <c r="R985" i="12"/>
  <c r="R987" i="12"/>
  <c r="R989" i="12"/>
  <c r="R991" i="12"/>
  <c r="R993" i="12"/>
  <c r="R995" i="12"/>
  <c r="R997" i="12"/>
  <c r="R999" i="12"/>
  <c r="R1001" i="12"/>
  <c r="R1003" i="12"/>
  <c r="R1005" i="12"/>
  <c r="R1007" i="12"/>
  <c r="R1009" i="12"/>
  <c r="R1011" i="12"/>
  <c r="R1013" i="12"/>
  <c r="R1015" i="12"/>
  <c r="R1017" i="12"/>
  <c r="R1019" i="12"/>
  <c r="R1021" i="12"/>
  <c r="R1023" i="12"/>
  <c r="R1025" i="12"/>
  <c r="R1027" i="12"/>
  <c r="R1029" i="12"/>
  <c r="R1031" i="12"/>
  <c r="R1033" i="12"/>
  <c r="R1035" i="12"/>
  <c r="R1037" i="12"/>
  <c r="R1039" i="12"/>
  <c r="R1041" i="12"/>
  <c r="R1043" i="12"/>
  <c r="R1045" i="12"/>
  <c r="R1047" i="12"/>
  <c r="R1049" i="12"/>
  <c r="R1051" i="12"/>
  <c r="R1053" i="12"/>
  <c r="R1055" i="12"/>
  <c r="R1057" i="12"/>
  <c r="R1059" i="12"/>
  <c r="R1061" i="12"/>
  <c r="R1063" i="12"/>
  <c r="R1065" i="12"/>
  <c r="R1067" i="12"/>
  <c r="R1069" i="12"/>
  <c r="R1071" i="12"/>
  <c r="R1073" i="12"/>
  <c r="R1075" i="12"/>
  <c r="R1077" i="12"/>
  <c r="R1079" i="12"/>
  <c r="R1081" i="12"/>
  <c r="R1083" i="12"/>
  <c r="R1085" i="12"/>
  <c r="R1087" i="12"/>
  <c r="R1089" i="12"/>
  <c r="R1091" i="12"/>
  <c r="R1093" i="12"/>
  <c r="R1095" i="12"/>
  <c r="R1097" i="12"/>
  <c r="R1099" i="12"/>
  <c r="R1101" i="12"/>
  <c r="R1103" i="12"/>
  <c r="R1105" i="12"/>
  <c r="R1107" i="12"/>
  <c r="R1109" i="12"/>
  <c r="R1111" i="12"/>
  <c r="R1113" i="12"/>
  <c r="R1115" i="12"/>
  <c r="R1117" i="12"/>
  <c r="R1119" i="12"/>
  <c r="R1121" i="12"/>
  <c r="R1123" i="12"/>
  <c r="R1125" i="12"/>
  <c r="R1127" i="12"/>
  <c r="R1129" i="12"/>
  <c r="R1131" i="12"/>
  <c r="R1133" i="12"/>
  <c r="R1135" i="12"/>
  <c r="R1137" i="12"/>
  <c r="R1139" i="12"/>
  <c r="R1141" i="12"/>
  <c r="R1143" i="12"/>
  <c r="R1145" i="12"/>
  <c r="R1147" i="12"/>
  <c r="R1149" i="12"/>
  <c r="R1151" i="12"/>
  <c r="R1153" i="12"/>
  <c r="R1155" i="12"/>
  <c r="R1157" i="12"/>
  <c r="R1159" i="12"/>
  <c r="R1161" i="12"/>
  <c r="R1163" i="12"/>
  <c r="R1165" i="12"/>
  <c r="R1167" i="12"/>
  <c r="R1169" i="12"/>
  <c r="R1171" i="12"/>
  <c r="R1173" i="12"/>
  <c r="R1175" i="12"/>
  <c r="R1177" i="12"/>
  <c r="R1179" i="12"/>
  <c r="R1181" i="12"/>
  <c r="R1183" i="12"/>
  <c r="R1185" i="12"/>
  <c r="R1187" i="12"/>
  <c r="R1189" i="12"/>
  <c r="R1191" i="12"/>
  <c r="R1193" i="12"/>
  <c r="R1195" i="12"/>
  <c r="R1197" i="12"/>
  <c r="R1199" i="12"/>
  <c r="R1201" i="12"/>
  <c r="R1203" i="12"/>
  <c r="R1205" i="12"/>
  <c r="R1207" i="12"/>
  <c r="R1209" i="12"/>
  <c r="R1211" i="12"/>
  <c r="R1213" i="12"/>
  <c r="R1215" i="12"/>
  <c r="R1217" i="12"/>
  <c r="R1219" i="12"/>
  <c r="R1221" i="12"/>
  <c r="R1223" i="12"/>
  <c r="R1225" i="12"/>
  <c r="R1227" i="12"/>
  <c r="R1229" i="12"/>
  <c r="R1231" i="12"/>
  <c r="R1233" i="12"/>
  <c r="R1235" i="12"/>
  <c r="R1237" i="12"/>
  <c r="R1239" i="12"/>
  <c r="R1241" i="12"/>
  <c r="R1243" i="12"/>
  <c r="R1245" i="12"/>
  <c r="R1247" i="12"/>
  <c r="R1249" i="12"/>
  <c r="R1251" i="12"/>
  <c r="R1253" i="12"/>
  <c r="R1255" i="12"/>
  <c r="R1257" i="12"/>
  <c r="R1259" i="12"/>
  <c r="R1261" i="12"/>
  <c r="R1263" i="12"/>
  <c r="R1265" i="12"/>
  <c r="R1267" i="12"/>
  <c r="R1269" i="12"/>
  <c r="R1271" i="12"/>
  <c r="R1273" i="12"/>
  <c r="R1275" i="12"/>
  <c r="R1277" i="12"/>
  <c r="R1279" i="12"/>
  <c r="R1281" i="12"/>
  <c r="R1283" i="12"/>
  <c r="R1285" i="12"/>
  <c r="R1287" i="12"/>
  <c r="R1289" i="12"/>
  <c r="R1291" i="12"/>
  <c r="R1293" i="12"/>
  <c r="R1295" i="12"/>
  <c r="R1297" i="12"/>
  <c r="R1299" i="12"/>
  <c r="R1301" i="12"/>
  <c r="R1303" i="12"/>
  <c r="R1305" i="12"/>
  <c r="R1307" i="12"/>
  <c r="R1309" i="12"/>
  <c r="R1311" i="12"/>
  <c r="R1313" i="12"/>
  <c r="R1315" i="12"/>
  <c r="R1317" i="12"/>
  <c r="R1319" i="12"/>
  <c r="R1321" i="12"/>
  <c r="R1323" i="12"/>
  <c r="R1325" i="12"/>
  <c r="R1327" i="12"/>
  <c r="R1329" i="12"/>
  <c r="R1331" i="12"/>
  <c r="R1333" i="12"/>
  <c r="R1335" i="12"/>
  <c r="R1337" i="12"/>
  <c r="R1339" i="12"/>
  <c r="R1341" i="12"/>
  <c r="R1343" i="12"/>
  <c r="R1345" i="12"/>
  <c r="R1347" i="12"/>
  <c r="R1349" i="12"/>
  <c r="R1351" i="12"/>
  <c r="R1353" i="12"/>
  <c r="R1355" i="12"/>
  <c r="R1357" i="12"/>
  <c r="R1359" i="12"/>
  <c r="R1361" i="12"/>
  <c r="R1363" i="12"/>
  <c r="R1365" i="12"/>
  <c r="R1367" i="12"/>
  <c r="R1369" i="12"/>
  <c r="R1371" i="12"/>
  <c r="R1373" i="12"/>
  <c r="R1375" i="12"/>
  <c r="R1377" i="12"/>
  <c r="R1379" i="12"/>
  <c r="R1381" i="12"/>
  <c r="R1383" i="12"/>
  <c r="R1385" i="12"/>
  <c r="R1387" i="12"/>
  <c r="R1389" i="12"/>
  <c r="R1391" i="12"/>
  <c r="R1393" i="12"/>
  <c r="R1395" i="12"/>
  <c r="R1397" i="12"/>
  <c r="R1399" i="12"/>
  <c r="R1401" i="12"/>
  <c r="R1411" i="12"/>
  <c r="R1413" i="12"/>
  <c r="R1415" i="12"/>
  <c r="R1417" i="12"/>
  <c r="R1419" i="12"/>
  <c r="R1421" i="12"/>
  <c r="R1423" i="12"/>
  <c r="R1425" i="12"/>
  <c r="R1427" i="12"/>
  <c r="R1429" i="12"/>
  <c r="R1431" i="12"/>
  <c r="R1433" i="12"/>
  <c r="R1435" i="12"/>
  <c r="R1437" i="12"/>
  <c r="R1439" i="12"/>
  <c r="R1441" i="12"/>
  <c r="R1443" i="12"/>
  <c r="R1445" i="12"/>
  <c r="R1447" i="12"/>
  <c r="R1449" i="12"/>
  <c r="R1451" i="12"/>
  <c r="R1453" i="12"/>
  <c r="R1455" i="12"/>
  <c r="R1457" i="12"/>
  <c r="R1459" i="12"/>
  <c r="R1461" i="12"/>
  <c r="R1463" i="12"/>
  <c r="R1465" i="12"/>
  <c r="R1467" i="12"/>
  <c r="R1469" i="12"/>
  <c r="R1471" i="12"/>
  <c r="R1473" i="12"/>
  <c r="R1475" i="12"/>
  <c r="R1477" i="12"/>
  <c r="R1479" i="12"/>
  <c r="R1481" i="12"/>
  <c r="R1483" i="12"/>
  <c r="R1485" i="12"/>
  <c r="R1487" i="12"/>
  <c r="R1489" i="12"/>
  <c r="R1491" i="12"/>
  <c r="R1493" i="12"/>
  <c r="R1495" i="12"/>
  <c r="R1497" i="12"/>
  <c r="R1499" i="12"/>
  <c r="R1501" i="12"/>
  <c r="R1503" i="12"/>
  <c r="R1505" i="12"/>
  <c r="R1507" i="12"/>
  <c r="R1509" i="12"/>
  <c r="R1511" i="12"/>
  <c r="R1513" i="12"/>
  <c r="R1515" i="12"/>
  <c r="R1517" i="12"/>
  <c r="R1519" i="12"/>
  <c r="R1521" i="12"/>
  <c r="R1523" i="12"/>
  <c r="R1525" i="12"/>
  <c r="R1527" i="12"/>
  <c r="R1529" i="12"/>
  <c r="R1531" i="12"/>
  <c r="R1533" i="12"/>
  <c r="R1535" i="12"/>
  <c r="R1537" i="12"/>
  <c r="R1539" i="12"/>
  <c r="R1541" i="12"/>
  <c r="R1543" i="12"/>
  <c r="R1545" i="12"/>
  <c r="R1547" i="12"/>
  <c r="R1549" i="12"/>
  <c r="R1551" i="12"/>
  <c r="R1553" i="12"/>
  <c r="R1555" i="12"/>
  <c r="R1557" i="12"/>
  <c r="R1559" i="12"/>
  <c r="R1561" i="12"/>
  <c r="R1563" i="12"/>
  <c r="R1565" i="12"/>
  <c r="R1567" i="12"/>
  <c r="R1569" i="12"/>
  <c r="R1571" i="12"/>
  <c r="R1573" i="12"/>
  <c r="R1575" i="12"/>
  <c r="R1577" i="12"/>
  <c r="R1579" i="12"/>
  <c r="R1581" i="12"/>
  <c r="R1583" i="12"/>
  <c r="R1585" i="12"/>
  <c r="R1587" i="12"/>
  <c r="R1589" i="12"/>
  <c r="R1591" i="12"/>
  <c r="R1593" i="12"/>
  <c r="R1595" i="12"/>
  <c r="R1597" i="12"/>
  <c r="R1599" i="12"/>
  <c r="R1601" i="12"/>
  <c r="R1603" i="12"/>
  <c r="R1605" i="12"/>
  <c r="R1607" i="12"/>
  <c r="R1609" i="12"/>
  <c r="R1611" i="12"/>
  <c r="R1613" i="12"/>
  <c r="R1615" i="12"/>
  <c r="R1617" i="12"/>
  <c r="R1619" i="12"/>
  <c r="R1621" i="12"/>
  <c r="R1623" i="12"/>
  <c r="R1625" i="12"/>
  <c r="R1627" i="12"/>
  <c r="R1629" i="12"/>
  <c r="R1631" i="12"/>
  <c r="R1633" i="12"/>
  <c r="R1635" i="12"/>
  <c r="R1637" i="12"/>
  <c r="R1639" i="12"/>
  <c r="R1641" i="12"/>
  <c r="R1643" i="12"/>
  <c r="R1645" i="12"/>
  <c r="R1647" i="12"/>
  <c r="R1649" i="12"/>
  <c r="R1651" i="12"/>
  <c r="R1653" i="12"/>
  <c r="R1655" i="12"/>
  <c r="R1657" i="12"/>
  <c r="R1659" i="12"/>
  <c r="R1661" i="12"/>
  <c r="R1663" i="12"/>
  <c r="R1665" i="12"/>
  <c r="R1667" i="12"/>
  <c r="R1669" i="12"/>
  <c r="R1671" i="12"/>
  <c r="R1673" i="12"/>
  <c r="R1675" i="12"/>
  <c r="R1677" i="12"/>
  <c r="R1679" i="12"/>
  <c r="R1681" i="12"/>
  <c r="R1683" i="12"/>
  <c r="R1685" i="12"/>
  <c r="R1687" i="12"/>
  <c r="R1689" i="12"/>
  <c r="R1691" i="12"/>
  <c r="R1693" i="12"/>
  <c r="R1695" i="12"/>
  <c r="R1697" i="12"/>
  <c r="R1699" i="12"/>
  <c r="R1701" i="12"/>
  <c r="R1703" i="12"/>
  <c r="R1705" i="12"/>
  <c r="R1707" i="12"/>
  <c r="R1709" i="12"/>
  <c r="R1711" i="12"/>
  <c r="R1713" i="12"/>
  <c r="R1715" i="12"/>
  <c r="R1717" i="12"/>
  <c r="R1719" i="12"/>
  <c r="R1721" i="12"/>
  <c r="R1723" i="12"/>
  <c r="R1725" i="12"/>
  <c r="R1727" i="12"/>
  <c r="R1729" i="12"/>
  <c r="R1731" i="12"/>
  <c r="R1733" i="12"/>
  <c r="R1735" i="12"/>
  <c r="R1737" i="12"/>
  <c r="R1739" i="12"/>
  <c r="R1741" i="12"/>
  <c r="R1743" i="12"/>
  <c r="R1745" i="12"/>
  <c r="R1747" i="12"/>
  <c r="R1749" i="12"/>
  <c r="R1751" i="12"/>
  <c r="R1753" i="12"/>
  <c r="R1755" i="12"/>
  <c r="R1757" i="12"/>
  <c r="R1759" i="12"/>
  <c r="R1761" i="12"/>
  <c r="R1763" i="12"/>
  <c r="R1765" i="12"/>
  <c r="R1767" i="12"/>
  <c r="R1769" i="12"/>
  <c r="R1771" i="12"/>
  <c r="R1773" i="12"/>
  <c r="R1775" i="12"/>
  <c r="R1777" i="12"/>
  <c r="R1779" i="12"/>
  <c r="R1781" i="12"/>
  <c r="R1783" i="12"/>
  <c r="R1785" i="12"/>
  <c r="R1787" i="12"/>
  <c r="R1789" i="12"/>
  <c r="R1791" i="12"/>
  <c r="R1793" i="12"/>
  <c r="R1795" i="12"/>
  <c r="R1797" i="12"/>
  <c r="R1799" i="12"/>
  <c r="R1801" i="12"/>
  <c r="R1803" i="12"/>
  <c r="R1805" i="12"/>
  <c r="R1807" i="12"/>
  <c r="R1809" i="12"/>
  <c r="R1811" i="12"/>
  <c r="R1813" i="12"/>
  <c r="R1815" i="12"/>
  <c r="R1817" i="12"/>
  <c r="R1819" i="12"/>
  <c r="R1821" i="12"/>
  <c r="R1823" i="12"/>
  <c r="R1825" i="12"/>
  <c r="R1827" i="12"/>
  <c r="R1829" i="12"/>
  <c r="R1831" i="12"/>
  <c r="R1833" i="12"/>
  <c r="R1835" i="12"/>
  <c r="R1837" i="12"/>
  <c r="R1839" i="12"/>
  <c r="R1841" i="12"/>
  <c r="R1843" i="12"/>
  <c r="R1845" i="12"/>
  <c r="R1847" i="12"/>
  <c r="R1849" i="12"/>
  <c r="R1851" i="12"/>
  <c r="R1853" i="12"/>
  <c r="R1855" i="12"/>
  <c r="R1857" i="12"/>
  <c r="R1859" i="12"/>
  <c r="R1861" i="12"/>
  <c r="R1863" i="12"/>
  <c r="R1865" i="12"/>
  <c r="R1867" i="12"/>
  <c r="R1869" i="12"/>
  <c r="R1871" i="12"/>
  <c r="R1873" i="12"/>
  <c r="R1875" i="12"/>
  <c r="R1877" i="12"/>
  <c r="R1879" i="12"/>
  <c r="R1881" i="12"/>
  <c r="R1883" i="12"/>
  <c r="R1885" i="12"/>
  <c r="R1887" i="12"/>
  <c r="R1889" i="12"/>
  <c r="R1891" i="12"/>
  <c r="R1893" i="12"/>
  <c r="R1403" i="12"/>
  <c r="R1405" i="12"/>
  <c r="R1407" i="12"/>
  <c r="R1409" i="12"/>
  <c r="R1895" i="12"/>
  <c r="R1897" i="12"/>
  <c r="R1899" i="12"/>
  <c r="R1901" i="12"/>
  <c r="R1903" i="12"/>
  <c r="R1905" i="12"/>
  <c r="R1907" i="12"/>
  <c r="R1909" i="12"/>
  <c r="R1911" i="12"/>
  <c r="R1913" i="12"/>
  <c r="R1915" i="12"/>
  <c r="R1917" i="12"/>
  <c r="R1919" i="12"/>
  <c r="R1921" i="12"/>
  <c r="R1923" i="12"/>
  <c r="R1925" i="12"/>
  <c r="R1927" i="12"/>
  <c r="R1929" i="12"/>
  <c r="R1931" i="12"/>
  <c r="R1933" i="12"/>
  <c r="R1935" i="12"/>
  <c r="R1937" i="12"/>
  <c r="R1939" i="12"/>
  <c r="R1941" i="12"/>
  <c r="R1943" i="12"/>
  <c r="R1945" i="12"/>
  <c r="R1947" i="12"/>
  <c r="R1949" i="12"/>
  <c r="R1951" i="12"/>
  <c r="R1953" i="12"/>
  <c r="R1955" i="12"/>
  <c r="R1957" i="12"/>
  <c r="R1959" i="12"/>
  <c r="R1961" i="12"/>
  <c r="R1963" i="12"/>
  <c r="R1965" i="12"/>
  <c r="R1967" i="12"/>
  <c r="R1969" i="12"/>
  <c r="R1971" i="12"/>
  <c r="R1973" i="12"/>
  <c r="R1975" i="12"/>
  <c r="R1977" i="12"/>
  <c r="R1979" i="12"/>
  <c r="R1981" i="12"/>
  <c r="R1983" i="12"/>
  <c r="R1985" i="12"/>
  <c r="R1987" i="12"/>
  <c r="R1989" i="12"/>
  <c r="R1991" i="12"/>
  <c r="R1993" i="12"/>
  <c r="R1995" i="12"/>
  <c r="R1997" i="12"/>
  <c r="R1999" i="12"/>
  <c r="R2001" i="12"/>
  <c r="R2003" i="12"/>
  <c r="R2005" i="12"/>
  <c r="R2007" i="12"/>
  <c r="R2009" i="12"/>
  <c r="R2011" i="12"/>
  <c r="R2013" i="12"/>
  <c r="R2015" i="12"/>
  <c r="R2017" i="12"/>
  <c r="R2019" i="12"/>
  <c r="R2021" i="12"/>
  <c r="R2023" i="12"/>
  <c r="R2025" i="12"/>
  <c r="R2027" i="12"/>
  <c r="R2029" i="12"/>
  <c r="R2031" i="12"/>
  <c r="R2033" i="12"/>
  <c r="R2035" i="12"/>
  <c r="R2037" i="12"/>
  <c r="R2039" i="12"/>
  <c r="R2041" i="12"/>
  <c r="R2043" i="12"/>
  <c r="R2045" i="12"/>
  <c r="R2047" i="12"/>
  <c r="R2049" i="12"/>
  <c r="R2051" i="12"/>
  <c r="R2053" i="12"/>
  <c r="R2055" i="12"/>
  <c r="R2057" i="12"/>
  <c r="R2059" i="12"/>
  <c r="R2061" i="12"/>
  <c r="R2063" i="12"/>
  <c r="R2065" i="12"/>
  <c r="R2067" i="12"/>
  <c r="R2069" i="12"/>
  <c r="R2071" i="12"/>
  <c r="R2073" i="12"/>
  <c r="R2075" i="12"/>
  <c r="R2077" i="12"/>
  <c r="R2079" i="12"/>
  <c r="R2081" i="12"/>
  <c r="R2083" i="12"/>
  <c r="R2085" i="12"/>
  <c r="R2087" i="12"/>
  <c r="R2089" i="12"/>
  <c r="R2091" i="12"/>
  <c r="R2093" i="12"/>
  <c r="R2095" i="12"/>
  <c r="R2097" i="12"/>
  <c r="R2099" i="12"/>
  <c r="R2101" i="12"/>
  <c r="R2103" i="12"/>
  <c r="R2105" i="12"/>
  <c r="R2107" i="12"/>
  <c r="R2109" i="12"/>
  <c r="R2111" i="12"/>
  <c r="R2113" i="12"/>
  <c r="R2115" i="12"/>
  <c r="R2117" i="12"/>
  <c r="R2119" i="12"/>
  <c r="R2121" i="12"/>
  <c r="R2123" i="12"/>
  <c r="R2125" i="12"/>
  <c r="R2127" i="12"/>
  <c r="R2129" i="12"/>
  <c r="R2131" i="12"/>
  <c r="R2133" i="12"/>
  <c r="R2135" i="12"/>
  <c r="R2137" i="12"/>
  <c r="R2139" i="12"/>
  <c r="R2141" i="12"/>
  <c r="R2143" i="12"/>
  <c r="R2145" i="12"/>
  <c r="R2147" i="12"/>
  <c r="R2149" i="12"/>
  <c r="R2151" i="12"/>
  <c r="R2153" i="12"/>
  <c r="R2155" i="12"/>
  <c r="R2157" i="12"/>
  <c r="R2159" i="12"/>
  <c r="R2161" i="12"/>
  <c r="R2163" i="12"/>
  <c r="R2165" i="12"/>
  <c r="R2167" i="12"/>
  <c r="R2169" i="12"/>
  <c r="R2171" i="12"/>
  <c r="R2173" i="12"/>
  <c r="R2175" i="12"/>
  <c r="R2177" i="12"/>
  <c r="R2179" i="12"/>
  <c r="R2181" i="12"/>
  <c r="R2183" i="12"/>
  <c r="R2185" i="12"/>
  <c r="R2187" i="12"/>
  <c r="R2189" i="12"/>
  <c r="R2191" i="12"/>
  <c r="R2193" i="12"/>
  <c r="R2195" i="12"/>
  <c r="R2197" i="12"/>
  <c r="R2199" i="12"/>
  <c r="R2201" i="12"/>
  <c r="R2203" i="12"/>
  <c r="R2205" i="12"/>
  <c r="R2207" i="12"/>
  <c r="R2209" i="12"/>
  <c r="R2211" i="12"/>
  <c r="R2213" i="12"/>
  <c r="R2215" i="12"/>
  <c r="R2217" i="12"/>
  <c r="R2219" i="12"/>
  <c r="R2221" i="12"/>
  <c r="R2223" i="12"/>
  <c r="R2225" i="12"/>
  <c r="R2227" i="12"/>
  <c r="R2229" i="12"/>
  <c r="R2231" i="12"/>
  <c r="R2233" i="12"/>
  <c r="R2235" i="12"/>
  <c r="R2237" i="12"/>
  <c r="R2239" i="12"/>
  <c r="R2241" i="12"/>
  <c r="R2243" i="12"/>
  <c r="R2245" i="12"/>
  <c r="R2247" i="12"/>
  <c r="R2249" i="12"/>
  <c r="R2251" i="12"/>
  <c r="R2253" i="12"/>
  <c r="R2255" i="12"/>
  <c r="R2257" i="12"/>
  <c r="R2259" i="12"/>
  <c r="R2261" i="12"/>
  <c r="R2263" i="12"/>
  <c r="R2265" i="12"/>
  <c r="R2267" i="12"/>
  <c r="R2269" i="12"/>
  <c r="R2271" i="12"/>
  <c r="R2273" i="12"/>
  <c r="R2275" i="12"/>
  <c r="R2277" i="12"/>
  <c r="R2279" i="12"/>
  <c r="R2281" i="12"/>
  <c r="R2283" i="12"/>
  <c r="R2285" i="12"/>
  <c r="R2287" i="12"/>
  <c r="R2289" i="12"/>
  <c r="R2291" i="12"/>
  <c r="R2293" i="12"/>
  <c r="R2295" i="12"/>
  <c r="R2297" i="12"/>
  <c r="R2299" i="12"/>
  <c r="R2301" i="12"/>
  <c r="R2303" i="12"/>
  <c r="R2305" i="12"/>
  <c r="R2307" i="12"/>
  <c r="R2309" i="12"/>
  <c r="R2311" i="12"/>
  <c r="R2313" i="12"/>
  <c r="R2315" i="12"/>
  <c r="R2317" i="12"/>
  <c r="R2319" i="12"/>
  <c r="R2321" i="12"/>
  <c r="R2323" i="12"/>
  <c r="R2325" i="12"/>
  <c r="R2327" i="12"/>
  <c r="R2329" i="12"/>
  <c r="R2331" i="12"/>
  <c r="R2333" i="12"/>
  <c r="R2335" i="12"/>
  <c r="R2337" i="12"/>
  <c r="R2339" i="12"/>
  <c r="R2341" i="12"/>
  <c r="R2343" i="12"/>
  <c r="R2345" i="12"/>
  <c r="R2347" i="12"/>
  <c r="R2349" i="12"/>
  <c r="R2351" i="12"/>
  <c r="R2353" i="12"/>
  <c r="R2355" i="12"/>
  <c r="R2357" i="12"/>
  <c r="R2359" i="12"/>
  <c r="R2361" i="12"/>
  <c r="R2363" i="12"/>
  <c r="R2365" i="12"/>
  <c r="R2367" i="12"/>
  <c r="R2369" i="12"/>
  <c r="R2371" i="12"/>
  <c r="R2373" i="12"/>
  <c r="R2375" i="12"/>
  <c r="R2377" i="12"/>
  <c r="R2379" i="12"/>
  <c r="R2381" i="12"/>
  <c r="R2383" i="12"/>
  <c r="R2385" i="12"/>
  <c r="R2387" i="12"/>
  <c r="R2389" i="12"/>
  <c r="R2391" i="12"/>
  <c r="R2393" i="12"/>
  <c r="R2395" i="12"/>
  <c r="R2397" i="12"/>
  <c r="R2399" i="12"/>
  <c r="R2401" i="12"/>
  <c r="R2403" i="12"/>
  <c r="R2405" i="12"/>
  <c r="R2407" i="12"/>
  <c r="R2409" i="12"/>
  <c r="R2411" i="12"/>
  <c r="R2413" i="12"/>
  <c r="R2415" i="12"/>
  <c r="R2417" i="12"/>
  <c r="R2419" i="12"/>
  <c r="R2421" i="12"/>
  <c r="R2423" i="12"/>
  <c r="R2425" i="12"/>
  <c r="R2427" i="12"/>
  <c r="R2429" i="12"/>
  <c r="R2431" i="12"/>
  <c r="R2433" i="12"/>
  <c r="R2435" i="12"/>
  <c r="R2437" i="12"/>
  <c r="R2439" i="12"/>
  <c r="R2441" i="12"/>
  <c r="R2443" i="12"/>
  <c r="R2445" i="12"/>
  <c r="R2447" i="12"/>
  <c r="R2449" i="12"/>
  <c r="R2451" i="12"/>
  <c r="R2453" i="12"/>
  <c r="R2455" i="12"/>
  <c r="R2457" i="12"/>
  <c r="R2459" i="12"/>
  <c r="R2461" i="12"/>
  <c r="R2463" i="12"/>
  <c r="R2465" i="12"/>
  <c r="R2467" i="12"/>
  <c r="R2469" i="12"/>
  <c r="R2471" i="12"/>
  <c r="R2473" i="12"/>
  <c r="R2475" i="12"/>
  <c r="R2477" i="12"/>
  <c r="R2479" i="12"/>
  <c r="R2481" i="12"/>
  <c r="R2483" i="12"/>
  <c r="R2485" i="12"/>
  <c r="R2487" i="12"/>
  <c r="R2489" i="12"/>
  <c r="R2491" i="12"/>
  <c r="R2493" i="12"/>
  <c r="R2495" i="12"/>
  <c r="R2497" i="12"/>
  <c r="R2499" i="12"/>
  <c r="R2501" i="12"/>
  <c r="R2503" i="12"/>
  <c r="R2505" i="12"/>
  <c r="R2507" i="12"/>
  <c r="R2509" i="12"/>
  <c r="R2511" i="12"/>
  <c r="R2513" i="12"/>
  <c r="R2515" i="12"/>
  <c r="R2517" i="12"/>
  <c r="R2519" i="12"/>
  <c r="R2521" i="12"/>
  <c r="R2523" i="12"/>
  <c r="R2525" i="12"/>
  <c r="R2527" i="12"/>
  <c r="R2529" i="12"/>
  <c r="R2531" i="12"/>
  <c r="R2533" i="12"/>
  <c r="R2535" i="12"/>
  <c r="R2537" i="12"/>
  <c r="R2539" i="12"/>
  <c r="R2541" i="12"/>
  <c r="R2543" i="12"/>
  <c r="R2545" i="12"/>
  <c r="R2547" i="12"/>
  <c r="R2549" i="12"/>
  <c r="R2551" i="12"/>
  <c r="R2553" i="12"/>
  <c r="R2555" i="12"/>
  <c r="R2557" i="12"/>
  <c r="R2559" i="12"/>
  <c r="R2561" i="12"/>
  <c r="R2563" i="12"/>
  <c r="R2565" i="12"/>
  <c r="R2567" i="12"/>
  <c r="R2569" i="12"/>
  <c r="R2571" i="12"/>
  <c r="R2573" i="12"/>
  <c r="R2575" i="12"/>
  <c r="R2577" i="12"/>
  <c r="R2579" i="12"/>
  <c r="R2581" i="12"/>
  <c r="R2583" i="12"/>
  <c r="R2585" i="12"/>
  <c r="R2587" i="12"/>
  <c r="R2589" i="12"/>
  <c r="R2591" i="12"/>
  <c r="R2593" i="12"/>
  <c r="R2595" i="12"/>
  <c r="R2597" i="12"/>
  <c r="R2599" i="12"/>
  <c r="R2601" i="12"/>
  <c r="R2603" i="12"/>
  <c r="R2605" i="12"/>
  <c r="R2607" i="12"/>
  <c r="R2609" i="12"/>
  <c r="R2611" i="12"/>
  <c r="R2613" i="12"/>
  <c r="R2615" i="12"/>
  <c r="R2617" i="12"/>
  <c r="R2619" i="12"/>
  <c r="R2621" i="12"/>
  <c r="R2623" i="12"/>
  <c r="R2625" i="12"/>
  <c r="R2627" i="12"/>
  <c r="R2629" i="12"/>
  <c r="R2631" i="12"/>
  <c r="R2633" i="12"/>
  <c r="R2635" i="12"/>
  <c r="R2637" i="12"/>
  <c r="R2639" i="12"/>
  <c r="R2641" i="12"/>
  <c r="R2643" i="12"/>
  <c r="R2645" i="12"/>
  <c r="R2647" i="12"/>
  <c r="R2649" i="12"/>
  <c r="R2651" i="12"/>
  <c r="R2653" i="12"/>
  <c r="R2655" i="12"/>
  <c r="R2657" i="12"/>
  <c r="R2659" i="12"/>
  <c r="R2661" i="12"/>
  <c r="R2663" i="12"/>
  <c r="R2665" i="12"/>
  <c r="R2667" i="12"/>
  <c r="R2669" i="12"/>
  <c r="R2671" i="12"/>
  <c r="R2673" i="12"/>
  <c r="R2675" i="12"/>
  <c r="R2677" i="12"/>
  <c r="R2679" i="12"/>
  <c r="R2681" i="12"/>
  <c r="R2683" i="12"/>
  <c r="R2685" i="12"/>
  <c r="R2687" i="12"/>
  <c r="R2689" i="12"/>
  <c r="R2691" i="12"/>
  <c r="R2693" i="12"/>
  <c r="R2695" i="12"/>
  <c r="R2697" i="12"/>
  <c r="R2699" i="12"/>
  <c r="R2701" i="12"/>
  <c r="R2703" i="12"/>
  <c r="R2705" i="12"/>
  <c r="R2707" i="12"/>
  <c r="R2709" i="12"/>
  <c r="R2711" i="12"/>
  <c r="R2713" i="12"/>
  <c r="R2715" i="12"/>
  <c r="R2717" i="12"/>
  <c r="R2719" i="12"/>
  <c r="R2721" i="12"/>
  <c r="R2723" i="12"/>
  <c r="R2725" i="12"/>
  <c r="R2727" i="12"/>
  <c r="R2729" i="12"/>
  <c r="R2731" i="12"/>
  <c r="R2733" i="12"/>
  <c r="R2735" i="12"/>
  <c r="R2737" i="12"/>
  <c r="R2739" i="12"/>
  <c r="R2741" i="12"/>
  <c r="R2743" i="12"/>
  <c r="R2745" i="12"/>
  <c r="R2747" i="12"/>
  <c r="R2749" i="12"/>
  <c r="R2751" i="12"/>
  <c r="R2753" i="12"/>
  <c r="R2755" i="12"/>
  <c r="R2757" i="12"/>
  <c r="R2759" i="12"/>
  <c r="R2761" i="12"/>
  <c r="R2763" i="12"/>
  <c r="R2765" i="12"/>
  <c r="R2767" i="12"/>
  <c r="R2769" i="12"/>
  <c r="R2771" i="12"/>
  <c r="R2773" i="12"/>
  <c r="R2775" i="12"/>
  <c r="R2777" i="12"/>
  <c r="R2779" i="12"/>
  <c r="R2781" i="12"/>
  <c r="R2783" i="12"/>
  <c r="R2785" i="12"/>
  <c r="R2787" i="12"/>
  <c r="R2789" i="12"/>
  <c r="R2791" i="12"/>
  <c r="R2793" i="12"/>
  <c r="R2795" i="12"/>
  <c r="R2797" i="12"/>
  <c r="R2799" i="12"/>
  <c r="R2801" i="12"/>
  <c r="R2803" i="12"/>
  <c r="R2805" i="12"/>
  <c r="R2807" i="12"/>
  <c r="R2809" i="12"/>
  <c r="R2811" i="12"/>
  <c r="R2813" i="12"/>
  <c r="R2815" i="12"/>
  <c r="R2817" i="12"/>
  <c r="R2819" i="12"/>
  <c r="R2821" i="12"/>
  <c r="R2823" i="12"/>
  <c r="R2825" i="12"/>
  <c r="R2827" i="12"/>
  <c r="R2829" i="12"/>
  <c r="R2831" i="12"/>
  <c r="R2833" i="12"/>
  <c r="R2835" i="12"/>
  <c r="R2837" i="12"/>
  <c r="R2839" i="12"/>
  <c r="R2841" i="12"/>
  <c r="R2843" i="12"/>
  <c r="R2845" i="12"/>
  <c r="R2847" i="12"/>
  <c r="R2849" i="12"/>
  <c r="R2851" i="12"/>
  <c r="R2853" i="12"/>
  <c r="R2855" i="12"/>
  <c r="R2857" i="12"/>
  <c r="R2859" i="12"/>
  <c r="R2861" i="12"/>
  <c r="R2863" i="12"/>
  <c r="R2865" i="12"/>
  <c r="R2867" i="12"/>
  <c r="R2869" i="12"/>
  <c r="R2871" i="12"/>
  <c r="R2873" i="12"/>
  <c r="R2875" i="12"/>
  <c r="R2877" i="12"/>
  <c r="R2879" i="12"/>
  <c r="R2881" i="12"/>
  <c r="R2883" i="12"/>
  <c r="R2885" i="12"/>
  <c r="R2887" i="12"/>
  <c r="R2889" i="12"/>
  <c r="R2891" i="12"/>
  <c r="R2893" i="12"/>
  <c r="R2895" i="12"/>
  <c r="R2897" i="12"/>
  <c r="R2899" i="12"/>
  <c r="R2901" i="12"/>
  <c r="R2903" i="12"/>
  <c r="R2905" i="12"/>
  <c r="R2907" i="12"/>
  <c r="R2909" i="12"/>
  <c r="R2911" i="12"/>
  <c r="R2913" i="12"/>
  <c r="R2915" i="12"/>
  <c r="R2917" i="12"/>
  <c r="R2919" i="12"/>
  <c r="R2921" i="12"/>
  <c r="R2923" i="12"/>
  <c r="R2925" i="12"/>
  <c r="R2927" i="12"/>
  <c r="R2929" i="12"/>
  <c r="R9" i="12"/>
  <c r="R2932" i="12"/>
  <c r="R2934" i="12"/>
  <c r="R2936" i="12"/>
  <c r="R2938" i="12"/>
  <c r="R2940" i="12"/>
  <c r="R2942" i="12"/>
  <c r="R2944" i="12"/>
  <c r="R2946" i="12"/>
  <c r="R2948" i="12"/>
  <c r="R2950" i="12"/>
  <c r="R2952" i="12"/>
  <c r="R2954" i="12"/>
  <c r="R2956" i="12"/>
  <c r="R2958" i="12"/>
  <c r="R2960" i="12"/>
  <c r="R2962" i="12"/>
  <c r="R2964" i="12"/>
  <c r="R2966" i="12"/>
  <c r="R2968" i="12"/>
  <c r="R2970" i="12"/>
  <c r="R2972" i="12"/>
  <c r="R2974" i="12"/>
  <c r="R2976" i="12"/>
  <c r="R2978" i="12"/>
  <c r="R2980" i="12"/>
  <c r="R2982" i="12"/>
  <c r="R2984" i="12"/>
  <c r="R2986" i="12"/>
  <c r="R2988" i="12"/>
  <c r="R2990" i="12"/>
  <c r="R2992" i="12"/>
  <c r="R2994" i="12"/>
  <c r="R2996" i="12"/>
  <c r="R2998" i="12"/>
  <c r="R3000" i="12"/>
  <c r="R3002" i="12"/>
  <c r="R3004" i="12"/>
  <c r="R3006" i="12"/>
  <c r="R3008" i="12"/>
  <c r="R3010" i="12"/>
  <c r="R3012" i="12"/>
  <c r="R3014" i="12"/>
  <c r="R3016" i="12"/>
  <c r="R3018" i="12"/>
  <c r="R3020" i="12"/>
  <c r="R3022" i="12"/>
  <c r="R3024" i="12"/>
  <c r="R3026" i="12"/>
  <c r="R3028" i="12"/>
  <c r="R3030" i="12"/>
  <c r="R3032" i="12"/>
  <c r="R3034" i="12"/>
  <c r="R3036" i="12"/>
  <c r="R3038" i="12"/>
  <c r="R3040" i="12"/>
  <c r="R3042" i="12"/>
  <c r="R3044" i="12"/>
  <c r="R3046" i="12"/>
  <c r="R3048" i="12"/>
  <c r="R3050" i="12"/>
  <c r="R3052" i="12"/>
  <c r="R3054" i="12"/>
  <c r="R3056" i="12"/>
  <c r="R3058" i="12"/>
  <c r="R3060" i="12"/>
  <c r="R3062" i="12"/>
  <c r="R3064" i="12"/>
  <c r="R3066" i="12"/>
  <c r="R3068" i="12"/>
  <c r="R3070" i="12"/>
  <c r="R3072" i="12"/>
  <c r="R3074" i="12"/>
  <c r="R3076" i="12"/>
  <c r="R3078" i="12"/>
  <c r="R3080" i="12"/>
  <c r="R3082" i="12"/>
  <c r="R3084" i="12"/>
  <c r="R3086" i="12"/>
  <c r="R3088" i="12"/>
  <c r="R3090" i="12"/>
  <c r="R3092" i="12"/>
  <c r="R3094" i="12"/>
  <c r="R3096" i="12"/>
  <c r="R3098" i="12"/>
  <c r="R3100" i="12"/>
  <c r="R3102" i="12"/>
  <c r="R3104" i="12"/>
  <c r="R3106" i="12"/>
  <c r="R3108" i="12"/>
  <c r="R3110" i="12"/>
  <c r="R3112" i="12"/>
  <c r="R3114" i="12"/>
  <c r="R3116" i="12"/>
  <c r="R3118" i="12"/>
  <c r="R3120" i="12"/>
  <c r="R3122" i="12"/>
  <c r="R3124" i="12"/>
  <c r="R3126" i="12"/>
  <c r="R3128" i="12"/>
  <c r="R3130" i="12"/>
  <c r="R3132" i="12"/>
  <c r="R3134" i="12"/>
  <c r="R3136" i="12"/>
  <c r="R3138" i="12"/>
  <c r="R3140" i="12"/>
  <c r="R3142" i="12"/>
  <c r="R3144" i="12"/>
  <c r="R3146" i="12"/>
  <c r="R3148" i="12"/>
  <c r="R3150" i="12"/>
  <c r="R3152" i="12"/>
  <c r="R3154" i="12"/>
  <c r="R3156" i="12"/>
  <c r="R3158" i="12"/>
  <c r="R3160" i="12"/>
  <c r="R3162" i="12"/>
  <c r="R3164" i="12"/>
  <c r="R3166" i="12"/>
  <c r="R3168" i="12"/>
  <c r="R3170" i="12"/>
  <c r="R3172" i="12"/>
  <c r="R3174" i="12"/>
  <c r="R3176" i="12"/>
  <c r="R3178" i="12"/>
  <c r="R3180" i="12"/>
  <c r="R3182" i="12"/>
  <c r="R3184" i="12"/>
  <c r="R3186" i="12"/>
  <c r="R3188" i="12"/>
  <c r="R3190" i="12"/>
  <c r="R3192" i="12"/>
  <c r="R3194" i="12"/>
  <c r="R3196" i="12"/>
  <c r="R3198" i="12"/>
  <c r="R3200" i="12"/>
  <c r="R3202" i="12"/>
  <c r="R3204" i="12"/>
  <c r="R3206" i="12"/>
  <c r="R3208" i="12"/>
  <c r="R3210" i="12"/>
  <c r="R3212" i="12"/>
  <c r="R3214" i="12"/>
  <c r="R3216" i="12"/>
  <c r="R3218" i="12"/>
  <c r="R3220" i="12"/>
  <c r="R3222" i="12"/>
  <c r="R3224" i="12"/>
  <c r="R3226" i="12"/>
  <c r="R3228" i="12"/>
  <c r="R3230" i="12"/>
  <c r="R3232" i="12"/>
  <c r="R3234" i="12"/>
  <c r="R3236" i="12"/>
  <c r="R3238" i="12"/>
  <c r="R3240" i="12"/>
  <c r="R3242" i="12"/>
  <c r="R3244" i="12"/>
  <c r="R3246" i="12"/>
  <c r="R3248" i="12"/>
  <c r="R3250" i="12"/>
  <c r="R3252" i="12"/>
  <c r="R3254" i="12"/>
  <c r="R3256" i="12"/>
  <c r="R3258" i="12"/>
  <c r="R3260" i="12"/>
  <c r="R3262" i="12"/>
  <c r="R3264" i="12"/>
  <c r="R3266" i="12"/>
  <c r="R3268" i="12"/>
  <c r="R3270" i="12"/>
  <c r="R3272" i="12"/>
  <c r="R3274" i="12"/>
  <c r="R3276" i="12"/>
  <c r="R3278" i="12"/>
  <c r="R3280" i="12"/>
  <c r="R3282" i="12"/>
  <c r="R3284" i="12"/>
  <c r="R3286" i="12"/>
  <c r="R3288" i="12"/>
  <c r="R3290" i="12"/>
  <c r="R3292" i="12"/>
  <c r="R3294" i="12"/>
  <c r="R3296" i="12"/>
  <c r="R3298" i="12"/>
  <c r="R3300" i="12"/>
  <c r="R3302" i="12"/>
  <c r="R3304" i="12"/>
  <c r="R3306" i="12"/>
  <c r="R3308" i="12"/>
  <c r="R3310" i="12"/>
  <c r="R3312" i="12"/>
  <c r="R3314" i="12"/>
  <c r="R3316" i="12"/>
  <c r="R3318" i="12"/>
  <c r="R3320" i="12"/>
  <c r="R3322" i="12"/>
  <c r="R3324" i="12"/>
  <c r="R3326" i="12"/>
  <c r="R3328" i="12"/>
  <c r="R3330" i="12"/>
  <c r="R3332" i="12"/>
  <c r="R3334" i="12"/>
  <c r="R3336" i="12"/>
  <c r="R3338" i="12"/>
  <c r="R3340" i="12"/>
  <c r="R3342" i="12"/>
  <c r="R3344" i="12"/>
  <c r="R3346" i="12"/>
  <c r="R3348" i="12"/>
  <c r="R3350" i="12"/>
  <c r="R3352" i="12"/>
  <c r="R3354" i="12"/>
  <c r="R3356" i="12"/>
  <c r="R3358" i="12"/>
  <c r="R3360" i="12"/>
  <c r="R3362" i="12"/>
  <c r="R3364" i="12"/>
  <c r="R3366" i="12"/>
  <c r="R3368" i="12"/>
  <c r="R3370" i="12"/>
  <c r="R3372" i="12"/>
  <c r="R3374" i="12"/>
  <c r="R3376" i="12"/>
  <c r="R3378" i="12"/>
  <c r="R3380" i="12"/>
  <c r="R3382" i="12"/>
  <c r="R3384" i="12"/>
  <c r="R3386" i="12"/>
  <c r="R3388" i="12"/>
  <c r="R3390" i="12"/>
  <c r="R3392" i="12"/>
  <c r="R3394" i="12"/>
  <c r="R3396" i="12"/>
  <c r="R3398" i="12"/>
  <c r="R3400" i="12"/>
  <c r="R3402" i="12"/>
  <c r="R3404" i="12"/>
  <c r="R3406" i="12"/>
  <c r="R3408" i="12"/>
  <c r="R3410" i="12"/>
  <c r="R3412" i="12"/>
  <c r="R3414" i="12"/>
  <c r="R3416" i="12"/>
  <c r="R3418" i="12"/>
  <c r="R3420" i="12"/>
  <c r="R3422" i="12"/>
  <c r="R3424" i="12"/>
  <c r="R3426" i="12"/>
  <c r="R3428" i="12"/>
  <c r="R3430" i="12"/>
  <c r="R3432" i="12"/>
  <c r="R3434" i="12"/>
  <c r="R3436" i="12"/>
  <c r="R3438" i="12"/>
  <c r="R3440" i="12"/>
  <c r="R3442" i="12"/>
  <c r="R3444" i="12"/>
  <c r="R3446" i="12"/>
  <c r="R3448" i="12"/>
  <c r="R3450" i="12"/>
  <c r="R3452" i="12"/>
  <c r="R3454" i="12"/>
  <c r="R3456" i="12"/>
  <c r="R3458" i="12"/>
  <c r="R3460" i="12"/>
  <c r="R3462" i="12"/>
  <c r="R3464" i="12"/>
  <c r="R3466" i="12"/>
  <c r="R3468" i="12"/>
  <c r="R3470" i="12"/>
  <c r="R3472" i="12"/>
  <c r="R3474" i="12"/>
  <c r="R3476" i="12"/>
  <c r="R3478" i="12"/>
  <c r="R3480" i="12"/>
  <c r="R3482" i="12"/>
  <c r="R3484" i="12"/>
  <c r="R3486" i="12"/>
  <c r="R3488" i="12"/>
  <c r="R3490" i="12"/>
  <c r="R3492" i="12"/>
  <c r="R3494" i="12"/>
  <c r="R3496" i="12"/>
  <c r="R3498" i="12"/>
  <c r="R3500" i="12"/>
  <c r="R3502" i="12"/>
  <c r="R3504" i="12"/>
  <c r="R3506" i="12"/>
  <c r="R3508" i="12"/>
  <c r="R3510" i="12"/>
  <c r="R3512" i="12"/>
  <c r="R3514" i="12"/>
  <c r="R3516" i="12"/>
  <c r="R3518" i="12"/>
  <c r="R3520" i="12"/>
  <c r="R3522" i="12"/>
  <c r="R3524" i="12"/>
  <c r="R3526" i="12"/>
  <c r="R3528" i="12"/>
  <c r="R3530" i="12"/>
  <c r="R3532" i="12"/>
  <c r="R3534" i="12"/>
  <c r="R3536" i="12"/>
  <c r="R3538" i="12"/>
  <c r="R3540" i="12"/>
  <c r="R3542" i="12"/>
  <c r="R3544" i="12"/>
  <c r="R3546" i="12"/>
  <c r="R3548" i="12"/>
  <c r="R3550" i="12"/>
  <c r="R3552" i="12"/>
  <c r="R3554" i="12"/>
  <c r="R3556" i="12"/>
  <c r="R3558" i="12"/>
  <c r="R3560" i="12"/>
  <c r="R3562" i="12"/>
  <c r="R3564" i="12"/>
  <c r="R3566" i="12"/>
  <c r="R3568" i="12"/>
  <c r="R3570" i="12"/>
  <c r="R3572" i="12"/>
  <c r="R3574" i="12"/>
  <c r="R3576" i="12"/>
  <c r="R3578" i="12"/>
  <c r="R3580" i="12"/>
  <c r="R3582" i="12"/>
  <c r="R3584" i="12"/>
  <c r="R3586" i="12"/>
  <c r="R3588" i="12"/>
  <c r="R3590" i="12"/>
  <c r="R3592" i="12"/>
  <c r="R3594" i="12"/>
  <c r="R3596" i="12"/>
  <c r="R3598" i="12"/>
  <c r="R3600" i="12"/>
  <c r="R3602" i="12"/>
  <c r="R3604" i="12"/>
  <c r="R3606" i="12"/>
  <c r="R3608" i="12"/>
  <c r="R10" i="12"/>
  <c r="R12" i="12"/>
  <c r="R14" i="12"/>
  <c r="R16" i="12"/>
  <c r="R18" i="12"/>
  <c r="R20" i="12"/>
  <c r="R22" i="12"/>
  <c r="R24" i="12"/>
  <c r="R26" i="12"/>
  <c r="R28" i="12"/>
  <c r="R30" i="12"/>
  <c r="R32" i="12"/>
  <c r="R34" i="12"/>
  <c r="R36" i="12"/>
  <c r="R38" i="12"/>
  <c r="R40" i="12"/>
  <c r="R42" i="12"/>
  <c r="R44" i="12"/>
  <c r="R46" i="12"/>
  <c r="R48" i="12"/>
  <c r="R50" i="12"/>
  <c r="R52" i="12"/>
  <c r="R54" i="12"/>
  <c r="R56" i="12"/>
  <c r="R58" i="12"/>
  <c r="R60" i="12"/>
  <c r="R62" i="12"/>
  <c r="R64" i="12"/>
  <c r="R66" i="12"/>
  <c r="R75" i="12"/>
  <c r="R77" i="12"/>
  <c r="R79" i="12"/>
  <c r="R81" i="12"/>
  <c r="R83" i="12"/>
  <c r="R85" i="12"/>
  <c r="R87" i="12"/>
  <c r="R89" i="12"/>
  <c r="R91" i="12"/>
  <c r="R93" i="12"/>
  <c r="R95" i="12"/>
  <c r="R97" i="12"/>
  <c r="R99" i="12"/>
  <c r="R101" i="12"/>
  <c r="R103" i="12"/>
  <c r="R105" i="12"/>
  <c r="R107" i="12"/>
  <c r="R109" i="12"/>
  <c r="R111" i="12"/>
  <c r="R113" i="12"/>
  <c r="R115" i="12"/>
  <c r="R117" i="12"/>
  <c r="R119" i="12"/>
  <c r="R121" i="12"/>
  <c r="R123" i="12"/>
  <c r="R125" i="12"/>
  <c r="R127" i="12"/>
  <c r="R129" i="12"/>
  <c r="R131" i="12"/>
  <c r="R133" i="12"/>
  <c r="R67" i="12"/>
  <c r="R69" i="12"/>
  <c r="R71" i="12"/>
  <c r="R73" i="12"/>
  <c r="R137" i="12"/>
  <c r="R139" i="12"/>
  <c r="R141" i="12"/>
  <c r="R143" i="12"/>
  <c r="R145" i="12"/>
  <c r="R147" i="12"/>
  <c r="R149" i="12"/>
  <c r="R151" i="12"/>
  <c r="R153" i="12"/>
  <c r="R155" i="12"/>
  <c r="R157" i="12"/>
  <c r="R159" i="12"/>
  <c r="R161" i="12"/>
  <c r="R163" i="12"/>
  <c r="R165" i="12"/>
  <c r="R167" i="12"/>
  <c r="R169" i="12"/>
  <c r="R171" i="12"/>
  <c r="R173" i="12"/>
  <c r="R175" i="12"/>
  <c r="R177" i="12"/>
  <c r="R179" i="12"/>
  <c r="R181" i="12"/>
  <c r="R183" i="12"/>
  <c r="R185" i="12"/>
  <c r="R187" i="12"/>
  <c r="R189" i="12"/>
  <c r="R191" i="12"/>
  <c r="R193" i="12"/>
  <c r="R195" i="12"/>
  <c r="R197" i="12"/>
  <c r="R199" i="12"/>
  <c r="R201" i="12"/>
  <c r="R203" i="12"/>
  <c r="R205" i="12"/>
  <c r="R207" i="12"/>
  <c r="R209" i="12"/>
  <c r="R211" i="12"/>
  <c r="R213" i="12"/>
  <c r="R215" i="12"/>
  <c r="R217" i="12"/>
  <c r="R219" i="12"/>
  <c r="R221" i="12"/>
  <c r="R223" i="12"/>
  <c r="R225" i="12"/>
  <c r="R227" i="12"/>
  <c r="R229" i="12"/>
  <c r="R231" i="12"/>
  <c r="R233" i="12"/>
  <c r="R235" i="12"/>
  <c r="R237" i="12"/>
  <c r="R239" i="12"/>
  <c r="R241" i="12"/>
  <c r="R243" i="12"/>
  <c r="R245" i="12"/>
  <c r="R247" i="12"/>
  <c r="R249" i="12"/>
  <c r="R251" i="12"/>
  <c r="R253" i="12"/>
  <c r="R135" i="12"/>
  <c r="R264" i="12"/>
  <c r="R266" i="12"/>
  <c r="R268" i="12"/>
  <c r="R270" i="12"/>
  <c r="R272" i="12"/>
  <c r="R274" i="12"/>
  <c r="R276" i="12"/>
  <c r="R278" i="12"/>
  <c r="R280" i="12"/>
  <c r="R282" i="12"/>
  <c r="R284" i="12"/>
  <c r="R286" i="12"/>
  <c r="R288" i="12"/>
  <c r="R290" i="12"/>
  <c r="R292" i="12"/>
  <c r="R294" i="12"/>
  <c r="R296" i="12"/>
  <c r="R298" i="12"/>
  <c r="R300" i="12"/>
  <c r="R302" i="12"/>
  <c r="R304" i="12"/>
  <c r="R306" i="12"/>
  <c r="R308" i="12"/>
  <c r="R310" i="12"/>
  <c r="R312" i="12"/>
  <c r="R314" i="12"/>
  <c r="R316" i="12"/>
  <c r="R318" i="12"/>
  <c r="R320" i="12"/>
  <c r="R322" i="12"/>
  <c r="R324" i="12"/>
  <c r="R326" i="12"/>
  <c r="R328" i="12"/>
  <c r="R330" i="12"/>
  <c r="R332" i="12"/>
  <c r="R334" i="12"/>
  <c r="R336" i="12"/>
  <c r="R338" i="12"/>
  <c r="R340" i="12"/>
  <c r="R342" i="12"/>
  <c r="R344" i="12"/>
  <c r="R346" i="12"/>
  <c r="R348" i="12"/>
  <c r="R350" i="12"/>
  <c r="R352" i="12"/>
  <c r="R354" i="12"/>
  <c r="R356" i="12"/>
  <c r="R358" i="12"/>
  <c r="R360" i="12"/>
  <c r="R362" i="12"/>
  <c r="R364" i="12"/>
  <c r="R366" i="12"/>
  <c r="R368" i="12"/>
  <c r="R370" i="12"/>
  <c r="R372" i="12"/>
  <c r="R374" i="12"/>
  <c r="R376" i="12"/>
  <c r="R378" i="12"/>
  <c r="R380" i="12"/>
  <c r="R382" i="12"/>
  <c r="R384" i="12"/>
  <c r="R386" i="12"/>
  <c r="R256" i="12"/>
  <c r="R258" i="12"/>
  <c r="R260" i="12"/>
  <c r="R262" i="12"/>
  <c r="R388" i="12"/>
  <c r="R390" i="12"/>
  <c r="R392" i="12"/>
  <c r="R394" i="12"/>
  <c r="R396" i="12"/>
  <c r="R398" i="12"/>
  <c r="R400" i="12"/>
  <c r="R402" i="12"/>
  <c r="R404" i="12"/>
  <c r="R406" i="12"/>
  <c r="R408" i="12"/>
  <c r="R410" i="12"/>
  <c r="R412" i="12"/>
  <c r="R414" i="12"/>
  <c r="R416" i="12"/>
  <c r="R418" i="12"/>
  <c r="R420" i="12"/>
  <c r="R422" i="12"/>
  <c r="R424" i="12"/>
  <c r="R426" i="12"/>
  <c r="R428" i="12"/>
  <c r="R430" i="12"/>
  <c r="R432" i="12"/>
  <c r="R434" i="12"/>
  <c r="R436" i="12"/>
  <c r="R438" i="12"/>
  <c r="R440" i="12"/>
  <c r="R442" i="12"/>
  <c r="R444" i="12"/>
  <c r="R446" i="12"/>
  <c r="R448" i="12"/>
  <c r="R450" i="12"/>
  <c r="R452" i="12"/>
  <c r="R454" i="12"/>
  <c r="R456" i="12"/>
  <c r="R458" i="12"/>
  <c r="R460" i="12"/>
  <c r="R462" i="12"/>
  <c r="R464" i="12"/>
  <c r="R466" i="12"/>
  <c r="R468" i="12"/>
  <c r="R470" i="12"/>
  <c r="R472" i="12"/>
  <c r="R474" i="12"/>
  <c r="R476" i="12"/>
  <c r="R478" i="12"/>
  <c r="R480" i="12"/>
  <c r="R482" i="12"/>
  <c r="R484" i="12"/>
  <c r="R486" i="12"/>
  <c r="R488" i="12"/>
  <c r="R490" i="12"/>
  <c r="R492" i="12"/>
  <c r="R494" i="12"/>
  <c r="R496" i="12"/>
  <c r="R498" i="12"/>
  <c r="R500" i="12"/>
  <c r="R502" i="12"/>
  <c r="R504" i="12"/>
  <c r="R506" i="12"/>
  <c r="R508" i="12"/>
  <c r="R510" i="12"/>
  <c r="R512" i="12"/>
  <c r="R514" i="12"/>
  <c r="R516" i="12"/>
  <c r="R518" i="12"/>
  <c r="R520" i="12"/>
  <c r="R522" i="12"/>
  <c r="R524" i="12"/>
  <c r="R526" i="12"/>
  <c r="R528" i="12"/>
  <c r="R530" i="12"/>
  <c r="R532" i="12"/>
  <c r="R534" i="12"/>
  <c r="R536" i="12"/>
  <c r="R538" i="12"/>
  <c r="R540" i="12"/>
  <c r="R542" i="12"/>
  <c r="R544" i="12"/>
  <c r="R546" i="12"/>
  <c r="R548" i="12"/>
  <c r="R550" i="12"/>
  <c r="R552" i="12"/>
  <c r="R554" i="12"/>
  <c r="R556" i="12"/>
  <c r="R558" i="12"/>
  <c r="R560" i="12"/>
  <c r="R562" i="12"/>
  <c r="R564" i="12"/>
  <c r="R566" i="12"/>
  <c r="R568" i="12"/>
  <c r="R570" i="12"/>
  <c r="R572" i="12"/>
  <c r="R574" i="12"/>
  <c r="R576" i="12"/>
  <c r="R578" i="12"/>
  <c r="R580" i="12"/>
  <c r="R582" i="12"/>
  <c r="R584" i="12"/>
  <c r="R586" i="12"/>
  <c r="R588" i="12"/>
  <c r="R590" i="12"/>
  <c r="R592" i="12"/>
  <c r="R594" i="12"/>
  <c r="R596" i="12"/>
  <c r="R598" i="12"/>
  <c r="R600" i="12"/>
  <c r="R602" i="12"/>
  <c r="R604" i="12"/>
  <c r="R606" i="12"/>
  <c r="R608" i="12"/>
  <c r="R610" i="12"/>
  <c r="R612" i="12"/>
  <c r="R614" i="12"/>
  <c r="R616" i="12"/>
  <c r="R618" i="12"/>
  <c r="R620" i="12"/>
  <c r="R622" i="12"/>
  <c r="R624" i="12"/>
  <c r="R626" i="12"/>
  <c r="R628" i="12"/>
  <c r="R630" i="12"/>
  <c r="R632" i="12"/>
  <c r="R634" i="12"/>
  <c r="R636" i="12"/>
  <c r="R638" i="12"/>
  <c r="R640" i="12"/>
  <c r="R642" i="12"/>
  <c r="R644" i="12"/>
  <c r="R646" i="12"/>
  <c r="R648" i="12"/>
  <c r="R650" i="12"/>
  <c r="R652" i="12"/>
  <c r="R654" i="12"/>
  <c r="R656" i="12"/>
  <c r="R658" i="12"/>
  <c r="R660" i="12"/>
  <c r="R662" i="12"/>
  <c r="R664" i="12"/>
  <c r="R666" i="12"/>
  <c r="R668" i="12"/>
  <c r="R670" i="12"/>
  <c r="R672" i="12"/>
  <c r="R674" i="12"/>
  <c r="R676" i="12"/>
  <c r="R678" i="12"/>
  <c r="R680" i="12"/>
  <c r="R682" i="12"/>
  <c r="R684" i="12"/>
  <c r="R686" i="12"/>
  <c r="R688" i="12"/>
  <c r="R690" i="12"/>
  <c r="R692" i="12"/>
  <c r="R694" i="12"/>
  <c r="R696" i="12"/>
  <c r="R698" i="12"/>
  <c r="R700" i="12"/>
  <c r="R702" i="12"/>
  <c r="R704" i="12"/>
  <c r="R706" i="12"/>
  <c r="R708" i="12"/>
  <c r="R710" i="12"/>
  <c r="R712" i="12"/>
  <c r="R714" i="12"/>
  <c r="R716" i="12"/>
  <c r="R718" i="12"/>
  <c r="R720" i="12"/>
  <c r="R722" i="12"/>
  <c r="R724" i="12"/>
  <c r="R726" i="12"/>
  <c r="R728" i="12"/>
  <c r="R730" i="12"/>
  <c r="R732" i="12"/>
  <c r="R734" i="12"/>
  <c r="R736" i="12"/>
  <c r="R738" i="12"/>
  <c r="R740" i="12"/>
  <c r="R742" i="12"/>
  <c r="R744" i="12"/>
  <c r="R746" i="12"/>
  <c r="R748" i="12"/>
  <c r="R750" i="12"/>
  <c r="R752" i="12"/>
  <c r="R754" i="12"/>
  <c r="R756" i="12"/>
  <c r="R758" i="12"/>
  <c r="R760" i="12"/>
  <c r="R762" i="12"/>
  <c r="R764" i="12"/>
  <c r="R766" i="12"/>
  <c r="R768" i="12"/>
  <c r="R770" i="12"/>
  <c r="R772" i="12"/>
  <c r="R774" i="12"/>
  <c r="R776" i="12"/>
  <c r="R778" i="12"/>
  <c r="R780" i="12"/>
  <c r="R782" i="12"/>
  <c r="R784" i="12"/>
  <c r="R786" i="12"/>
  <c r="R788" i="12"/>
  <c r="R790" i="12"/>
  <c r="R792" i="12"/>
  <c r="R794" i="12"/>
  <c r="R796" i="12"/>
  <c r="R798" i="12"/>
  <c r="R800" i="12"/>
  <c r="R802" i="12"/>
  <c r="R804" i="12"/>
  <c r="R806" i="12"/>
  <c r="R808" i="12"/>
  <c r="R810" i="12"/>
  <c r="R812" i="12"/>
  <c r="R814" i="12"/>
  <c r="R816" i="12"/>
  <c r="R818" i="12"/>
  <c r="R820" i="12"/>
  <c r="R822" i="12"/>
  <c r="R824" i="12"/>
  <c r="R826" i="12"/>
  <c r="R828" i="12"/>
  <c r="R830" i="12"/>
  <c r="R832" i="12"/>
  <c r="R834" i="12"/>
  <c r="R836" i="12"/>
  <c r="R838" i="12"/>
  <c r="R840" i="12"/>
  <c r="R842" i="12"/>
  <c r="R844" i="12"/>
  <c r="R846" i="12"/>
  <c r="R848" i="12"/>
  <c r="R850" i="12"/>
  <c r="R852" i="12"/>
  <c r="R854" i="12"/>
  <c r="R856" i="12"/>
  <c r="R858" i="12"/>
  <c r="R860" i="12"/>
  <c r="R862" i="12"/>
  <c r="R864" i="12"/>
  <c r="R866" i="12"/>
  <c r="R868" i="12"/>
  <c r="R870" i="12"/>
  <c r="R872" i="12"/>
  <c r="R874" i="12"/>
  <c r="R876" i="12"/>
  <c r="R878" i="12"/>
  <c r="R880" i="12"/>
  <c r="R882" i="12"/>
  <c r="R884" i="12"/>
  <c r="R886" i="12"/>
  <c r="R888" i="12"/>
  <c r="R890" i="12"/>
  <c r="R892" i="12"/>
  <c r="R894" i="12"/>
  <c r="R896" i="12"/>
  <c r="R898" i="12"/>
  <c r="R900" i="12"/>
  <c r="R902" i="12"/>
  <c r="R904" i="12"/>
  <c r="R906" i="12"/>
  <c r="R908" i="12"/>
  <c r="R910" i="12"/>
  <c r="R912" i="12"/>
  <c r="R914" i="12"/>
  <c r="R916" i="12"/>
  <c r="R918" i="12"/>
  <c r="R920" i="12"/>
  <c r="R922" i="12"/>
  <c r="R924" i="12"/>
  <c r="R926" i="12"/>
  <c r="R928" i="12"/>
  <c r="R930" i="12"/>
  <c r="R932" i="12"/>
  <c r="R934" i="12"/>
  <c r="R936" i="12"/>
  <c r="R938" i="12"/>
  <c r="R940" i="12"/>
  <c r="R942" i="12"/>
  <c r="R944" i="12"/>
  <c r="R946" i="12"/>
  <c r="R948" i="12"/>
  <c r="R950" i="12"/>
  <c r="R952" i="12"/>
  <c r="R954" i="12"/>
  <c r="R956" i="12"/>
  <c r="R958" i="12"/>
  <c r="R960" i="12"/>
  <c r="R962" i="12"/>
  <c r="R964" i="12"/>
  <c r="R966" i="12"/>
  <c r="R968" i="12"/>
  <c r="R970" i="12"/>
  <c r="R972" i="12"/>
  <c r="R974" i="12"/>
  <c r="R976" i="12"/>
  <c r="R978" i="12"/>
  <c r="R980" i="12"/>
  <c r="R982" i="12"/>
  <c r="R984" i="12"/>
  <c r="R986" i="12"/>
  <c r="R988" i="12"/>
  <c r="R990" i="12"/>
  <c r="R992" i="12"/>
  <c r="R994" i="12"/>
  <c r="R996" i="12"/>
  <c r="R998" i="12"/>
  <c r="R1000" i="12"/>
  <c r="R1002" i="12"/>
  <c r="R1004" i="12"/>
  <c r="R1006" i="12"/>
  <c r="R1008" i="12"/>
  <c r="R1010" i="12"/>
  <c r="R1012" i="12"/>
  <c r="R1014" i="12"/>
  <c r="R1016" i="12"/>
  <c r="R1018" i="12"/>
  <c r="R1020" i="12"/>
  <c r="R1022" i="12"/>
  <c r="R1024" i="12"/>
  <c r="R1026" i="12"/>
  <c r="R1028" i="12"/>
  <c r="R1030" i="12"/>
  <c r="R1032" i="12"/>
  <c r="R1034" i="12"/>
  <c r="R1036" i="12"/>
  <c r="R1038" i="12"/>
  <c r="R1040" i="12"/>
  <c r="R1042" i="12"/>
  <c r="R1044" i="12"/>
  <c r="R1046" i="12"/>
  <c r="R1048" i="12"/>
  <c r="R1050" i="12"/>
  <c r="R1052" i="12"/>
  <c r="R1054" i="12"/>
  <c r="R1056" i="12"/>
  <c r="R1058" i="12"/>
  <c r="R1060" i="12"/>
  <c r="R1062" i="12"/>
  <c r="R1064" i="12"/>
  <c r="R1066" i="12"/>
  <c r="R1068" i="12"/>
  <c r="R1070" i="12"/>
  <c r="R1072" i="12"/>
  <c r="R1074" i="12"/>
  <c r="R1076" i="12"/>
  <c r="R1078" i="12"/>
  <c r="R1080" i="12"/>
  <c r="R1082" i="12"/>
  <c r="R1084" i="12"/>
  <c r="R1086" i="12"/>
  <c r="R1088" i="12"/>
  <c r="R1090" i="12"/>
  <c r="R1092" i="12"/>
  <c r="R1094" i="12"/>
  <c r="R1096" i="12"/>
  <c r="R1098" i="12"/>
  <c r="R1100" i="12"/>
  <c r="R1102" i="12"/>
  <c r="R1104" i="12"/>
  <c r="R1106" i="12"/>
  <c r="R1108" i="12"/>
  <c r="R1110" i="12"/>
  <c r="R1112" i="12"/>
  <c r="R1114" i="12"/>
  <c r="R1116" i="12"/>
  <c r="R1118" i="12"/>
  <c r="R1120" i="12"/>
  <c r="R1122" i="12"/>
  <c r="R1124" i="12"/>
  <c r="R1126" i="12"/>
  <c r="R1128" i="12"/>
  <c r="R1130" i="12"/>
  <c r="R1132" i="12"/>
  <c r="R1134" i="12"/>
  <c r="R1136" i="12"/>
  <c r="R1138" i="12"/>
  <c r="R1140" i="12"/>
  <c r="R1142" i="12"/>
  <c r="R1144" i="12"/>
  <c r="R1146" i="12"/>
  <c r="R1148" i="12"/>
  <c r="R1150" i="12"/>
  <c r="R1152" i="12"/>
  <c r="R1154" i="12"/>
  <c r="R1156" i="12"/>
  <c r="R1158" i="12"/>
  <c r="R1160" i="12"/>
  <c r="R1162" i="12"/>
  <c r="R1164" i="12"/>
  <c r="R1166" i="12"/>
  <c r="R1168" i="12"/>
  <c r="R1170" i="12"/>
  <c r="R1172" i="12"/>
  <c r="R1174" i="12"/>
  <c r="R1176" i="12"/>
  <c r="R1178" i="12"/>
  <c r="R1180" i="12"/>
  <c r="R1182" i="12"/>
  <c r="R1184" i="12"/>
  <c r="R1186" i="12"/>
  <c r="R1188" i="12"/>
  <c r="R1190" i="12"/>
  <c r="R1192" i="12"/>
  <c r="R1194" i="12"/>
  <c r="R1196" i="12"/>
  <c r="R1198" i="12"/>
  <c r="R1200" i="12"/>
  <c r="R1202" i="12"/>
  <c r="R1204" i="12"/>
  <c r="R1206" i="12"/>
  <c r="R1208" i="12"/>
  <c r="R1210" i="12"/>
  <c r="R1212" i="12"/>
  <c r="R1214" i="12"/>
  <c r="R1216" i="12"/>
  <c r="R1218" i="12"/>
  <c r="R1220" i="12"/>
  <c r="R1222" i="12"/>
  <c r="R1224" i="12"/>
  <c r="R1226" i="12"/>
  <c r="R1228" i="12"/>
  <c r="R1230" i="12"/>
  <c r="R1232" i="12"/>
  <c r="R1234" i="12"/>
  <c r="R1236" i="12"/>
  <c r="R1238" i="12"/>
  <c r="R1240" i="12"/>
  <c r="R1242" i="12"/>
  <c r="R1244" i="12"/>
  <c r="R1246" i="12"/>
  <c r="R1248" i="12"/>
  <c r="R1250" i="12"/>
  <c r="R1252" i="12"/>
  <c r="R1254" i="12"/>
  <c r="R1256" i="12"/>
  <c r="R1258" i="12"/>
  <c r="R1260" i="12"/>
  <c r="R1262" i="12"/>
  <c r="R1264" i="12"/>
  <c r="R1266" i="12"/>
  <c r="R1268" i="12"/>
  <c r="R1270" i="12"/>
  <c r="R1272" i="12"/>
  <c r="R1274" i="12"/>
  <c r="R1276" i="12"/>
  <c r="R1278" i="12"/>
  <c r="R1280" i="12"/>
  <c r="R1282" i="12"/>
  <c r="R1284" i="12"/>
  <c r="R1286" i="12"/>
  <c r="R1288" i="12"/>
  <c r="R1290" i="12"/>
  <c r="R1292" i="12"/>
  <c r="R1294" i="12"/>
  <c r="R1296" i="12"/>
  <c r="R1298" i="12"/>
  <c r="R1300" i="12"/>
  <c r="R1302" i="12"/>
  <c r="R1304" i="12"/>
  <c r="R1306" i="12"/>
  <c r="R1308" i="12"/>
  <c r="R1310" i="12"/>
  <c r="R1312" i="12"/>
  <c r="R1314" i="12"/>
  <c r="R1316" i="12"/>
  <c r="R1318" i="12"/>
  <c r="R1320" i="12"/>
  <c r="R1322" i="12"/>
  <c r="R1324" i="12"/>
  <c r="R1326" i="12"/>
  <c r="R1328" i="12"/>
  <c r="R1330" i="12"/>
  <c r="R1332" i="12"/>
  <c r="R1334" i="12"/>
  <c r="R1336" i="12"/>
  <c r="R1338" i="12"/>
  <c r="R1340" i="12"/>
  <c r="R1342" i="12"/>
  <c r="R1344" i="12"/>
  <c r="R1346" i="12"/>
  <c r="R1348" i="12"/>
  <c r="R1350" i="12"/>
  <c r="R1352" i="12"/>
  <c r="R1354" i="12"/>
  <c r="R1356" i="12"/>
  <c r="R1358" i="12"/>
  <c r="R1360" i="12"/>
  <c r="R1362" i="12"/>
  <c r="R1364" i="12"/>
  <c r="R1366" i="12"/>
  <c r="R1368" i="12"/>
  <c r="R1370" i="12"/>
  <c r="R1372" i="12"/>
  <c r="R1374" i="12"/>
  <c r="R1376" i="12"/>
  <c r="R1378" i="12"/>
  <c r="R1380" i="12"/>
  <c r="R1382" i="12"/>
  <c r="R1384" i="12"/>
  <c r="R1386" i="12"/>
  <c r="R1388" i="12"/>
  <c r="R1390" i="12"/>
  <c r="R1392" i="12"/>
  <c r="R1394" i="12"/>
  <c r="R1396" i="12"/>
  <c r="R1398" i="12"/>
  <c r="R1400" i="12"/>
  <c r="R1402" i="12"/>
  <c r="R1412" i="12"/>
  <c r="R1414" i="12"/>
  <c r="R1416" i="12"/>
  <c r="R1418" i="12"/>
  <c r="R1420" i="12"/>
  <c r="R1422" i="12"/>
  <c r="R1424" i="12"/>
  <c r="R1426" i="12"/>
  <c r="R1428" i="12"/>
  <c r="R1430" i="12"/>
  <c r="R1432" i="12"/>
  <c r="R1434" i="12"/>
  <c r="R1436" i="12"/>
  <c r="R1438" i="12"/>
  <c r="R1440" i="12"/>
  <c r="R1442" i="12"/>
  <c r="R1444" i="12"/>
  <c r="R1446" i="12"/>
  <c r="R1448" i="12"/>
  <c r="R1450" i="12"/>
  <c r="R1452" i="12"/>
  <c r="R1454" i="12"/>
  <c r="R1456" i="12"/>
  <c r="R1458" i="12"/>
  <c r="R1460" i="12"/>
  <c r="R1462" i="12"/>
  <c r="R1464" i="12"/>
  <c r="R1466" i="12"/>
  <c r="R1468" i="12"/>
  <c r="R1470" i="12"/>
  <c r="R1472" i="12"/>
  <c r="R1474" i="12"/>
  <c r="R1476" i="12"/>
  <c r="R1478" i="12"/>
  <c r="R1480" i="12"/>
  <c r="R1482" i="12"/>
  <c r="R1484" i="12"/>
  <c r="R1486" i="12"/>
  <c r="R1488" i="12"/>
  <c r="R1490" i="12"/>
  <c r="R1492" i="12"/>
  <c r="R1494" i="12"/>
  <c r="R1496" i="12"/>
  <c r="R1498" i="12"/>
  <c r="R1500" i="12"/>
  <c r="R1502" i="12"/>
  <c r="R1504" i="12"/>
  <c r="R1506" i="12"/>
  <c r="R1508" i="12"/>
  <c r="R1510" i="12"/>
  <c r="R1512" i="12"/>
  <c r="R1514" i="12"/>
  <c r="R1516" i="12"/>
  <c r="R1518" i="12"/>
  <c r="R1520" i="12"/>
  <c r="R1522" i="12"/>
  <c r="R1524" i="12"/>
  <c r="R1526" i="12"/>
  <c r="R1528" i="12"/>
  <c r="R1530" i="12"/>
  <c r="R1532" i="12"/>
  <c r="R1534" i="12"/>
  <c r="R1536" i="12"/>
  <c r="R1538" i="12"/>
  <c r="R1540" i="12"/>
  <c r="R1542" i="12"/>
  <c r="R1544" i="12"/>
  <c r="R1546" i="12"/>
  <c r="R1548" i="12"/>
  <c r="R1550" i="12"/>
  <c r="R1552" i="12"/>
  <c r="R1554" i="12"/>
  <c r="R1556" i="12"/>
  <c r="R1558" i="12"/>
  <c r="R1560" i="12"/>
  <c r="R1562" i="12"/>
  <c r="R1564" i="12"/>
  <c r="R1566" i="12"/>
  <c r="R1568" i="12"/>
  <c r="R1570" i="12"/>
  <c r="R1572" i="12"/>
  <c r="R1574" i="12"/>
  <c r="R1576" i="12"/>
  <c r="R1578" i="12"/>
  <c r="R1580" i="12"/>
  <c r="R1582" i="12"/>
  <c r="R1584" i="12"/>
  <c r="R1586" i="12"/>
  <c r="R1588" i="12"/>
  <c r="R1590" i="12"/>
  <c r="R1592" i="12"/>
  <c r="R1594" i="12"/>
  <c r="R1596" i="12"/>
  <c r="R1598" i="12"/>
  <c r="R1600" i="12"/>
  <c r="R1602" i="12"/>
  <c r="R1604" i="12"/>
  <c r="R1606" i="12"/>
  <c r="R1608" i="12"/>
  <c r="R1610" i="12"/>
  <c r="R1612" i="12"/>
  <c r="R1614" i="12"/>
  <c r="R1616" i="12"/>
  <c r="R1618" i="12"/>
  <c r="R1620" i="12"/>
  <c r="R1622" i="12"/>
  <c r="R1624" i="12"/>
  <c r="R1626" i="12"/>
  <c r="R1628" i="12"/>
  <c r="R1630" i="12"/>
  <c r="R1632" i="12"/>
  <c r="R1634" i="12"/>
  <c r="R1636" i="12"/>
  <c r="R1638" i="12"/>
  <c r="R1640" i="12"/>
  <c r="R1642" i="12"/>
  <c r="R1644" i="12"/>
  <c r="R1646" i="12"/>
  <c r="R1648" i="12"/>
  <c r="R1650" i="12"/>
  <c r="R1652" i="12"/>
  <c r="R1654" i="12"/>
  <c r="R1656" i="12"/>
  <c r="R1658" i="12"/>
  <c r="R1660" i="12"/>
  <c r="R1662" i="12"/>
  <c r="R1664" i="12"/>
  <c r="R1666" i="12"/>
  <c r="R1668" i="12"/>
  <c r="R1670" i="12"/>
  <c r="R1672" i="12"/>
  <c r="R1674" i="12"/>
  <c r="R1676" i="12"/>
  <c r="R1678" i="12"/>
  <c r="R1680" i="12"/>
  <c r="R1682" i="12"/>
  <c r="R1684" i="12"/>
  <c r="R1686" i="12"/>
  <c r="R1688" i="12"/>
  <c r="R1690" i="12"/>
  <c r="R1692" i="12"/>
  <c r="R1694" i="12"/>
  <c r="R1696" i="12"/>
  <c r="R1698" i="12"/>
  <c r="R1700" i="12"/>
  <c r="R1702" i="12"/>
  <c r="R1704" i="12"/>
  <c r="R1706" i="12"/>
  <c r="R1708" i="12"/>
  <c r="R1710" i="12"/>
  <c r="R1712" i="12"/>
  <c r="R1714" i="12"/>
  <c r="R1716" i="12"/>
  <c r="R1718" i="12"/>
  <c r="R1720" i="12"/>
  <c r="R1722" i="12"/>
  <c r="R1724" i="12"/>
  <c r="R1726" i="12"/>
  <c r="R1728" i="12"/>
  <c r="R1730" i="12"/>
  <c r="R1732" i="12"/>
  <c r="R1734" i="12"/>
  <c r="R1736" i="12"/>
  <c r="R1738" i="12"/>
  <c r="R1740" i="12"/>
  <c r="R1742" i="12"/>
  <c r="R1744" i="12"/>
  <c r="R1746" i="12"/>
  <c r="R1748" i="12"/>
  <c r="R1750" i="12"/>
  <c r="R1752" i="12"/>
  <c r="R1754" i="12"/>
  <c r="R1756" i="12"/>
  <c r="R1758" i="12"/>
  <c r="R1760" i="12"/>
  <c r="R1762" i="12"/>
  <c r="R1764" i="12"/>
  <c r="R1766" i="12"/>
  <c r="R1768" i="12"/>
  <c r="R1770" i="12"/>
  <c r="R1772" i="12"/>
  <c r="R1774" i="12"/>
  <c r="R1776" i="12"/>
  <c r="R1778" i="12"/>
  <c r="R1780" i="12"/>
  <c r="R1782" i="12"/>
  <c r="R1784" i="12"/>
  <c r="R1786" i="12"/>
  <c r="R1788" i="12"/>
  <c r="R1790" i="12"/>
  <c r="R1792" i="12"/>
  <c r="R1794" i="12"/>
  <c r="R1796" i="12"/>
  <c r="R1798" i="12"/>
  <c r="R1800" i="12"/>
  <c r="R1802" i="12"/>
  <c r="R1804" i="12"/>
  <c r="R1806" i="12"/>
  <c r="R1808" i="12"/>
  <c r="R1810" i="12"/>
  <c r="R1812" i="12"/>
  <c r="R1814" i="12"/>
  <c r="R1816" i="12"/>
  <c r="R1818" i="12"/>
  <c r="R1820" i="12"/>
  <c r="R1822" i="12"/>
  <c r="R1824" i="12"/>
  <c r="R1826" i="12"/>
  <c r="R1828" i="12"/>
  <c r="R1830" i="12"/>
  <c r="R1832" i="12"/>
  <c r="R1834" i="12"/>
  <c r="R1836" i="12"/>
  <c r="R1838" i="12"/>
  <c r="R1840" i="12"/>
  <c r="R1842" i="12"/>
  <c r="R1844" i="12"/>
  <c r="R1846" i="12"/>
  <c r="R1848" i="12"/>
  <c r="R1850" i="12"/>
  <c r="R1852" i="12"/>
  <c r="R1854" i="12"/>
  <c r="R1856" i="12"/>
  <c r="R1858" i="12"/>
  <c r="R1860" i="12"/>
  <c r="R1862" i="12"/>
  <c r="R1864" i="12"/>
  <c r="R1866" i="12"/>
  <c r="R1868" i="12"/>
  <c r="R1870" i="12"/>
  <c r="R1872" i="12"/>
  <c r="R1874" i="12"/>
  <c r="R1876" i="12"/>
  <c r="R1878" i="12"/>
  <c r="R1880" i="12"/>
  <c r="R1882" i="12"/>
  <c r="R1884" i="12"/>
  <c r="R1886" i="12"/>
  <c r="R1888" i="12"/>
  <c r="R1890" i="12"/>
  <c r="R1892" i="12"/>
  <c r="R1894" i="12"/>
  <c r="R1404" i="12"/>
  <c r="R1406" i="12"/>
  <c r="R1408" i="12"/>
  <c r="R1410" i="12"/>
  <c r="R1896" i="12"/>
  <c r="R1898" i="12"/>
  <c r="R1900" i="12"/>
  <c r="R1902" i="12"/>
  <c r="R1904" i="12"/>
  <c r="R1906" i="12"/>
  <c r="R1908" i="12"/>
  <c r="R1910" i="12"/>
  <c r="R1912" i="12"/>
  <c r="R1914" i="12"/>
  <c r="R1916" i="12"/>
  <c r="R1918" i="12"/>
  <c r="R1920" i="12"/>
  <c r="R1922" i="12"/>
  <c r="R1924" i="12"/>
  <c r="R1926" i="12"/>
  <c r="R1928" i="12"/>
  <c r="R1930" i="12"/>
  <c r="R1932" i="12"/>
  <c r="R1934" i="12"/>
  <c r="R1936" i="12"/>
  <c r="R1938" i="12"/>
  <c r="R1940" i="12"/>
  <c r="R1942" i="12"/>
  <c r="R1944" i="12"/>
  <c r="R1946" i="12"/>
  <c r="R1948" i="12"/>
  <c r="R1950" i="12"/>
  <c r="R1952" i="12"/>
  <c r="R1954" i="12"/>
  <c r="R1956" i="12"/>
  <c r="R1958" i="12"/>
  <c r="R1960" i="12"/>
  <c r="R1962" i="12"/>
  <c r="R1964" i="12"/>
  <c r="R1966" i="12"/>
  <c r="R1968" i="12"/>
  <c r="R1970" i="12"/>
  <c r="R1972" i="12"/>
  <c r="R1974" i="12"/>
  <c r="R1976" i="12"/>
  <c r="R1978" i="12"/>
  <c r="R1980" i="12"/>
  <c r="R1982" i="12"/>
  <c r="R1984" i="12"/>
  <c r="R1986" i="12"/>
  <c r="R1988" i="12"/>
  <c r="R1990" i="12"/>
  <c r="R1992" i="12"/>
  <c r="R1994" i="12"/>
  <c r="R1996" i="12"/>
  <c r="R1998" i="12"/>
  <c r="R2000" i="12"/>
  <c r="R2002" i="12"/>
  <c r="R2004" i="12"/>
  <c r="R2006" i="12"/>
  <c r="R2008" i="12"/>
  <c r="R2010" i="12"/>
  <c r="R2012" i="12"/>
  <c r="R2014" i="12"/>
  <c r="R2016" i="12"/>
  <c r="R2018" i="12"/>
  <c r="R2020" i="12"/>
  <c r="R2022" i="12"/>
  <c r="R2024" i="12"/>
  <c r="R2026" i="12"/>
  <c r="R2028" i="12"/>
  <c r="R2030" i="12"/>
  <c r="R2032" i="12"/>
  <c r="R2034" i="12"/>
  <c r="R2036" i="12"/>
  <c r="R2038" i="12"/>
  <c r="R2040" i="12"/>
  <c r="R2042" i="12"/>
  <c r="R2044" i="12"/>
  <c r="R2046" i="12"/>
  <c r="R2048" i="12"/>
  <c r="R2050" i="12"/>
  <c r="R2052" i="12"/>
  <c r="R2054" i="12"/>
  <c r="R2056" i="12"/>
  <c r="R2058" i="12"/>
  <c r="R2060" i="12"/>
  <c r="R2062" i="12"/>
  <c r="R2064" i="12"/>
  <c r="R2066" i="12"/>
  <c r="R2068" i="12"/>
  <c r="R2070" i="12"/>
  <c r="R2072" i="12"/>
  <c r="R2074" i="12"/>
  <c r="R2076" i="12"/>
  <c r="R2078" i="12"/>
  <c r="R2080" i="12"/>
  <c r="R2082" i="12"/>
  <c r="R2084" i="12"/>
  <c r="R2086" i="12"/>
  <c r="R2088" i="12"/>
  <c r="R2090" i="12"/>
  <c r="R2092" i="12"/>
  <c r="R2094" i="12"/>
  <c r="R2096" i="12"/>
  <c r="R2098" i="12"/>
  <c r="R2100" i="12"/>
  <c r="R2102" i="12"/>
  <c r="R2104" i="12"/>
  <c r="R2106" i="12"/>
  <c r="R2108" i="12"/>
  <c r="R2110" i="12"/>
  <c r="R2112" i="12"/>
  <c r="R2114" i="12"/>
  <c r="R2116" i="12"/>
  <c r="R2118" i="12"/>
  <c r="R2120" i="12"/>
  <c r="R2122" i="12"/>
  <c r="R2124" i="12"/>
  <c r="R2126" i="12"/>
  <c r="R2128" i="12"/>
  <c r="R2130" i="12"/>
  <c r="R2132" i="12"/>
  <c r="R2134" i="12"/>
  <c r="R2136" i="12"/>
  <c r="R2138" i="12"/>
  <c r="R2140" i="12"/>
  <c r="R2142" i="12"/>
  <c r="R2144" i="12"/>
  <c r="R2146" i="12"/>
  <c r="R2148" i="12"/>
  <c r="R2150" i="12"/>
  <c r="R2152" i="12"/>
  <c r="R2154" i="12"/>
  <c r="R2156" i="12"/>
  <c r="R2158" i="12"/>
  <c r="R2160" i="12"/>
  <c r="R2162" i="12"/>
  <c r="R2164" i="12"/>
  <c r="R2166" i="12"/>
  <c r="R2168" i="12"/>
  <c r="R2170" i="12"/>
  <c r="R2172" i="12"/>
  <c r="R2174" i="12"/>
  <c r="R2176" i="12"/>
  <c r="R2178" i="12"/>
  <c r="R2180" i="12"/>
  <c r="R2182" i="12"/>
  <c r="R2184" i="12"/>
  <c r="R2186" i="12"/>
  <c r="R2188" i="12"/>
  <c r="R2190" i="12"/>
  <c r="R2192" i="12"/>
  <c r="R2194" i="12"/>
  <c r="R2196" i="12"/>
  <c r="R2198" i="12"/>
  <c r="R2200" i="12"/>
  <c r="R2202" i="12"/>
  <c r="R2204" i="12"/>
  <c r="R2206" i="12"/>
  <c r="R2208" i="12"/>
  <c r="R2210" i="12"/>
  <c r="R2212" i="12"/>
  <c r="R2214" i="12"/>
  <c r="R2216" i="12"/>
  <c r="R2218" i="12"/>
  <c r="R2220" i="12"/>
  <c r="R2222" i="12"/>
  <c r="R2224" i="12"/>
  <c r="R2226" i="12"/>
  <c r="R2228" i="12"/>
  <c r="R2230" i="12"/>
  <c r="R2232" i="12"/>
  <c r="R2234" i="12"/>
  <c r="R2236" i="12"/>
  <c r="R2238" i="12"/>
  <c r="R2240" i="12"/>
  <c r="R2242" i="12"/>
  <c r="R2244" i="12"/>
  <c r="R2246" i="12"/>
  <c r="R2248" i="12"/>
  <c r="R2250" i="12"/>
  <c r="R2252" i="12"/>
  <c r="R2254" i="12"/>
  <c r="R2256" i="12"/>
  <c r="R2258" i="12"/>
  <c r="R2260" i="12"/>
  <c r="R2262" i="12"/>
  <c r="R2264" i="12"/>
  <c r="R2266" i="12"/>
  <c r="R2268" i="12"/>
  <c r="R2270" i="12"/>
  <c r="R2272" i="12"/>
  <c r="R2274" i="12"/>
  <c r="R2276" i="12"/>
  <c r="R2278" i="12"/>
  <c r="R2280" i="12"/>
  <c r="R2282" i="12"/>
  <c r="R2284" i="12"/>
  <c r="R2286" i="12"/>
  <c r="R2288" i="12"/>
  <c r="R2290" i="12"/>
  <c r="R2292" i="12"/>
  <c r="R2294" i="12"/>
  <c r="R2296" i="12"/>
  <c r="R2298" i="12"/>
  <c r="R2300" i="12"/>
  <c r="R2302" i="12"/>
  <c r="R2304" i="12"/>
  <c r="R2306" i="12"/>
  <c r="R2308" i="12"/>
  <c r="R2310" i="12"/>
  <c r="R2312" i="12"/>
  <c r="R2314" i="12"/>
  <c r="R2316" i="12"/>
  <c r="R2318" i="12"/>
  <c r="R2320" i="12"/>
  <c r="R2322" i="12"/>
  <c r="R2324" i="12"/>
  <c r="R2326" i="12"/>
  <c r="R2328" i="12"/>
  <c r="R2330" i="12"/>
  <c r="R2332" i="12"/>
  <c r="R2334" i="12"/>
  <c r="R2336" i="12"/>
  <c r="R2338" i="12"/>
  <c r="R2340" i="12"/>
  <c r="R2342" i="12"/>
  <c r="R2344" i="12"/>
  <c r="R2346" i="12"/>
  <c r="R2348" i="12"/>
  <c r="R2350" i="12"/>
  <c r="R2352" i="12"/>
  <c r="R2354" i="12"/>
  <c r="R2356" i="12"/>
  <c r="R2358" i="12"/>
  <c r="R2360" i="12"/>
  <c r="R2362" i="12"/>
  <c r="R2364" i="12"/>
  <c r="R2366" i="12"/>
  <c r="R2368" i="12"/>
  <c r="R2370" i="12"/>
  <c r="R2372" i="12"/>
  <c r="R2374" i="12"/>
  <c r="R2376" i="12"/>
  <c r="R2378" i="12"/>
  <c r="R2380" i="12"/>
  <c r="R2382" i="12"/>
  <c r="R2384" i="12"/>
  <c r="R2386" i="12"/>
  <c r="R2388" i="12"/>
  <c r="R2390" i="12"/>
  <c r="R2392" i="12"/>
  <c r="R2394" i="12"/>
  <c r="R2396" i="12"/>
  <c r="R2398" i="12"/>
  <c r="R2400" i="12"/>
  <c r="R2402" i="12"/>
  <c r="R2404" i="12"/>
  <c r="R2406" i="12"/>
  <c r="R2408" i="12"/>
  <c r="R2410" i="12"/>
  <c r="R2412" i="12"/>
  <c r="R2414" i="12"/>
  <c r="R2416" i="12"/>
  <c r="R2418" i="12"/>
  <c r="R2420" i="12"/>
  <c r="R2422" i="12"/>
  <c r="R2424" i="12"/>
  <c r="R2426" i="12"/>
  <c r="R2428" i="12"/>
  <c r="R2430" i="12"/>
  <c r="R2432" i="12"/>
  <c r="R2434" i="12"/>
  <c r="R2436" i="12"/>
  <c r="R2438" i="12"/>
  <c r="R2440" i="12"/>
  <c r="R2442" i="12"/>
  <c r="R2444" i="12"/>
  <c r="R2446" i="12"/>
  <c r="R2448" i="12"/>
  <c r="R2450" i="12"/>
  <c r="R2452" i="12"/>
  <c r="R2454" i="12"/>
  <c r="R2456" i="12"/>
  <c r="R2458" i="12"/>
  <c r="R2460" i="12"/>
  <c r="R2462" i="12"/>
  <c r="R2464" i="12"/>
  <c r="R2466" i="12"/>
  <c r="R2468" i="12"/>
  <c r="R2470" i="12"/>
  <c r="R2472" i="12"/>
  <c r="R2474" i="12"/>
  <c r="R2476" i="12"/>
  <c r="R2478" i="12"/>
  <c r="R2480" i="12"/>
  <c r="R2482" i="12"/>
  <c r="R2484" i="12"/>
  <c r="R2486" i="12"/>
  <c r="R2488" i="12"/>
  <c r="R2490" i="12"/>
  <c r="R2492" i="12"/>
  <c r="R2494" i="12"/>
  <c r="R2496" i="12"/>
  <c r="R2498" i="12"/>
  <c r="R2500" i="12"/>
  <c r="R2502" i="12"/>
  <c r="R2504" i="12"/>
  <c r="R2506" i="12"/>
  <c r="R2508" i="12"/>
  <c r="R2510" i="12"/>
  <c r="R2512" i="12"/>
  <c r="R2514" i="12"/>
  <c r="R2516" i="12"/>
  <c r="R2518" i="12"/>
  <c r="R2520" i="12"/>
  <c r="R2522" i="12"/>
  <c r="R2524" i="12"/>
  <c r="R2526" i="12"/>
  <c r="R2528" i="12"/>
  <c r="R2530" i="12"/>
  <c r="R2532" i="12"/>
  <c r="R2534" i="12"/>
  <c r="R2536" i="12"/>
  <c r="R2538" i="12"/>
  <c r="R2540" i="12"/>
  <c r="R2542" i="12"/>
  <c r="R2544" i="12"/>
  <c r="R2546" i="12"/>
  <c r="R2548" i="12"/>
  <c r="R2550" i="12"/>
  <c r="R2552" i="12"/>
  <c r="R2554" i="12"/>
  <c r="R2556" i="12"/>
  <c r="R2558" i="12"/>
  <c r="R2560" i="12"/>
  <c r="R2562" i="12"/>
  <c r="R2564" i="12"/>
  <c r="R2566" i="12"/>
  <c r="R2568" i="12"/>
  <c r="R2570" i="12"/>
  <c r="R2572" i="12"/>
  <c r="R2574" i="12"/>
  <c r="R2576" i="12"/>
  <c r="R2578" i="12"/>
  <c r="R2580" i="12"/>
  <c r="R2582" i="12"/>
  <c r="R2584" i="12"/>
  <c r="R2586" i="12"/>
  <c r="R2588" i="12"/>
  <c r="R2590" i="12"/>
  <c r="R2592" i="12"/>
  <c r="R2594" i="12"/>
  <c r="R2596" i="12"/>
  <c r="R2598" i="12"/>
  <c r="R2600" i="12"/>
  <c r="R2602" i="12"/>
  <c r="R2604" i="12"/>
  <c r="R2606" i="12"/>
  <c r="R2608" i="12"/>
  <c r="R2610" i="12"/>
  <c r="R2612" i="12"/>
  <c r="R2614" i="12"/>
  <c r="R2616" i="12"/>
  <c r="R2618" i="12"/>
  <c r="R2620" i="12"/>
  <c r="R2622" i="12"/>
  <c r="R2624" i="12"/>
  <c r="R2626" i="12"/>
  <c r="R2628" i="12"/>
  <c r="R2630" i="12"/>
  <c r="R2632" i="12"/>
  <c r="R2634" i="12"/>
  <c r="R2636" i="12"/>
  <c r="R2638" i="12"/>
  <c r="R2640" i="12"/>
  <c r="R2642" i="12"/>
  <c r="R2644" i="12"/>
  <c r="R2646" i="12"/>
  <c r="R2648" i="12"/>
  <c r="R2650" i="12"/>
  <c r="R2652" i="12"/>
  <c r="R2654" i="12"/>
  <c r="R2656" i="12"/>
  <c r="R2658" i="12"/>
  <c r="R2660" i="12"/>
  <c r="R2662" i="12"/>
  <c r="R2664" i="12"/>
  <c r="R2666" i="12"/>
  <c r="R2668" i="12"/>
  <c r="R2670" i="12"/>
  <c r="R2672" i="12"/>
  <c r="R2674" i="12"/>
  <c r="R2676" i="12"/>
  <c r="R2678" i="12"/>
  <c r="R2680" i="12"/>
  <c r="R2682" i="12"/>
  <c r="R2684" i="12"/>
  <c r="R2686" i="12"/>
  <c r="R2688" i="12"/>
  <c r="R2690" i="12"/>
  <c r="R2692" i="12"/>
  <c r="R2694" i="12"/>
  <c r="R2696" i="12"/>
  <c r="R2698" i="12"/>
  <c r="R2700" i="12"/>
  <c r="R2702" i="12"/>
  <c r="R2704" i="12"/>
  <c r="R2706" i="12"/>
  <c r="R2708" i="12"/>
  <c r="R2710" i="12"/>
  <c r="R2712" i="12"/>
  <c r="R2714" i="12"/>
  <c r="R2716" i="12"/>
  <c r="R2718" i="12"/>
  <c r="R2720" i="12"/>
  <c r="R2722" i="12"/>
  <c r="R2724" i="12"/>
  <c r="R2726" i="12"/>
  <c r="R2728" i="12"/>
  <c r="R2730" i="12"/>
  <c r="R2732" i="12"/>
  <c r="R2734" i="12"/>
  <c r="R2736" i="12"/>
  <c r="R2738" i="12"/>
  <c r="R2740" i="12"/>
  <c r="R2742" i="12"/>
  <c r="R2744" i="12"/>
  <c r="R2746" i="12"/>
  <c r="R2748" i="12"/>
  <c r="R2750" i="12"/>
  <c r="R2752" i="12"/>
  <c r="R2754" i="12"/>
  <c r="R2756" i="12"/>
  <c r="R2758" i="12"/>
  <c r="R2760" i="12"/>
  <c r="R2762" i="12"/>
  <c r="R2764" i="12"/>
  <c r="R2766" i="12"/>
  <c r="R2768" i="12"/>
  <c r="R2770" i="12"/>
  <c r="R2772" i="12"/>
  <c r="R2774" i="12"/>
  <c r="R2776" i="12"/>
  <c r="R2778" i="12"/>
  <c r="R2780" i="12"/>
  <c r="R2782" i="12"/>
  <c r="R2784" i="12"/>
  <c r="R2786" i="12"/>
  <c r="R2788" i="12"/>
  <c r="R2790" i="12"/>
  <c r="R2792" i="12"/>
  <c r="R2794" i="12"/>
  <c r="R2796" i="12"/>
  <c r="R2798" i="12"/>
  <c r="R2800" i="12"/>
  <c r="R2802" i="12"/>
  <c r="R2804" i="12"/>
  <c r="R2806" i="12"/>
  <c r="R2808" i="12"/>
  <c r="R2810" i="12"/>
  <c r="R2812" i="12"/>
  <c r="R2814" i="12"/>
  <c r="R2816" i="12"/>
  <c r="R2818" i="12"/>
  <c r="R2820" i="12"/>
  <c r="R2822" i="12"/>
  <c r="R2824" i="12"/>
  <c r="R2826" i="12"/>
  <c r="R2828" i="12"/>
  <c r="R2830" i="12"/>
  <c r="R2832" i="12"/>
  <c r="R2834" i="12"/>
  <c r="R2836" i="12"/>
  <c r="R2838" i="12"/>
  <c r="R2840" i="12"/>
  <c r="R2842" i="12"/>
  <c r="R2844" i="12"/>
  <c r="R2846" i="12"/>
  <c r="R2848" i="12"/>
  <c r="R2850" i="12"/>
  <c r="R2852" i="12"/>
  <c r="R2854" i="12"/>
  <c r="R2856" i="12"/>
  <c r="R2858" i="12"/>
  <c r="R2860" i="12"/>
  <c r="R2862" i="12"/>
  <c r="R2864" i="12"/>
  <c r="R2866" i="12"/>
  <c r="R2868" i="12"/>
  <c r="R2870" i="12"/>
  <c r="R2872" i="12"/>
  <c r="R2874" i="12"/>
  <c r="R2876" i="12"/>
  <c r="R2878" i="12"/>
  <c r="R2880" i="12"/>
  <c r="R2882" i="12"/>
  <c r="R2884" i="12"/>
  <c r="R2886" i="12"/>
  <c r="R2888" i="12"/>
  <c r="R2890" i="12"/>
  <c r="R2892" i="12"/>
  <c r="R2894" i="12"/>
  <c r="R2896" i="12"/>
  <c r="R2898" i="12"/>
  <c r="R2900" i="12"/>
  <c r="R2902" i="12"/>
  <c r="R2904" i="12"/>
  <c r="R2906" i="12"/>
  <c r="R2908" i="12"/>
  <c r="R2910" i="12"/>
  <c r="R2912" i="12"/>
  <c r="R2914" i="12"/>
  <c r="R2916" i="12"/>
  <c r="R2918" i="12"/>
  <c r="R2920" i="12"/>
  <c r="R2922" i="12"/>
  <c r="R2924" i="12"/>
  <c r="R2926" i="12"/>
  <c r="R2928" i="12"/>
  <c r="R2930" i="12"/>
  <c r="R2931" i="12"/>
  <c r="R2933" i="12"/>
  <c r="R2935" i="12"/>
  <c r="R2937" i="12"/>
  <c r="R2939" i="12"/>
  <c r="R2941" i="12"/>
  <c r="R2943" i="12"/>
  <c r="R2945" i="12"/>
  <c r="R2947" i="12"/>
  <c r="R2949" i="12"/>
  <c r="R2951" i="12"/>
  <c r="R2953" i="12"/>
  <c r="R2955" i="12"/>
  <c r="R2957" i="12"/>
  <c r="R2959" i="12"/>
  <c r="R2961" i="12"/>
  <c r="R2963" i="12"/>
  <c r="R2965" i="12"/>
  <c r="R2967" i="12"/>
  <c r="R2969" i="12"/>
  <c r="R2971" i="12"/>
  <c r="R2973" i="12"/>
  <c r="R2975" i="12"/>
  <c r="R2977" i="12"/>
  <c r="R2979" i="12"/>
  <c r="R2981" i="12"/>
  <c r="R2983" i="12"/>
  <c r="R2985" i="12"/>
  <c r="R2987" i="12"/>
  <c r="R2989" i="12"/>
  <c r="R2991" i="12"/>
  <c r="R2993" i="12"/>
  <c r="R2995" i="12"/>
  <c r="R2997" i="12"/>
  <c r="R2999" i="12"/>
  <c r="R3001" i="12"/>
  <c r="R3003" i="12"/>
  <c r="R3005" i="12"/>
  <c r="R3007" i="12"/>
  <c r="R3009" i="12"/>
  <c r="R3011" i="12"/>
  <c r="R3013" i="12"/>
  <c r="R3015" i="12"/>
  <c r="R3017" i="12"/>
  <c r="R3019" i="12"/>
  <c r="R3021" i="12"/>
  <c r="R3023" i="12"/>
  <c r="R3025" i="12"/>
  <c r="R3027" i="12"/>
  <c r="R3029" i="12"/>
  <c r="R3031" i="12"/>
  <c r="R3033" i="12"/>
  <c r="R3035" i="12"/>
  <c r="R3037" i="12"/>
  <c r="R3039" i="12"/>
  <c r="R3041" i="12"/>
  <c r="R3043" i="12"/>
  <c r="R3045" i="12"/>
  <c r="R3047" i="12"/>
  <c r="R3049" i="12"/>
  <c r="R3051" i="12"/>
  <c r="R3053" i="12"/>
  <c r="R3055" i="12"/>
  <c r="R3057" i="12"/>
  <c r="R3059" i="12"/>
  <c r="R3061" i="12"/>
  <c r="R3063" i="12"/>
  <c r="R3065" i="12"/>
  <c r="R3067" i="12"/>
  <c r="R3069" i="12"/>
  <c r="R3071" i="12"/>
  <c r="R3073" i="12"/>
  <c r="R3075" i="12"/>
  <c r="R3077" i="12"/>
  <c r="R3079" i="12"/>
  <c r="R3081" i="12"/>
  <c r="R3083" i="12"/>
  <c r="R3085" i="12"/>
  <c r="R3087" i="12"/>
  <c r="R3089" i="12"/>
  <c r="R3091" i="12"/>
  <c r="R3093" i="12"/>
  <c r="R3095" i="12"/>
  <c r="R3097" i="12"/>
  <c r="R3099" i="12"/>
  <c r="R3101" i="12"/>
  <c r="R3103" i="12"/>
  <c r="R3105" i="12"/>
  <c r="R3107" i="12"/>
  <c r="R3109" i="12"/>
  <c r="R3111" i="12"/>
  <c r="R3113" i="12"/>
  <c r="R3115" i="12"/>
  <c r="R3117" i="12"/>
  <c r="R3119" i="12"/>
  <c r="R3121" i="12"/>
  <c r="R3123" i="12"/>
  <c r="R3125" i="12"/>
  <c r="R3127" i="12"/>
  <c r="R3129" i="12"/>
  <c r="R3131" i="12"/>
  <c r="R3133" i="12"/>
  <c r="R3135" i="12"/>
  <c r="R3137" i="12"/>
  <c r="R3139" i="12"/>
  <c r="R3141" i="12"/>
  <c r="R3143" i="12"/>
  <c r="R3145" i="12"/>
  <c r="R3147" i="12"/>
  <c r="R3149" i="12"/>
  <c r="R3151" i="12"/>
  <c r="R3153" i="12"/>
  <c r="R3155" i="12"/>
  <c r="R3157" i="12"/>
  <c r="R3159" i="12"/>
  <c r="R3161" i="12"/>
  <c r="R3163" i="12"/>
  <c r="R3165" i="12"/>
  <c r="R3167" i="12"/>
  <c r="R3169" i="12"/>
  <c r="R3171" i="12"/>
  <c r="R3173" i="12"/>
  <c r="R3175" i="12"/>
  <c r="R3177" i="12"/>
  <c r="R3179" i="12"/>
  <c r="R3181" i="12"/>
  <c r="R3183" i="12"/>
  <c r="R3185" i="12"/>
  <c r="R3187" i="12"/>
  <c r="R3189" i="12"/>
  <c r="R3191" i="12"/>
  <c r="R3193" i="12"/>
  <c r="R3195" i="12"/>
  <c r="R3197" i="12"/>
  <c r="R3199" i="12"/>
  <c r="R3201" i="12"/>
  <c r="R3203" i="12"/>
  <c r="R3205" i="12"/>
  <c r="R3207" i="12"/>
  <c r="R3209" i="12"/>
  <c r="R3211" i="12"/>
  <c r="R3213" i="12"/>
  <c r="R3215" i="12"/>
  <c r="R3217" i="12"/>
  <c r="R3219" i="12"/>
  <c r="R3221" i="12"/>
  <c r="R3223" i="12"/>
  <c r="R3225" i="12"/>
  <c r="R3227" i="12"/>
  <c r="R3229" i="12"/>
  <c r="R3231" i="12"/>
  <c r="R3233" i="12"/>
  <c r="R3235" i="12"/>
  <c r="R3237" i="12"/>
  <c r="R3239" i="12"/>
  <c r="R3241" i="12"/>
  <c r="R3243" i="12"/>
  <c r="R3245" i="12"/>
  <c r="R3247" i="12"/>
  <c r="R3249" i="12"/>
  <c r="R3251" i="12"/>
  <c r="R3253" i="12"/>
  <c r="R3255" i="12"/>
  <c r="R3257" i="12"/>
  <c r="R3259" i="12"/>
  <c r="R3261" i="12"/>
  <c r="R3263" i="12"/>
  <c r="R3265" i="12"/>
  <c r="R3267" i="12"/>
  <c r="R3269" i="12"/>
  <c r="R3271" i="12"/>
  <c r="R3273" i="12"/>
  <c r="R3275" i="12"/>
  <c r="R3277" i="12"/>
  <c r="R3279" i="12"/>
  <c r="R3281" i="12"/>
  <c r="R3283" i="12"/>
  <c r="R3285" i="12"/>
  <c r="R3287" i="12"/>
  <c r="R3289" i="12"/>
  <c r="R3291" i="12"/>
  <c r="R3293" i="12"/>
  <c r="R3295" i="12"/>
  <c r="R3297" i="12"/>
  <c r="R3299" i="12"/>
  <c r="R3301" i="12"/>
  <c r="R3303" i="12"/>
  <c r="R3305" i="12"/>
  <c r="R3307" i="12"/>
  <c r="R3309" i="12"/>
  <c r="R3311" i="12"/>
  <c r="R3313" i="12"/>
  <c r="R3315" i="12"/>
  <c r="R3317" i="12"/>
  <c r="R3319" i="12"/>
  <c r="R3321" i="12"/>
  <c r="R3323" i="12"/>
  <c r="R3325" i="12"/>
  <c r="R3327" i="12"/>
  <c r="R3329" i="12"/>
  <c r="R3331" i="12"/>
  <c r="R3333" i="12"/>
  <c r="R3335" i="12"/>
  <c r="R3337" i="12"/>
  <c r="R3339" i="12"/>
  <c r="R3341" i="12"/>
  <c r="R3343" i="12"/>
  <c r="R3345" i="12"/>
  <c r="R3347" i="12"/>
  <c r="R3349" i="12"/>
  <c r="R3351" i="12"/>
  <c r="R3353" i="12"/>
  <c r="R3355" i="12"/>
  <c r="R3357" i="12"/>
  <c r="R3359" i="12"/>
  <c r="R3361" i="12"/>
  <c r="R3363" i="12"/>
  <c r="R3365" i="12"/>
  <c r="R3367" i="12"/>
  <c r="R3369" i="12"/>
  <c r="R3371" i="12"/>
  <c r="R3373" i="12"/>
  <c r="R3375" i="12"/>
  <c r="R3377" i="12"/>
  <c r="R3379" i="12"/>
  <c r="R3381" i="12"/>
  <c r="R3383" i="12"/>
  <c r="R3385" i="12"/>
  <c r="R3387" i="12"/>
  <c r="R3389" i="12"/>
  <c r="R3391" i="12"/>
  <c r="R3393" i="12"/>
  <c r="R3395" i="12"/>
  <c r="R3397" i="12"/>
  <c r="R3399" i="12"/>
  <c r="R3401" i="12"/>
  <c r="R3403" i="12"/>
  <c r="R3405" i="12"/>
  <c r="R3407" i="12"/>
  <c r="R3409" i="12"/>
  <c r="R3411" i="12"/>
  <c r="R3413" i="12"/>
  <c r="R3415" i="12"/>
  <c r="R3417" i="12"/>
  <c r="R3419" i="12"/>
  <c r="R3421" i="12"/>
  <c r="R3423" i="12"/>
  <c r="R3425" i="12"/>
  <c r="R3427" i="12"/>
  <c r="R3429" i="12"/>
  <c r="R3431" i="12"/>
  <c r="R3433" i="12"/>
  <c r="R3435" i="12"/>
  <c r="R3437" i="12"/>
  <c r="R3439" i="12"/>
  <c r="R3441" i="12"/>
  <c r="R3443" i="12"/>
  <c r="R3445" i="12"/>
  <c r="R3447" i="12"/>
  <c r="R3449" i="12"/>
  <c r="R3451" i="12"/>
  <c r="R3453" i="12"/>
  <c r="R3455" i="12"/>
  <c r="R3457" i="12"/>
  <c r="R3459" i="12"/>
  <c r="R3461" i="12"/>
  <c r="R3463" i="12"/>
  <c r="R3465" i="12"/>
  <c r="R3467" i="12"/>
  <c r="R3469" i="12"/>
  <c r="R3471" i="12"/>
  <c r="R3473" i="12"/>
  <c r="R3475" i="12"/>
  <c r="R3477" i="12"/>
  <c r="R3479" i="12"/>
  <c r="R3481" i="12"/>
  <c r="R3483" i="12"/>
  <c r="R3485" i="12"/>
  <c r="R3487" i="12"/>
  <c r="R3489" i="12"/>
  <c r="R3491" i="12"/>
  <c r="R3493" i="12"/>
  <c r="R3495" i="12"/>
  <c r="R3497" i="12"/>
  <c r="R3499" i="12"/>
  <c r="R3501" i="12"/>
  <c r="R3503" i="12"/>
  <c r="R3505" i="12"/>
  <c r="R3507" i="12"/>
  <c r="R3509" i="12"/>
  <c r="R3511" i="12"/>
  <c r="R3513" i="12"/>
  <c r="R3515" i="12"/>
  <c r="R3517" i="12"/>
  <c r="R3519" i="12"/>
  <c r="R3521" i="12"/>
  <c r="R3523" i="12"/>
  <c r="R3525" i="12"/>
  <c r="R3527" i="12"/>
  <c r="R3529" i="12"/>
  <c r="R3531" i="12"/>
  <c r="R3533" i="12"/>
  <c r="R3535" i="12"/>
  <c r="R3537" i="12"/>
  <c r="R3539" i="12"/>
  <c r="R3541" i="12"/>
  <c r="R3543" i="12"/>
  <c r="R3545" i="12"/>
  <c r="R3547" i="12"/>
  <c r="R3549" i="12"/>
  <c r="R3551" i="12"/>
  <c r="R3553" i="12"/>
  <c r="R3555" i="12"/>
  <c r="R3557" i="12"/>
  <c r="R3559" i="12"/>
  <c r="R3561" i="12"/>
  <c r="R3563" i="12"/>
  <c r="R3565" i="12"/>
  <c r="R3567" i="12"/>
  <c r="R3569" i="12"/>
  <c r="R3571" i="12"/>
  <c r="R3573" i="12"/>
  <c r="R3575" i="12"/>
  <c r="R3577" i="12"/>
  <c r="R3579" i="12"/>
  <c r="R3581" i="12"/>
  <c r="R3583" i="12"/>
  <c r="R3585" i="12"/>
  <c r="R3587" i="12"/>
  <c r="R3589" i="12"/>
  <c r="R3591" i="12"/>
  <c r="R3593" i="12"/>
  <c r="R3595" i="12"/>
  <c r="R3597" i="12"/>
  <c r="R3599" i="12"/>
  <c r="R3601" i="12"/>
  <c r="R3603" i="12"/>
  <c r="R3605" i="12"/>
  <c r="R3607" i="12"/>
  <c r="U10" i="12"/>
  <c r="U12" i="12"/>
  <c r="U14" i="12"/>
  <c r="U16" i="12"/>
  <c r="U18" i="12"/>
  <c r="U20" i="12"/>
  <c r="U22" i="12"/>
  <c r="U24" i="12"/>
  <c r="U26" i="12"/>
  <c r="U28" i="12"/>
  <c r="U30" i="12"/>
  <c r="U32" i="12"/>
  <c r="U34" i="12"/>
  <c r="U36" i="12"/>
  <c r="U38" i="12"/>
  <c r="U40" i="12"/>
  <c r="U42" i="12"/>
  <c r="U44" i="12"/>
  <c r="U46" i="12"/>
  <c r="U48" i="12"/>
  <c r="U50" i="12"/>
  <c r="U52" i="12"/>
  <c r="U54" i="12"/>
  <c r="U56" i="12"/>
  <c r="U58" i="12"/>
  <c r="U60" i="12"/>
  <c r="U62" i="12"/>
  <c r="U64" i="12"/>
  <c r="U66" i="12"/>
  <c r="U68" i="12"/>
  <c r="U70" i="12"/>
  <c r="U72" i="12"/>
  <c r="U74" i="12"/>
  <c r="U76" i="12"/>
  <c r="U78" i="12"/>
  <c r="U80" i="12"/>
  <c r="U82" i="12"/>
  <c r="U84" i="12"/>
  <c r="U86" i="12"/>
  <c r="U88" i="12"/>
  <c r="U90" i="12"/>
  <c r="U92" i="12"/>
  <c r="U94" i="12"/>
  <c r="U96" i="12"/>
  <c r="U98" i="12"/>
  <c r="U100" i="12"/>
  <c r="U102" i="12"/>
  <c r="U104" i="12"/>
  <c r="U106" i="12"/>
  <c r="U108" i="12"/>
  <c r="U110" i="12"/>
  <c r="U112" i="12"/>
  <c r="U114" i="12"/>
  <c r="U116" i="12"/>
  <c r="U118" i="12"/>
  <c r="U120" i="12"/>
  <c r="U122" i="12"/>
  <c r="U124" i="12"/>
  <c r="U126" i="12"/>
  <c r="U128" i="12"/>
  <c r="U130" i="12"/>
  <c r="U132" i="12"/>
  <c r="U134" i="12"/>
  <c r="U136" i="12"/>
  <c r="U138" i="12"/>
  <c r="U140" i="12"/>
  <c r="U142" i="12"/>
  <c r="U144" i="12"/>
  <c r="U146" i="12"/>
  <c r="U148" i="12"/>
  <c r="U150" i="12"/>
  <c r="U152" i="12"/>
  <c r="U154" i="12"/>
  <c r="U156" i="12"/>
  <c r="U158" i="12"/>
  <c r="U160" i="12"/>
  <c r="U162" i="12"/>
  <c r="U164" i="12"/>
  <c r="U166" i="12"/>
  <c r="U168" i="12"/>
  <c r="U170" i="12"/>
  <c r="U172" i="12"/>
  <c r="U174" i="12"/>
  <c r="U176" i="12"/>
  <c r="U178" i="12"/>
  <c r="U180" i="12"/>
  <c r="U182" i="12"/>
  <c r="U184" i="12"/>
  <c r="U186" i="12"/>
  <c r="U188" i="12"/>
  <c r="U190" i="12"/>
  <c r="U192" i="12"/>
  <c r="U194" i="12"/>
  <c r="U196" i="12"/>
  <c r="U198" i="12"/>
  <c r="U200" i="12"/>
  <c r="U202" i="12"/>
  <c r="U204" i="12"/>
  <c r="U206" i="12"/>
  <c r="U208" i="12"/>
  <c r="U210" i="12"/>
  <c r="U212" i="12"/>
  <c r="U214" i="12"/>
  <c r="U216" i="12"/>
  <c r="U218" i="12"/>
  <c r="U220" i="12"/>
  <c r="U222" i="12"/>
  <c r="U224" i="12"/>
  <c r="U226" i="12"/>
  <c r="U228" i="12"/>
  <c r="U230" i="12"/>
  <c r="U232" i="12"/>
  <c r="U234" i="12"/>
  <c r="U236" i="12"/>
  <c r="U238" i="12"/>
  <c r="U240" i="12"/>
  <c r="U242" i="12"/>
  <c r="U244" i="12"/>
  <c r="U246" i="12"/>
  <c r="U248" i="12"/>
  <c r="U250" i="12"/>
  <c r="U252" i="12"/>
  <c r="U254" i="12"/>
  <c r="U256" i="12"/>
  <c r="U258" i="12"/>
  <c r="U260" i="12"/>
  <c r="U262" i="12"/>
  <c r="U264" i="12"/>
  <c r="U266" i="12"/>
  <c r="U268" i="12"/>
  <c r="U270" i="12"/>
  <c r="U272" i="12"/>
  <c r="U274" i="12"/>
  <c r="U276" i="12"/>
  <c r="U278" i="12"/>
  <c r="U280" i="12"/>
  <c r="U282" i="12"/>
  <c r="U284" i="12"/>
  <c r="U286" i="12"/>
  <c r="U288" i="12"/>
  <c r="U290" i="12"/>
  <c r="U292" i="12"/>
  <c r="U294" i="12"/>
  <c r="U296" i="12"/>
  <c r="U298" i="12"/>
  <c r="U300" i="12"/>
  <c r="U302" i="12"/>
  <c r="U304" i="12"/>
  <c r="U306" i="12"/>
  <c r="U308" i="12"/>
  <c r="U310" i="12"/>
  <c r="U312" i="12"/>
  <c r="U314" i="12"/>
  <c r="U316" i="12"/>
  <c r="U318" i="12"/>
  <c r="U320" i="12"/>
  <c r="U322" i="12"/>
  <c r="U324" i="12"/>
  <c r="U326" i="12"/>
  <c r="U328" i="12"/>
  <c r="U330" i="12"/>
  <c r="U332" i="12"/>
  <c r="U334" i="12"/>
  <c r="U336" i="12"/>
  <c r="U338" i="12"/>
  <c r="U340" i="12"/>
  <c r="U342" i="12"/>
  <c r="U344" i="12"/>
  <c r="U346" i="12"/>
  <c r="U348" i="12"/>
  <c r="U350" i="12"/>
  <c r="U352" i="12"/>
  <c r="U354" i="12"/>
  <c r="U356" i="12"/>
  <c r="U358" i="12"/>
  <c r="U360" i="12"/>
  <c r="U362" i="12"/>
  <c r="U364" i="12"/>
  <c r="U366" i="12"/>
  <c r="U368" i="12"/>
  <c r="U370" i="12"/>
  <c r="U372" i="12"/>
  <c r="U374" i="12"/>
  <c r="U376" i="12"/>
  <c r="U378" i="12"/>
  <c r="U380" i="12"/>
  <c r="U382" i="12"/>
  <c r="U384" i="12"/>
  <c r="U386" i="12"/>
  <c r="U388" i="12"/>
  <c r="U390" i="12"/>
  <c r="U392" i="12"/>
  <c r="U394" i="12"/>
  <c r="U396" i="12"/>
  <c r="U398" i="12"/>
  <c r="U400" i="12"/>
  <c r="U402" i="12"/>
  <c r="U404" i="12"/>
  <c r="U406" i="12"/>
  <c r="U408" i="12"/>
  <c r="U410" i="12"/>
  <c r="U412" i="12"/>
  <c r="U414" i="12"/>
  <c r="U416" i="12"/>
  <c r="U418" i="12"/>
  <c r="U420" i="12"/>
  <c r="U422" i="12"/>
  <c r="U424" i="12"/>
  <c r="U426" i="12"/>
  <c r="U428" i="12"/>
  <c r="U430" i="12"/>
  <c r="U432" i="12"/>
  <c r="U434" i="12"/>
  <c r="U436" i="12"/>
  <c r="U438" i="12"/>
  <c r="U440" i="12"/>
  <c r="U442" i="12"/>
  <c r="U444" i="12"/>
  <c r="U446" i="12"/>
  <c r="U448" i="12"/>
  <c r="U450" i="12"/>
  <c r="U452" i="12"/>
  <c r="U454" i="12"/>
  <c r="U456" i="12"/>
  <c r="U458" i="12"/>
  <c r="U460" i="12"/>
  <c r="U462" i="12"/>
  <c r="U464" i="12"/>
  <c r="U466" i="12"/>
  <c r="U468" i="12"/>
  <c r="U470" i="12"/>
  <c r="U472" i="12"/>
  <c r="U474" i="12"/>
  <c r="U476" i="12"/>
  <c r="U478" i="12"/>
  <c r="U480" i="12"/>
  <c r="U482" i="12"/>
  <c r="U484" i="12"/>
  <c r="U486" i="12"/>
  <c r="U488" i="12"/>
  <c r="U490" i="12"/>
  <c r="U492" i="12"/>
  <c r="U494" i="12"/>
  <c r="U496" i="12"/>
  <c r="U498" i="12"/>
  <c r="U500" i="12"/>
  <c r="U502" i="12"/>
  <c r="U504" i="12"/>
  <c r="U506" i="12"/>
  <c r="U508" i="12"/>
  <c r="U510" i="12"/>
  <c r="U512" i="12"/>
  <c r="U514" i="12"/>
  <c r="U516" i="12"/>
  <c r="U518" i="12"/>
  <c r="U520" i="12"/>
  <c r="U522" i="12"/>
  <c r="U524" i="12"/>
  <c r="U526" i="12"/>
  <c r="U528" i="12"/>
  <c r="U530" i="12"/>
  <c r="U532" i="12"/>
  <c r="U534" i="12"/>
  <c r="U536" i="12"/>
  <c r="U538" i="12"/>
  <c r="U540" i="12"/>
  <c r="U542" i="12"/>
  <c r="U544" i="12"/>
  <c r="U546" i="12"/>
  <c r="U548" i="12"/>
  <c r="U550" i="12"/>
  <c r="U552" i="12"/>
  <c r="U554" i="12"/>
  <c r="U556" i="12"/>
  <c r="U558" i="12"/>
  <c r="U560" i="12"/>
  <c r="U562" i="12"/>
  <c r="U564" i="12"/>
  <c r="U566" i="12"/>
  <c r="U568" i="12"/>
  <c r="U570" i="12"/>
  <c r="U572" i="12"/>
  <c r="U574" i="12"/>
  <c r="U576" i="12"/>
  <c r="U578" i="12"/>
  <c r="U580" i="12"/>
  <c r="U582" i="12"/>
  <c r="U584" i="12"/>
  <c r="U586" i="12"/>
  <c r="U588" i="12"/>
  <c r="U590" i="12"/>
  <c r="U592" i="12"/>
  <c r="U594" i="12"/>
  <c r="U596" i="12"/>
  <c r="U598" i="12"/>
  <c r="U600" i="12"/>
  <c r="U602" i="12"/>
  <c r="U604" i="12"/>
  <c r="U606" i="12"/>
  <c r="U608" i="12"/>
  <c r="U610" i="12"/>
  <c r="U612" i="12"/>
  <c r="U614" i="12"/>
  <c r="U616" i="12"/>
  <c r="U618" i="12"/>
  <c r="U620" i="12"/>
  <c r="U622" i="12"/>
  <c r="U624" i="12"/>
  <c r="U626" i="12"/>
  <c r="U628" i="12"/>
  <c r="U630" i="12"/>
  <c r="U632" i="12"/>
  <c r="U634" i="12"/>
  <c r="U645" i="12"/>
  <c r="U647" i="12"/>
  <c r="U649" i="12"/>
  <c r="U651" i="12"/>
  <c r="U653" i="12"/>
  <c r="U655" i="12"/>
  <c r="U657" i="12"/>
  <c r="U659" i="12"/>
  <c r="U661" i="12"/>
  <c r="U663" i="12"/>
  <c r="U665" i="12"/>
  <c r="U667" i="12"/>
  <c r="U669" i="12"/>
  <c r="U671" i="12"/>
  <c r="U673" i="12"/>
  <c r="U675" i="12"/>
  <c r="U677" i="12"/>
  <c r="U679" i="12"/>
  <c r="U681" i="12"/>
  <c r="U683" i="12"/>
  <c r="U685" i="12"/>
  <c r="U687" i="12"/>
  <c r="U689" i="12"/>
  <c r="U691" i="12"/>
  <c r="U693" i="12"/>
  <c r="U695" i="12"/>
  <c r="U697" i="12"/>
  <c r="U699" i="12"/>
  <c r="U701" i="12"/>
  <c r="U703" i="12"/>
  <c r="U705" i="12"/>
  <c r="U707" i="12"/>
  <c r="U709" i="12"/>
  <c r="U711" i="12"/>
  <c r="U713" i="12"/>
  <c r="U715" i="12"/>
  <c r="U717" i="12"/>
  <c r="U719" i="12"/>
  <c r="U721" i="12"/>
  <c r="U723" i="12"/>
  <c r="U725" i="12"/>
  <c r="U727" i="12"/>
  <c r="U729" i="12"/>
  <c r="U731" i="12"/>
  <c r="U733" i="12"/>
  <c r="U735" i="12"/>
  <c r="U737" i="12"/>
  <c r="U739" i="12"/>
  <c r="U741" i="12"/>
  <c r="U743" i="12"/>
  <c r="U745" i="12"/>
  <c r="U747" i="12"/>
  <c r="U749" i="12"/>
  <c r="U751" i="12"/>
  <c r="U753" i="12"/>
  <c r="U755" i="12"/>
  <c r="U757" i="12"/>
  <c r="U759" i="12"/>
  <c r="U761" i="12"/>
  <c r="U763" i="12"/>
  <c r="U765" i="12"/>
  <c r="U767" i="12"/>
  <c r="U769" i="12"/>
  <c r="U771" i="12"/>
  <c r="U773" i="12"/>
  <c r="U775" i="12"/>
  <c r="U777" i="12"/>
  <c r="U779" i="12"/>
  <c r="U781" i="12"/>
  <c r="U783" i="12"/>
  <c r="U785" i="12"/>
  <c r="U787" i="12"/>
  <c r="U789" i="12"/>
  <c r="U791" i="12"/>
  <c r="U793" i="12"/>
  <c r="U795" i="12"/>
  <c r="U797" i="12"/>
  <c r="U799" i="12"/>
  <c r="U801" i="12"/>
  <c r="U803" i="12"/>
  <c r="U805" i="12"/>
  <c r="U807" i="12"/>
  <c r="U809" i="12"/>
  <c r="U811" i="12"/>
  <c r="U813" i="12"/>
  <c r="U815" i="12"/>
  <c r="U817" i="12"/>
  <c r="U819" i="12"/>
  <c r="U821" i="12"/>
  <c r="U823" i="12"/>
  <c r="U825" i="12"/>
  <c r="U827" i="12"/>
  <c r="U829" i="12"/>
  <c r="U831" i="12"/>
  <c r="U833" i="12"/>
  <c r="U835" i="12"/>
  <c r="U837" i="12"/>
  <c r="U839" i="12"/>
  <c r="U841" i="12"/>
  <c r="U843" i="12"/>
  <c r="U845" i="12"/>
  <c r="U847" i="12"/>
  <c r="U849" i="12"/>
  <c r="U851" i="12"/>
  <c r="U853" i="12"/>
  <c r="U855" i="12"/>
  <c r="U857" i="12"/>
  <c r="U859" i="12"/>
  <c r="U861" i="12"/>
  <c r="U863" i="12"/>
  <c r="U865" i="12"/>
  <c r="U867" i="12"/>
  <c r="U869" i="12"/>
  <c r="U871" i="12"/>
  <c r="U873" i="12"/>
  <c r="U875" i="12"/>
  <c r="U877" i="12"/>
  <c r="U879" i="12"/>
  <c r="U881" i="12"/>
  <c r="U883" i="12"/>
  <c r="U885" i="12"/>
  <c r="U887" i="12"/>
  <c r="U889" i="12"/>
  <c r="U891" i="12"/>
  <c r="U893" i="12"/>
  <c r="U635" i="12"/>
  <c r="U637" i="12"/>
  <c r="U639" i="12"/>
  <c r="U641" i="12"/>
  <c r="U643" i="12"/>
  <c r="U903" i="12"/>
  <c r="U905" i="12"/>
  <c r="U907" i="12"/>
  <c r="U909" i="12"/>
  <c r="U911" i="12"/>
  <c r="U913" i="12"/>
  <c r="U915" i="12"/>
  <c r="U917" i="12"/>
  <c r="U919" i="12"/>
  <c r="U921" i="12"/>
  <c r="U923" i="12"/>
  <c r="U925" i="12"/>
  <c r="U927" i="12"/>
  <c r="U929" i="12"/>
  <c r="U931" i="12"/>
  <c r="U933" i="12"/>
  <c r="U935" i="12"/>
  <c r="U937" i="12"/>
  <c r="U939" i="12"/>
  <c r="U941" i="12"/>
  <c r="U943" i="12"/>
  <c r="U945" i="12"/>
  <c r="U947" i="12"/>
  <c r="U949" i="12"/>
  <c r="U951" i="12"/>
  <c r="U953" i="12"/>
  <c r="U955" i="12"/>
  <c r="U957" i="12"/>
  <c r="U959" i="12"/>
  <c r="U961" i="12"/>
  <c r="U963" i="12"/>
  <c r="U965" i="12"/>
  <c r="U967" i="12"/>
  <c r="U969" i="12"/>
  <c r="U971" i="12"/>
  <c r="U973" i="12"/>
  <c r="U975" i="12"/>
  <c r="U977" i="12"/>
  <c r="U979" i="12"/>
  <c r="U981" i="12"/>
  <c r="U983" i="12"/>
  <c r="U985" i="12"/>
  <c r="U987" i="12"/>
  <c r="U989" i="12"/>
  <c r="U991" i="12"/>
  <c r="U993" i="12"/>
  <c r="U995" i="12"/>
  <c r="U997" i="12"/>
  <c r="U999" i="12"/>
  <c r="U1001" i="12"/>
  <c r="U1003" i="12"/>
  <c r="U1005" i="12"/>
  <c r="U1007" i="12"/>
  <c r="U1009" i="12"/>
  <c r="U1011" i="12"/>
  <c r="U1013" i="12"/>
  <c r="U1015" i="12"/>
  <c r="U1017" i="12"/>
  <c r="U1019" i="12"/>
  <c r="U1021" i="12"/>
  <c r="U1023" i="12"/>
  <c r="U1025" i="12"/>
  <c r="U1027" i="12"/>
  <c r="U1029" i="12"/>
  <c r="U1031" i="12"/>
  <c r="U1033" i="12"/>
  <c r="U1035" i="12"/>
  <c r="U1037" i="12"/>
  <c r="U1039" i="12"/>
  <c r="U1041" i="12"/>
  <c r="U1043" i="12"/>
  <c r="U1045" i="12"/>
  <c r="U1047" i="12"/>
  <c r="U1049" i="12"/>
  <c r="U1051" i="12"/>
  <c r="U1053" i="12"/>
  <c r="U1055" i="12"/>
  <c r="U1057" i="12"/>
  <c r="U1059" i="12"/>
  <c r="U1061" i="12"/>
  <c r="U1063" i="12"/>
  <c r="U1065" i="12"/>
  <c r="U1067" i="12"/>
  <c r="U1069" i="12"/>
  <c r="U1071" i="12"/>
  <c r="U1073" i="12"/>
  <c r="U1075" i="12"/>
  <c r="U1077" i="12"/>
  <c r="U1079" i="12"/>
  <c r="U1081" i="12"/>
  <c r="U1083" i="12"/>
  <c r="U1085" i="12"/>
  <c r="U1087" i="12"/>
  <c r="U1089" i="12"/>
  <c r="U1091" i="12"/>
  <c r="U1093" i="12"/>
  <c r="U1095" i="12"/>
  <c r="U1097" i="12"/>
  <c r="U1099" i="12"/>
  <c r="U1101" i="12"/>
  <c r="U1103" i="12"/>
  <c r="U1105" i="12"/>
  <c r="U1107" i="12"/>
  <c r="U1109" i="12"/>
  <c r="U1111" i="12"/>
  <c r="U1113" i="12"/>
  <c r="U1115" i="12"/>
  <c r="U1117" i="12"/>
  <c r="U1119" i="12"/>
  <c r="U1121" i="12"/>
  <c r="U1123" i="12"/>
  <c r="U1125" i="12"/>
  <c r="U1127" i="12"/>
  <c r="U1129" i="12"/>
  <c r="U1131" i="12"/>
  <c r="U1133" i="12"/>
  <c r="U1135" i="12"/>
  <c r="U1137" i="12"/>
  <c r="U1139" i="12"/>
  <c r="U1141" i="12"/>
  <c r="U1143" i="12"/>
  <c r="U1145" i="12"/>
  <c r="U1147" i="12"/>
  <c r="U1149" i="12"/>
  <c r="U1151" i="12"/>
  <c r="U1153" i="12"/>
  <c r="U1155" i="12"/>
  <c r="U1157" i="12"/>
  <c r="U1159" i="12"/>
  <c r="U1161" i="12"/>
  <c r="U1163" i="12"/>
  <c r="U1165" i="12"/>
  <c r="U1167" i="12"/>
  <c r="U1169" i="12"/>
  <c r="U1171" i="12"/>
  <c r="U1173" i="12"/>
  <c r="U1175" i="12"/>
  <c r="U1177" i="12"/>
  <c r="U1179" i="12"/>
  <c r="U1181" i="12"/>
  <c r="U1183" i="12"/>
  <c r="U1185" i="12"/>
  <c r="U1187" i="12"/>
  <c r="U1189" i="12"/>
  <c r="U1191" i="12"/>
  <c r="U1193" i="12"/>
  <c r="U1195" i="12"/>
  <c r="U1197" i="12"/>
  <c r="U1199" i="12"/>
  <c r="U1201" i="12"/>
  <c r="U1203" i="12"/>
  <c r="U1205" i="12"/>
  <c r="U1207" i="12"/>
  <c r="U1209" i="12"/>
  <c r="U1211" i="12"/>
  <c r="U1213" i="12"/>
  <c r="U1215" i="12"/>
  <c r="U1217" i="12"/>
  <c r="U1219" i="12"/>
  <c r="U1221" i="12"/>
  <c r="U1223" i="12"/>
  <c r="U1225" i="12"/>
  <c r="U1227" i="12"/>
  <c r="U1229" i="12"/>
  <c r="U1231" i="12"/>
  <c r="U1233" i="12"/>
  <c r="U1235" i="12"/>
  <c r="U1237" i="12"/>
  <c r="U1239" i="12"/>
  <c r="U1241" i="12"/>
  <c r="U1243" i="12"/>
  <c r="U1245" i="12"/>
  <c r="U1247" i="12"/>
  <c r="U1249" i="12"/>
  <c r="U1251" i="12"/>
  <c r="U1253" i="12"/>
  <c r="U1255" i="12"/>
  <c r="U1257" i="12"/>
  <c r="U1259" i="12"/>
  <c r="U1261" i="12"/>
  <c r="U1263" i="12"/>
  <c r="U1265" i="12"/>
  <c r="U1267" i="12"/>
  <c r="U1269" i="12"/>
  <c r="U1271" i="12"/>
  <c r="U1273" i="12"/>
  <c r="U1275" i="12"/>
  <c r="U1277" i="12"/>
  <c r="U1279" i="12"/>
  <c r="U1281" i="12"/>
  <c r="U1283" i="12"/>
  <c r="U1285" i="12"/>
  <c r="U1287" i="12"/>
  <c r="U1289" i="12"/>
  <c r="U1291" i="12"/>
  <c r="U1293" i="12"/>
  <c r="U1295" i="12"/>
  <c r="U1297" i="12"/>
  <c r="U1299" i="12"/>
  <c r="U1301" i="12"/>
  <c r="U1303" i="12"/>
  <c r="U1305" i="12"/>
  <c r="U1307" i="12"/>
  <c r="U1309" i="12"/>
  <c r="U1311" i="12"/>
  <c r="U1313" i="12"/>
  <c r="U1315" i="12"/>
  <c r="U1317" i="12"/>
  <c r="U1319" i="12"/>
  <c r="U1321" i="12"/>
  <c r="U1323" i="12"/>
  <c r="U1325" i="12"/>
  <c r="U1327" i="12"/>
  <c r="U1329" i="12"/>
  <c r="U1331" i="12"/>
  <c r="U1333" i="12"/>
  <c r="U1335" i="12"/>
  <c r="U1337" i="12"/>
  <c r="U1339" i="12"/>
  <c r="U1341" i="12"/>
  <c r="U1343" i="12"/>
  <c r="U1345" i="12"/>
  <c r="U1347" i="12"/>
  <c r="U1349" i="12"/>
  <c r="U1351" i="12"/>
  <c r="U1353" i="12"/>
  <c r="U1355" i="12"/>
  <c r="U1357" i="12"/>
  <c r="U1359" i="12"/>
  <c r="U1361" i="12"/>
  <c r="U1363" i="12"/>
  <c r="U1365" i="12"/>
  <c r="U1367" i="12"/>
  <c r="U1369" i="12"/>
  <c r="U1371" i="12"/>
  <c r="U1373" i="12"/>
  <c r="U1375" i="12"/>
  <c r="U1377" i="12"/>
  <c r="U1379" i="12"/>
  <c r="U1381" i="12"/>
  <c r="U1383" i="12"/>
  <c r="U1385" i="12"/>
  <c r="U1387" i="12"/>
  <c r="U1389" i="12"/>
  <c r="U1391" i="12"/>
  <c r="U1393" i="12"/>
  <c r="U1395" i="12"/>
  <c r="U1397" i="12"/>
  <c r="U1399" i="12"/>
  <c r="U1401" i="12"/>
  <c r="U1403" i="12"/>
  <c r="U1405" i="12"/>
  <c r="U1407" i="12"/>
  <c r="U1409" i="12"/>
  <c r="U895" i="12"/>
  <c r="U897" i="12"/>
  <c r="U899" i="12"/>
  <c r="U901" i="12"/>
  <c r="U1412" i="12"/>
  <c r="U1414" i="12"/>
  <c r="U1416" i="12"/>
  <c r="U1418" i="12"/>
  <c r="U1420" i="12"/>
  <c r="U1422" i="12"/>
  <c r="U1424" i="12"/>
  <c r="U1426" i="12"/>
  <c r="U1428" i="12"/>
  <c r="U1430" i="12"/>
  <c r="U1432" i="12"/>
  <c r="U1434" i="12"/>
  <c r="U1436" i="12"/>
  <c r="U1438" i="12"/>
  <c r="U1440" i="12"/>
  <c r="U1442" i="12"/>
  <c r="U1444" i="12"/>
  <c r="U1446" i="12"/>
  <c r="U1448" i="12"/>
  <c r="U1450" i="12"/>
  <c r="U1452" i="12"/>
  <c r="U1454" i="12"/>
  <c r="U1456" i="12"/>
  <c r="U1458" i="12"/>
  <c r="U1460" i="12"/>
  <c r="U1462" i="12"/>
  <c r="U1464" i="12"/>
  <c r="U1466" i="12"/>
  <c r="U1468" i="12"/>
  <c r="U1470" i="12"/>
  <c r="U1472" i="12"/>
  <c r="U1474" i="12"/>
  <c r="U1476" i="12"/>
  <c r="U1478" i="12"/>
  <c r="U1480" i="12"/>
  <c r="U1482" i="12"/>
  <c r="U1484" i="12"/>
  <c r="U1486" i="12"/>
  <c r="U1488" i="12"/>
  <c r="U1490" i="12"/>
  <c r="U1492" i="12"/>
  <c r="U1494" i="12"/>
  <c r="U1496" i="12"/>
  <c r="U1498" i="12"/>
  <c r="U1500" i="12"/>
  <c r="U1502" i="12"/>
  <c r="U1504" i="12"/>
  <c r="U1506" i="12"/>
  <c r="U1508" i="12"/>
  <c r="U1510" i="12"/>
  <c r="U1512" i="12"/>
  <c r="U1514" i="12"/>
  <c r="U1516" i="12"/>
  <c r="U1518" i="12"/>
  <c r="U1520" i="12"/>
  <c r="U1522" i="12"/>
  <c r="U1524" i="12"/>
  <c r="U1526" i="12"/>
  <c r="U1528" i="12"/>
  <c r="U1530" i="12"/>
  <c r="U1532" i="12"/>
  <c r="U1534" i="12"/>
  <c r="U1536" i="12"/>
  <c r="U1538" i="12"/>
  <c r="U1540" i="12"/>
  <c r="U1542" i="12"/>
  <c r="U1544" i="12"/>
  <c r="U1546" i="12"/>
  <c r="U1548" i="12"/>
  <c r="U1550" i="12"/>
  <c r="U1552" i="12"/>
  <c r="U1554" i="12"/>
  <c r="U1556" i="12"/>
  <c r="U1558" i="12"/>
  <c r="U1560" i="12"/>
  <c r="U1562" i="12"/>
  <c r="U1564" i="12"/>
  <c r="U1566" i="12"/>
  <c r="U1568" i="12"/>
  <c r="U1570" i="12"/>
  <c r="U1572" i="12"/>
  <c r="U1574" i="12"/>
  <c r="U1576" i="12"/>
  <c r="U1578" i="12"/>
  <c r="U1580" i="12"/>
  <c r="U1582" i="12"/>
  <c r="U1584" i="12"/>
  <c r="U1586" i="12"/>
  <c r="U1588" i="12"/>
  <c r="U1590" i="12"/>
  <c r="U1592" i="12"/>
  <c r="U1594" i="12"/>
  <c r="U1596" i="12"/>
  <c r="U1598" i="12"/>
  <c r="U1600" i="12"/>
  <c r="U1602" i="12"/>
  <c r="U1604" i="12"/>
  <c r="U1606" i="12"/>
  <c r="U1608" i="12"/>
  <c r="U1610" i="12"/>
  <c r="U1612" i="12"/>
  <c r="U1614" i="12"/>
  <c r="U1616" i="12"/>
  <c r="U1618" i="12"/>
  <c r="U1620" i="12"/>
  <c r="U1622" i="12"/>
  <c r="U1624" i="12"/>
  <c r="U1626" i="12"/>
  <c r="U1628" i="12"/>
  <c r="U1630" i="12"/>
  <c r="U1632" i="12"/>
  <c r="U1634" i="12"/>
  <c r="U1636" i="12"/>
  <c r="U1638" i="12"/>
  <c r="U1640" i="12"/>
  <c r="U1642" i="12"/>
  <c r="U1644" i="12"/>
  <c r="U1646" i="12"/>
  <c r="U1648" i="12"/>
  <c r="U1650" i="12"/>
  <c r="U1652" i="12"/>
  <c r="U1654" i="12"/>
  <c r="U1656" i="12"/>
  <c r="U1658" i="12"/>
  <c r="U1660" i="12"/>
  <c r="U1662" i="12"/>
  <c r="U1664" i="12"/>
  <c r="U1666" i="12"/>
  <c r="U1668" i="12"/>
  <c r="U1670" i="12"/>
  <c r="U1672" i="12"/>
  <c r="U1674" i="12"/>
  <c r="U1676" i="12"/>
  <c r="U1678" i="12"/>
  <c r="U1680" i="12"/>
  <c r="U1682" i="12"/>
  <c r="U1684" i="12"/>
  <c r="U1686" i="12"/>
  <c r="U1688" i="12"/>
  <c r="U1690" i="12"/>
  <c r="U1692" i="12"/>
  <c r="U1694" i="12"/>
  <c r="U1696" i="12"/>
  <c r="U1698" i="12"/>
  <c r="U1700" i="12"/>
  <c r="U1702" i="12"/>
  <c r="U1704" i="12"/>
  <c r="U1706" i="12"/>
  <c r="U1708" i="12"/>
  <c r="U1710" i="12"/>
  <c r="U1712" i="12"/>
  <c r="U1714" i="12"/>
  <c r="U1716" i="12"/>
  <c r="U1718" i="12"/>
  <c r="U1720" i="12"/>
  <c r="U1722" i="12"/>
  <c r="U1724" i="12"/>
  <c r="U1726" i="12"/>
  <c r="U1728" i="12"/>
  <c r="U1730" i="12"/>
  <c r="U1732" i="12"/>
  <c r="U1734" i="12"/>
  <c r="U1736" i="12"/>
  <c r="U1738" i="12"/>
  <c r="U1740" i="12"/>
  <c r="U1742" i="12"/>
  <c r="U1744" i="12"/>
  <c r="U1746" i="12"/>
  <c r="U1748" i="12"/>
  <c r="U1750" i="12"/>
  <c r="U1752" i="12"/>
  <c r="U1754" i="12"/>
  <c r="U1756" i="12"/>
  <c r="U1758" i="12"/>
  <c r="U1760" i="12"/>
  <c r="U1762" i="12"/>
  <c r="U1764" i="12"/>
  <c r="U1766" i="12"/>
  <c r="U1768" i="12"/>
  <c r="U1770" i="12"/>
  <c r="U1772" i="12"/>
  <c r="U1774" i="12"/>
  <c r="U1776" i="12"/>
  <c r="U1778" i="12"/>
  <c r="U1780" i="12"/>
  <c r="U1782" i="12"/>
  <c r="U1784" i="12"/>
  <c r="U1786" i="12"/>
  <c r="U1788" i="12"/>
  <c r="U1790" i="12"/>
  <c r="U1792" i="12"/>
  <c r="U1794" i="12"/>
  <c r="U1796" i="12"/>
  <c r="U1798" i="12"/>
  <c r="U1800" i="12"/>
  <c r="U1802" i="12"/>
  <c r="U1804" i="12"/>
  <c r="U1806" i="12"/>
  <c r="U1808" i="12"/>
  <c r="U1810" i="12"/>
  <c r="U1812" i="12"/>
  <c r="U1814" i="12"/>
  <c r="U1816" i="12"/>
  <c r="U1818" i="12"/>
  <c r="U1820" i="12"/>
  <c r="U1822" i="12"/>
  <c r="U1824" i="12"/>
  <c r="U1826" i="12"/>
  <c r="U1828" i="12"/>
  <c r="U1830" i="12"/>
  <c r="U1832" i="12"/>
  <c r="U1834" i="12"/>
  <c r="U1836" i="12"/>
  <c r="U1838" i="12"/>
  <c r="U1840" i="12"/>
  <c r="U1842" i="12"/>
  <c r="U1844" i="12"/>
  <c r="U1846" i="12"/>
  <c r="U1848" i="12"/>
  <c r="U1850" i="12"/>
  <c r="U1852" i="12"/>
  <c r="U1854" i="12"/>
  <c r="U1856" i="12"/>
  <c r="U1858" i="12"/>
  <c r="U1860" i="12"/>
  <c r="U1862" i="12"/>
  <c r="U1864" i="12"/>
  <c r="U1866" i="12"/>
  <c r="U1868" i="12"/>
  <c r="U1870" i="12"/>
  <c r="U1872" i="12"/>
  <c r="U1874" i="12"/>
  <c r="U1876" i="12"/>
  <c r="U1878" i="12"/>
  <c r="U1880" i="12"/>
  <c r="U1882" i="12"/>
  <c r="U1884" i="12"/>
  <c r="U1886" i="12"/>
  <c r="U1888" i="12"/>
  <c r="U1890" i="12"/>
  <c r="U1892" i="12"/>
  <c r="U1894" i="12"/>
  <c r="U1896" i="12"/>
  <c r="U1898" i="12"/>
  <c r="U1900" i="12"/>
  <c r="U1902" i="12"/>
  <c r="U1904" i="12"/>
  <c r="U1906" i="12"/>
  <c r="U1908" i="12"/>
  <c r="U1910" i="12"/>
  <c r="U1912" i="12"/>
  <c r="U1914" i="12"/>
  <c r="U1916" i="12"/>
  <c r="U1918" i="12"/>
  <c r="U1920" i="12"/>
  <c r="U1922" i="12"/>
  <c r="U1924" i="12"/>
  <c r="U1926" i="12"/>
  <c r="U1928" i="12"/>
  <c r="U1930" i="12"/>
  <c r="U1932" i="12"/>
  <c r="U1934" i="12"/>
  <c r="U1936" i="12"/>
  <c r="U1938" i="12"/>
  <c r="U1940" i="12"/>
  <c r="U1942" i="12"/>
  <c r="U1944" i="12"/>
  <c r="U1946" i="12"/>
  <c r="U1948" i="12"/>
  <c r="U1950" i="12"/>
  <c r="U1952" i="12"/>
  <c r="U1954" i="12"/>
  <c r="U1956" i="12"/>
  <c r="U1958" i="12"/>
  <c r="U1960" i="12"/>
  <c r="U1962" i="12"/>
  <c r="U1964" i="12"/>
  <c r="U1966" i="12"/>
  <c r="U1968" i="12"/>
  <c r="U1970" i="12"/>
  <c r="U1972" i="12"/>
  <c r="U1974" i="12"/>
  <c r="U1976" i="12"/>
  <c r="U1978" i="12"/>
  <c r="U1980" i="12"/>
  <c r="U1982" i="12"/>
  <c r="U1984" i="12"/>
  <c r="U1986" i="12"/>
  <c r="U1988" i="12"/>
  <c r="U1990" i="12"/>
  <c r="U1992" i="12"/>
  <c r="U1994" i="12"/>
  <c r="U1996" i="12"/>
  <c r="U1998" i="12"/>
  <c r="U2000" i="12"/>
  <c r="U2002" i="12"/>
  <c r="U2004" i="12"/>
  <c r="U2006" i="12"/>
  <c r="U2008" i="12"/>
  <c r="U2010" i="12"/>
  <c r="U2012" i="12"/>
  <c r="U2014" i="12"/>
  <c r="U2016" i="12"/>
  <c r="U2018" i="12"/>
  <c r="U2020" i="12"/>
  <c r="U2022" i="12"/>
  <c r="U2024" i="12"/>
  <c r="U2026" i="12"/>
  <c r="U2028" i="12"/>
  <c r="U2030" i="12"/>
  <c r="U2032" i="12"/>
  <c r="U2034" i="12"/>
  <c r="U2036" i="12"/>
  <c r="U2038" i="12"/>
  <c r="U2040" i="12"/>
  <c r="U2042" i="12"/>
  <c r="U2044" i="12"/>
  <c r="U2046" i="12"/>
  <c r="U2048" i="12"/>
  <c r="U2050" i="12"/>
  <c r="U2052" i="12"/>
  <c r="U2054" i="12"/>
  <c r="U2056" i="12"/>
  <c r="U2058" i="12"/>
  <c r="U2060" i="12"/>
  <c r="U2062" i="12"/>
  <c r="U2064" i="12"/>
  <c r="U2066" i="12"/>
  <c r="U2068" i="12"/>
  <c r="U2070" i="12"/>
  <c r="U2072" i="12"/>
  <c r="U2074" i="12"/>
  <c r="U2076" i="12"/>
  <c r="U2078" i="12"/>
  <c r="U2080" i="12"/>
  <c r="U2082" i="12"/>
  <c r="U2084" i="12"/>
  <c r="U2086" i="12"/>
  <c r="U2088" i="12"/>
  <c r="U2090" i="12"/>
  <c r="U2092" i="12"/>
  <c r="U2094" i="12"/>
  <c r="U2096" i="12"/>
  <c r="U2098" i="12"/>
  <c r="U2100" i="12"/>
  <c r="U2102" i="12"/>
  <c r="U2104" i="12"/>
  <c r="U2106" i="12"/>
  <c r="U2108" i="12"/>
  <c r="U2110" i="12"/>
  <c r="U2112" i="12"/>
  <c r="U2114" i="12"/>
  <c r="U2116" i="12"/>
  <c r="U2118" i="12"/>
  <c r="U2120" i="12"/>
  <c r="U2122" i="12"/>
  <c r="U2124" i="12"/>
  <c r="U2126" i="12"/>
  <c r="U2128" i="12"/>
  <c r="U2130" i="12"/>
  <c r="U2132" i="12"/>
  <c r="U2134" i="12"/>
  <c r="U2136" i="12"/>
  <c r="U2138" i="12"/>
  <c r="U2140" i="12"/>
  <c r="U2142" i="12"/>
  <c r="U2144" i="12"/>
  <c r="U2146" i="12"/>
  <c r="U2148" i="12"/>
  <c r="U2150" i="12"/>
  <c r="U2152" i="12"/>
  <c r="U2154" i="12"/>
  <c r="U2156" i="12"/>
  <c r="U2158" i="12"/>
  <c r="U2160" i="12"/>
  <c r="U2162" i="12"/>
  <c r="U2164" i="12"/>
  <c r="U2166" i="12"/>
  <c r="U2168" i="12"/>
  <c r="U2170" i="12"/>
  <c r="U2172" i="12"/>
  <c r="U2174" i="12"/>
  <c r="U2176" i="12"/>
  <c r="U2178" i="12"/>
  <c r="U2180" i="12"/>
  <c r="U2182" i="12"/>
  <c r="U2184" i="12"/>
  <c r="U2186" i="12"/>
  <c r="U2188" i="12"/>
  <c r="U2190" i="12"/>
  <c r="U2192" i="12"/>
  <c r="U2194" i="12"/>
  <c r="U2196" i="12"/>
  <c r="U2198" i="12"/>
  <c r="U2200" i="12"/>
  <c r="U2202" i="12"/>
  <c r="U2204" i="12"/>
  <c r="U2206" i="12"/>
  <c r="U2208" i="12"/>
  <c r="U2210" i="12"/>
  <c r="U2212" i="12"/>
  <c r="U2214" i="12"/>
  <c r="U2216" i="12"/>
  <c r="U2218" i="12"/>
  <c r="U2220" i="12"/>
  <c r="U2222" i="12"/>
  <c r="U2224" i="12"/>
  <c r="U2226" i="12"/>
  <c r="U2228" i="12"/>
  <c r="U2230" i="12"/>
  <c r="U2232" i="12"/>
  <c r="U2234" i="12"/>
  <c r="U2236" i="12"/>
  <c r="U2238" i="12"/>
  <c r="U2240" i="12"/>
  <c r="U2242" i="12"/>
  <c r="U2244" i="12"/>
  <c r="U2246" i="12"/>
  <c r="U2248" i="12"/>
  <c r="U2250" i="12"/>
  <c r="U2252" i="12"/>
  <c r="U2254" i="12"/>
  <c r="U2256" i="12"/>
  <c r="U2258" i="12"/>
  <c r="U2260" i="12"/>
  <c r="U2262" i="12"/>
  <c r="U2264" i="12"/>
  <c r="U2266" i="12"/>
  <c r="U2268" i="12"/>
  <c r="U2270" i="12"/>
  <c r="U2272" i="12"/>
  <c r="U2274" i="12"/>
  <c r="U2276" i="12"/>
  <c r="U2278" i="12"/>
  <c r="U2280" i="12"/>
  <c r="U2282" i="12"/>
  <c r="U2284" i="12"/>
  <c r="U2286" i="12"/>
  <c r="U2288" i="12"/>
  <c r="U2290" i="12"/>
  <c r="U2292" i="12"/>
  <c r="U2294" i="12"/>
  <c r="U2296" i="12"/>
  <c r="U2298" i="12"/>
  <c r="U2300" i="12"/>
  <c r="U2302" i="12"/>
  <c r="U2304" i="12"/>
  <c r="U2306" i="12"/>
  <c r="U2308" i="12"/>
  <c r="U2310" i="12"/>
  <c r="U2312" i="12"/>
  <c r="U2314" i="12"/>
  <c r="U2316" i="12"/>
  <c r="U2318" i="12"/>
  <c r="U2320" i="12"/>
  <c r="U2322" i="12"/>
  <c r="U2324" i="12"/>
  <c r="U2326" i="12"/>
  <c r="U2328" i="12"/>
  <c r="U2330" i="12"/>
  <c r="U2332" i="12"/>
  <c r="U2334" i="12"/>
  <c r="U2336" i="12"/>
  <c r="U2338" i="12"/>
  <c r="U2340" i="12"/>
  <c r="U2342" i="12"/>
  <c r="U2344" i="12"/>
  <c r="U2346" i="12"/>
  <c r="U2348" i="12"/>
  <c r="U2350" i="12"/>
  <c r="U2352" i="12"/>
  <c r="U2354" i="12"/>
  <c r="U2356" i="12"/>
  <c r="U2358" i="12"/>
  <c r="U2360" i="12"/>
  <c r="U2362" i="12"/>
  <c r="U2364" i="12"/>
  <c r="U2366" i="12"/>
  <c r="U2368" i="12"/>
  <c r="U2370" i="12"/>
  <c r="U2372" i="12"/>
  <c r="U2374" i="12"/>
  <c r="U2376" i="12"/>
  <c r="U2378" i="12"/>
  <c r="U2380" i="12"/>
  <c r="U2382" i="12"/>
  <c r="U2384" i="12"/>
  <c r="U2386" i="12"/>
  <c r="U2388" i="12"/>
  <c r="U2390" i="12"/>
  <c r="U2392" i="12"/>
  <c r="U2394" i="12"/>
  <c r="U2396" i="12"/>
  <c r="U2398" i="12"/>
  <c r="U2400" i="12"/>
  <c r="U2402" i="12"/>
  <c r="U2404" i="12"/>
  <c r="U2406" i="12"/>
  <c r="U2408" i="12"/>
  <c r="U2410" i="12"/>
  <c r="U2412" i="12"/>
  <c r="U2414" i="12"/>
  <c r="U2416" i="12"/>
  <c r="U2418" i="12"/>
  <c r="U2420" i="12"/>
  <c r="U2422" i="12"/>
  <c r="U2424" i="12"/>
  <c r="U2426" i="12"/>
  <c r="U2428" i="12"/>
  <c r="U2430" i="12"/>
  <c r="U2432" i="12"/>
  <c r="U2434" i="12"/>
  <c r="U2436" i="12"/>
  <c r="U2438" i="12"/>
  <c r="U2440" i="12"/>
  <c r="U2442" i="12"/>
  <c r="U2444" i="12"/>
  <c r="U2446" i="12"/>
  <c r="U2448" i="12"/>
  <c r="U2450" i="12"/>
  <c r="U2452" i="12"/>
  <c r="U2454" i="12"/>
  <c r="U2456" i="12"/>
  <c r="U2458" i="12"/>
  <c r="U2460" i="12"/>
  <c r="U2462" i="12"/>
  <c r="U2464" i="12"/>
  <c r="U2466" i="12"/>
  <c r="U2468" i="12"/>
  <c r="U2470" i="12"/>
  <c r="U2472" i="12"/>
  <c r="U2474" i="12"/>
  <c r="U2476" i="12"/>
  <c r="U2478" i="12"/>
  <c r="U2480" i="12"/>
  <c r="U2482" i="12"/>
  <c r="U2484" i="12"/>
  <c r="U2486" i="12"/>
  <c r="U2488" i="12"/>
  <c r="U2490" i="12"/>
  <c r="U2492" i="12"/>
  <c r="U2494" i="12"/>
  <c r="U2496" i="12"/>
  <c r="U2498" i="12"/>
  <c r="U2500" i="12"/>
  <c r="U2502" i="12"/>
  <c r="U2504" i="12"/>
  <c r="U2506" i="12"/>
  <c r="U2508" i="12"/>
  <c r="U2510" i="12"/>
  <c r="U2512" i="12"/>
  <c r="U2514" i="12"/>
  <c r="U2516" i="12"/>
  <c r="U2518" i="12"/>
  <c r="U2520" i="12"/>
  <c r="U2522" i="12"/>
  <c r="U2524" i="12"/>
  <c r="U2526" i="12"/>
  <c r="U2528" i="12"/>
  <c r="U2530" i="12"/>
  <c r="U2532" i="12"/>
  <c r="U2534" i="12"/>
  <c r="U2536" i="12"/>
  <c r="U2538" i="12"/>
  <c r="U2540" i="12"/>
  <c r="U2542" i="12"/>
  <c r="U2544" i="12"/>
  <c r="U2546" i="12"/>
  <c r="U2548" i="12"/>
  <c r="U2550" i="12"/>
  <c r="U2552" i="12"/>
  <c r="U2554" i="12"/>
  <c r="U2556" i="12"/>
  <c r="U2558" i="12"/>
  <c r="U2560" i="12"/>
  <c r="U2562" i="12"/>
  <c r="U2564" i="12"/>
  <c r="U2566" i="12"/>
  <c r="U2568" i="12"/>
  <c r="U2570" i="12"/>
  <c r="U2572" i="12"/>
  <c r="U2574" i="12"/>
  <c r="U2576" i="12"/>
  <c r="U2578" i="12"/>
  <c r="U2580" i="12"/>
  <c r="U2582" i="12"/>
  <c r="U2584" i="12"/>
  <c r="U2586" i="12"/>
  <c r="U2588" i="12"/>
  <c r="U2590" i="12"/>
  <c r="U2592" i="12"/>
  <c r="U2594" i="12"/>
  <c r="U2596" i="12"/>
  <c r="U2598" i="12"/>
  <c r="U2600" i="12"/>
  <c r="U2602" i="12"/>
  <c r="U2604" i="12"/>
  <c r="U2606" i="12"/>
  <c r="U2608" i="12"/>
  <c r="U2610" i="12"/>
  <c r="U2612" i="12"/>
  <c r="U2614" i="12"/>
  <c r="U2616" i="12"/>
  <c r="U2618" i="12"/>
  <c r="U2620" i="12"/>
  <c r="U2622" i="12"/>
  <c r="U2624" i="12"/>
  <c r="U2626" i="12"/>
  <c r="U2628" i="12"/>
  <c r="U2630" i="12"/>
  <c r="U2632" i="12"/>
  <c r="U2634" i="12"/>
  <c r="U2636" i="12"/>
  <c r="U2638" i="12"/>
  <c r="U2640" i="12"/>
  <c r="U2642" i="12"/>
  <c r="U2644" i="12"/>
  <c r="U2646" i="12"/>
  <c r="U2648" i="12"/>
  <c r="U2650" i="12"/>
  <c r="U2652" i="12"/>
  <c r="U2654" i="12"/>
  <c r="U2656" i="12"/>
  <c r="U2658" i="12"/>
  <c r="U2660" i="12"/>
  <c r="U2662" i="12"/>
  <c r="U2664" i="12"/>
  <c r="U2666" i="12"/>
  <c r="U2668" i="12"/>
  <c r="U2670" i="12"/>
  <c r="U2672" i="12"/>
  <c r="U2674" i="12"/>
  <c r="U2676" i="12"/>
  <c r="U2678" i="12"/>
  <c r="U2680" i="12"/>
  <c r="U2682" i="12"/>
  <c r="U2684" i="12"/>
  <c r="U2686" i="12"/>
  <c r="U2688" i="12"/>
  <c r="U2690" i="12"/>
  <c r="U2692" i="12"/>
  <c r="U2694" i="12"/>
  <c r="U2696" i="12"/>
  <c r="U2698" i="12"/>
  <c r="U2700" i="12"/>
  <c r="U2702" i="12"/>
  <c r="U2704" i="12"/>
  <c r="U2706" i="12"/>
  <c r="U2708" i="12"/>
  <c r="U2710" i="12"/>
  <c r="U2712" i="12"/>
  <c r="U2714" i="12"/>
  <c r="U2716" i="12"/>
  <c r="U2718" i="12"/>
  <c r="U2720" i="12"/>
  <c r="U2722" i="12"/>
  <c r="U2724" i="12"/>
  <c r="U2726" i="12"/>
  <c r="U2728" i="12"/>
  <c r="U2730" i="12"/>
  <c r="U2732" i="12"/>
  <c r="U2734" i="12"/>
  <c r="U2736" i="12"/>
  <c r="U2738" i="12"/>
  <c r="U2740" i="12"/>
  <c r="U2742" i="12"/>
  <c r="U2744" i="12"/>
  <c r="U2746" i="12"/>
  <c r="U2748" i="12"/>
  <c r="U2750" i="12"/>
  <c r="U2752" i="12"/>
  <c r="U2754" i="12"/>
  <c r="U2756" i="12"/>
  <c r="U2758" i="12"/>
  <c r="U2760" i="12"/>
  <c r="U2762" i="12"/>
  <c r="U2764" i="12"/>
  <c r="U2766" i="12"/>
  <c r="U2768" i="12"/>
  <c r="U2770" i="12"/>
  <c r="U2772" i="12"/>
  <c r="U2774" i="12"/>
  <c r="U2776" i="12"/>
  <c r="U2778" i="12"/>
  <c r="U2780" i="12"/>
  <c r="U2782" i="12"/>
  <c r="U2784" i="12"/>
  <c r="U2786" i="12"/>
  <c r="U2788" i="12"/>
  <c r="U2790" i="12"/>
  <c r="U2792" i="12"/>
  <c r="U2794" i="12"/>
  <c r="U2796" i="12"/>
  <c r="U2798" i="12"/>
  <c r="U2800" i="12"/>
  <c r="U2802" i="12"/>
  <c r="U2804" i="12"/>
  <c r="U2806" i="12"/>
  <c r="U2808" i="12"/>
  <c r="U2810" i="12"/>
  <c r="U2812" i="12"/>
  <c r="U2814" i="12"/>
  <c r="U2816" i="12"/>
  <c r="U2818" i="12"/>
  <c r="U2820" i="12"/>
  <c r="U2822" i="12"/>
  <c r="U2824" i="12"/>
  <c r="U2826" i="12"/>
  <c r="U2828" i="12"/>
  <c r="U2830" i="12"/>
  <c r="U2832" i="12"/>
  <c r="U2834" i="12"/>
  <c r="U2836" i="12"/>
  <c r="U2838" i="12"/>
  <c r="U2840" i="12"/>
  <c r="U2842" i="12"/>
  <c r="U2844" i="12"/>
  <c r="U2846" i="12"/>
  <c r="U2848" i="12"/>
  <c r="U2850" i="12"/>
  <c r="U2852" i="12"/>
  <c r="U2854" i="12"/>
  <c r="U2856" i="12"/>
  <c r="U2858" i="12"/>
  <c r="U2860" i="12"/>
  <c r="U2862" i="12"/>
  <c r="U2864" i="12"/>
  <c r="U2866" i="12"/>
  <c r="U2868" i="12"/>
  <c r="U2870" i="12"/>
  <c r="U2872" i="12"/>
  <c r="U2874" i="12"/>
  <c r="U2876" i="12"/>
  <c r="U2878" i="12"/>
  <c r="U2880" i="12"/>
  <c r="U2882" i="12"/>
  <c r="U2884" i="12"/>
  <c r="U2886" i="12"/>
  <c r="U2888" i="12"/>
  <c r="U2890" i="12"/>
  <c r="U2892" i="12"/>
  <c r="U2894" i="12"/>
  <c r="U2896" i="12"/>
  <c r="U2898" i="12"/>
  <c r="U2900" i="12"/>
  <c r="U2902" i="12"/>
  <c r="U2904" i="12"/>
  <c r="U2906" i="12"/>
  <c r="U2908" i="12"/>
  <c r="U2910" i="12"/>
  <c r="U2912" i="12"/>
  <c r="U2914" i="12"/>
  <c r="U2916" i="12"/>
  <c r="U2918" i="12"/>
  <c r="U2920" i="12"/>
  <c r="U2922" i="12"/>
  <c r="U2924" i="12"/>
  <c r="U2926" i="12"/>
  <c r="U2928" i="12"/>
  <c r="U2931" i="12"/>
  <c r="U2933" i="12"/>
  <c r="U2935" i="12"/>
  <c r="U2937" i="12"/>
  <c r="U2939" i="12"/>
  <c r="U2941" i="12"/>
  <c r="U2943" i="12"/>
  <c r="U2945" i="12"/>
  <c r="U2947" i="12"/>
  <c r="U2949" i="12"/>
  <c r="U2951" i="12"/>
  <c r="U2953" i="12"/>
  <c r="U2955" i="12"/>
  <c r="U2957" i="12"/>
  <c r="U2959" i="12"/>
  <c r="U2961" i="12"/>
  <c r="U2963" i="12"/>
  <c r="U2965" i="12"/>
  <c r="U2967" i="12"/>
  <c r="U2969" i="12"/>
  <c r="U2971" i="12"/>
  <c r="U2973" i="12"/>
  <c r="U2975" i="12"/>
  <c r="U2977" i="12"/>
  <c r="U2979" i="12"/>
  <c r="U2981" i="12"/>
  <c r="U2983" i="12"/>
  <c r="U2985" i="12"/>
  <c r="U2987" i="12"/>
  <c r="U2989" i="12"/>
  <c r="U2991" i="12"/>
  <c r="U2993" i="12"/>
  <c r="U2995" i="12"/>
  <c r="U2997" i="12"/>
  <c r="U2999" i="12"/>
  <c r="U3001" i="12"/>
  <c r="U3003" i="12"/>
  <c r="U3005" i="12"/>
  <c r="U3007" i="12"/>
  <c r="U3009" i="12"/>
  <c r="U3011" i="12"/>
  <c r="U3013" i="12"/>
  <c r="U3015" i="12"/>
  <c r="U3017" i="12"/>
  <c r="U3019" i="12"/>
  <c r="U3021" i="12"/>
  <c r="U3023" i="12"/>
  <c r="U3025" i="12"/>
  <c r="U3027" i="12"/>
  <c r="U3029" i="12"/>
  <c r="U3031" i="12"/>
  <c r="U3033" i="12"/>
  <c r="U3035" i="12"/>
  <c r="U3037" i="12"/>
  <c r="U3039" i="12"/>
  <c r="U3041" i="12"/>
  <c r="U3043" i="12"/>
  <c r="U3045" i="12"/>
  <c r="U3047" i="12"/>
  <c r="U3049" i="12"/>
  <c r="U3051" i="12"/>
  <c r="U3053" i="12"/>
  <c r="U3055" i="12"/>
  <c r="U3057" i="12"/>
  <c r="U3059" i="12"/>
  <c r="U3061" i="12"/>
  <c r="U3063" i="12"/>
  <c r="U3065" i="12"/>
  <c r="U3067" i="12"/>
  <c r="U3069" i="12"/>
  <c r="U11" i="12"/>
  <c r="U13" i="12"/>
  <c r="U15" i="12"/>
  <c r="U17" i="12"/>
  <c r="U19" i="12"/>
  <c r="U21" i="12"/>
  <c r="U23" i="12"/>
  <c r="U25" i="12"/>
  <c r="U27" i="12"/>
  <c r="U29" i="12"/>
  <c r="U31" i="12"/>
  <c r="U33" i="12"/>
  <c r="U35" i="12"/>
  <c r="U37" i="12"/>
  <c r="U39" i="12"/>
  <c r="U41" i="12"/>
  <c r="U43" i="12"/>
  <c r="U45" i="12"/>
  <c r="U47" i="12"/>
  <c r="U49" i="12"/>
  <c r="U51" i="12"/>
  <c r="U53" i="12"/>
  <c r="U55" i="12"/>
  <c r="U57" i="12"/>
  <c r="U59" i="12"/>
  <c r="U61" i="12"/>
  <c r="U63" i="12"/>
  <c r="U65" i="12"/>
  <c r="U67" i="12"/>
  <c r="U69" i="12"/>
  <c r="U71" i="12"/>
  <c r="U73" i="12"/>
  <c r="U75" i="12"/>
  <c r="U77" i="12"/>
  <c r="U79" i="12"/>
  <c r="U81" i="12"/>
  <c r="U83" i="12"/>
  <c r="U85" i="12"/>
  <c r="U87" i="12"/>
  <c r="U89" i="12"/>
  <c r="U91" i="12"/>
  <c r="U93" i="12"/>
  <c r="U95" i="12"/>
  <c r="U97" i="12"/>
  <c r="U99" i="12"/>
  <c r="U101" i="12"/>
  <c r="U103" i="12"/>
  <c r="U105" i="12"/>
  <c r="U107" i="12"/>
  <c r="U109" i="12"/>
  <c r="U111" i="12"/>
  <c r="U113" i="12"/>
  <c r="U115" i="12"/>
  <c r="U117" i="12"/>
  <c r="U119" i="12"/>
  <c r="U121" i="12"/>
  <c r="U123" i="12"/>
  <c r="U125" i="12"/>
  <c r="U127" i="12"/>
  <c r="U129" i="12"/>
  <c r="U131" i="12"/>
  <c r="U133" i="12"/>
  <c r="U135" i="12"/>
  <c r="U137" i="12"/>
  <c r="U139" i="12"/>
  <c r="U141" i="12"/>
  <c r="U143" i="12"/>
  <c r="U145" i="12"/>
  <c r="U147" i="12"/>
  <c r="U149" i="12"/>
  <c r="U151" i="12"/>
  <c r="U153" i="12"/>
  <c r="U155" i="12"/>
  <c r="U157" i="12"/>
  <c r="U159" i="12"/>
  <c r="U161" i="12"/>
  <c r="U163" i="12"/>
  <c r="U165" i="12"/>
  <c r="U167" i="12"/>
  <c r="U169" i="12"/>
  <c r="U171" i="12"/>
  <c r="U173" i="12"/>
  <c r="U175" i="12"/>
  <c r="U177" i="12"/>
  <c r="U179" i="12"/>
  <c r="U181" i="12"/>
  <c r="U183" i="12"/>
  <c r="U185" i="12"/>
  <c r="U187" i="12"/>
  <c r="U189" i="12"/>
  <c r="U191" i="12"/>
  <c r="U193" i="12"/>
  <c r="U195" i="12"/>
  <c r="U197" i="12"/>
  <c r="U199" i="12"/>
  <c r="U201" i="12"/>
  <c r="U203" i="12"/>
  <c r="U205" i="12"/>
  <c r="U207" i="12"/>
  <c r="U209" i="12"/>
  <c r="U211" i="12"/>
  <c r="U213" i="12"/>
  <c r="U215" i="12"/>
  <c r="U217" i="12"/>
  <c r="U219" i="12"/>
  <c r="U221" i="12"/>
  <c r="U223" i="12"/>
  <c r="U225" i="12"/>
  <c r="U227" i="12"/>
  <c r="U229" i="12"/>
  <c r="U231" i="12"/>
  <c r="U233" i="12"/>
  <c r="U235" i="12"/>
  <c r="U237" i="12"/>
  <c r="U239" i="12"/>
  <c r="U241" i="12"/>
  <c r="U243" i="12"/>
  <c r="U245" i="12"/>
  <c r="U247" i="12"/>
  <c r="U249" i="12"/>
  <c r="U251" i="12"/>
  <c r="U253" i="12"/>
  <c r="U255" i="12"/>
  <c r="U257" i="12"/>
  <c r="U259" i="12"/>
  <c r="U261" i="12"/>
  <c r="U263" i="12"/>
  <c r="U265" i="12"/>
  <c r="U267" i="12"/>
  <c r="U269" i="12"/>
  <c r="U271" i="12"/>
  <c r="U273" i="12"/>
  <c r="U275" i="12"/>
  <c r="U277" i="12"/>
  <c r="U279" i="12"/>
  <c r="U281" i="12"/>
  <c r="U283" i="12"/>
  <c r="U285" i="12"/>
  <c r="U287" i="12"/>
  <c r="U289" i="12"/>
  <c r="U291" i="12"/>
  <c r="U293" i="12"/>
  <c r="U295" i="12"/>
  <c r="U297" i="12"/>
  <c r="U299" i="12"/>
  <c r="U301" i="12"/>
  <c r="U303" i="12"/>
  <c r="U305" i="12"/>
  <c r="U307" i="12"/>
  <c r="U309" i="12"/>
  <c r="U311" i="12"/>
  <c r="U313" i="12"/>
  <c r="U315" i="12"/>
  <c r="U317" i="12"/>
  <c r="U319" i="12"/>
  <c r="U321" i="12"/>
  <c r="U323" i="12"/>
  <c r="U325" i="12"/>
  <c r="U327" i="12"/>
  <c r="U329" i="12"/>
  <c r="U331" i="12"/>
  <c r="U333" i="12"/>
  <c r="U335" i="12"/>
  <c r="U337" i="12"/>
  <c r="U339" i="12"/>
  <c r="U341" i="12"/>
  <c r="U343" i="12"/>
  <c r="U345" i="12"/>
  <c r="U347" i="12"/>
  <c r="U349" i="12"/>
  <c r="U351" i="12"/>
  <c r="U353" i="12"/>
  <c r="U355" i="12"/>
  <c r="U357" i="12"/>
  <c r="U359" i="12"/>
  <c r="U361" i="12"/>
  <c r="U363" i="12"/>
  <c r="U365" i="12"/>
  <c r="U367" i="12"/>
  <c r="U369" i="12"/>
  <c r="U371" i="12"/>
  <c r="U373" i="12"/>
  <c r="U375" i="12"/>
  <c r="U377" i="12"/>
  <c r="U379" i="12"/>
  <c r="U381" i="12"/>
  <c r="U383" i="12"/>
  <c r="U385" i="12"/>
  <c r="U387" i="12"/>
  <c r="U389" i="12"/>
  <c r="U391" i="12"/>
  <c r="U393" i="12"/>
  <c r="U395" i="12"/>
  <c r="U397" i="12"/>
  <c r="U399" i="12"/>
  <c r="U401" i="12"/>
  <c r="U403" i="12"/>
  <c r="U405" i="12"/>
  <c r="U407" i="12"/>
  <c r="U409" i="12"/>
  <c r="U411" i="12"/>
  <c r="U413" i="12"/>
  <c r="U415" i="12"/>
  <c r="U417" i="12"/>
  <c r="U419" i="12"/>
  <c r="U421" i="12"/>
  <c r="U423" i="12"/>
  <c r="U425" i="12"/>
  <c r="U427" i="12"/>
  <c r="U429" i="12"/>
  <c r="U431" i="12"/>
  <c r="U433" i="12"/>
  <c r="U435" i="12"/>
  <c r="U437" i="12"/>
  <c r="U439" i="12"/>
  <c r="U441" i="12"/>
  <c r="U443" i="12"/>
  <c r="U445" i="12"/>
  <c r="U447" i="12"/>
  <c r="U449" i="12"/>
  <c r="U451" i="12"/>
  <c r="U453" i="12"/>
  <c r="U455" i="12"/>
  <c r="U457" i="12"/>
  <c r="U459" i="12"/>
  <c r="U461" i="12"/>
  <c r="U463" i="12"/>
  <c r="U465" i="12"/>
  <c r="U467" i="12"/>
  <c r="U469" i="12"/>
  <c r="U471" i="12"/>
  <c r="U473" i="12"/>
  <c r="U475" i="12"/>
  <c r="U477" i="12"/>
  <c r="U479" i="12"/>
  <c r="U481" i="12"/>
  <c r="U483" i="12"/>
  <c r="U485" i="12"/>
  <c r="U487" i="12"/>
  <c r="U489" i="12"/>
  <c r="U491" i="12"/>
  <c r="U493" i="12"/>
  <c r="U495" i="12"/>
  <c r="U497" i="12"/>
  <c r="U499" i="12"/>
  <c r="U501" i="12"/>
  <c r="U503" i="12"/>
  <c r="U505" i="12"/>
  <c r="U507" i="12"/>
  <c r="U509" i="12"/>
  <c r="U511" i="12"/>
  <c r="U513" i="12"/>
  <c r="U515" i="12"/>
  <c r="U517" i="12"/>
  <c r="U519" i="12"/>
  <c r="U521" i="12"/>
  <c r="U523" i="12"/>
  <c r="U525" i="12"/>
  <c r="U527" i="12"/>
  <c r="U529" i="12"/>
  <c r="U531" i="12"/>
  <c r="U533" i="12"/>
  <c r="U535" i="12"/>
  <c r="U537" i="12"/>
  <c r="U539" i="12"/>
  <c r="U541" i="12"/>
  <c r="U543" i="12"/>
  <c r="U545" i="12"/>
  <c r="U547" i="12"/>
  <c r="U549" i="12"/>
  <c r="U551" i="12"/>
  <c r="U553" i="12"/>
  <c r="U555" i="12"/>
  <c r="U557" i="12"/>
  <c r="U559" i="12"/>
  <c r="U561" i="12"/>
  <c r="U563" i="12"/>
  <c r="U565" i="12"/>
  <c r="U567" i="12"/>
  <c r="U569" i="12"/>
  <c r="U571" i="12"/>
  <c r="U573" i="12"/>
  <c r="U575" i="12"/>
  <c r="U577" i="12"/>
  <c r="U579" i="12"/>
  <c r="U581" i="12"/>
  <c r="U583" i="12"/>
  <c r="U585" i="12"/>
  <c r="U587" i="12"/>
  <c r="U589" i="12"/>
  <c r="U591" i="12"/>
  <c r="U593" i="12"/>
  <c r="U595" i="12"/>
  <c r="U597" i="12"/>
  <c r="U599" i="12"/>
  <c r="U601" i="12"/>
  <c r="U603" i="12"/>
  <c r="U605" i="12"/>
  <c r="U607" i="12"/>
  <c r="U609" i="12"/>
  <c r="U611" i="12"/>
  <c r="U613" i="12"/>
  <c r="U615" i="12"/>
  <c r="U617" i="12"/>
  <c r="U619" i="12"/>
  <c r="U621" i="12"/>
  <c r="U623" i="12"/>
  <c r="U625" i="12"/>
  <c r="U627" i="12"/>
  <c r="U629" i="12"/>
  <c r="U631" i="12"/>
  <c r="U633" i="12"/>
  <c r="U644" i="12"/>
  <c r="U646" i="12"/>
  <c r="U648" i="12"/>
  <c r="U650" i="12"/>
  <c r="U652" i="12"/>
  <c r="U654" i="12"/>
  <c r="U656" i="12"/>
  <c r="U658" i="12"/>
  <c r="U660" i="12"/>
  <c r="U662" i="12"/>
  <c r="U664" i="12"/>
  <c r="U666" i="12"/>
  <c r="U668" i="12"/>
  <c r="U670" i="12"/>
  <c r="U672" i="12"/>
  <c r="U674" i="12"/>
  <c r="U676" i="12"/>
  <c r="U678" i="12"/>
  <c r="U680" i="12"/>
  <c r="U682" i="12"/>
  <c r="U684" i="12"/>
  <c r="U686" i="12"/>
  <c r="U688" i="12"/>
  <c r="U690" i="12"/>
  <c r="U692" i="12"/>
  <c r="U694" i="12"/>
  <c r="U696" i="12"/>
  <c r="U698" i="12"/>
  <c r="U700" i="12"/>
  <c r="U702" i="12"/>
  <c r="U704" i="12"/>
  <c r="U706" i="12"/>
  <c r="U708" i="12"/>
  <c r="U710" i="12"/>
  <c r="U712" i="12"/>
  <c r="U714" i="12"/>
  <c r="U716" i="12"/>
  <c r="U718" i="12"/>
  <c r="U720" i="12"/>
  <c r="U722" i="12"/>
  <c r="U724" i="12"/>
  <c r="U726" i="12"/>
  <c r="U728" i="12"/>
  <c r="U730" i="12"/>
  <c r="U732" i="12"/>
  <c r="U734" i="12"/>
  <c r="U736" i="12"/>
  <c r="U738" i="12"/>
  <c r="U740" i="12"/>
  <c r="U742" i="12"/>
  <c r="U744" i="12"/>
  <c r="U746" i="12"/>
  <c r="U748" i="12"/>
  <c r="U750" i="12"/>
  <c r="U752" i="12"/>
  <c r="U754" i="12"/>
  <c r="U756" i="12"/>
  <c r="U758" i="12"/>
  <c r="U760" i="12"/>
  <c r="U762" i="12"/>
  <c r="U764" i="12"/>
  <c r="U766" i="12"/>
  <c r="U768" i="12"/>
  <c r="U770" i="12"/>
  <c r="U772" i="12"/>
  <c r="U774" i="12"/>
  <c r="U776" i="12"/>
  <c r="U778" i="12"/>
  <c r="U780" i="12"/>
  <c r="U782" i="12"/>
  <c r="U784" i="12"/>
  <c r="U786" i="12"/>
  <c r="U788" i="12"/>
  <c r="U790" i="12"/>
  <c r="U792" i="12"/>
  <c r="U794" i="12"/>
  <c r="U796" i="12"/>
  <c r="U798" i="12"/>
  <c r="U800" i="12"/>
  <c r="U802" i="12"/>
  <c r="U804" i="12"/>
  <c r="U806" i="12"/>
  <c r="U808" i="12"/>
  <c r="U810" i="12"/>
  <c r="U812" i="12"/>
  <c r="U814" i="12"/>
  <c r="U816" i="12"/>
  <c r="U818" i="12"/>
  <c r="U820" i="12"/>
  <c r="U822" i="12"/>
  <c r="U824" i="12"/>
  <c r="U826" i="12"/>
  <c r="U828" i="12"/>
  <c r="U830" i="12"/>
  <c r="U832" i="12"/>
  <c r="U834" i="12"/>
  <c r="U836" i="12"/>
  <c r="U838" i="12"/>
  <c r="U840" i="12"/>
  <c r="U842" i="12"/>
  <c r="U844" i="12"/>
  <c r="U846" i="12"/>
  <c r="U848" i="12"/>
  <c r="U850" i="12"/>
  <c r="U852" i="12"/>
  <c r="U854" i="12"/>
  <c r="U856" i="12"/>
  <c r="U858" i="12"/>
  <c r="U860" i="12"/>
  <c r="U862" i="12"/>
  <c r="U864" i="12"/>
  <c r="U866" i="12"/>
  <c r="U868" i="12"/>
  <c r="U870" i="12"/>
  <c r="U872" i="12"/>
  <c r="U874" i="12"/>
  <c r="U876" i="12"/>
  <c r="U878" i="12"/>
  <c r="U880" i="12"/>
  <c r="U882" i="12"/>
  <c r="U884" i="12"/>
  <c r="U886" i="12"/>
  <c r="U888" i="12"/>
  <c r="U890" i="12"/>
  <c r="U892" i="12"/>
  <c r="U894" i="12"/>
  <c r="U636" i="12"/>
  <c r="U638" i="12"/>
  <c r="U640" i="12"/>
  <c r="U642" i="12"/>
  <c r="U902" i="12"/>
  <c r="U904" i="12"/>
  <c r="U906" i="12"/>
  <c r="U908" i="12"/>
  <c r="U910" i="12"/>
  <c r="U912" i="12"/>
  <c r="U914" i="12"/>
  <c r="U916" i="12"/>
  <c r="U918" i="12"/>
  <c r="U920" i="12"/>
  <c r="U922" i="12"/>
  <c r="U924" i="12"/>
  <c r="U926" i="12"/>
  <c r="U928" i="12"/>
  <c r="U930" i="12"/>
  <c r="U932" i="12"/>
  <c r="U934" i="12"/>
  <c r="U936" i="12"/>
  <c r="U938" i="12"/>
  <c r="U940" i="12"/>
  <c r="U942" i="12"/>
  <c r="U944" i="12"/>
  <c r="U946" i="12"/>
  <c r="U948" i="12"/>
  <c r="U950" i="12"/>
  <c r="U952" i="12"/>
  <c r="U954" i="12"/>
  <c r="U956" i="12"/>
  <c r="U958" i="12"/>
  <c r="U960" i="12"/>
  <c r="U962" i="12"/>
  <c r="U964" i="12"/>
  <c r="U966" i="12"/>
  <c r="U968" i="12"/>
  <c r="U970" i="12"/>
  <c r="U972" i="12"/>
  <c r="U974" i="12"/>
  <c r="U976" i="12"/>
  <c r="U978" i="12"/>
  <c r="U980" i="12"/>
  <c r="U982" i="12"/>
  <c r="U984" i="12"/>
  <c r="U986" i="12"/>
  <c r="U988" i="12"/>
  <c r="U990" i="12"/>
  <c r="U992" i="12"/>
  <c r="U994" i="12"/>
  <c r="U996" i="12"/>
  <c r="U998" i="12"/>
  <c r="U1000" i="12"/>
  <c r="U1002" i="12"/>
  <c r="U1004" i="12"/>
  <c r="U1006" i="12"/>
  <c r="U1008" i="12"/>
  <c r="U1010" i="12"/>
  <c r="U1012" i="12"/>
  <c r="U1014" i="12"/>
  <c r="U1016" i="12"/>
  <c r="U1018" i="12"/>
  <c r="U1020" i="12"/>
  <c r="U1022" i="12"/>
  <c r="U1024" i="12"/>
  <c r="U1026" i="12"/>
  <c r="U1028" i="12"/>
  <c r="U1030" i="12"/>
  <c r="U1032" i="12"/>
  <c r="U1034" i="12"/>
  <c r="U1036" i="12"/>
  <c r="U1038" i="12"/>
  <c r="U1040" i="12"/>
  <c r="U1042" i="12"/>
  <c r="U1044" i="12"/>
  <c r="U1046" i="12"/>
  <c r="U1048" i="12"/>
  <c r="U1050" i="12"/>
  <c r="U1052" i="12"/>
  <c r="U1054" i="12"/>
  <c r="U1056" i="12"/>
  <c r="U1058" i="12"/>
  <c r="U1060" i="12"/>
  <c r="U1062" i="12"/>
  <c r="U1064" i="12"/>
  <c r="U1066" i="12"/>
  <c r="U1068" i="12"/>
  <c r="U1070" i="12"/>
  <c r="U1072" i="12"/>
  <c r="U1074" i="12"/>
  <c r="U1076" i="12"/>
  <c r="U1078" i="12"/>
  <c r="U1080" i="12"/>
  <c r="U1082" i="12"/>
  <c r="U1084" i="12"/>
  <c r="U1086" i="12"/>
  <c r="U1088" i="12"/>
  <c r="U1090" i="12"/>
  <c r="U1092" i="12"/>
  <c r="U1094" i="12"/>
  <c r="U1096" i="12"/>
  <c r="U1098" i="12"/>
  <c r="U1100" i="12"/>
  <c r="U1102" i="12"/>
  <c r="U1104" i="12"/>
  <c r="U1106" i="12"/>
  <c r="U1108" i="12"/>
  <c r="U1110" i="12"/>
  <c r="U1112" i="12"/>
  <c r="U1114" i="12"/>
  <c r="U1116" i="12"/>
  <c r="U1118" i="12"/>
  <c r="U1120" i="12"/>
  <c r="U1122" i="12"/>
  <c r="U1124" i="12"/>
  <c r="U1126" i="12"/>
  <c r="U1128" i="12"/>
  <c r="U1130" i="12"/>
  <c r="U1132" i="12"/>
  <c r="U1134" i="12"/>
  <c r="U1136" i="12"/>
  <c r="U1138" i="12"/>
  <c r="U1140" i="12"/>
  <c r="U1142" i="12"/>
  <c r="U1144" i="12"/>
  <c r="U1146" i="12"/>
  <c r="U1148" i="12"/>
  <c r="U1150" i="12"/>
  <c r="U1152" i="12"/>
  <c r="U1154" i="12"/>
  <c r="U1156" i="12"/>
  <c r="U1158" i="12"/>
  <c r="U1160" i="12"/>
  <c r="U1162" i="12"/>
  <c r="U1164" i="12"/>
  <c r="U1166" i="12"/>
  <c r="U1168" i="12"/>
  <c r="U1170" i="12"/>
  <c r="U1172" i="12"/>
  <c r="U1174" i="12"/>
  <c r="U1176" i="12"/>
  <c r="U1178" i="12"/>
  <c r="U1180" i="12"/>
  <c r="U1182" i="12"/>
  <c r="U1184" i="12"/>
  <c r="U1186" i="12"/>
  <c r="U1188" i="12"/>
  <c r="U1190" i="12"/>
  <c r="U1192" i="12"/>
  <c r="U1194" i="12"/>
  <c r="U1196" i="12"/>
  <c r="U1198" i="12"/>
  <c r="U1200" i="12"/>
  <c r="U1202" i="12"/>
  <c r="U1204" i="12"/>
  <c r="U1206" i="12"/>
  <c r="U1208" i="12"/>
  <c r="U1210" i="12"/>
  <c r="U1212" i="12"/>
  <c r="U1214" i="12"/>
  <c r="U1216" i="12"/>
  <c r="U1218" i="12"/>
  <c r="U1220" i="12"/>
  <c r="U1222" i="12"/>
  <c r="U1224" i="12"/>
  <c r="U1226" i="12"/>
  <c r="U1228" i="12"/>
  <c r="U1230" i="12"/>
  <c r="U1232" i="12"/>
  <c r="U1234" i="12"/>
  <c r="U1236" i="12"/>
  <c r="U1238" i="12"/>
  <c r="U1240" i="12"/>
  <c r="U1242" i="12"/>
  <c r="U1244" i="12"/>
  <c r="U1246" i="12"/>
  <c r="U1248" i="12"/>
  <c r="U1250" i="12"/>
  <c r="U1252" i="12"/>
  <c r="U1254" i="12"/>
  <c r="U1256" i="12"/>
  <c r="U1258" i="12"/>
  <c r="U1260" i="12"/>
  <c r="U1262" i="12"/>
  <c r="U1264" i="12"/>
  <c r="U1266" i="12"/>
  <c r="U1268" i="12"/>
  <c r="U1270" i="12"/>
  <c r="U1272" i="12"/>
  <c r="U1274" i="12"/>
  <c r="U1276" i="12"/>
  <c r="U1278" i="12"/>
  <c r="U1280" i="12"/>
  <c r="U1282" i="12"/>
  <c r="U1284" i="12"/>
  <c r="U1286" i="12"/>
  <c r="U1288" i="12"/>
  <c r="U1290" i="12"/>
  <c r="U1292" i="12"/>
  <c r="U1294" i="12"/>
  <c r="U1296" i="12"/>
  <c r="U1298" i="12"/>
  <c r="U1300" i="12"/>
  <c r="U1302" i="12"/>
  <c r="U1304" i="12"/>
  <c r="U1306" i="12"/>
  <c r="U1308" i="12"/>
  <c r="U1310" i="12"/>
  <c r="U1312" i="12"/>
  <c r="U1314" i="12"/>
  <c r="U1316" i="12"/>
  <c r="U1318" i="12"/>
  <c r="U1320" i="12"/>
  <c r="U1322" i="12"/>
  <c r="U1324" i="12"/>
  <c r="U1326" i="12"/>
  <c r="U1328" i="12"/>
  <c r="U1330" i="12"/>
  <c r="U1332" i="12"/>
  <c r="U1334" i="12"/>
  <c r="U1336" i="12"/>
  <c r="U1338" i="12"/>
  <c r="U1340" i="12"/>
  <c r="U1342" i="12"/>
  <c r="U1344" i="12"/>
  <c r="U1346" i="12"/>
  <c r="U1348" i="12"/>
  <c r="U1350" i="12"/>
  <c r="U1352" i="12"/>
  <c r="U1354" i="12"/>
  <c r="U1356" i="12"/>
  <c r="U1358" i="12"/>
  <c r="U1360" i="12"/>
  <c r="U1362" i="12"/>
  <c r="U1364" i="12"/>
  <c r="U1366" i="12"/>
  <c r="U1368" i="12"/>
  <c r="U1370" i="12"/>
  <c r="U1372" i="12"/>
  <c r="U1374" i="12"/>
  <c r="U1376" i="12"/>
  <c r="U1378" i="12"/>
  <c r="U1380" i="12"/>
  <c r="U1382" i="12"/>
  <c r="U1384" i="12"/>
  <c r="U1386" i="12"/>
  <c r="U1388" i="12"/>
  <c r="U1390" i="12"/>
  <c r="U1392" i="12"/>
  <c r="U1394" i="12"/>
  <c r="U1396" i="12"/>
  <c r="U1398" i="12"/>
  <c r="U1400" i="12"/>
  <c r="U1402" i="12"/>
  <c r="U1404" i="12"/>
  <c r="U1406" i="12"/>
  <c r="U1408" i="12"/>
  <c r="U1410" i="12"/>
  <c r="U896" i="12"/>
  <c r="U898" i="12"/>
  <c r="U900" i="12"/>
  <c r="U1411" i="12"/>
  <c r="U1413" i="12"/>
  <c r="U1415" i="12"/>
  <c r="U1417" i="12"/>
  <c r="U1419" i="12"/>
  <c r="U1421" i="12"/>
  <c r="U1423" i="12"/>
  <c r="U1425" i="12"/>
  <c r="U1427" i="12"/>
  <c r="U1429" i="12"/>
  <c r="U1431" i="12"/>
  <c r="U1433" i="12"/>
  <c r="U1435" i="12"/>
  <c r="U1437" i="12"/>
  <c r="U1439" i="12"/>
  <c r="U1441" i="12"/>
  <c r="U1443" i="12"/>
  <c r="U1445" i="12"/>
  <c r="U1447" i="12"/>
  <c r="U1449" i="12"/>
  <c r="U1451" i="12"/>
  <c r="U1453" i="12"/>
  <c r="U1455" i="12"/>
  <c r="U1457" i="12"/>
  <c r="U1459" i="12"/>
  <c r="U1461" i="12"/>
  <c r="U1463" i="12"/>
  <c r="U1465" i="12"/>
  <c r="U1467" i="12"/>
  <c r="U1469" i="12"/>
  <c r="U1471" i="12"/>
  <c r="U1473" i="12"/>
  <c r="U1475" i="12"/>
  <c r="U1477" i="12"/>
  <c r="U1479" i="12"/>
  <c r="U1481" i="12"/>
  <c r="U1483" i="12"/>
  <c r="U1485" i="12"/>
  <c r="U1487" i="12"/>
  <c r="U1489" i="12"/>
  <c r="U1491" i="12"/>
  <c r="U1493" i="12"/>
  <c r="U1495" i="12"/>
  <c r="U1497" i="12"/>
  <c r="U1499" i="12"/>
  <c r="U1501" i="12"/>
  <c r="U1503" i="12"/>
  <c r="U1505" i="12"/>
  <c r="U1507" i="12"/>
  <c r="U1509" i="12"/>
  <c r="U1511" i="12"/>
  <c r="U1513" i="12"/>
  <c r="U1515" i="12"/>
  <c r="U1517" i="12"/>
  <c r="U1519" i="12"/>
  <c r="U1521" i="12"/>
  <c r="U1523" i="12"/>
  <c r="U1525" i="12"/>
  <c r="U1527" i="12"/>
  <c r="U1529" i="12"/>
  <c r="U1531" i="12"/>
  <c r="U1533" i="12"/>
  <c r="U1535" i="12"/>
  <c r="U1537" i="12"/>
  <c r="U1539" i="12"/>
  <c r="U1541" i="12"/>
  <c r="U1543" i="12"/>
  <c r="U1545" i="12"/>
  <c r="U1547" i="12"/>
  <c r="U1549" i="12"/>
  <c r="U1551" i="12"/>
  <c r="U1553" i="12"/>
  <c r="U1555" i="12"/>
  <c r="U1557" i="12"/>
  <c r="U1559" i="12"/>
  <c r="U1561" i="12"/>
  <c r="U1563" i="12"/>
  <c r="U1565" i="12"/>
  <c r="U1567" i="12"/>
  <c r="U1569" i="12"/>
  <c r="U1571" i="12"/>
  <c r="U1573" i="12"/>
  <c r="W3608" i="12"/>
  <c r="W3605" i="12"/>
  <c r="W3601" i="12"/>
  <c r="W3597" i="12"/>
  <c r="W3593" i="12"/>
  <c r="W3589" i="12"/>
  <c r="W3585" i="12"/>
  <c r="W3581" i="12"/>
  <c r="W3577" i="12"/>
  <c r="W3573" i="12"/>
  <c r="W3569" i="12"/>
  <c r="W3565" i="12"/>
  <c r="W3561" i="12"/>
  <c r="W3557" i="12"/>
  <c r="W3553" i="12"/>
  <c r="W3549" i="12"/>
  <c r="W3545" i="12"/>
  <c r="W3543" i="12"/>
  <c r="W3539" i="12"/>
  <c r="W3535" i="12"/>
  <c r="W3531" i="12"/>
  <c r="W3527" i="12"/>
  <c r="W3523" i="12"/>
  <c r="W3519" i="12"/>
  <c r="W3515" i="12"/>
  <c r="W3511" i="12"/>
  <c r="W3507" i="12"/>
  <c r="W3503" i="12"/>
  <c r="W3499" i="12"/>
  <c r="W3495" i="12"/>
  <c r="W3491" i="12"/>
  <c r="W3487" i="12"/>
  <c r="W3483" i="12"/>
  <c r="W3479" i="12"/>
  <c r="W3475" i="12"/>
  <c r="W3471" i="12"/>
  <c r="W3467" i="12"/>
  <c r="W3463" i="12"/>
  <c r="W3459" i="12"/>
  <c r="W3453" i="12"/>
  <c r="W3607" i="12"/>
  <c r="W9" i="12"/>
  <c r="W3604" i="12"/>
  <c r="W3602" i="12"/>
  <c r="W3600" i="12"/>
  <c r="W3598" i="12"/>
  <c r="W3596" i="12"/>
  <c r="W3594" i="12"/>
  <c r="W3592" i="12"/>
  <c r="W3590" i="12"/>
  <c r="W3588" i="12"/>
  <c r="W3586" i="12"/>
  <c r="W3584" i="12"/>
  <c r="W3582" i="12"/>
  <c r="W3580" i="12"/>
  <c r="W3578" i="12"/>
  <c r="W3576" i="12"/>
  <c r="W3574" i="12"/>
  <c r="W3572" i="12"/>
  <c r="W3570" i="12"/>
  <c r="W3568" i="12"/>
  <c r="W3566" i="12"/>
  <c r="W3564" i="12"/>
  <c r="W3562" i="12"/>
  <c r="W3560" i="12"/>
  <c r="W3558" i="12"/>
  <c r="W3556" i="12"/>
  <c r="W3554" i="12"/>
  <c r="W3552" i="12"/>
  <c r="W3550" i="12"/>
  <c r="W3548" i="12"/>
  <c r="W3546" i="12"/>
  <c r="W3544" i="12"/>
  <c r="W3542" i="12"/>
  <c r="W3540" i="12"/>
  <c r="W3538" i="12"/>
  <c r="W3536" i="12"/>
  <c r="W3534" i="12"/>
  <c r="W3532" i="12"/>
  <c r="W3530" i="12"/>
  <c r="W3528" i="12"/>
  <c r="W3526" i="12"/>
  <c r="W3524" i="12"/>
  <c r="W3522" i="12"/>
  <c r="W3520" i="12"/>
  <c r="W3518" i="12"/>
  <c r="W3516" i="12"/>
  <c r="W3514" i="12"/>
  <c r="W3512" i="12"/>
  <c r="W3510" i="12"/>
  <c r="W3508" i="12"/>
  <c r="W3506" i="12"/>
  <c r="W3504" i="12"/>
  <c r="W3502" i="12"/>
  <c r="W3500" i="12"/>
  <c r="W3498" i="12"/>
  <c r="W3496" i="12"/>
  <c r="W3494" i="12"/>
  <c r="W3492" i="12"/>
  <c r="W3490" i="12"/>
  <c r="W3488" i="12"/>
  <c r="W3486" i="12"/>
  <c r="W3484" i="12"/>
  <c r="W3482" i="12"/>
  <c r="W3480" i="12"/>
  <c r="W3478" i="12"/>
  <c r="W3476" i="12"/>
  <c r="W3474" i="12"/>
  <c r="W3472" i="12"/>
  <c r="W3470" i="12"/>
  <c r="W3468" i="12"/>
  <c r="W3466" i="12"/>
  <c r="W3464" i="12"/>
  <c r="W3462" i="12"/>
  <c r="W3460" i="12"/>
  <c r="W3458" i="12"/>
  <c r="W3456" i="12"/>
  <c r="W3454" i="12"/>
  <c r="W3452" i="12"/>
  <c r="W3450" i="12"/>
  <c r="W3448" i="12"/>
  <c r="W3446" i="12"/>
  <c r="W3444" i="12"/>
  <c r="W3442" i="12"/>
  <c r="W3440" i="12"/>
  <c r="W3438" i="12"/>
  <c r="W3436" i="12"/>
  <c r="W3434" i="12"/>
  <c r="W3432" i="12"/>
  <c r="W3430" i="12"/>
  <c r="W3428" i="12"/>
  <c r="W3426" i="12"/>
  <c r="W3424" i="12"/>
  <c r="W3422" i="12"/>
  <c r="W3420" i="12"/>
  <c r="W3418" i="12"/>
  <c r="W3416" i="12"/>
  <c r="W3414" i="12"/>
  <c r="W3412" i="12"/>
  <c r="W3410" i="12"/>
  <c r="W3408" i="12"/>
  <c r="W3406" i="12"/>
  <c r="W3404" i="12"/>
  <c r="W3402" i="12"/>
  <c r="W3400" i="12"/>
  <c r="W3398" i="12"/>
  <c r="W3396" i="12"/>
  <c r="W3394" i="12"/>
  <c r="W3392" i="12"/>
  <c r="W3390" i="12"/>
  <c r="W3388" i="12"/>
  <c r="W3386" i="12"/>
  <c r="W3384" i="12"/>
  <c r="W3382" i="12"/>
  <c r="W3380" i="12"/>
  <c r="W3378" i="12"/>
  <c r="W3376" i="12"/>
  <c r="W3374" i="12"/>
  <c r="W3372" i="12"/>
  <c r="W3370" i="12"/>
  <c r="W3368" i="12"/>
  <c r="W3366" i="12"/>
  <c r="W3364" i="12"/>
  <c r="W3362" i="12"/>
  <c r="W3360" i="12"/>
  <c r="W3358" i="12"/>
  <c r="W3356" i="12"/>
  <c r="W3354" i="12"/>
  <c r="W3352" i="12"/>
  <c r="W3350" i="12"/>
  <c r="W3348" i="12"/>
  <c r="W3346" i="12"/>
  <c r="W3344" i="12"/>
  <c r="W3342" i="12"/>
  <c r="W3340" i="12"/>
  <c r="W3338" i="12"/>
  <c r="W3336" i="12"/>
  <c r="W3334" i="12"/>
  <c r="W3332" i="12"/>
  <c r="W3330" i="12"/>
  <c r="W3328" i="12"/>
  <c r="W3326" i="12"/>
  <c r="W3324" i="12"/>
  <c r="W3322" i="12"/>
  <c r="W3320" i="12"/>
  <c r="W3318" i="12"/>
  <c r="W3316" i="12"/>
  <c r="W3314" i="12"/>
  <c r="W3312" i="12"/>
  <c r="W3310" i="12"/>
  <c r="W3308" i="12"/>
  <c r="W3306" i="12"/>
  <c r="W3304" i="12"/>
  <c r="W3302" i="12"/>
  <c r="W3300" i="12"/>
  <c r="W3298" i="12"/>
  <c r="W3296" i="12"/>
  <c r="W3294" i="12"/>
  <c r="W3292" i="12"/>
  <c r="W3290" i="12"/>
  <c r="W3288" i="12"/>
  <c r="W3286" i="12"/>
  <c r="W3284" i="12"/>
  <c r="W3282" i="12"/>
  <c r="W3280" i="12"/>
  <c r="W3278" i="12"/>
  <c r="W3276" i="12"/>
  <c r="W3274" i="12"/>
  <c r="W3272" i="12"/>
  <c r="W3270" i="12"/>
  <c r="W3268" i="12"/>
  <c r="W3266" i="12"/>
  <c r="W3264" i="12"/>
  <c r="W3262" i="12"/>
  <c r="W3260" i="12"/>
  <c r="W3258" i="12"/>
  <c r="W3256" i="12"/>
  <c r="W3254" i="12"/>
  <c r="W3252" i="12"/>
  <c r="W3250" i="12"/>
  <c r="W3248" i="12"/>
  <c r="W3246" i="12"/>
  <c r="W3244" i="12"/>
  <c r="W3242" i="12"/>
  <c r="W3240" i="12"/>
  <c r="W3238" i="12"/>
  <c r="W3236" i="12"/>
  <c r="W3234" i="12"/>
  <c r="W3232" i="12"/>
  <c r="W3230" i="12"/>
  <c r="W3228" i="12"/>
  <c r="W3226" i="12"/>
  <c r="W3224" i="12"/>
  <c r="W3222" i="12"/>
  <c r="W3220" i="12"/>
  <c r="W3218" i="12"/>
  <c r="W3216" i="12"/>
  <c r="W3214" i="12"/>
  <c r="W3212" i="12"/>
  <c r="W3210" i="12"/>
  <c r="W3208" i="12"/>
  <c r="W3206" i="12"/>
  <c r="W3204" i="12"/>
  <c r="W3202" i="12"/>
  <c r="W3200" i="12"/>
  <c r="W3198" i="12"/>
  <c r="W3196" i="12"/>
  <c r="W3194" i="12"/>
  <c r="W3192" i="12"/>
  <c r="W3190" i="12"/>
  <c r="W3188" i="12"/>
  <c r="W3186" i="12"/>
  <c r="W3184" i="12"/>
  <c r="W3182" i="12"/>
  <c r="W3180" i="12"/>
  <c r="W3178" i="12"/>
  <c r="W3176" i="12"/>
  <c r="W3174" i="12"/>
  <c r="W3172" i="12"/>
  <c r="W3170" i="12"/>
  <c r="W3168" i="12"/>
  <c r="W3166" i="12"/>
  <c r="W3164" i="12"/>
  <c r="W3162" i="12"/>
  <c r="W3160" i="12"/>
  <c r="W3158" i="12"/>
  <c r="W3156" i="12"/>
  <c r="W3154" i="12"/>
  <c r="W3152" i="12"/>
  <c r="W3150" i="12"/>
  <c r="W3148" i="12"/>
  <c r="W3146" i="12"/>
  <c r="W3144" i="12"/>
  <c r="W3142" i="12"/>
  <c r="W3140" i="12"/>
  <c r="W3138" i="12"/>
  <c r="W3136" i="12"/>
  <c r="W3134" i="12"/>
  <c r="W3132" i="12"/>
  <c r="W3130" i="12"/>
  <c r="W3128" i="12"/>
  <c r="W3126" i="12"/>
  <c r="W3124" i="12"/>
  <c r="W3122" i="12"/>
  <c r="W3120" i="12"/>
  <c r="W3118" i="12"/>
  <c r="W3116" i="12"/>
  <c r="W3114" i="12"/>
  <c r="W3112" i="12"/>
  <c r="W3110" i="12"/>
  <c r="W3108" i="12"/>
  <c r="W3106" i="12"/>
  <c r="W3104" i="12"/>
  <c r="W3102" i="12"/>
  <c r="W3100" i="12"/>
  <c r="W3098" i="12"/>
  <c r="W3096" i="12"/>
  <c r="W3094" i="12"/>
  <c r="W3092" i="12"/>
  <c r="W3090" i="12"/>
  <c r="W3088" i="12"/>
  <c r="W3086" i="12"/>
  <c r="W3084" i="12"/>
  <c r="W3082" i="12"/>
  <c r="W3080" i="12"/>
  <c r="W3078" i="12"/>
  <c r="W3076" i="12"/>
  <c r="W3074" i="12"/>
  <c r="W3072" i="12"/>
  <c r="W3070" i="12"/>
  <c r="W3068" i="12"/>
  <c r="W3066" i="12"/>
  <c r="W3064" i="12"/>
  <c r="W3062" i="12"/>
  <c r="W3060" i="12"/>
  <c r="W3058" i="12"/>
  <c r="W3056" i="12"/>
  <c r="W3054" i="12"/>
  <c r="W3052" i="12"/>
  <c r="W3050" i="12"/>
  <c r="W3048" i="12"/>
  <c r="W3046" i="12"/>
  <c r="W3044" i="12"/>
  <c r="W3042" i="12"/>
  <c r="W3040" i="12"/>
  <c r="W3038" i="12"/>
  <c r="W3036" i="12"/>
  <c r="W3034" i="12"/>
  <c r="W3032" i="12"/>
  <c r="W3030" i="12"/>
  <c r="W3028" i="12"/>
  <c r="W3026" i="12"/>
  <c r="W3024" i="12"/>
  <c r="W3022" i="12"/>
  <c r="W3020" i="12"/>
  <c r="W3018" i="12"/>
  <c r="W3016" i="12"/>
  <c r="W3014" i="12"/>
  <c r="W3012" i="12"/>
  <c r="W3010" i="12"/>
  <c r="W3008" i="12"/>
  <c r="W3006" i="12"/>
  <c r="W3004" i="12"/>
  <c r="W3002" i="12"/>
  <c r="W3000" i="12"/>
  <c r="W2998" i="12"/>
  <c r="W2996" i="12"/>
  <c r="W2994" i="12"/>
  <c r="W2992" i="12"/>
  <c r="W2990" i="12"/>
  <c r="W2988" i="12"/>
  <c r="W2986" i="12"/>
  <c r="W2984" i="12"/>
  <c r="W2982" i="12"/>
  <c r="W2980" i="12"/>
  <c r="W2978" i="12"/>
  <c r="W2976" i="12"/>
  <c r="W2974" i="12"/>
  <c r="W2972" i="12"/>
  <c r="W2970" i="12"/>
  <c r="W2968" i="12"/>
  <c r="W2966" i="12"/>
  <c r="W2964" i="12"/>
  <c r="W2962" i="12"/>
  <c r="W2960" i="12"/>
  <c r="W2958" i="12"/>
  <c r="W2956" i="12"/>
  <c r="W2954" i="12"/>
  <c r="W2952" i="12"/>
  <c r="W2950" i="12"/>
  <c r="W2948" i="12"/>
  <c r="W2946" i="12"/>
  <c r="W2944" i="12"/>
  <c r="W2942" i="12"/>
  <c r="W2940" i="12"/>
  <c r="W2938" i="12"/>
  <c r="W2936" i="12"/>
  <c r="W2934" i="12"/>
  <c r="W2932" i="12"/>
  <c r="W2930" i="12"/>
  <c r="W2928" i="12"/>
  <c r="W2926" i="12"/>
  <c r="W2924" i="12"/>
  <c r="W2922" i="12"/>
  <c r="W2920" i="12"/>
  <c r="W2918" i="12"/>
  <c r="W2916" i="12"/>
  <c r="W2914" i="12"/>
  <c r="W2912" i="12"/>
  <c r="W2910" i="12"/>
  <c r="W2908" i="12"/>
  <c r="W2906" i="12"/>
  <c r="W2904" i="12"/>
  <c r="W2902" i="12"/>
  <c r="W2900" i="12"/>
  <c r="W2898" i="12"/>
  <c r="W2896" i="12"/>
  <c r="W2894" i="12"/>
  <c r="W2892" i="12"/>
  <c r="W2890" i="12"/>
  <c r="W2888" i="12"/>
  <c r="W2886" i="12"/>
  <c r="W2884" i="12"/>
  <c r="W2882" i="12"/>
  <c r="W2880" i="12"/>
  <c r="W2878" i="12"/>
  <c r="W2876" i="12"/>
  <c r="W2874" i="12"/>
  <c r="W2872" i="12"/>
  <c r="W2870" i="12"/>
  <c r="W2868" i="12"/>
  <c r="W2866" i="12"/>
  <c r="W2864" i="12"/>
  <c r="W2862" i="12"/>
  <c r="W2860" i="12"/>
  <c r="W2858" i="12"/>
  <c r="W2856" i="12"/>
  <c r="W2854" i="12"/>
  <c r="W2852" i="12"/>
  <c r="W2850" i="12"/>
  <c r="W2848" i="12"/>
  <c r="W2846" i="12"/>
  <c r="W2844" i="12"/>
  <c r="W2842" i="12"/>
  <c r="W2840" i="12"/>
  <c r="W2838" i="12"/>
  <c r="W2836" i="12"/>
  <c r="W2834" i="12"/>
  <c r="W2832" i="12"/>
  <c r="W2830" i="12"/>
  <c r="W2828" i="12"/>
  <c r="W2826" i="12"/>
  <c r="W2824" i="12"/>
  <c r="W2822" i="12"/>
  <c r="W2820" i="12"/>
  <c r="W2818" i="12"/>
  <c r="W2816" i="12"/>
  <c r="W2814" i="12"/>
  <c r="W2812" i="12"/>
  <c r="W2810" i="12"/>
  <c r="W2808" i="12"/>
  <c r="W2806" i="12"/>
  <c r="W2804" i="12"/>
  <c r="W2802" i="12"/>
  <c r="W2800" i="12"/>
  <c r="W2798" i="12"/>
  <c r="W2796" i="12"/>
  <c r="W2794" i="12"/>
  <c r="W2792" i="12"/>
  <c r="W2790" i="12"/>
  <c r="W2788" i="12"/>
  <c r="W2786" i="12"/>
  <c r="W2784" i="12"/>
  <c r="W2782" i="12"/>
  <c r="W2780" i="12"/>
  <c r="W2778" i="12"/>
  <c r="W2776" i="12"/>
  <c r="W2774" i="12"/>
  <c r="W2772" i="12"/>
  <c r="W2770" i="12"/>
  <c r="W2768" i="12"/>
  <c r="W2766" i="12"/>
  <c r="W2764" i="12"/>
  <c r="W2762" i="12"/>
  <c r="W2760" i="12"/>
  <c r="W2758" i="12"/>
  <c r="W2756" i="12"/>
  <c r="W2754" i="12"/>
  <c r="W2752" i="12"/>
  <c r="W2750" i="12"/>
  <c r="W2748" i="12"/>
  <c r="W2746" i="12"/>
  <c r="W2744" i="12"/>
  <c r="W2742" i="12"/>
  <c r="W2740" i="12"/>
  <c r="W2738" i="12"/>
  <c r="W2736" i="12"/>
  <c r="W2734" i="12"/>
  <c r="W2732" i="12"/>
  <c r="W2730" i="12"/>
  <c r="W2728" i="12"/>
  <c r="W2726" i="12"/>
  <c r="W2724" i="12"/>
  <c r="W2722" i="12"/>
  <c r="W2720" i="12"/>
  <c r="W2718" i="12"/>
  <c r="W2716" i="12"/>
  <c r="W2714" i="12"/>
  <c r="W2712" i="12"/>
  <c r="W2710" i="12"/>
  <c r="W2708" i="12"/>
  <c r="W2706" i="12"/>
  <c r="W2704" i="12"/>
  <c r="W2702" i="12"/>
  <c r="W2700" i="12"/>
  <c r="W2698" i="12"/>
  <c r="W2696" i="12"/>
  <c r="W2694" i="12"/>
  <c r="W2692" i="12"/>
  <c r="W2690" i="12"/>
  <c r="W2688" i="12"/>
  <c r="W2686" i="12"/>
  <c r="W2684" i="12"/>
  <c r="W2682" i="12"/>
  <c r="W2680" i="12"/>
  <c r="W2678" i="12"/>
  <c r="W2676" i="12"/>
  <c r="W2674" i="12"/>
  <c r="W2672" i="12"/>
  <c r="W2670" i="12"/>
  <c r="W2668" i="12"/>
  <c r="W2666" i="12"/>
  <c r="W2664" i="12"/>
  <c r="W2662" i="12"/>
  <c r="W2660" i="12"/>
  <c r="W2658" i="12"/>
  <c r="W2656" i="12"/>
  <c r="W2654" i="12"/>
  <c r="W2652" i="12"/>
  <c r="W2650" i="12"/>
  <c r="W2648" i="12"/>
  <c r="W2646" i="12"/>
  <c r="W2644" i="12"/>
  <c r="W2642" i="12"/>
  <c r="W2640" i="12"/>
  <c r="W2638" i="12"/>
  <c r="W2636" i="12"/>
  <c r="W2634" i="12"/>
  <c r="W2632" i="12"/>
  <c r="W2630" i="12"/>
  <c r="W2628" i="12"/>
  <c r="W2626" i="12"/>
  <c r="W2624" i="12"/>
  <c r="W2622" i="12"/>
  <c r="W2620" i="12"/>
  <c r="W2618" i="12"/>
  <c r="W2616" i="12"/>
  <c r="W2614" i="12"/>
  <c r="W2612" i="12"/>
  <c r="W2610" i="12"/>
  <c r="W2608" i="12"/>
  <c r="W2606" i="12"/>
  <c r="W2604" i="12"/>
  <c r="W2602" i="12"/>
  <c r="W2600" i="12"/>
  <c r="W2598" i="12"/>
  <c r="W2596" i="12"/>
  <c r="W2594" i="12"/>
  <c r="W2592" i="12"/>
  <c r="W2590" i="12"/>
  <c r="W2588" i="12"/>
  <c r="W2586" i="12"/>
  <c r="W2584" i="12"/>
  <c r="W2582" i="12"/>
  <c r="W2580" i="12"/>
  <c r="W2578" i="12"/>
  <c r="W2576" i="12"/>
  <c r="W2574" i="12"/>
  <c r="W2572" i="12"/>
  <c r="W2570" i="12"/>
  <c r="W2568" i="12"/>
  <c r="W2566" i="12"/>
  <c r="W2564" i="12"/>
  <c r="W2562" i="12"/>
  <c r="W2560" i="12"/>
  <c r="W2558" i="12"/>
  <c r="W2556" i="12"/>
  <c r="W2554" i="12"/>
  <c r="W2552" i="12"/>
  <c r="W2550" i="12"/>
  <c r="W2548" i="12"/>
  <c r="W2546" i="12"/>
  <c r="W2544" i="12"/>
  <c r="W2542" i="12"/>
  <c r="W2540" i="12"/>
  <c r="W2538" i="12"/>
  <c r="W2536" i="12"/>
  <c r="W2534" i="12"/>
  <c r="W2532" i="12"/>
  <c r="W2530" i="12"/>
  <c r="W2528" i="12"/>
  <c r="W2526" i="12"/>
  <c r="W2524" i="12"/>
  <c r="W2522" i="12"/>
  <c r="W2520" i="12"/>
  <c r="W2518" i="12"/>
  <c r="W2516" i="12"/>
  <c r="W2514" i="12"/>
  <c r="W2512" i="12"/>
  <c r="W2510" i="12"/>
  <c r="W2508" i="12"/>
  <c r="W2506" i="12"/>
  <c r="W2504" i="12"/>
  <c r="W2502" i="12"/>
  <c r="W2500" i="12"/>
  <c r="W2498" i="12"/>
  <c r="W2496" i="12"/>
  <c r="W2494" i="12"/>
  <c r="W2492" i="12"/>
  <c r="W2490" i="12"/>
  <c r="W2488" i="12"/>
  <c r="W2486" i="12"/>
  <c r="W2484" i="12"/>
  <c r="W2482" i="12"/>
  <c r="W2480" i="12"/>
  <c r="W2478" i="12"/>
  <c r="W2476" i="12"/>
  <c r="W2474" i="12"/>
  <c r="W2472" i="12"/>
  <c r="W2470" i="12"/>
  <c r="W2468" i="12"/>
  <c r="W2466" i="12"/>
  <c r="W2464" i="12"/>
  <c r="W2462" i="12"/>
  <c r="W2460" i="12"/>
  <c r="W2458" i="12"/>
  <c r="W2456" i="12"/>
  <c r="W2454" i="12"/>
  <c r="W2452" i="12"/>
  <c r="W2450" i="12"/>
  <c r="W2448" i="12"/>
  <c r="W2446" i="12"/>
  <c r="W2444" i="12"/>
  <c r="W2442" i="12"/>
  <c r="W2440" i="12"/>
  <c r="W2438" i="12"/>
  <c r="W2436" i="12"/>
  <c r="W2434" i="12"/>
  <c r="W2432" i="12"/>
  <c r="W2430" i="12"/>
  <c r="W2428" i="12"/>
  <c r="W2426" i="12"/>
  <c r="W2424" i="12"/>
  <c r="W2422" i="12"/>
  <c r="W2420" i="12"/>
  <c r="W2418" i="12"/>
  <c r="W2416" i="12"/>
  <c r="W2414" i="12"/>
  <c r="W2412" i="12"/>
  <c r="W2410" i="12"/>
  <c r="W2408" i="12"/>
  <c r="W2406" i="12"/>
  <c r="W2404" i="12"/>
  <c r="W2402" i="12"/>
  <c r="W2400" i="12"/>
  <c r="W2398" i="12"/>
  <c r="W2396" i="12"/>
  <c r="W2394" i="12"/>
  <c r="W2392" i="12"/>
  <c r="W2390" i="12"/>
  <c r="W2388" i="12"/>
  <c r="W2386" i="12"/>
  <c r="W2384" i="12"/>
  <c r="W2382" i="12"/>
  <c r="W2380" i="12"/>
  <c r="W2378" i="12"/>
  <c r="W2376" i="12"/>
  <c r="W2374" i="12"/>
  <c r="W2372" i="12"/>
  <c r="W2370" i="12"/>
  <c r="W2368" i="12"/>
  <c r="W2366" i="12"/>
  <c r="W2364" i="12"/>
  <c r="W2362" i="12"/>
  <c r="W2360" i="12"/>
  <c r="W2358" i="12"/>
  <c r="W2356" i="12"/>
  <c r="W2354" i="12"/>
  <c r="W2352" i="12"/>
  <c r="W2350" i="12"/>
  <c r="W2348" i="12"/>
  <c r="W2346" i="12"/>
  <c r="W2344" i="12"/>
  <c r="W2342" i="12"/>
  <c r="W2340" i="12"/>
  <c r="W2338" i="12"/>
  <c r="W2336" i="12"/>
  <c r="W2334" i="12"/>
  <c r="W2332" i="12"/>
  <c r="W2330" i="12"/>
  <c r="W2328" i="12"/>
  <c r="W2326" i="12"/>
  <c r="W2324" i="12"/>
  <c r="W2322" i="12"/>
  <c r="W2320" i="12"/>
  <c r="W2318" i="12"/>
  <c r="W2316" i="12"/>
  <c r="W2314" i="12"/>
  <c r="W2312" i="12"/>
  <c r="W2310" i="12"/>
  <c r="W2308" i="12"/>
  <c r="W2306" i="12"/>
  <c r="W2304" i="12"/>
  <c r="W2302" i="12"/>
  <c r="W2300" i="12"/>
  <c r="W2298" i="12"/>
  <c r="W2296" i="12"/>
  <c r="W2294" i="12"/>
  <c r="W2292" i="12"/>
  <c r="W2290" i="12"/>
  <c r="W2288" i="12"/>
  <c r="W2286" i="12"/>
  <c r="W2284" i="12"/>
  <c r="W2282" i="12"/>
  <c r="W2280" i="12"/>
  <c r="W2278" i="12"/>
  <c r="W2276" i="12"/>
  <c r="W2274" i="12"/>
  <c r="W2272" i="12"/>
  <c r="W2270" i="12"/>
  <c r="W2268" i="12"/>
  <c r="W2266" i="12"/>
  <c r="W2264" i="12"/>
  <c r="W2262" i="12"/>
  <c r="W2260" i="12"/>
  <c r="W2258" i="12"/>
  <c r="W2256" i="12"/>
  <c r="W2254" i="12"/>
  <c r="W2252" i="12"/>
  <c r="W2250" i="12"/>
  <c r="W2248" i="12"/>
  <c r="W2246" i="12"/>
  <c r="W2244" i="12"/>
  <c r="W2242" i="12"/>
  <c r="W2240" i="12"/>
  <c r="W2238" i="12"/>
  <c r="W2236" i="12"/>
  <c r="W2234" i="12"/>
  <c r="W2232" i="12"/>
  <c r="W2230" i="12"/>
  <c r="W2228" i="12"/>
  <c r="W2226" i="12"/>
  <c r="W2224" i="12"/>
  <c r="W2222" i="12"/>
  <c r="W2220" i="12"/>
  <c r="W2218" i="12"/>
  <c r="W2216" i="12"/>
  <c r="W2214" i="12"/>
  <c r="W2212" i="12"/>
  <c r="W2210" i="12"/>
  <c r="W2208" i="12"/>
  <c r="W2206" i="12"/>
  <c r="W2204" i="12"/>
  <c r="W2202" i="12"/>
  <c r="W2200" i="12"/>
  <c r="W2198" i="12"/>
  <c r="W2196" i="12"/>
  <c r="W2194" i="12"/>
  <c r="W2192" i="12"/>
  <c r="W2190" i="12"/>
  <c r="W2188" i="12"/>
  <c r="W2186" i="12"/>
  <c r="W2184" i="12"/>
  <c r="W2182" i="12"/>
  <c r="W2180" i="12"/>
  <c r="W2178" i="12"/>
  <c r="W2176" i="12"/>
  <c r="W2174" i="12"/>
  <c r="W2172" i="12"/>
  <c r="W2170" i="12"/>
  <c r="W2168" i="12"/>
  <c r="W2166" i="12"/>
  <c r="W2164" i="12"/>
  <c r="W2162" i="12"/>
  <c r="W2160" i="12"/>
  <c r="W2158" i="12"/>
  <c r="W2156" i="12"/>
  <c r="W2154" i="12"/>
  <c r="W2152" i="12"/>
  <c r="W2150" i="12"/>
  <c r="W2148" i="12"/>
  <c r="W2146" i="12"/>
  <c r="W2144" i="12"/>
  <c r="W2142" i="12"/>
  <c r="W2140" i="12"/>
  <c r="W2138" i="12"/>
  <c r="W2136" i="12"/>
  <c r="W2134" i="12"/>
  <c r="W2132" i="12"/>
  <c r="W2130" i="12"/>
  <c r="W2128" i="12"/>
  <c r="W2126" i="12"/>
  <c r="W2124" i="12"/>
  <c r="W2122" i="12"/>
  <c r="W2120" i="12"/>
  <c r="W2118" i="12"/>
  <c r="W2116" i="12"/>
  <c r="W2114" i="12"/>
  <c r="W2112" i="12"/>
  <c r="W2110" i="12"/>
  <c r="W2108" i="12"/>
  <c r="W2106" i="12"/>
  <c r="W2104" i="12"/>
  <c r="W2102" i="12"/>
  <c r="W2100" i="12"/>
  <c r="W2098" i="12"/>
  <c r="W2096" i="12"/>
  <c r="W2094" i="12"/>
  <c r="W2092" i="12"/>
  <c r="W2090" i="12"/>
  <c r="W2088" i="12"/>
  <c r="W2086" i="12"/>
  <c r="W2084" i="12"/>
  <c r="W2082" i="12"/>
  <c r="W2080" i="12"/>
  <c r="W2078" i="12"/>
  <c r="W2076" i="12"/>
  <c r="W2074" i="12"/>
  <c r="W2072" i="12"/>
  <c r="W2070" i="12"/>
  <c r="W2068" i="12"/>
  <c r="W2066" i="12"/>
  <c r="W2064" i="12"/>
  <c r="W2062" i="12"/>
  <c r="W2060" i="12"/>
  <c r="W2058" i="12"/>
  <c r="W2056" i="12"/>
  <c r="W2054" i="12"/>
  <c r="W2052" i="12"/>
  <c r="W2050" i="12"/>
  <c r="W2048" i="12"/>
  <c r="W2046" i="12"/>
  <c r="W2044" i="12"/>
  <c r="W2042" i="12"/>
  <c r="W2040" i="12"/>
  <c r="W2038" i="12"/>
  <c r="W2036" i="12"/>
  <c r="W2034" i="12"/>
  <c r="W2032" i="12"/>
  <c r="W2030" i="12"/>
  <c r="W2028" i="12"/>
  <c r="W2026" i="12"/>
  <c r="W2024" i="12"/>
  <c r="W2022" i="12"/>
  <c r="W2020" i="12"/>
  <c r="W2018" i="12"/>
  <c r="W2016" i="12"/>
  <c r="W2014" i="12"/>
  <c r="W2012" i="12"/>
  <c r="W2010" i="12"/>
  <c r="W2008" i="12"/>
  <c r="W2006" i="12"/>
  <c r="W2004" i="12"/>
  <c r="W2002" i="12"/>
  <c r="W2000" i="12"/>
  <c r="W1998" i="12"/>
  <c r="W1996" i="12"/>
  <c r="W1994" i="12"/>
  <c r="W1992" i="12"/>
  <c r="W1990" i="12"/>
  <c r="W1988" i="12"/>
  <c r="W1986" i="12"/>
  <c r="W1984" i="12"/>
  <c r="W1982" i="12"/>
  <c r="W1980" i="12"/>
  <c r="W1978" i="12"/>
  <c r="W1976" i="12"/>
  <c r="W1974" i="12"/>
  <c r="W1972" i="12"/>
  <c r="W1970" i="12"/>
  <c r="W1968" i="12"/>
  <c r="W1966" i="12"/>
  <c r="W1964" i="12"/>
  <c r="W1962" i="12"/>
  <c r="W1960" i="12"/>
  <c r="W1958" i="12"/>
  <c r="W1956" i="12"/>
  <c r="W1954" i="12"/>
  <c r="W1952" i="12"/>
  <c r="W1950" i="12"/>
  <c r="W1948" i="12"/>
  <c r="W1946" i="12"/>
  <c r="W1944" i="12"/>
  <c r="W1942" i="12"/>
  <c r="W1940" i="12"/>
  <c r="W1938" i="12"/>
  <c r="W1936" i="12"/>
  <c r="W1934" i="12"/>
  <c r="W1932" i="12"/>
  <c r="W1930" i="12"/>
  <c r="W1928" i="12"/>
  <c r="W1926" i="12"/>
  <c r="W1924" i="12"/>
  <c r="W1922" i="12"/>
  <c r="W1920" i="12"/>
  <c r="W1918" i="12"/>
  <c r="W1916" i="12"/>
  <c r="W1914" i="12"/>
  <c r="W1912" i="12"/>
  <c r="W1910" i="12"/>
  <c r="W1908" i="12"/>
  <c r="W1906" i="12"/>
  <c r="W1904" i="12"/>
  <c r="W1902" i="12"/>
  <c r="W1900" i="12"/>
  <c r="W1898" i="12"/>
  <c r="W1896" i="12"/>
  <c r="W1894" i="12"/>
  <c r="W1892" i="12"/>
  <c r="W1890" i="12"/>
  <c r="W1888" i="12"/>
  <c r="W1886" i="12"/>
  <c r="W1884" i="12"/>
  <c r="W1882" i="12"/>
  <c r="W1880" i="12"/>
  <c r="W1878" i="12"/>
  <c r="W1876" i="12"/>
  <c r="W1874" i="12"/>
  <c r="W1872" i="12"/>
  <c r="W1870" i="12"/>
  <c r="W1868" i="12"/>
  <c r="W1866" i="12"/>
  <c r="W1864" i="12"/>
  <c r="W1862" i="12"/>
  <c r="W1860" i="12"/>
  <c r="W1858" i="12"/>
  <c r="W1856" i="12"/>
  <c r="W1854" i="12"/>
  <c r="W1852" i="12"/>
  <c r="W1850" i="12"/>
  <c r="W1848" i="12"/>
  <c r="W1846" i="12"/>
  <c r="W1844" i="12"/>
  <c r="W1842" i="12"/>
  <c r="W1840" i="12"/>
  <c r="W1838" i="12"/>
  <c r="W1836" i="12"/>
  <c r="W1834" i="12"/>
  <c r="W1832" i="12"/>
  <c r="W1830" i="12"/>
  <c r="W1828" i="12"/>
  <c r="W1826" i="12"/>
  <c r="W1824" i="12"/>
  <c r="W1822" i="12"/>
  <c r="W1820" i="12"/>
  <c r="W1818" i="12"/>
  <c r="W1816" i="12"/>
  <c r="W1814" i="12"/>
  <c r="W1812" i="12"/>
  <c r="W1810" i="12"/>
  <c r="W1808" i="12"/>
  <c r="W1806" i="12"/>
  <c r="W1804" i="12"/>
  <c r="W1802" i="12"/>
  <c r="W1800" i="12"/>
  <c r="W1798" i="12"/>
  <c r="W1796" i="12"/>
  <c r="W1794" i="12"/>
  <c r="W1792" i="12"/>
  <c r="W1790" i="12"/>
  <c r="W1788" i="12"/>
  <c r="W1786" i="12"/>
  <c r="W1784" i="12"/>
  <c r="W1782" i="12"/>
  <c r="W1780" i="12"/>
  <c r="W1778" i="12"/>
  <c r="W1776" i="12"/>
  <c r="W1774" i="12"/>
  <c r="W1772" i="12"/>
  <c r="W1770" i="12"/>
  <c r="W1768" i="12"/>
  <c r="W1766" i="12"/>
  <c r="W1764" i="12"/>
  <c r="W1762" i="12"/>
  <c r="W1760" i="12"/>
  <c r="W1758" i="12"/>
  <c r="W1756" i="12"/>
  <c r="W1754" i="12"/>
  <c r="W1752" i="12"/>
  <c r="W1750" i="12"/>
  <c r="W1748" i="12"/>
  <c r="W1746" i="12"/>
  <c r="W1744" i="12"/>
  <c r="W1742" i="12"/>
  <c r="W1740" i="12"/>
  <c r="W1738" i="12"/>
  <c r="W1736" i="12"/>
  <c r="W1734" i="12"/>
  <c r="W1732" i="12"/>
  <c r="W1730" i="12"/>
  <c r="W1728" i="12"/>
  <c r="W1726" i="12"/>
  <c r="W1724" i="12"/>
  <c r="W1722" i="12"/>
  <c r="W1720" i="12"/>
  <c r="W1718" i="12"/>
  <c r="W1716" i="12"/>
  <c r="W1714" i="12"/>
  <c r="W1712" i="12"/>
  <c r="W1710" i="12"/>
  <c r="W1708" i="12"/>
  <c r="W1706" i="12"/>
  <c r="W1704" i="12"/>
  <c r="W1702" i="12"/>
  <c r="W1700" i="12"/>
  <c r="W1698" i="12"/>
  <c r="W1696" i="12"/>
  <c r="W1694" i="12"/>
  <c r="W1692" i="12"/>
  <c r="W1690" i="12"/>
  <c r="W1688" i="12"/>
  <c r="W1686" i="12"/>
  <c r="W1684" i="12"/>
  <c r="W1682" i="12"/>
  <c r="W1680" i="12"/>
  <c r="W1678" i="12"/>
  <c r="W1676" i="12"/>
  <c r="W1674" i="12"/>
  <c r="W1672" i="12"/>
  <c r="W1670" i="12"/>
  <c r="W1668" i="12"/>
  <c r="W1666" i="12"/>
  <c r="W1664" i="12"/>
  <c r="W1662" i="12"/>
  <c r="W1660" i="12"/>
  <c r="W1658" i="12"/>
  <c r="W1656" i="12"/>
  <c r="W1654" i="12"/>
  <c r="W1652" i="12"/>
  <c r="W1650" i="12"/>
  <c r="W1648" i="12"/>
  <c r="W1646" i="12"/>
  <c r="W1644" i="12"/>
  <c r="W1642" i="12"/>
  <c r="W1640" i="12"/>
  <c r="W1638" i="12"/>
  <c r="W1636" i="12"/>
  <c r="W1634" i="12"/>
  <c r="W1632" i="12"/>
  <c r="W1630" i="12"/>
  <c r="W1628" i="12"/>
  <c r="W1626" i="12"/>
  <c r="W1624" i="12"/>
  <c r="W1622" i="12"/>
  <c r="W1620" i="12"/>
  <c r="W1618" i="12"/>
  <c r="W1616" i="12"/>
  <c r="W1614" i="12"/>
  <c r="W1612" i="12"/>
  <c r="W1610" i="12"/>
  <c r="W1608" i="12"/>
  <c r="W1606" i="12"/>
  <c r="W1604" i="12"/>
  <c r="W1602" i="12"/>
  <c r="W1600" i="12"/>
  <c r="W1598" i="12"/>
  <c r="W1596" i="12"/>
  <c r="W1594" i="12"/>
  <c r="W1592" i="12"/>
  <c r="W1590" i="12"/>
  <c r="W1588" i="12"/>
  <c r="W1586" i="12"/>
  <c r="W1584" i="12"/>
  <c r="W1582" i="12"/>
  <c r="W1580" i="12"/>
  <c r="W1578" i="12"/>
  <c r="W1576" i="12"/>
  <c r="W1574" i="12"/>
  <c r="W1572" i="12"/>
  <c r="W1570" i="12"/>
  <c r="W1568" i="12"/>
  <c r="W1566" i="12"/>
  <c r="W1564" i="12"/>
  <c r="W1562" i="12"/>
  <c r="W1560" i="12"/>
  <c r="W1558" i="12"/>
  <c r="W1556" i="12"/>
  <c r="W1554" i="12"/>
  <c r="W1552" i="12"/>
  <c r="W1550" i="12"/>
  <c r="W1548" i="12"/>
  <c r="W1546" i="12"/>
  <c r="W1544" i="12"/>
  <c r="W1542" i="12"/>
  <c r="W1540" i="12"/>
  <c r="W1538" i="12"/>
  <c r="W1536" i="12"/>
  <c r="W1534" i="12"/>
  <c r="W1532" i="12"/>
  <c r="W1530" i="12"/>
  <c r="W1528" i="12"/>
  <c r="W1526" i="12"/>
  <c r="W1524" i="12"/>
  <c r="W1522" i="12"/>
  <c r="W1520" i="12"/>
  <c r="W1518" i="12"/>
  <c r="W1516" i="12"/>
  <c r="W1514" i="12"/>
  <c r="W1512" i="12"/>
  <c r="W1510" i="12"/>
  <c r="W1508" i="12"/>
  <c r="W1506" i="12"/>
  <c r="W1504" i="12"/>
  <c r="W1502" i="12"/>
  <c r="W1500" i="12"/>
  <c r="W1498" i="12"/>
  <c r="W1496" i="12"/>
  <c r="W1494" i="12"/>
  <c r="W1492" i="12"/>
  <c r="W1490" i="12"/>
  <c r="W1488" i="12"/>
  <c r="W1486" i="12"/>
  <c r="W1484" i="12"/>
  <c r="W1482" i="12"/>
  <c r="W1480" i="12"/>
  <c r="W1478" i="12"/>
  <c r="W1476" i="12"/>
  <c r="W1474" i="12"/>
  <c r="W1472" i="12"/>
  <c r="W1470" i="12"/>
  <c r="W1468" i="12"/>
  <c r="W1466" i="12"/>
  <c r="W1464" i="12"/>
  <c r="W1462" i="12"/>
  <c r="W1460" i="12"/>
  <c r="W1458" i="12"/>
  <c r="W1456" i="12"/>
  <c r="W1454" i="12"/>
  <c r="W1452" i="12"/>
  <c r="W1450" i="12"/>
  <c r="W1448" i="12"/>
  <c r="W1446" i="12"/>
  <c r="W1444" i="12"/>
  <c r="W1442" i="12"/>
  <c r="W1440" i="12"/>
  <c r="W1438" i="12"/>
  <c r="W1436" i="12"/>
  <c r="W1434" i="12"/>
  <c r="W1432" i="12"/>
  <c r="W1430" i="12"/>
  <c r="W1428" i="12"/>
  <c r="W1426" i="12"/>
  <c r="W1424" i="12"/>
  <c r="W1422" i="12"/>
  <c r="W1420" i="12"/>
  <c r="W1418" i="12"/>
  <c r="W1416" i="12"/>
  <c r="W1414" i="12"/>
  <c r="W1412" i="12"/>
  <c r="W1410" i="12"/>
  <c r="W1408" i="12"/>
  <c r="W1406" i="12"/>
  <c r="W1404" i="12"/>
  <c r="W1402" i="12"/>
  <c r="W1400" i="12"/>
  <c r="W1398" i="12"/>
  <c r="W1396" i="12"/>
  <c r="W1394" i="12"/>
  <c r="W1392" i="12"/>
  <c r="W1390" i="12"/>
  <c r="W1388" i="12"/>
  <c r="W1386" i="12"/>
  <c r="W1384" i="12"/>
  <c r="W1382" i="12"/>
  <c r="W1380" i="12"/>
  <c r="W1378" i="12"/>
  <c r="W1376" i="12"/>
  <c r="W1374" i="12"/>
  <c r="W1372" i="12"/>
  <c r="W1370" i="12"/>
  <c r="W1368" i="12"/>
  <c r="W1366" i="12"/>
  <c r="W1364" i="12"/>
  <c r="W1362" i="12"/>
  <c r="W1360" i="12"/>
  <c r="W1358" i="12"/>
  <c r="W1356" i="12"/>
  <c r="W1354" i="12"/>
  <c r="W1352" i="12"/>
  <c r="W1350" i="12"/>
  <c r="W1348" i="12"/>
  <c r="W1346" i="12"/>
  <c r="W1344" i="12"/>
  <c r="W1342" i="12"/>
  <c r="W1340" i="12"/>
  <c r="W1338" i="12"/>
  <c r="W1336" i="12"/>
  <c r="W1334" i="12"/>
  <c r="W1332" i="12"/>
  <c r="W1330" i="12"/>
  <c r="W1328" i="12"/>
  <c r="W1326" i="12"/>
  <c r="W1324" i="12"/>
  <c r="W1322" i="12"/>
  <c r="W1320" i="12"/>
  <c r="W1318" i="12"/>
  <c r="W1316" i="12"/>
  <c r="W1314" i="12"/>
  <c r="W1312" i="12"/>
  <c r="W1310" i="12"/>
  <c r="W1308" i="12"/>
  <c r="W1306" i="12"/>
  <c r="W1304" i="12"/>
  <c r="W1302" i="12"/>
  <c r="W1300" i="12"/>
  <c r="W1298" i="12"/>
  <c r="W1296" i="12"/>
  <c r="W1294" i="12"/>
  <c r="W1292" i="12"/>
  <c r="W1290" i="12"/>
  <c r="W1288" i="12"/>
  <c r="W1286" i="12"/>
  <c r="W1284" i="12"/>
  <c r="W1282" i="12"/>
  <c r="W1280" i="12"/>
  <c r="W1278" i="12"/>
  <c r="W1276" i="12"/>
  <c r="W1274" i="12"/>
  <c r="W1272" i="12"/>
  <c r="W1270" i="12"/>
  <c r="W1268" i="12"/>
  <c r="W1266" i="12"/>
  <c r="W1264" i="12"/>
  <c r="W1262" i="12"/>
  <c r="W1260" i="12"/>
  <c r="W1258" i="12"/>
  <c r="W1256" i="12"/>
  <c r="W1254" i="12"/>
  <c r="W1252" i="12"/>
  <c r="W1250" i="12"/>
  <c r="W1248" i="12"/>
  <c r="W1246" i="12"/>
  <c r="W1244" i="12"/>
  <c r="W1242" i="12"/>
  <c r="W1240" i="12"/>
  <c r="W1238" i="12"/>
  <c r="W1236" i="12"/>
  <c r="W1234" i="12"/>
  <c r="W1232" i="12"/>
  <c r="W1230" i="12"/>
  <c r="W1228" i="12"/>
  <c r="W1226" i="12"/>
  <c r="W1224" i="12"/>
  <c r="W1222" i="12"/>
  <c r="W1220" i="12"/>
  <c r="W1218" i="12"/>
  <c r="W1216" i="12"/>
  <c r="W1214" i="12"/>
  <c r="W1212" i="12"/>
  <c r="W1210" i="12"/>
  <c r="W1208" i="12"/>
  <c r="W1206" i="12"/>
  <c r="W1204" i="12"/>
  <c r="W1202" i="12"/>
  <c r="W1200" i="12"/>
  <c r="W1198" i="12"/>
  <c r="W1196" i="12"/>
  <c r="W1194" i="12"/>
  <c r="W1192" i="12"/>
  <c r="W1190" i="12"/>
  <c r="W1188" i="12"/>
  <c r="W1186" i="12"/>
  <c r="W1184" i="12"/>
  <c r="W1182" i="12"/>
  <c r="W1180" i="12"/>
  <c r="W1178" i="12"/>
  <c r="W1176" i="12"/>
  <c r="W1174" i="12"/>
  <c r="W1172" i="12"/>
  <c r="W1170" i="12"/>
  <c r="W1168" i="12"/>
  <c r="W1166" i="12"/>
  <c r="W1164" i="12"/>
  <c r="W1162" i="12"/>
  <c r="W1160" i="12"/>
  <c r="W1158" i="12"/>
  <c r="W1156" i="12"/>
  <c r="W1154" i="12"/>
  <c r="W1152" i="12"/>
  <c r="W1150" i="12"/>
  <c r="W1148" i="12"/>
  <c r="W1146" i="12"/>
  <c r="W1144" i="12"/>
  <c r="W1142" i="12"/>
  <c r="W1140" i="12"/>
  <c r="W1138" i="12"/>
  <c r="W1136" i="12"/>
  <c r="W1134" i="12"/>
  <c r="W1132" i="12"/>
  <c r="W1130" i="12"/>
  <c r="W1128" i="12"/>
  <c r="W1126" i="12"/>
  <c r="W1124" i="12"/>
  <c r="W1122" i="12"/>
  <c r="W1120" i="12"/>
  <c r="W1118" i="12"/>
  <c r="W1116" i="12"/>
  <c r="W1114" i="12"/>
  <c r="W1112" i="12"/>
  <c r="W1110" i="12"/>
  <c r="W1108" i="12"/>
  <c r="W1106" i="12"/>
  <c r="W1104" i="12"/>
  <c r="W1102" i="12"/>
  <c r="W1100" i="12"/>
  <c r="W1098" i="12"/>
  <c r="W1096" i="12"/>
  <c r="W1094" i="12"/>
  <c r="W1092" i="12"/>
  <c r="W1090" i="12"/>
  <c r="W1088" i="12"/>
  <c r="W1086" i="12"/>
  <c r="W1084" i="12"/>
  <c r="W1082" i="12"/>
  <c r="W1080" i="12"/>
  <c r="W1078" i="12"/>
  <c r="W1076" i="12"/>
  <c r="W1074" i="12"/>
  <c r="W1072" i="12"/>
  <c r="W1070" i="12"/>
  <c r="W1068" i="12"/>
  <c r="W1066" i="12"/>
  <c r="W1064" i="12"/>
  <c r="W1062" i="12"/>
  <c r="W1060" i="12"/>
  <c r="W1058" i="12"/>
  <c r="W1056" i="12"/>
  <c r="W1054" i="12"/>
  <c r="W1052" i="12"/>
  <c r="W1050" i="12"/>
  <c r="W1048" i="12"/>
  <c r="W1046" i="12"/>
  <c r="W1044" i="12"/>
  <c r="W1042" i="12"/>
  <c r="W1040" i="12"/>
  <c r="W1038" i="12"/>
  <c r="W1036" i="12"/>
  <c r="W1034" i="12"/>
  <c r="W1032" i="12"/>
  <c r="W1030" i="12"/>
  <c r="W1028" i="12"/>
  <c r="W1026" i="12"/>
  <c r="W1024" i="12"/>
  <c r="W1022" i="12"/>
  <c r="W1020" i="12"/>
  <c r="W1018" i="12"/>
  <c r="W1016" i="12"/>
  <c r="W1014" i="12"/>
  <c r="W1012" i="12"/>
  <c r="W1010" i="12"/>
  <c r="W1008" i="12"/>
  <c r="W1006" i="12"/>
  <c r="W1004" i="12"/>
  <c r="W1002" i="12"/>
  <c r="W1000" i="12"/>
  <c r="W998" i="12"/>
  <c r="W996" i="12"/>
  <c r="W994" i="12"/>
  <c r="W992" i="12"/>
  <c r="W990" i="12"/>
  <c r="W988" i="12"/>
  <c r="W986" i="12"/>
  <c r="W984" i="12"/>
  <c r="W982" i="12"/>
  <c r="W980" i="12"/>
  <c r="W978" i="12"/>
  <c r="W976" i="12"/>
  <c r="W974" i="12"/>
  <c r="W972" i="12"/>
  <c r="W970" i="12"/>
  <c r="W968" i="12"/>
  <c r="W966" i="12"/>
  <c r="W964" i="12"/>
  <c r="W962" i="12"/>
  <c r="W960" i="12"/>
  <c r="W958" i="12"/>
  <c r="W956" i="12"/>
  <c r="W954" i="12"/>
  <c r="W952" i="12"/>
  <c r="W950" i="12"/>
  <c r="W948" i="12"/>
  <c r="W946" i="12"/>
  <c r="W944" i="12"/>
  <c r="W942" i="12"/>
  <c r="W940" i="12"/>
  <c r="W938" i="12"/>
  <c r="W936" i="12"/>
  <c r="W934" i="12"/>
  <c r="W932" i="12"/>
  <c r="W930" i="12"/>
  <c r="W928" i="12"/>
  <c r="W926" i="12"/>
  <c r="W924" i="12"/>
  <c r="W922" i="12"/>
  <c r="W920" i="12"/>
  <c r="W918" i="12"/>
  <c r="W916" i="12"/>
  <c r="W914" i="12"/>
  <c r="W912" i="12"/>
  <c r="W910" i="12"/>
  <c r="W908" i="12"/>
  <c r="W906" i="12"/>
  <c r="W904" i="12"/>
  <c r="W902" i="12"/>
  <c r="W900" i="12"/>
  <c r="W898" i="12"/>
  <c r="W896" i="12"/>
  <c r="W894" i="12"/>
  <c r="W892" i="12"/>
  <c r="W890" i="12"/>
  <c r="W888" i="12"/>
  <c r="W886" i="12"/>
  <c r="W884" i="12"/>
  <c r="W882" i="12"/>
  <c r="W880" i="12"/>
  <c r="W878" i="12"/>
  <c r="W876" i="12"/>
  <c r="W874" i="12"/>
  <c r="W872" i="12"/>
  <c r="W870" i="12"/>
  <c r="W868" i="12"/>
  <c r="W866" i="12"/>
  <c r="W864" i="12"/>
  <c r="W862" i="12"/>
  <c r="W860" i="12"/>
  <c r="W858" i="12"/>
  <c r="W856" i="12"/>
  <c r="W854" i="12"/>
  <c r="W852" i="12"/>
  <c r="W850" i="12"/>
  <c r="W848" i="12"/>
  <c r="W846" i="12"/>
  <c r="W844" i="12"/>
  <c r="W842" i="12"/>
  <c r="W840" i="12"/>
  <c r="W838" i="12"/>
  <c r="W836" i="12"/>
  <c r="W834" i="12"/>
  <c r="W832" i="12"/>
  <c r="W830" i="12"/>
  <c r="W828" i="12"/>
  <c r="W826" i="12"/>
  <c r="W824" i="12"/>
  <c r="W822" i="12"/>
  <c r="W820" i="12"/>
  <c r="W818" i="12"/>
  <c r="W816" i="12"/>
  <c r="W814" i="12"/>
  <c r="W812" i="12"/>
  <c r="W810" i="12"/>
  <c r="W808" i="12"/>
  <c r="W806" i="12"/>
  <c r="W804" i="12"/>
  <c r="W802" i="12"/>
  <c r="W800" i="12"/>
  <c r="W798" i="12"/>
  <c r="W796" i="12"/>
  <c r="W794" i="12"/>
  <c r="W792" i="12"/>
  <c r="W790" i="12"/>
  <c r="W788" i="12"/>
  <c r="W786" i="12"/>
  <c r="W784" i="12"/>
  <c r="W782" i="12"/>
  <c r="W780" i="12"/>
  <c r="W778" i="12"/>
  <c r="W776" i="12"/>
  <c r="W774" i="12"/>
  <c r="W772" i="12"/>
  <c r="W770" i="12"/>
  <c r="W768" i="12"/>
  <c r="W766" i="12"/>
  <c r="W764" i="12"/>
  <c r="W762" i="12"/>
  <c r="W760" i="12"/>
  <c r="W758" i="12"/>
  <c r="W756" i="12"/>
  <c r="W754" i="12"/>
  <c r="W752" i="12"/>
  <c r="W750" i="12"/>
  <c r="W748" i="12"/>
  <c r="W746" i="12"/>
  <c r="W744" i="12"/>
  <c r="W742" i="12"/>
  <c r="W740" i="12"/>
  <c r="W738" i="12"/>
  <c r="W736" i="12"/>
  <c r="W734" i="12"/>
  <c r="W732" i="12"/>
  <c r="W730" i="12"/>
  <c r="W728" i="12"/>
  <c r="W726" i="12"/>
  <c r="W724" i="12"/>
  <c r="W722" i="12"/>
  <c r="W720" i="12"/>
  <c r="W718" i="12"/>
  <c r="W716" i="12"/>
  <c r="W714" i="12"/>
  <c r="W712" i="12"/>
  <c r="W710" i="12"/>
  <c r="W708" i="12"/>
  <c r="W706" i="12"/>
  <c r="W704" i="12"/>
  <c r="W702" i="12"/>
  <c r="W700" i="12"/>
  <c r="W698" i="12"/>
  <c r="W696" i="12"/>
  <c r="W694" i="12"/>
  <c r="W692" i="12"/>
  <c r="W690" i="12"/>
  <c r="W688" i="12"/>
  <c r="W686" i="12"/>
  <c r="W684" i="12"/>
  <c r="W682" i="12"/>
  <c r="W680" i="12"/>
  <c r="W678" i="12"/>
  <c r="W676" i="12"/>
  <c r="W674" i="12"/>
  <c r="W672" i="12"/>
  <c r="W670" i="12"/>
  <c r="W668" i="12"/>
  <c r="W666" i="12"/>
  <c r="W664" i="12"/>
  <c r="W662" i="12"/>
  <c r="W660" i="12"/>
  <c r="W658" i="12"/>
  <c r="W656" i="12"/>
  <c r="W654" i="12"/>
  <c r="W652" i="12"/>
  <c r="W650" i="12"/>
  <c r="W648" i="12"/>
  <c r="W646" i="12"/>
  <c r="W644" i="12"/>
  <c r="W642" i="12"/>
  <c r="W640" i="12"/>
  <c r="W638" i="12"/>
  <c r="W636" i="12"/>
  <c r="W634" i="12"/>
  <c r="W632" i="12"/>
  <c r="W630" i="12"/>
  <c r="W628" i="12"/>
  <c r="W626" i="12"/>
  <c r="W624" i="12"/>
  <c r="W622" i="12"/>
  <c r="W620" i="12"/>
  <c r="W618" i="12"/>
  <c r="W616" i="12"/>
  <c r="W614" i="12"/>
  <c r="W612" i="12"/>
  <c r="W610" i="12"/>
  <c r="W608" i="12"/>
  <c r="W606" i="12"/>
  <c r="W604" i="12"/>
  <c r="W602" i="12"/>
  <c r="W600" i="12"/>
  <c r="W598" i="12"/>
  <c r="W596" i="12"/>
  <c r="W594" i="12"/>
  <c r="W592" i="12"/>
  <c r="W590" i="12"/>
  <c r="W588" i="12"/>
  <c r="W586" i="12"/>
  <c r="W584" i="12"/>
  <c r="W582" i="12"/>
  <c r="W580" i="12"/>
  <c r="W578" i="12"/>
  <c r="W576" i="12"/>
  <c r="W574" i="12"/>
  <c r="W572" i="12"/>
  <c r="W570" i="12"/>
  <c r="W568" i="12"/>
  <c r="W566" i="12"/>
  <c r="W564" i="12"/>
  <c r="W562" i="12"/>
  <c r="W560" i="12"/>
  <c r="W558" i="12"/>
  <c r="W556" i="12"/>
  <c r="W554" i="12"/>
  <c r="W552" i="12"/>
  <c r="W550" i="12"/>
  <c r="W548" i="12"/>
  <c r="W546" i="12"/>
  <c r="W544" i="12"/>
  <c r="W542" i="12"/>
  <c r="W540" i="12"/>
  <c r="W538" i="12"/>
  <c r="W536" i="12"/>
  <c r="W534" i="12"/>
  <c r="W532" i="12"/>
  <c r="W530" i="12"/>
  <c r="W528" i="12"/>
  <c r="W526" i="12"/>
  <c r="W524" i="12"/>
  <c r="W522" i="12"/>
  <c r="W520" i="12"/>
  <c r="W518" i="12"/>
  <c r="W516" i="12"/>
  <c r="W514" i="12"/>
  <c r="W512" i="12"/>
  <c r="W510" i="12"/>
  <c r="W508" i="12"/>
  <c r="W506" i="12"/>
  <c r="W504" i="12"/>
  <c r="W502" i="12"/>
  <c r="W500" i="12"/>
  <c r="W498" i="12"/>
  <c r="W496" i="12"/>
  <c r="W494" i="12"/>
  <c r="W492" i="12"/>
  <c r="W490" i="12"/>
  <c r="W488" i="12"/>
  <c r="W486" i="12"/>
  <c r="W484" i="12"/>
  <c r="W482" i="12"/>
  <c r="W480" i="12"/>
  <c r="W478" i="12"/>
  <c r="W476" i="12"/>
  <c r="W474" i="12"/>
  <c r="W472" i="12"/>
  <c r="W470" i="12"/>
  <c r="W468" i="12"/>
  <c r="W466" i="12"/>
  <c r="W464" i="12"/>
  <c r="W462" i="12"/>
  <c r="W460" i="12"/>
  <c r="W458" i="12"/>
  <c r="W456" i="12"/>
  <c r="W454" i="12"/>
  <c r="W452" i="12"/>
  <c r="W450" i="12"/>
  <c r="W448" i="12"/>
  <c r="W446" i="12"/>
  <c r="W444" i="12"/>
  <c r="W442" i="12"/>
  <c r="W440" i="12"/>
  <c r="W438" i="12"/>
  <c r="W436" i="12"/>
  <c r="W434" i="12"/>
  <c r="W432" i="12"/>
  <c r="W430" i="12"/>
  <c r="W428" i="12"/>
  <c r="W426" i="12"/>
  <c r="W424" i="12"/>
  <c r="W422" i="12"/>
  <c r="W420" i="12"/>
  <c r="W418" i="12"/>
  <c r="W416" i="12"/>
  <c r="W414" i="12"/>
  <c r="W412" i="12"/>
  <c r="W410" i="12"/>
  <c r="W408" i="12"/>
  <c r="W406" i="12"/>
  <c r="W404" i="12"/>
  <c r="W402" i="12"/>
  <c r="W400" i="12"/>
  <c r="W398" i="12"/>
  <c r="W396" i="12"/>
  <c r="W394" i="12"/>
  <c r="W392" i="12"/>
  <c r="W390" i="12"/>
  <c r="W388" i="12"/>
  <c r="W386" i="12"/>
  <c r="W384" i="12"/>
  <c r="W382" i="12"/>
  <c r="W380" i="12"/>
  <c r="W378" i="12"/>
  <c r="W376" i="12"/>
  <c r="W374" i="12"/>
  <c r="W372" i="12"/>
  <c r="W370" i="12"/>
  <c r="W368" i="12"/>
  <c r="W366" i="12"/>
  <c r="W364" i="12"/>
  <c r="W362" i="12"/>
  <c r="W360" i="12"/>
  <c r="W358" i="12"/>
  <c r="W356" i="12"/>
  <c r="W354" i="12"/>
  <c r="W352" i="12"/>
  <c r="W350" i="12"/>
  <c r="W348" i="12"/>
  <c r="W346" i="12"/>
  <c r="W344" i="12"/>
  <c r="W342" i="12"/>
  <c r="W340" i="12"/>
  <c r="W338" i="12"/>
  <c r="W336" i="12"/>
  <c r="W334" i="12"/>
  <c r="W332" i="12"/>
  <c r="W330" i="12"/>
  <c r="W328" i="12"/>
  <c r="W326" i="12"/>
  <c r="W324" i="12"/>
  <c r="W322" i="12"/>
  <c r="W320" i="12"/>
  <c r="W318" i="12"/>
  <c r="W316" i="12"/>
  <c r="W314" i="12"/>
  <c r="W312" i="12"/>
  <c r="W310" i="12"/>
  <c r="W308" i="12"/>
  <c r="W306" i="12"/>
  <c r="W304" i="12"/>
  <c r="W302" i="12"/>
  <c r="W300" i="12"/>
  <c r="W298" i="12"/>
  <c r="W296" i="12"/>
  <c r="W294" i="12"/>
  <c r="W292" i="12"/>
  <c r="W290" i="12"/>
  <c r="W288" i="12"/>
  <c r="W286" i="12"/>
  <c r="W284" i="12"/>
  <c r="W282" i="12"/>
  <c r="W280" i="12"/>
  <c r="W278" i="12"/>
  <c r="W276" i="12"/>
  <c r="W274" i="12"/>
  <c r="W272" i="12"/>
  <c r="W270" i="12"/>
  <c r="W268" i="12"/>
  <c r="W266" i="12"/>
  <c r="W264" i="12"/>
  <c r="W262" i="12"/>
  <c r="W260" i="12"/>
  <c r="W258" i="12"/>
  <c r="W256" i="12"/>
  <c r="W254" i="12"/>
  <c r="W252" i="12"/>
  <c r="W250" i="12"/>
  <c r="W248" i="12"/>
  <c r="W246" i="12"/>
  <c r="W244" i="12"/>
  <c r="W242" i="12"/>
  <c r="W240" i="12"/>
  <c r="W238" i="12"/>
  <c r="W236" i="12"/>
  <c r="W234" i="12"/>
  <c r="W232" i="12"/>
  <c r="W230" i="12"/>
  <c r="W228" i="12"/>
  <c r="W226" i="12"/>
  <c r="W224" i="12"/>
  <c r="W222" i="12"/>
  <c r="W220" i="12"/>
  <c r="W218" i="12"/>
  <c r="W216" i="12"/>
  <c r="W214" i="12"/>
  <c r="W212" i="12"/>
  <c r="W210" i="12"/>
  <c r="W208" i="12"/>
  <c r="W206" i="12"/>
  <c r="W204" i="12"/>
  <c r="W202" i="12"/>
  <c r="W200" i="12"/>
  <c r="W198" i="12"/>
  <c r="W196" i="12"/>
  <c r="W194" i="12"/>
  <c r="W192" i="12"/>
  <c r="W190" i="12"/>
  <c r="W188" i="12"/>
  <c r="W186" i="12"/>
  <c r="W184" i="12"/>
  <c r="W182" i="12"/>
  <c r="W180" i="12"/>
  <c r="W178" i="12"/>
  <c r="W176" i="12"/>
  <c r="W174" i="12"/>
  <c r="W172" i="12"/>
  <c r="W170" i="12"/>
  <c r="W168" i="12"/>
  <c r="W166" i="12"/>
  <c r="W164" i="12"/>
  <c r="W162" i="12"/>
  <c r="W160" i="12"/>
  <c r="W158" i="12"/>
  <c r="W156" i="12"/>
  <c r="W154" i="12"/>
  <c r="W152" i="12"/>
  <c r="W150" i="12"/>
  <c r="W148" i="12"/>
  <c r="W146" i="12"/>
  <c r="W144" i="12"/>
  <c r="W142" i="12"/>
  <c r="W140" i="12"/>
  <c r="W138" i="12"/>
  <c r="W136" i="12"/>
  <c r="W134" i="12"/>
  <c r="W132" i="12"/>
  <c r="W130" i="12"/>
  <c r="W128" i="12"/>
  <c r="W126" i="12"/>
  <c r="W124" i="12"/>
  <c r="W122" i="12"/>
  <c r="W120" i="12"/>
  <c r="W118" i="12"/>
  <c r="W116" i="12"/>
  <c r="W114" i="12"/>
  <c r="W112" i="12"/>
  <c r="W110" i="12"/>
  <c r="W108" i="12"/>
  <c r="W106" i="12"/>
  <c r="W104" i="12"/>
  <c r="W102" i="12"/>
  <c r="W100" i="12"/>
  <c r="W98" i="12"/>
  <c r="W96" i="12"/>
  <c r="W94" i="12"/>
  <c r="W92" i="12"/>
  <c r="W90" i="12"/>
  <c r="W88" i="12"/>
  <c r="W86" i="12"/>
  <c r="W84" i="12"/>
  <c r="W82" i="12"/>
  <c r="W80" i="12"/>
  <c r="W78" i="12"/>
  <c r="W76" i="12"/>
  <c r="W74" i="12"/>
  <c r="W72" i="12"/>
  <c r="W70" i="12"/>
  <c r="W68" i="12"/>
  <c r="W66" i="12"/>
  <c r="W64" i="12"/>
  <c r="W62" i="12"/>
  <c r="W60" i="12"/>
  <c r="W58" i="12"/>
  <c r="W56" i="12"/>
  <c r="W54" i="12"/>
  <c r="W52" i="12"/>
  <c r="W50" i="12"/>
  <c r="W48" i="12"/>
  <c r="W46" i="12"/>
  <c r="W44" i="12"/>
  <c r="W42" i="12"/>
  <c r="W40" i="12"/>
  <c r="W38" i="12"/>
  <c r="W36" i="12"/>
  <c r="W34" i="12"/>
  <c r="W32" i="12"/>
  <c r="W30" i="12"/>
  <c r="W28" i="12"/>
  <c r="W26" i="12"/>
  <c r="W24" i="12"/>
  <c r="W22" i="12"/>
  <c r="W20" i="12"/>
  <c r="W18" i="12"/>
  <c r="W16" i="12"/>
  <c r="W14" i="12"/>
  <c r="W12" i="12"/>
  <c r="W10" i="12"/>
  <c r="U2930" i="12"/>
  <c r="U3607" i="12"/>
  <c r="U3605" i="12"/>
  <c r="U3603" i="12"/>
  <c r="U3601" i="12"/>
  <c r="U3599" i="12"/>
  <c r="U3597" i="12"/>
  <c r="U3595" i="12"/>
  <c r="U3593" i="12"/>
  <c r="U3591" i="12"/>
  <c r="U3589" i="12"/>
  <c r="U3587" i="12"/>
  <c r="U3585" i="12"/>
  <c r="U3583" i="12"/>
  <c r="U3581" i="12"/>
  <c r="U3579" i="12"/>
  <c r="U3577" i="12"/>
  <c r="U3575" i="12"/>
  <c r="U3573" i="12"/>
  <c r="U3571" i="12"/>
  <c r="U3569" i="12"/>
  <c r="U3567" i="12"/>
  <c r="U3565" i="12"/>
  <c r="U3563" i="12"/>
  <c r="U3561" i="12"/>
  <c r="U3559" i="12"/>
  <c r="U3557" i="12"/>
  <c r="U3555" i="12"/>
  <c r="U3553" i="12"/>
  <c r="U3551" i="12"/>
  <c r="U3549" i="12"/>
  <c r="U3547" i="12"/>
  <c r="U3545" i="12"/>
  <c r="U3543" i="12"/>
  <c r="U3541" i="12"/>
  <c r="U3539" i="12"/>
  <c r="U3537" i="12"/>
  <c r="U3535" i="12"/>
  <c r="U3533" i="12"/>
  <c r="U3531" i="12"/>
  <c r="U3529" i="12"/>
  <c r="U3527" i="12"/>
  <c r="U3525" i="12"/>
  <c r="U3523" i="12"/>
  <c r="U3521" i="12"/>
  <c r="U3519" i="12"/>
  <c r="U3517" i="12"/>
  <c r="U3515" i="12"/>
  <c r="U3513" i="12"/>
  <c r="U3511" i="12"/>
  <c r="U3509" i="12"/>
  <c r="U3507" i="12"/>
  <c r="U3505" i="12"/>
  <c r="U3503" i="12"/>
  <c r="U3501" i="12"/>
  <c r="U3499" i="12"/>
  <c r="U3497" i="12"/>
  <c r="U3495" i="12"/>
  <c r="U3493" i="12"/>
  <c r="U3491" i="12"/>
  <c r="U3489" i="12"/>
  <c r="U3487" i="12"/>
  <c r="U3485" i="12"/>
  <c r="U3483" i="12"/>
  <c r="U3481" i="12"/>
  <c r="U3479" i="12"/>
  <c r="U3477" i="12"/>
  <c r="U3475" i="12"/>
  <c r="U3473" i="12"/>
  <c r="U3471" i="12"/>
  <c r="U3469" i="12"/>
  <c r="U3467" i="12"/>
  <c r="U3465" i="12"/>
  <c r="U3463" i="12"/>
  <c r="U3461" i="12"/>
  <c r="U3459" i="12"/>
  <c r="U3457" i="12"/>
  <c r="U3455" i="12"/>
  <c r="U3453" i="12"/>
  <c r="U3451" i="12"/>
  <c r="U3449" i="12"/>
  <c r="U3447" i="12"/>
  <c r="U3445" i="12"/>
  <c r="U3443" i="12"/>
  <c r="U3441" i="12"/>
  <c r="U3439" i="12"/>
  <c r="U3437" i="12"/>
  <c r="U3435" i="12"/>
  <c r="U3433" i="12"/>
  <c r="U3431" i="12"/>
  <c r="U3429" i="12"/>
  <c r="U3427" i="12"/>
  <c r="U3425" i="12"/>
  <c r="U3423" i="12"/>
  <c r="U3421" i="12"/>
  <c r="U3419" i="12"/>
  <c r="U3417" i="12"/>
  <c r="U3415" i="12"/>
  <c r="U3413" i="12"/>
  <c r="U3411" i="12"/>
  <c r="U3409" i="12"/>
  <c r="U3407" i="12"/>
  <c r="U3405" i="12"/>
  <c r="U3403" i="12"/>
  <c r="U3401" i="12"/>
  <c r="U3399" i="12"/>
  <c r="U3397" i="12"/>
  <c r="U3395" i="12"/>
  <c r="U3393" i="12"/>
  <c r="U3391" i="12"/>
  <c r="U3389" i="12"/>
  <c r="U3387" i="12"/>
  <c r="U3385" i="12"/>
  <c r="U3383" i="12"/>
  <c r="U3381" i="12"/>
  <c r="U3379" i="12"/>
  <c r="U3377" i="12"/>
  <c r="U3375" i="12"/>
  <c r="U3373" i="12"/>
  <c r="U3371" i="12"/>
  <c r="U3369" i="12"/>
  <c r="U3367" i="12"/>
  <c r="U3365" i="12"/>
  <c r="U3363" i="12"/>
  <c r="U3361" i="12"/>
  <c r="U3359" i="12"/>
  <c r="U3357" i="12"/>
  <c r="U3355" i="12"/>
  <c r="U3353" i="12"/>
  <c r="U3351" i="12"/>
  <c r="U3349" i="12"/>
  <c r="U3347" i="12"/>
  <c r="U3345" i="12"/>
  <c r="U3343" i="12"/>
  <c r="U3341" i="12"/>
  <c r="U3339" i="12"/>
  <c r="U3337" i="12"/>
  <c r="U3335" i="12"/>
  <c r="U3333" i="12"/>
  <c r="U3331" i="12"/>
  <c r="U3329" i="12"/>
  <c r="U3327" i="12"/>
  <c r="U3325" i="12"/>
  <c r="U3323" i="12"/>
  <c r="U3321" i="12"/>
  <c r="U3319" i="12"/>
  <c r="U3317" i="12"/>
  <c r="U3315" i="12"/>
  <c r="U3313" i="12"/>
  <c r="U3311" i="12"/>
  <c r="U3309" i="12"/>
  <c r="U3307" i="12"/>
  <c r="U3305" i="12"/>
  <c r="U3303" i="12"/>
  <c r="U3301" i="12"/>
  <c r="U3299" i="12"/>
  <c r="U3297" i="12"/>
  <c r="U3295" i="12"/>
  <c r="U3293" i="12"/>
  <c r="U3291" i="12"/>
  <c r="U3289" i="12"/>
  <c r="U3287" i="12"/>
  <c r="U3285" i="12"/>
  <c r="U3283" i="12"/>
  <c r="U3281" i="12"/>
  <c r="U3279" i="12"/>
  <c r="U3277" i="12"/>
  <c r="U3275" i="12"/>
  <c r="U3273" i="12"/>
  <c r="U3271" i="12"/>
  <c r="U3269" i="12"/>
  <c r="U3267" i="12"/>
  <c r="U3265" i="12"/>
  <c r="U3263" i="12"/>
  <c r="U3261" i="12"/>
  <c r="U3259" i="12"/>
  <c r="U3257" i="12"/>
  <c r="U3255" i="12"/>
  <c r="U3253" i="12"/>
  <c r="U3251" i="12"/>
  <c r="U3249" i="12"/>
  <c r="U3247" i="12"/>
  <c r="U3245" i="12"/>
  <c r="U3243" i="12"/>
  <c r="U3241" i="12"/>
  <c r="U3239" i="12"/>
  <c r="U3237" i="12"/>
  <c r="U3235" i="12"/>
  <c r="U3233" i="12"/>
  <c r="U3231" i="12"/>
  <c r="U3229" i="12"/>
  <c r="U3227" i="12"/>
  <c r="U3225" i="12"/>
  <c r="U3223" i="12"/>
  <c r="U3221" i="12"/>
  <c r="U3219" i="12"/>
  <c r="U3217" i="12"/>
  <c r="U3215" i="12"/>
  <c r="U3213" i="12"/>
  <c r="U3211" i="12"/>
  <c r="U3209" i="12"/>
  <c r="U3207" i="12"/>
  <c r="U3205" i="12"/>
  <c r="U3203" i="12"/>
  <c r="U3201" i="12"/>
  <c r="U3199" i="12"/>
  <c r="U3197" i="12"/>
  <c r="U3195" i="12"/>
  <c r="U3193" i="12"/>
  <c r="U3191" i="12"/>
  <c r="U3189" i="12"/>
  <c r="U3187" i="12"/>
  <c r="U3185" i="12"/>
  <c r="U3183" i="12"/>
  <c r="U3181" i="12"/>
  <c r="U3179" i="12"/>
  <c r="U3177" i="12"/>
  <c r="U3175" i="12"/>
  <c r="U3173" i="12"/>
  <c r="U3171" i="12"/>
  <c r="U3169" i="12"/>
  <c r="U3167" i="12"/>
  <c r="U3165" i="12"/>
  <c r="U3163" i="12"/>
  <c r="U3161" i="12"/>
  <c r="U3159" i="12"/>
  <c r="U3157" i="12"/>
  <c r="U3155" i="12"/>
  <c r="U3153" i="12"/>
  <c r="U3151" i="12"/>
  <c r="U3149" i="12"/>
  <c r="U3147" i="12"/>
  <c r="U3145" i="12"/>
  <c r="U3143" i="12"/>
  <c r="U3141" i="12"/>
  <c r="U3139" i="12"/>
  <c r="U3137" i="12"/>
  <c r="U3135" i="12"/>
  <c r="U3133" i="12"/>
  <c r="U3131" i="12"/>
  <c r="U3129" i="12"/>
  <c r="U3127" i="12"/>
  <c r="U3125" i="12"/>
  <c r="U3123" i="12"/>
  <c r="U3121" i="12"/>
  <c r="U3119" i="12"/>
  <c r="U3117" i="12"/>
  <c r="U3115" i="12"/>
  <c r="U3113" i="12"/>
  <c r="U3111" i="12"/>
  <c r="U3109" i="12"/>
  <c r="U3107" i="12"/>
  <c r="U3105" i="12"/>
  <c r="U3103" i="12"/>
  <c r="U3101" i="12"/>
  <c r="U3099" i="12"/>
  <c r="U3097" i="12"/>
  <c r="U3095" i="12"/>
  <c r="U3093" i="12"/>
  <c r="U3091" i="12"/>
  <c r="U3089" i="12"/>
  <c r="U3087" i="12"/>
  <c r="U3085" i="12"/>
  <c r="U3083" i="12"/>
  <c r="U3081" i="12"/>
  <c r="U3079" i="12"/>
  <c r="U3077" i="12"/>
  <c r="U3075" i="12"/>
  <c r="U3073" i="12"/>
  <c r="U3071" i="12"/>
  <c r="U3068" i="12"/>
  <c r="U3064" i="12"/>
  <c r="U3060" i="12"/>
  <c r="U3056" i="12"/>
  <c r="U3052" i="12"/>
  <c r="U3048" i="12"/>
  <c r="U3044" i="12"/>
  <c r="U3040" i="12"/>
  <c r="U3036" i="12"/>
  <c r="U3032" i="12"/>
  <c r="U3028" i="12"/>
  <c r="U3024" i="12"/>
  <c r="U3020" i="12"/>
  <c r="U3016" i="12"/>
  <c r="U3012" i="12"/>
  <c r="U3008" i="12"/>
  <c r="U3004" i="12"/>
  <c r="U3000" i="12"/>
  <c r="U2996" i="12"/>
  <c r="U2992" i="12"/>
  <c r="U2988" i="12"/>
  <c r="U2984" i="12"/>
  <c r="U2980" i="12"/>
  <c r="U2976" i="12"/>
  <c r="U2972" i="12"/>
  <c r="U2968" i="12"/>
  <c r="U2964" i="12"/>
  <c r="U2960" i="12"/>
  <c r="U2956" i="12"/>
  <c r="U2952" i="12"/>
  <c r="U2948" i="12"/>
  <c r="U2944" i="12"/>
  <c r="U2940" i="12"/>
  <c r="U2936" i="12"/>
  <c r="U2932" i="12"/>
  <c r="U2927" i="12"/>
  <c r="U2923" i="12"/>
  <c r="U2919" i="12"/>
  <c r="U2915" i="12"/>
  <c r="U2911" i="12"/>
  <c r="U2907" i="12"/>
  <c r="U2903" i="12"/>
  <c r="U2899" i="12"/>
  <c r="U2895" i="12"/>
  <c r="U2891" i="12"/>
  <c r="U2887" i="12"/>
  <c r="U2883" i="12"/>
  <c r="U2879" i="12"/>
  <c r="U2875" i="12"/>
  <c r="U2871" i="12"/>
  <c r="U2867" i="12"/>
  <c r="U2863" i="12"/>
  <c r="U2859" i="12"/>
  <c r="U2855" i="12"/>
  <c r="U2851" i="12"/>
  <c r="U2847" i="12"/>
  <c r="U2843" i="12"/>
  <c r="U2839" i="12"/>
  <c r="U2835" i="12"/>
  <c r="U2831" i="12"/>
  <c r="U2827" i="12"/>
  <c r="U2823" i="12"/>
  <c r="U2819" i="12"/>
  <c r="U2815" i="12"/>
  <c r="U2811" i="12"/>
  <c r="U2807" i="12"/>
  <c r="U2803" i="12"/>
  <c r="U2799" i="12"/>
  <c r="U2795" i="12"/>
  <c r="U2791" i="12"/>
  <c r="U2787" i="12"/>
  <c r="U2783" i="12"/>
  <c r="U2779" i="12"/>
  <c r="U2775" i="12"/>
  <c r="U2771" i="12"/>
  <c r="U2767" i="12"/>
  <c r="U2763" i="12"/>
  <c r="U2759" i="12"/>
  <c r="U2755" i="12"/>
  <c r="U2751" i="12"/>
  <c r="U2747" i="12"/>
  <c r="U2743" i="12"/>
  <c r="U2739" i="12"/>
  <c r="U2735" i="12"/>
  <c r="U2731" i="12"/>
  <c r="U2727" i="12"/>
  <c r="U2723" i="12"/>
  <c r="U2719" i="12"/>
  <c r="U2715" i="12"/>
  <c r="U2711" i="12"/>
  <c r="U2707" i="12"/>
  <c r="U2703" i="12"/>
  <c r="U2699" i="12"/>
  <c r="U2695" i="12"/>
  <c r="U2691" i="12"/>
  <c r="U2687" i="12"/>
  <c r="U2683" i="12"/>
  <c r="U2679" i="12"/>
  <c r="U2675" i="12"/>
  <c r="U2671" i="12"/>
  <c r="U2667" i="12"/>
  <c r="U2663" i="12"/>
  <c r="U2659" i="12"/>
  <c r="U2655" i="12"/>
  <c r="U2651" i="12"/>
  <c r="U2647" i="12"/>
  <c r="U2643" i="12"/>
  <c r="U2639" i="12"/>
  <c r="U2635" i="12"/>
  <c r="U2631" i="12"/>
  <c r="U2627" i="12"/>
  <c r="U2623" i="12"/>
  <c r="U2619" i="12"/>
  <c r="U2615" i="12"/>
  <c r="U2611" i="12"/>
  <c r="U2607" i="12"/>
  <c r="U2603" i="12"/>
  <c r="U2599" i="12"/>
  <c r="U2595" i="12"/>
  <c r="U2591" i="12"/>
  <c r="U2587" i="12"/>
  <c r="U2583" i="12"/>
  <c r="U2579" i="12"/>
  <c r="U2575" i="12"/>
  <c r="U2571" i="12"/>
  <c r="U2567" i="12"/>
  <c r="U2563" i="12"/>
  <c r="U2559" i="12"/>
  <c r="U2555" i="12"/>
  <c r="U2551" i="12"/>
  <c r="U2547" i="12"/>
  <c r="U2543" i="12"/>
  <c r="U2539" i="12"/>
  <c r="U2535" i="12"/>
  <c r="U2531" i="12"/>
  <c r="U2527" i="12"/>
  <c r="U2523" i="12"/>
  <c r="U2519" i="12"/>
  <c r="U2515" i="12"/>
  <c r="U2511" i="12"/>
  <c r="U2507" i="12"/>
  <c r="U2503" i="12"/>
  <c r="U2499" i="12"/>
  <c r="U2495" i="12"/>
  <c r="U2491" i="12"/>
  <c r="U2487" i="12"/>
  <c r="U2483" i="12"/>
  <c r="U2479" i="12"/>
  <c r="U2475" i="12"/>
  <c r="U2471" i="12"/>
  <c r="U2467" i="12"/>
  <c r="U2463" i="12"/>
  <c r="U2459" i="12"/>
  <c r="U2455" i="12"/>
  <c r="U2451" i="12"/>
  <c r="U2447" i="12"/>
  <c r="U2443" i="12"/>
  <c r="U2439" i="12"/>
  <c r="U2435" i="12"/>
  <c r="U2431" i="12"/>
  <c r="U2427" i="12"/>
  <c r="U2423" i="12"/>
  <c r="U2419" i="12"/>
  <c r="U2415" i="12"/>
  <c r="U2411" i="12"/>
  <c r="U2407" i="12"/>
  <c r="U2403" i="12"/>
  <c r="U2399" i="12"/>
  <c r="U2395" i="12"/>
  <c r="U2391" i="12"/>
  <c r="U2387" i="12"/>
  <c r="U2383" i="12"/>
  <c r="U2379" i="12"/>
  <c r="U2375" i="12"/>
  <c r="U2371" i="12"/>
  <c r="U2367" i="12"/>
  <c r="U2363" i="12"/>
  <c r="U2359" i="12"/>
  <c r="U2355" i="12"/>
  <c r="U2351" i="12"/>
  <c r="U2347" i="12"/>
  <c r="U2343" i="12"/>
  <c r="U2339" i="12"/>
  <c r="U2335" i="12"/>
  <c r="U2331" i="12"/>
  <c r="U2327" i="12"/>
  <c r="U2323" i="12"/>
  <c r="U2319" i="12"/>
  <c r="U2315" i="12"/>
  <c r="U2311" i="12"/>
  <c r="U2307" i="12"/>
  <c r="U2303" i="12"/>
  <c r="U2299" i="12"/>
  <c r="U2295" i="12"/>
  <c r="U2291" i="12"/>
  <c r="U2287" i="12"/>
  <c r="U2283" i="12"/>
  <c r="U2279" i="12"/>
  <c r="U2275" i="12"/>
  <c r="U2271" i="12"/>
  <c r="U2267" i="12"/>
  <c r="U2263" i="12"/>
  <c r="U2259" i="12"/>
  <c r="U2255" i="12"/>
  <c r="U2251" i="12"/>
  <c r="U2247" i="12"/>
  <c r="U2243" i="12"/>
  <c r="U2239" i="12"/>
  <c r="U2235" i="12"/>
  <c r="U2231" i="12"/>
  <c r="U2227" i="12"/>
  <c r="U2223" i="12"/>
  <c r="U2219" i="12"/>
  <c r="U2215" i="12"/>
  <c r="U2211" i="12"/>
  <c r="U2207" i="12"/>
  <c r="U2203" i="12"/>
  <c r="U2199" i="12"/>
  <c r="U2195" i="12"/>
  <c r="U2191" i="12"/>
  <c r="U2187" i="12"/>
  <c r="U2183" i="12"/>
  <c r="U2179" i="12"/>
  <c r="U2175" i="12"/>
  <c r="U2171" i="12"/>
  <c r="U2167" i="12"/>
  <c r="U2163" i="12"/>
  <c r="U2159" i="12"/>
  <c r="U2155" i="12"/>
  <c r="U2151" i="12"/>
  <c r="U2147" i="12"/>
  <c r="U2143" i="12"/>
  <c r="U2139" i="12"/>
  <c r="U2135" i="12"/>
  <c r="U2131" i="12"/>
  <c r="U2127" i="12"/>
  <c r="U2123" i="12"/>
  <c r="U2119" i="12"/>
  <c r="U2115" i="12"/>
  <c r="U2111" i="12"/>
  <c r="U2107" i="12"/>
  <c r="U2103" i="12"/>
  <c r="U2099" i="12"/>
  <c r="U2095" i="12"/>
  <c r="U2091" i="12"/>
  <c r="U2087" i="12"/>
  <c r="U2083" i="12"/>
  <c r="U2079" i="12"/>
  <c r="U2075" i="12"/>
  <c r="U2071" i="12"/>
  <c r="U2067" i="12"/>
  <c r="U2063" i="12"/>
  <c r="U2059" i="12"/>
  <c r="U2055" i="12"/>
  <c r="U2051" i="12"/>
  <c r="U2047" i="12"/>
  <c r="U2043" i="12"/>
  <c r="U2039" i="12"/>
  <c r="U2035" i="12"/>
  <c r="U2031" i="12"/>
  <c r="U2027" i="12"/>
  <c r="U2023" i="12"/>
  <c r="U2019" i="12"/>
  <c r="U2015" i="12"/>
  <c r="U2011" i="12"/>
  <c r="U2007" i="12"/>
  <c r="U2003" i="12"/>
  <c r="U1999" i="12"/>
  <c r="U1995" i="12"/>
  <c r="U1991" i="12"/>
  <c r="U1987" i="12"/>
  <c r="U1983" i="12"/>
  <c r="U1979" i="12"/>
  <c r="U1975" i="12"/>
  <c r="U1971" i="12"/>
  <c r="U1967" i="12"/>
  <c r="U1963" i="12"/>
  <c r="U1959" i="12"/>
  <c r="U1955" i="12"/>
  <c r="U1951" i="12"/>
  <c r="U1947" i="12"/>
  <c r="U1943" i="12"/>
  <c r="U1939" i="12"/>
  <c r="U1935" i="12"/>
  <c r="U1931" i="12"/>
  <c r="U1927" i="12"/>
  <c r="U1923" i="12"/>
  <c r="U1919" i="12"/>
  <c r="U1915" i="12"/>
  <c r="U1911" i="12"/>
  <c r="U1907" i="12"/>
  <c r="U1903" i="12"/>
  <c r="U1899" i="12"/>
  <c r="U1895" i="12"/>
  <c r="U1891" i="12"/>
  <c r="U1887" i="12"/>
  <c r="U1883" i="12"/>
  <c r="U1879" i="12"/>
  <c r="U1875" i="12"/>
  <c r="U1871" i="12"/>
  <c r="U1867" i="12"/>
  <c r="U1863" i="12"/>
  <c r="U1859" i="12"/>
  <c r="U1855" i="12"/>
  <c r="U1851" i="12"/>
  <c r="U1847" i="12"/>
  <c r="U1843" i="12"/>
  <c r="U1839" i="12"/>
  <c r="U1835" i="12"/>
  <c r="U1831" i="12"/>
  <c r="U1827" i="12"/>
  <c r="U1823" i="12"/>
  <c r="U1819" i="12"/>
  <c r="U1815" i="12"/>
  <c r="U1811" i="12"/>
  <c r="U1807" i="12"/>
  <c r="U1803" i="12"/>
  <c r="U1799" i="12"/>
  <c r="U1795" i="12"/>
  <c r="U1791" i="12"/>
  <c r="U1787" i="12"/>
  <c r="U1783" i="12"/>
  <c r="U1779" i="12"/>
  <c r="U1775" i="12"/>
  <c r="U1771" i="12"/>
  <c r="U1767" i="12"/>
  <c r="U1763" i="12"/>
  <c r="U1759" i="12"/>
  <c r="U1755" i="12"/>
  <c r="U1751" i="12"/>
  <c r="U1747" i="12"/>
  <c r="U1743" i="12"/>
  <c r="U1739" i="12"/>
  <c r="U1735" i="12"/>
  <c r="U1731" i="12"/>
  <c r="U1727" i="12"/>
  <c r="U1723" i="12"/>
  <c r="U1719" i="12"/>
  <c r="U1715" i="12"/>
  <c r="U1711" i="12"/>
  <c r="U1707" i="12"/>
  <c r="U1703" i="12"/>
  <c r="U1699" i="12"/>
  <c r="U1695" i="12"/>
  <c r="U1691" i="12"/>
  <c r="U1687" i="12"/>
  <c r="U1683" i="12"/>
  <c r="U1679" i="12"/>
  <c r="U1675" i="12"/>
  <c r="U1671" i="12"/>
  <c r="U1667" i="12"/>
  <c r="U1663" i="12"/>
  <c r="U1659" i="12"/>
  <c r="U1655" i="12"/>
  <c r="U1651" i="12"/>
  <c r="U1647" i="12"/>
  <c r="U1643" i="12"/>
  <c r="U1639" i="12"/>
  <c r="U1635" i="12"/>
  <c r="U1631" i="12"/>
  <c r="U1627" i="12"/>
  <c r="U1623" i="12"/>
  <c r="U1619" i="12"/>
  <c r="U1615" i="12"/>
  <c r="U1611" i="12"/>
  <c r="U1607" i="12"/>
  <c r="U1603" i="12"/>
  <c r="U1599" i="12"/>
  <c r="U1595" i="12"/>
  <c r="U1591" i="12"/>
  <c r="U1587" i="12"/>
  <c r="U1583" i="12"/>
  <c r="U1579" i="12"/>
  <c r="U1575" i="12"/>
  <c r="W3606" i="12"/>
  <c r="W3603" i="12"/>
  <c r="W3599" i="12"/>
  <c r="W3595" i="12"/>
  <c r="W3591" i="12"/>
  <c r="W3587" i="12"/>
  <c r="W3583" i="12"/>
  <c r="W3579" i="12"/>
  <c r="W3575" i="12"/>
  <c r="W3571" i="12"/>
  <c r="W3567" i="12"/>
  <c r="W3563" i="12"/>
  <c r="W3559" i="12"/>
  <c r="W3555" i="12"/>
  <c r="W3551" i="12"/>
  <c r="W3547" i="12"/>
  <c r="W3541" i="12"/>
  <c r="W3537" i="12"/>
  <c r="W3533" i="12"/>
  <c r="W3529" i="12"/>
  <c r="W3525" i="12"/>
  <c r="W3521" i="12"/>
  <c r="W3517" i="12"/>
  <c r="W3513" i="12"/>
  <c r="W3509" i="12"/>
  <c r="W3505" i="12"/>
  <c r="W3501" i="12"/>
  <c r="W3497" i="12"/>
  <c r="W3493" i="12"/>
  <c r="W3489" i="12"/>
  <c r="W3485" i="12"/>
  <c r="W3481" i="12"/>
  <c r="W3477" i="12"/>
  <c r="W3473" i="12"/>
  <c r="W3469" i="12"/>
  <c r="W3465" i="12"/>
  <c r="W3461" i="12"/>
  <c r="W3457" i="12"/>
  <c r="W3455" i="12"/>
  <c r="W3451" i="12"/>
  <c r="W3449" i="12"/>
  <c r="W3447" i="12"/>
  <c r="W3445" i="12"/>
  <c r="W3443" i="12"/>
  <c r="W3441" i="12"/>
  <c r="W3439" i="12"/>
  <c r="W3437" i="12"/>
  <c r="W3435" i="12"/>
  <c r="W3433" i="12"/>
  <c r="W3431" i="12"/>
  <c r="W3429" i="12"/>
  <c r="W3427" i="12"/>
  <c r="W3425" i="12"/>
  <c r="W3423" i="12"/>
  <c r="W3421" i="12"/>
  <c r="W3419" i="12"/>
  <c r="W3417" i="12"/>
  <c r="W3415" i="12"/>
  <c r="W3413" i="12"/>
  <c r="W3411" i="12"/>
  <c r="W3409" i="12"/>
  <c r="W3407" i="12"/>
  <c r="W3405" i="12"/>
  <c r="W3403" i="12"/>
  <c r="W3401" i="12"/>
  <c r="W3399" i="12"/>
  <c r="W3397" i="12"/>
  <c r="W3395" i="12"/>
  <c r="W3393" i="12"/>
  <c r="W3391" i="12"/>
  <c r="W3389" i="12"/>
  <c r="W3387" i="12"/>
  <c r="W3385" i="12"/>
  <c r="W3383" i="12"/>
  <c r="W3381" i="12"/>
  <c r="W3379" i="12"/>
  <c r="W3377" i="12"/>
  <c r="W3375" i="12"/>
  <c r="W3373" i="12"/>
  <c r="W3371" i="12"/>
  <c r="W3369" i="12"/>
  <c r="W3367" i="12"/>
  <c r="W3365" i="12"/>
  <c r="W3363" i="12"/>
  <c r="W3361" i="12"/>
  <c r="W3359" i="12"/>
  <c r="W3357" i="12"/>
  <c r="W3355" i="12"/>
  <c r="W3353" i="12"/>
  <c r="W3351" i="12"/>
  <c r="W3349" i="12"/>
  <c r="W3347" i="12"/>
  <c r="W3345" i="12"/>
  <c r="W3343" i="12"/>
  <c r="W3341" i="12"/>
  <c r="W3339" i="12"/>
  <c r="W3337" i="12"/>
  <c r="W3335" i="12"/>
  <c r="W3333" i="12"/>
  <c r="W3331" i="12"/>
  <c r="W3329" i="12"/>
  <c r="W3327" i="12"/>
  <c r="W3325" i="12"/>
  <c r="W3323" i="12"/>
  <c r="W3321" i="12"/>
  <c r="W3319" i="12"/>
  <c r="W3317" i="12"/>
  <c r="W3315" i="12"/>
  <c r="W3313" i="12"/>
  <c r="W3311" i="12"/>
  <c r="W3309" i="12"/>
  <c r="W3307" i="12"/>
  <c r="W3305" i="12"/>
  <c r="W3303" i="12"/>
  <c r="W3301" i="12"/>
  <c r="W3299" i="12"/>
  <c r="W3297" i="12"/>
  <c r="W3295" i="12"/>
  <c r="W3293" i="12"/>
  <c r="W3291" i="12"/>
  <c r="W3289" i="12"/>
  <c r="W3287" i="12"/>
  <c r="W3285" i="12"/>
  <c r="W3283" i="12"/>
  <c r="W3281" i="12"/>
  <c r="W3279" i="12"/>
  <c r="W3277" i="12"/>
  <c r="W3275" i="12"/>
  <c r="W3273" i="12"/>
  <c r="W3271" i="12"/>
  <c r="W3269" i="12"/>
  <c r="W3267" i="12"/>
  <c r="W3265" i="12"/>
  <c r="W3263" i="12"/>
  <c r="W3261" i="12"/>
  <c r="W3259" i="12"/>
  <c r="W3257" i="12"/>
  <c r="W3255" i="12"/>
  <c r="W3253" i="12"/>
  <c r="W3251" i="12"/>
  <c r="W3249" i="12"/>
  <c r="W3247" i="12"/>
  <c r="W3245" i="12"/>
  <c r="W3243" i="12"/>
  <c r="W3241" i="12"/>
  <c r="W3239" i="12"/>
  <c r="W3237" i="12"/>
  <c r="W3235" i="12"/>
  <c r="W3233" i="12"/>
  <c r="W3231" i="12"/>
  <c r="W3229" i="12"/>
  <c r="W3227" i="12"/>
  <c r="W3225" i="12"/>
  <c r="W3223" i="12"/>
  <c r="W3221" i="12"/>
  <c r="W3219" i="12"/>
  <c r="W3217" i="12"/>
  <c r="W3215" i="12"/>
  <c r="W3213" i="12"/>
  <c r="W3211" i="12"/>
  <c r="W3209" i="12"/>
  <c r="W3207" i="12"/>
  <c r="W3205" i="12"/>
  <c r="W3203" i="12"/>
  <c r="W3201" i="12"/>
  <c r="W3199" i="12"/>
  <c r="W3197" i="12"/>
  <c r="W3195" i="12"/>
  <c r="W3193" i="12"/>
  <c r="W3191" i="12"/>
  <c r="W3189" i="12"/>
  <c r="W3187" i="12"/>
  <c r="W3185" i="12"/>
  <c r="W3183" i="12"/>
  <c r="W3181" i="12"/>
  <c r="W3179" i="12"/>
  <c r="W3177" i="12"/>
  <c r="W3175" i="12"/>
  <c r="W3173" i="12"/>
  <c r="W3171" i="12"/>
  <c r="W3169" i="12"/>
  <c r="W3167" i="12"/>
  <c r="W3165" i="12"/>
  <c r="W3163" i="12"/>
  <c r="W3161" i="12"/>
  <c r="W3159" i="12"/>
  <c r="W3157" i="12"/>
  <c r="W3155" i="12"/>
  <c r="W3153" i="12"/>
  <c r="W3151" i="12"/>
  <c r="W3149" i="12"/>
  <c r="W3147" i="12"/>
  <c r="W3145" i="12"/>
  <c r="W3143" i="12"/>
  <c r="W3141" i="12"/>
  <c r="W3139" i="12"/>
  <c r="W3137" i="12"/>
  <c r="W3135" i="12"/>
  <c r="W3133" i="12"/>
  <c r="W3131" i="12"/>
  <c r="W3129" i="12"/>
  <c r="W3127" i="12"/>
  <c r="W3125" i="12"/>
  <c r="W3123" i="12"/>
  <c r="W3121" i="12"/>
  <c r="W3119" i="12"/>
  <c r="W3117" i="12"/>
  <c r="W3115" i="12"/>
  <c r="W3113" i="12"/>
  <c r="W3111" i="12"/>
  <c r="W3109" i="12"/>
  <c r="W3107" i="12"/>
  <c r="W3105" i="12"/>
  <c r="W3103" i="12"/>
  <c r="W3101" i="12"/>
  <c r="W3099" i="12"/>
  <c r="W3097" i="12"/>
  <c r="W3095" i="12"/>
  <c r="W3093" i="12"/>
  <c r="W3091" i="12"/>
  <c r="W3089" i="12"/>
  <c r="W3087" i="12"/>
  <c r="W3085" i="12"/>
  <c r="W3083" i="12"/>
  <c r="W3081" i="12"/>
  <c r="W3079" i="12"/>
  <c r="W3077" i="12"/>
  <c r="W3075" i="12"/>
  <c r="W3073" i="12"/>
  <c r="W3071" i="12"/>
  <c r="W3069" i="12"/>
  <c r="W3067" i="12"/>
  <c r="W3065" i="12"/>
  <c r="W3063" i="12"/>
  <c r="W3061" i="12"/>
  <c r="W3059" i="12"/>
  <c r="W3057" i="12"/>
  <c r="W3055" i="12"/>
  <c r="W3053" i="12"/>
  <c r="W3051" i="12"/>
  <c r="W3049" i="12"/>
  <c r="W3047" i="12"/>
  <c r="W3045" i="12"/>
  <c r="W3043" i="12"/>
  <c r="W3041" i="12"/>
  <c r="W3039" i="12"/>
  <c r="W3037" i="12"/>
  <c r="W3035" i="12"/>
  <c r="W3033" i="12"/>
  <c r="W3031" i="12"/>
  <c r="W3029" i="12"/>
  <c r="W3027" i="12"/>
  <c r="W3025" i="12"/>
  <c r="W3023" i="12"/>
  <c r="W3021" i="12"/>
  <c r="W3019" i="12"/>
  <c r="W3017" i="12"/>
  <c r="W3015" i="12"/>
  <c r="W3013" i="12"/>
  <c r="W3011" i="12"/>
  <c r="W3009" i="12"/>
  <c r="W3007" i="12"/>
  <c r="W3005" i="12"/>
  <c r="W3003" i="12"/>
  <c r="W3001" i="12"/>
  <c r="W2999" i="12"/>
  <c r="W2997" i="12"/>
  <c r="W2995" i="12"/>
  <c r="W2993" i="12"/>
  <c r="W2991" i="12"/>
  <c r="W2989" i="12"/>
  <c r="W2987" i="12"/>
  <c r="W2985" i="12"/>
  <c r="W2983" i="12"/>
  <c r="W2981" i="12"/>
  <c r="W2979" i="12"/>
  <c r="W2977" i="12"/>
  <c r="W2975" i="12"/>
  <c r="W2973" i="12"/>
  <c r="W2971" i="12"/>
  <c r="W2969" i="12"/>
  <c r="W2967" i="12"/>
  <c r="W2965" i="12"/>
  <c r="W2963" i="12"/>
  <c r="W2961" i="12"/>
  <c r="W2959" i="12"/>
  <c r="W2957" i="12"/>
  <c r="W2955" i="12"/>
  <c r="W2953" i="12"/>
  <c r="W2951" i="12"/>
  <c r="W2949" i="12"/>
  <c r="W2947" i="12"/>
  <c r="W2945" i="12"/>
  <c r="W2943" i="12"/>
  <c r="W2941" i="12"/>
  <c r="W2939" i="12"/>
  <c r="W2937" i="12"/>
  <c r="W2935" i="12"/>
  <c r="W2933" i="12"/>
  <c r="W2931" i="12"/>
  <c r="W2929" i="12"/>
  <c r="W2927" i="12"/>
  <c r="W2925" i="12"/>
  <c r="W2923" i="12"/>
  <c r="W2921" i="12"/>
  <c r="W2919" i="12"/>
  <c r="W2917" i="12"/>
  <c r="W2915" i="12"/>
  <c r="W2913" i="12"/>
  <c r="W2911" i="12"/>
  <c r="W2909" i="12"/>
  <c r="W2907" i="12"/>
  <c r="W2905" i="12"/>
  <c r="W2903" i="12"/>
  <c r="W2901" i="12"/>
  <c r="W2899" i="12"/>
  <c r="W2897" i="12"/>
  <c r="W2895" i="12"/>
  <c r="W2893" i="12"/>
  <c r="W2891" i="12"/>
  <c r="W2889" i="12"/>
  <c r="W2887" i="12"/>
  <c r="W2885" i="12"/>
  <c r="W2883" i="12"/>
  <c r="W2881" i="12"/>
  <c r="W2879" i="12"/>
  <c r="W2877" i="12"/>
  <c r="W2875" i="12"/>
  <c r="W2873" i="12"/>
  <c r="W2871" i="12"/>
  <c r="W2869" i="12"/>
  <c r="W2867" i="12"/>
  <c r="W2865" i="12"/>
  <c r="W2863" i="12"/>
  <c r="W2861" i="12"/>
  <c r="W2859" i="12"/>
  <c r="W2857" i="12"/>
  <c r="W2855" i="12"/>
  <c r="W2853" i="12"/>
  <c r="W2851" i="12"/>
  <c r="W2849" i="12"/>
  <c r="W2847" i="12"/>
  <c r="W2845" i="12"/>
  <c r="W2843" i="12"/>
  <c r="W2841" i="12"/>
  <c r="W2839" i="12"/>
  <c r="W2837" i="12"/>
  <c r="W2835" i="12"/>
  <c r="W2833" i="12"/>
  <c r="W2831" i="12"/>
  <c r="W2829" i="12"/>
  <c r="W2827" i="12"/>
  <c r="W2825" i="12"/>
  <c r="W2823" i="12"/>
  <c r="W2821" i="12"/>
  <c r="W2819" i="12"/>
  <c r="W2817" i="12"/>
  <c r="W2815" i="12"/>
  <c r="W2813" i="12"/>
  <c r="W2811" i="12"/>
  <c r="W2809" i="12"/>
  <c r="W2807" i="12"/>
  <c r="W2805" i="12"/>
  <c r="W2803" i="12"/>
  <c r="W2801" i="12"/>
  <c r="W2799" i="12"/>
  <c r="W2797" i="12"/>
  <c r="W2795" i="12"/>
  <c r="W2793" i="12"/>
  <c r="W2791" i="12"/>
  <c r="W2789" i="12"/>
  <c r="W2787" i="12"/>
  <c r="W2785" i="12"/>
  <c r="W2783" i="12"/>
  <c r="W2781" i="12"/>
  <c r="W2779" i="12"/>
  <c r="W2777" i="12"/>
  <c r="W2775" i="12"/>
  <c r="W2773" i="12"/>
  <c r="W2771" i="12"/>
  <c r="W2769" i="12"/>
  <c r="W2767" i="12"/>
  <c r="W2765" i="12"/>
  <c r="W2763" i="12"/>
  <c r="W2761" i="12"/>
  <c r="W2759" i="12"/>
  <c r="W2757" i="12"/>
  <c r="W2755" i="12"/>
  <c r="W2753" i="12"/>
  <c r="W2751" i="12"/>
  <c r="W2749" i="12"/>
  <c r="W2747" i="12"/>
  <c r="W2745" i="12"/>
  <c r="W2743" i="12"/>
  <c r="W2741" i="12"/>
  <c r="W2739" i="12"/>
  <c r="W2737" i="12"/>
  <c r="W2735" i="12"/>
  <c r="W2733" i="12"/>
  <c r="W2731" i="12"/>
  <c r="W2729" i="12"/>
  <c r="W2727" i="12"/>
  <c r="W2725" i="12"/>
  <c r="W2723" i="12"/>
  <c r="W2721" i="12"/>
  <c r="W2719" i="12"/>
  <c r="W2717" i="12"/>
  <c r="W2715" i="12"/>
  <c r="W2713" i="12"/>
  <c r="W2711" i="12"/>
  <c r="W2709" i="12"/>
  <c r="W2707" i="12"/>
  <c r="W2705" i="12"/>
  <c r="W2703" i="12"/>
  <c r="W2701" i="12"/>
  <c r="W2699" i="12"/>
  <c r="W2697" i="12"/>
  <c r="W2695" i="12"/>
  <c r="W2693" i="12"/>
  <c r="W2691" i="12"/>
  <c r="W2689" i="12"/>
  <c r="W2687" i="12"/>
  <c r="W2685" i="12"/>
  <c r="W2683" i="12"/>
  <c r="W2681" i="12"/>
  <c r="W2679" i="12"/>
  <c r="W2677" i="12"/>
  <c r="W2675" i="12"/>
  <c r="W2673" i="12"/>
  <c r="W2671" i="12"/>
  <c r="W2669" i="12"/>
  <c r="W2667" i="12"/>
  <c r="W2665" i="12"/>
  <c r="W2663" i="12"/>
  <c r="W2661" i="12"/>
  <c r="W2659" i="12"/>
  <c r="W2657" i="12"/>
  <c r="W2655" i="12"/>
  <c r="W2653" i="12"/>
  <c r="W2651" i="12"/>
  <c r="W2649" i="12"/>
  <c r="W2647" i="12"/>
  <c r="W2645" i="12"/>
  <c r="W2643" i="12"/>
  <c r="W2641" i="12"/>
  <c r="W2639" i="12"/>
  <c r="W2637" i="12"/>
  <c r="W2635" i="12"/>
  <c r="W2633" i="12"/>
  <c r="W2631" i="12"/>
  <c r="W2629" i="12"/>
  <c r="W2627" i="12"/>
  <c r="W2625" i="12"/>
  <c r="W2623" i="12"/>
  <c r="W2621" i="12"/>
  <c r="W2619" i="12"/>
  <c r="W2617" i="12"/>
  <c r="W2615" i="12"/>
  <c r="W2613" i="12"/>
  <c r="W2611" i="12"/>
  <c r="W2609" i="12"/>
  <c r="W2607" i="12"/>
  <c r="W2605" i="12"/>
  <c r="W2603" i="12"/>
  <c r="W2601" i="12"/>
  <c r="W2599" i="12"/>
  <c r="W2597" i="12"/>
  <c r="W2595" i="12"/>
  <c r="W2593" i="12"/>
  <c r="W2591" i="12"/>
  <c r="W2589" i="12"/>
  <c r="W2587" i="12"/>
  <c r="W2585" i="12"/>
  <c r="W2583" i="12"/>
  <c r="W2581" i="12"/>
  <c r="W2579" i="12"/>
  <c r="W2577" i="12"/>
  <c r="W2575" i="12"/>
  <c r="W2573" i="12"/>
  <c r="W2571" i="12"/>
  <c r="W2569" i="12"/>
  <c r="W2567" i="12"/>
  <c r="W2565" i="12"/>
  <c r="W2563" i="12"/>
  <c r="W2561" i="12"/>
  <c r="W2559" i="12"/>
  <c r="W2557" i="12"/>
  <c r="W2555" i="12"/>
  <c r="W2553" i="12"/>
  <c r="W2551" i="12"/>
  <c r="W2549" i="12"/>
  <c r="W2547" i="12"/>
  <c r="W2545" i="12"/>
  <c r="W2543" i="12"/>
  <c r="W2541" i="12"/>
  <c r="W2539" i="12"/>
  <c r="W2537" i="12"/>
  <c r="W2535" i="12"/>
  <c r="W2533" i="12"/>
  <c r="W2531" i="12"/>
  <c r="W2529" i="12"/>
  <c r="W2527" i="12"/>
  <c r="W2525" i="12"/>
  <c r="W2523" i="12"/>
  <c r="W2521" i="12"/>
  <c r="W2519" i="12"/>
  <c r="W2517" i="12"/>
  <c r="W2515" i="12"/>
  <c r="W2513" i="12"/>
  <c r="W2511" i="12"/>
  <c r="W2509" i="12"/>
  <c r="W2507" i="12"/>
  <c r="W2505" i="12"/>
  <c r="W2503" i="12"/>
  <c r="W2501" i="12"/>
  <c r="W2499" i="12"/>
  <c r="W2497" i="12"/>
  <c r="W2495" i="12"/>
  <c r="W2493" i="12"/>
  <c r="W2491" i="12"/>
  <c r="W2489" i="12"/>
  <c r="W2487" i="12"/>
  <c r="W2485" i="12"/>
  <c r="W2483" i="12"/>
  <c r="W2481" i="12"/>
  <c r="W2479" i="12"/>
  <c r="W2477" i="12"/>
  <c r="W2475" i="12"/>
  <c r="W2473" i="12"/>
  <c r="W2471" i="12"/>
  <c r="W2469" i="12"/>
  <c r="W2467" i="12"/>
  <c r="W2465" i="12"/>
  <c r="W2463" i="12"/>
  <c r="W2461" i="12"/>
  <c r="W2459" i="12"/>
  <c r="W2457" i="12"/>
  <c r="W2455" i="12"/>
  <c r="W2453" i="12"/>
  <c r="W2451" i="12"/>
  <c r="W2449" i="12"/>
  <c r="W2447" i="12"/>
  <c r="W2445" i="12"/>
  <c r="W2443" i="12"/>
  <c r="W2441" i="12"/>
  <c r="W2439" i="12"/>
  <c r="W2437" i="12"/>
  <c r="W2435" i="12"/>
  <c r="W2433" i="12"/>
  <c r="W2431" i="12"/>
  <c r="W2429" i="12"/>
  <c r="W2427" i="12"/>
  <c r="W2425" i="12"/>
  <c r="W2423" i="12"/>
  <c r="W2421" i="12"/>
  <c r="W2419" i="12"/>
  <c r="W2417" i="12"/>
  <c r="W2415" i="12"/>
  <c r="W2413" i="12"/>
  <c r="W2411" i="12"/>
  <c r="W2409" i="12"/>
  <c r="W2407" i="12"/>
  <c r="W2405" i="12"/>
  <c r="W2403" i="12"/>
  <c r="W2401" i="12"/>
  <c r="W2399" i="12"/>
  <c r="W2397" i="12"/>
  <c r="W2395" i="12"/>
  <c r="W2393" i="12"/>
  <c r="W2391" i="12"/>
  <c r="W2389" i="12"/>
  <c r="W2387" i="12"/>
  <c r="W2385" i="12"/>
  <c r="W2383" i="12"/>
  <c r="W2381" i="12"/>
  <c r="W2379" i="12"/>
  <c r="W2377" i="12"/>
  <c r="W2375" i="12"/>
  <c r="W2373" i="12"/>
  <c r="W2371" i="12"/>
  <c r="W2369" i="12"/>
  <c r="W2367" i="12"/>
  <c r="W2365" i="12"/>
  <c r="W2363" i="12"/>
  <c r="W2361" i="12"/>
  <c r="W2359" i="12"/>
  <c r="W2357" i="12"/>
  <c r="W2355" i="12"/>
  <c r="W2353" i="12"/>
  <c r="W2351" i="12"/>
  <c r="W2349" i="12"/>
  <c r="W2347" i="12"/>
  <c r="W2345" i="12"/>
  <c r="W2343" i="12"/>
  <c r="W2341" i="12"/>
  <c r="W2339" i="12"/>
  <c r="W2337" i="12"/>
  <c r="W2335" i="12"/>
  <c r="W2333" i="12"/>
  <c r="W2331" i="12"/>
  <c r="W2329" i="12"/>
  <c r="W2327" i="12"/>
  <c r="W2325" i="12"/>
  <c r="W2323" i="12"/>
  <c r="W2321" i="12"/>
  <c r="W2319" i="12"/>
  <c r="W2317" i="12"/>
  <c r="W2315" i="12"/>
  <c r="W2313" i="12"/>
  <c r="W2311" i="12"/>
  <c r="W2309" i="12"/>
  <c r="W2307" i="12"/>
  <c r="W2305" i="12"/>
  <c r="W2303" i="12"/>
  <c r="W2301" i="12"/>
  <c r="W2299" i="12"/>
  <c r="W2297" i="12"/>
  <c r="W2295" i="12"/>
  <c r="W2293" i="12"/>
  <c r="W2291" i="12"/>
  <c r="W2289" i="12"/>
  <c r="W2287" i="12"/>
  <c r="W2285" i="12"/>
  <c r="W2283" i="12"/>
  <c r="W2281" i="12"/>
  <c r="W2279" i="12"/>
  <c r="W2277" i="12"/>
  <c r="W2275" i="12"/>
  <c r="W2273" i="12"/>
  <c r="W2271" i="12"/>
  <c r="W2269" i="12"/>
  <c r="W2267" i="12"/>
  <c r="W2265" i="12"/>
  <c r="W2263" i="12"/>
  <c r="W2261" i="12"/>
  <c r="W2259" i="12"/>
  <c r="W2257" i="12"/>
  <c r="W2255" i="12"/>
  <c r="W2253" i="12"/>
  <c r="W2251" i="12"/>
  <c r="W2249" i="12"/>
  <c r="W2247" i="12"/>
  <c r="W2245" i="12"/>
  <c r="W2243" i="12"/>
  <c r="W2241" i="12"/>
  <c r="W2239" i="12"/>
  <c r="W2237" i="12"/>
  <c r="W2235" i="12"/>
  <c r="W2233" i="12"/>
  <c r="W2231" i="12"/>
  <c r="W2229" i="12"/>
  <c r="W2227" i="12"/>
  <c r="W2225" i="12"/>
  <c r="W2223" i="12"/>
  <c r="W2221" i="12"/>
  <c r="W2219" i="12"/>
  <c r="W2217" i="12"/>
  <c r="W2215" i="12"/>
  <c r="W2213" i="12"/>
  <c r="W2211" i="12"/>
  <c r="W2209" i="12"/>
  <c r="W2207" i="12"/>
  <c r="W2205" i="12"/>
  <c r="W2203" i="12"/>
  <c r="W2201" i="12"/>
  <c r="W2199" i="12"/>
  <c r="W2197" i="12"/>
  <c r="W2195" i="12"/>
  <c r="W2193" i="12"/>
  <c r="W2191" i="12"/>
  <c r="W2189" i="12"/>
  <c r="W2187" i="12"/>
  <c r="W2185" i="12"/>
  <c r="W2183" i="12"/>
  <c r="W2181" i="12"/>
  <c r="W2179" i="12"/>
  <c r="W2177" i="12"/>
  <c r="W2175" i="12"/>
  <c r="W2173" i="12"/>
  <c r="W2171" i="12"/>
  <c r="W2169" i="12"/>
  <c r="W2167" i="12"/>
  <c r="W2165" i="12"/>
  <c r="W2163" i="12"/>
  <c r="W2161" i="12"/>
  <c r="W2159" i="12"/>
  <c r="W2157" i="12"/>
  <c r="W2155" i="12"/>
  <c r="W2153" i="12"/>
  <c r="W2151" i="12"/>
  <c r="W2149" i="12"/>
  <c r="W2147" i="12"/>
  <c r="W2145" i="12"/>
  <c r="W2143" i="12"/>
  <c r="W2141" i="12"/>
  <c r="W2139" i="12"/>
  <c r="W2137" i="12"/>
  <c r="W2135" i="12"/>
  <c r="W2133" i="12"/>
  <c r="W2131" i="12"/>
  <c r="W2129" i="12"/>
  <c r="W2127" i="12"/>
  <c r="W2125" i="12"/>
  <c r="W2123" i="12"/>
  <c r="W2121" i="12"/>
  <c r="W2119" i="12"/>
  <c r="W2117" i="12"/>
  <c r="W2115" i="12"/>
  <c r="W2113" i="12"/>
  <c r="W2111" i="12"/>
  <c r="W2109" i="12"/>
  <c r="W2107" i="12"/>
  <c r="W2105" i="12"/>
  <c r="W2103" i="12"/>
  <c r="W2101" i="12"/>
  <c r="W2099" i="12"/>
  <c r="W2097" i="12"/>
  <c r="W2095" i="12"/>
  <c r="W2093" i="12"/>
  <c r="W2091" i="12"/>
  <c r="W2089" i="12"/>
  <c r="W2087" i="12"/>
  <c r="W2085" i="12"/>
  <c r="W2083" i="12"/>
  <c r="W2081" i="12"/>
  <c r="W2079" i="12"/>
  <c r="W2077" i="12"/>
  <c r="W2075" i="12"/>
  <c r="W2073" i="12"/>
  <c r="W2071" i="12"/>
  <c r="W2069" i="12"/>
  <c r="W2067" i="12"/>
  <c r="W2065" i="12"/>
  <c r="W2063" i="12"/>
  <c r="W2061" i="12"/>
  <c r="W2059" i="12"/>
  <c r="W2057" i="12"/>
  <c r="W2055" i="12"/>
  <c r="W2053" i="12"/>
  <c r="W2051" i="12"/>
  <c r="W2049" i="12"/>
  <c r="W2047" i="12"/>
  <c r="W2045" i="12"/>
  <c r="W2043" i="12"/>
  <c r="W2041" i="12"/>
  <c r="W2039" i="12"/>
  <c r="W2037" i="12"/>
  <c r="W2035" i="12"/>
  <c r="W2033" i="12"/>
  <c r="W2031" i="12"/>
  <c r="W2029" i="12"/>
  <c r="W2027" i="12"/>
  <c r="W2025" i="12"/>
  <c r="W2023" i="12"/>
  <c r="W2021" i="12"/>
  <c r="W2019" i="12"/>
  <c r="W2017" i="12"/>
  <c r="W2015" i="12"/>
  <c r="W2013" i="12"/>
  <c r="W2011" i="12"/>
  <c r="W2009" i="12"/>
  <c r="W2007" i="12"/>
  <c r="W2005" i="12"/>
  <c r="W2003" i="12"/>
  <c r="W2001" i="12"/>
  <c r="W1999" i="12"/>
  <c r="W1997" i="12"/>
  <c r="W1995" i="12"/>
  <c r="W1993" i="12"/>
  <c r="W1991" i="12"/>
  <c r="W1989" i="12"/>
  <c r="W1987" i="12"/>
  <c r="W1985" i="12"/>
  <c r="W1983" i="12"/>
  <c r="W1981" i="12"/>
  <c r="W1979" i="12"/>
  <c r="W1977" i="12"/>
  <c r="W1975" i="12"/>
  <c r="W1973" i="12"/>
  <c r="W1971" i="12"/>
  <c r="W1969" i="12"/>
  <c r="W1967" i="12"/>
  <c r="W1965" i="12"/>
  <c r="W1963" i="12"/>
  <c r="W1961" i="12"/>
  <c r="W1959" i="12"/>
  <c r="W1957" i="12"/>
  <c r="W1955" i="12"/>
  <c r="W1953" i="12"/>
  <c r="W1951" i="12"/>
  <c r="W1949" i="12"/>
  <c r="W1947" i="12"/>
  <c r="W1945" i="12"/>
  <c r="W1943" i="12"/>
  <c r="W1941" i="12"/>
  <c r="W1939" i="12"/>
  <c r="W1937" i="12"/>
  <c r="W1935" i="12"/>
  <c r="W1933" i="12"/>
  <c r="W1931" i="12"/>
  <c r="W1929" i="12"/>
  <c r="W1927" i="12"/>
  <c r="W1925" i="12"/>
  <c r="W1923" i="12"/>
  <c r="W1921" i="12"/>
  <c r="W1919" i="12"/>
  <c r="W1917" i="12"/>
  <c r="W1915" i="12"/>
  <c r="W1913" i="12"/>
  <c r="W1911" i="12"/>
  <c r="W1909" i="12"/>
  <c r="W1907" i="12"/>
  <c r="W1905" i="12"/>
  <c r="W1903" i="12"/>
  <c r="W1901" i="12"/>
  <c r="W1899" i="12"/>
  <c r="W1897" i="12"/>
  <c r="W1895" i="12"/>
  <c r="W1893" i="12"/>
  <c r="W1891" i="12"/>
  <c r="W1889" i="12"/>
  <c r="W1887" i="12"/>
  <c r="W1885" i="12"/>
  <c r="W1883" i="12"/>
  <c r="W1881" i="12"/>
  <c r="W1879" i="12"/>
  <c r="W1877" i="12"/>
  <c r="W1875" i="12"/>
  <c r="W1873" i="12"/>
  <c r="W1871" i="12"/>
  <c r="W1869" i="12"/>
  <c r="W1867" i="12"/>
  <c r="W1865" i="12"/>
  <c r="W1863" i="12"/>
  <c r="W1861" i="12"/>
  <c r="W1859" i="12"/>
  <c r="W1857" i="12"/>
  <c r="W1855" i="12"/>
  <c r="W1853" i="12"/>
  <c r="W1851" i="12"/>
  <c r="W1849" i="12"/>
  <c r="W1847" i="12"/>
  <c r="W1845" i="12"/>
  <c r="W1843" i="12"/>
  <c r="W1841" i="12"/>
  <c r="W1839" i="12"/>
  <c r="W1837" i="12"/>
  <c r="W1835" i="12"/>
  <c r="W1833" i="12"/>
  <c r="W1831" i="12"/>
  <c r="W1829" i="12"/>
  <c r="W1827" i="12"/>
  <c r="W1825" i="12"/>
  <c r="W1823" i="12"/>
  <c r="W1821" i="12"/>
  <c r="W1819" i="12"/>
  <c r="W1817" i="12"/>
  <c r="W1815" i="12"/>
  <c r="W1813" i="12"/>
  <c r="W1811" i="12"/>
  <c r="W1809" i="12"/>
  <c r="W1807" i="12"/>
  <c r="W1805" i="12"/>
  <c r="W1803" i="12"/>
  <c r="W1801" i="12"/>
  <c r="W1799" i="12"/>
  <c r="W1797" i="12"/>
  <c r="W1795" i="12"/>
  <c r="W1793" i="12"/>
  <c r="W1791" i="12"/>
  <c r="W1789" i="12"/>
  <c r="W1787" i="12"/>
  <c r="W1785" i="12"/>
  <c r="W1783" i="12"/>
  <c r="W1781" i="12"/>
  <c r="W1779" i="12"/>
  <c r="W1777" i="12"/>
  <c r="W1775" i="12"/>
  <c r="W1773" i="12"/>
  <c r="W1771" i="12"/>
  <c r="W1769" i="12"/>
  <c r="W1767" i="12"/>
  <c r="W1765" i="12"/>
  <c r="W1763" i="12"/>
  <c r="W1761" i="12"/>
  <c r="W1759" i="12"/>
  <c r="W1757" i="12"/>
  <c r="W1755" i="12"/>
  <c r="W1753" i="12"/>
  <c r="W1751" i="12"/>
  <c r="W1749" i="12"/>
  <c r="W1747" i="12"/>
  <c r="W1745" i="12"/>
  <c r="W1743" i="12"/>
  <c r="W1741" i="12"/>
  <c r="W1739" i="12"/>
  <c r="W1737" i="12"/>
  <c r="W1735" i="12"/>
  <c r="W1733" i="12"/>
  <c r="W1731" i="12"/>
  <c r="W1729" i="12"/>
  <c r="W1727" i="12"/>
  <c r="W1725" i="12"/>
  <c r="W1723" i="12"/>
  <c r="W1721" i="12"/>
  <c r="W1719" i="12"/>
  <c r="W1717" i="12"/>
  <c r="W1715" i="12"/>
  <c r="W1713" i="12"/>
  <c r="W1711" i="12"/>
  <c r="W1709" i="12"/>
  <c r="W1707" i="12"/>
  <c r="W1705" i="12"/>
  <c r="W1703" i="12"/>
  <c r="W1701" i="12"/>
  <c r="W1699" i="12"/>
  <c r="W1697" i="12"/>
  <c r="W1695" i="12"/>
  <c r="W1693" i="12"/>
  <c r="W1691" i="12"/>
  <c r="W1689" i="12"/>
  <c r="W1687" i="12"/>
  <c r="W1685" i="12"/>
  <c r="W1683" i="12"/>
  <c r="W1681" i="12"/>
  <c r="W1679" i="12"/>
  <c r="W1677" i="12"/>
  <c r="W1675" i="12"/>
  <c r="W1673" i="12"/>
  <c r="W1671" i="12"/>
  <c r="W1669" i="12"/>
  <c r="W1667" i="12"/>
  <c r="W1665" i="12"/>
  <c r="W1663" i="12"/>
  <c r="W1661" i="12"/>
  <c r="W1659" i="12"/>
  <c r="W1657" i="12"/>
  <c r="W1655" i="12"/>
  <c r="W1653" i="12"/>
  <c r="W1651" i="12"/>
  <c r="W1649" i="12"/>
  <c r="W1647" i="12"/>
  <c r="W1645" i="12"/>
  <c r="W1643" i="12"/>
  <c r="W1641" i="12"/>
  <c r="W1639" i="12"/>
  <c r="W1637" i="12"/>
  <c r="W1635" i="12"/>
  <c r="W1633" i="12"/>
  <c r="W1631" i="12"/>
  <c r="W1629" i="12"/>
  <c r="W1627" i="12"/>
  <c r="W1625" i="12"/>
  <c r="W1623" i="12"/>
  <c r="W1621" i="12"/>
  <c r="W1619" i="12"/>
  <c r="W1617" i="12"/>
  <c r="W1615" i="12"/>
  <c r="W1613" i="12"/>
  <c r="W1611" i="12"/>
  <c r="W1609" i="12"/>
  <c r="W1607" i="12"/>
  <c r="W1605" i="12"/>
  <c r="W1603" i="12"/>
  <c r="W1601" i="12"/>
  <c r="W1599" i="12"/>
  <c r="W1597" i="12"/>
  <c r="W1595" i="12"/>
  <c r="W1593" i="12"/>
  <c r="W1591" i="12"/>
  <c r="W1589" i="12"/>
  <c r="W1587" i="12"/>
  <c r="W1585" i="12"/>
  <c r="W1583" i="12"/>
  <c r="W1581" i="12"/>
  <c r="W1579" i="12"/>
  <c r="W1577" i="12"/>
  <c r="W1575" i="12"/>
  <c r="W1573" i="12"/>
  <c r="W1571" i="12"/>
  <c r="W1569" i="12"/>
  <c r="W1567" i="12"/>
  <c r="W1565" i="12"/>
  <c r="W1563" i="12"/>
  <c r="W1561" i="12"/>
  <c r="W1559" i="12"/>
  <c r="W1557" i="12"/>
  <c r="W1555" i="12"/>
  <c r="W1553" i="12"/>
  <c r="W1551" i="12"/>
  <c r="W1549" i="12"/>
  <c r="W1547" i="12"/>
  <c r="W1545" i="12"/>
  <c r="W1543" i="12"/>
  <c r="W1541" i="12"/>
  <c r="W1539" i="12"/>
  <c r="W1537" i="12"/>
  <c r="W1535" i="12"/>
  <c r="W1533" i="12"/>
  <c r="W1531" i="12"/>
  <c r="W1529" i="12"/>
  <c r="W1527" i="12"/>
  <c r="W1525" i="12"/>
  <c r="W1523" i="12"/>
  <c r="W1521" i="12"/>
  <c r="W1519" i="12"/>
  <c r="W1517" i="12"/>
  <c r="W1515" i="12"/>
  <c r="W1513" i="12"/>
  <c r="W1511" i="12"/>
  <c r="W1509" i="12"/>
  <c r="W1507" i="12"/>
  <c r="W1505" i="12"/>
  <c r="W1503" i="12"/>
  <c r="W1501" i="12"/>
  <c r="W1499" i="12"/>
  <c r="W1497" i="12"/>
  <c r="W1495" i="12"/>
  <c r="W1493" i="12"/>
  <c r="W1491" i="12"/>
  <c r="W1489" i="12"/>
  <c r="W1487" i="12"/>
  <c r="W1485" i="12"/>
  <c r="W1483" i="12"/>
  <c r="W1481" i="12"/>
  <c r="W1479" i="12"/>
  <c r="W1477" i="12"/>
  <c r="W1475" i="12"/>
  <c r="W1473" i="12"/>
  <c r="W1471" i="12"/>
  <c r="W1469" i="12"/>
  <c r="W1467" i="12"/>
  <c r="W1465" i="12"/>
  <c r="W1463" i="12"/>
  <c r="W1461" i="12"/>
  <c r="W1459" i="12"/>
  <c r="W1457" i="12"/>
  <c r="W1455" i="12"/>
  <c r="W1453" i="12"/>
  <c r="W1451" i="12"/>
  <c r="W1449" i="12"/>
  <c r="W1447" i="12"/>
  <c r="W1445" i="12"/>
  <c r="W1443" i="12"/>
  <c r="W1441" i="12"/>
  <c r="W1439" i="12"/>
  <c r="W1437" i="12"/>
  <c r="W1435" i="12"/>
  <c r="W1433" i="12"/>
  <c r="W1431" i="12"/>
  <c r="W1429" i="12"/>
  <c r="W1427" i="12"/>
  <c r="W1425" i="12"/>
  <c r="W1423" i="12"/>
  <c r="W1421" i="12"/>
  <c r="W1419" i="12"/>
  <c r="W1417" i="12"/>
  <c r="W1415" i="12"/>
  <c r="W1413" i="12"/>
  <c r="W1411" i="12"/>
  <c r="W1409" i="12"/>
  <c r="W1407" i="12"/>
  <c r="W1405" i="12"/>
  <c r="W1403" i="12"/>
  <c r="W1401" i="12"/>
  <c r="W1399" i="12"/>
  <c r="W1397" i="12"/>
  <c r="W1395" i="12"/>
  <c r="W1393" i="12"/>
  <c r="W1391" i="12"/>
  <c r="W1389" i="12"/>
  <c r="W1387" i="12"/>
  <c r="W1385" i="12"/>
  <c r="W1383" i="12"/>
  <c r="W1381" i="12"/>
  <c r="W1379" i="12"/>
  <c r="W1377" i="12"/>
  <c r="W1375" i="12"/>
  <c r="W1373" i="12"/>
  <c r="W1371" i="12"/>
  <c r="W1369" i="12"/>
  <c r="W1367" i="12"/>
  <c r="W1365" i="12"/>
  <c r="W1363" i="12"/>
  <c r="W1361" i="12"/>
  <c r="W1359" i="12"/>
  <c r="W1357" i="12"/>
  <c r="W1355" i="12"/>
  <c r="W1353" i="12"/>
  <c r="W1351" i="12"/>
  <c r="W1349" i="12"/>
  <c r="W1347" i="12"/>
  <c r="W1345" i="12"/>
  <c r="W1343" i="12"/>
  <c r="W1341" i="12"/>
  <c r="W1339" i="12"/>
  <c r="W1337" i="12"/>
  <c r="W1335" i="12"/>
  <c r="W1333" i="12"/>
  <c r="W1331" i="12"/>
  <c r="W1329" i="12"/>
  <c r="W1327" i="12"/>
  <c r="W1325" i="12"/>
  <c r="W1323" i="12"/>
  <c r="W1321" i="12"/>
  <c r="W1319" i="12"/>
  <c r="W1317" i="12"/>
  <c r="W1315" i="12"/>
  <c r="W1313" i="12"/>
  <c r="W1311" i="12"/>
  <c r="W1309" i="12"/>
  <c r="W1307" i="12"/>
  <c r="W1305" i="12"/>
  <c r="W1303" i="12"/>
  <c r="W1301" i="12"/>
  <c r="W1299" i="12"/>
  <c r="W1297" i="12"/>
  <c r="W1295" i="12"/>
  <c r="W1293" i="12"/>
  <c r="W1291" i="12"/>
  <c r="W1289" i="12"/>
  <c r="W1287" i="12"/>
  <c r="W1285" i="12"/>
  <c r="W1283" i="12"/>
  <c r="W1281" i="12"/>
  <c r="W1279" i="12"/>
  <c r="W1277" i="12"/>
  <c r="W1275" i="12"/>
  <c r="W1273" i="12"/>
  <c r="W1271" i="12"/>
  <c r="W1269" i="12"/>
  <c r="W1267" i="12"/>
  <c r="W1265" i="12"/>
  <c r="W1263" i="12"/>
  <c r="W1261" i="12"/>
  <c r="W1259" i="12"/>
  <c r="W1257" i="12"/>
  <c r="W1255" i="12"/>
  <c r="W1253" i="12"/>
  <c r="W1251" i="12"/>
  <c r="W1249" i="12"/>
  <c r="W1247" i="12"/>
  <c r="W1245" i="12"/>
  <c r="W1243" i="12"/>
  <c r="W1241" i="12"/>
  <c r="W1239" i="12"/>
  <c r="W1237" i="12"/>
  <c r="W1235" i="12"/>
  <c r="W1233" i="12"/>
  <c r="W1231" i="12"/>
  <c r="W1229" i="12"/>
  <c r="W1227" i="12"/>
  <c r="W1225" i="12"/>
  <c r="W1223" i="12"/>
  <c r="W1221" i="12"/>
  <c r="W1219" i="12"/>
  <c r="W1217" i="12"/>
  <c r="W1215" i="12"/>
  <c r="W1213" i="12"/>
  <c r="W1211" i="12"/>
  <c r="W1209" i="12"/>
  <c r="W1207" i="12"/>
  <c r="W1205" i="12"/>
  <c r="W1203" i="12"/>
  <c r="W1201" i="12"/>
  <c r="W1199" i="12"/>
  <c r="W1197" i="12"/>
  <c r="W1195" i="12"/>
  <c r="W1193" i="12"/>
  <c r="W1191" i="12"/>
  <c r="W1189" i="12"/>
  <c r="W1187" i="12"/>
  <c r="W1185" i="12"/>
  <c r="W1183" i="12"/>
  <c r="W1181" i="12"/>
  <c r="W1179" i="12"/>
  <c r="W1177" i="12"/>
  <c r="W1175" i="12"/>
  <c r="W1173" i="12"/>
  <c r="W1171" i="12"/>
  <c r="W1169" i="12"/>
  <c r="W1167" i="12"/>
  <c r="W1165" i="12"/>
  <c r="W1163" i="12"/>
  <c r="W1161" i="12"/>
  <c r="W1159" i="12"/>
  <c r="W1157" i="12"/>
  <c r="W1155" i="12"/>
  <c r="W1153" i="12"/>
  <c r="W1151" i="12"/>
  <c r="W1149" i="12"/>
  <c r="W1147" i="12"/>
  <c r="W1145" i="12"/>
  <c r="W1143" i="12"/>
  <c r="W1141" i="12"/>
  <c r="W1139" i="12"/>
  <c r="W1137" i="12"/>
  <c r="W1135" i="12"/>
  <c r="W1133" i="12"/>
  <c r="W1131" i="12"/>
  <c r="W1129" i="12"/>
  <c r="W1127" i="12"/>
  <c r="W1125" i="12"/>
  <c r="W1123" i="12"/>
  <c r="W1121" i="12"/>
  <c r="W1119" i="12"/>
  <c r="W1117" i="12"/>
  <c r="W1115" i="12"/>
  <c r="W1113" i="12"/>
  <c r="W1111" i="12"/>
  <c r="W1109" i="12"/>
  <c r="W1107" i="12"/>
  <c r="W1105" i="12"/>
  <c r="W1103" i="12"/>
  <c r="W1101" i="12"/>
  <c r="W1099" i="12"/>
  <c r="W1097" i="12"/>
  <c r="W1095" i="12"/>
  <c r="W1093" i="12"/>
  <c r="W1091" i="12"/>
  <c r="W1089" i="12"/>
  <c r="W1087" i="12"/>
  <c r="W1085" i="12"/>
  <c r="W1083" i="12"/>
  <c r="W1081" i="12"/>
  <c r="W1079" i="12"/>
  <c r="W1077" i="12"/>
  <c r="W1075" i="12"/>
  <c r="W1073" i="12"/>
  <c r="W1071" i="12"/>
  <c r="W1069" i="12"/>
  <c r="W1067" i="12"/>
  <c r="W1065" i="12"/>
  <c r="W1063" i="12"/>
  <c r="W1061" i="12"/>
  <c r="W1059" i="12"/>
  <c r="W1057" i="12"/>
  <c r="W1055" i="12"/>
  <c r="W1053" i="12"/>
  <c r="W1051" i="12"/>
  <c r="W1049" i="12"/>
  <c r="W1047" i="12"/>
  <c r="W1045" i="12"/>
  <c r="W1043" i="12"/>
  <c r="W1041" i="12"/>
  <c r="W1039" i="12"/>
  <c r="W1037" i="12"/>
  <c r="W1035" i="12"/>
  <c r="W1033" i="12"/>
  <c r="W1031" i="12"/>
  <c r="W1029" i="12"/>
  <c r="W1027" i="12"/>
  <c r="W1025" i="12"/>
  <c r="W1023" i="12"/>
  <c r="W1021" i="12"/>
  <c r="W1019" i="12"/>
  <c r="W1017" i="12"/>
  <c r="W1015" i="12"/>
  <c r="W1013" i="12"/>
  <c r="W1011" i="12"/>
  <c r="W1009" i="12"/>
  <c r="W1007" i="12"/>
  <c r="W1005" i="12"/>
  <c r="W1003" i="12"/>
  <c r="W1001" i="12"/>
  <c r="W999" i="12"/>
  <c r="W997" i="12"/>
  <c r="W995" i="12"/>
  <c r="W993" i="12"/>
  <c r="W991" i="12"/>
  <c r="W989" i="12"/>
  <c r="W987" i="12"/>
  <c r="W985" i="12"/>
  <c r="W983" i="12"/>
  <c r="W981" i="12"/>
  <c r="W979" i="12"/>
  <c r="W977" i="12"/>
  <c r="W975" i="12"/>
  <c r="W973" i="12"/>
  <c r="W971" i="12"/>
  <c r="W969" i="12"/>
  <c r="W967" i="12"/>
  <c r="W965" i="12"/>
  <c r="W963" i="12"/>
  <c r="W961" i="12"/>
  <c r="W959" i="12"/>
  <c r="W957" i="12"/>
  <c r="W955" i="12"/>
  <c r="W953" i="12"/>
  <c r="W951" i="12"/>
  <c r="W949" i="12"/>
  <c r="W947" i="12"/>
  <c r="W945" i="12"/>
  <c r="W943" i="12"/>
  <c r="W941" i="12"/>
  <c r="W939" i="12"/>
  <c r="W937" i="12"/>
  <c r="W935" i="12"/>
  <c r="W933" i="12"/>
  <c r="W931" i="12"/>
  <c r="W929" i="12"/>
  <c r="W927" i="12"/>
  <c r="W925" i="12"/>
  <c r="W923" i="12"/>
  <c r="W921" i="12"/>
  <c r="W919" i="12"/>
  <c r="W917" i="12"/>
  <c r="W915" i="12"/>
  <c r="W913" i="12"/>
  <c r="W911" i="12"/>
  <c r="W909" i="12"/>
  <c r="W907" i="12"/>
  <c r="W905" i="12"/>
  <c r="W903" i="12"/>
  <c r="W901" i="12"/>
  <c r="W899" i="12"/>
  <c r="W897" i="12"/>
  <c r="W895" i="12"/>
  <c r="W893" i="12"/>
  <c r="W891" i="12"/>
  <c r="W889" i="12"/>
  <c r="W887" i="12"/>
  <c r="W885" i="12"/>
  <c r="W883" i="12"/>
  <c r="W881" i="12"/>
  <c r="W879" i="12"/>
  <c r="W877" i="12"/>
  <c r="W875" i="12"/>
  <c r="W873" i="12"/>
  <c r="W871" i="12"/>
  <c r="W869" i="12"/>
  <c r="W867" i="12"/>
  <c r="W865" i="12"/>
  <c r="W863" i="12"/>
  <c r="W861" i="12"/>
  <c r="W859" i="12"/>
  <c r="W857" i="12"/>
  <c r="W855" i="12"/>
  <c r="W853" i="12"/>
  <c r="W851" i="12"/>
  <c r="W849" i="12"/>
  <c r="W847" i="12"/>
  <c r="W845" i="12"/>
  <c r="W843" i="12"/>
  <c r="W841" i="12"/>
  <c r="W839" i="12"/>
  <c r="W837" i="12"/>
  <c r="W835" i="12"/>
  <c r="W833" i="12"/>
  <c r="W831" i="12"/>
  <c r="W829" i="12"/>
  <c r="W827" i="12"/>
  <c r="W825" i="12"/>
  <c r="W823" i="12"/>
  <c r="W821" i="12"/>
  <c r="W819" i="12"/>
  <c r="W817" i="12"/>
  <c r="W815" i="12"/>
  <c r="W813" i="12"/>
  <c r="W811" i="12"/>
  <c r="W809" i="12"/>
  <c r="W807" i="12"/>
  <c r="W805" i="12"/>
  <c r="W803" i="12"/>
  <c r="W801" i="12"/>
  <c r="W799" i="12"/>
  <c r="W797" i="12"/>
  <c r="W795" i="12"/>
  <c r="W793" i="12"/>
  <c r="W791" i="12"/>
  <c r="W789" i="12"/>
  <c r="W787" i="12"/>
  <c r="W785" i="12"/>
  <c r="W783" i="12"/>
  <c r="W781" i="12"/>
  <c r="W779" i="12"/>
  <c r="W777" i="12"/>
  <c r="W775" i="12"/>
  <c r="W773" i="12"/>
  <c r="W771" i="12"/>
  <c r="W769" i="12"/>
  <c r="W767" i="12"/>
  <c r="W765" i="12"/>
  <c r="W763" i="12"/>
  <c r="W761" i="12"/>
  <c r="W759" i="12"/>
  <c r="W757" i="12"/>
  <c r="W755" i="12"/>
  <c r="W753" i="12"/>
  <c r="W751" i="12"/>
  <c r="W749" i="12"/>
  <c r="W747" i="12"/>
  <c r="W745" i="12"/>
  <c r="W743" i="12"/>
  <c r="W741" i="12"/>
  <c r="W739" i="12"/>
  <c r="W737" i="12"/>
  <c r="W735" i="12"/>
  <c r="W733" i="12"/>
  <c r="W731" i="12"/>
  <c r="W729" i="12"/>
  <c r="W727" i="12"/>
  <c r="W725" i="12"/>
  <c r="W723" i="12"/>
  <c r="W721" i="12"/>
  <c r="W719" i="12"/>
  <c r="W717" i="12"/>
  <c r="W715" i="12"/>
  <c r="W713" i="12"/>
  <c r="W711" i="12"/>
  <c r="W709" i="12"/>
  <c r="W707" i="12"/>
  <c r="W705" i="12"/>
  <c r="W703" i="12"/>
  <c r="W701" i="12"/>
  <c r="W699" i="12"/>
  <c r="W697" i="12"/>
  <c r="W695" i="12"/>
  <c r="W693" i="12"/>
  <c r="W691" i="12"/>
  <c r="W689" i="12"/>
  <c r="W687" i="12"/>
  <c r="W685" i="12"/>
  <c r="W683" i="12"/>
  <c r="W681" i="12"/>
  <c r="W679" i="12"/>
  <c r="W677" i="12"/>
  <c r="W675" i="12"/>
  <c r="W673" i="12"/>
  <c r="W671" i="12"/>
  <c r="W669" i="12"/>
  <c r="W667" i="12"/>
  <c r="W665" i="12"/>
  <c r="W663" i="12"/>
  <c r="W661" i="12"/>
  <c r="W659" i="12"/>
  <c r="W657" i="12"/>
  <c r="W655" i="12"/>
  <c r="W653" i="12"/>
  <c r="W651" i="12"/>
  <c r="W649" i="12"/>
  <c r="W647" i="12"/>
  <c r="W645" i="12"/>
  <c r="W643" i="12"/>
  <c r="W641" i="12"/>
  <c r="W639" i="12"/>
  <c r="W637" i="12"/>
  <c r="W635" i="12"/>
  <c r="W633" i="12"/>
  <c r="W631" i="12"/>
  <c r="W629" i="12"/>
  <c r="W627" i="12"/>
  <c r="W625" i="12"/>
  <c r="W623" i="12"/>
  <c r="W621" i="12"/>
  <c r="W619" i="12"/>
  <c r="W617" i="12"/>
  <c r="W615" i="12"/>
  <c r="W613" i="12"/>
  <c r="W611" i="12"/>
  <c r="W609" i="12"/>
  <c r="W607" i="12"/>
  <c r="W605" i="12"/>
  <c r="W603" i="12"/>
  <c r="W601" i="12"/>
  <c r="W599" i="12"/>
  <c r="W597" i="12"/>
  <c r="W595" i="12"/>
  <c r="W593" i="12"/>
  <c r="W591" i="12"/>
  <c r="W589" i="12"/>
  <c r="W587" i="12"/>
  <c r="W585" i="12"/>
  <c r="W583" i="12"/>
  <c r="W581" i="12"/>
  <c r="W579" i="12"/>
  <c r="W577" i="12"/>
  <c r="W575" i="12"/>
  <c r="W573" i="12"/>
  <c r="W571" i="12"/>
  <c r="W569" i="12"/>
  <c r="W567" i="12"/>
  <c r="W565" i="12"/>
  <c r="W563" i="12"/>
  <c r="W561" i="12"/>
  <c r="W559" i="12"/>
  <c r="W557" i="12"/>
  <c r="W555" i="12"/>
  <c r="W553" i="12"/>
  <c r="W551" i="12"/>
  <c r="W549" i="12"/>
  <c r="W547" i="12"/>
  <c r="W545" i="12"/>
  <c r="W543" i="12"/>
  <c r="W541" i="12"/>
  <c r="W539" i="12"/>
  <c r="W537" i="12"/>
  <c r="W535" i="12"/>
  <c r="W533" i="12"/>
  <c r="W531" i="12"/>
  <c r="W529" i="12"/>
  <c r="W527" i="12"/>
  <c r="W525" i="12"/>
  <c r="W523" i="12"/>
  <c r="W521" i="12"/>
  <c r="W519" i="12"/>
  <c r="W517" i="12"/>
  <c r="W515" i="12"/>
  <c r="W513" i="12"/>
  <c r="W511" i="12"/>
  <c r="W509" i="12"/>
  <c r="W507" i="12"/>
  <c r="W505" i="12"/>
  <c r="W503" i="12"/>
  <c r="W501" i="12"/>
  <c r="W499" i="12"/>
  <c r="W497" i="12"/>
  <c r="W495" i="12"/>
  <c r="W493" i="12"/>
  <c r="W491" i="12"/>
  <c r="W489" i="12"/>
  <c r="W487" i="12"/>
  <c r="W485" i="12"/>
  <c r="W483" i="12"/>
  <c r="W481" i="12"/>
  <c r="W479" i="12"/>
  <c r="W477" i="12"/>
  <c r="W475" i="12"/>
  <c r="W473" i="12"/>
  <c r="W471" i="12"/>
  <c r="W469" i="12"/>
  <c r="W467" i="12"/>
  <c r="W465" i="12"/>
  <c r="W463" i="12"/>
  <c r="W461" i="12"/>
  <c r="W459" i="12"/>
  <c r="W457" i="12"/>
  <c r="W455" i="12"/>
  <c r="W453" i="12"/>
  <c r="W451" i="12"/>
  <c r="W449" i="12"/>
  <c r="W447" i="12"/>
  <c r="W445" i="12"/>
  <c r="W443" i="12"/>
  <c r="W441" i="12"/>
  <c r="W439" i="12"/>
  <c r="W437" i="12"/>
  <c r="W435" i="12"/>
  <c r="W433" i="12"/>
  <c r="W431" i="12"/>
  <c r="W429" i="12"/>
  <c r="W427" i="12"/>
  <c r="W425" i="12"/>
  <c r="W423" i="12"/>
  <c r="W421" i="12"/>
  <c r="W419" i="12"/>
  <c r="W417" i="12"/>
  <c r="W415" i="12"/>
  <c r="W413" i="12"/>
  <c r="W411" i="12"/>
  <c r="W409" i="12"/>
  <c r="W407" i="12"/>
  <c r="W405" i="12"/>
  <c r="W403" i="12"/>
  <c r="W401" i="12"/>
  <c r="W399" i="12"/>
  <c r="W397" i="12"/>
  <c r="W395" i="12"/>
  <c r="W393" i="12"/>
  <c r="W391" i="12"/>
  <c r="W389" i="12"/>
  <c r="W387" i="12"/>
  <c r="W385" i="12"/>
  <c r="W383" i="12"/>
  <c r="W381" i="12"/>
  <c r="W379" i="12"/>
  <c r="W377" i="12"/>
  <c r="W375" i="12"/>
  <c r="W373" i="12"/>
  <c r="W371" i="12"/>
  <c r="W369" i="12"/>
  <c r="W367" i="12"/>
  <c r="W365" i="12"/>
  <c r="W363" i="12"/>
  <c r="W361" i="12"/>
  <c r="W359" i="12"/>
  <c r="W357" i="12"/>
  <c r="W355" i="12"/>
  <c r="W353" i="12"/>
  <c r="W351" i="12"/>
  <c r="W349" i="12"/>
  <c r="W347" i="12"/>
  <c r="W345" i="12"/>
  <c r="W343" i="12"/>
  <c r="W341" i="12"/>
  <c r="W339" i="12"/>
  <c r="W337" i="12"/>
  <c r="W335" i="12"/>
  <c r="W333" i="12"/>
  <c r="W331" i="12"/>
  <c r="W329" i="12"/>
  <c r="W327" i="12"/>
  <c r="W325" i="12"/>
  <c r="W323" i="12"/>
  <c r="W321" i="12"/>
  <c r="W319" i="12"/>
  <c r="W317" i="12"/>
  <c r="W315" i="12"/>
  <c r="W313" i="12"/>
  <c r="W311" i="12"/>
  <c r="W309" i="12"/>
  <c r="W307" i="12"/>
  <c r="W305" i="12"/>
  <c r="W303" i="12"/>
  <c r="W301" i="12"/>
  <c r="W299" i="12"/>
  <c r="W297" i="12"/>
  <c r="W295" i="12"/>
  <c r="W293" i="12"/>
  <c r="W291" i="12"/>
  <c r="W289" i="12"/>
  <c r="W287" i="12"/>
  <c r="W285" i="12"/>
  <c r="W283" i="12"/>
  <c r="W281" i="12"/>
  <c r="W279" i="12"/>
  <c r="W277" i="12"/>
  <c r="W275" i="12"/>
  <c r="W273" i="12"/>
  <c r="W271" i="12"/>
  <c r="W269" i="12"/>
  <c r="W267" i="12"/>
  <c r="W265" i="12"/>
  <c r="W263" i="12"/>
  <c r="W261" i="12"/>
  <c r="W259" i="12"/>
  <c r="W257" i="12"/>
  <c r="W255" i="12"/>
  <c r="W253" i="12"/>
  <c r="W251" i="12"/>
  <c r="W249" i="12"/>
  <c r="W247" i="12"/>
  <c r="W245" i="12"/>
  <c r="W243" i="12"/>
  <c r="W241" i="12"/>
  <c r="W239" i="12"/>
  <c r="W237" i="12"/>
  <c r="W235" i="12"/>
  <c r="W233" i="12"/>
  <c r="W231" i="12"/>
  <c r="W229" i="12"/>
  <c r="W227" i="12"/>
  <c r="W225" i="12"/>
  <c r="W223" i="12"/>
  <c r="W221" i="12"/>
  <c r="W219" i="12"/>
  <c r="W217" i="12"/>
  <c r="W215" i="12"/>
  <c r="W213" i="12"/>
  <c r="W211" i="12"/>
  <c r="W209" i="12"/>
  <c r="W207" i="12"/>
  <c r="W205" i="12"/>
  <c r="W203" i="12"/>
  <c r="W201" i="12"/>
  <c r="W199" i="12"/>
  <c r="W197" i="12"/>
  <c r="W195" i="12"/>
  <c r="W193" i="12"/>
  <c r="W191" i="12"/>
  <c r="W189" i="12"/>
  <c r="W187" i="12"/>
  <c r="W185" i="12"/>
  <c r="W183" i="12"/>
  <c r="W181" i="12"/>
  <c r="W179" i="12"/>
  <c r="W177" i="12"/>
  <c r="W175" i="12"/>
  <c r="W173" i="12"/>
  <c r="W171" i="12"/>
  <c r="W169" i="12"/>
  <c r="W167" i="12"/>
  <c r="W165" i="12"/>
  <c r="W163" i="12"/>
  <c r="W161" i="12"/>
  <c r="W159" i="12"/>
  <c r="W157" i="12"/>
  <c r="W155" i="12"/>
  <c r="W153" i="12"/>
  <c r="W151" i="12"/>
  <c r="W149" i="12"/>
  <c r="W147" i="12"/>
  <c r="W145" i="12"/>
  <c r="W143" i="12"/>
  <c r="W141" i="12"/>
  <c r="W139" i="12"/>
  <c r="W137" i="12"/>
  <c r="W135" i="12"/>
  <c r="W133" i="12"/>
  <c r="W131" i="12"/>
  <c r="W129" i="12"/>
  <c r="W127" i="12"/>
  <c r="W125" i="12"/>
  <c r="W123" i="12"/>
  <c r="W121" i="12"/>
  <c r="W119" i="12"/>
  <c r="W117" i="12"/>
  <c r="W115" i="12"/>
  <c r="W113" i="12"/>
  <c r="W111" i="12"/>
  <c r="W109" i="12"/>
  <c r="W107" i="12"/>
  <c r="W105" i="12"/>
  <c r="W103" i="12"/>
  <c r="W101" i="12"/>
  <c r="W99" i="12"/>
  <c r="W97" i="12"/>
  <c r="W95" i="12"/>
  <c r="W93" i="12"/>
  <c r="W91" i="12"/>
  <c r="W89" i="12"/>
  <c r="W87" i="12"/>
  <c r="W85" i="12"/>
  <c r="W83" i="12"/>
  <c r="W81" i="12"/>
  <c r="W79" i="12"/>
  <c r="W77" i="12"/>
  <c r="W75" i="12"/>
  <c r="W73" i="12"/>
  <c r="W71" i="12"/>
  <c r="W69" i="12"/>
  <c r="W67" i="12"/>
  <c r="W65" i="12"/>
  <c r="W63" i="12"/>
  <c r="W61" i="12"/>
  <c r="W59" i="12"/>
  <c r="W57" i="12"/>
  <c r="W55" i="12"/>
  <c r="W53" i="12"/>
  <c r="W51" i="12"/>
  <c r="W49" i="12"/>
  <c r="W47" i="12"/>
  <c r="W45" i="12"/>
  <c r="W43" i="12"/>
  <c r="W41" i="12"/>
  <c r="W39" i="12"/>
  <c r="W37" i="12"/>
  <c r="W35" i="12"/>
  <c r="W33" i="12"/>
  <c r="W31" i="12"/>
  <c r="W29" i="12"/>
  <c r="W27" i="12"/>
  <c r="W25" i="12"/>
  <c r="W23" i="12"/>
  <c r="W21" i="12"/>
  <c r="W19" i="12"/>
  <c r="W17" i="12"/>
  <c r="W15" i="12"/>
  <c r="W13" i="12"/>
  <c r="U9" i="12"/>
  <c r="U3608" i="12"/>
  <c r="U3606" i="12"/>
  <c r="U3604" i="12"/>
  <c r="U3602" i="12"/>
  <c r="U3600" i="12"/>
  <c r="U3598" i="12"/>
  <c r="U3596" i="12"/>
  <c r="U3594" i="12"/>
  <c r="U3592" i="12"/>
  <c r="U3590" i="12"/>
  <c r="U3588" i="12"/>
  <c r="U3586" i="12"/>
  <c r="U3584" i="12"/>
  <c r="U3582" i="12"/>
  <c r="U3580" i="12"/>
  <c r="U3578" i="12"/>
  <c r="U3576" i="12"/>
  <c r="U3574" i="12"/>
  <c r="U3572" i="12"/>
  <c r="U3570" i="12"/>
  <c r="U3568" i="12"/>
  <c r="U3566" i="12"/>
  <c r="U3564" i="12"/>
  <c r="U3562" i="12"/>
  <c r="U3560" i="12"/>
  <c r="U3558" i="12"/>
  <c r="U3556" i="12"/>
  <c r="U3554" i="12"/>
  <c r="U3552" i="12"/>
  <c r="U3550" i="12"/>
  <c r="U3548" i="12"/>
  <c r="U3546" i="12"/>
  <c r="U3544" i="12"/>
  <c r="U3542" i="12"/>
  <c r="U3540" i="12"/>
  <c r="U3538" i="12"/>
  <c r="U3536" i="12"/>
  <c r="U3534" i="12"/>
  <c r="U3532" i="12"/>
  <c r="U3530" i="12"/>
  <c r="U3528" i="12"/>
  <c r="U3526" i="12"/>
  <c r="U3524" i="12"/>
  <c r="U3522" i="12"/>
  <c r="U3520" i="12"/>
  <c r="U3518" i="12"/>
  <c r="U3516" i="12"/>
  <c r="U3514" i="12"/>
  <c r="U3512" i="12"/>
  <c r="U3510" i="12"/>
  <c r="U3508" i="12"/>
  <c r="U3506" i="12"/>
  <c r="U3504" i="12"/>
  <c r="U3502" i="12"/>
  <c r="U3500" i="12"/>
  <c r="U3498" i="12"/>
  <c r="U3496" i="12"/>
  <c r="U3494" i="12"/>
  <c r="U3492" i="12"/>
  <c r="U3490" i="12"/>
  <c r="U3488" i="12"/>
  <c r="U3486" i="12"/>
  <c r="U3484" i="12"/>
  <c r="U3482" i="12"/>
  <c r="U3480" i="12"/>
  <c r="U3478" i="12"/>
  <c r="U3476" i="12"/>
  <c r="U3474" i="12"/>
  <c r="U3472" i="12"/>
  <c r="U3470" i="12"/>
  <c r="U3468" i="12"/>
  <c r="U3466" i="12"/>
  <c r="U3464" i="12"/>
  <c r="U3462" i="12"/>
  <c r="U3460" i="12"/>
  <c r="U3458" i="12"/>
  <c r="U3456" i="12"/>
  <c r="U3454" i="12"/>
  <c r="U3452" i="12"/>
  <c r="U3450" i="12"/>
  <c r="U3448" i="12"/>
  <c r="U3446" i="12"/>
  <c r="U3444" i="12"/>
  <c r="U3442" i="12"/>
  <c r="U3440" i="12"/>
  <c r="U3438" i="12"/>
  <c r="U3436" i="12"/>
  <c r="U3434" i="12"/>
  <c r="U3432" i="12"/>
  <c r="U3430" i="12"/>
  <c r="U3428" i="12"/>
  <c r="U3426" i="12"/>
  <c r="U3424" i="12"/>
  <c r="U3422" i="12"/>
  <c r="U3420" i="12"/>
  <c r="U3418" i="12"/>
  <c r="U3416" i="12"/>
  <c r="U3414" i="12"/>
  <c r="U3412" i="12"/>
  <c r="U3410" i="12"/>
  <c r="U3408" i="12"/>
  <c r="U3406" i="12"/>
  <c r="U3404" i="12"/>
  <c r="U3402" i="12"/>
  <c r="U3400" i="12"/>
  <c r="U3398" i="12"/>
  <c r="U3396" i="12"/>
  <c r="U3394" i="12"/>
  <c r="U3392" i="12"/>
  <c r="U3390" i="12"/>
  <c r="U3388" i="12"/>
  <c r="U3386" i="12"/>
  <c r="U3384" i="12"/>
  <c r="U3382" i="12"/>
  <c r="U3380" i="12"/>
  <c r="U3378" i="12"/>
  <c r="U3376" i="12"/>
  <c r="U3374" i="12"/>
  <c r="U3372" i="12"/>
  <c r="U3370" i="12"/>
  <c r="U3368" i="12"/>
  <c r="U3366" i="12"/>
  <c r="U3364" i="12"/>
  <c r="U3362" i="12"/>
  <c r="U3360" i="12"/>
  <c r="U3358" i="12"/>
  <c r="U3356" i="12"/>
  <c r="U3354" i="12"/>
  <c r="U3352" i="12"/>
  <c r="U3350" i="12"/>
  <c r="U3348" i="12"/>
  <c r="U3346" i="12"/>
  <c r="U3344" i="12"/>
  <c r="U3342" i="12"/>
  <c r="U3340" i="12"/>
  <c r="U3338" i="12"/>
  <c r="U3336" i="12"/>
  <c r="U3334" i="12"/>
  <c r="U3332" i="12"/>
  <c r="U3330" i="12"/>
  <c r="U3328" i="12"/>
  <c r="U3326" i="12"/>
  <c r="U3324" i="12"/>
  <c r="U3322" i="12"/>
  <c r="U3320" i="12"/>
  <c r="U3318" i="12"/>
  <c r="U3316" i="12"/>
  <c r="U3314" i="12"/>
  <c r="U3312" i="12"/>
  <c r="U3310" i="12"/>
  <c r="U3308" i="12"/>
  <c r="U3306" i="12"/>
  <c r="U3304" i="12"/>
  <c r="U3302" i="12"/>
  <c r="U3300" i="12"/>
  <c r="U3298" i="12"/>
  <c r="U3296" i="12"/>
  <c r="U3294" i="12"/>
  <c r="U3292" i="12"/>
  <c r="U3290" i="12"/>
  <c r="U3288" i="12"/>
  <c r="U3286" i="12"/>
  <c r="U3284" i="12"/>
  <c r="U3282" i="12"/>
  <c r="U3280" i="12"/>
  <c r="U3278" i="12"/>
  <c r="U3276" i="12"/>
  <c r="U3274" i="12"/>
  <c r="U3272" i="12"/>
  <c r="U3270" i="12"/>
  <c r="U3268" i="12"/>
  <c r="U3266" i="12"/>
  <c r="U3264" i="12"/>
  <c r="U3262" i="12"/>
  <c r="U3260" i="12"/>
  <c r="U3258" i="12"/>
  <c r="U3256" i="12"/>
  <c r="U3254" i="12"/>
  <c r="U3252" i="12"/>
  <c r="U3250" i="12"/>
  <c r="U3248" i="12"/>
  <c r="U3246" i="12"/>
  <c r="U3244" i="12"/>
  <c r="U3242" i="12"/>
  <c r="U3240" i="12"/>
  <c r="U3238" i="12"/>
  <c r="U3236" i="12"/>
  <c r="U3234" i="12"/>
  <c r="U3232" i="12"/>
  <c r="U3230" i="12"/>
  <c r="U3228" i="12"/>
  <c r="U3226" i="12"/>
  <c r="U3224" i="12"/>
  <c r="U3222" i="12"/>
  <c r="U3220" i="12"/>
  <c r="U3218" i="12"/>
  <c r="U3216" i="12"/>
  <c r="U3214" i="12"/>
  <c r="U3212" i="12"/>
  <c r="U3210" i="12"/>
  <c r="U3208" i="12"/>
  <c r="U3206" i="12"/>
  <c r="U3204" i="12"/>
  <c r="U3202" i="12"/>
  <c r="U3200" i="12"/>
  <c r="U3198" i="12"/>
  <c r="U3196" i="12"/>
  <c r="U3194" i="12"/>
  <c r="U3192" i="12"/>
  <c r="U3190" i="12"/>
  <c r="U3188" i="12"/>
  <c r="U3186" i="12"/>
  <c r="U3184" i="12"/>
  <c r="U3182" i="12"/>
  <c r="U3180" i="12"/>
  <c r="U3178" i="12"/>
  <c r="U3176" i="12"/>
  <c r="U3174" i="12"/>
  <c r="U3172" i="12"/>
  <c r="U3170" i="12"/>
  <c r="U3168" i="12"/>
  <c r="U3166" i="12"/>
  <c r="U3164" i="12"/>
  <c r="U3162" i="12"/>
  <c r="U3160" i="12"/>
  <c r="U3158" i="12"/>
  <c r="U3156" i="12"/>
  <c r="U3154" i="12"/>
  <c r="U3152" i="12"/>
  <c r="U3150" i="12"/>
  <c r="U3148" i="12"/>
  <c r="U3146" i="12"/>
  <c r="U3144" i="12"/>
  <c r="U3142" i="12"/>
  <c r="U3140" i="12"/>
  <c r="U3138" i="12"/>
  <c r="U3136" i="12"/>
  <c r="U3134" i="12"/>
  <c r="U3132" i="12"/>
  <c r="U3130" i="12"/>
  <c r="U3128" i="12"/>
  <c r="U3126" i="12"/>
  <c r="U3124" i="12"/>
  <c r="U3122" i="12"/>
  <c r="U3120" i="12"/>
  <c r="U3118" i="12"/>
  <c r="U3116" i="12"/>
  <c r="U3114" i="12"/>
  <c r="U3112" i="12"/>
  <c r="U3110" i="12"/>
  <c r="U3108" i="12"/>
  <c r="U3106" i="12"/>
  <c r="U3104" i="12"/>
  <c r="U3102" i="12"/>
  <c r="U3100" i="12"/>
  <c r="U3098" i="12"/>
  <c r="U3096" i="12"/>
  <c r="U3094" i="12"/>
  <c r="U3092" i="12"/>
  <c r="U3090" i="12"/>
  <c r="U3088" i="12"/>
  <c r="U3086" i="12"/>
  <c r="U3084" i="12"/>
  <c r="U3082" i="12"/>
  <c r="U3080" i="12"/>
  <c r="U3078" i="12"/>
  <c r="U3076" i="12"/>
  <c r="U3074" i="12"/>
  <c r="U3072" i="12"/>
  <c r="U3070" i="12"/>
  <c r="U3066" i="12"/>
  <c r="U3062" i="12"/>
  <c r="U3058" i="12"/>
  <c r="U3054" i="12"/>
  <c r="U3050" i="12"/>
  <c r="U3046" i="12"/>
  <c r="U3042" i="12"/>
  <c r="U3038" i="12"/>
  <c r="U3034" i="12"/>
  <c r="U3030" i="12"/>
  <c r="U3026" i="12"/>
  <c r="U3022" i="12"/>
  <c r="U3018" i="12"/>
  <c r="U3014" i="12"/>
  <c r="U3010" i="12"/>
  <c r="U3006" i="12"/>
  <c r="U3002" i="12"/>
  <c r="U2998" i="12"/>
  <c r="U2994" i="12"/>
  <c r="U2990" i="12"/>
  <c r="U2986" i="12"/>
  <c r="U2982" i="12"/>
  <c r="U2978" i="12"/>
  <c r="U2974" i="12"/>
  <c r="U2970" i="12"/>
  <c r="U2966" i="12"/>
  <c r="U2962" i="12"/>
  <c r="U2958" i="12"/>
  <c r="U2954" i="12"/>
  <c r="U2950" i="12"/>
  <c r="U2946" i="12"/>
  <c r="U2942" i="12"/>
  <c r="U2938" i="12"/>
  <c r="U2934" i="12"/>
  <c r="U2929" i="12"/>
  <c r="U2925" i="12"/>
  <c r="U2921" i="12"/>
  <c r="U2917" i="12"/>
  <c r="U2913" i="12"/>
  <c r="U2909" i="12"/>
  <c r="U2905" i="12"/>
  <c r="U2901" i="12"/>
  <c r="U2897" i="12"/>
  <c r="U2893" i="12"/>
  <c r="U2889" i="12"/>
  <c r="U2885" i="12"/>
  <c r="U2881" i="12"/>
  <c r="U2877" i="12"/>
  <c r="U2873" i="12"/>
  <c r="U2869" i="12"/>
  <c r="U2865" i="12"/>
  <c r="U2861" i="12"/>
  <c r="U2857" i="12"/>
  <c r="U2853" i="12"/>
  <c r="U2849" i="12"/>
  <c r="U2845" i="12"/>
  <c r="U2841" i="12"/>
  <c r="U2837" i="12"/>
  <c r="U2833" i="12"/>
  <c r="U2829" i="12"/>
  <c r="U2825" i="12"/>
  <c r="U2821" i="12"/>
  <c r="U2817" i="12"/>
  <c r="U2813" i="12"/>
  <c r="U2809" i="12"/>
  <c r="U2805" i="12"/>
  <c r="U2801" i="12"/>
  <c r="U2797" i="12"/>
  <c r="U2793" i="12"/>
  <c r="U2789" i="12"/>
  <c r="U2785" i="12"/>
  <c r="U2781" i="12"/>
  <c r="U2777" i="12"/>
  <c r="U2773" i="12"/>
  <c r="U2769" i="12"/>
  <c r="U2765" i="12"/>
  <c r="U2761" i="12"/>
  <c r="U2757" i="12"/>
  <c r="U2753" i="12"/>
  <c r="U2749" i="12"/>
  <c r="U2745" i="12"/>
  <c r="U2741" i="12"/>
  <c r="U2737" i="12"/>
  <c r="U2733" i="12"/>
  <c r="U2729" i="12"/>
  <c r="U2725" i="12"/>
  <c r="U2721" i="12"/>
  <c r="U2717" i="12"/>
  <c r="U2713" i="12"/>
  <c r="U2709" i="12"/>
  <c r="U2705" i="12"/>
  <c r="U2701" i="12"/>
  <c r="U2697" i="12"/>
  <c r="U2693" i="12"/>
  <c r="U2689" i="12"/>
  <c r="U2685" i="12"/>
  <c r="U2681" i="12"/>
  <c r="U2677" i="12"/>
  <c r="U2673" i="12"/>
  <c r="U2669" i="12"/>
  <c r="U2665" i="12"/>
  <c r="U2661" i="12"/>
  <c r="U2657" i="12"/>
  <c r="U2653" i="12"/>
  <c r="U2649" i="12"/>
  <c r="U2645" i="12"/>
  <c r="U2641" i="12"/>
  <c r="U2637" i="12"/>
  <c r="U2633" i="12"/>
  <c r="U2629" i="12"/>
  <c r="U2625" i="12"/>
  <c r="U2621" i="12"/>
  <c r="U2617" i="12"/>
  <c r="U2613" i="12"/>
  <c r="U2609" i="12"/>
  <c r="U2605" i="12"/>
  <c r="U2601" i="12"/>
  <c r="U2597" i="12"/>
  <c r="U2593" i="12"/>
  <c r="U2589" i="12"/>
  <c r="U2585" i="12"/>
  <c r="U2581" i="12"/>
  <c r="U2577" i="12"/>
  <c r="U2573" i="12"/>
  <c r="U2569" i="12"/>
  <c r="U2565" i="12"/>
  <c r="U2561" i="12"/>
  <c r="U2557" i="12"/>
  <c r="U2553" i="12"/>
  <c r="U2549" i="12"/>
  <c r="U2545" i="12"/>
  <c r="U2541" i="12"/>
  <c r="U2537" i="12"/>
  <c r="U2533" i="12"/>
  <c r="U2529" i="12"/>
  <c r="U2525" i="12"/>
  <c r="U2521" i="12"/>
  <c r="U2517" i="12"/>
  <c r="U2513" i="12"/>
  <c r="U2509" i="12"/>
  <c r="U2505" i="12"/>
  <c r="U2501" i="12"/>
  <c r="U2497" i="12"/>
  <c r="U2493" i="12"/>
  <c r="U2489" i="12"/>
  <c r="U2485" i="12"/>
  <c r="U2481" i="12"/>
  <c r="U2477" i="12"/>
  <c r="U2473" i="12"/>
  <c r="U2469" i="12"/>
  <c r="U2465" i="12"/>
  <c r="U2461" i="12"/>
  <c r="U2457" i="12"/>
  <c r="U2453" i="12"/>
  <c r="U2449" i="12"/>
  <c r="U2445" i="12"/>
  <c r="U2441" i="12"/>
  <c r="U2437" i="12"/>
  <c r="U2433" i="12"/>
  <c r="U2429" i="12"/>
  <c r="U2425" i="12"/>
  <c r="U2421" i="12"/>
  <c r="U2417" i="12"/>
  <c r="U2413" i="12"/>
  <c r="U2409" i="12"/>
  <c r="U2405" i="12"/>
  <c r="U2401" i="12"/>
  <c r="U2397" i="12"/>
  <c r="U2393" i="12"/>
  <c r="U2389" i="12"/>
  <c r="U2385" i="12"/>
  <c r="U2381" i="12"/>
  <c r="U2377" i="12"/>
  <c r="U2373" i="12"/>
  <c r="U2369" i="12"/>
  <c r="U2365" i="12"/>
  <c r="U2361" i="12"/>
  <c r="U2357" i="12"/>
  <c r="U2353" i="12"/>
  <c r="U2349" i="12"/>
  <c r="U2345" i="12"/>
  <c r="U2341" i="12"/>
  <c r="U2337" i="12"/>
  <c r="U2333" i="12"/>
  <c r="U2329" i="12"/>
  <c r="U2325" i="12"/>
  <c r="U2321" i="12"/>
  <c r="U2317" i="12"/>
  <c r="U2313" i="12"/>
  <c r="U2309" i="12"/>
  <c r="U2305" i="12"/>
  <c r="U2301" i="12"/>
  <c r="U2297" i="12"/>
  <c r="U2293" i="12"/>
  <c r="U2289" i="12"/>
  <c r="U2285" i="12"/>
  <c r="U2281" i="12"/>
  <c r="U2277" i="12"/>
  <c r="U2273" i="12"/>
  <c r="U2269" i="12"/>
  <c r="U2265" i="12"/>
  <c r="U2261" i="12"/>
  <c r="U2257" i="12"/>
  <c r="U2253" i="12"/>
  <c r="U2249" i="12"/>
  <c r="U2245" i="12"/>
  <c r="U2241" i="12"/>
  <c r="U2237" i="12"/>
  <c r="U2233" i="12"/>
  <c r="U2229" i="12"/>
  <c r="U2225" i="12"/>
  <c r="U2221" i="12"/>
  <c r="U2217" i="12"/>
  <c r="U2213" i="12"/>
  <c r="U2209" i="12"/>
  <c r="U2205" i="12"/>
  <c r="U2201" i="12"/>
  <c r="U2197" i="12"/>
  <c r="U2193" i="12"/>
  <c r="U2189" i="12"/>
  <c r="U2185" i="12"/>
  <c r="U2181" i="12"/>
  <c r="U2177" i="12"/>
  <c r="U2173" i="12"/>
  <c r="U2169" i="12"/>
  <c r="U2165" i="12"/>
  <c r="U2161" i="12"/>
  <c r="U2157" i="12"/>
  <c r="U2153" i="12"/>
  <c r="U2149" i="12"/>
  <c r="U2145" i="12"/>
  <c r="U2141" i="12"/>
  <c r="U2137" i="12"/>
  <c r="U2133" i="12"/>
  <c r="U2129" i="12"/>
  <c r="U2125" i="12"/>
  <c r="U2121" i="12"/>
  <c r="U2117" i="12"/>
  <c r="U2113" i="12"/>
  <c r="U2109" i="12"/>
  <c r="U2105" i="12"/>
  <c r="U2101" i="12"/>
  <c r="U2097" i="12"/>
  <c r="U2093" i="12"/>
  <c r="U2089" i="12"/>
  <c r="U2085" i="12"/>
  <c r="U2081" i="12"/>
  <c r="U2077" i="12"/>
  <c r="U2073" i="12"/>
  <c r="U2069" i="12"/>
  <c r="U2065" i="12"/>
  <c r="U2061" i="12"/>
  <c r="U2057" i="12"/>
  <c r="U2053" i="12"/>
  <c r="U2049" i="12"/>
  <c r="U2045" i="12"/>
  <c r="U2041" i="12"/>
  <c r="U2037" i="12"/>
  <c r="U2033" i="12"/>
  <c r="U2029" i="12"/>
  <c r="U2025" i="12"/>
  <c r="U2021" i="12"/>
  <c r="U2017" i="12"/>
  <c r="U2013" i="12"/>
  <c r="U2009" i="12"/>
  <c r="U2005" i="12"/>
  <c r="U2001" i="12"/>
  <c r="U1997" i="12"/>
  <c r="U1993" i="12"/>
  <c r="U1989" i="12"/>
  <c r="U1985" i="12"/>
  <c r="U1981" i="12"/>
  <c r="U1977" i="12"/>
  <c r="U1973" i="12"/>
  <c r="U1969" i="12"/>
  <c r="U1965" i="12"/>
  <c r="U1961" i="12"/>
  <c r="U1957" i="12"/>
  <c r="U1953" i="12"/>
  <c r="U1949" i="12"/>
  <c r="U1945" i="12"/>
  <c r="U1941" i="12"/>
  <c r="U1937" i="12"/>
  <c r="U1933" i="12"/>
  <c r="U1929" i="12"/>
  <c r="U1925" i="12"/>
  <c r="U1921" i="12"/>
  <c r="U1917" i="12"/>
  <c r="U1913" i="12"/>
  <c r="U1909" i="12"/>
  <c r="U1905" i="12"/>
  <c r="U1901" i="12"/>
  <c r="U1897" i="12"/>
  <c r="U1893" i="12"/>
  <c r="U1889" i="12"/>
  <c r="U1885" i="12"/>
  <c r="U1881" i="12"/>
  <c r="U1877" i="12"/>
  <c r="U1873" i="12"/>
  <c r="U1869" i="12"/>
  <c r="U1865" i="12"/>
  <c r="U1861" i="12"/>
  <c r="U1857" i="12"/>
  <c r="U1853" i="12"/>
  <c r="U1849" i="12"/>
  <c r="U1845" i="12"/>
  <c r="U1841" i="12"/>
  <c r="U1837" i="12"/>
  <c r="U1833" i="12"/>
  <c r="U1829" i="12"/>
  <c r="U1825" i="12"/>
  <c r="U1821" i="12"/>
  <c r="U1817" i="12"/>
  <c r="U1813" i="12"/>
  <c r="U1809" i="12"/>
  <c r="U1805" i="12"/>
  <c r="U1801" i="12"/>
  <c r="U1797" i="12"/>
  <c r="U1793" i="12"/>
  <c r="U1789" i="12"/>
  <c r="U1785" i="12"/>
  <c r="U1781" i="12"/>
  <c r="U1777" i="12"/>
  <c r="U1773" i="12"/>
  <c r="U1769" i="12"/>
  <c r="U1765" i="12"/>
  <c r="U1761" i="12"/>
  <c r="U1757" i="12"/>
  <c r="U1753" i="12"/>
  <c r="U1749" i="12"/>
  <c r="U1745" i="12"/>
  <c r="U1741" i="12"/>
  <c r="U1737" i="12"/>
  <c r="U1733" i="12"/>
  <c r="U1729" i="12"/>
  <c r="U1725" i="12"/>
  <c r="U1721" i="12"/>
  <c r="U1717" i="12"/>
  <c r="U1713" i="12"/>
  <c r="U1709" i="12"/>
  <c r="U1705" i="12"/>
  <c r="U1701" i="12"/>
  <c r="U1697" i="12"/>
  <c r="U1693" i="12"/>
  <c r="U1689" i="12"/>
  <c r="U1685" i="12"/>
  <c r="U1681" i="12"/>
  <c r="U1677" i="12"/>
  <c r="U1673" i="12"/>
  <c r="U1669" i="12"/>
  <c r="U1665" i="12"/>
  <c r="U1661" i="12"/>
  <c r="U1657" i="12"/>
  <c r="U1653" i="12"/>
  <c r="U1649" i="12"/>
  <c r="U1645" i="12"/>
  <c r="U1641" i="12"/>
  <c r="U1637" i="12"/>
  <c r="U1633" i="12"/>
  <c r="U1629" i="12"/>
  <c r="U1625" i="12"/>
  <c r="U1621" i="12"/>
  <c r="U1617" i="12"/>
  <c r="U1613" i="12"/>
  <c r="U1609" i="12"/>
  <c r="U1605" i="12"/>
  <c r="U1601" i="12"/>
  <c r="U1597" i="12"/>
  <c r="U1593" i="12"/>
  <c r="U1589" i="12"/>
  <c r="U1585" i="12"/>
  <c r="U1581" i="12"/>
  <c r="U1577" i="12"/>
  <c r="BH22" i="12"/>
  <c r="N24" i="6"/>
  <c r="J34" i="6"/>
  <c r="N34" i="6" s="1"/>
  <c r="C17" i="1"/>
  <c r="C16" i="1"/>
  <c r="C15" i="1"/>
  <c r="X12" i="6"/>
  <c r="X11" i="6"/>
  <c r="AL9" i="6" s="1"/>
  <c r="X9" i="6"/>
  <c r="AK29" i="6" s="1"/>
  <c r="AP31" i="6"/>
  <c r="D291" i="8"/>
  <c r="D109" i="8"/>
  <c r="D95" i="8"/>
  <c r="D81" i="8"/>
  <c r="D62" i="8"/>
  <c r="D31" i="8"/>
  <c r="K40" i="8" s="1"/>
  <c r="J82" i="5"/>
  <c r="M82" i="5" s="1"/>
  <c r="O82" i="5" s="1"/>
  <c r="I81" i="5"/>
  <c r="J55" i="5"/>
  <c r="M55" i="5" s="1"/>
  <c r="I11" i="5"/>
  <c r="J11" i="5" s="1"/>
  <c r="M11" i="5" s="1"/>
  <c r="I10" i="5"/>
  <c r="J10" i="5" s="1"/>
  <c r="M10" i="5" s="1"/>
  <c r="O10" i="5" s="1"/>
  <c r="AQ10" i="6"/>
  <c r="AK16" i="6"/>
  <c r="AM30" i="6"/>
  <c r="AM34" i="6"/>
  <c r="AJ32" i="6"/>
  <c r="AJ36" i="6"/>
  <c r="D56" i="4"/>
  <c r="D54" i="4"/>
  <c r="D53" i="4"/>
  <c r="AQ13" i="6" l="1"/>
  <c r="AK12" i="6"/>
  <c r="AJ35" i="6"/>
  <c r="AJ31" i="6"/>
  <c r="AM35" i="6"/>
  <c r="AM31" i="6"/>
  <c r="AQ15" i="6"/>
  <c r="AQ11" i="6"/>
  <c r="AK14" i="6"/>
  <c r="AP9" i="6"/>
  <c r="AJ34" i="6"/>
  <c r="AJ30" i="6"/>
  <c r="AM33" i="6"/>
  <c r="AM29" i="6"/>
  <c r="AJ40" i="6"/>
  <c r="AJ33" i="6"/>
  <c r="AJ29" i="6"/>
  <c r="AM36" i="6"/>
  <c r="AM32" i="6"/>
  <c r="AM15" i="6"/>
  <c r="AM13" i="6"/>
  <c r="AM11" i="6"/>
  <c r="AL10" i="6"/>
  <c r="AP16" i="6"/>
  <c r="AP14" i="6"/>
  <c r="AP12" i="6"/>
  <c r="AM19" i="6"/>
  <c r="AJ15" i="6"/>
  <c r="AJ13" i="6"/>
  <c r="AK9" i="6"/>
  <c r="AM10" i="6"/>
  <c r="AN11" i="6"/>
  <c r="AL16" i="6"/>
  <c r="AL14" i="6"/>
  <c r="AL12" i="6"/>
  <c r="AO16" i="6"/>
  <c r="AO14" i="6"/>
  <c r="AO12" i="6"/>
  <c r="AN9" i="6"/>
  <c r="AO10" i="6"/>
  <c r="AN15" i="6"/>
  <c r="AN13" i="6"/>
  <c r="AJ10" i="6"/>
  <c r="AJ11" i="6"/>
  <c r="AI9" i="12"/>
  <c r="F26" i="5" s="1"/>
  <c r="J26" i="5" s="1"/>
  <c r="M26" i="5" s="1"/>
  <c r="O26" i="5" s="1"/>
  <c r="K39" i="8"/>
  <c r="AL36" i="6"/>
  <c r="AL35" i="6"/>
  <c r="AL34" i="6"/>
  <c r="AL33" i="6"/>
  <c r="AL32" i="6"/>
  <c r="AL31" i="6"/>
  <c r="AL30" i="6"/>
  <c r="AL29" i="6"/>
  <c r="AJ19" i="6"/>
  <c r="AN16" i="6"/>
  <c r="AJ16" i="6"/>
  <c r="AO15" i="6"/>
  <c r="AK15" i="6"/>
  <c r="AN14" i="6"/>
  <c r="AJ14" i="6"/>
  <c r="AO13" i="6"/>
  <c r="AK13" i="6"/>
  <c r="AN12" i="6"/>
  <c r="AJ12" i="6"/>
  <c r="AO11" i="6"/>
  <c r="AK11" i="6"/>
  <c r="AK36" i="6"/>
  <c r="AK35" i="6"/>
  <c r="AK34" i="6"/>
  <c r="AK33" i="6"/>
  <c r="AK32" i="6"/>
  <c r="AK31" i="6"/>
  <c r="AK30" i="6"/>
  <c r="AQ16" i="6"/>
  <c r="AM16" i="6"/>
  <c r="AP15" i="6"/>
  <c r="AL15" i="6"/>
  <c r="AQ14" i="6"/>
  <c r="AM14" i="6"/>
  <c r="AP13" i="6"/>
  <c r="AL13" i="6"/>
  <c r="AQ12" i="6"/>
  <c r="AM12" i="6"/>
  <c r="AP11" i="6"/>
  <c r="AJ9" i="6"/>
  <c r="AM9" i="6"/>
  <c r="AO9" i="6"/>
  <c r="AQ9" i="6"/>
  <c r="AK10" i="6"/>
  <c r="AN10" i="6"/>
  <c r="AP10" i="6"/>
  <c r="AP19" i="6"/>
  <c r="AL11" i="6"/>
  <c r="O11" i="5"/>
  <c r="O16" i="5" s="1"/>
  <c r="M16" i="5"/>
  <c r="O55" i="5"/>
  <c r="O61" i="5" s="1"/>
  <c r="M61" i="5"/>
  <c r="AH15" i="12"/>
  <c r="AY66" i="12" s="1"/>
  <c r="AI15" i="12"/>
  <c r="AH11" i="12"/>
  <c r="AY30" i="12" s="1"/>
  <c r="AI11" i="12"/>
  <c r="AI12" i="12"/>
  <c r="AH12" i="12"/>
  <c r="AY39" i="12" s="1"/>
  <c r="AH9" i="12"/>
  <c r="AY12" i="12" s="1"/>
  <c r="AH13" i="12"/>
  <c r="AY48" i="12" s="1"/>
  <c r="AI13" i="12"/>
  <c r="AI10" i="12"/>
  <c r="AH10" i="12"/>
  <c r="AY21" i="12" s="1"/>
  <c r="AI16" i="12"/>
  <c r="AH16" i="12"/>
  <c r="AY75" i="12" s="1"/>
  <c r="AI14" i="12"/>
  <c r="AH14" i="12"/>
  <c r="AY57" i="12" s="1"/>
  <c r="J81" i="5"/>
  <c r="M81" i="5" s="1"/>
  <c r="O81" i="5" s="1"/>
  <c r="O87" i="5" s="1"/>
  <c r="AJ37" i="6" l="1"/>
  <c r="AJ41" i="6" s="1"/>
  <c r="AM37" i="6"/>
  <c r="AJ44" i="6" s="1"/>
  <c r="AN17" i="6"/>
  <c r="AM22" i="6" s="1"/>
  <c r="AM17" i="6"/>
  <c r="AJ23" i="6" s="1"/>
  <c r="AL17" i="6"/>
  <c r="AJ22" i="6" s="1"/>
  <c r="AO17" i="6"/>
  <c r="AM23" i="6" s="1"/>
  <c r="AK17" i="6"/>
  <c r="AP17" i="6"/>
  <c r="AP22" i="6" s="1"/>
  <c r="AK37" i="6"/>
  <c r="AJ42" i="6" s="1"/>
  <c r="AQ17" i="6"/>
  <c r="AP23" i="6" s="1"/>
  <c r="AP21" i="6"/>
  <c r="AM21" i="6"/>
  <c r="AJ21" i="6"/>
  <c r="V59" i="5"/>
  <c r="Z59" i="5" s="1"/>
  <c r="AC59" i="5" s="1"/>
  <c r="AE59" i="5" s="1"/>
  <c r="V101" i="5"/>
  <c r="Z101" i="5" s="1"/>
  <c r="AC101" i="5" s="1"/>
  <c r="AE101" i="5" s="1"/>
  <c r="F41" i="5"/>
  <c r="J41" i="5" s="1"/>
  <c r="M41" i="5" s="1"/>
  <c r="O41" i="5" s="1"/>
  <c r="AX51" i="12"/>
  <c r="AX15" i="12"/>
  <c r="V28" i="5"/>
  <c r="Z28" i="5" s="1"/>
  <c r="AC28" i="5" s="1"/>
  <c r="AE28" i="5" s="1"/>
  <c r="AX32" i="12"/>
  <c r="AX68" i="12"/>
  <c r="AJ17" i="6"/>
  <c r="AL37" i="6"/>
  <c r="AJ43" i="6" s="1"/>
  <c r="AX63" i="12"/>
  <c r="AX81" i="12"/>
  <c r="AX25" i="12"/>
  <c r="V44" i="5"/>
  <c r="Z44" i="5" s="1"/>
  <c r="AC44" i="5" s="1"/>
  <c r="AE44" i="5" s="1"/>
  <c r="AX41" i="12"/>
  <c r="V13" i="5"/>
  <c r="Z13" i="5" s="1"/>
  <c r="AC13" i="5" s="1"/>
  <c r="AE13" i="5" s="1"/>
  <c r="V85" i="5"/>
  <c r="Z85" i="5" s="1"/>
  <c r="AC85" i="5" s="1"/>
  <c r="AE85" i="5" s="1"/>
  <c r="N16" i="5"/>
  <c r="J16" i="5" s="1"/>
  <c r="N61" i="5"/>
  <c r="J61" i="5" s="1"/>
  <c r="I223" i="8" s="1"/>
  <c r="M87" i="5"/>
  <c r="AX77" i="12"/>
  <c r="AX79" i="12"/>
  <c r="AX45" i="12"/>
  <c r="AX44" i="12"/>
  <c r="AX42" i="12"/>
  <c r="N87" i="5" l="1"/>
  <c r="J87" i="5" s="1"/>
  <c r="I295" i="8" s="1"/>
  <c r="M18" i="5"/>
  <c r="I114" i="8"/>
  <c r="I37" i="8"/>
  <c r="I84" i="8"/>
  <c r="I100" i="8"/>
  <c r="I65" i="8"/>
  <c r="AJ45" i="6"/>
  <c r="X10" i="6" s="1"/>
  <c r="M63" i="5"/>
  <c r="AX70" i="12"/>
  <c r="BA70" i="12" s="1"/>
  <c r="AX71" i="12"/>
  <c r="AY71" i="12" s="1"/>
  <c r="AZ71" i="12" s="1"/>
  <c r="AX69" i="12"/>
  <c r="BA69" i="12" s="1"/>
  <c r="AX72" i="12"/>
  <c r="AX59" i="12"/>
  <c r="BA59" i="12" s="1"/>
  <c r="AX61" i="12"/>
  <c r="AY61" i="12" s="1"/>
  <c r="AZ61" i="12" s="1"/>
  <c r="AX62" i="12"/>
  <c r="AY62" i="12" s="1"/>
  <c r="AX60" i="12"/>
  <c r="BA60" i="12" s="1"/>
  <c r="AX53" i="12"/>
  <c r="BA53" i="12" s="1"/>
  <c r="AX54" i="12"/>
  <c r="AX50" i="12"/>
  <c r="AY50" i="12" s="1"/>
  <c r="AZ50" i="12" s="1"/>
  <c r="AX52" i="12"/>
  <c r="BA52" i="12" s="1"/>
  <c r="AX43" i="12"/>
  <c r="BA43" i="12" s="1"/>
  <c r="AX34" i="12"/>
  <c r="BA34" i="12" s="1"/>
  <c r="AX33" i="12"/>
  <c r="AY36" i="12" s="1"/>
  <c r="AX35" i="12"/>
  <c r="BA35" i="12" s="1"/>
  <c r="AX36" i="12"/>
  <c r="AX26" i="12"/>
  <c r="AY26" i="12" s="1"/>
  <c r="AX24" i="12"/>
  <c r="BA24" i="12" s="1"/>
  <c r="AX27" i="12"/>
  <c r="AX23" i="12"/>
  <c r="AY23" i="12" s="1"/>
  <c r="AX14" i="12"/>
  <c r="BA14" i="12" s="1"/>
  <c r="AX18" i="12"/>
  <c r="AX17" i="12"/>
  <c r="AZ17" i="12" s="1"/>
  <c r="AX16" i="12"/>
  <c r="BA16" i="12" s="1"/>
  <c r="AX78" i="12"/>
  <c r="BA78" i="12" s="1"/>
  <c r="AX80" i="12"/>
  <c r="BA80" i="12" s="1"/>
  <c r="I75" i="9"/>
  <c r="AJ20" i="6"/>
  <c r="AJ24" i="6" s="1"/>
  <c r="AM20" i="6"/>
  <c r="AM24" i="6" s="1"/>
  <c r="AP20" i="6"/>
  <c r="AP24" i="6" s="1"/>
  <c r="AY45" i="12"/>
  <c r="AZ45" i="12" s="1"/>
  <c r="I15" i="1" s="1"/>
  <c r="J15" i="1" s="1"/>
  <c r="C2" i="18" s="1"/>
  <c r="BA45" i="12"/>
  <c r="V27" i="5" s="1"/>
  <c r="BA44" i="12"/>
  <c r="AZ44" i="12"/>
  <c r="AY44" i="12"/>
  <c r="AY41" i="12"/>
  <c r="AZ41" i="12" s="1"/>
  <c r="BA41" i="12"/>
  <c r="AY77" i="12"/>
  <c r="AZ77" i="12" s="1"/>
  <c r="BA77" i="12"/>
  <c r="AY32" i="12"/>
  <c r="AZ32" i="12" s="1"/>
  <c r="BA32" i="12"/>
  <c r="BA42" i="12"/>
  <c r="AY42" i="12"/>
  <c r="AZ42" i="12" s="1"/>
  <c r="AY25" i="12"/>
  <c r="AZ25" i="12" s="1"/>
  <c r="BA25" i="12"/>
  <c r="AY79" i="12"/>
  <c r="AZ79" i="12" s="1"/>
  <c r="BA79" i="12"/>
  <c r="AY68" i="12"/>
  <c r="AZ68" i="12" s="1"/>
  <c r="BA68" i="12"/>
  <c r="BA15" i="12"/>
  <c r="AZ15" i="12"/>
  <c r="AY15" i="12"/>
  <c r="BA51" i="12"/>
  <c r="AY51" i="12"/>
  <c r="AZ51" i="12" s="1"/>
  <c r="AY72" i="12" l="1"/>
  <c r="AZ72" i="12" s="1"/>
  <c r="E17" i="1" s="1"/>
  <c r="F17" i="1" s="1"/>
  <c r="F114" i="8"/>
  <c r="J114" i="8" s="1"/>
  <c r="F100" i="8"/>
  <c r="J100" i="8" s="1"/>
  <c r="F84" i="8"/>
  <c r="J84" i="8" s="1"/>
  <c r="F65" i="8"/>
  <c r="J65" i="8" s="1"/>
  <c r="F37" i="8"/>
  <c r="J37" i="8" s="1"/>
  <c r="I80" i="9"/>
  <c r="I79" i="9"/>
  <c r="M89" i="5"/>
  <c r="F295" i="8" s="1"/>
  <c r="J295" i="8" s="1"/>
  <c r="AY81" i="12"/>
  <c r="AZ81" i="12" s="1"/>
  <c r="I17" i="1" s="1"/>
  <c r="J17" i="1" s="1"/>
  <c r="K17" i="1" s="1"/>
  <c r="M17" i="1" s="1"/>
  <c r="F223" i="8"/>
  <c r="J223" i="8" s="1"/>
  <c r="M223" i="8" s="1"/>
  <c r="H75" i="9"/>
  <c r="BA81" i="12"/>
  <c r="AY34" i="12"/>
  <c r="AZ34" i="12" s="1"/>
  <c r="AY33" i="12"/>
  <c r="AZ33" i="12" s="1"/>
  <c r="AY80" i="12"/>
  <c r="AZ80" i="12" s="1"/>
  <c r="BA62" i="12"/>
  <c r="BA63" i="12"/>
  <c r="AY63" i="12"/>
  <c r="AZ63" i="12" s="1"/>
  <c r="I16" i="1" s="1"/>
  <c r="J16" i="1" s="1"/>
  <c r="K16" i="1" s="1"/>
  <c r="M16" i="1" s="1"/>
  <c r="BA17" i="12"/>
  <c r="BA54" i="12"/>
  <c r="V43" i="5" s="1"/>
  <c r="Z43" i="5" s="1"/>
  <c r="AC43" i="5" s="1"/>
  <c r="BA27" i="12"/>
  <c r="F40" i="5" s="1"/>
  <c r="AY27" i="12"/>
  <c r="AZ27" i="12" s="1"/>
  <c r="I14" i="1" s="1"/>
  <c r="J14" i="1" s="1"/>
  <c r="K14" i="1" s="1"/>
  <c r="BA61" i="12"/>
  <c r="AY52" i="12"/>
  <c r="AZ52" i="12" s="1"/>
  <c r="AY17" i="12"/>
  <c r="AY14" i="12"/>
  <c r="AZ14" i="12" s="1"/>
  <c r="AY60" i="12"/>
  <c r="AZ60" i="12" s="1"/>
  <c r="BA71" i="12"/>
  <c r="AZ26" i="12"/>
  <c r="AZ35" i="12"/>
  <c r="BA26" i="12"/>
  <c r="AZ69" i="12"/>
  <c r="AY43" i="12"/>
  <c r="AZ43" i="12" s="1"/>
  <c r="AY59" i="12"/>
  <c r="AZ59" i="12" s="1"/>
  <c r="AY24" i="12"/>
  <c r="AZ24" i="12" s="1"/>
  <c r="BA50" i="12"/>
  <c r="BA36" i="12"/>
  <c r="V12" i="5" s="1"/>
  <c r="AZ36" i="12"/>
  <c r="E15" i="1" s="1"/>
  <c r="F15" i="1" s="1"/>
  <c r="C1" i="18" s="1"/>
  <c r="AZ53" i="12"/>
  <c r="AY16" i="12"/>
  <c r="AZ16" i="12" s="1"/>
  <c r="BA33" i="12"/>
  <c r="AY70" i="12"/>
  <c r="AZ70" i="12" s="1"/>
  <c r="BA23" i="12"/>
  <c r="BA18" i="12"/>
  <c r="AY18" i="12"/>
  <c r="AZ18" i="12" s="1"/>
  <c r="E14" i="1" s="1"/>
  <c r="F14" i="1" s="1"/>
  <c r="G14" i="1" s="1"/>
  <c r="D8" i="8" s="1"/>
  <c r="AZ62" i="12"/>
  <c r="AZ23" i="12"/>
  <c r="AY69" i="12"/>
  <c r="AY53" i="12"/>
  <c r="AY35" i="12"/>
  <c r="AY54" i="12"/>
  <c r="AZ54" i="12" s="1"/>
  <c r="E16" i="1" s="1"/>
  <c r="F16" i="1" s="1"/>
  <c r="G16" i="1" s="1"/>
  <c r="BA72" i="12"/>
  <c r="V84" i="5" s="1"/>
  <c r="AY78" i="12"/>
  <c r="AZ78" i="12" s="1"/>
  <c r="O24" i="6"/>
  <c r="Q24" i="6" s="1"/>
  <c r="AP30" i="6"/>
  <c r="AP32" i="6" s="1"/>
  <c r="C19" i="6" s="1"/>
  <c r="X14" i="6"/>
  <c r="X13" i="6" s="1"/>
  <c r="K15" i="1"/>
  <c r="M15" i="1" s="1"/>
  <c r="AJ12" i="12"/>
  <c r="Z27" i="5"/>
  <c r="AC27" i="5" s="1"/>
  <c r="V100" i="5" l="1"/>
  <c r="Z100" i="5" s="1"/>
  <c r="AC100" i="5" s="1"/>
  <c r="V58" i="5"/>
  <c r="Z58" i="5" s="1"/>
  <c r="AC58" i="5" s="1"/>
  <c r="M14" i="1"/>
  <c r="D32" i="8" s="1"/>
  <c r="D20" i="8"/>
  <c r="K23" i="8" s="1"/>
  <c r="F25" i="5"/>
  <c r="J25" i="5" s="1"/>
  <c r="M25" i="5" s="1"/>
  <c r="H80" i="9"/>
  <c r="H79" i="9"/>
  <c r="T154" i="18"/>
  <c r="T12" i="18"/>
  <c r="C12" i="18"/>
  <c r="T43" i="18"/>
  <c r="T67" i="18"/>
  <c r="T79" i="18"/>
  <c r="T150" i="18"/>
  <c r="T122" i="18"/>
  <c r="T49" i="18"/>
  <c r="T89" i="18"/>
  <c r="T101" i="18"/>
  <c r="T113" i="18"/>
  <c r="T118" i="18"/>
  <c r="T106" i="18"/>
  <c r="T94" i="18"/>
  <c r="T82" i="18"/>
  <c r="T70" i="18"/>
  <c r="T137" i="18"/>
  <c r="T152" i="18"/>
  <c r="T128" i="18"/>
  <c r="T143" i="18"/>
  <c r="T119" i="18"/>
  <c r="T5" i="18"/>
  <c r="T13" i="18"/>
  <c r="T4" i="18"/>
  <c r="T38" i="18"/>
  <c r="T62" i="18"/>
  <c r="T25" i="18"/>
  <c r="T14" i="18"/>
  <c r="T47" i="18"/>
  <c r="T69" i="18"/>
  <c r="T81" i="18"/>
  <c r="T17" i="18"/>
  <c r="T6" i="18"/>
  <c r="T53" i="18"/>
  <c r="T91" i="18"/>
  <c r="T103" i="18"/>
  <c r="T37" i="18"/>
  <c r="T130" i="18"/>
  <c r="T104" i="18"/>
  <c r="T92" i="18"/>
  <c r="T80" i="18"/>
  <c r="T68" i="18"/>
  <c r="T133" i="18"/>
  <c r="T148" i="18"/>
  <c r="T124" i="18"/>
  <c r="T139" i="18"/>
  <c r="T115" i="18"/>
  <c r="T52" i="18"/>
  <c r="T21" i="18"/>
  <c r="T11" i="18"/>
  <c r="T42" i="18"/>
  <c r="T66" i="18"/>
  <c r="T36" i="18"/>
  <c r="T44" i="18"/>
  <c r="T22" i="18"/>
  <c r="T51" i="18"/>
  <c r="T71" i="18"/>
  <c r="T83" i="18"/>
  <c r="T27" i="18"/>
  <c r="T23" i="18"/>
  <c r="T57" i="18"/>
  <c r="T93" i="18"/>
  <c r="T105" i="18"/>
  <c r="T40" i="18"/>
  <c r="T114" i="18"/>
  <c r="T102" i="18"/>
  <c r="T90" i="18"/>
  <c r="T78" i="18"/>
  <c r="T153" i="18"/>
  <c r="T129" i="18"/>
  <c r="T144" i="18"/>
  <c r="T120" i="18"/>
  <c r="T135" i="18"/>
  <c r="T30" i="18"/>
  <c r="T64" i="18"/>
  <c r="T26" i="18"/>
  <c r="T16" i="18"/>
  <c r="T46" i="18"/>
  <c r="T142" i="18"/>
  <c r="T60" i="18"/>
  <c r="T24" i="18"/>
  <c r="T55" i="18"/>
  <c r="T73" i="18"/>
  <c r="T85" i="18"/>
  <c r="T32" i="18"/>
  <c r="T35" i="18"/>
  <c r="T61" i="18"/>
  <c r="T95" i="18"/>
  <c r="T107" i="18"/>
  <c r="T56" i="18"/>
  <c r="T112" i="18"/>
  <c r="T100" i="18"/>
  <c r="T88" i="18"/>
  <c r="T76" i="18"/>
  <c r="T149" i="18"/>
  <c r="T125" i="18"/>
  <c r="T140" i="18"/>
  <c r="T116" i="18"/>
  <c r="T131" i="18"/>
  <c r="T20" i="18"/>
  <c r="T146" i="18"/>
  <c r="T28" i="18"/>
  <c r="T19" i="18"/>
  <c r="T50" i="18"/>
  <c r="T123" i="18"/>
  <c r="T58" i="18"/>
  <c r="T134" i="18"/>
  <c r="T29" i="18"/>
  <c r="T59" i="18"/>
  <c r="T75" i="18"/>
  <c r="T126" i="18"/>
  <c r="T34" i="18"/>
  <c r="T41" i="18"/>
  <c r="T65" i="18"/>
  <c r="T97" i="18"/>
  <c r="T109" i="18"/>
  <c r="T3" i="18"/>
  <c r="T110" i="18"/>
  <c r="T98" i="18"/>
  <c r="T86" i="18"/>
  <c r="T74" i="18"/>
  <c r="T145" i="18"/>
  <c r="T121" i="18"/>
  <c r="T136" i="18"/>
  <c r="T151" i="18"/>
  <c r="T127" i="18"/>
  <c r="T9" i="18"/>
  <c r="T15" i="18"/>
  <c r="T33" i="18"/>
  <c r="T31" i="18"/>
  <c r="T54" i="18"/>
  <c r="T10" i="18"/>
  <c r="T8" i="18"/>
  <c r="T39" i="18"/>
  <c r="T63" i="18"/>
  <c r="T77" i="18"/>
  <c r="T138" i="18"/>
  <c r="T48" i="18"/>
  <c r="T45" i="18"/>
  <c r="T87" i="18"/>
  <c r="T99" i="18"/>
  <c r="T111" i="18"/>
  <c r="T18" i="18"/>
  <c r="T108" i="18"/>
  <c r="T96" i="18"/>
  <c r="T84" i="18"/>
  <c r="T72" i="18"/>
  <c r="T141" i="18"/>
  <c r="T117" i="18"/>
  <c r="T132" i="18"/>
  <c r="T147" i="18"/>
  <c r="T7" i="18"/>
  <c r="J40" i="5"/>
  <c r="M40" i="5" s="1"/>
  <c r="O223" i="8"/>
  <c r="O226" i="8" s="1"/>
  <c r="M226" i="8"/>
  <c r="AJ16" i="12"/>
  <c r="AJ14" i="12"/>
  <c r="AJ10" i="12"/>
  <c r="AJ13" i="12"/>
  <c r="Z12" i="5"/>
  <c r="AC12" i="5" s="1"/>
  <c r="AC18" i="5" s="1"/>
  <c r="AJ11" i="12"/>
  <c r="AJ9" i="12"/>
  <c r="L16" i="1"/>
  <c r="P16" i="1" s="1"/>
  <c r="X16" i="1" s="1"/>
  <c r="N16" i="1"/>
  <c r="AJ15" i="12"/>
  <c r="Z84" i="5"/>
  <c r="AC84" i="5" s="1"/>
  <c r="O33" i="6"/>
  <c r="X15" i="6"/>
  <c r="C17" i="6" s="1"/>
  <c r="O34" i="6"/>
  <c r="Q34" i="6" s="1"/>
  <c r="S34" i="6" s="1"/>
  <c r="Q28" i="6"/>
  <c r="S24" i="6"/>
  <c r="S28" i="6" s="1"/>
  <c r="D273" i="8"/>
  <c r="D205" i="8"/>
  <c r="G17" i="1"/>
  <c r="E250" i="8"/>
  <c r="G15" i="1"/>
  <c r="D177" i="8"/>
  <c r="K182" i="8" s="1"/>
  <c r="D191" i="8"/>
  <c r="D108" i="8"/>
  <c r="K112" i="8" s="1"/>
  <c r="D272" i="8"/>
  <c r="D34" i="8"/>
  <c r="AE27" i="5"/>
  <c r="AE33" i="5" s="1"/>
  <c r="AC33" i="5"/>
  <c r="AE43" i="5"/>
  <c r="AE49" i="5" s="1"/>
  <c r="AC49" i="5"/>
  <c r="C3" i="18" l="1"/>
  <c r="C13" i="18" s="1"/>
  <c r="C15" i="18" s="1"/>
  <c r="C16" i="18" s="1"/>
  <c r="M4" i="18" s="1"/>
  <c r="N4" i="18" s="1"/>
  <c r="M5" i="18" s="1"/>
  <c r="N5" i="18" s="1"/>
  <c r="M6" i="18" s="1"/>
  <c r="N6" i="18" s="1"/>
  <c r="M7" i="18" s="1"/>
  <c r="N7" i="18" s="1"/>
  <c r="M8" i="18" s="1"/>
  <c r="N8" i="18" s="1"/>
  <c r="M9" i="18" s="1"/>
  <c r="N9" i="18" s="1"/>
  <c r="M10" i="18" s="1"/>
  <c r="N10" i="18" s="1"/>
  <c r="M11" i="18" s="1"/>
  <c r="N11" i="18" s="1"/>
  <c r="M12" i="18" s="1"/>
  <c r="N12" i="18" s="1"/>
  <c r="M13" i="18" s="1"/>
  <c r="N13" i="18" s="1"/>
  <c r="M14" i="18" s="1"/>
  <c r="N14" i="18" s="1"/>
  <c r="M15" i="18" s="1"/>
  <c r="N15" i="18" s="1"/>
  <c r="M16" i="18" s="1"/>
  <c r="N16" i="18" s="1"/>
  <c r="M17" i="18" s="1"/>
  <c r="N17" i="18" s="1"/>
  <c r="M18" i="18" s="1"/>
  <c r="N18" i="18" s="1"/>
  <c r="M19" i="18" s="1"/>
  <c r="N19" i="18" s="1"/>
  <c r="M20" i="18" s="1"/>
  <c r="N20" i="18" s="1"/>
  <c r="M21" i="18" s="1"/>
  <c r="N21" i="18" s="1"/>
  <c r="M22" i="18" s="1"/>
  <c r="N22" i="18" s="1"/>
  <c r="M23" i="18" s="1"/>
  <c r="N23" i="18" s="1"/>
  <c r="M24" i="18" s="1"/>
  <c r="N24" i="18" s="1"/>
  <c r="M25" i="18" s="1"/>
  <c r="N25" i="18" s="1"/>
  <c r="M26" i="18" s="1"/>
  <c r="N26" i="18" s="1"/>
  <c r="M27" i="18" s="1"/>
  <c r="N27" i="18" s="1"/>
  <c r="M28" i="18" s="1"/>
  <c r="N28" i="18" s="1"/>
  <c r="M29" i="18" s="1"/>
  <c r="N29" i="18" s="1"/>
  <c r="M30" i="18" s="1"/>
  <c r="N30" i="18" s="1"/>
  <c r="M31" i="18" s="1"/>
  <c r="N31" i="18" s="1"/>
  <c r="M32" i="18" s="1"/>
  <c r="N32" i="18" s="1"/>
  <c r="M33" i="18" s="1"/>
  <c r="N33" i="18" s="1"/>
  <c r="M34" i="18" s="1"/>
  <c r="N34" i="18" s="1"/>
  <c r="M35" i="18" s="1"/>
  <c r="N35" i="18" s="1"/>
  <c r="M36" i="18" s="1"/>
  <c r="N36" i="18" s="1"/>
  <c r="M37" i="18" s="1"/>
  <c r="N37" i="18" s="1"/>
  <c r="M38" i="18" s="1"/>
  <c r="N38" i="18" s="1"/>
  <c r="M39" i="18" s="1"/>
  <c r="N39" i="18" s="1"/>
  <c r="M40" i="18" s="1"/>
  <c r="N40" i="18" s="1"/>
  <c r="M41" i="18" s="1"/>
  <c r="N41" i="18" s="1"/>
  <c r="M42" i="18" s="1"/>
  <c r="N42" i="18" s="1"/>
  <c r="M43" i="18" s="1"/>
  <c r="N43" i="18" s="1"/>
  <c r="M44" i="18" s="1"/>
  <c r="N44" i="18" s="1"/>
  <c r="M45" i="18" s="1"/>
  <c r="N45" i="18" s="1"/>
  <c r="M46" i="18" s="1"/>
  <c r="N46" i="18" s="1"/>
  <c r="M47" i="18" s="1"/>
  <c r="N47" i="18" s="1"/>
  <c r="M48" i="18" s="1"/>
  <c r="N48" i="18" s="1"/>
  <c r="M49" i="18" s="1"/>
  <c r="N49" i="18" s="1"/>
  <c r="M50" i="18" s="1"/>
  <c r="N50" i="18" s="1"/>
  <c r="M51" i="18" s="1"/>
  <c r="N51" i="18" s="1"/>
  <c r="M52" i="18" s="1"/>
  <c r="N52" i="18" s="1"/>
  <c r="M53" i="18" s="1"/>
  <c r="N53" i="18" s="1"/>
  <c r="M54" i="18" s="1"/>
  <c r="N54" i="18" s="1"/>
  <c r="M55" i="18" s="1"/>
  <c r="N55" i="18" s="1"/>
  <c r="M56" i="18" s="1"/>
  <c r="N56" i="18" s="1"/>
  <c r="M57" i="18" s="1"/>
  <c r="N57" i="18" s="1"/>
  <c r="M58" i="18" s="1"/>
  <c r="N58" i="18" s="1"/>
  <c r="M59" i="18" s="1"/>
  <c r="N59" i="18" s="1"/>
  <c r="M60" i="18" s="1"/>
  <c r="N60" i="18" s="1"/>
  <c r="M61" i="18" s="1"/>
  <c r="N61" i="18" s="1"/>
  <c r="M62" i="18" s="1"/>
  <c r="N62" i="18" s="1"/>
  <c r="M63" i="18" s="1"/>
  <c r="N63" i="18" s="1"/>
  <c r="M64" i="18" s="1"/>
  <c r="N64" i="18" s="1"/>
  <c r="M65" i="18" s="1"/>
  <c r="N65" i="18" s="1"/>
  <c r="M66" i="18" s="1"/>
  <c r="N66" i="18" s="1"/>
  <c r="M67" i="18" s="1"/>
  <c r="N67" i="18" s="1"/>
  <c r="M68" i="18" s="1"/>
  <c r="N68" i="18" s="1"/>
  <c r="M69" i="18" s="1"/>
  <c r="N69" i="18" s="1"/>
  <c r="M70" i="18" s="1"/>
  <c r="N70" i="18" s="1"/>
  <c r="M71" i="18" s="1"/>
  <c r="N71" i="18" s="1"/>
  <c r="M72" i="18" s="1"/>
  <c r="N72" i="18" s="1"/>
  <c r="M73" i="18" s="1"/>
  <c r="N73" i="18" s="1"/>
  <c r="M74" i="18" s="1"/>
  <c r="N74" i="18" s="1"/>
  <c r="M75" i="18" s="1"/>
  <c r="N75" i="18" s="1"/>
  <c r="M76" i="18" s="1"/>
  <c r="N76" i="18" s="1"/>
  <c r="M77" i="18" s="1"/>
  <c r="N77" i="18" s="1"/>
  <c r="M78" i="18" s="1"/>
  <c r="N78" i="18" s="1"/>
  <c r="M79" i="18" s="1"/>
  <c r="N79" i="18" s="1"/>
  <c r="M80" i="18" s="1"/>
  <c r="N80" i="18" s="1"/>
  <c r="M81" i="18" s="1"/>
  <c r="N81" i="18" s="1"/>
  <c r="M82" i="18" s="1"/>
  <c r="N82" i="18" s="1"/>
  <c r="M83" i="18" s="1"/>
  <c r="N83" i="18" s="1"/>
  <c r="M84" i="18" s="1"/>
  <c r="N84" i="18" s="1"/>
  <c r="M85" i="18" s="1"/>
  <c r="N85" i="18" s="1"/>
  <c r="M86" i="18" s="1"/>
  <c r="N86" i="18" s="1"/>
  <c r="M87" i="18" s="1"/>
  <c r="N87" i="18" s="1"/>
  <c r="M88" i="18" s="1"/>
  <c r="N88" i="18" s="1"/>
  <c r="M89" i="18" s="1"/>
  <c r="N89" i="18" s="1"/>
  <c r="M90" i="18" s="1"/>
  <c r="N90" i="18" s="1"/>
  <c r="M91" i="18" s="1"/>
  <c r="N91" i="18" s="1"/>
  <c r="M92" i="18" s="1"/>
  <c r="N92" i="18" s="1"/>
  <c r="M93" i="18" s="1"/>
  <c r="N93" i="18" s="1"/>
  <c r="M94" i="18" s="1"/>
  <c r="N94" i="18" s="1"/>
  <c r="M95" i="18" s="1"/>
  <c r="N95" i="18" s="1"/>
  <c r="M96" i="18" s="1"/>
  <c r="N96" i="18" s="1"/>
  <c r="M97" i="18" s="1"/>
  <c r="N97" i="18" s="1"/>
  <c r="M98" i="18" s="1"/>
  <c r="N98" i="18" s="1"/>
  <c r="M99" i="18" s="1"/>
  <c r="N99" i="18" s="1"/>
  <c r="M100" i="18" s="1"/>
  <c r="N100" i="18" s="1"/>
  <c r="M101" i="18" s="1"/>
  <c r="N101" i="18" s="1"/>
  <c r="M102" i="18" s="1"/>
  <c r="N102" i="18" s="1"/>
  <c r="M103" i="18" s="1"/>
  <c r="N103" i="18" s="1"/>
  <c r="M104" i="18" s="1"/>
  <c r="N104" i="18" s="1"/>
  <c r="M105" i="18" s="1"/>
  <c r="N105" i="18" s="1"/>
  <c r="M106" i="18" s="1"/>
  <c r="N106" i="18" s="1"/>
  <c r="M107" i="18" s="1"/>
  <c r="N107" i="18" s="1"/>
  <c r="M108" i="18" s="1"/>
  <c r="N108" i="18" s="1"/>
  <c r="M109" i="18" s="1"/>
  <c r="N109" i="18" s="1"/>
  <c r="M110" i="18" s="1"/>
  <c r="N110" i="18" s="1"/>
  <c r="M111" i="18" s="1"/>
  <c r="N111" i="18" s="1"/>
  <c r="M112" i="18" s="1"/>
  <c r="N112" i="18" s="1"/>
  <c r="M113" i="18" s="1"/>
  <c r="N113" i="18" s="1"/>
  <c r="M114" i="18" s="1"/>
  <c r="N114" i="18" s="1"/>
  <c r="M115" i="18" s="1"/>
  <c r="N115" i="18" s="1"/>
  <c r="M116" i="18" s="1"/>
  <c r="N116" i="18" s="1"/>
  <c r="M117" i="18" s="1"/>
  <c r="N117" i="18" s="1"/>
  <c r="M118" i="18" s="1"/>
  <c r="N118" i="18" s="1"/>
  <c r="M119" i="18" s="1"/>
  <c r="N119" i="18" s="1"/>
  <c r="M120" i="18" s="1"/>
  <c r="N120" i="18" s="1"/>
  <c r="M121" i="18" s="1"/>
  <c r="N121" i="18" s="1"/>
  <c r="M122" i="18" s="1"/>
  <c r="N122" i="18" s="1"/>
  <c r="M123" i="18" s="1"/>
  <c r="N123" i="18" s="1"/>
  <c r="M124" i="18" s="1"/>
  <c r="N124" i="18" s="1"/>
  <c r="M125" i="18" s="1"/>
  <c r="N125" i="18" s="1"/>
  <c r="M126" i="18" s="1"/>
  <c r="N126" i="18" s="1"/>
  <c r="M127" i="18" s="1"/>
  <c r="N127" i="18" s="1"/>
  <c r="M128" i="18" s="1"/>
  <c r="N128" i="18" s="1"/>
  <c r="M129" i="18" s="1"/>
  <c r="N129" i="18" s="1"/>
  <c r="M130" i="18" s="1"/>
  <c r="N130" i="18" s="1"/>
  <c r="M131" i="18" s="1"/>
  <c r="N131" i="18" s="1"/>
  <c r="M132" i="18" s="1"/>
  <c r="N132" i="18" s="1"/>
  <c r="M133" i="18" s="1"/>
  <c r="N133" i="18" s="1"/>
  <c r="M134" i="18" s="1"/>
  <c r="N134" i="18" s="1"/>
  <c r="M135" i="18" s="1"/>
  <c r="N135" i="18" s="1"/>
  <c r="M136" i="18" s="1"/>
  <c r="N136" i="18" s="1"/>
  <c r="M137" i="18" s="1"/>
  <c r="N137" i="18" s="1"/>
  <c r="M138" i="18" s="1"/>
  <c r="N138" i="18" s="1"/>
  <c r="M139" i="18" s="1"/>
  <c r="N139" i="18" s="1"/>
  <c r="M140" i="18" s="1"/>
  <c r="N140" i="18" s="1"/>
  <c r="M141" i="18" s="1"/>
  <c r="N141" i="18" s="1"/>
  <c r="M142" i="18" s="1"/>
  <c r="N142" i="18" s="1"/>
  <c r="M143" i="18" s="1"/>
  <c r="N143" i="18" s="1"/>
  <c r="M144" i="18" s="1"/>
  <c r="N144" i="18" s="1"/>
  <c r="M145" i="18" s="1"/>
  <c r="N145" i="18" s="1"/>
  <c r="M146" i="18" s="1"/>
  <c r="N146" i="18" s="1"/>
  <c r="M147" i="18" s="1"/>
  <c r="N147" i="18" s="1"/>
  <c r="M148" i="18" s="1"/>
  <c r="N148" i="18" s="1"/>
  <c r="M149" i="18" s="1"/>
  <c r="N149" i="18" s="1"/>
  <c r="M150" i="18" s="1"/>
  <c r="N150" i="18" s="1"/>
  <c r="M151" i="18" s="1"/>
  <c r="N151" i="18" s="1"/>
  <c r="M152" i="18" s="1"/>
  <c r="N152" i="18" s="1"/>
  <c r="M153" i="18" s="1"/>
  <c r="N153" i="18" s="1"/>
  <c r="M154" i="18" s="1"/>
  <c r="N154" i="18" s="1"/>
  <c r="M155" i="18" s="1"/>
  <c r="N155" i="18" s="1"/>
  <c r="M156" i="18" s="1"/>
  <c r="N156" i="18" s="1"/>
  <c r="M157" i="18" s="1"/>
  <c r="N157" i="18" s="1"/>
  <c r="M158" i="18" s="1"/>
  <c r="N158" i="18" s="1"/>
  <c r="M159" i="18" s="1"/>
  <c r="N159" i="18" s="1"/>
  <c r="M160" i="18" s="1"/>
  <c r="N160" i="18" s="1"/>
  <c r="M161" i="18" s="1"/>
  <c r="N161" i="18" s="1"/>
  <c r="M162" i="18" s="1"/>
  <c r="N162" i="18" s="1"/>
  <c r="M163" i="18" s="1"/>
  <c r="N163" i="18" s="1"/>
  <c r="M164" i="18" s="1"/>
  <c r="N164" i="18" s="1"/>
  <c r="M165" i="18" s="1"/>
  <c r="N165" i="18" s="1"/>
  <c r="M166" i="18" s="1"/>
  <c r="N166" i="18" s="1"/>
  <c r="M167" i="18" s="1"/>
  <c r="N167" i="18" s="1"/>
  <c r="M168" i="18" s="1"/>
  <c r="N168" i="18" s="1"/>
  <c r="M169" i="18" s="1"/>
  <c r="N169" i="18" s="1"/>
  <c r="M170" i="18" s="1"/>
  <c r="N170" i="18" s="1"/>
  <c r="M171" i="18" s="1"/>
  <c r="N171" i="18" s="1"/>
  <c r="M172" i="18" s="1"/>
  <c r="N172" i="18" s="1"/>
  <c r="M173" i="18" s="1"/>
  <c r="N173" i="18" s="1"/>
  <c r="M174" i="18" s="1"/>
  <c r="N174" i="18" s="1"/>
  <c r="M175" i="18" s="1"/>
  <c r="N175" i="18" s="1"/>
  <c r="M176" i="18" s="1"/>
  <c r="N176" i="18" s="1"/>
  <c r="M177" i="18" s="1"/>
  <c r="N177" i="18" s="1"/>
  <c r="M178" i="18" s="1"/>
  <c r="N178" i="18" s="1"/>
  <c r="M179" i="18" s="1"/>
  <c r="N179" i="18" s="1"/>
  <c r="M180" i="18" s="1"/>
  <c r="N180" i="18" s="1"/>
  <c r="M181" i="18" s="1"/>
  <c r="N181" i="18" s="1"/>
  <c r="M182" i="18" s="1"/>
  <c r="N182" i="18" s="1"/>
  <c r="M183" i="18" s="1"/>
  <c r="N183" i="18" s="1"/>
  <c r="M184" i="18" s="1"/>
  <c r="N184" i="18" s="1"/>
  <c r="M185" i="18" s="1"/>
  <c r="N185" i="18" s="1"/>
  <c r="M186" i="18" s="1"/>
  <c r="N186" i="18" s="1"/>
  <c r="M187" i="18" s="1"/>
  <c r="N187" i="18" s="1"/>
  <c r="M188" i="18" s="1"/>
  <c r="N188" i="18" s="1"/>
  <c r="M189" i="18" s="1"/>
  <c r="N189" i="18" s="1"/>
  <c r="M190" i="18" s="1"/>
  <c r="N190" i="18" s="1"/>
  <c r="M191" i="18" s="1"/>
  <c r="N191" i="18" s="1"/>
  <c r="M192" i="18" s="1"/>
  <c r="N192" i="18" s="1"/>
  <c r="M193" i="18" s="1"/>
  <c r="N193" i="18" s="1"/>
  <c r="M194" i="18" s="1"/>
  <c r="N194" i="18" s="1"/>
  <c r="M195" i="18" s="1"/>
  <c r="N195" i="18" s="1"/>
  <c r="M196" i="18" s="1"/>
  <c r="N196" i="18" s="1"/>
  <c r="M197" i="18" s="1"/>
  <c r="N197" i="18" s="1"/>
  <c r="M198" i="18" s="1"/>
  <c r="N198" i="18" s="1"/>
  <c r="M199" i="18" s="1"/>
  <c r="N199" i="18" s="1"/>
  <c r="M200" i="18" s="1"/>
  <c r="N200" i="18" s="1"/>
  <c r="M201" i="18" s="1"/>
  <c r="N201" i="18" s="1"/>
  <c r="M202" i="18" s="1"/>
  <c r="N202" i="18" s="1"/>
  <c r="M203" i="18" s="1"/>
  <c r="N203" i="18" s="1"/>
  <c r="M204" i="18" s="1"/>
  <c r="N204" i="18" s="1"/>
  <c r="M205" i="18" s="1"/>
  <c r="N205" i="18" s="1"/>
  <c r="M206" i="18" s="1"/>
  <c r="N206" i="18" s="1"/>
  <c r="M207" i="18" s="1"/>
  <c r="N207" i="18" s="1"/>
  <c r="M208" i="18" s="1"/>
  <c r="N208" i="18" s="1"/>
  <c r="M209" i="18" s="1"/>
  <c r="N209" i="18" s="1"/>
  <c r="M210" i="18" s="1"/>
  <c r="N210" i="18" s="1"/>
  <c r="M211" i="18" s="1"/>
  <c r="N211" i="18" s="1"/>
  <c r="M212" i="18" s="1"/>
  <c r="N212" i="18" s="1"/>
  <c r="M213" i="18" s="1"/>
  <c r="N213" i="18" s="1"/>
  <c r="M214" i="18" s="1"/>
  <c r="N214" i="18" s="1"/>
  <c r="M215" i="18" s="1"/>
  <c r="N215" i="18" s="1"/>
  <c r="M216" i="18" s="1"/>
  <c r="N216" i="18" s="1"/>
  <c r="M217" i="18" s="1"/>
  <c r="N217" i="18" s="1"/>
  <c r="M218" i="18" s="1"/>
  <c r="N218" i="18" s="1"/>
  <c r="M219" i="18" s="1"/>
  <c r="N219" i="18" s="1"/>
  <c r="M220" i="18" s="1"/>
  <c r="N220" i="18" s="1"/>
  <c r="M221" i="18" s="1"/>
  <c r="N221" i="18" s="1"/>
  <c r="M222" i="18" s="1"/>
  <c r="N222" i="18" s="1"/>
  <c r="M223" i="18" s="1"/>
  <c r="N223" i="18" s="1"/>
  <c r="M224" i="18" s="1"/>
  <c r="N224" i="18" s="1"/>
  <c r="M225" i="18" s="1"/>
  <c r="N225" i="18" s="1"/>
  <c r="M226" i="18" s="1"/>
  <c r="N226" i="18" s="1"/>
  <c r="M227" i="18" s="1"/>
  <c r="N227" i="18" s="1"/>
  <c r="M228" i="18" s="1"/>
  <c r="N228" i="18" s="1"/>
  <c r="M229" i="18" s="1"/>
  <c r="N229" i="18" s="1"/>
  <c r="M230" i="18" s="1"/>
  <c r="N230" i="18" s="1"/>
  <c r="M231" i="18" s="1"/>
  <c r="N231" i="18" s="1"/>
  <c r="M232" i="18" s="1"/>
  <c r="N232" i="18" s="1"/>
  <c r="M233" i="18" s="1"/>
  <c r="N233" i="18" s="1"/>
  <c r="M234" i="18" s="1"/>
  <c r="N234" i="18" s="1"/>
  <c r="M235" i="18" s="1"/>
  <c r="N235" i="18" s="1"/>
  <c r="M236" i="18" s="1"/>
  <c r="N236" i="18" s="1"/>
  <c r="M237" i="18" s="1"/>
  <c r="N237" i="18" s="1"/>
  <c r="M238" i="18" s="1"/>
  <c r="N238" i="18" s="1"/>
  <c r="M239" i="18" s="1"/>
  <c r="N239" i="18" s="1"/>
  <c r="M240" i="18" s="1"/>
  <c r="N240" i="18" s="1"/>
  <c r="M241" i="18" s="1"/>
  <c r="N241" i="18" s="1"/>
  <c r="M242" i="18" s="1"/>
  <c r="N242" i="18" s="1"/>
  <c r="M243" i="18" s="1"/>
  <c r="N243" i="18" s="1"/>
  <c r="M244" i="18" s="1"/>
  <c r="N244" i="18" s="1"/>
  <c r="M245" i="18" s="1"/>
  <c r="N245" i="18" s="1"/>
  <c r="M246" i="18" s="1"/>
  <c r="N246" i="18" s="1"/>
  <c r="M247" i="18" s="1"/>
  <c r="N247" i="18" s="1"/>
  <c r="M248" i="18" s="1"/>
  <c r="N248" i="18" s="1"/>
  <c r="M249" i="18" s="1"/>
  <c r="N249" i="18" s="1"/>
  <c r="M250" i="18" s="1"/>
  <c r="N250" i="18" s="1"/>
  <c r="M251" i="18" s="1"/>
  <c r="N251" i="18" s="1"/>
  <c r="M252" i="18" s="1"/>
  <c r="N252" i="18" s="1"/>
  <c r="M253" i="18" s="1"/>
  <c r="N253" i="18" s="1"/>
  <c r="M254" i="18" s="1"/>
  <c r="N254" i="18" s="1"/>
  <c r="M255" i="18" s="1"/>
  <c r="N255" i="18" s="1"/>
  <c r="M256" i="18" s="1"/>
  <c r="N256" i="18" s="1"/>
  <c r="M257" i="18" s="1"/>
  <c r="N257" i="18" s="1"/>
  <c r="M258" i="18" s="1"/>
  <c r="N258" i="18" s="1"/>
  <c r="M259" i="18" s="1"/>
  <c r="N259" i="18" s="1"/>
  <c r="M260" i="18" s="1"/>
  <c r="N260" i="18" s="1"/>
  <c r="M261" i="18" s="1"/>
  <c r="N261" i="18" s="1"/>
  <c r="M262" i="18" s="1"/>
  <c r="N262" i="18" s="1"/>
  <c r="M263" i="18" s="1"/>
  <c r="N263" i="18" s="1"/>
  <c r="M264" i="18" s="1"/>
  <c r="N264" i="18" s="1"/>
  <c r="M265" i="18" s="1"/>
  <c r="N265" i="18" s="1"/>
  <c r="M266" i="18" s="1"/>
  <c r="N266" i="18" s="1"/>
  <c r="M267" i="18" s="1"/>
  <c r="N267" i="18" s="1"/>
  <c r="M268" i="18" s="1"/>
  <c r="N268" i="18" s="1"/>
  <c r="M269" i="18" s="1"/>
  <c r="N269" i="18" s="1"/>
  <c r="M270" i="18" s="1"/>
  <c r="N270" i="18" s="1"/>
  <c r="M271" i="18" s="1"/>
  <c r="N271" i="18" s="1"/>
  <c r="M272" i="18" s="1"/>
  <c r="N272" i="18" s="1"/>
  <c r="M273" i="18" s="1"/>
  <c r="N273" i="18" s="1"/>
  <c r="M274" i="18" s="1"/>
  <c r="N274" i="18" s="1"/>
  <c r="M275" i="18" s="1"/>
  <c r="N275" i="18" s="1"/>
  <c r="M276" i="18" s="1"/>
  <c r="N276" i="18" s="1"/>
  <c r="M277" i="18" s="1"/>
  <c r="N277" i="18" s="1"/>
  <c r="M278" i="18" s="1"/>
  <c r="N278" i="18" s="1"/>
  <c r="M279" i="18" s="1"/>
  <c r="N279" i="18" s="1"/>
  <c r="M280" i="18" s="1"/>
  <c r="N280" i="18" s="1"/>
  <c r="M281" i="18" s="1"/>
  <c r="N281" i="18" s="1"/>
  <c r="M282" i="18" s="1"/>
  <c r="N282" i="18" s="1"/>
  <c r="M283" i="18" s="1"/>
  <c r="N283" i="18" s="1"/>
  <c r="M284" i="18" s="1"/>
  <c r="N284" i="18" s="1"/>
  <c r="M285" i="18" s="1"/>
  <c r="N285" i="18" s="1"/>
  <c r="M286" i="18" s="1"/>
  <c r="N286" i="18" s="1"/>
  <c r="M287" i="18" s="1"/>
  <c r="N287" i="18" s="1"/>
  <c r="M288" i="18" s="1"/>
  <c r="N288" i="18" s="1"/>
  <c r="M289" i="18" s="1"/>
  <c r="N289" i="18" s="1"/>
  <c r="M290" i="18" s="1"/>
  <c r="N290" i="18" s="1"/>
  <c r="M291" i="18" s="1"/>
  <c r="N291" i="18" s="1"/>
  <c r="M292" i="18" s="1"/>
  <c r="N292" i="18" s="1"/>
  <c r="M293" i="18" s="1"/>
  <c r="N293" i="18" s="1"/>
  <c r="M294" i="18" s="1"/>
  <c r="N294" i="18" s="1"/>
  <c r="M295" i="18" s="1"/>
  <c r="N295" i="18" s="1"/>
  <c r="M296" i="18" s="1"/>
  <c r="N296" i="18" s="1"/>
  <c r="M297" i="18" s="1"/>
  <c r="N297" i="18" s="1"/>
  <c r="M298" i="18" s="1"/>
  <c r="N298" i="18" s="1"/>
  <c r="M299" i="18" s="1"/>
  <c r="N299" i="18" s="1"/>
  <c r="M300" i="18" s="1"/>
  <c r="N300" i="18" s="1"/>
  <c r="M301" i="18" s="1"/>
  <c r="N301" i="18" s="1"/>
  <c r="M302" i="18" s="1"/>
  <c r="N302" i="18" s="1"/>
  <c r="M303" i="18" s="1"/>
  <c r="N303" i="18" s="1"/>
  <c r="M304" i="18" s="1"/>
  <c r="N304" i="18" s="1"/>
  <c r="M305" i="18" s="1"/>
  <c r="N305" i="18" s="1"/>
  <c r="M306" i="18" s="1"/>
  <c r="N306" i="18" s="1"/>
  <c r="M307" i="18" s="1"/>
  <c r="N307" i="18" s="1"/>
  <c r="M308" i="18" s="1"/>
  <c r="N308" i="18" s="1"/>
  <c r="M309" i="18" s="1"/>
  <c r="N309" i="18" s="1"/>
  <c r="M310" i="18" s="1"/>
  <c r="N310" i="18" s="1"/>
  <c r="M311" i="18" s="1"/>
  <c r="N311" i="18" s="1"/>
  <c r="M312" i="18" s="1"/>
  <c r="N312" i="18" s="1"/>
  <c r="M313" i="18" s="1"/>
  <c r="N313" i="18" s="1"/>
  <c r="M314" i="18" s="1"/>
  <c r="N314" i="18" s="1"/>
  <c r="M315" i="18" s="1"/>
  <c r="N315" i="18" s="1"/>
  <c r="M316" i="18" s="1"/>
  <c r="N316" i="18" s="1"/>
  <c r="M317" i="18" s="1"/>
  <c r="N317" i="18" s="1"/>
  <c r="M318" i="18" s="1"/>
  <c r="N318" i="18" s="1"/>
  <c r="M319" i="18" s="1"/>
  <c r="N319" i="18" s="1"/>
  <c r="M320" i="18" s="1"/>
  <c r="N320" i="18" s="1"/>
  <c r="M321" i="18" s="1"/>
  <c r="N321" i="18" s="1"/>
  <c r="M322" i="18" s="1"/>
  <c r="N322" i="18" s="1"/>
  <c r="M323" i="18" s="1"/>
  <c r="N323" i="18" s="1"/>
  <c r="M324" i="18" s="1"/>
  <c r="N324" i="18" s="1"/>
  <c r="M325" i="18" s="1"/>
  <c r="N325" i="18" s="1"/>
  <c r="M326" i="18" s="1"/>
  <c r="N326" i="18" s="1"/>
  <c r="M327" i="18" s="1"/>
  <c r="N327" i="18" s="1"/>
  <c r="M328" i="18" s="1"/>
  <c r="N328" i="18" s="1"/>
  <c r="M329" i="18" s="1"/>
  <c r="N329" i="18" s="1"/>
  <c r="M330" i="18" s="1"/>
  <c r="N330" i="18" s="1"/>
  <c r="M331" i="18" s="1"/>
  <c r="N331" i="18" s="1"/>
  <c r="M332" i="18" s="1"/>
  <c r="N332" i="18" s="1"/>
  <c r="M333" i="18" s="1"/>
  <c r="N333" i="18" s="1"/>
  <c r="M334" i="18" s="1"/>
  <c r="N334" i="18" s="1"/>
  <c r="M335" i="18" s="1"/>
  <c r="N335" i="18" s="1"/>
  <c r="M336" i="18" s="1"/>
  <c r="N336" i="18" s="1"/>
  <c r="M337" i="18" s="1"/>
  <c r="N337" i="18" s="1"/>
  <c r="M338" i="18" s="1"/>
  <c r="N338" i="18" s="1"/>
  <c r="M339" i="18" s="1"/>
  <c r="N339" i="18" s="1"/>
  <c r="M340" i="18" s="1"/>
  <c r="N340" i="18" s="1"/>
  <c r="M341" i="18" s="1"/>
  <c r="N341" i="18" s="1"/>
  <c r="M342" i="18" s="1"/>
  <c r="N342" i="18" s="1"/>
  <c r="M343" i="18" s="1"/>
  <c r="N343" i="18" s="1"/>
  <c r="M344" i="18" s="1"/>
  <c r="N344" i="18" s="1"/>
  <c r="M345" i="18" s="1"/>
  <c r="N345" i="18" s="1"/>
  <c r="M346" i="18" s="1"/>
  <c r="N346" i="18" s="1"/>
  <c r="M347" i="18" s="1"/>
  <c r="N347" i="18" s="1"/>
  <c r="M348" i="18" s="1"/>
  <c r="N348" i="18" s="1"/>
  <c r="M349" i="18" s="1"/>
  <c r="N349" i="18" s="1"/>
  <c r="M350" i="18" s="1"/>
  <c r="N350" i="18" s="1"/>
  <c r="M351" i="18" s="1"/>
  <c r="N351" i="18" s="1"/>
  <c r="M352" i="18" s="1"/>
  <c r="N352" i="18" s="1"/>
  <c r="M353" i="18" s="1"/>
  <c r="N353" i="18" s="1"/>
  <c r="M354" i="18" s="1"/>
  <c r="N354" i="18" s="1"/>
  <c r="M355" i="18" s="1"/>
  <c r="N355" i="18" s="1"/>
  <c r="M356" i="18" s="1"/>
  <c r="N356" i="18" s="1"/>
  <c r="M357" i="18" s="1"/>
  <c r="N357" i="18" s="1"/>
  <c r="M358" i="18" s="1"/>
  <c r="N358" i="18" s="1"/>
  <c r="M359" i="18" s="1"/>
  <c r="N359" i="18" s="1"/>
  <c r="M360" i="18" s="1"/>
  <c r="N360" i="18" s="1"/>
  <c r="M361" i="18" s="1"/>
  <c r="N361" i="18" s="1"/>
  <c r="M362" i="18" s="1"/>
  <c r="N362" i="18" s="1"/>
  <c r="M363" i="18" s="1"/>
  <c r="N363" i="18" s="1"/>
  <c r="M364" i="18" s="1"/>
  <c r="N364" i="18" s="1"/>
  <c r="M365" i="18" s="1"/>
  <c r="N365" i="18" s="1"/>
  <c r="M366" i="18" s="1"/>
  <c r="N366" i="18" s="1"/>
  <c r="M367" i="18" s="1"/>
  <c r="N367" i="18" s="1"/>
  <c r="M368" i="18" s="1"/>
  <c r="N368" i="18" s="1"/>
  <c r="M369" i="18" s="1"/>
  <c r="N369" i="18" s="1"/>
  <c r="M370" i="18" s="1"/>
  <c r="N370" i="18" s="1"/>
  <c r="M371" i="18" s="1"/>
  <c r="N371" i="18" s="1"/>
  <c r="M372" i="18" s="1"/>
  <c r="N372" i="18" s="1"/>
  <c r="M373" i="18" s="1"/>
  <c r="N373" i="18" s="1"/>
  <c r="M374" i="18" s="1"/>
  <c r="N374" i="18" s="1"/>
  <c r="M375" i="18" s="1"/>
  <c r="N375" i="18" s="1"/>
  <c r="M376" i="18" s="1"/>
  <c r="N376" i="18" s="1"/>
  <c r="M377" i="18" s="1"/>
  <c r="N377" i="18" s="1"/>
  <c r="M378" i="18" s="1"/>
  <c r="N378" i="18" s="1"/>
  <c r="M379" i="18" s="1"/>
  <c r="N379" i="18" s="1"/>
  <c r="M380" i="18" s="1"/>
  <c r="N380" i="18" s="1"/>
  <c r="M381" i="18" s="1"/>
  <c r="N381" i="18" s="1"/>
  <c r="M382" i="18" s="1"/>
  <c r="N382" i="18" s="1"/>
  <c r="M383" i="18" s="1"/>
  <c r="N383" i="18" s="1"/>
  <c r="M384" i="18" s="1"/>
  <c r="N384" i="18" s="1"/>
  <c r="M385" i="18" s="1"/>
  <c r="N385" i="18" s="1"/>
  <c r="M386" i="18" s="1"/>
  <c r="N386" i="18" s="1"/>
  <c r="M387" i="18" s="1"/>
  <c r="N387" i="18" s="1"/>
  <c r="M388" i="18" s="1"/>
  <c r="N388" i="18" s="1"/>
  <c r="M389" i="18" s="1"/>
  <c r="N389" i="18" s="1"/>
  <c r="M390" i="18" s="1"/>
  <c r="N390" i="18" s="1"/>
  <c r="M391" i="18" s="1"/>
  <c r="N391" i="18" s="1"/>
  <c r="M392" i="18" s="1"/>
  <c r="N392" i="18" s="1"/>
  <c r="M393" i="18" s="1"/>
  <c r="N393" i="18" s="1"/>
  <c r="M394" i="18" s="1"/>
  <c r="N394" i="18" s="1"/>
  <c r="M395" i="18" s="1"/>
  <c r="N395" i="18" s="1"/>
  <c r="M396" i="18" s="1"/>
  <c r="N396" i="18" s="1"/>
  <c r="M397" i="18" s="1"/>
  <c r="N397" i="18" s="1"/>
  <c r="M398" i="18" s="1"/>
  <c r="N398" i="18" s="1"/>
  <c r="M399" i="18" s="1"/>
  <c r="N399" i="18" s="1"/>
  <c r="M400" i="18" s="1"/>
  <c r="N400" i="18" s="1"/>
  <c r="M401" i="18" s="1"/>
  <c r="N401" i="18" s="1"/>
  <c r="M402" i="18" s="1"/>
  <c r="N402" i="18" s="1"/>
  <c r="M403" i="18" s="1"/>
  <c r="N403" i="18" s="1"/>
  <c r="M404" i="18" s="1"/>
  <c r="N404" i="18" s="1"/>
  <c r="M405" i="18" s="1"/>
  <c r="N405" i="18" s="1"/>
  <c r="M406" i="18" s="1"/>
  <c r="N406" i="18" s="1"/>
  <c r="M407" i="18" s="1"/>
  <c r="N407" i="18" s="1"/>
  <c r="M408" i="18" s="1"/>
  <c r="N408" i="18" s="1"/>
  <c r="M409" i="18" s="1"/>
  <c r="N409" i="18" s="1"/>
  <c r="M410" i="18" s="1"/>
  <c r="N410" i="18" s="1"/>
  <c r="M411" i="18" s="1"/>
  <c r="N411" i="18" s="1"/>
  <c r="M412" i="18" s="1"/>
  <c r="N412" i="18" s="1"/>
  <c r="M413" i="18" s="1"/>
  <c r="N413" i="18" s="1"/>
  <c r="M414" i="18" s="1"/>
  <c r="N414" i="18" s="1"/>
  <c r="M415" i="18" s="1"/>
  <c r="N415" i="18" s="1"/>
  <c r="M416" i="18" s="1"/>
  <c r="N416" i="18" s="1"/>
  <c r="M417" i="18" s="1"/>
  <c r="N417" i="18" s="1"/>
  <c r="M418" i="18" s="1"/>
  <c r="N418" i="18" s="1"/>
  <c r="M419" i="18" s="1"/>
  <c r="N419" i="18" s="1"/>
  <c r="M420" i="18" s="1"/>
  <c r="N420" i="18" s="1"/>
  <c r="M421" i="18" s="1"/>
  <c r="N421" i="18" s="1"/>
  <c r="M422" i="18" s="1"/>
  <c r="N422" i="18" s="1"/>
  <c r="M423" i="18" s="1"/>
  <c r="N423" i="18" s="1"/>
  <c r="M424" i="18" s="1"/>
  <c r="N424" i="18" s="1"/>
  <c r="M425" i="18" s="1"/>
  <c r="N425" i="18" s="1"/>
  <c r="M426" i="18" s="1"/>
  <c r="N426" i="18" s="1"/>
  <c r="M427" i="18" s="1"/>
  <c r="N427" i="18" s="1"/>
  <c r="M428" i="18" s="1"/>
  <c r="N428" i="18" s="1"/>
  <c r="M429" i="18" s="1"/>
  <c r="N429" i="18" s="1"/>
  <c r="M430" i="18" s="1"/>
  <c r="N430" i="18" s="1"/>
  <c r="M431" i="18" s="1"/>
  <c r="N431" i="18" s="1"/>
  <c r="M432" i="18" s="1"/>
  <c r="N432" i="18" s="1"/>
  <c r="M433" i="18" s="1"/>
  <c r="N433" i="18" s="1"/>
  <c r="M434" i="18" s="1"/>
  <c r="N434" i="18" s="1"/>
  <c r="M435" i="18" s="1"/>
  <c r="N435" i="18" s="1"/>
  <c r="M436" i="18" s="1"/>
  <c r="N436" i="18" s="1"/>
  <c r="M437" i="18" s="1"/>
  <c r="N437" i="18" s="1"/>
  <c r="M438" i="18" s="1"/>
  <c r="N438" i="18" s="1"/>
  <c r="M439" i="18" s="1"/>
  <c r="N439" i="18" s="1"/>
  <c r="M440" i="18" s="1"/>
  <c r="N440" i="18" s="1"/>
  <c r="M441" i="18" s="1"/>
  <c r="N441" i="18" s="1"/>
  <c r="M442" i="18" s="1"/>
  <c r="N442" i="18" s="1"/>
  <c r="M443" i="18" s="1"/>
  <c r="N443" i="18" s="1"/>
  <c r="M444" i="18" s="1"/>
  <c r="N444" i="18" s="1"/>
  <c r="M445" i="18" s="1"/>
  <c r="N445" i="18" s="1"/>
  <c r="M446" i="18" s="1"/>
  <c r="N446" i="18" s="1"/>
  <c r="M447" i="18" s="1"/>
  <c r="N447" i="18" s="1"/>
  <c r="M448" i="18" s="1"/>
  <c r="N448" i="18" s="1"/>
  <c r="M449" i="18" s="1"/>
  <c r="N449" i="18" s="1"/>
  <c r="M450" i="18" s="1"/>
  <c r="N450" i="18" s="1"/>
  <c r="M451" i="18" s="1"/>
  <c r="N451" i="18" s="1"/>
  <c r="M452" i="18" s="1"/>
  <c r="N452" i="18" s="1"/>
  <c r="M453" i="18" s="1"/>
  <c r="N453" i="18" s="1"/>
  <c r="M454" i="18" s="1"/>
  <c r="N454" i="18" s="1"/>
  <c r="M455" i="18" s="1"/>
  <c r="N455" i="18" s="1"/>
  <c r="M456" i="18" s="1"/>
  <c r="N456" i="18" s="1"/>
  <c r="M457" i="18" s="1"/>
  <c r="N457" i="18" s="1"/>
  <c r="M458" i="18" s="1"/>
  <c r="N458" i="18" s="1"/>
  <c r="M459" i="18" s="1"/>
  <c r="N459" i="18" s="1"/>
  <c r="M460" i="18" s="1"/>
  <c r="N460" i="18" s="1"/>
  <c r="M461" i="18" s="1"/>
  <c r="N461" i="18" s="1"/>
  <c r="M462" i="18" s="1"/>
  <c r="N462" i="18" s="1"/>
  <c r="M463" i="18" s="1"/>
  <c r="N463" i="18" s="1"/>
  <c r="M464" i="18" s="1"/>
  <c r="N464" i="18" s="1"/>
  <c r="M465" i="18" s="1"/>
  <c r="N465" i="18" s="1"/>
  <c r="M466" i="18" s="1"/>
  <c r="N466" i="18" s="1"/>
  <c r="M467" i="18" s="1"/>
  <c r="N467" i="18" s="1"/>
  <c r="M468" i="18" s="1"/>
  <c r="N468" i="18" s="1"/>
  <c r="M469" i="18" s="1"/>
  <c r="N469" i="18" s="1"/>
  <c r="M470" i="18" s="1"/>
  <c r="N470" i="18" s="1"/>
  <c r="M471" i="18" s="1"/>
  <c r="N471" i="18" s="1"/>
  <c r="M472" i="18" s="1"/>
  <c r="N472" i="18" s="1"/>
  <c r="M473" i="18" s="1"/>
  <c r="N473" i="18" s="1"/>
  <c r="M474" i="18" s="1"/>
  <c r="N474" i="18" s="1"/>
  <c r="M475" i="18" s="1"/>
  <c r="N475" i="18" s="1"/>
  <c r="M476" i="18" s="1"/>
  <c r="N476" i="18" s="1"/>
  <c r="M477" i="18" s="1"/>
  <c r="N477" i="18" s="1"/>
  <c r="M478" i="18" s="1"/>
  <c r="N478" i="18" s="1"/>
  <c r="M479" i="18" s="1"/>
  <c r="N479" i="18" s="1"/>
  <c r="M480" i="18" s="1"/>
  <c r="N480" i="18" s="1"/>
  <c r="M481" i="18" s="1"/>
  <c r="N481" i="18" s="1"/>
  <c r="M482" i="18" s="1"/>
  <c r="N482" i="18" s="1"/>
  <c r="M483" i="18" s="1"/>
  <c r="N483" i="18" s="1"/>
  <c r="M484" i="18" s="1"/>
  <c r="N484" i="18" s="1"/>
  <c r="M485" i="18" s="1"/>
  <c r="N485" i="18" s="1"/>
  <c r="M486" i="18" s="1"/>
  <c r="N486" i="18" s="1"/>
  <c r="M487" i="18" s="1"/>
  <c r="N487" i="18" s="1"/>
  <c r="M488" i="18" s="1"/>
  <c r="N488" i="18" s="1"/>
  <c r="M489" i="18" s="1"/>
  <c r="N489" i="18" s="1"/>
  <c r="M490" i="18" s="1"/>
  <c r="N490" i="18" s="1"/>
  <c r="M491" i="18" s="1"/>
  <c r="N491" i="18" s="1"/>
  <c r="M492" i="18" s="1"/>
  <c r="N492" i="18" s="1"/>
  <c r="M493" i="18" s="1"/>
  <c r="N493" i="18" s="1"/>
  <c r="M494" i="18" s="1"/>
  <c r="N494" i="18" s="1"/>
  <c r="M495" i="18" s="1"/>
  <c r="N495" i="18" s="1"/>
  <c r="M496" i="18" s="1"/>
  <c r="N496" i="18" s="1"/>
  <c r="M497" i="18" s="1"/>
  <c r="N497" i="18" s="1"/>
  <c r="M498" i="18" s="1"/>
  <c r="N498" i="18" s="1"/>
  <c r="M499" i="18" s="1"/>
  <c r="N499" i="18" s="1"/>
  <c r="M500" i="18" s="1"/>
  <c r="N500" i="18" s="1"/>
  <c r="M501" i="18" s="1"/>
  <c r="N501" i="18" s="1"/>
  <c r="M502" i="18" s="1"/>
  <c r="N502" i="18" s="1"/>
  <c r="M503" i="18" s="1"/>
  <c r="N503" i="18" s="1"/>
  <c r="M504" i="18" s="1"/>
  <c r="N504" i="18" s="1"/>
  <c r="M505" i="18" s="1"/>
  <c r="N505" i="18" s="1"/>
  <c r="M506" i="18" s="1"/>
  <c r="N506" i="18" s="1"/>
  <c r="M507" i="18" s="1"/>
  <c r="N507" i="18" s="1"/>
  <c r="M508" i="18" s="1"/>
  <c r="N508" i="18" s="1"/>
  <c r="M509" i="18" s="1"/>
  <c r="N509" i="18" s="1"/>
  <c r="M510" i="18" s="1"/>
  <c r="N510" i="18" s="1"/>
  <c r="M511" i="18" s="1"/>
  <c r="N511" i="18" s="1"/>
  <c r="M512" i="18" s="1"/>
  <c r="N512" i="18" s="1"/>
  <c r="M513" i="18" s="1"/>
  <c r="N513" i="18" s="1"/>
  <c r="M514" i="18" s="1"/>
  <c r="N514" i="18" s="1"/>
  <c r="M515" i="18" s="1"/>
  <c r="N515" i="18" s="1"/>
  <c r="M516" i="18" s="1"/>
  <c r="N516" i="18" s="1"/>
  <c r="M517" i="18" s="1"/>
  <c r="N517" i="18" s="1"/>
  <c r="M518" i="18" s="1"/>
  <c r="N518" i="18" s="1"/>
  <c r="M519" i="18" s="1"/>
  <c r="N519" i="18" s="1"/>
  <c r="M520" i="18" s="1"/>
  <c r="N520" i="18" s="1"/>
  <c r="M521" i="18" s="1"/>
  <c r="N521" i="18" s="1"/>
  <c r="M522" i="18" s="1"/>
  <c r="N522" i="18" s="1"/>
  <c r="M523" i="18" s="1"/>
  <c r="N523" i="18" s="1"/>
  <c r="M524" i="18" s="1"/>
  <c r="N524" i="18" s="1"/>
  <c r="M525" i="18" s="1"/>
  <c r="N525" i="18" s="1"/>
  <c r="M526" i="18" s="1"/>
  <c r="N526" i="18" s="1"/>
  <c r="M527" i="18" s="1"/>
  <c r="N527" i="18" s="1"/>
  <c r="M528" i="18" s="1"/>
  <c r="N528" i="18" s="1"/>
  <c r="M529" i="18" s="1"/>
  <c r="N529" i="18" s="1"/>
  <c r="M530" i="18" s="1"/>
  <c r="N530" i="18" s="1"/>
  <c r="M531" i="18" s="1"/>
  <c r="N531" i="18" s="1"/>
  <c r="M532" i="18" s="1"/>
  <c r="N532" i="18" s="1"/>
  <c r="M533" i="18" s="1"/>
  <c r="N533" i="18" s="1"/>
  <c r="M534" i="18" s="1"/>
  <c r="N534" i="18" s="1"/>
  <c r="M535" i="18" s="1"/>
  <c r="N535" i="18" s="1"/>
  <c r="M536" i="18" s="1"/>
  <c r="N536" i="18" s="1"/>
  <c r="M537" i="18" s="1"/>
  <c r="N537" i="18" s="1"/>
  <c r="M538" i="18" s="1"/>
  <c r="N538" i="18" s="1"/>
  <c r="M539" i="18" s="1"/>
  <c r="N539" i="18" s="1"/>
  <c r="M540" i="18" s="1"/>
  <c r="N540" i="18" s="1"/>
  <c r="M541" i="18" s="1"/>
  <c r="N541" i="18" s="1"/>
  <c r="M542" i="18" s="1"/>
  <c r="N542" i="18" s="1"/>
  <c r="M543" i="18" s="1"/>
  <c r="N543" i="18" s="1"/>
  <c r="M544" i="18" s="1"/>
  <c r="N544" i="18" s="1"/>
  <c r="M545" i="18" s="1"/>
  <c r="N545" i="18" s="1"/>
  <c r="M546" i="18" s="1"/>
  <c r="N546" i="18" s="1"/>
  <c r="M547" i="18" s="1"/>
  <c r="N547" i="18" s="1"/>
  <c r="M548" i="18" s="1"/>
  <c r="N548" i="18" s="1"/>
  <c r="M549" i="18" s="1"/>
  <c r="N549" i="18" s="1"/>
  <c r="M550" i="18" s="1"/>
  <c r="N550" i="18" s="1"/>
  <c r="M551" i="18" s="1"/>
  <c r="N551" i="18" s="1"/>
  <c r="M552" i="18" s="1"/>
  <c r="N552" i="18" s="1"/>
  <c r="M553" i="18" s="1"/>
  <c r="N553" i="18" s="1"/>
  <c r="M554" i="18" s="1"/>
  <c r="N554" i="18" s="1"/>
  <c r="M555" i="18" s="1"/>
  <c r="N555" i="18" s="1"/>
  <c r="M556" i="18" s="1"/>
  <c r="N556" i="18" s="1"/>
  <c r="M557" i="18" s="1"/>
  <c r="N557" i="18" s="1"/>
  <c r="M558" i="18" s="1"/>
  <c r="N558" i="18" s="1"/>
  <c r="M559" i="18" s="1"/>
  <c r="N559" i="18" s="1"/>
  <c r="M560" i="18" s="1"/>
  <c r="N560" i="18" s="1"/>
  <c r="M561" i="18" s="1"/>
  <c r="N561" i="18" s="1"/>
  <c r="M562" i="18" s="1"/>
  <c r="N562" i="18" s="1"/>
  <c r="M563" i="18" s="1"/>
  <c r="N563" i="18" s="1"/>
  <c r="M564" i="18" s="1"/>
  <c r="N564" i="18" s="1"/>
  <c r="M565" i="18" s="1"/>
  <c r="N565" i="18" s="1"/>
  <c r="M566" i="18" s="1"/>
  <c r="N566" i="18" s="1"/>
  <c r="M567" i="18" s="1"/>
  <c r="N567" i="18" s="1"/>
  <c r="M568" i="18" s="1"/>
  <c r="N568" i="18" s="1"/>
  <c r="M569" i="18" s="1"/>
  <c r="N569" i="18" s="1"/>
  <c r="M570" i="18" s="1"/>
  <c r="N570" i="18" s="1"/>
  <c r="M571" i="18" s="1"/>
  <c r="N571" i="18" s="1"/>
  <c r="M572" i="18" s="1"/>
  <c r="N572" i="18" s="1"/>
  <c r="M573" i="18" s="1"/>
  <c r="N573" i="18" s="1"/>
  <c r="M574" i="18" s="1"/>
  <c r="N574" i="18" s="1"/>
  <c r="M575" i="18" s="1"/>
  <c r="N575" i="18" s="1"/>
  <c r="M576" i="18" s="1"/>
  <c r="N576" i="18" s="1"/>
  <c r="M577" i="18" s="1"/>
  <c r="N577" i="18" s="1"/>
  <c r="M578" i="18" s="1"/>
  <c r="N578" i="18" s="1"/>
  <c r="M579" i="18" s="1"/>
  <c r="N579" i="18" s="1"/>
  <c r="M580" i="18" s="1"/>
  <c r="N580" i="18" s="1"/>
  <c r="M581" i="18" s="1"/>
  <c r="N581" i="18" s="1"/>
  <c r="M582" i="18" s="1"/>
  <c r="N582" i="18" s="1"/>
  <c r="M583" i="18" s="1"/>
  <c r="N583" i="18" s="1"/>
  <c r="M584" i="18" s="1"/>
  <c r="N584" i="18" s="1"/>
  <c r="M585" i="18" s="1"/>
  <c r="N585" i="18" s="1"/>
  <c r="M586" i="18" s="1"/>
  <c r="N586" i="18" s="1"/>
  <c r="M587" i="18" s="1"/>
  <c r="N587" i="18" s="1"/>
  <c r="M588" i="18" s="1"/>
  <c r="N588" i="18" s="1"/>
  <c r="M589" i="18" s="1"/>
  <c r="N589" i="18" s="1"/>
  <c r="M590" i="18" s="1"/>
  <c r="N590" i="18" s="1"/>
  <c r="M591" i="18" s="1"/>
  <c r="N591" i="18" s="1"/>
  <c r="M592" i="18" s="1"/>
  <c r="N592" i="18" s="1"/>
  <c r="M593" i="18" s="1"/>
  <c r="N593" i="18" s="1"/>
  <c r="M594" i="18" s="1"/>
  <c r="N594" i="18" s="1"/>
  <c r="M595" i="18" s="1"/>
  <c r="N595" i="18" s="1"/>
  <c r="M596" i="18" s="1"/>
  <c r="N596" i="18" s="1"/>
  <c r="M597" i="18" s="1"/>
  <c r="N597" i="18" s="1"/>
  <c r="M598" i="18" s="1"/>
  <c r="N598" i="18" s="1"/>
  <c r="M599" i="18" s="1"/>
  <c r="N599" i="18" s="1"/>
  <c r="M600" i="18" s="1"/>
  <c r="N600" i="18" s="1"/>
  <c r="M601" i="18" s="1"/>
  <c r="N601" i="18" s="1"/>
  <c r="M602" i="18" s="1"/>
  <c r="N602" i="18" s="1"/>
  <c r="M603" i="18" s="1"/>
  <c r="N603" i="18" s="1"/>
  <c r="M604" i="18" s="1"/>
  <c r="N604" i="18" s="1"/>
  <c r="M605" i="18" s="1"/>
  <c r="N605" i="18" s="1"/>
  <c r="M606" i="18" s="1"/>
  <c r="N606" i="18" s="1"/>
  <c r="M607" i="18" s="1"/>
  <c r="N607" i="18" s="1"/>
  <c r="M608" i="18" s="1"/>
  <c r="N608" i="18" s="1"/>
  <c r="M609" i="18" s="1"/>
  <c r="N609" i="18" s="1"/>
  <c r="M610" i="18" s="1"/>
  <c r="N610" i="18" s="1"/>
  <c r="M611" i="18" s="1"/>
  <c r="N611" i="18" s="1"/>
  <c r="M612" i="18" s="1"/>
  <c r="N612" i="18" s="1"/>
  <c r="M613" i="18" s="1"/>
  <c r="N613" i="18" s="1"/>
  <c r="M614" i="18" s="1"/>
  <c r="N614" i="18" s="1"/>
  <c r="M615" i="18" s="1"/>
  <c r="N615" i="18" s="1"/>
  <c r="M616" i="18" s="1"/>
  <c r="N616" i="18" s="1"/>
  <c r="M617" i="18" s="1"/>
  <c r="N617" i="18" s="1"/>
  <c r="M618" i="18" s="1"/>
  <c r="N618" i="18" s="1"/>
  <c r="M619" i="18" s="1"/>
  <c r="N619" i="18" s="1"/>
  <c r="M620" i="18" s="1"/>
  <c r="N620" i="18" s="1"/>
  <c r="M621" i="18" s="1"/>
  <c r="N621" i="18" s="1"/>
  <c r="M622" i="18" s="1"/>
  <c r="N622" i="18" s="1"/>
  <c r="M623" i="18" s="1"/>
  <c r="N623" i="18" s="1"/>
  <c r="M624" i="18" s="1"/>
  <c r="N624" i="18" s="1"/>
  <c r="M625" i="18" s="1"/>
  <c r="N625" i="18" s="1"/>
  <c r="M626" i="18" s="1"/>
  <c r="N626" i="18" s="1"/>
  <c r="M627" i="18" s="1"/>
  <c r="N627" i="18" s="1"/>
  <c r="M628" i="18" s="1"/>
  <c r="N628" i="18" s="1"/>
  <c r="M629" i="18" s="1"/>
  <c r="N629" i="18" s="1"/>
  <c r="M630" i="18" s="1"/>
  <c r="N630" i="18" s="1"/>
  <c r="M631" i="18" s="1"/>
  <c r="N631" i="18" s="1"/>
  <c r="M632" i="18" s="1"/>
  <c r="N632" i="18" s="1"/>
  <c r="M633" i="18" s="1"/>
  <c r="N633" i="18" s="1"/>
  <c r="M634" i="18" s="1"/>
  <c r="N634" i="18" s="1"/>
  <c r="M635" i="18" s="1"/>
  <c r="N635" i="18" s="1"/>
  <c r="M636" i="18" s="1"/>
  <c r="N636" i="18" s="1"/>
  <c r="M637" i="18" s="1"/>
  <c r="N637" i="18" s="1"/>
  <c r="M638" i="18" s="1"/>
  <c r="N638" i="18" s="1"/>
  <c r="M639" i="18" s="1"/>
  <c r="N639" i="18" s="1"/>
  <c r="M640" i="18" s="1"/>
  <c r="N640" i="18" s="1"/>
  <c r="M641" i="18" s="1"/>
  <c r="N641" i="18" s="1"/>
  <c r="M642" i="18" s="1"/>
  <c r="N642" i="18" s="1"/>
  <c r="M643" i="18" s="1"/>
  <c r="N643" i="18" s="1"/>
  <c r="M644" i="18" s="1"/>
  <c r="N644" i="18" s="1"/>
  <c r="M645" i="18" s="1"/>
  <c r="N645" i="18" s="1"/>
  <c r="M646" i="18" s="1"/>
  <c r="N646" i="18" s="1"/>
  <c r="M647" i="18" s="1"/>
  <c r="N647" i="18" s="1"/>
  <c r="M648" i="18" s="1"/>
  <c r="N648" i="18" s="1"/>
  <c r="M649" i="18" s="1"/>
  <c r="N649" i="18" s="1"/>
  <c r="M650" i="18" s="1"/>
  <c r="N650" i="18" s="1"/>
  <c r="M651" i="18" s="1"/>
  <c r="N651" i="18" s="1"/>
  <c r="M652" i="18" s="1"/>
  <c r="N652" i="18" s="1"/>
  <c r="M653" i="18" s="1"/>
  <c r="N653" i="18" s="1"/>
  <c r="M654" i="18" s="1"/>
  <c r="N654" i="18" s="1"/>
  <c r="M655" i="18" s="1"/>
  <c r="N655" i="18" s="1"/>
  <c r="M656" i="18" s="1"/>
  <c r="N656" i="18" s="1"/>
  <c r="M657" i="18" s="1"/>
  <c r="N657" i="18" s="1"/>
  <c r="M658" i="18" s="1"/>
  <c r="N658" i="18" s="1"/>
  <c r="M659" i="18" s="1"/>
  <c r="N659" i="18" s="1"/>
  <c r="M660" i="18" s="1"/>
  <c r="N660" i="18" s="1"/>
  <c r="M661" i="18" s="1"/>
  <c r="N661" i="18" s="1"/>
  <c r="M662" i="18" s="1"/>
  <c r="N662" i="18" s="1"/>
  <c r="M663" i="18" s="1"/>
  <c r="N663" i="18" s="1"/>
  <c r="M664" i="18" s="1"/>
  <c r="N664" i="18" s="1"/>
  <c r="M665" i="18" s="1"/>
  <c r="N665" i="18" s="1"/>
  <c r="M666" i="18" s="1"/>
  <c r="N666" i="18" s="1"/>
  <c r="M667" i="18" s="1"/>
  <c r="N667" i="18" s="1"/>
  <c r="M668" i="18" s="1"/>
  <c r="N668" i="18" s="1"/>
  <c r="M669" i="18" s="1"/>
  <c r="N669" i="18" s="1"/>
  <c r="M670" i="18" s="1"/>
  <c r="N670" i="18" s="1"/>
  <c r="M671" i="18" s="1"/>
  <c r="N671" i="18" s="1"/>
  <c r="M672" i="18" s="1"/>
  <c r="N672" i="18" s="1"/>
  <c r="M673" i="18" s="1"/>
  <c r="N673" i="18" s="1"/>
  <c r="M674" i="18" s="1"/>
  <c r="N674" i="18" s="1"/>
  <c r="M675" i="18" s="1"/>
  <c r="N675" i="18" s="1"/>
  <c r="M676" i="18" s="1"/>
  <c r="N676" i="18" s="1"/>
  <c r="M677" i="18" s="1"/>
  <c r="N677" i="18" s="1"/>
  <c r="M678" i="18" s="1"/>
  <c r="N678" i="18" s="1"/>
  <c r="M679" i="18" s="1"/>
  <c r="N679" i="18" s="1"/>
  <c r="M680" i="18" s="1"/>
  <c r="N680" i="18" s="1"/>
  <c r="M681" i="18" s="1"/>
  <c r="N681" i="18" s="1"/>
  <c r="M682" i="18" s="1"/>
  <c r="N682" i="18" s="1"/>
  <c r="M683" i="18" s="1"/>
  <c r="N683" i="18" s="1"/>
  <c r="M684" i="18" s="1"/>
  <c r="N684" i="18" s="1"/>
  <c r="M685" i="18" s="1"/>
  <c r="N685" i="18" s="1"/>
  <c r="M686" i="18" s="1"/>
  <c r="N686" i="18" s="1"/>
  <c r="M687" i="18" s="1"/>
  <c r="N687" i="18" s="1"/>
  <c r="M688" i="18" s="1"/>
  <c r="N688" i="18" s="1"/>
  <c r="M689" i="18" s="1"/>
  <c r="N689" i="18" s="1"/>
  <c r="M690" i="18" s="1"/>
  <c r="N690" i="18" s="1"/>
  <c r="M691" i="18" s="1"/>
  <c r="N691" i="18" s="1"/>
  <c r="M692" i="18" s="1"/>
  <c r="N692" i="18" s="1"/>
  <c r="M693" i="18" s="1"/>
  <c r="N693" i="18" s="1"/>
  <c r="M694" i="18" s="1"/>
  <c r="N694" i="18" s="1"/>
  <c r="M695" i="18" s="1"/>
  <c r="N695" i="18" s="1"/>
  <c r="M696" i="18" s="1"/>
  <c r="N696" i="18" s="1"/>
  <c r="M697" i="18" s="1"/>
  <c r="N697" i="18" s="1"/>
  <c r="M698" i="18" s="1"/>
  <c r="N698" i="18" s="1"/>
  <c r="M699" i="18" s="1"/>
  <c r="N699" i="18" s="1"/>
  <c r="M700" i="18" s="1"/>
  <c r="N700" i="18" s="1"/>
  <c r="M701" i="18" s="1"/>
  <c r="N701" i="18" s="1"/>
  <c r="M702" i="18" s="1"/>
  <c r="N702" i="18" s="1"/>
  <c r="M703" i="18" s="1"/>
  <c r="N703" i="18" s="1"/>
  <c r="M704" i="18" s="1"/>
  <c r="N704" i="18" s="1"/>
  <c r="M705" i="18" s="1"/>
  <c r="N705" i="18" s="1"/>
  <c r="M706" i="18" s="1"/>
  <c r="N706" i="18" s="1"/>
  <c r="M707" i="18" s="1"/>
  <c r="N707" i="18" s="1"/>
  <c r="M708" i="18" s="1"/>
  <c r="N708" i="18" s="1"/>
  <c r="M709" i="18" s="1"/>
  <c r="N709" i="18" s="1"/>
  <c r="M710" i="18" s="1"/>
  <c r="N710" i="18" s="1"/>
  <c r="M711" i="18" s="1"/>
  <c r="N711" i="18" s="1"/>
  <c r="M712" i="18" s="1"/>
  <c r="N712" i="18" s="1"/>
  <c r="M713" i="18" s="1"/>
  <c r="N713" i="18" s="1"/>
  <c r="M714" i="18" s="1"/>
  <c r="N714" i="18" s="1"/>
  <c r="M715" i="18" s="1"/>
  <c r="N715" i="18" s="1"/>
  <c r="M716" i="18" s="1"/>
  <c r="N716" i="18" s="1"/>
  <c r="M717" i="18" s="1"/>
  <c r="N717" i="18" s="1"/>
  <c r="M718" i="18" s="1"/>
  <c r="N718" i="18" s="1"/>
  <c r="M719" i="18" s="1"/>
  <c r="N719" i="18" s="1"/>
  <c r="M720" i="18" s="1"/>
  <c r="N720" i="18" s="1"/>
  <c r="M721" i="18" s="1"/>
  <c r="N721" i="18" s="1"/>
  <c r="M722" i="18" s="1"/>
  <c r="N722" i="18" s="1"/>
  <c r="M723" i="18" s="1"/>
  <c r="N723" i="18" s="1"/>
  <c r="M724" i="18" s="1"/>
  <c r="N724" i="18" s="1"/>
  <c r="M725" i="18" s="1"/>
  <c r="N725" i="18" s="1"/>
  <c r="M726" i="18" s="1"/>
  <c r="N726" i="18" s="1"/>
  <c r="M727" i="18" s="1"/>
  <c r="N727" i="18" s="1"/>
  <c r="M728" i="18" s="1"/>
  <c r="N728" i="18" s="1"/>
  <c r="M729" i="18" s="1"/>
  <c r="N729" i="18" s="1"/>
  <c r="M730" i="18" s="1"/>
  <c r="N730" i="18" s="1"/>
  <c r="M731" i="18" s="1"/>
  <c r="N731" i="18" s="1"/>
  <c r="M732" i="18" s="1"/>
  <c r="N732" i="18" s="1"/>
  <c r="M733" i="18" s="1"/>
  <c r="N733" i="18" s="1"/>
  <c r="M734" i="18" s="1"/>
  <c r="N734" i="18" s="1"/>
  <c r="M735" i="18" s="1"/>
  <c r="N735" i="18" s="1"/>
  <c r="M736" i="18" s="1"/>
  <c r="N736" i="18" s="1"/>
  <c r="M737" i="18" s="1"/>
  <c r="N737" i="18" s="1"/>
  <c r="M738" i="18" s="1"/>
  <c r="N738" i="18" s="1"/>
  <c r="M739" i="18" s="1"/>
  <c r="N739" i="18" s="1"/>
  <c r="M740" i="18" s="1"/>
  <c r="N740" i="18" s="1"/>
  <c r="M741" i="18" s="1"/>
  <c r="N741" i="18" s="1"/>
  <c r="M742" i="18" s="1"/>
  <c r="N742" i="18" s="1"/>
  <c r="M743" i="18" s="1"/>
  <c r="N743" i="18" s="1"/>
  <c r="M744" i="18" s="1"/>
  <c r="N744" i="18" s="1"/>
  <c r="M745" i="18" s="1"/>
  <c r="N745" i="18" s="1"/>
  <c r="M746" i="18" s="1"/>
  <c r="N746" i="18" s="1"/>
  <c r="M747" i="18" s="1"/>
  <c r="N747" i="18" s="1"/>
  <c r="M748" i="18" s="1"/>
  <c r="N748" i="18" s="1"/>
  <c r="M749" i="18" s="1"/>
  <c r="N749" i="18" s="1"/>
  <c r="M750" i="18" s="1"/>
  <c r="N750" i="18" s="1"/>
  <c r="M751" i="18" s="1"/>
  <c r="N751" i="18" s="1"/>
  <c r="M752" i="18" s="1"/>
  <c r="N752" i="18" s="1"/>
  <c r="M753" i="18" s="1"/>
  <c r="N753" i="18" s="1"/>
  <c r="M754" i="18" s="1"/>
  <c r="N754" i="18" s="1"/>
  <c r="M755" i="18" s="1"/>
  <c r="N755" i="18" s="1"/>
  <c r="M756" i="18" s="1"/>
  <c r="N756" i="18" s="1"/>
  <c r="M757" i="18" s="1"/>
  <c r="N757" i="18" s="1"/>
  <c r="M758" i="18" s="1"/>
  <c r="N758" i="18" s="1"/>
  <c r="M759" i="18" s="1"/>
  <c r="N759" i="18" s="1"/>
  <c r="M760" i="18" s="1"/>
  <c r="N760" i="18" s="1"/>
  <c r="M761" i="18" s="1"/>
  <c r="N761" i="18" s="1"/>
  <c r="M762" i="18" s="1"/>
  <c r="N762" i="18" s="1"/>
  <c r="M763" i="18" s="1"/>
  <c r="N763" i="18" s="1"/>
  <c r="M764" i="18" s="1"/>
  <c r="N764" i="18" s="1"/>
  <c r="M765" i="18" s="1"/>
  <c r="N765" i="18" s="1"/>
  <c r="M766" i="18" s="1"/>
  <c r="N766" i="18" s="1"/>
  <c r="M767" i="18" s="1"/>
  <c r="N767" i="18" s="1"/>
  <c r="M768" i="18" s="1"/>
  <c r="N768" i="18" s="1"/>
  <c r="M769" i="18" s="1"/>
  <c r="N769" i="18" s="1"/>
  <c r="M770" i="18" s="1"/>
  <c r="N770" i="18" s="1"/>
  <c r="M771" i="18" s="1"/>
  <c r="N771" i="18" s="1"/>
  <c r="M772" i="18" s="1"/>
  <c r="N772" i="18" s="1"/>
  <c r="M773" i="18" s="1"/>
  <c r="N773" i="18" s="1"/>
  <c r="M774" i="18" s="1"/>
  <c r="N774" i="18" s="1"/>
  <c r="M775" i="18" s="1"/>
  <c r="N775" i="18" s="1"/>
  <c r="M776" i="18" s="1"/>
  <c r="N776" i="18" s="1"/>
  <c r="M777" i="18" s="1"/>
  <c r="N777" i="18" s="1"/>
  <c r="M778" i="18" s="1"/>
  <c r="N778" i="18" s="1"/>
  <c r="M779" i="18" s="1"/>
  <c r="N779" i="18" s="1"/>
  <c r="M780" i="18" s="1"/>
  <c r="N780" i="18" s="1"/>
  <c r="M781" i="18" s="1"/>
  <c r="N781" i="18" s="1"/>
  <c r="M782" i="18" s="1"/>
  <c r="N782" i="18" s="1"/>
  <c r="M783" i="18" s="1"/>
  <c r="N783" i="18" s="1"/>
  <c r="M784" i="18" s="1"/>
  <c r="N784" i="18" s="1"/>
  <c r="M785" i="18" s="1"/>
  <c r="N785" i="18" s="1"/>
  <c r="M786" i="18" s="1"/>
  <c r="N786" i="18" s="1"/>
  <c r="M787" i="18" s="1"/>
  <c r="N787" i="18" s="1"/>
  <c r="M788" i="18" s="1"/>
  <c r="N788" i="18" s="1"/>
  <c r="M789" i="18" s="1"/>
  <c r="N789" i="18" s="1"/>
  <c r="M790" i="18" s="1"/>
  <c r="N790" i="18" s="1"/>
  <c r="M791" i="18" s="1"/>
  <c r="N791" i="18" s="1"/>
  <c r="M792" i="18" s="1"/>
  <c r="N792" i="18" s="1"/>
  <c r="M793" i="18" s="1"/>
  <c r="N793" i="18" s="1"/>
  <c r="M794" i="18" s="1"/>
  <c r="N794" i="18" s="1"/>
  <c r="M795" i="18" s="1"/>
  <c r="N795" i="18" s="1"/>
  <c r="M796" i="18" s="1"/>
  <c r="N796" i="18" s="1"/>
  <c r="M797" i="18" s="1"/>
  <c r="N797" i="18" s="1"/>
  <c r="M798" i="18" s="1"/>
  <c r="N798" i="18" s="1"/>
  <c r="M799" i="18" s="1"/>
  <c r="N799" i="18" s="1"/>
  <c r="M800" i="18" s="1"/>
  <c r="N800" i="18" s="1"/>
  <c r="M801" i="18" s="1"/>
  <c r="N801" i="18" s="1"/>
  <c r="M802" i="18" s="1"/>
  <c r="N802" i="18" s="1"/>
  <c r="M803" i="18" s="1"/>
  <c r="N803" i="18" s="1"/>
  <c r="M804" i="18" s="1"/>
  <c r="N804" i="18" s="1"/>
  <c r="M805" i="18" s="1"/>
  <c r="N805" i="18" s="1"/>
  <c r="M806" i="18" s="1"/>
  <c r="N806" i="18" s="1"/>
  <c r="M807" i="18" s="1"/>
  <c r="N807" i="18" s="1"/>
  <c r="M808" i="18" s="1"/>
  <c r="N808" i="18" s="1"/>
  <c r="M809" i="18" s="1"/>
  <c r="N809" i="18" s="1"/>
  <c r="M810" i="18" s="1"/>
  <c r="N810" i="18" s="1"/>
  <c r="M811" i="18" s="1"/>
  <c r="N811" i="18" s="1"/>
  <c r="M812" i="18" s="1"/>
  <c r="N812" i="18" s="1"/>
  <c r="M813" i="18" s="1"/>
  <c r="N813" i="18" s="1"/>
  <c r="M814" i="18" s="1"/>
  <c r="N814" i="18" s="1"/>
  <c r="M815" i="18" s="1"/>
  <c r="N815" i="18" s="1"/>
  <c r="M816" i="18" s="1"/>
  <c r="N816" i="18" s="1"/>
  <c r="M817" i="18" s="1"/>
  <c r="N817" i="18" s="1"/>
  <c r="M818" i="18" s="1"/>
  <c r="N818" i="18" s="1"/>
  <c r="M819" i="18" s="1"/>
  <c r="N819" i="18" s="1"/>
  <c r="M820" i="18" s="1"/>
  <c r="N820" i="18" s="1"/>
  <c r="M821" i="18" s="1"/>
  <c r="N821" i="18" s="1"/>
  <c r="M822" i="18" s="1"/>
  <c r="N822" i="18" s="1"/>
  <c r="M823" i="18" s="1"/>
  <c r="N823" i="18" s="1"/>
  <c r="M824" i="18" s="1"/>
  <c r="N824" i="18" s="1"/>
  <c r="M825" i="18" s="1"/>
  <c r="N825" i="18" s="1"/>
  <c r="M826" i="18" s="1"/>
  <c r="N826" i="18" s="1"/>
  <c r="M827" i="18" s="1"/>
  <c r="N827" i="18" s="1"/>
  <c r="M828" i="18" s="1"/>
  <c r="N828" i="18" s="1"/>
  <c r="M829" i="18" s="1"/>
  <c r="N829" i="18" s="1"/>
  <c r="M830" i="18" s="1"/>
  <c r="N830" i="18" s="1"/>
  <c r="M831" i="18" s="1"/>
  <c r="N831" i="18" s="1"/>
  <c r="M832" i="18" s="1"/>
  <c r="N832" i="18" s="1"/>
  <c r="M833" i="18" s="1"/>
  <c r="N833" i="18" s="1"/>
  <c r="M834" i="18" s="1"/>
  <c r="N834" i="18" s="1"/>
  <c r="M835" i="18" s="1"/>
  <c r="N835" i="18" s="1"/>
  <c r="M836" i="18" s="1"/>
  <c r="N836" i="18" s="1"/>
  <c r="M837" i="18" s="1"/>
  <c r="N837" i="18" s="1"/>
  <c r="M838" i="18" s="1"/>
  <c r="N838" i="18" s="1"/>
  <c r="M839" i="18" s="1"/>
  <c r="N839" i="18" s="1"/>
  <c r="M840" i="18" s="1"/>
  <c r="N840" i="18" s="1"/>
  <c r="M841" i="18" s="1"/>
  <c r="N841" i="18" s="1"/>
  <c r="M842" i="18" s="1"/>
  <c r="N842" i="18" s="1"/>
  <c r="M843" i="18" s="1"/>
  <c r="N843" i="18" s="1"/>
  <c r="M844" i="18" s="1"/>
  <c r="N844" i="18" s="1"/>
  <c r="M845" i="18" s="1"/>
  <c r="N845" i="18" s="1"/>
  <c r="M846" i="18" s="1"/>
  <c r="N846" i="18" s="1"/>
  <c r="M847" i="18" s="1"/>
  <c r="N847" i="18" s="1"/>
  <c r="M848" i="18" s="1"/>
  <c r="N848" i="18" s="1"/>
  <c r="M849" i="18" s="1"/>
  <c r="N849" i="18" s="1"/>
  <c r="M850" i="18" s="1"/>
  <c r="N850" i="18" s="1"/>
  <c r="M851" i="18" s="1"/>
  <c r="N851" i="18" s="1"/>
  <c r="M852" i="18" s="1"/>
  <c r="N852" i="18" s="1"/>
  <c r="M853" i="18" s="1"/>
  <c r="N853" i="18" s="1"/>
  <c r="M854" i="18" s="1"/>
  <c r="N854" i="18" s="1"/>
  <c r="M855" i="18" s="1"/>
  <c r="N855" i="18" s="1"/>
  <c r="M856" i="18" s="1"/>
  <c r="N856" i="18" s="1"/>
  <c r="M857" i="18" s="1"/>
  <c r="N857" i="18" s="1"/>
  <c r="M858" i="18" s="1"/>
  <c r="N858" i="18" s="1"/>
  <c r="M859" i="18" s="1"/>
  <c r="N859" i="18" s="1"/>
  <c r="M860" i="18" s="1"/>
  <c r="N860" i="18" s="1"/>
  <c r="M861" i="18" s="1"/>
  <c r="N861" i="18" s="1"/>
  <c r="M862" i="18" s="1"/>
  <c r="N862" i="18" s="1"/>
  <c r="M863" i="18" s="1"/>
  <c r="N863" i="18" s="1"/>
  <c r="M864" i="18" s="1"/>
  <c r="N864" i="18" s="1"/>
  <c r="M865" i="18" s="1"/>
  <c r="N865" i="18" s="1"/>
  <c r="M866" i="18" s="1"/>
  <c r="N866" i="18" s="1"/>
  <c r="M867" i="18" s="1"/>
  <c r="N867" i="18" s="1"/>
  <c r="M868" i="18" s="1"/>
  <c r="N868" i="18" s="1"/>
  <c r="M869" i="18" s="1"/>
  <c r="N869" i="18" s="1"/>
  <c r="M870" i="18" s="1"/>
  <c r="N870" i="18" s="1"/>
  <c r="M871" i="18" s="1"/>
  <c r="N871" i="18" s="1"/>
  <c r="M872" i="18" s="1"/>
  <c r="N872" i="18" s="1"/>
  <c r="M873" i="18" s="1"/>
  <c r="N873" i="18" s="1"/>
  <c r="M874" i="18" s="1"/>
  <c r="N874" i="18" s="1"/>
  <c r="M875" i="18" s="1"/>
  <c r="N875" i="18" s="1"/>
  <c r="M876" i="18" s="1"/>
  <c r="N876" i="18" s="1"/>
  <c r="M877" i="18" s="1"/>
  <c r="N877" i="18" s="1"/>
  <c r="M878" i="18" s="1"/>
  <c r="N878" i="18" s="1"/>
  <c r="M879" i="18" s="1"/>
  <c r="N879" i="18" s="1"/>
  <c r="M880" i="18" s="1"/>
  <c r="N880" i="18" s="1"/>
  <c r="M881" i="18" s="1"/>
  <c r="N881" i="18" s="1"/>
  <c r="M882" i="18" s="1"/>
  <c r="N882" i="18" s="1"/>
  <c r="M883" i="18" s="1"/>
  <c r="N883" i="18" s="1"/>
  <c r="M884" i="18" s="1"/>
  <c r="N884" i="18" s="1"/>
  <c r="M885" i="18" s="1"/>
  <c r="N885" i="18" s="1"/>
  <c r="M886" i="18" s="1"/>
  <c r="N886" i="18" s="1"/>
  <c r="M887" i="18" s="1"/>
  <c r="N887" i="18" s="1"/>
  <c r="M888" i="18" s="1"/>
  <c r="N888" i="18" s="1"/>
  <c r="M889" i="18" s="1"/>
  <c r="N889" i="18" s="1"/>
  <c r="M890" i="18" s="1"/>
  <c r="N890" i="18" s="1"/>
  <c r="M891" i="18" s="1"/>
  <c r="N891" i="18" s="1"/>
  <c r="M892" i="18" s="1"/>
  <c r="N892" i="18" s="1"/>
  <c r="M893" i="18" s="1"/>
  <c r="N893" i="18" s="1"/>
  <c r="M894" i="18" s="1"/>
  <c r="N894" i="18" s="1"/>
  <c r="M895" i="18" s="1"/>
  <c r="N895" i="18" s="1"/>
  <c r="M896" i="18" s="1"/>
  <c r="N896" i="18" s="1"/>
  <c r="M897" i="18" s="1"/>
  <c r="N897" i="18" s="1"/>
  <c r="M898" i="18" s="1"/>
  <c r="N898" i="18" s="1"/>
  <c r="M899" i="18" s="1"/>
  <c r="N899" i="18" s="1"/>
  <c r="M900" i="18" s="1"/>
  <c r="N900" i="18" s="1"/>
  <c r="M901" i="18" s="1"/>
  <c r="N901" i="18" s="1"/>
  <c r="M902" i="18" s="1"/>
  <c r="N902" i="18" s="1"/>
  <c r="M903" i="18" s="1"/>
  <c r="N903" i="18" s="1"/>
  <c r="M904" i="18" s="1"/>
  <c r="N904" i="18" s="1"/>
  <c r="M905" i="18" s="1"/>
  <c r="N905" i="18" s="1"/>
  <c r="M906" i="18" s="1"/>
  <c r="N906" i="18" s="1"/>
  <c r="M907" i="18" s="1"/>
  <c r="N907" i="18" s="1"/>
  <c r="M908" i="18" s="1"/>
  <c r="N908" i="18" s="1"/>
  <c r="M909" i="18" s="1"/>
  <c r="N909" i="18" s="1"/>
  <c r="M910" i="18" s="1"/>
  <c r="N910" i="18" s="1"/>
  <c r="M911" i="18" s="1"/>
  <c r="N911" i="18" s="1"/>
  <c r="M912" i="18" s="1"/>
  <c r="N912" i="18" s="1"/>
  <c r="M913" i="18" s="1"/>
  <c r="N913" i="18" s="1"/>
  <c r="M914" i="18" s="1"/>
  <c r="N914" i="18" s="1"/>
  <c r="M915" i="18" s="1"/>
  <c r="N915" i="18" s="1"/>
  <c r="M916" i="18" s="1"/>
  <c r="N916" i="18" s="1"/>
  <c r="M917" i="18" s="1"/>
  <c r="N917" i="18" s="1"/>
  <c r="M918" i="18" s="1"/>
  <c r="N918" i="18" s="1"/>
  <c r="M919" i="18" s="1"/>
  <c r="N919" i="18" s="1"/>
  <c r="M920" i="18" s="1"/>
  <c r="N920" i="18" s="1"/>
  <c r="M921" i="18" s="1"/>
  <c r="N921" i="18" s="1"/>
  <c r="M922" i="18" s="1"/>
  <c r="N922" i="18" s="1"/>
  <c r="M923" i="18" s="1"/>
  <c r="N923" i="18" s="1"/>
  <c r="M924" i="18" s="1"/>
  <c r="N924" i="18" s="1"/>
  <c r="M925" i="18" s="1"/>
  <c r="N925" i="18" s="1"/>
  <c r="M926" i="18" s="1"/>
  <c r="N926" i="18" s="1"/>
  <c r="M927" i="18" s="1"/>
  <c r="N927" i="18" s="1"/>
  <c r="M928" i="18" s="1"/>
  <c r="N928" i="18" s="1"/>
  <c r="M929" i="18" s="1"/>
  <c r="N929" i="18" s="1"/>
  <c r="M930" i="18" s="1"/>
  <c r="N930" i="18" s="1"/>
  <c r="M931" i="18" s="1"/>
  <c r="N931" i="18" s="1"/>
  <c r="M932" i="18" s="1"/>
  <c r="N932" i="18" s="1"/>
  <c r="M933" i="18" s="1"/>
  <c r="N933" i="18" s="1"/>
  <c r="M934" i="18" s="1"/>
  <c r="N934" i="18" s="1"/>
  <c r="M935" i="18" s="1"/>
  <c r="N935" i="18" s="1"/>
  <c r="M936" i="18" s="1"/>
  <c r="N936" i="18" s="1"/>
  <c r="M937" i="18" s="1"/>
  <c r="N937" i="18" s="1"/>
  <c r="M938" i="18" s="1"/>
  <c r="N938" i="18" s="1"/>
  <c r="M939" i="18" s="1"/>
  <c r="N939" i="18" s="1"/>
  <c r="M940" i="18" s="1"/>
  <c r="N940" i="18" s="1"/>
  <c r="M941" i="18" s="1"/>
  <c r="N941" i="18" s="1"/>
  <c r="M942" i="18" s="1"/>
  <c r="N942" i="18" s="1"/>
  <c r="M943" i="18" s="1"/>
  <c r="N943" i="18" s="1"/>
  <c r="M944" i="18" s="1"/>
  <c r="N944" i="18" s="1"/>
  <c r="M945" i="18" s="1"/>
  <c r="N945" i="18" s="1"/>
  <c r="M946" i="18" s="1"/>
  <c r="N946" i="18" s="1"/>
  <c r="M947" i="18" s="1"/>
  <c r="N947" i="18" s="1"/>
  <c r="M948" i="18" s="1"/>
  <c r="N948" i="18" s="1"/>
  <c r="M949" i="18" s="1"/>
  <c r="N949" i="18" s="1"/>
  <c r="M950" i="18" s="1"/>
  <c r="N950" i="18" s="1"/>
  <c r="M951" i="18" s="1"/>
  <c r="N951" i="18" s="1"/>
  <c r="M952" i="18" s="1"/>
  <c r="N952" i="18" s="1"/>
  <c r="M953" i="18" s="1"/>
  <c r="N953" i="18" s="1"/>
  <c r="M954" i="18" s="1"/>
  <c r="N954" i="18" s="1"/>
  <c r="M955" i="18" s="1"/>
  <c r="N955" i="18" s="1"/>
  <c r="M956" i="18" s="1"/>
  <c r="N956" i="18" s="1"/>
  <c r="M957" i="18" s="1"/>
  <c r="N957" i="18" s="1"/>
  <c r="M958" i="18" s="1"/>
  <c r="N958" i="18" s="1"/>
  <c r="M959" i="18" s="1"/>
  <c r="N959" i="18" s="1"/>
  <c r="M960" i="18" s="1"/>
  <c r="N960" i="18" s="1"/>
  <c r="M961" i="18" s="1"/>
  <c r="N961" i="18" s="1"/>
  <c r="M962" i="18" s="1"/>
  <c r="N962" i="18" s="1"/>
  <c r="M963" i="18" s="1"/>
  <c r="N963" i="18" s="1"/>
  <c r="M964" i="18" s="1"/>
  <c r="N964" i="18" s="1"/>
  <c r="M965" i="18" s="1"/>
  <c r="N965" i="18" s="1"/>
  <c r="M966" i="18" s="1"/>
  <c r="N966" i="18" s="1"/>
  <c r="M967" i="18" s="1"/>
  <c r="N967" i="18" s="1"/>
  <c r="M968" i="18" s="1"/>
  <c r="N968" i="18" s="1"/>
  <c r="M969" i="18" s="1"/>
  <c r="N969" i="18" s="1"/>
  <c r="M970" i="18" s="1"/>
  <c r="N970" i="18" s="1"/>
  <c r="M971" i="18" s="1"/>
  <c r="N971" i="18" s="1"/>
  <c r="M972" i="18" s="1"/>
  <c r="N972" i="18" s="1"/>
  <c r="M973" i="18" s="1"/>
  <c r="N973" i="18" s="1"/>
  <c r="M974" i="18" s="1"/>
  <c r="N974" i="18" s="1"/>
  <c r="M975" i="18" s="1"/>
  <c r="N975" i="18" s="1"/>
  <c r="M976" i="18" s="1"/>
  <c r="N976" i="18" s="1"/>
  <c r="M977" i="18" s="1"/>
  <c r="N977" i="18" s="1"/>
  <c r="M978" i="18" s="1"/>
  <c r="N978" i="18" s="1"/>
  <c r="M979" i="18" s="1"/>
  <c r="N979" i="18" s="1"/>
  <c r="M980" i="18" s="1"/>
  <c r="N980" i="18" s="1"/>
  <c r="M981" i="18" s="1"/>
  <c r="N981" i="18" s="1"/>
  <c r="M982" i="18" s="1"/>
  <c r="N982" i="18" s="1"/>
  <c r="M983" i="18" s="1"/>
  <c r="N983" i="18" s="1"/>
  <c r="M984" i="18" s="1"/>
  <c r="N984" i="18" s="1"/>
  <c r="M985" i="18" s="1"/>
  <c r="N985" i="18" s="1"/>
  <c r="M986" i="18" s="1"/>
  <c r="N986" i="18" s="1"/>
  <c r="M987" i="18" s="1"/>
  <c r="N987" i="18" s="1"/>
  <c r="M988" i="18" s="1"/>
  <c r="N988" i="18" s="1"/>
  <c r="M989" i="18" s="1"/>
  <c r="N989" i="18" s="1"/>
  <c r="M990" i="18" s="1"/>
  <c r="N990" i="18" s="1"/>
  <c r="M991" i="18" s="1"/>
  <c r="N991" i="18" s="1"/>
  <c r="M992" i="18" s="1"/>
  <c r="N992" i="18" s="1"/>
  <c r="M993" i="18" s="1"/>
  <c r="N993" i="18" s="1"/>
  <c r="M994" i="18" s="1"/>
  <c r="N994" i="18" s="1"/>
  <c r="M995" i="18" s="1"/>
  <c r="N995" i="18" s="1"/>
  <c r="M996" i="18" s="1"/>
  <c r="N996" i="18" s="1"/>
  <c r="M997" i="18" s="1"/>
  <c r="N997" i="18" s="1"/>
  <c r="M998" i="18" s="1"/>
  <c r="N998" i="18" s="1"/>
  <c r="M999" i="18" s="1"/>
  <c r="N999" i="18" s="1"/>
  <c r="M1000" i="18" s="1"/>
  <c r="N1000" i="18" s="1"/>
  <c r="M1001" i="18" s="1"/>
  <c r="N1001" i="18" s="1"/>
  <c r="M1002" i="18" s="1"/>
  <c r="N1002" i="18" s="1"/>
  <c r="M1003" i="18" s="1"/>
  <c r="N1003" i="18" s="1"/>
  <c r="M1004" i="18" s="1"/>
  <c r="N1004" i="18" s="1"/>
  <c r="M1005" i="18" s="1"/>
  <c r="N1005" i="18" s="1"/>
  <c r="M1006" i="18" s="1"/>
  <c r="N1006" i="18" s="1"/>
  <c r="M1007" i="18" s="1"/>
  <c r="N1007" i="18" s="1"/>
  <c r="M1008" i="18" s="1"/>
  <c r="N1008" i="18" s="1"/>
  <c r="M1009" i="18" s="1"/>
  <c r="N1009" i="18" s="1"/>
  <c r="M1010" i="18" s="1"/>
  <c r="N1010" i="18" s="1"/>
  <c r="M1011" i="18" s="1"/>
  <c r="N1011" i="18" s="1"/>
  <c r="M1012" i="18" s="1"/>
  <c r="N1012" i="18" s="1"/>
  <c r="M1013" i="18" s="1"/>
  <c r="N1013" i="18" s="1"/>
  <c r="M1014" i="18" s="1"/>
  <c r="N1014" i="18" s="1"/>
  <c r="M1015" i="18" s="1"/>
  <c r="N1015" i="18" s="1"/>
  <c r="M1016" i="18" s="1"/>
  <c r="N1016" i="18" s="1"/>
  <c r="M1017" i="18" s="1"/>
  <c r="N1017" i="18" s="1"/>
  <c r="M1018" i="18" s="1"/>
  <c r="N1018" i="18" s="1"/>
  <c r="M1019" i="18" s="1"/>
  <c r="N1019" i="18" s="1"/>
  <c r="M1020" i="18" s="1"/>
  <c r="N1020" i="18" s="1"/>
  <c r="M1021" i="18" s="1"/>
  <c r="N1021" i="18" s="1"/>
  <c r="M1022" i="18" s="1"/>
  <c r="N1022" i="18" s="1"/>
  <c r="M1023" i="18" s="1"/>
  <c r="N1023" i="18" s="1"/>
  <c r="M1024" i="18" s="1"/>
  <c r="N1024" i="18" s="1"/>
  <c r="M1025" i="18" s="1"/>
  <c r="N1025" i="18" s="1"/>
  <c r="M1026" i="18" s="1"/>
  <c r="N1026" i="18" s="1"/>
  <c r="M1027" i="18" s="1"/>
  <c r="N1027" i="18" s="1"/>
  <c r="M1028" i="18" s="1"/>
  <c r="N1028" i="18" s="1"/>
  <c r="M1029" i="18" s="1"/>
  <c r="N1029" i="18" s="1"/>
  <c r="M1030" i="18" s="1"/>
  <c r="N1030" i="18" s="1"/>
  <c r="M1031" i="18" s="1"/>
  <c r="N1031" i="18" s="1"/>
  <c r="M1032" i="18" s="1"/>
  <c r="N1032" i="18" s="1"/>
  <c r="M1033" i="18" s="1"/>
  <c r="N1033" i="18" s="1"/>
  <c r="M1034" i="18" s="1"/>
  <c r="N1034" i="18" s="1"/>
  <c r="M1035" i="18" s="1"/>
  <c r="N1035" i="18" s="1"/>
  <c r="M1036" i="18" s="1"/>
  <c r="N1036" i="18" s="1"/>
  <c r="M1037" i="18" s="1"/>
  <c r="N1037" i="18" s="1"/>
  <c r="M1038" i="18" s="1"/>
  <c r="N1038" i="18" s="1"/>
  <c r="M1039" i="18" s="1"/>
  <c r="N1039" i="18" s="1"/>
  <c r="M1040" i="18" s="1"/>
  <c r="M31" i="5"/>
  <c r="O25" i="5"/>
  <c r="O31" i="5" s="1"/>
  <c r="AC64" i="5"/>
  <c r="AE58" i="5"/>
  <c r="AE64" i="5" s="1"/>
  <c r="AE100" i="5"/>
  <c r="AE106" i="5" s="1"/>
  <c r="AC106" i="5"/>
  <c r="N226" i="8"/>
  <c r="J226" i="8" s="1"/>
  <c r="O40" i="5"/>
  <c r="O46" i="5" s="1"/>
  <c r="M46" i="5"/>
  <c r="K278" i="8"/>
  <c r="AE12" i="5"/>
  <c r="AE18" i="5" s="1"/>
  <c r="D236" i="8"/>
  <c r="R16" i="1"/>
  <c r="T16" i="1" s="1"/>
  <c r="O16" i="1"/>
  <c r="L17" i="1"/>
  <c r="P17" i="1" s="1"/>
  <c r="R17" i="1" s="1"/>
  <c r="T17" i="1" s="1"/>
  <c r="N17" i="1"/>
  <c r="Q17" i="1" s="1"/>
  <c r="S17" i="1" s="1"/>
  <c r="U17" i="1" s="1"/>
  <c r="Y17" i="1" s="1"/>
  <c r="L15" i="1"/>
  <c r="P15" i="1" s="1"/>
  <c r="X15" i="1" s="1"/>
  <c r="N15" i="1"/>
  <c r="Q15" i="1" s="1"/>
  <c r="L14" i="1"/>
  <c r="D48" i="8" s="1"/>
  <c r="K52" i="8" s="1"/>
  <c r="N14" i="1"/>
  <c r="D80" i="8" s="1"/>
  <c r="AE84" i="5"/>
  <c r="AE90" i="5" s="1"/>
  <c r="AC90" i="5"/>
  <c r="R28" i="6"/>
  <c r="N28" i="6" s="1"/>
  <c r="Q30" i="6" s="1"/>
  <c r="J33" i="6" s="1"/>
  <c r="N33" i="6" s="1"/>
  <c r="Q33" i="6" s="1"/>
  <c r="D94" i="8"/>
  <c r="K98" i="8" s="1"/>
  <c r="D33" i="8"/>
  <c r="K11" i="8"/>
  <c r="AD33" i="5"/>
  <c r="Z33" i="5" s="1"/>
  <c r="AC35" i="5" s="1"/>
  <c r="H10" i="4" s="1"/>
  <c r="AD49" i="5"/>
  <c r="Z49" i="5" s="1"/>
  <c r="Q16" i="1"/>
  <c r="S16" i="1" s="1"/>
  <c r="U16" i="1" s="1"/>
  <c r="Y16" i="1" s="1"/>
  <c r="N31" i="5" l="1"/>
  <c r="J31" i="5" s="1"/>
  <c r="I196" i="8" s="1"/>
  <c r="AD64" i="5"/>
  <c r="Z64" i="5" s="1"/>
  <c r="AC66" i="5" s="1"/>
  <c r="M228" i="8"/>
  <c r="H76" i="9" s="1"/>
  <c r="I259" i="8"/>
  <c r="AD106" i="5"/>
  <c r="Z106" i="5" s="1"/>
  <c r="AC108" i="5" s="1"/>
  <c r="I99" i="8"/>
  <c r="I11" i="8"/>
  <c r="N46" i="5"/>
  <c r="J46" i="5" s="1"/>
  <c r="I23" i="8" s="1"/>
  <c r="I277" i="8"/>
  <c r="I76" i="9"/>
  <c r="AC51" i="5"/>
  <c r="F279" i="8" s="1"/>
  <c r="I279" i="8"/>
  <c r="K4" i="18"/>
  <c r="L4" i="18" s="1"/>
  <c r="K5" i="18" s="1"/>
  <c r="L5" i="18" s="1"/>
  <c r="K6" i="18" s="1"/>
  <c r="L6" i="18" s="1"/>
  <c r="K7" i="18" s="1"/>
  <c r="L7" i="18" s="1"/>
  <c r="K8" i="18" s="1"/>
  <c r="L8" i="18" s="1"/>
  <c r="K9" i="18" s="1"/>
  <c r="L9" i="18" s="1"/>
  <c r="K10" i="18" s="1"/>
  <c r="L10" i="18" s="1"/>
  <c r="K11" i="18" s="1"/>
  <c r="L11" i="18" s="1"/>
  <c r="K12" i="18" s="1"/>
  <c r="L12" i="18" s="1"/>
  <c r="K13" i="18" s="1"/>
  <c r="L13" i="18" s="1"/>
  <c r="K14" i="18" s="1"/>
  <c r="L14" i="18" s="1"/>
  <c r="K15" i="18" s="1"/>
  <c r="L15" i="18" s="1"/>
  <c r="K16" i="18" s="1"/>
  <c r="L16" i="18" s="1"/>
  <c r="K17" i="18" s="1"/>
  <c r="L17" i="18" s="1"/>
  <c r="K18" i="18" s="1"/>
  <c r="L18" i="18" s="1"/>
  <c r="K19" i="18" s="1"/>
  <c r="L19" i="18" s="1"/>
  <c r="K20" i="18" s="1"/>
  <c r="L20" i="18" s="1"/>
  <c r="K21" i="18" s="1"/>
  <c r="L21" i="18" s="1"/>
  <c r="K22" i="18" s="1"/>
  <c r="L22" i="18" s="1"/>
  <c r="K23" i="18" s="1"/>
  <c r="L23" i="18" s="1"/>
  <c r="K24" i="18" s="1"/>
  <c r="L24" i="18" s="1"/>
  <c r="K25" i="18" s="1"/>
  <c r="L25" i="18" s="1"/>
  <c r="K26" i="18" s="1"/>
  <c r="L26" i="18" s="1"/>
  <c r="K27" i="18" s="1"/>
  <c r="L27" i="18" s="1"/>
  <c r="K28" i="18" s="1"/>
  <c r="L28" i="18" s="1"/>
  <c r="K29" i="18" s="1"/>
  <c r="L29" i="18" s="1"/>
  <c r="K30" i="18" s="1"/>
  <c r="L30" i="18" s="1"/>
  <c r="K31" i="18" s="1"/>
  <c r="L31" i="18" s="1"/>
  <c r="K32" i="18" s="1"/>
  <c r="L32" i="18" s="1"/>
  <c r="K33" i="18" s="1"/>
  <c r="L33" i="18" s="1"/>
  <c r="K34" i="18" s="1"/>
  <c r="L34" i="18" s="1"/>
  <c r="K35" i="18" s="1"/>
  <c r="L35" i="18" s="1"/>
  <c r="K36" i="18" s="1"/>
  <c r="L36" i="18" s="1"/>
  <c r="K37" i="18" s="1"/>
  <c r="L37" i="18" s="1"/>
  <c r="K38" i="18" s="1"/>
  <c r="L38" i="18" s="1"/>
  <c r="K39" i="18" s="1"/>
  <c r="L39" i="18" s="1"/>
  <c r="K40" i="18" s="1"/>
  <c r="L40" i="18" s="1"/>
  <c r="K41" i="18" s="1"/>
  <c r="L41" i="18" s="1"/>
  <c r="K42" i="18" s="1"/>
  <c r="L42" i="18" s="1"/>
  <c r="K43" i="18" s="1"/>
  <c r="L43" i="18" s="1"/>
  <c r="K44" i="18" s="1"/>
  <c r="L44" i="18" s="1"/>
  <c r="K45" i="18" s="1"/>
  <c r="L45" i="18" s="1"/>
  <c r="K46" i="18" s="1"/>
  <c r="L46" i="18" s="1"/>
  <c r="K47" i="18" s="1"/>
  <c r="L47" i="18" s="1"/>
  <c r="K48" i="18" s="1"/>
  <c r="L48" i="18" s="1"/>
  <c r="K49" i="18" s="1"/>
  <c r="L49" i="18" s="1"/>
  <c r="K50" i="18" s="1"/>
  <c r="L50" i="18" s="1"/>
  <c r="K51" i="18" s="1"/>
  <c r="L51" i="18" s="1"/>
  <c r="K52" i="18" s="1"/>
  <c r="L52" i="18" s="1"/>
  <c r="K53" i="18" s="1"/>
  <c r="L53" i="18" s="1"/>
  <c r="K54" i="18" s="1"/>
  <c r="L54" i="18" s="1"/>
  <c r="K55" i="18" s="1"/>
  <c r="L55" i="18" s="1"/>
  <c r="K56" i="18" s="1"/>
  <c r="L56" i="18" s="1"/>
  <c r="K57" i="18" s="1"/>
  <c r="L57" i="18" s="1"/>
  <c r="K58" i="18" s="1"/>
  <c r="L58" i="18" s="1"/>
  <c r="K59" i="18" s="1"/>
  <c r="L59" i="18" s="1"/>
  <c r="K60" i="18" s="1"/>
  <c r="L60" i="18" s="1"/>
  <c r="K61" i="18" s="1"/>
  <c r="L61" i="18" s="1"/>
  <c r="K62" i="18" s="1"/>
  <c r="L62" i="18" s="1"/>
  <c r="K63" i="18" s="1"/>
  <c r="L63" i="18" s="1"/>
  <c r="K64" i="18" s="1"/>
  <c r="L64" i="18" s="1"/>
  <c r="K65" i="18" s="1"/>
  <c r="L65" i="18" s="1"/>
  <c r="K66" i="18" s="1"/>
  <c r="L66" i="18" s="1"/>
  <c r="K67" i="18" s="1"/>
  <c r="L67" i="18" s="1"/>
  <c r="K68" i="18" s="1"/>
  <c r="L68" i="18" s="1"/>
  <c r="K69" i="18" s="1"/>
  <c r="L69" i="18" s="1"/>
  <c r="K70" i="18" s="1"/>
  <c r="L70" i="18" s="1"/>
  <c r="K71" i="18" s="1"/>
  <c r="L71" i="18" s="1"/>
  <c r="K72" i="18" s="1"/>
  <c r="L72" i="18" s="1"/>
  <c r="K73" i="18" s="1"/>
  <c r="L73" i="18" s="1"/>
  <c r="K74" i="18" s="1"/>
  <c r="L74" i="18" s="1"/>
  <c r="K75" i="18" s="1"/>
  <c r="L75" i="18" s="1"/>
  <c r="K76" i="18" s="1"/>
  <c r="L76" i="18" s="1"/>
  <c r="K77" i="18" s="1"/>
  <c r="L77" i="18" s="1"/>
  <c r="K78" i="18" s="1"/>
  <c r="L78" i="18" s="1"/>
  <c r="K79" i="18" s="1"/>
  <c r="L79" i="18" s="1"/>
  <c r="K80" i="18" s="1"/>
  <c r="L80" i="18" s="1"/>
  <c r="K81" i="18" s="1"/>
  <c r="L81" i="18" s="1"/>
  <c r="K82" i="18" s="1"/>
  <c r="L82" i="18" s="1"/>
  <c r="K83" i="18" s="1"/>
  <c r="L83" i="18" s="1"/>
  <c r="K84" i="18" s="1"/>
  <c r="L84" i="18" s="1"/>
  <c r="K85" i="18" s="1"/>
  <c r="L85" i="18" s="1"/>
  <c r="K86" i="18" s="1"/>
  <c r="L86" i="18" s="1"/>
  <c r="K87" i="18" s="1"/>
  <c r="L87" i="18" s="1"/>
  <c r="K88" i="18" s="1"/>
  <c r="L88" i="18" s="1"/>
  <c r="K89" i="18" s="1"/>
  <c r="L89" i="18" s="1"/>
  <c r="K90" i="18" s="1"/>
  <c r="L90" i="18" s="1"/>
  <c r="K91" i="18" s="1"/>
  <c r="L91" i="18" s="1"/>
  <c r="K92" i="18" s="1"/>
  <c r="L92" i="18" s="1"/>
  <c r="K93" i="18" s="1"/>
  <c r="L93" i="18" s="1"/>
  <c r="K94" i="18" s="1"/>
  <c r="L94" i="18" s="1"/>
  <c r="K95" i="18" s="1"/>
  <c r="L95" i="18" s="1"/>
  <c r="K96" i="18" s="1"/>
  <c r="L96" i="18" s="1"/>
  <c r="K97" i="18" s="1"/>
  <c r="L97" i="18" s="1"/>
  <c r="K98" i="18" s="1"/>
  <c r="L98" i="18" s="1"/>
  <c r="K99" i="18" s="1"/>
  <c r="L99" i="18" s="1"/>
  <c r="K100" i="18" s="1"/>
  <c r="L100" i="18" s="1"/>
  <c r="K101" i="18" s="1"/>
  <c r="L101" i="18" s="1"/>
  <c r="K102" i="18" s="1"/>
  <c r="L102" i="18" s="1"/>
  <c r="K103" i="18" s="1"/>
  <c r="L103" i="18" s="1"/>
  <c r="K104" i="18" s="1"/>
  <c r="L104" i="18" s="1"/>
  <c r="K105" i="18" s="1"/>
  <c r="L105" i="18" s="1"/>
  <c r="K106" i="18" s="1"/>
  <c r="L106" i="18" s="1"/>
  <c r="K107" i="18" s="1"/>
  <c r="L107" i="18" s="1"/>
  <c r="K108" i="18" s="1"/>
  <c r="L108" i="18" s="1"/>
  <c r="K109" i="18" s="1"/>
  <c r="L109" i="18" s="1"/>
  <c r="K110" i="18" s="1"/>
  <c r="L110" i="18" s="1"/>
  <c r="K111" i="18" s="1"/>
  <c r="L111" i="18" s="1"/>
  <c r="K112" i="18" s="1"/>
  <c r="L112" i="18" s="1"/>
  <c r="K113" i="18" s="1"/>
  <c r="L113" i="18" s="1"/>
  <c r="K114" i="18" s="1"/>
  <c r="L114" i="18" s="1"/>
  <c r="K115" i="18" s="1"/>
  <c r="L115" i="18" s="1"/>
  <c r="K116" i="18" s="1"/>
  <c r="L116" i="18" s="1"/>
  <c r="K117" i="18" s="1"/>
  <c r="L117" i="18" s="1"/>
  <c r="K118" i="18" s="1"/>
  <c r="L118" i="18" s="1"/>
  <c r="K119" i="18" s="1"/>
  <c r="L119" i="18" s="1"/>
  <c r="K120" i="18" s="1"/>
  <c r="L120" i="18" s="1"/>
  <c r="K121" i="18" s="1"/>
  <c r="L121" i="18" s="1"/>
  <c r="K122" i="18" s="1"/>
  <c r="L122" i="18" s="1"/>
  <c r="K123" i="18" s="1"/>
  <c r="L123" i="18" s="1"/>
  <c r="K124" i="18" s="1"/>
  <c r="L124" i="18" s="1"/>
  <c r="K125" i="18" s="1"/>
  <c r="L125" i="18" s="1"/>
  <c r="K126" i="18" s="1"/>
  <c r="L126" i="18" s="1"/>
  <c r="K127" i="18" s="1"/>
  <c r="L127" i="18" s="1"/>
  <c r="K128" i="18" s="1"/>
  <c r="L128" i="18" s="1"/>
  <c r="K129" i="18" s="1"/>
  <c r="L129" i="18" s="1"/>
  <c r="K130" i="18" s="1"/>
  <c r="L130" i="18" s="1"/>
  <c r="K131" i="18" s="1"/>
  <c r="L131" i="18" s="1"/>
  <c r="K132" i="18" s="1"/>
  <c r="L132" i="18" s="1"/>
  <c r="K133" i="18" s="1"/>
  <c r="L133" i="18" s="1"/>
  <c r="K134" i="18" s="1"/>
  <c r="L134" i="18" s="1"/>
  <c r="K135" i="18" s="1"/>
  <c r="L135" i="18" s="1"/>
  <c r="K136" i="18" s="1"/>
  <c r="L136" i="18" s="1"/>
  <c r="K137" i="18" s="1"/>
  <c r="L137" i="18" s="1"/>
  <c r="K138" i="18" s="1"/>
  <c r="L138" i="18" s="1"/>
  <c r="K139" i="18" s="1"/>
  <c r="L139" i="18" s="1"/>
  <c r="K140" i="18" s="1"/>
  <c r="L140" i="18" s="1"/>
  <c r="K141" i="18" s="1"/>
  <c r="L141" i="18" s="1"/>
  <c r="K142" i="18" s="1"/>
  <c r="L142" i="18" s="1"/>
  <c r="K143" i="18" s="1"/>
  <c r="L143" i="18" s="1"/>
  <c r="K144" i="18" s="1"/>
  <c r="L144" i="18" s="1"/>
  <c r="K145" i="18" s="1"/>
  <c r="L145" i="18" s="1"/>
  <c r="K146" i="18" s="1"/>
  <c r="L146" i="18" s="1"/>
  <c r="K147" i="18" s="1"/>
  <c r="L147" i="18" s="1"/>
  <c r="K148" i="18" s="1"/>
  <c r="L148" i="18" s="1"/>
  <c r="K149" i="18" s="1"/>
  <c r="L149" i="18" s="1"/>
  <c r="K150" i="18" s="1"/>
  <c r="L150" i="18" s="1"/>
  <c r="K151" i="18" s="1"/>
  <c r="L151" i="18" s="1"/>
  <c r="K152" i="18" s="1"/>
  <c r="L152" i="18" s="1"/>
  <c r="K153" i="18" s="1"/>
  <c r="L153" i="18" s="1"/>
  <c r="K154" i="18" s="1"/>
  <c r="L154" i="18" s="1"/>
  <c r="K155" i="18" s="1"/>
  <c r="L155" i="18" s="1"/>
  <c r="K156" i="18" s="1"/>
  <c r="L156" i="18" s="1"/>
  <c r="K157" i="18" s="1"/>
  <c r="L157" i="18" s="1"/>
  <c r="K158" i="18" s="1"/>
  <c r="L158" i="18" s="1"/>
  <c r="K159" i="18" s="1"/>
  <c r="L159" i="18" s="1"/>
  <c r="K160" i="18" s="1"/>
  <c r="L160" i="18" s="1"/>
  <c r="K161" i="18" s="1"/>
  <c r="L161" i="18" s="1"/>
  <c r="K162" i="18" s="1"/>
  <c r="L162" i="18" s="1"/>
  <c r="K163" i="18" s="1"/>
  <c r="L163" i="18" s="1"/>
  <c r="K164" i="18" s="1"/>
  <c r="L164" i="18" s="1"/>
  <c r="K165" i="18" s="1"/>
  <c r="L165" i="18" s="1"/>
  <c r="K166" i="18" s="1"/>
  <c r="L166" i="18" s="1"/>
  <c r="K167" i="18" s="1"/>
  <c r="L167" i="18" s="1"/>
  <c r="K168" i="18" s="1"/>
  <c r="L168" i="18" s="1"/>
  <c r="K169" i="18" s="1"/>
  <c r="L169" i="18" s="1"/>
  <c r="K170" i="18" s="1"/>
  <c r="L170" i="18" s="1"/>
  <c r="K171" i="18" s="1"/>
  <c r="L171" i="18" s="1"/>
  <c r="K172" i="18" s="1"/>
  <c r="L172" i="18" s="1"/>
  <c r="K173" i="18" s="1"/>
  <c r="L173" i="18" s="1"/>
  <c r="K174" i="18" s="1"/>
  <c r="L174" i="18" s="1"/>
  <c r="K175" i="18" s="1"/>
  <c r="L175" i="18" s="1"/>
  <c r="K176" i="18" s="1"/>
  <c r="L176" i="18" s="1"/>
  <c r="K177" i="18" s="1"/>
  <c r="L177" i="18" s="1"/>
  <c r="K178" i="18" s="1"/>
  <c r="L178" i="18" s="1"/>
  <c r="K179" i="18" s="1"/>
  <c r="L179" i="18" s="1"/>
  <c r="K180" i="18" s="1"/>
  <c r="L180" i="18" s="1"/>
  <c r="K181" i="18" s="1"/>
  <c r="L181" i="18" s="1"/>
  <c r="K182" i="18" s="1"/>
  <c r="L182" i="18" s="1"/>
  <c r="K183" i="18" s="1"/>
  <c r="L183" i="18" s="1"/>
  <c r="K184" i="18" s="1"/>
  <c r="L184" i="18" s="1"/>
  <c r="K185" i="18" s="1"/>
  <c r="L185" i="18" s="1"/>
  <c r="K186" i="18" s="1"/>
  <c r="L186" i="18" s="1"/>
  <c r="K187" i="18" s="1"/>
  <c r="L187" i="18" s="1"/>
  <c r="K188" i="18" s="1"/>
  <c r="L188" i="18" s="1"/>
  <c r="K189" i="18" s="1"/>
  <c r="L189" i="18" s="1"/>
  <c r="K190" i="18" s="1"/>
  <c r="L190" i="18" s="1"/>
  <c r="K191" i="18" s="1"/>
  <c r="L191" i="18" s="1"/>
  <c r="K192" i="18" s="1"/>
  <c r="L192" i="18" s="1"/>
  <c r="K193" i="18" s="1"/>
  <c r="L193" i="18" s="1"/>
  <c r="K194" i="18" s="1"/>
  <c r="L194" i="18" s="1"/>
  <c r="K195" i="18" s="1"/>
  <c r="L195" i="18" s="1"/>
  <c r="K196" i="18" s="1"/>
  <c r="L196" i="18" s="1"/>
  <c r="K197" i="18" s="1"/>
  <c r="L197" i="18" s="1"/>
  <c r="K198" i="18" s="1"/>
  <c r="L198" i="18" s="1"/>
  <c r="K199" i="18" s="1"/>
  <c r="L199" i="18" s="1"/>
  <c r="K200" i="18" s="1"/>
  <c r="L200" i="18" s="1"/>
  <c r="K201" i="18" s="1"/>
  <c r="L201" i="18" s="1"/>
  <c r="K202" i="18" s="1"/>
  <c r="L202" i="18" s="1"/>
  <c r="K203" i="18" s="1"/>
  <c r="L203" i="18" s="1"/>
  <c r="K204" i="18" s="1"/>
  <c r="L204" i="18" s="1"/>
  <c r="K205" i="18" s="1"/>
  <c r="L205" i="18" s="1"/>
  <c r="K206" i="18" s="1"/>
  <c r="L206" i="18" s="1"/>
  <c r="K207" i="18" s="1"/>
  <c r="L207" i="18" s="1"/>
  <c r="K208" i="18" s="1"/>
  <c r="L208" i="18" s="1"/>
  <c r="K209" i="18" s="1"/>
  <c r="L209" i="18" s="1"/>
  <c r="K210" i="18" s="1"/>
  <c r="L210" i="18" s="1"/>
  <c r="K211" i="18" s="1"/>
  <c r="L211" i="18" s="1"/>
  <c r="K212" i="18" s="1"/>
  <c r="L212" i="18" s="1"/>
  <c r="K213" i="18" s="1"/>
  <c r="L213" i="18" s="1"/>
  <c r="K214" i="18" s="1"/>
  <c r="L214" i="18" s="1"/>
  <c r="K215" i="18" s="1"/>
  <c r="L215" i="18" s="1"/>
  <c r="K216" i="18" s="1"/>
  <c r="L216" i="18" s="1"/>
  <c r="K217" i="18" s="1"/>
  <c r="L217" i="18" s="1"/>
  <c r="K218" i="18" s="1"/>
  <c r="L218" i="18" s="1"/>
  <c r="K219" i="18" s="1"/>
  <c r="L219" i="18" s="1"/>
  <c r="K220" i="18" s="1"/>
  <c r="L220" i="18" s="1"/>
  <c r="K221" i="18" s="1"/>
  <c r="L221" i="18" s="1"/>
  <c r="K222" i="18" s="1"/>
  <c r="L222" i="18" s="1"/>
  <c r="K223" i="18" s="1"/>
  <c r="L223" i="18" s="1"/>
  <c r="K224" i="18" s="1"/>
  <c r="L224" i="18" s="1"/>
  <c r="K225" i="18" s="1"/>
  <c r="L225" i="18" s="1"/>
  <c r="K226" i="18" s="1"/>
  <c r="L226" i="18" s="1"/>
  <c r="K227" i="18" s="1"/>
  <c r="L227" i="18" s="1"/>
  <c r="K228" i="18" s="1"/>
  <c r="L228" i="18" s="1"/>
  <c r="K229" i="18" s="1"/>
  <c r="L229" i="18" s="1"/>
  <c r="K230" i="18" s="1"/>
  <c r="L230" i="18" s="1"/>
  <c r="K231" i="18" s="1"/>
  <c r="L231" i="18" s="1"/>
  <c r="K232" i="18" s="1"/>
  <c r="L232" i="18" s="1"/>
  <c r="K233" i="18" s="1"/>
  <c r="L233" i="18" s="1"/>
  <c r="K234" i="18" s="1"/>
  <c r="L234" i="18" s="1"/>
  <c r="K235" i="18" s="1"/>
  <c r="L235" i="18" s="1"/>
  <c r="K236" i="18" s="1"/>
  <c r="L236" i="18" s="1"/>
  <c r="K237" i="18" s="1"/>
  <c r="L237" i="18" s="1"/>
  <c r="K238" i="18" s="1"/>
  <c r="L238" i="18" s="1"/>
  <c r="K239" i="18" s="1"/>
  <c r="L239" i="18" s="1"/>
  <c r="K240" i="18" s="1"/>
  <c r="L240" i="18" s="1"/>
  <c r="K241" i="18" s="1"/>
  <c r="L241" i="18" s="1"/>
  <c r="K242" i="18" s="1"/>
  <c r="L242" i="18" s="1"/>
  <c r="K243" i="18" s="1"/>
  <c r="L243" i="18" s="1"/>
  <c r="K244" i="18" s="1"/>
  <c r="L244" i="18" s="1"/>
  <c r="K245" i="18" s="1"/>
  <c r="L245" i="18" s="1"/>
  <c r="K246" i="18" s="1"/>
  <c r="L246" i="18" s="1"/>
  <c r="K247" i="18" s="1"/>
  <c r="L247" i="18" s="1"/>
  <c r="K248" i="18" s="1"/>
  <c r="L248" i="18" s="1"/>
  <c r="K249" i="18" s="1"/>
  <c r="L249" i="18" s="1"/>
  <c r="K250" i="18" s="1"/>
  <c r="L250" i="18" s="1"/>
  <c r="K251" i="18" s="1"/>
  <c r="L251" i="18" s="1"/>
  <c r="K252" i="18" s="1"/>
  <c r="L252" i="18" s="1"/>
  <c r="K253" i="18" s="1"/>
  <c r="L253" i="18" s="1"/>
  <c r="K254" i="18" s="1"/>
  <c r="L254" i="18" s="1"/>
  <c r="K255" i="18" s="1"/>
  <c r="L255" i="18" s="1"/>
  <c r="K256" i="18" s="1"/>
  <c r="L256" i="18" s="1"/>
  <c r="K257" i="18" s="1"/>
  <c r="L257" i="18" s="1"/>
  <c r="K258" i="18" s="1"/>
  <c r="L258" i="18" s="1"/>
  <c r="K259" i="18" s="1"/>
  <c r="L259" i="18" s="1"/>
  <c r="K260" i="18" s="1"/>
  <c r="L260" i="18" s="1"/>
  <c r="K261" i="18" s="1"/>
  <c r="L261" i="18" s="1"/>
  <c r="K262" i="18" s="1"/>
  <c r="L262" i="18" s="1"/>
  <c r="K263" i="18" s="1"/>
  <c r="L263" i="18" s="1"/>
  <c r="K264" i="18" s="1"/>
  <c r="L264" i="18" s="1"/>
  <c r="K265" i="18" s="1"/>
  <c r="L265" i="18" s="1"/>
  <c r="K266" i="18" s="1"/>
  <c r="L266" i="18" s="1"/>
  <c r="K267" i="18" s="1"/>
  <c r="L267" i="18" s="1"/>
  <c r="K268" i="18" s="1"/>
  <c r="L268" i="18" s="1"/>
  <c r="K269" i="18" s="1"/>
  <c r="L269" i="18" s="1"/>
  <c r="K270" i="18" s="1"/>
  <c r="L270" i="18" s="1"/>
  <c r="K271" i="18" s="1"/>
  <c r="L271" i="18" s="1"/>
  <c r="K272" i="18" s="1"/>
  <c r="L272" i="18" s="1"/>
  <c r="K273" i="18" s="1"/>
  <c r="L273" i="18" s="1"/>
  <c r="K274" i="18" s="1"/>
  <c r="L274" i="18" s="1"/>
  <c r="K275" i="18" s="1"/>
  <c r="L275" i="18" s="1"/>
  <c r="K276" i="18" s="1"/>
  <c r="L276" i="18" s="1"/>
  <c r="K277" i="18" s="1"/>
  <c r="L277" i="18" s="1"/>
  <c r="K278" i="18" s="1"/>
  <c r="L278" i="18" s="1"/>
  <c r="K279" i="18" s="1"/>
  <c r="L279" i="18" s="1"/>
  <c r="K280" i="18" s="1"/>
  <c r="L280" i="18" s="1"/>
  <c r="K281" i="18" s="1"/>
  <c r="L281" i="18" s="1"/>
  <c r="K282" i="18" s="1"/>
  <c r="L282" i="18" s="1"/>
  <c r="K283" i="18" s="1"/>
  <c r="L283" i="18" s="1"/>
  <c r="K284" i="18" s="1"/>
  <c r="L284" i="18" s="1"/>
  <c r="K285" i="18" s="1"/>
  <c r="L285" i="18" s="1"/>
  <c r="K286" i="18" s="1"/>
  <c r="L286" i="18" s="1"/>
  <c r="K287" i="18" s="1"/>
  <c r="L287" i="18" s="1"/>
  <c r="K288" i="18" s="1"/>
  <c r="L288" i="18" s="1"/>
  <c r="K289" i="18" s="1"/>
  <c r="L289" i="18" s="1"/>
  <c r="K290" i="18" s="1"/>
  <c r="L290" i="18" s="1"/>
  <c r="K291" i="18" s="1"/>
  <c r="L291" i="18" s="1"/>
  <c r="K292" i="18" s="1"/>
  <c r="L292" i="18" s="1"/>
  <c r="K293" i="18" s="1"/>
  <c r="L293" i="18" s="1"/>
  <c r="K294" i="18" s="1"/>
  <c r="L294" i="18" s="1"/>
  <c r="K295" i="18" s="1"/>
  <c r="L295" i="18" s="1"/>
  <c r="K296" i="18" s="1"/>
  <c r="L296" i="18" s="1"/>
  <c r="K297" i="18" s="1"/>
  <c r="L297" i="18" s="1"/>
  <c r="K298" i="18" s="1"/>
  <c r="L298" i="18" s="1"/>
  <c r="K299" i="18" s="1"/>
  <c r="L299" i="18" s="1"/>
  <c r="K300" i="18" s="1"/>
  <c r="L300" i="18" s="1"/>
  <c r="K301" i="18" s="1"/>
  <c r="L301" i="18" s="1"/>
  <c r="K302" i="18" s="1"/>
  <c r="L302" i="18" s="1"/>
  <c r="K303" i="18" s="1"/>
  <c r="L303" i="18" s="1"/>
  <c r="K304" i="18" s="1"/>
  <c r="L304" i="18" s="1"/>
  <c r="K305" i="18" s="1"/>
  <c r="L305" i="18" s="1"/>
  <c r="K306" i="18" s="1"/>
  <c r="L306" i="18" s="1"/>
  <c r="K307" i="18" s="1"/>
  <c r="L307" i="18" s="1"/>
  <c r="K308" i="18" s="1"/>
  <c r="L308" i="18" s="1"/>
  <c r="K309" i="18" s="1"/>
  <c r="L309" i="18" s="1"/>
  <c r="K310" i="18" s="1"/>
  <c r="L310" i="18" s="1"/>
  <c r="K311" i="18" s="1"/>
  <c r="L311" i="18" s="1"/>
  <c r="K312" i="18" s="1"/>
  <c r="L312" i="18" s="1"/>
  <c r="K313" i="18" s="1"/>
  <c r="L313" i="18" s="1"/>
  <c r="K314" i="18" s="1"/>
  <c r="L314" i="18" s="1"/>
  <c r="K315" i="18" s="1"/>
  <c r="L315" i="18" s="1"/>
  <c r="K316" i="18" s="1"/>
  <c r="L316" i="18" s="1"/>
  <c r="K317" i="18" s="1"/>
  <c r="L317" i="18" s="1"/>
  <c r="K318" i="18" s="1"/>
  <c r="L318" i="18" s="1"/>
  <c r="K319" i="18" s="1"/>
  <c r="L319" i="18" s="1"/>
  <c r="K320" i="18" s="1"/>
  <c r="L320" i="18" s="1"/>
  <c r="K321" i="18" s="1"/>
  <c r="L321" i="18" s="1"/>
  <c r="K322" i="18" s="1"/>
  <c r="L322" i="18" s="1"/>
  <c r="K323" i="18" s="1"/>
  <c r="L323" i="18" s="1"/>
  <c r="K324" i="18" s="1"/>
  <c r="L324" i="18" s="1"/>
  <c r="K325" i="18" s="1"/>
  <c r="L325" i="18" s="1"/>
  <c r="K326" i="18" s="1"/>
  <c r="L326" i="18" s="1"/>
  <c r="K327" i="18" s="1"/>
  <c r="L327" i="18" s="1"/>
  <c r="K328" i="18" s="1"/>
  <c r="L328" i="18" s="1"/>
  <c r="K329" i="18" s="1"/>
  <c r="L329" i="18" s="1"/>
  <c r="K330" i="18" s="1"/>
  <c r="L330" i="18" s="1"/>
  <c r="K331" i="18" s="1"/>
  <c r="L331" i="18" s="1"/>
  <c r="K332" i="18" s="1"/>
  <c r="L332" i="18" s="1"/>
  <c r="K333" i="18" s="1"/>
  <c r="L333" i="18" s="1"/>
  <c r="K334" i="18" s="1"/>
  <c r="L334" i="18" s="1"/>
  <c r="K335" i="18" s="1"/>
  <c r="L335" i="18" s="1"/>
  <c r="K336" i="18" s="1"/>
  <c r="L336" i="18" s="1"/>
  <c r="K337" i="18" s="1"/>
  <c r="L337" i="18" s="1"/>
  <c r="K338" i="18" s="1"/>
  <c r="L338" i="18" s="1"/>
  <c r="K339" i="18" s="1"/>
  <c r="L339" i="18" s="1"/>
  <c r="K340" i="18" s="1"/>
  <c r="L340" i="18" s="1"/>
  <c r="K341" i="18" s="1"/>
  <c r="L341" i="18" s="1"/>
  <c r="K342" i="18" s="1"/>
  <c r="L342" i="18" s="1"/>
  <c r="K343" i="18" s="1"/>
  <c r="L343" i="18" s="1"/>
  <c r="K344" i="18" s="1"/>
  <c r="L344" i="18" s="1"/>
  <c r="K345" i="18" s="1"/>
  <c r="L345" i="18" s="1"/>
  <c r="K346" i="18" s="1"/>
  <c r="L346" i="18" s="1"/>
  <c r="K347" i="18" s="1"/>
  <c r="L347" i="18" s="1"/>
  <c r="K348" i="18" s="1"/>
  <c r="L348" i="18" s="1"/>
  <c r="K349" i="18" s="1"/>
  <c r="L349" i="18" s="1"/>
  <c r="K350" i="18" s="1"/>
  <c r="L350" i="18" s="1"/>
  <c r="K351" i="18" s="1"/>
  <c r="L351" i="18" s="1"/>
  <c r="K352" i="18" s="1"/>
  <c r="L352" i="18" s="1"/>
  <c r="K353" i="18" s="1"/>
  <c r="L353" i="18" s="1"/>
  <c r="K354" i="18" s="1"/>
  <c r="L354" i="18" s="1"/>
  <c r="K355" i="18" s="1"/>
  <c r="L355" i="18" s="1"/>
  <c r="K356" i="18" s="1"/>
  <c r="L356" i="18" s="1"/>
  <c r="K357" i="18" s="1"/>
  <c r="L357" i="18" s="1"/>
  <c r="K358" i="18" s="1"/>
  <c r="L358" i="18" s="1"/>
  <c r="K359" i="18" s="1"/>
  <c r="L359" i="18" s="1"/>
  <c r="K360" i="18" s="1"/>
  <c r="L360" i="18" s="1"/>
  <c r="K361" i="18" s="1"/>
  <c r="L361" i="18" s="1"/>
  <c r="K362" i="18" s="1"/>
  <c r="L362" i="18" s="1"/>
  <c r="K363" i="18" s="1"/>
  <c r="L363" i="18" s="1"/>
  <c r="K364" i="18" s="1"/>
  <c r="L364" i="18" s="1"/>
  <c r="K365" i="18" s="1"/>
  <c r="L365" i="18" s="1"/>
  <c r="K366" i="18" s="1"/>
  <c r="L366" i="18" s="1"/>
  <c r="K367" i="18" s="1"/>
  <c r="L367" i="18" s="1"/>
  <c r="K368" i="18" s="1"/>
  <c r="L368" i="18" s="1"/>
  <c r="K369" i="18" s="1"/>
  <c r="L369" i="18" s="1"/>
  <c r="K370" i="18" s="1"/>
  <c r="L370" i="18" s="1"/>
  <c r="K371" i="18" s="1"/>
  <c r="L371" i="18" s="1"/>
  <c r="K372" i="18" s="1"/>
  <c r="L372" i="18" s="1"/>
  <c r="K373" i="18" s="1"/>
  <c r="L373" i="18" s="1"/>
  <c r="K374" i="18" s="1"/>
  <c r="L374" i="18" s="1"/>
  <c r="K375" i="18" s="1"/>
  <c r="L375" i="18" s="1"/>
  <c r="K376" i="18" s="1"/>
  <c r="L376" i="18" s="1"/>
  <c r="K377" i="18" s="1"/>
  <c r="L377" i="18" s="1"/>
  <c r="K378" i="18" s="1"/>
  <c r="L378" i="18" s="1"/>
  <c r="K379" i="18" s="1"/>
  <c r="L379" i="18" s="1"/>
  <c r="K380" i="18" s="1"/>
  <c r="L380" i="18" s="1"/>
  <c r="K381" i="18" s="1"/>
  <c r="L381" i="18" s="1"/>
  <c r="K382" i="18" s="1"/>
  <c r="L382" i="18" s="1"/>
  <c r="K383" i="18" s="1"/>
  <c r="L383" i="18" s="1"/>
  <c r="K384" i="18" s="1"/>
  <c r="L384" i="18" s="1"/>
  <c r="K385" i="18" s="1"/>
  <c r="L385" i="18" s="1"/>
  <c r="K386" i="18" s="1"/>
  <c r="L386" i="18" s="1"/>
  <c r="K387" i="18" s="1"/>
  <c r="L387" i="18" s="1"/>
  <c r="K388" i="18" s="1"/>
  <c r="L388" i="18" s="1"/>
  <c r="K389" i="18" s="1"/>
  <c r="L389" i="18" s="1"/>
  <c r="K390" i="18" s="1"/>
  <c r="L390" i="18" s="1"/>
  <c r="K391" i="18" s="1"/>
  <c r="L391" i="18" s="1"/>
  <c r="K392" i="18" s="1"/>
  <c r="L392" i="18" s="1"/>
  <c r="K393" i="18" s="1"/>
  <c r="L393" i="18" s="1"/>
  <c r="K394" i="18" s="1"/>
  <c r="L394" i="18" s="1"/>
  <c r="K395" i="18" s="1"/>
  <c r="L395" i="18" s="1"/>
  <c r="K396" i="18" s="1"/>
  <c r="L396" i="18" s="1"/>
  <c r="K397" i="18" s="1"/>
  <c r="L397" i="18" s="1"/>
  <c r="K398" i="18" s="1"/>
  <c r="L398" i="18" s="1"/>
  <c r="K399" i="18" s="1"/>
  <c r="L399" i="18" s="1"/>
  <c r="K400" i="18" s="1"/>
  <c r="L400" i="18" s="1"/>
  <c r="K401" i="18" s="1"/>
  <c r="L401" i="18" s="1"/>
  <c r="K402" i="18" s="1"/>
  <c r="L402" i="18" s="1"/>
  <c r="K403" i="18" s="1"/>
  <c r="L403" i="18" s="1"/>
  <c r="K404" i="18" s="1"/>
  <c r="L404" i="18" s="1"/>
  <c r="K405" i="18" s="1"/>
  <c r="L405" i="18" s="1"/>
  <c r="K406" i="18" s="1"/>
  <c r="L406" i="18" s="1"/>
  <c r="K407" i="18" s="1"/>
  <c r="L407" i="18" s="1"/>
  <c r="K408" i="18" s="1"/>
  <c r="L408" i="18" s="1"/>
  <c r="K409" i="18" s="1"/>
  <c r="L409" i="18" s="1"/>
  <c r="K410" i="18" s="1"/>
  <c r="L410" i="18" s="1"/>
  <c r="K411" i="18" s="1"/>
  <c r="L411" i="18" s="1"/>
  <c r="K412" i="18" s="1"/>
  <c r="L412" i="18" s="1"/>
  <c r="K413" i="18" s="1"/>
  <c r="L413" i="18" s="1"/>
  <c r="K414" i="18" s="1"/>
  <c r="L414" i="18" s="1"/>
  <c r="K415" i="18" s="1"/>
  <c r="L415" i="18" s="1"/>
  <c r="K416" i="18" s="1"/>
  <c r="L416" i="18" s="1"/>
  <c r="K417" i="18" s="1"/>
  <c r="L417" i="18" s="1"/>
  <c r="K418" i="18" s="1"/>
  <c r="L418" i="18" s="1"/>
  <c r="K419" i="18" s="1"/>
  <c r="L419" i="18" s="1"/>
  <c r="K420" i="18" s="1"/>
  <c r="L420" i="18" s="1"/>
  <c r="K421" i="18" s="1"/>
  <c r="L421" i="18" s="1"/>
  <c r="K422" i="18" s="1"/>
  <c r="L422" i="18" s="1"/>
  <c r="K423" i="18" s="1"/>
  <c r="L423" i="18" s="1"/>
  <c r="K424" i="18" s="1"/>
  <c r="L424" i="18" s="1"/>
  <c r="K425" i="18" s="1"/>
  <c r="L425" i="18" s="1"/>
  <c r="K426" i="18" s="1"/>
  <c r="L426" i="18" s="1"/>
  <c r="K427" i="18" s="1"/>
  <c r="L427" i="18" s="1"/>
  <c r="K428" i="18" s="1"/>
  <c r="L428" i="18" s="1"/>
  <c r="K429" i="18" s="1"/>
  <c r="L429" i="18" s="1"/>
  <c r="K430" i="18" s="1"/>
  <c r="L430" i="18" s="1"/>
  <c r="K431" i="18" s="1"/>
  <c r="L431" i="18" s="1"/>
  <c r="K432" i="18" s="1"/>
  <c r="L432" i="18" s="1"/>
  <c r="K433" i="18" s="1"/>
  <c r="L433" i="18" s="1"/>
  <c r="K434" i="18" s="1"/>
  <c r="L434" i="18" s="1"/>
  <c r="K435" i="18" s="1"/>
  <c r="L435" i="18" s="1"/>
  <c r="K436" i="18" s="1"/>
  <c r="L436" i="18" s="1"/>
  <c r="K437" i="18" s="1"/>
  <c r="L437" i="18" s="1"/>
  <c r="K438" i="18" s="1"/>
  <c r="L438" i="18" s="1"/>
  <c r="K439" i="18" s="1"/>
  <c r="L439" i="18" s="1"/>
  <c r="K440" i="18" s="1"/>
  <c r="L440" i="18" s="1"/>
  <c r="K441" i="18" s="1"/>
  <c r="L441" i="18" s="1"/>
  <c r="K442" i="18" s="1"/>
  <c r="L442" i="18" s="1"/>
  <c r="K443" i="18" s="1"/>
  <c r="L443" i="18" s="1"/>
  <c r="K444" i="18" s="1"/>
  <c r="L444" i="18" s="1"/>
  <c r="K445" i="18" s="1"/>
  <c r="L445" i="18" s="1"/>
  <c r="K446" i="18" s="1"/>
  <c r="L446" i="18" s="1"/>
  <c r="K447" i="18" s="1"/>
  <c r="L447" i="18" s="1"/>
  <c r="K448" i="18" s="1"/>
  <c r="L448" i="18" s="1"/>
  <c r="K449" i="18" s="1"/>
  <c r="L449" i="18" s="1"/>
  <c r="K450" i="18" s="1"/>
  <c r="L450" i="18" s="1"/>
  <c r="K451" i="18" s="1"/>
  <c r="L451" i="18" s="1"/>
  <c r="K452" i="18" s="1"/>
  <c r="L452" i="18" s="1"/>
  <c r="K453" i="18" s="1"/>
  <c r="L453" i="18" s="1"/>
  <c r="K454" i="18" s="1"/>
  <c r="L454" i="18" s="1"/>
  <c r="K455" i="18" s="1"/>
  <c r="L455" i="18" s="1"/>
  <c r="K456" i="18" s="1"/>
  <c r="L456" i="18" s="1"/>
  <c r="K457" i="18" s="1"/>
  <c r="L457" i="18" s="1"/>
  <c r="K458" i="18" s="1"/>
  <c r="L458" i="18" s="1"/>
  <c r="K459" i="18" s="1"/>
  <c r="L459" i="18" s="1"/>
  <c r="K460" i="18" s="1"/>
  <c r="L460" i="18" s="1"/>
  <c r="K461" i="18" s="1"/>
  <c r="L461" i="18" s="1"/>
  <c r="K462" i="18" s="1"/>
  <c r="L462" i="18" s="1"/>
  <c r="K463" i="18" s="1"/>
  <c r="L463" i="18" s="1"/>
  <c r="K464" i="18" s="1"/>
  <c r="L464" i="18" s="1"/>
  <c r="K465" i="18" s="1"/>
  <c r="L465" i="18" s="1"/>
  <c r="K466" i="18" s="1"/>
  <c r="L466" i="18" s="1"/>
  <c r="K467" i="18" s="1"/>
  <c r="L467" i="18" s="1"/>
  <c r="K468" i="18" s="1"/>
  <c r="L468" i="18" s="1"/>
  <c r="K469" i="18" s="1"/>
  <c r="L469" i="18" s="1"/>
  <c r="K470" i="18" s="1"/>
  <c r="L470" i="18" s="1"/>
  <c r="K471" i="18" s="1"/>
  <c r="L471" i="18" s="1"/>
  <c r="K472" i="18" s="1"/>
  <c r="L472" i="18" s="1"/>
  <c r="K473" i="18" s="1"/>
  <c r="L473" i="18" s="1"/>
  <c r="K474" i="18" s="1"/>
  <c r="L474" i="18" s="1"/>
  <c r="K475" i="18" s="1"/>
  <c r="L475" i="18" s="1"/>
  <c r="K476" i="18" s="1"/>
  <c r="L476" i="18" s="1"/>
  <c r="K477" i="18" s="1"/>
  <c r="L477" i="18" s="1"/>
  <c r="K478" i="18" s="1"/>
  <c r="L478" i="18" s="1"/>
  <c r="K479" i="18" s="1"/>
  <c r="L479" i="18" s="1"/>
  <c r="K480" i="18" s="1"/>
  <c r="L480" i="18" s="1"/>
  <c r="K481" i="18" s="1"/>
  <c r="L481" i="18" s="1"/>
  <c r="K482" i="18" s="1"/>
  <c r="L482" i="18" s="1"/>
  <c r="K483" i="18" s="1"/>
  <c r="L483" i="18" s="1"/>
  <c r="K484" i="18" s="1"/>
  <c r="L484" i="18" s="1"/>
  <c r="K485" i="18" s="1"/>
  <c r="L485" i="18" s="1"/>
  <c r="K486" i="18" s="1"/>
  <c r="L486" i="18" s="1"/>
  <c r="K487" i="18" s="1"/>
  <c r="L487" i="18" s="1"/>
  <c r="K488" i="18" s="1"/>
  <c r="L488" i="18" s="1"/>
  <c r="K489" i="18" s="1"/>
  <c r="L489" i="18" s="1"/>
  <c r="K490" i="18" s="1"/>
  <c r="L490" i="18" s="1"/>
  <c r="K491" i="18" s="1"/>
  <c r="L491" i="18" s="1"/>
  <c r="K492" i="18" s="1"/>
  <c r="L492" i="18" s="1"/>
  <c r="K493" i="18" s="1"/>
  <c r="L493" i="18" s="1"/>
  <c r="K494" i="18" s="1"/>
  <c r="L494" i="18" s="1"/>
  <c r="K495" i="18" s="1"/>
  <c r="L495" i="18" s="1"/>
  <c r="K496" i="18" s="1"/>
  <c r="L496" i="18" s="1"/>
  <c r="K497" i="18" s="1"/>
  <c r="L497" i="18" s="1"/>
  <c r="K498" i="18" s="1"/>
  <c r="L498" i="18" s="1"/>
  <c r="K499" i="18" s="1"/>
  <c r="L499" i="18" s="1"/>
  <c r="K500" i="18" s="1"/>
  <c r="L500" i="18" s="1"/>
  <c r="K501" i="18" s="1"/>
  <c r="L501" i="18" s="1"/>
  <c r="K502" i="18" s="1"/>
  <c r="L502" i="18" s="1"/>
  <c r="K503" i="18" s="1"/>
  <c r="L503" i="18" s="1"/>
  <c r="K504" i="18" s="1"/>
  <c r="L504" i="18" s="1"/>
  <c r="K505" i="18" s="1"/>
  <c r="L505" i="18" s="1"/>
  <c r="K506" i="18" s="1"/>
  <c r="L506" i="18" s="1"/>
  <c r="K507" i="18" s="1"/>
  <c r="L507" i="18" s="1"/>
  <c r="K508" i="18" s="1"/>
  <c r="L508" i="18" s="1"/>
  <c r="K509" i="18" s="1"/>
  <c r="L509" i="18" s="1"/>
  <c r="K510" i="18" s="1"/>
  <c r="L510" i="18" s="1"/>
  <c r="K511" i="18" s="1"/>
  <c r="L511" i="18" s="1"/>
  <c r="K512" i="18" s="1"/>
  <c r="L512" i="18" s="1"/>
  <c r="K513" i="18" s="1"/>
  <c r="L513" i="18" s="1"/>
  <c r="K514" i="18" s="1"/>
  <c r="L514" i="18" s="1"/>
  <c r="K515" i="18" s="1"/>
  <c r="L515" i="18" s="1"/>
  <c r="K516" i="18" s="1"/>
  <c r="L516" i="18" s="1"/>
  <c r="K517" i="18" s="1"/>
  <c r="L517" i="18" s="1"/>
  <c r="K518" i="18" s="1"/>
  <c r="L518" i="18" s="1"/>
  <c r="K519" i="18" s="1"/>
  <c r="L519" i="18" s="1"/>
  <c r="K520" i="18" s="1"/>
  <c r="L520" i="18" s="1"/>
  <c r="K521" i="18" s="1"/>
  <c r="L521" i="18" s="1"/>
  <c r="K522" i="18" s="1"/>
  <c r="L522" i="18" s="1"/>
  <c r="K523" i="18" s="1"/>
  <c r="L523" i="18" s="1"/>
  <c r="K524" i="18" s="1"/>
  <c r="L524" i="18" s="1"/>
  <c r="K525" i="18" s="1"/>
  <c r="L525" i="18" s="1"/>
  <c r="K526" i="18" s="1"/>
  <c r="L526" i="18" s="1"/>
  <c r="K527" i="18" s="1"/>
  <c r="L527" i="18" s="1"/>
  <c r="K528" i="18" s="1"/>
  <c r="L528" i="18" s="1"/>
  <c r="K529" i="18" s="1"/>
  <c r="L529" i="18" s="1"/>
  <c r="K530" i="18" s="1"/>
  <c r="L530" i="18" s="1"/>
  <c r="K531" i="18" s="1"/>
  <c r="L531" i="18" s="1"/>
  <c r="K532" i="18" s="1"/>
  <c r="L532" i="18" s="1"/>
  <c r="K533" i="18" s="1"/>
  <c r="L533" i="18" s="1"/>
  <c r="K534" i="18" s="1"/>
  <c r="L534" i="18" s="1"/>
  <c r="K535" i="18" s="1"/>
  <c r="L535" i="18" s="1"/>
  <c r="K536" i="18" s="1"/>
  <c r="L536" i="18" s="1"/>
  <c r="K537" i="18" s="1"/>
  <c r="L537" i="18" s="1"/>
  <c r="K538" i="18" s="1"/>
  <c r="L538" i="18" s="1"/>
  <c r="K539" i="18" s="1"/>
  <c r="L539" i="18" s="1"/>
  <c r="K540" i="18" s="1"/>
  <c r="L540" i="18" s="1"/>
  <c r="K541" i="18" s="1"/>
  <c r="L541" i="18" s="1"/>
  <c r="K542" i="18" s="1"/>
  <c r="L542" i="18" s="1"/>
  <c r="K543" i="18" s="1"/>
  <c r="L543" i="18" s="1"/>
  <c r="K544" i="18" s="1"/>
  <c r="L544" i="18" s="1"/>
  <c r="K545" i="18" s="1"/>
  <c r="L545" i="18" s="1"/>
  <c r="K546" i="18" s="1"/>
  <c r="L546" i="18" s="1"/>
  <c r="K547" i="18" s="1"/>
  <c r="L547" i="18" s="1"/>
  <c r="K548" i="18" s="1"/>
  <c r="L548" i="18" s="1"/>
  <c r="K549" i="18" s="1"/>
  <c r="L549" i="18" s="1"/>
  <c r="K550" i="18" s="1"/>
  <c r="L550" i="18" s="1"/>
  <c r="K551" i="18" s="1"/>
  <c r="L551" i="18" s="1"/>
  <c r="K552" i="18" s="1"/>
  <c r="L552" i="18" s="1"/>
  <c r="K553" i="18" s="1"/>
  <c r="L553" i="18" s="1"/>
  <c r="K554" i="18" s="1"/>
  <c r="L554" i="18" s="1"/>
  <c r="K555" i="18" s="1"/>
  <c r="L555" i="18" s="1"/>
  <c r="K556" i="18" s="1"/>
  <c r="L556" i="18" s="1"/>
  <c r="K557" i="18" s="1"/>
  <c r="L557" i="18" s="1"/>
  <c r="K558" i="18" s="1"/>
  <c r="L558" i="18" s="1"/>
  <c r="K559" i="18" s="1"/>
  <c r="L559" i="18" s="1"/>
  <c r="K560" i="18" s="1"/>
  <c r="L560" i="18" s="1"/>
  <c r="K561" i="18" s="1"/>
  <c r="L561" i="18" s="1"/>
  <c r="K562" i="18" s="1"/>
  <c r="L562" i="18" s="1"/>
  <c r="K563" i="18" s="1"/>
  <c r="L563" i="18" s="1"/>
  <c r="K564" i="18" s="1"/>
  <c r="L564" i="18" s="1"/>
  <c r="K565" i="18" s="1"/>
  <c r="L565" i="18" s="1"/>
  <c r="K566" i="18" s="1"/>
  <c r="L566" i="18" s="1"/>
  <c r="K567" i="18" s="1"/>
  <c r="L567" i="18" s="1"/>
  <c r="K568" i="18" s="1"/>
  <c r="L568" i="18" s="1"/>
  <c r="K569" i="18" s="1"/>
  <c r="L569" i="18" s="1"/>
  <c r="K570" i="18" s="1"/>
  <c r="L570" i="18" s="1"/>
  <c r="K571" i="18" s="1"/>
  <c r="L571" i="18" s="1"/>
  <c r="K572" i="18" s="1"/>
  <c r="L572" i="18" s="1"/>
  <c r="K573" i="18" s="1"/>
  <c r="L573" i="18" s="1"/>
  <c r="K574" i="18" s="1"/>
  <c r="L574" i="18" s="1"/>
  <c r="K575" i="18" s="1"/>
  <c r="L575" i="18" s="1"/>
  <c r="K576" i="18" s="1"/>
  <c r="L576" i="18" s="1"/>
  <c r="K577" i="18" s="1"/>
  <c r="L577" i="18" s="1"/>
  <c r="K578" i="18" s="1"/>
  <c r="L578" i="18" s="1"/>
  <c r="K579" i="18" s="1"/>
  <c r="L579" i="18" s="1"/>
  <c r="K580" i="18" s="1"/>
  <c r="L580" i="18" s="1"/>
  <c r="K581" i="18" s="1"/>
  <c r="L581" i="18" s="1"/>
  <c r="K582" i="18" s="1"/>
  <c r="L582" i="18" s="1"/>
  <c r="K583" i="18" s="1"/>
  <c r="L583" i="18" s="1"/>
  <c r="K584" i="18" s="1"/>
  <c r="L584" i="18" s="1"/>
  <c r="K585" i="18" s="1"/>
  <c r="L585" i="18" s="1"/>
  <c r="K586" i="18" s="1"/>
  <c r="L586" i="18" s="1"/>
  <c r="K587" i="18" s="1"/>
  <c r="L587" i="18" s="1"/>
  <c r="K588" i="18" s="1"/>
  <c r="L588" i="18" s="1"/>
  <c r="K589" i="18" s="1"/>
  <c r="L589" i="18" s="1"/>
  <c r="K590" i="18" s="1"/>
  <c r="L590" i="18" s="1"/>
  <c r="K591" i="18" s="1"/>
  <c r="L591" i="18" s="1"/>
  <c r="K592" i="18" s="1"/>
  <c r="L592" i="18" s="1"/>
  <c r="K593" i="18" s="1"/>
  <c r="L593" i="18" s="1"/>
  <c r="K594" i="18" s="1"/>
  <c r="L594" i="18" s="1"/>
  <c r="K595" i="18" s="1"/>
  <c r="L595" i="18" s="1"/>
  <c r="K596" i="18" s="1"/>
  <c r="L596" i="18" s="1"/>
  <c r="K597" i="18" s="1"/>
  <c r="L597" i="18" s="1"/>
  <c r="K598" i="18" s="1"/>
  <c r="L598" i="18" s="1"/>
  <c r="K599" i="18" s="1"/>
  <c r="L599" i="18" s="1"/>
  <c r="K600" i="18" s="1"/>
  <c r="L600" i="18" s="1"/>
  <c r="K601" i="18" s="1"/>
  <c r="L601" i="18" s="1"/>
  <c r="K602" i="18" s="1"/>
  <c r="L602" i="18" s="1"/>
  <c r="K603" i="18" s="1"/>
  <c r="L603" i="18" s="1"/>
  <c r="K604" i="18" s="1"/>
  <c r="L604" i="18" s="1"/>
  <c r="K605" i="18" s="1"/>
  <c r="L605" i="18" s="1"/>
  <c r="K606" i="18" s="1"/>
  <c r="L606" i="18" s="1"/>
  <c r="K607" i="18" s="1"/>
  <c r="L607" i="18" s="1"/>
  <c r="K608" i="18" s="1"/>
  <c r="L608" i="18" s="1"/>
  <c r="K609" i="18" s="1"/>
  <c r="L609" i="18" s="1"/>
  <c r="K610" i="18" s="1"/>
  <c r="L610" i="18" s="1"/>
  <c r="K611" i="18" s="1"/>
  <c r="L611" i="18" s="1"/>
  <c r="K612" i="18" s="1"/>
  <c r="L612" i="18" s="1"/>
  <c r="K613" i="18" s="1"/>
  <c r="L613" i="18" s="1"/>
  <c r="K614" i="18" s="1"/>
  <c r="L614" i="18" s="1"/>
  <c r="K615" i="18" s="1"/>
  <c r="L615" i="18" s="1"/>
  <c r="K616" i="18" s="1"/>
  <c r="L616" i="18" s="1"/>
  <c r="K617" i="18" s="1"/>
  <c r="L617" i="18" s="1"/>
  <c r="K618" i="18" s="1"/>
  <c r="L618" i="18" s="1"/>
  <c r="K619" i="18" s="1"/>
  <c r="L619" i="18" s="1"/>
  <c r="K620" i="18" s="1"/>
  <c r="L620" i="18" s="1"/>
  <c r="K621" i="18" s="1"/>
  <c r="L621" i="18" s="1"/>
  <c r="K622" i="18" s="1"/>
  <c r="L622" i="18" s="1"/>
  <c r="K623" i="18" s="1"/>
  <c r="L623" i="18" s="1"/>
  <c r="K624" i="18" s="1"/>
  <c r="L624" i="18" s="1"/>
  <c r="K625" i="18" s="1"/>
  <c r="L625" i="18" s="1"/>
  <c r="K626" i="18" s="1"/>
  <c r="L626" i="18" s="1"/>
  <c r="K627" i="18" s="1"/>
  <c r="L627" i="18" s="1"/>
  <c r="K628" i="18" s="1"/>
  <c r="L628" i="18" s="1"/>
  <c r="K629" i="18" s="1"/>
  <c r="L629" i="18" s="1"/>
  <c r="K630" i="18" s="1"/>
  <c r="L630" i="18" s="1"/>
  <c r="K631" i="18" s="1"/>
  <c r="L631" i="18" s="1"/>
  <c r="K632" i="18" s="1"/>
  <c r="L632" i="18" s="1"/>
  <c r="K633" i="18" s="1"/>
  <c r="L633" i="18" s="1"/>
  <c r="K634" i="18" s="1"/>
  <c r="L634" i="18" s="1"/>
  <c r="K635" i="18" s="1"/>
  <c r="L635" i="18" s="1"/>
  <c r="K636" i="18" s="1"/>
  <c r="L636" i="18" s="1"/>
  <c r="K637" i="18" s="1"/>
  <c r="L637" i="18" s="1"/>
  <c r="K638" i="18" s="1"/>
  <c r="L638" i="18" s="1"/>
  <c r="K639" i="18" s="1"/>
  <c r="L639" i="18" s="1"/>
  <c r="K640" i="18" s="1"/>
  <c r="L640" i="18" s="1"/>
  <c r="K641" i="18" s="1"/>
  <c r="L641" i="18" s="1"/>
  <c r="K642" i="18" s="1"/>
  <c r="L642" i="18" s="1"/>
  <c r="K643" i="18" s="1"/>
  <c r="L643" i="18" s="1"/>
  <c r="K644" i="18" s="1"/>
  <c r="L644" i="18" s="1"/>
  <c r="K645" i="18" s="1"/>
  <c r="L645" i="18" s="1"/>
  <c r="K646" i="18" s="1"/>
  <c r="L646" i="18" s="1"/>
  <c r="K647" i="18" s="1"/>
  <c r="L647" i="18" s="1"/>
  <c r="K648" i="18" s="1"/>
  <c r="L648" i="18" s="1"/>
  <c r="K649" i="18" s="1"/>
  <c r="L649" i="18" s="1"/>
  <c r="K650" i="18" s="1"/>
  <c r="L650" i="18" s="1"/>
  <c r="K651" i="18" s="1"/>
  <c r="L651" i="18" s="1"/>
  <c r="K652" i="18" s="1"/>
  <c r="L652" i="18" s="1"/>
  <c r="K653" i="18" s="1"/>
  <c r="L653" i="18" s="1"/>
  <c r="K654" i="18" s="1"/>
  <c r="L654" i="18" s="1"/>
  <c r="K655" i="18" s="1"/>
  <c r="L655" i="18" s="1"/>
  <c r="K656" i="18" s="1"/>
  <c r="L656" i="18" s="1"/>
  <c r="K657" i="18" s="1"/>
  <c r="L657" i="18" s="1"/>
  <c r="K658" i="18" s="1"/>
  <c r="L658" i="18" s="1"/>
  <c r="K659" i="18" s="1"/>
  <c r="L659" i="18" s="1"/>
  <c r="K660" i="18" s="1"/>
  <c r="L660" i="18" s="1"/>
  <c r="K661" i="18" s="1"/>
  <c r="L661" i="18" s="1"/>
  <c r="K662" i="18" s="1"/>
  <c r="L662" i="18" s="1"/>
  <c r="K663" i="18" s="1"/>
  <c r="L663" i="18" s="1"/>
  <c r="K664" i="18" s="1"/>
  <c r="L664" i="18" s="1"/>
  <c r="K665" i="18" s="1"/>
  <c r="L665" i="18" s="1"/>
  <c r="K666" i="18" s="1"/>
  <c r="L666" i="18" s="1"/>
  <c r="K667" i="18" s="1"/>
  <c r="L667" i="18" s="1"/>
  <c r="K668" i="18" s="1"/>
  <c r="L668" i="18" s="1"/>
  <c r="K669" i="18" s="1"/>
  <c r="L669" i="18" s="1"/>
  <c r="K670" i="18" s="1"/>
  <c r="L670" i="18" s="1"/>
  <c r="K671" i="18" s="1"/>
  <c r="L671" i="18" s="1"/>
  <c r="K672" i="18" s="1"/>
  <c r="L672" i="18" s="1"/>
  <c r="K673" i="18" s="1"/>
  <c r="L673" i="18" s="1"/>
  <c r="K674" i="18" s="1"/>
  <c r="L674" i="18" s="1"/>
  <c r="K675" i="18" s="1"/>
  <c r="L675" i="18" s="1"/>
  <c r="K676" i="18" s="1"/>
  <c r="L676" i="18" s="1"/>
  <c r="K677" i="18" s="1"/>
  <c r="L677" i="18" s="1"/>
  <c r="K678" i="18" s="1"/>
  <c r="L678" i="18" s="1"/>
  <c r="K679" i="18" s="1"/>
  <c r="L679" i="18" s="1"/>
  <c r="K680" i="18" s="1"/>
  <c r="L680" i="18" s="1"/>
  <c r="K681" i="18" s="1"/>
  <c r="L681" i="18" s="1"/>
  <c r="K682" i="18" s="1"/>
  <c r="L682" i="18" s="1"/>
  <c r="K683" i="18" s="1"/>
  <c r="L683" i="18" s="1"/>
  <c r="K684" i="18" s="1"/>
  <c r="L684" i="18" s="1"/>
  <c r="K685" i="18" s="1"/>
  <c r="L685" i="18" s="1"/>
  <c r="K686" i="18" s="1"/>
  <c r="L686" i="18" s="1"/>
  <c r="K687" i="18" s="1"/>
  <c r="L687" i="18" s="1"/>
  <c r="K688" i="18" s="1"/>
  <c r="L688" i="18" s="1"/>
  <c r="K689" i="18" s="1"/>
  <c r="L689" i="18" s="1"/>
  <c r="K690" i="18" s="1"/>
  <c r="L690" i="18" s="1"/>
  <c r="K691" i="18" s="1"/>
  <c r="L691" i="18" s="1"/>
  <c r="K692" i="18" s="1"/>
  <c r="L692" i="18" s="1"/>
  <c r="K693" i="18" s="1"/>
  <c r="L693" i="18" s="1"/>
  <c r="K694" i="18" s="1"/>
  <c r="L694" i="18" s="1"/>
  <c r="K695" i="18" s="1"/>
  <c r="L695" i="18" s="1"/>
  <c r="K696" i="18" s="1"/>
  <c r="L696" i="18" s="1"/>
  <c r="K697" i="18" s="1"/>
  <c r="L697" i="18" s="1"/>
  <c r="K698" i="18" s="1"/>
  <c r="L698" i="18" s="1"/>
  <c r="K699" i="18" s="1"/>
  <c r="L699" i="18" s="1"/>
  <c r="K700" i="18" s="1"/>
  <c r="L700" i="18" s="1"/>
  <c r="K701" i="18" s="1"/>
  <c r="L701" i="18" s="1"/>
  <c r="K702" i="18" s="1"/>
  <c r="L702" i="18" s="1"/>
  <c r="K703" i="18" s="1"/>
  <c r="L703" i="18" s="1"/>
  <c r="K704" i="18" s="1"/>
  <c r="L704" i="18" s="1"/>
  <c r="K705" i="18" s="1"/>
  <c r="L705" i="18" s="1"/>
  <c r="K706" i="18" s="1"/>
  <c r="L706" i="18" s="1"/>
  <c r="K707" i="18" s="1"/>
  <c r="L707" i="18" s="1"/>
  <c r="K708" i="18" s="1"/>
  <c r="L708" i="18" s="1"/>
  <c r="K709" i="18" s="1"/>
  <c r="L709" i="18" s="1"/>
  <c r="K710" i="18" s="1"/>
  <c r="L710" i="18" s="1"/>
  <c r="K711" i="18" s="1"/>
  <c r="L711" i="18" s="1"/>
  <c r="K712" i="18" s="1"/>
  <c r="L712" i="18" s="1"/>
  <c r="K713" i="18" s="1"/>
  <c r="L713" i="18" s="1"/>
  <c r="K714" i="18" s="1"/>
  <c r="L714" i="18" s="1"/>
  <c r="K715" i="18" s="1"/>
  <c r="L715" i="18" s="1"/>
  <c r="K716" i="18" s="1"/>
  <c r="L716" i="18" s="1"/>
  <c r="K717" i="18" s="1"/>
  <c r="L717" i="18" s="1"/>
  <c r="K718" i="18" s="1"/>
  <c r="L718" i="18" s="1"/>
  <c r="K719" i="18" s="1"/>
  <c r="L719" i="18" s="1"/>
  <c r="K720" i="18" s="1"/>
  <c r="L720" i="18" s="1"/>
  <c r="K721" i="18" s="1"/>
  <c r="L721" i="18" s="1"/>
  <c r="K722" i="18" s="1"/>
  <c r="L722" i="18" s="1"/>
  <c r="K723" i="18" s="1"/>
  <c r="L723" i="18" s="1"/>
  <c r="K724" i="18" s="1"/>
  <c r="L724" i="18" s="1"/>
  <c r="K725" i="18" s="1"/>
  <c r="L725" i="18" s="1"/>
  <c r="K726" i="18" s="1"/>
  <c r="L726" i="18" s="1"/>
  <c r="K727" i="18" s="1"/>
  <c r="L727" i="18" s="1"/>
  <c r="K728" i="18" s="1"/>
  <c r="L728" i="18" s="1"/>
  <c r="K729" i="18" s="1"/>
  <c r="L729" i="18" s="1"/>
  <c r="K730" i="18" s="1"/>
  <c r="L730" i="18" s="1"/>
  <c r="K731" i="18" s="1"/>
  <c r="L731" i="18" s="1"/>
  <c r="K732" i="18" s="1"/>
  <c r="L732" i="18" s="1"/>
  <c r="K733" i="18" s="1"/>
  <c r="L733" i="18" s="1"/>
  <c r="K734" i="18" s="1"/>
  <c r="L734" i="18" s="1"/>
  <c r="K735" i="18" s="1"/>
  <c r="L735" i="18" s="1"/>
  <c r="K736" i="18" s="1"/>
  <c r="L736" i="18" s="1"/>
  <c r="K737" i="18" s="1"/>
  <c r="L737" i="18" s="1"/>
  <c r="K738" i="18" s="1"/>
  <c r="L738" i="18" s="1"/>
  <c r="K739" i="18" s="1"/>
  <c r="L739" i="18" s="1"/>
  <c r="K740" i="18" s="1"/>
  <c r="L740" i="18" s="1"/>
  <c r="K741" i="18" s="1"/>
  <c r="L741" i="18" s="1"/>
  <c r="K742" i="18" s="1"/>
  <c r="L742" i="18" s="1"/>
  <c r="K743" i="18" s="1"/>
  <c r="L743" i="18" s="1"/>
  <c r="K744" i="18" s="1"/>
  <c r="L744" i="18" s="1"/>
  <c r="K745" i="18" s="1"/>
  <c r="L745" i="18" s="1"/>
  <c r="K746" i="18" s="1"/>
  <c r="L746" i="18" s="1"/>
  <c r="K747" i="18" s="1"/>
  <c r="L747" i="18" s="1"/>
  <c r="K748" i="18" s="1"/>
  <c r="L748" i="18" s="1"/>
  <c r="K749" i="18" s="1"/>
  <c r="L749" i="18" s="1"/>
  <c r="K750" i="18" s="1"/>
  <c r="L750" i="18" s="1"/>
  <c r="K751" i="18" s="1"/>
  <c r="L751" i="18" s="1"/>
  <c r="K752" i="18" s="1"/>
  <c r="L752" i="18" s="1"/>
  <c r="K753" i="18" s="1"/>
  <c r="L753" i="18" s="1"/>
  <c r="K754" i="18" s="1"/>
  <c r="L754" i="18" s="1"/>
  <c r="K755" i="18" s="1"/>
  <c r="L755" i="18" s="1"/>
  <c r="K756" i="18" s="1"/>
  <c r="L756" i="18" s="1"/>
  <c r="K757" i="18" s="1"/>
  <c r="L757" i="18" s="1"/>
  <c r="K758" i="18" s="1"/>
  <c r="L758" i="18" s="1"/>
  <c r="K759" i="18" s="1"/>
  <c r="L759" i="18" s="1"/>
  <c r="K760" i="18" s="1"/>
  <c r="L760" i="18" s="1"/>
  <c r="K761" i="18" s="1"/>
  <c r="L761" i="18" s="1"/>
  <c r="K762" i="18" s="1"/>
  <c r="L762" i="18" s="1"/>
  <c r="K763" i="18" s="1"/>
  <c r="L763" i="18" s="1"/>
  <c r="K764" i="18" s="1"/>
  <c r="L764" i="18" s="1"/>
  <c r="K765" i="18" s="1"/>
  <c r="L765" i="18" s="1"/>
  <c r="K766" i="18" s="1"/>
  <c r="L766" i="18" s="1"/>
  <c r="K767" i="18" s="1"/>
  <c r="L767" i="18" s="1"/>
  <c r="K768" i="18" s="1"/>
  <c r="L768" i="18" s="1"/>
  <c r="K769" i="18" s="1"/>
  <c r="L769" i="18" s="1"/>
  <c r="K770" i="18" s="1"/>
  <c r="L770" i="18" s="1"/>
  <c r="K771" i="18" s="1"/>
  <c r="L771" i="18" s="1"/>
  <c r="K772" i="18" s="1"/>
  <c r="L772" i="18" s="1"/>
  <c r="K773" i="18" s="1"/>
  <c r="L773" i="18" s="1"/>
  <c r="K774" i="18" s="1"/>
  <c r="L774" i="18" s="1"/>
  <c r="K775" i="18" s="1"/>
  <c r="L775" i="18" s="1"/>
  <c r="K776" i="18" s="1"/>
  <c r="L776" i="18" s="1"/>
  <c r="K777" i="18" s="1"/>
  <c r="L777" i="18" s="1"/>
  <c r="K778" i="18" s="1"/>
  <c r="L778" i="18" s="1"/>
  <c r="K779" i="18" s="1"/>
  <c r="L779" i="18" s="1"/>
  <c r="K780" i="18" s="1"/>
  <c r="L780" i="18" s="1"/>
  <c r="K781" i="18" s="1"/>
  <c r="L781" i="18" s="1"/>
  <c r="K782" i="18" s="1"/>
  <c r="L782" i="18" s="1"/>
  <c r="K783" i="18" s="1"/>
  <c r="L783" i="18" s="1"/>
  <c r="K784" i="18" s="1"/>
  <c r="L784" i="18" s="1"/>
  <c r="K785" i="18" s="1"/>
  <c r="L785" i="18" s="1"/>
  <c r="K786" i="18" s="1"/>
  <c r="L786" i="18" s="1"/>
  <c r="K787" i="18" s="1"/>
  <c r="L787" i="18" s="1"/>
  <c r="K788" i="18" s="1"/>
  <c r="L788" i="18" s="1"/>
  <c r="K789" i="18" s="1"/>
  <c r="L789" i="18" s="1"/>
  <c r="K790" i="18" s="1"/>
  <c r="L790" i="18" s="1"/>
  <c r="K791" i="18" s="1"/>
  <c r="L791" i="18" s="1"/>
  <c r="K792" i="18" s="1"/>
  <c r="L792" i="18" s="1"/>
  <c r="K793" i="18" s="1"/>
  <c r="L793" i="18" s="1"/>
  <c r="K794" i="18" s="1"/>
  <c r="L794" i="18" s="1"/>
  <c r="K795" i="18" s="1"/>
  <c r="L795" i="18" s="1"/>
  <c r="K796" i="18" s="1"/>
  <c r="L796" i="18" s="1"/>
  <c r="K797" i="18" s="1"/>
  <c r="L797" i="18" s="1"/>
  <c r="K798" i="18" s="1"/>
  <c r="L798" i="18" s="1"/>
  <c r="K799" i="18" s="1"/>
  <c r="L799" i="18" s="1"/>
  <c r="K800" i="18" s="1"/>
  <c r="L800" i="18" s="1"/>
  <c r="K801" i="18" s="1"/>
  <c r="L801" i="18" s="1"/>
  <c r="K802" i="18" s="1"/>
  <c r="L802" i="18" s="1"/>
  <c r="K803" i="18" s="1"/>
  <c r="L803" i="18" s="1"/>
  <c r="K804" i="18" s="1"/>
  <c r="L804" i="18" s="1"/>
  <c r="K805" i="18" s="1"/>
  <c r="L805" i="18" s="1"/>
  <c r="K806" i="18" s="1"/>
  <c r="L806" i="18" s="1"/>
  <c r="K807" i="18" s="1"/>
  <c r="L807" i="18" s="1"/>
  <c r="K808" i="18" s="1"/>
  <c r="L808" i="18" s="1"/>
  <c r="K809" i="18" s="1"/>
  <c r="L809" i="18" s="1"/>
  <c r="K810" i="18" s="1"/>
  <c r="L810" i="18" s="1"/>
  <c r="K811" i="18" s="1"/>
  <c r="L811" i="18" s="1"/>
  <c r="K812" i="18" s="1"/>
  <c r="L812" i="18" s="1"/>
  <c r="K813" i="18" s="1"/>
  <c r="L813" i="18" s="1"/>
  <c r="K814" i="18" s="1"/>
  <c r="L814" i="18" s="1"/>
  <c r="K815" i="18" s="1"/>
  <c r="L815" i="18" s="1"/>
  <c r="K816" i="18" s="1"/>
  <c r="L816" i="18" s="1"/>
  <c r="K817" i="18" s="1"/>
  <c r="L817" i="18" s="1"/>
  <c r="K818" i="18" s="1"/>
  <c r="L818" i="18" s="1"/>
  <c r="K819" i="18" s="1"/>
  <c r="L819" i="18" s="1"/>
  <c r="K820" i="18" s="1"/>
  <c r="L820" i="18" s="1"/>
  <c r="K821" i="18" s="1"/>
  <c r="L821" i="18" s="1"/>
  <c r="K822" i="18" s="1"/>
  <c r="L822" i="18" s="1"/>
  <c r="K823" i="18" s="1"/>
  <c r="L823" i="18" s="1"/>
  <c r="K824" i="18" s="1"/>
  <c r="L824" i="18" s="1"/>
  <c r="K825" i="18" s="1"/>
  <c r="L825" i="18" s="1"/>
  <c r="K826" i="18" s="1"/>
  <c r="L826" i="18" s="1"/>
  <c r="K827" i="18" s="1"/>
  <c r="L827" i="18" s="1"/>
  <c r="K828" i="18" s="1"/>
  <c r="L828" i="18" s="1"/>
  <c r="K829" i="18" s="1"/>
  <c r="L829" i="18" s="1"/>
  <c r="K830" i="18" s="1"/>
  <c r="L830" i="18" s="1"/>
  <c r="K831" i="18" s="1"/>
  <c r="L831" i="18" s="1"/>
  <c r="K832" i="18" s="1"/>
  <c r="L832" i="18" s="1"/>
  <c r="K833" i="18" s="1"/>
  <c r="L833" i="18" s="1"/>
  <c r="K834" i="18" s="1"/>
  <c r="L834" i="18" s="1"/>
  <c r="K835" i="18" s="1"/>
  <c r="L835" i="18" s="1"/>
  <c r="K836" i="18" s="1"/>
  <c r="L836" i="18" s="1"/>
  <c r="K837" i="18" s="1"/>
  <c r="L837" i="18" s="1"/>
  <c r="K838" i="18" s="1"/>
  <c r="L838" i="18" s="1"/>
  <c r="K839" i="18" s="1"/>
  <c r="L839" i="18" s="1"/>
  <c r="K840" i="18" s="1"/>
  <c r="L840" i="18" s="1"/>
  <c r="K841" i="18" s="1"/>
  <c r="L841" i="18" s="1"/>
  <c r="K842" i="18" s="1"/>
  <c r="L842" i="18" s="1"/>
  <c r="K843" i="18" s="1"/>
  <c r="L843" i="18" s="1"/>
  <c r="K844" i="18" s="1"/>
  <c r="L844" i="18" s="1"/>
  <c r="K845" i="18" s="1"/>
  <c r="L845" i="18" s="1"/>
  <c r="K846" i="18" s="1"/>
  <c r="L846" i="18" s="1"/>
  <c r="K847" i="18" s="1"/>
  <c r="L847" i="18" s="1"/>
  <c r="K848" i="18" s="1"/>
  <c r="L848" i="18" s="1"/>
  <c r="K849" i="18" s="1"/>
  <c r="L849" i="18" s="1"/>
  <c r="K850" i="18" s="1"/>
  <c r="L850" i="18" s="1"/>
  <c r="K851" i="18" s="1"/>
  <c r="L851" i="18" s="1"/>
  <c r="K852" i="18" s="1"/>
  <c r="L852" i="18" s="1"/>
  <c r="K853" i="18" s="1"/>
  <c r="L853" i="18" s="1"/>
  <c r="K854" i="18" s="1"/>
  <c r="L854" i="18" s="1"/>
  <c r="K855" i="18" s="1"/>
  <c r="L855" i="18" s="1"/>
  <c r="K856" i="18" s="1"/>
  <c r="L856" i="18" s="1"/>
  <c r="K857" i="18" s="1"/>
  <c r="L857" i="18" s="1"/>
  <c r="K858" i="18" s="1"/>
  <c r="L858" i="18" s="1"/>
  <c r="K859" i="18" s="1"/>
  <c r="L859" i="18" s="1"/>
  <c r="K860" i="18" s="1"/>
  <c r="L860" i="18" s="1"/>
  <c r="K861" i="18" s="1"/>
  <c r="L861" i="18" s="1"/>
  <c r="K862" i="18" s="1"/>
  <c r="L862" i="18" s="1"/>
  <c r="K863" i="18" s="1"/>
  <c r="L863" i="18" s="1"/>
  <c r="K864" i="18" s="1"/>
  <c r="L864" i="18" s="1"/>
  <c r="K865" i="18" s="1"/>
  <c r="L865" i="18" s="1"/>
  <c r="K866" i="18" s="1"/>
  <c r="L866" i="18" s="1"/>
  <c r="K867" i="18" s="1"/>
  <c r="L867" i="18" s="1"/>
  <c r="K868" i="18" s="1"/>
  <c r="L868" i="18" s="1"/>
  <c r="K869" i="18" s="1"/>
  <c r="L869" i="18" s="1"/>
  <c r="K870" i="18" s="1"/>
  <c r="L870" i="18" s="1"/>
  <c r="K871" i="18" s="1"/>
  <c r="L871" i="18" s="1"/>
  <c r="K872" i="18" s="1"/>
  <c r="L872" i="18" s="1"/>
  <c r="K873" i="18" s="1"/>
  <c r="L873" i="18" s="1"/>
  <c r="K874" i="18" s="1"/>
  <c r="L874" i="18" s="1"/>
  <c r="K875" i="18" s="1"/>
  <c r="L875" i="18" s="1"/>
  <c r="K876" i="18" s="1"/>
  <c r="L876" i="18" s="1"/>
  <c r="K877" i="18" s="1"/>
  <c r="L877" i="18" s="1"/>
  <c r="K878" i="18" s="1"/>
  <c r="L878" i="18" s="1"/>
  <c r="K879" i="18" s="1"/>
  <c r="L879" i="18" s="1"/>
  <c r="K880" i="18" s="1"/>
  <c r="L880" i="18" s="1"/>
  <c r="K881" i="18" s="1"/>
  <c r="L881" i="18" s="1"/>
  <c r="K882" i="18" s="1"/>
  <c r="L882" i="18" s="1"/>
  <c r="K883" i="18" s="1"/>
  <c r="L883" i="18" s="1"/>
  <c r="K884" i="18" s="1"/>
  <c r="L884" i="18" s="1"/>
  <c r="K885" i="18" s="1"/>
  <c r="L885" i="18" s="1"/>
  <c r="K886" i="18" s="1"/>
  <c r="L886" i="18" s="1"/>
  <c r="K887" i="18" s="1"/>
  <c r="L887" i="18" s="1"/>
  <c r="K888" i="18" s="1"/>
  <c r="L888" i="18" s="1"/>
  <c r="K889" i="18" s="1"/>
  <c r="L889" i="18" s="1"/>
  <c r="K890" i="18" s="1"/>
  <c r="L890" i="18" s="1"/>
  <c r="K891" i="18" s="1"/>
  <c r="L891" i="18" s="1"/>
  <c r="K892" i="18" s="1"/>
  <c r="L892" i="18" s="1"/>
  <c r="K893" i="18" s="1"/>
  <c r="L893" i="18" s="1"/>
  <c r="K894" i="18" s="1"/>
  <c r="L894" i="18" s="1"/>
  <c r="K895" i="18" s="1"/>
  <c r="L895" i="18" s="1"/>
  <c r="K896" i="18" s="1"/>
  <c r="L896" i="18" s="1"/>
  <c r="K897" i="18" s="1"/>
  <c r="L897" i="18" s="1"/>
  <c r="K898" i="18" s="1"/>
  <c r="L898" i="18" s="1"/>
  <c r="K899" i="18" s="1"/>
  <c r="L899" i="18" s="1"/>
  <c r="K900" i="18" s="1"/>
  <c r="L900" i="18" s="1"/>
  <c r="K901" i="18" s="1"/>
  <c r="L901" i="18" s="1"/>
  <c r="K902" i="18" s="1"/>
  <c r="L902" i="18" s="1"/>
  <c r="K903" i="18" s="1"/>
  <c r="L903" i="18" s="1"/>
  <c r="K904" i="18" s="1"/>
  <c r="L904" i="18" s="1"/>
  <c r="K905" i="18" s="1"/>
  <c r="L905" i="18" s="1"/>
  <c r="K906" i="18" s="1"/>
  <c r="L906" i="18" s="1"/>
  <c r="K907" i="18" s="1"/>
  <c r="L907" i="18" s="1"/>
  <c r="K908" i="18" s="1"/>
  <c r="L908" i="18" s="1"/>
  <c r="K909" i="18" s="1"/>
  <c r="L909" i="18" s="1"/>
  <c r="K910" i="18" s="1"/>
  <c r="L910" i="18" s="1"/>
  <c r="K911" i="18" s="1"/>
  <c r="L911" i="18" s="1"/>
  <c r="K912" i="18" s="1"/>
  <c r="L912" i="18" s="1"/>
  <c r="K913" i="18" s="1"/>
  <c r="L913" i="18" s="1"/>
  <c r="K914" i="18" s="1"/>
  <c r="L914" i="18" s="1"/>
  <c r="K915" i="18" s="1"/>
  <c r="L915" i="18" s="1"/>
  <c r="K916" i="18" s="1"/>
  <c r="L916" i="18" s="1"/>
  <c r="K917" i="18" s="1"/>
  <c r="L917" i="18" s="1"/>
  <c r="K918" i="18" s="1"/>
  <c r="L918" i="18" s="1"/>
  <c r="K919" i="18" s="1"/>
  <c r="L919" i="18" s="1"/>
  <c r="K920" i="18" s="1"/>
  <c r="L920" i="18" s="1"/>
  <c r="K921" i="18" s="1"/>
  <c r="L921" i="18" s="1"/>
  <c r="K922" i="18" s="1"/>
  <c r="L922" i="18" s="1"/>
  <c r="K923" i="18" s="1"/>
  <c r="L923" i="18" s="1"/>
  <c r="K924" i="18" s="1"/>
  <c r="L924" i="18" s="1"/>
  <c r="K925" i="18" s="1"/>
  <c r="L925" i="18" s="1"/>
  <c r="K926" i="18" s="1"/>
  <c r="L926" i="18" s="1"/>
  <c r="K927" i="18" s="1"/>
  <c r="L927" i="18" s="1"/>
  <c r="K928" i="18" s="1"/>
  <c r="L928" i="18" s="1"/>
  <c r="K929" i="18" s="1"/>
  <c r="L929" i="18" s="1"/>
  <c r="K930" i="18" s="1"/>
  <c r="L930" i="18" s="1"/>
  <c r="K931" i="18" s="1"/>
  <c r="L931" i="18" s="1"/>
  <c r="K932" i="18" s="1"/>
  <c r="L932" i="18" s="1"/>
  <c r="K933" i="18" s="1"/>
  <c r="L933" i="18" s="1"/>
  <c r="K934" i="18" s="1"/>
  <c r="L934" i="18" s="1"/>
  <c r="K935" i="18" s="1"/>
  <c r="L935" i="18" s="1"/>
  <c r="K936" i="18" s="1"/>
  <c r="L936" i="18" s="1"/>
  <c r="K937" i="18" s="1"/>
  <c r="L937" i="18" s="1"/>
  <c r="K938" i="18" s="1"/>
  <c r="L938" i="18" s="1"/>
  <c r="K939" i="18" s="1"/>
  <c r="L939" i="18" s="1"/>
  <c r="K940" i="18" s="1"/>
  <c r="L940" i="18" s="1"/>
  <c r="K941" i="18" s="1"/>
  <c r="L941" i="18" s="1"/>
  <c r="K942" i="18" s="1"/>
  <c r="L942" i="18" s="1"/>
  <c r="K943" i="18" s="1"/>
  <c r="L943" i="18" s="1"/>
  <c r="K944" i="18" s="1"/>
  <c r="L944" i="18" s="1"/>
  <c r="K945" i="18" s="1"/>
  <c r="L945" i="18" s="1"/>
  <c r="K946" i="18" s="1"/>
  <c r="L946" i="18" s="1"/>
  <c r="K947" i="18" s="1"/>
  <c r="L947" i="18" s="1"/>
  <c r="K948" i="18" s="1"/>
  <c r="L948" i="18" s="1"/>
  <c r="K949" i="18" s="1"/>
  <c r="L949" i="18" s="1"/>
  <c r="K950" i="18" s="1"/>
  <c r="L950" i="18" s="1"/>
  <c r="K951" i="18" s="1"/>
  <c r="L951" i="18" s="1"/>
  <c r="K952" i="18" s="1"/>
  <c r="L952" i="18" s="1"/>
  <c r="K953" i="18" s="1"/>
  <c r="L953" i="18" s="1"/>
  <c r="K954" i="18" s="1"/>
  <c r="L954" i="18" s="1"/>
  <c r="K955" i="18" s="1"/>
  <c r="L955" i="18" s="1"/>
  <c r="K956" i="18" s="1"/>
  <c r="L956" i="18" s="1"/>
  <c r="K957" i="18" s="1"/>
  <c r="L957" i="18" s="1"/>
  <c r="K958" i="18" s="1"/>
  <c r="L958" i="18" s="1"/>
  <c r="K959" i="18" s="1"/>
  <c r="L959" i="18" s="1"/>
  <c r="K960" i="18" s="1"/>
  <c r="L960" i="18" s="1"/>
  <c r="K961" i="18" s="1"/>
  <c r="L961" i="18" s="1"/>
  <c r="K962" i="18" s="1"/>
  <c r="L962" i="18" s="1"/>
  <c r="K963" i="18" s="1"/>
  <c r="L963" i="18" s="1"/>
  <c r="K964" i="18" s="1"/>
  <c r="L964" i="18" s="1"/>
  <c r="K965" i="18" s="1"/>
  <c r="L965" i="18" s="1"/>
  <c r="K966" i="18" s="1"/>
  <c r="L966" i="18" s="1"/>
  <c r="K967" i="18" s="1"/>
  <c r="L967" i="18" s="1"/>
  <c r="K968" i="18" s="1"/>
  <c r="L968" i="18" s="1"/>
  <c r="K969" i="18" s="1"/>
  <c r="L969" i="18" s="1"/>
  <c r="K970" i="18" s="1"/>
  <c r="L970" i="18" s="1"/>
  <c r="K971" i="18" s="1"/>
  <c r="L971" i="18" s="1"/>
  <c r="K972" i="18" s="1"/>
  <c r="L972" i="18" s="1"/>
  <c r="K973" i="18" s="1"/>
  <c r="L973" i="18" s="1"/>
  <c r="K974" i="18" s="1"/>
  <c r="L974" i="18" s="1"/>
  <c r="K975" i="18" s="1"/>
  <c r="L975" i="18" s="1"/>
  <c r="K976" i="18" s="1"/>
  <c r="L976" i="18" s="1"/>
  <c r="K977" i="18" s="1"/>
  <c r="L977" i="18" s="1"/>
  <c r="K978" i="18" s="1"/>
  <c r="L978" i="18" s="1"/>
  <c r="K979" i="18" s="1"/>
  <c r="L979" i="18" s="1"/>
  <c r="K980" i="18" s="1"/>
  <c r="L980" i="18" s="1"/>
  <c r="K981" i="18" s="1"/>
  <c r="L981" i="18" s="1"/>
  <c r="K982" i="18" s="1"/>
  <c r="L982" i="18" s="1"/>
  <c r="K983" i="18" s="1"/>
  <c r="L983" i="18" s="1"/>
  <c r="K984" i="18" s="1"/>
  <c r="L984" i="18" s="1"/>
  <c r="K985" i="18" s="1"/>
  <c r="L985" i="18" s="1"/>
  <c r="K986" i="18" s="1"/>
  <c r="L986" i="18" s="1"/>
  <c r="K987" i="18" s="1"/>
  <c r="L987" i="18" s="1"/>
  <c r="K988" i="18" s="1"/>
  <c r="L988" i="18" s="1"/>
  <c r="K989" i="18" s="1"/>
  <c r="L989" i="18" s="1"/>
  <c r="K990" i="18" s="1"/>
  <c r="L990" i="18" s="1"/>
  <c r="K991" i="18" s="1"/>
  <c r="L991" i="18" s="1"/>
  <c r="K992" i="18" s="1"/>
  <c r="L992" i="18" s="1"/>
  <c r="K993" i="18" s="1"/>
  <c r="L993" i="18" s="1"/>
  <c r="K994" i="18" s="1"/>
  <c r="L994" i="18" s="1"/>
  <c r="K995" i="18" s="1"/>
  <c r="L995" i="18" s="1"/>
  <c r="K996" i="18" s="1"/>
  <c r="L996" i="18" s="1"/>
  <c r="K997" i="18" s="1"/>
  <c r="L997" i="18" s="1"/>
  <c r="K998" i="18" s="1"/>
  <c r="L998" i="18" s="1"/>
  <c r="K999" i="18" s="1"/>
  <c r="L999" i="18" s="1"/>
  <c r="K1000" i="18" s="1"/>
  <c r="L1000" i="18" s="1"/>
  <c r="K1001" i="18" s="1"/>
  <c r="L1001" i="18" s="1"/>
  <c r="K1002" i="18" s="1"/>
  <c r="L1002" i="18" s="1"/>
  <c r="K1003" i="18" s="1"/>
  <c r="L1003" i="18" s="1"/>
  <c r="K1004" i="18" s="1"/>
  <c r="L1004" i="18" s="1"/>
  <c r="K1005" i="18" s="1"/>
  <c r="L1005" i="18" s="1"/>
  <c r="K1006" i="18" s="1"/>
  <c r="L1006" i="18" s="1"/>
  <c r="K1007" i="18" s="1"/>
  <c r="L1007" i="18" s="1"/>
  <c r="K1008" i="18" s="1"/>
  <c r="L1008" i="18" s="1"/>
  <c r="K1009" i="18" s="1"/>
  <c r="L1009" i="18" s="1"/>
  <c r="K1010" i="18" s="1"/>
  <c r="L1010" i="18" s="1"/>
  <c r="K1011" i="18" s="1"/>
  <c r="L1011" i="18" s="1"/>
  <c r="K1012" i="18" s="1"/>
  <c r="L1012" i="18" s="1"/>
  <c r="K1013" i="18" s="1"/>
  <c r="L1013" i="18" s="1"/>
  <c r="K1014" i="18" s="1"/>
  <c r="L1014" i="18" s="1"/>
  <c r="K1015" i="18" s="1"/>
  <c r="L1015" i="18" s="1"/>
  <c r="K1016" i="18" s="1"/>
  <c r="L1016" i="18" s="1"/>
  <c r="K1017" i="18" s="1"/>
  <c r="L1017" i="18" s="1"/>
  <c r="K1018" i="18" s="1"/>
  <c r="L1018" i="18" s="1"/>
  <c r="K1019" i="18" s="1"/>
  <c r="L1019" i="18" s="1"/>
  <c r="K1020" i="18" s="1"/>
  <c r="L1020" i="18" s="1"/>
  <c r="K1021" i="18" s="1"/>
  <c r="L1021" i="18" s="1"/>
  <c r="K1022" i="18" s="1"/>
  <c r="L1022" i="18" s="1"/>
  <c r="K1023" i="18" s="1"/>
  <c r="L1023" i="18" s="1"/>
  <c r="K1024" i="18" s="1"/>
  <c r="L1024" i="18" s="1"/>
  <c r="K1025" i="18" s="1"/>
  <c r="L1025" i="18" s="1"/>
  <c r="K1026" i="18" s="1"/>
  <c r="L1026" i="18" s="1"/>
  <c r="K1027" i="18" s="1"/>
  <c r="L1027" i="18" s="1"/>
  <c r="K1028" i="18" s="1"/>
  <c r="L1028" i="18" s="1"/>
  <c r="K1029" i="18" s="1"/>
  <c r="L1029" i="18" s="1"/>
  <c r="K1030" i="18" s="1"/>
  <c r="L1030" i="18" s="1"/>
  <c r="K1031" i="18" s="1"/>
  <c r="L1031" i="18" s="1"/>
  <c r="K1032" i="18" s="1"/>
  <c r="L1032" i="18" s="1"/>
  <c r="K1033" i="18" s="1"/>
  <c r="L1033" i="18" s="1"/>
  <c r="K1034" i="18" s="1"/>
  <c r="L1034" i="18" s="1"/>
  <c r="K1035" i="18" s="1"/>
  <c r="L1035" i="18" s="1"/>
  <c r="K1036" i="18" s="1"/>
  <c r="L1036" i="18" s="1"/>
  <c r="K1037" i="18" s="1"/>
  <c r="L1037" i="18" s="1"/>
  <c r="K1038" i="18" s="1"/>
  <c r="L1038" i="18" s="1"/>
  <c r="K1039" i="18" s="1"/>
  <c r="L1039" i="18" s="1"/>
  <c r="K1040" i="18" s="1"/>
  <c r="C30" i="18" s="1"/>
  <c r="C33" i="18" s="1"/>
  <c r="E33" i="18" s="1"/>
  <c r="N1040" i="18"/>
  <c r="C36" i="18" s="1"/>
  <c r="C37" i="18" s="1"/>
  <c r="C35" i="18"/>
  <c r="C38" i="18" s="1"/>
  <c r="I4" i="18"/>
  <c r="J4" i="18" s="1"/>
  <c r="I5" i="18" s="1"/>
  <c r="J5" i="18" s="1"/>
  <c r="I6" i="18" s="1"/>
  <c r="J6" i="18" s="1"/>
  <c r="I7" i="18" s="1"/>
  <c r="J7" i="18" s="1"/>
  <c r="I8" i="18" s="1"/>
  <c r="J8" i="18" s="1"/>
  <c r="I9" i="18" s="1"/>
  <c r="J9" i="18" s="1"/>
  <c r="I10" i="18" s="1"/>
  <c r="J10" i="18" s="1"/>
  <c r="I11" i="18" s="1"/>
  <c r="J11" i="18" s="1"/>
  <c r="I12" i="18" s="1"/>
  <c r="J12" i="18" s="1"/>
  <c r="I13" i="18" s="1"/>
  <c r="J13" i="18" s="1"/>
  <c r="I14" i="18" s="1"/>
  <c r="J14" i="18" s="1"/>
  <c r="I15" i="18" s="1"/>
  <c r="J15" i="18" s="1"/>
  <c r="I16" i="18" s="1"/>
  <c r="J16" i="18" s="1"/>
  <c r="I17" i="18" s="1"/>
  <c r="J17" i="18" s="1"/>
  <c r="I18" i="18" s="1"/>
  <c r="J18" i="18" s="1"/>
  <c r="I19" i="18" s="1"/>
  <c r="J19" i="18" s="1"/>
  <c r="I20" i="18" s="1"/>
  <c r="J20" i="18" s="1"/>
  <c r="I21" i="18" s="1"/>
  <c r="J21" i="18" s="1"/>
  <c r="I22" i="18" s="1"/>
  <c r="J22" i="18" s="1"/>
  <c r="I23" i="18" s="1"/>
  <c r="J23" i="18" s="1"/>
  <c r="I24" i="18" s="1"/>
  <c r="J24" i="18" s="1"/>
  <c r="I25" i="18" s="1"/>
  <c r="J25" i="18" s="1"/>
  <c r="I26" i="18" s="1"/>
  <c r="J26" i="18" s="1"/>
  <c r="I27" i="18" s="1"/>
  <c r="J27" i="18" s="1"/>
  <c r="I28" i="18" s="1"/>
  <c r="J28" i="18" s="1"/>
  <c r="I29" i="18" s="1"/>
  <c r="J29" i="18" s="1"/>
  <c r="I30" i="18" s="1"/>
  <c r="J30" i="18" s="1"/>
  <c r="I31" i="18" s="1"/>
  <c r="J31" i="18" s="1"/>
  <c r="I32" i="18" s="1"/>
  <c r="J32" i="18" s="1"/>
  <c r="I33" i="18" s="1"/>
  <c r="J33" i="18" s="1"/>
  <c r="I34" i="18" s="1"/>
  <c r="J34" i="18" s="1"/>
  <c r="I35" i="18" s="1"/>
  <c r="J35" i="18" s="1"/>
  <c r="I36" i="18" s="1"/>
  <c r="J36" i="18" s="1"/>
  <c r="I37" i="18" s="1"/>
  <c r="J37" i="18" s="1"/>
  <c r="I38" i="18" s="1"/>
  <c r="J38" i="18" s="1"/>
  <c r="I39" i="18" s="1"/>
  <c r="J39" i="18" s="1"/>
  <c r="I40" i="18" s="1"/>
  <c r="J40" i="18" s="1"/>
  <c r="I41" i="18" s="1"/>
  <c r="J41" i="18" s="1"/>
  <c r="I42" i="18" s="1"/>
  <c r="J42" i="18" s="1"/>
  <c r="I43" i="18" s="1"/>
  <c r="J43" i="18" s="1"/>
  <c r="I44" i="18" s="1"/>
  <c r="J44" i="18" s="1"/>
  <c r="I45" i="18" s="1"/>
  <c r="J45" i="18" s="1"/>
  <c r="I46" i="18" s="1"/>
  <c r="J46" i="18" s="1"/>
  <c r="I47" i="18" s="1"/>
  <c r="J47" i="18" s="1"/>
  <c r="I48" i="18" s="1"/>
  <c r="J48" i="18" s="1"/>
  <c r="I49" i="18" s="1"/>
  <c r="J49" i="18" s="1"/>
  <c r="I50" i="18" s="1"/>
  <c r="J50" i="18" s="1"/>
  <c r="I51" i="18" s="1"/>
  <c r="J51" i="18" s="1"/>
  <c r="I52" i="18" s="1"/>
  <c r="J52" i="18" s="1"/>
  <c r="I53" i="18" s="1"/>
  <c r="J53" i="18" s="1"/>
  <c r="I54" i="18" s="1"/>
  <c r="J54" i="18" s="1"/>
  <c r="I55" i="18" s="1"/>
  <c r="J55" i="18" s="1"/>
  <c r="I56" i="18" s="1"/>
  <c r="J56" i="18" s="1"/>
  <c r="I57" i="18" s="1"/>
  <c r="J57" i="18" s="1"/>
  <c r="I58" i="18" s="1"/>
  <c r="J58" i="18" s="1"/>
  <c r="I59" i="18" s="1"/>
  <c r="J59" i="18" s="1"/>
  <c r="I60" i="18" s="1"/>
  <c r="J60" i="18" s="1"/>
  <c r="I61" i="18" s="1"/>
  <c r="J61" i="18" s="1"/>
  <c r="I62" i="18" s="1"/>
  <c r="J62" i="18" s="1"/>
  <c r="I63" i="18" s="1"/>
  <c r="J63" i="18" s="1"/>
  <c r="I64" i="18" s="1"/>
  <c r="J64" i="18" s="1"/>
  <c r="I65" i="18" s="1"/>
  <c r="J65" i="18" s="1"/>
  <c r="I66" i="18" s="1"/>
  <c r="J66" i="18" s="1"/>
  <c r="I67" i="18" s="1"/>
  <c r="J67" i="18" s="1"/>
  <c r="I68" i="18" s="1"/>
  <c r="J68" i="18" s="1"/>
  <c r="I69" i="18" s="1"/>
  <c r="J69" i="18" s="1"/>
  <c r="I70" i="18" s="1"/>
  <c r="J70" i="18" s="1"/>
  <c r="I71" i="18" s="1"/>
  <c r="J71" i="18" s="1"/>
  <c r="I72" i="18" s="1"/>
  <c r="J72" i="18" s="1"/>
  <c r="I73" i="18" s="1"/>
  <c r="J73" i="18" s="1"/>
  <c r="I74" i="18" s="1"/>
  <c r="J74" i="18" s="1"/>
  <c r="I75" i="18" s="1"/>
  <c r="J75" i="18" s="1"/>
  <c r="I76" i="18" s="1"/>
  <c r="J76" i="18" s="1"/>
  <c r="I77" i="18" s="1"/>
  <c r="J77" i="18" s="1"/>
  <c r="I78" i="18" s="1"/>
  <c r="J78" i="18" s="1"/>
  <c r="I79" i="18" s="1"/>
  <c r="J79" i="18" s="1"/>
  <c r="I80" i="18" s="1"/>
  <c r="J80" i="18" s="1"/>
  <c r="I81" i="18" s="1"/>
  <c r="J81" i="18" s="1"/>
  <c r="I82" i="18" s="1"/>
  <c r="J82" i="18" s="1"/>
  <c r="I83" i="18" s="1"/>
  <c r="J83" i="18" s="1"/>
  <c r="I84" i="18" s="1"/>
  <c r="J84" i="18" s="1"/>
  <c r="I85" i="18" s="1"/>
  <c r="J85" i="18" s="1"/>
  <c r="I86" i="18" s="1"/>
  <c r="J86" i="18" s="1"/>
  <c r="I87" i="18" s="1"/>
  <c r="J87" i="18" s="1"/>
  <c r="I88" i="18" s="1"/>
  <c r="J88" i="18" s="1"/>
  <c r="I89" i="18" s="1"/>
  <c r="J89" i="18" s="1"/>
  <c r="I90" i="18" s="1"/>
  <c r="J90" i="18" s="1"/>
  <c r="I91" i="18" s="1"/>
  <c r="J91" i="18" s="1"/>
  <c r="I92" i="18" s="1"/>
  <c r="J92" i="18" s="1"/>
  <c r="I93" i="18" s="1"/>
  <c r="J93" i="18" s="1"/>
  <c r="I94" i="18" s="1"/>
  <c r="J94" i="18" s="1"/>
  <c r="I95" i="18" s="1"/>
  <c r="J95" i="18" s="1"/>
  <c r="I96" i="18" s="1"/>
  <c r="J96" i="18" s="1"/>
  <c r="I97" i="18" s="1"/>
  <c r="J97" i="18" s="1"/>
  <c r="I98" i="18" s="1"/>
  <c r="J98" i="18" s="1"/>
  <c r="I99" i="18" s="1"/>
  <c r="J99" i="18" s="1"/>
  <c r="I100" i="18" s="1"/>
  <c r="J100" i="18" s="1"/>
  <c r="I101" i="18" s="1"/>
  <c r="J101" i="18" s="1"/>
  <c r="I102" i="18" s="1"/>
  <c r="J102" i="18" s="1"/>
  <c r="I103" i="18" s="1"/>
  <c r="J103" i="18" s="1"/>
  <c r="I104" i="18" s="1"/>
  <c r="J104" i="18" s="1"/>
  <c r="I105" i="18" s="1"/>
  <c r="J105" i="18" s="1"/>
  <c r="I106" i="18" s="1"/>
  <c r="J106" i="18" s="1"/>
  <c r="I107" i="18" s="1"/>
  <c r="J107" i="18" s="1"/>
  <c r="I108" i="18" s="1"/>
  <c r="J108" i="18" s="1"/>
  <c r="I109" i="18" s="1"/>
  <c r="J109" i="18" s="1"/>
  <c r="I110" i="18" s="1"/>
  <c r="J110" i="18" s="1"/>
  <c r="I111" i="18" s="1"/>
  <c r="J111" i="18" s="1"/>
  <c r="I112" i="18" s="1"/>
  <c r="J112" i="18" s="1"/>
  <c r="I113" i="18" s="1"/>
  <c r="J113" i="18" s="1"/>
  <c r="I114" i="18" s="1"/>
  <c r="J114" i="18" s="1"/>
  <c r="I115" i="18" s="1"/>
  <c r="J115" i="18" s="1"/>
  <c r="I116" i="18" s="1"/>
  <c r="J116" i="18" s="1"/>
  <c r="I117" i="18" s="1"/>
  <c r="J117" i="18" s="1"/>
  <c r="I118" i="18" s="1"/>
  <c r="J118" i="18" s="1"/>
  <c r="I119" i="18" s="1"/>
  <c r="J119" i="18" s="1"/>
  <c r="I120" i="18" s="1"/>
  <c r="J120" i="18" s="1"/>
  <c r="I121" i="18" s="1"/>
  <c r="J121" i="18" s="1"/>
  <c r="I122" i="18" s="1"/>
  <c r="J122" i="18" s="1"/>
  <c r="I123" i="18" s="1"/>
  <c r="J123" i="18" s="1"/>
  <c r="I124" i="18" s="1"/>
  <c r="J124" i="18" s="1"/>
  <c r="I125" i="18" s="1"/>
  <c r="J125" i="18" s="1"/>
  <c r="I126" i="18" s="1"/>
  <c r="J126" i="18" s="1"/>
  <c r="I127" i="18" s="1"/>
  <c r="J127" i="18" s="1"/>
  <c r="I128" i="18" s="1"/>
  <c r="J128" i="18" s="1"/>
  <c r="I129" i="18" s="1"/>
  <c r="J129" i="18" s="1"/>
  <c r="I130" i="18" s="1"/>
  <c r="J130" i="18" s="1"/>
  <c r="I131" i="18" s="1"/>
  <c r="J131" i="18" s="1"/>
  <c r="I132" i="18" s="1"/>
  <c r="J132" i="18" s="1"/>
  <c r="I133" i="18" s="1"/>
  <c r="J133" i="18" s="1"/>
  <c r="I134" i="18" s="1"/>
  <c r="J134" i="18" s="1"/>
  <c r="I135" i="18" s="1"/>
  <c r="J135" i="18" s="1"/>
  <c r="I136" i="18" s="1"/>
  <c r="J136" i="18" s="1"/>
  <c r="I137" i="18" s="1"/>
  <c r="J137" i="18" s="1"/>
  <c r="I138" i="18" s="1"/>
  <c r="J138" i="18" s="1"/>
  <c r="I139" i="18" s="1"/>
  <c r="J139" i="18" s="1"/>
  <c r="I140" i="18" s="1"/>
  <c r="J140" i="18" s="1"/>
  <c r="I141" i="18" s="1"/>
  <c r="J141" i="18" s="1"/>
  <c r="I142" i="18" s="1"/>
  <c r="J142" i="18" s="1"/>
  <c r="I143" i="18" s="1"/>
  <c r="J143" i="18" s="1"/>
  <c r="I144" i="18" s="1"/>
  <c r="J144" i="18" s="1"/>
  <c r="I145" i="18" s="1"/>
  <c r="J145" i="18" s="1"/>
  <c r="I146" i="18" s="1"/>
  <c r="J146" i="18" s="1"/>
  <c r="I147" i="18" s="1"/>
  <c r="J147" i="18" s="1"/>
  <c r="I148" i="18" s="1"/>
  <c r="J148" i="18" s="1"/>
  <c r="I149" i="18" s="1"/>
  <c r="J149" i="18" s="1"/>
  <c r="I150" i="18" s="1"/>
  <c r="J150" i="18" s="1"/>
  <c r="I151" i="18" s="1"/>
  <c r="J151" i="18" s="1"/>
  <c r="I152" i="18" s="1"/>
  <c r="J152" i="18" s="1"/>
  <c r="I153" i="18" s="1"/>
  <c r="J153" i="18" s="1"/>
  <c r="I154" i="18" s="1"/>
  <c r="J154" i="18" s="1"/>
  <c r="I155" i="18" s="1"/>
  <c r="J155" i="18" s="1"/>
  <c r="I156" i="18" s="1"/>
  <c r="J156" i="18" s="1"/>
  <c r="I157" i="18" s="1"/>
  <c r="J157" i="18" s="1"/>
  <c r="I158" i="18" s="1"/>
  <c r="J158" i="18" s="1"/>
  <c r="I159" i="18" s="1"/>
  <c r="J159" i="18" s="1"/>
  <c r="I160" i="18" s="1"/>
  <c r="J160" i="18" s="1"/>
  <c r="I161" i="18" s="1"/>
  <c r="J161" i="18" s="1"/>
  <c r="I162" i="18" s="1"/>
  <c r="J162" i="18" s="1"/>
  <c r="I163" i="18" s="1"/>
  <c r="J163" i="18" s="1"/>
  <c r="I164" i="18" s="1"/>
  <c r="J164" i="18" s="1"/>
  <c r="I165" i="18" s="1"/>
  <c r="J165" i="18" s="1"/>
  <c r="I166" i="18" s="1"/>
  <c r="J166" i="18" s="1"/>
  <c r="I167" i="18" s="1"/>
  <c r="J167" i="18" s="1"/>
  <c r="I168" i="18" s="1"/>
  <c r="J168" i="18" s="1"/>
  <c r="I169" i="18" s="1"/>
  <c r="J169" i="18" s="1"/>
  <c r="I170" i="18" s="1"/>
  <c r="J170" i="18" s="1"/>
  <c r="I171" i="18" s="1"/>
  <c r="J171" i="18" s="1"/>
  <c r="I172" i="18" s="1"/>
  <c r="J172" i="18" s="1"/>
  <c r="I173" i="18" s="1"/>
  <c r="J173" i="18" s="1"/>
  <c r="I174" i="18" s="1"/>
  <c r="J174" i="18" s="1"/>
  <c r="I175" i="18" s="1"/>
  <c r="J175" i="18" s="1"/>
  <c r="I176" i="18" s="1"/>
  <c r="J176" i="18" s="1"/>
  <c r="I177" i="18" s="1"/>
  <c r="J177" i="18" s="1"/>
  <c r="I178" i="18" s="1"/>
  <c r="J178" i="18" s="1"/>
  <c r="I179" i="18" s="1"/>
  <c r="J179" i="18" s="1"/>
  <c r="I180" i="18" s="1"/>
  <c r="J180" i="18" s="1"/>
  <c r="I181" i="18" s="1"/>
  <c r="J181" i="18" s="1"/>
  <c r="I182" i="18" s="1"/>
  <c r="J182" i="18" s="1"/>
  <c r="I183" i="18" s="1"/>
  <c r="J183" i="18" s="1"/>
  <c r="I184" i="18" s="1"/>
  <c r="J184" i="18" s="1"/>
  <c r="I185" i="18" s="1"/>
  <c r="J185" i="18" s="1"/>
  <c r="I186" i="18" s="1"/>
  <c r="J186" i="18" s="1"/>
  <c r="I187" i="18" s="1"/>
  <c r="J187" i="18" s="1"/>
  <c r="I188" i="18" s="1"/>
  <c r="J188" i="18" s="1"/>
  <c r="I189" i="18" s="1"/>
  <c r="J189" i="18" s="1"/>
  <c r="I190" i="18" s="1"/>
  <c r="J190" i="18" s="1"/>
  <c r="I191" i="18" s="1"/>
  <c r="J191" i="18" s="1"/>
  <c r="I192" i="18" s="1"/>
  <c r="J192" i="18" s="1"/>
  <c r="I193" i="18" s="1"/>
  <c r="J193" i="18" s="1"/>
  <c r="I194" i="18" s="1"/>
  <c r="J194" i="18" s="1"/>
  <c r="I195" i="18" s="1"/>
  <c r="J195" i="18" s="1"/>
  <c r="I196" i="18" s="1"/>
  <c r="J196" i="18" s="1"/>
  <c r="I197" i="18" s="1"/>
  <c r="J197" i="18" s="1"/>
  <c r="I198" i="18" s="1"/>
  <c r="J198" i="18" s="1"/>
  <c r="I199" i="18" s="1"/>
  <c r="J199" i="18" s="1"/>
  <c r="I200" i="18" s="1"/>
  <c r="J200" i="18" s="1"/>
  <c r="I201" i="18" s="1"/>
  <c r="J201" i="18" s="1"/>
  <c r="I202" i="18" s="1"/>
  <c r="J202" i="18" s="1"/>
  <c r="I203" i="18" s="1"/>
  <c r="J203" i="18" s="1"/>
  <c r="I204" i="18" s="1"/>
  <c r="J204" i="18" s="1"/>
  <c r="I205" i="18" s="1"/>
  <c r="J205" i="18" s="1"/>
  <c r="I206" i="18" s="1"/>
  <c r="J206" i="18" s="1"/>
  <c r="I207" i="18" s="1"/>
  <c r="J207" i="18" s="1"/>
  <c r="I208" i="18" s="1"/>
  <c r="J208" i="18" s="1"/>
  <c r="I209" i="18" s="1"/>
  <c r="J209" i="18" s="1"/>
  <c r="I210" i="18" s="1"/>
  <c r="J210" i="18" s="1"/>
  <c r="I211" i="18" s="1"/>
  <c r="J211" i="18" s="1"/>
  <c r="I212" i="18" s="1"/>
  <c r="J212" i="18" s="1"/>
  <c r="I213" i="18" s="1"/>
  <c r="J213" i="18" s="1"/>
  <c r="I214" i="18" s="1"/>
  <c r="J214" i="18" s="1"/>
  <c r="I215" i="18" s="1"/>
  <c r="J215" i="18" s="1"/>
  <c r="I216" i="18" s="1"/>
  <c r="J216" i="18" s="1"/>
  <c r="I217" i="18" s="1"/>
  <c r="J217" i="18" s="1"/>
  <c r="I218" i="18" s="1"/>
  <c r="J218" i="18" s="1"/>
  <c r="I219" i="18" s="1"/>
  <c r="J219" i="18" s="1"/>
  <c r="I220" i="18" s="1"/>
  <c r="J220" i="18" s="1"/>
  <c r="I221" i="18" s="1"/>
  <c r="J221" i="18" s="1"/>
  <c r="I222" i="18" s="1"/>
  <c r="J222" i="18" s="1"/>
  <c r="I223" i="18" s="1"/>
  <c r="J223" i="18" s="1"/>
  <c r="I224" i="18" s="1"/>
  <c r="J224" i="18" s="1"/>
  <c r="I225" i="18" s="1"/>
  <c r="J225" i="18" s="1"/>
  <c r="I226" i="18" s="1"/>
  <c r="J226" i="18" s="1"/>
  <c r="I227" i="18" s="1"/>
  <c r="J227" i="18" s="1"/>
  <c r="I228" i="18" s="1"/>
  <c r="J228" i="18" s="1"/>
  <c r="I229" i="18" s="1"/>
  <c r="J229" i="18" s="1"/>
  <c r="I230" i="18" s="1"/>
  <c r="J230" i="18" s="1"/>
  <c r="I231" i="18" s="1"/>
  <c r="J231" i="18" s="1"/>
  <c r="I232" i="18" s="1"/>
  <c r="J232" i="18" s="1"/>
  <c r="I233" i="18" s="1"/>
  <c r="J233" i="18" s="1"/>
  <c r="I234" i="18" s="1"/>
  <c r="J234" i="18" s="1"/>
  <c r="I235" i="18" s="1"/>
  <c r="J235" i="18" s="1"/>
  <c r="I236" i="18" s="1"/>
  <c r="J236" i="18" s="1"/>
  <c r="I237" i="18" s="1"/>
  <c r="J237" i="18" s="1"/>
  <c r="I238" i="18" s="1"/>
  <c r="J238" i="18" s="1"/>
  <c r="I239" i="18" s="1"/>
  <c r="J239" i="18" s="1"/>
  <c r="I240" i="18" s="1"/>
  <c r="J240" i="18" s="1"/>
  <c r="I241" i="18" s="1"/>
  <c r="J241" i="18" s="1"/>
  <c r="I242" i="18" s="1"/>
  <c r="J242" i="18" s="1"/>
  <c r="I243" i="18" s="1"/>
  <c r="J243" i="18" s="1"/>
  <c r="I244" i="18" s="1"/>
  <c r="J244" i="18" s="1"/>
  <c r="I245" i="18" s="1"/>
  <c r="J245" i="18" s="1"/>
  <c r="I246" i="18" s="1"/>
  <c r="J246" i="18" s="1"/>
  <c r="I247" i="18" s="1"/>
  <c r="J247" i="18" s="1"/>
  <c r="I248" i="18" s="1"/>
  <c r="J248" i="18" s="1"/>
  <c r="I249" i="18" s="1"/>
  <c r="J249" i="18" s="1"/>
  <c r="I250" i="18" s="1"/>
  <c r="J250" i="18" s="1"/>
  <c r="I251" i="18" s="1"/>
  <c r="J251" i="18" s="1"/>
  <c r="I252" i="18" s="1"/>
  <c r="J252" i="18" s="1"/>
  <c r="I253" i="18" s="1"/>
  <c r="J253" i="18" s="1"/>
  <c r="I254" i="18" s="1"/>
  <c r="J254" i="18" s="1"/>
  <c r="I255" i="18" s="1"/>
  <c r="J255" i="18" s="1"/>
  <c r="I256" i="18" s="1"/>
  <c r="J256" i="18" s="1"/>
  <c r="I257" i="18" s="1"/>
  <c r="J257" i="18" s="1"/>
  <c r="I258" i="18" s="1"/>
  <c r="J258" i="18" s="1"/>
  <c r="I259" i="18" s="1"/>
  <c r="J259" i="18" s="1"/>
  <c r="I260" i="18" s="1"/>
  <c r="J260" i="18" s="1"/>
  <c r="I261" i="18" s="1"/>
  <c r="J261" i="18" s="1"/>
  <c r="I262" i="18" s="1"/>
  <c r="J262" i="18" s="1"/>
  <c r="I263" i="18" s="1"/>
  <c r="J263" i="18" s="1"/>
  <c r="I264" i="18" s="1"/>
  <c r="J264" i="18" s="1"/>
  <c r="I265" i="18" s="1"/>
  <c r="J265" i="18" s="1"/>
  <c r="I266" i="18" s="1"/>
  <c r="J266" i="18" s="1"/>
  <c r="I267" i="18" s="1"/>
  <c r="J267" i="18" s="1"/>
  <c r="I268" i="18" s="1"/>
  <c r="J268" i="18" s="1"/>
  <c r="I269" i="18" s="1"/>
  <c r="J269" i="18" s="1"/>
  <c r="I270" i="18" s="1"/>
  <c r="J270" i="18" s="1"/>
  <c r="I271" i="18" s="1"/>
  <c r="J271" i="18" s="1"/>
  <c r="I272" i="18" s="1"/>
  <c r="J272" i="18" s="1"/>
  <c r="I273" i="18" s="1"/>
  <c r="J273" i="18" s="1"/>
  <c r="I274" i="18" s="1"/>
  <c r="J274" i="18" s="1"/>
  <c r="I275" i="18" s="1"/>
  <c r="J275" i="18" s="1"/>
  <c r="I276" i="18" s="1"/>
  <c r="J276" i="18" s="1"/>
  <c r="I277" i="18" s="1"/>
  <c r="J277" i="18" s="1"/>
  <c r="I278" i="18" s="1"/>
  <c r="J278" i="18" s="1"/>
  <c r="I279" i="18" s="1"/>
  <c r="J279" i="18" s="1"/>
  <c r="I280" i="18" s="1"/>
  <c r="J280" i="18" s="1"/>
  <c r="I281" i="18" s="1"/>
  <c r="J281" i="18" s="1"/>
  <c r="I282" i="18" s="1"/>
  <c r="J282" i="18" s="1"/>
  <c r="I283" i="18" s="1"/>
  <c r="J283" i="18" s="1"/>
  <c r="I284" i="18" s="1"/>
  <c r="J284" i="18" s="1"/>
  <c r="I285" i="18" s="1"/>
  <c r="J285" i="18" s="1"/>
  <c r="I286" i="18" s="1"/>
  <c r="J286" i="18" s="1"/>
  <c r="I287" i="18" s="1"/>
  <c r="J287" i="18" s="1"/>
  <c r="I288" i="18" s="1"/>
  <c r="J288" i="18" s="1"/>
  <c r="I289" i="18" s="1"/>
  <c r="J289" i="18" s="1"/>
  <c r="I290" i="18" s="1"/>
  <c r="J290" i="18" s="1"/>
  <c r="I291" i="18" s="1"/>
  <c r="J291" i="18" s="1"/>
  <c r="I292" i="18" s="1"/>
  <c r="J292" i="18" s="1"/>
  <c r="I293" i="18" s="1"/>
  <c r="J293" i="18" s="1"/>
  <c r="I294" i="18" s="1"/>
  <c r="J294" i="18" s="1"/>
  <c r="I295" i="18" s="1"/>
  <c r="J295" i="18" s="1"/>
  <c r="I296" i="18" s="1"/>
  <c r="J296" i="18" s="1"/>
  <c r="I297" i="18" s="1"/>
  <c r="J297" i="18" s="1"/>
  <c r="I298" i="18" s="1"/>
  <c r="J298" i="18" s="1"/>
  <c r="I299" i="18" s="1"/>
  <c r="J299" i="18" s="1"/>
  <c r="I300" i="18" s="1"/>
  <c r="J300" i="18" s="1"/>
  <c r="I301" i="18" s="1"/>
  <c r="J301" i="18" s="1"/>
  <c r="I302" i="18" s="1"/>
  <c r="J302" i="18" s="1"/>
  <c r="I303" i="18" s="1"/>
  <c r="J303" i="18" s="1"/>
  <c r="I304" i="18" s="1"/>
  <c r="J304" i="18" s="1"/>
  <c r="I305" i="18" s="1"/>
  <c r="J305" i="18" s="1"/>
  <c r="I306" i="18" s="1"/>
  <c r="J306" i="18" s="1"/>
  <c r="I307" i="18" s="1"/>
  <c r="J307" i="18" s="1"/>
  <c r="I308" i="18" s="1"/>
  <c r="J308" i="18" s="1"/>
  <c r="I309" i="18" s="1"/>
  <c r="J309" i="18" s="1"/>
  <c r="I310" i="18" s="1"/>
  <c r="J310" i="18" s="1"/>
  <c r="I311" i="18" s="1"/>
  <c r="J311" i="18" s="1"/>
  <c r="I312" i="18" s="1"/>
  <c r="J312" i="18" s="1"/>
  <c r="I313" i="18" s="1"/>
  <c r="J313" i="18" s="1"/>
  <c r="I314" i="18" s="1"/>
  <c r="J314" i="18" s="1"/>
  <c r="I315" i="18" s="1"/>
  <c r="J315" i="18" s="1"/>
  <c r="I316" i="18" s="1"/>
  <c r="J316" i="18" s="1"/>
  <c r="I317" i="18" s="1"/>
  <c r="J317" i="18" s="1"/>
  <c r="I318" i="18" s="1"/>
  <c r="J318" i="18" s="1"/>
  <c r="I319" i="18" s="1"/>
  <c r="J319" i="18" s="1"/>
  <c r="I320" i="18" s="1"/>
  <c r="J320" i="18" s="1"/>
  <c r="I321" i="18" s="1"/>
  <c r="J321" i="18" s="1"/>
  <c r="I322" i="18" s="1"/>
  <c r="J322" i="18" s="1"/>
  <c r="I323" i="18" s="1"/>
  <c r="J323" i="18" s="1"/>
  <c r="I324" i="18" s="1"/>
  <c r="J324" i="18" s="1"/>
  <c r="I325" i="18" s="1"/>
  <c r="J325" i="18" s="1"/>
  <c r="I326" i="18" s="1"/>
  <c r="J326" i="18" s="1"/>
  <c r="I327" i="18" s="1"/>
  <c r="J327" i="18" s="1"/>
  <c r="I328" i="18" s="1"/>
  <c r="J328" i="18" s="1"/>
  <c r="I329" i="18" s="1"/>
  <c r="J329" i="18" s="1"/>
  <c r="I330" i="18" s="1"/>
  <c r="J330" i="18" s="1"/>
  <c r="I331" i="18" s="1"/>
  <c r="J331" i="18" s="1"/>
  <c r="I332" i="18" s="1"/>
  <c r="J332" i="18" s="1"/>
  <c r="I333" i="18" s="1"/>
  <c r="J333" i="18" s="1"/>
  <c r="I334" i="18" s="1"/>
  <c r="J334" i="18" s="1"/>
  <c r="I335" i="18" s="1"/>
  <c r="J335" i="18" s="1"/>
  <c r="I336" i="18" s="1"/>
  <c r="J336" i="18" s="1"/>
  <c r="I337" i="18" s="1"/>
  <c r="J337" i="18" s="1"/>
  <c r="I338" i="18" s="1"/>
  <c r="J338" i="18" s="1"/>
  <c r="I339" i="18" s="1"/>
  <c r="J339" i="18" s="1"/>
  <c r="I340" i="18" s="1"/>
  <c r="J340" i="18" s="1"/>
  <c r="I341" i="18" s="1"/>
  <c r="J341" i="18" s="1"/>
  <c r="I342" i="18" s="1"/>
  <c r="J342" i="18" s="1"/>
  <c r="I343" i="18" s="1"/>
  <c r="J343" i="18" s="1"/>
  <c r="I344" i="18" s="1"/>
  <c r="J344" i="18" s="1"/>
  <c r="I345" i="18" s="1"/>
  <c r="J345" i="18" s="1"/>
  <c r="I346" i="18" s="1"/>
  <c r="J346" i="18" s="1"/>
  <c r="I347" i="18" s="1"/>
  <c r="J347" i="18" s="1"/>
  <c r="I348" i="18" s="1"/>
  <c r="J348" i="18" s="1"/>
  <c r="I349" i="18" s="1"/>
  <c r="J349" i="18" s="1"/>
  <c r="I350" i="18" s="1"/>
  <c r="J350" i="18" s="1"/>
  <c r="I351" i="18" s="1"/>
  <c r="J351" i="18" s="1"/>
  <c r="I352" i="18" s="1"/>
  <c r="J352" i="18" s="1"/>
  <c r="I353" i="18" s="1"/>
  <c r="J353" i="18" s="1"/>
  <c r="I354" i="18" s="1"/>
  <c r="J354" i="18" s="1"/>
  <c r="I355" i="18" s="1"/>
  <c r="J355" i="18" s="1"/>
  <c r="I356" i="18" s="1"/>
  <c r="J356" i="18" s="1"/>
  <c r="I357" i="18" s="1"/>
  <c r="J357" i="18" s="1"/>
  <c r="I358" i="18" s="1"/>
  <c r="J358" i="18" s="1"/>
  <c r="I359" i="18" s="1"/>
  <c r="J359" i="18" s="1"/>
  <c r="I360" i="18" s="1"/>
  <c r="J360" i="18" s="1"/>
  <c r="I361" i="18" s="1"/>
  <c r="J361" i="18" s="1"/>
  <c r="I362" i="18" s="1"/>
  <c r="J362" i="18" s="1"/>
  <c r="I363" i="18" s="1"/>
  <c r="J363" i="18" s="1"/>
  <c r="I364" i="18" s="1"/>
  <c r="J364" i="18" s="1"/>
  <c r="I365" i="18" s="1"/>
  <c r="J365" i="18" s="1"/>
  <c r="I366" i="18" s="1"/>
  <c r="J366" i="18" s="1"/>
  <c r="I367" i="18" s="1"/>
  <c r="J367" i="18" s="1"/>
  <c r="I368" i="18" s="1"/>
  <c r="J368" i="18" s="1"/>
  <c r="I369" i="18" s="1"/>
  <c r="J369" i="18" s="1"/>
  <c r="I370" i="18" s="1"/>
  <c r="J370" i="18" s="1"/>
  <c r="I371" i="18" s="1"/>
  <c r="J371" i="18" s="1"/>
  <c r="I372" i="18" s="1"/>
  <c r="J372" i="18" s="1"/>
  <c r="I373" i="18" s="1"/>
  <c r="J373" i="18" s="1"/>
  <c r="I374" i="18" s="1"/>
  <c r="J374" i="18" s="1"/>
  <c r="I375" i="18" s="1"/>
  <c r="J375" i="18" s="1"/>
  <c r="I376" i="18" s="1"/>
  <c r="J376" i="18" s="1"/>
  <c r="I377" i="18" s="1"/>
  <c r="J377" i="18" s="1"/>
  <c r="I378" i="18" s="1"/>
  <c r="J378" i="18" s="1"/>
  <c r="I379" i="18" s="1"/>
  <c r="J379" i="18" s="1"/>
  <c r="I380" i="18" s="1"/>
  <c r="J380" i="18" s="1"/>
  <c r="I381" i="18" s="1"/>
  <c r="J381" i="18" s="1"/>
  <c r="I382" i="18" s="1"/>
  <c r="J382" i="18" s="1"/>
  <c r="I383" i="18" s="1"/>
  <c r="J383" i="18" s="1"/>
  <c r="I384" i="18" s="1"/>
  <c r="J384" i="18" s="1"/>
  <c r="I385" i="18" s="1"/>
  <c r="J385" i="18" s="1"/>
  <c r="I386" i="18" s="1"/>
  <c r="J386" i="18" s="1"/>
  <c r="I387" i="18" s="1"/>
  <c r="J387" i="18" s="1"/>
  <c r="I388" i="18" s="1"/>
  <c r="J388" i="18" s="1"/>
  <c r="I389" i="18" s="1"/>
  <c r="J389" i="18" s="1"/>
  <c r="I390" i="18" s="1"/>
  <c r="J390" i="18" s="1"/>
  <c r="I391" i="18" s="1"/>
  <c r="J391" i="18" s="1"/>
  <c r="I392" i="18" s="1"/>
  <c r="J392" i="18" s="1"/>
  <c r="I393" i="18" s="1"/>
  <c r="J393" i="18" s="1"/>
  <c r="I394" i="18" s="1"/>
  <c r="J394" i="18" s="1"/>
  <c r="I395" i="18" s="1"/>
  <c r="J395" i="18" s="1"/>
  <c r="I396" i="18" s="1"/>
  <c r="J396" i="18" s="1"/>
  <c r="I397" i="18" s="1"/>
  <c r="J397" i="18" s="1"/>
  <c r="I398" i="18" s="1"/>
  <c r="J398" i="18" s="1"/>
  <c r="I399" i="18" s="1"/>
  <c r="J399" i="18" s="1"/>
  <c r="I400" i="18" s="1"/>
  <c r="J400" i="18" s="1"/>
  <c r="I401" i="18" s="1"/>
  <c r="J401" i="18" s="1"/>
  <c r="I402" i="18" s="1"/>
  <c r="J402" i="18" s="1"/>
  <c r="I403" i="18" s="1"/>
  <c r="J403" i="18" s="1"/>
  <c r="I404" i="18" s="1"/>
  <c r="J404" i="18" s="1"/>
  <c r="I405" i="18" s="1"/>
  <c r="J405" i="18" s="1"/>
  <c r="I406" i="18" s="1"/>
  <c r="J406" i="18" s="1"/>
  <c r="I407" i="18" s="1"/>
  <c r="J407" i="18" s="1"/>
  <c r="I408" i="18" s="1"/>
  <c r="J408" i="18" s="1"/>
  <c r="I409" i="18" s="1"/>
  <c r="J409" i="18" s="1"/>
  <c r="I410" i="18" s="1"/>
  <c r="J410" i="18" s="1"/>
  <c r="I411" i="18" s="1"/>
  <c r="J411" i="18" s="1"/>
  <c r="I412" i="18" s="1"/>
  <c r="J412" i="18" s="1"/>
  <c r="I413" i="18" s="1"/>
  <c r="J413" i="18" s="1"/>
  <c r="I414" i="18" s="1"/>
  <c r="J414" i="18" s="1"/>
  <c r="I415" i="18" s="1"/>
  <c r="J415" i="18" s="1"/>
  <c r="I416" i="18" s="1"/>
  <c r="J416" i="18" s="1"/>
  <c r="I417" i="18" s="1"/>
  <c r="J417" i="18" s="1"/>
  <c r="I418" i="18" s="1"/>
  <c r="J418" i="18" s="1"/>
  <c r="I419" i="18" s="1"/>
  <c r="J419" i="18" s="1"/>
  <c r="I420" i="18" s="1"/>
  <c r="J420" i="18" s="1"/>
  <c r="I421" i="18" s="1"/>
  <c r="J421" i="18" s="1"/>
  <c r="I422" i="18" s="1"/>
  <c r="J422" i="18" s="1"/>
  <c r="I423" i="18" s="1"/>
  <c r="J423" i="18" s="1"/>
  <c r="I424" i="18" s="1"/>
  <c r="J424" i="18" s="1"/>
  <c r="I425" i="18" s="1"/>
  <c r="J425" i="18" s="1"/>
  <c r="I426" i="18" s="1"/>
  <c r="J426" i="18" s="1"/>
  <c r="I427" i="18" s="1"/>
  <c r="J427" i="18" s="1"/>
  <c r="I428" i="18" s="1"/>
  <c r="J428" i="18" s="1"/>
  <c r="I429" i="18" s="1"/>
  <c r="J429" i="18" s="1"/>
  <c r="I430" i="18" s="1"/>
  <c r="J430" i="18" s="1"/>
  <c r="I431" i="18" s="1"/>
  <c r="J431" i="18" s="1"/>
  <c r="I432" i="18" s="1"/>
  <c r="J432" i="18" s="1"/>
  <c r="I433" i="18" s="1"/>
  <c r="J433" i="18" s="1"/>
  <c r="I434" i="18" s="1"/>
  <c r="J434" i="18" s="1"/>
  <c r="I435" i="18" s="1"/>
  <c r="J435" i="18" s="1"/>
  <c r="I436" i="18" s="1"/>
  <c r="J436" i="18" s="1"/>
  <c r="I437" i="18" s="1"/>
  <c r="J437" i="18" s="1"/>
  <c r="I438" i="18" s="1"/>
  <c r="J438" i="18" s="1"/>
  <c r="I439" i="18" s="1"/>
  <c r="J439" i="18" s="1"/>
  <c r="I440" i="18" s="1"/>
  <c r="J440" i="18" s="1"/>
  <c r="I441" i="18" s="1"/>
  <c r="J441" i="18" s="1"/>
  <c r="I442" i="18" s="1"/>
  <c r="J442" i="18" s="1"/>
  <c r="I443" i="18" s="1"/>
  <c r="J443" i="18" s="1"/>
  <c r="I444" i="18" s="1"/>
  <c r="J444" i="18" s="1"/>
  <c r="I445" i="18" s="1"/>
  <c r="J445" i="18" s="1"/>
  <c r="I446" i="18" s="1"/>
  <c r="J446" i="18" s="1"/>
  <c r="I447" i="18" s="1"/>
  <c r="J447" i="18" s="1"/>
  <c r="I448" i="18" s="1"/>
  <c r="J448" i="18" s="1"/>
  <c r="I449" i="18" s="1"/>
  <c r="J449" i="18" s="1"/>
  <c r="I450" i="18" s="1"/>
  <c r="J450" i="18" s="1"/>
  <c r="I451" i="18" s="1"/>
  <c r="J451" i="18" s="1"/>
  <c r="I452" i="18" s="1"/>
  <c r="J452" i="18" s="1"/>
  <c r="I453" i="18" s="1"/>
  <c r="J453" i="18" s="1"/>
  <c r="I454" i="18" s="1"/>
  <c r="J454" i="18" s="1"/>
  <c r="I455" i="18" s="1"/>
  <c r="J455" i="18" s="1"/>
  <c r="I456" i="18" s="1"/>
  <c r="J456" i="18" s="1"/>
  <c r="I457" i="18" s="1"/>
  <c r="J457" i="18" s="1"/>
  <c r="I458" i="18" s="1"/>
  <c r="J458" i="18" s="1"/>
  <c r="I459" i="18" s="1"/>
  <c r="J459" i="18" s="1"/>
  <c r="I460" i="18" s="1"/>
  <c r="J460" i="18" s="1"/>
  <c r="I461" i="18" s="1"/>
  <c r="J461" i="18" s="1"/>
  <c r="I462" i="18" s="1"/>
  <c r="J462" i="18" s="1"/>
  <c r="I463" i="18" s="1"/>
  <c r="J463" i="18" s="1"/>
  <c r="I464" i="18" s="1"/>
  <c r="J464" i="18" s="1"/>
  <c r="I465" i="18" s="1"/>
  <c r="J465" i="18" s="1"/>
  <c r="I466" i="18" s="1"/>
  <c r="J466" i="18" s="1"/>
  <c r="I467" i="18" s="1"/>
  <c r="J467" i="18" s="1"/>
  <c r="I468" i="18" s="1"/>
  <c r="J468" i="18" s="1"/>
  <c r="I469" i="18" s="1"/>
  <c r="J469" i="18" s="1"/>
  <c r="I470" i="18" s="1"/>
  <c r="J470" i="18" s="1"/>
  <c r="I471" i="18" s="1"/>
  <c r="J471" i="18" s="1"/>
  <c r="I472" i="18" s="1"/>
  <c r="J472" i="18" s="1"/>
  <c r="I473" i="18" s="1"/>
  <c r="J473" i="18" s="1"/>
  <c r="I474" i="18" s="1"/>
  <c r="J474" i="18" s="1"/>
  <c r="I475" i="18" s="1"/>
  <c r="J475" i="18" s="1"/>
  <c r="I476" i="18" s="1"/>
  <c r="J476" i="18" s="1"/>
  <c r="I477" i="18" s="1"/>
  <c r="J477" i="18" s="1"/>
  <c r="I478" i="18" s="1"/>
  <c r="J478" i="18" s="1"/>
  <c r="I479" i="18" s="1"/>
  <c r="J479" i="18" s="1"/>
  <c r="I480" i="18" s="1"/>
  <c r="J480" i="18" s="1"/>
  <c r="I481" i="18" s="1"/>
  <c r="J481" i="18" s="1"/>
  <c r="I482" i="18" s="1"/>
  <c r="J482" i="18" s="1"/>
  <c r="I483" i="18" s="1"/>
  <c r="J483" i="18" s="1"/>
  <c r="I484" i="18" s="1"/>
  <c r="J484" i="18" s="1"/>
  <c r="I485" i="18" s="1"/>
  <c r="J485" i="18" s="1"/>
  <c r="I486" i="18" s="1"/>
  <c r="J486" i="18" s="1"/>
  <c r="I487" i="18" s="1"/>
  <c r="J487" i="18" s="1"/>
  <c r="I488" i="18" s="1"/>
  <c r="J488" i="18" s="1"/>
  <c r="I489" i="18" s="1"/>
  <c r="J489" i="18" s="1"/>
  <c r="I490" i="18" s="1"/>
  <c r="J490" i="18" s="1"/>
  <c r="I491" i="18" s="1"/>
  <c r="J491" i="18" s="1"/>
  <c r="I492" i="18" s="1"/>
  <c r="J492" i="18" s="1"/>
  <c r="I493" i="18" s="1"/>
  <c r="J493" i="18" s="1"/>
  <c r="I494" i="18" s="1"/>
  <c r="J494" i="18" s="1"/>
  <c r="I495" i="18" s="1"/>
  <c r="J495" i="18" s="1"/>
  <c r="I496" i="18" s="1"/>
  <c r="J496" i="18" s="1"/>
  <c r="I497" i="18" s="1"/>
  <c r="J497" i="18" s="1"/>
  <c r="I498" i="18" s="1"/>
  <c r="J498" i="18" s="1"/>
  <c r="I499" i="18" s="1"/>
  <c r="J499" i="18" s="1"/>
  <c r="I500" i="18" s="1"/>
  <c r="J500" i="18" s="1"/>
  <c r="I501" i="18" s="1"/>
  <c r="J501" i="18" s="1"/>
  <c r="I502" i="18" s="1"/>
  <c r="J502" i="18" s="1"/>
  <c r="I503" i="18" s="1"/>
  <c r="J503" i="18" s="1"/>
  <c r="I504" i="18" s="1"/>
  <c r="J504" i="18" s="1"/>
  <c r="I505" i="18" s="1"/>
  <c r="J505" i="18" s="1"/>
  <c r="I506" i="18" s="1"/>
  <c r="J506" i="18" s="1"/>
  <c r="I507" i="18" s="1"/>
  <c r="J507" i="18" s="1"/>
  <c r="I508" i="18" s="1"/>
  <c r="J508" i="18" s="1"/>
  <c r="I509" i="18" s="1"/>
  <c r="J509" i="18" s="1"/>
  <c r="I510" i="18" s="1"/>
  <c r="J510" i="18" s="1"/>
  <c r="I511" i="18" s="1"/>
  <c r="J511" i="18" s="1"/>
  <c r="I512" i="18" s="1"/>
  <c r="J512" i="18" s="1"/>
  <c r="I513" i="18" s="1"/>
  <c r="J513" i="18" s="1"/>
  <c r="I514" i="18" s="1"/>
  <c r="J514" i="18" s="1"/>
  <c r="I515" i="18" s="1"/>
  <c r="J515" i="18" s="1"/>
  <c r="I516" i="18" s="1"/>
  <c r="J516" i="18" s="1"/>
  <c r="I517" i="18" s="1"/>
  <c r="J517" i="18" s="1"/>
  <c r="I518" i="18" s="1"/>
  <c r="J518" i="18" s="1"/>
  <c r="I519" i="18" s="1"/>
  <c r="J519" i="18" s="1"/>
  <c r="I520" i="18" s="1"/>
  <c r="J520" i="18" s="1"/>
  <c r="I521" i="18" s="1"/>
  <c r="J521" i="18" s="1"/>
  <c r="I522" i="18" s="1"/>
  <c r="J522" i="18" s="1"/>
  <c r="I523" i="18" s="1"/>
  <c r="J523" i="18" s="1"/>
  <c r="I524" i="18" s="1"/>
  <c r="J524" i="18" s="1"/>
  <c r="I525" i="18" s="1"/>
  <c r="J525" i="18" s="1"/>
  <c r="I526" i="18" s="1"/>
  <c r="J526" i="18" s="1"/>
  <c r="I527" i="18" s="1"/>
  <c r="J527" i="18" s="1"/>
  <c r="I528" i="18" s="1"/>
  <c r="J528" i="18" s="1"/>
  <c r="I529" i="18" s="1"/>
  <c r="J529" i="18" s="1"/>
  <c r="I530" i="18" s="1"/>
  <c r="J530" i="18" s="1"/>
  <c r="I531" i="18" s="1"/>
  <c r="J531" i="18" s="1"/>
  <c r="I532" i="18" s="1"/>
  <c r="J532" i="18" s="1"/>
  <c r="I533" i="18" s="1"/>
  <c r="J533" i="18" s="1"/>
  <c r="I534" i="18" s="1"/>
  <c r="J534" i="18" s="1"/>
  <c r="I535" i="18" s="1"/>
  <c r="J535" i="18" s="1"/>
  <c r="I536" i="18" s="1"/>
  <c r="J536" i="18" s="1"/>
  <c r="I537" i="18" s="1"/>
  <c r="J537" i="18" s="1"/>
  <c r="I538" i="18" s="1"/>
  <c r="J538" i="18" s="1"/>
  <c r="I539" i="18" s="1"/>
  <c r="J539" i="18" s="1"/>
  <c r="I540" i="18" s="1"/>
  <c r="J540" i="18" s="1"/>
  <c r="I541" i="18" s="1"/>
  <c r="J541" i="18" s="1"/>
  <c r="I542" i="18" s="1"/>
  <c r="J542" i="18" s="1"/>
  <c r="I543" i="18" s="1"/>
  <c r="J543" i="18" s="1"/>
  <c r="I544" i="18" s="1"/>
  <c r="J544" i="18" s="1"/>
  <c r="I545" i="18" s="1"/>
  <c r="J545" i="18" s="1"/>
  <c r="I546" i="18" s="1"/>
  <c r="J546" i="18" s="1"/>
  <c r="I547" i="18" s="1"/>
  <c r="J547" i="18" s="1"/>
  <c r="I548" i="18" s="1"/>
  <c r="J548" i="18" s="1"/>
  <c r="I549" i="18" s="1"/>
  <c r="J549" i="18" s="1"/>
  <c r="I550" i="18" s="1"/>
  <c r="J550" i="18" s="1"/>
  <c r="I551" i="18" s="1"/>
  <c r="J551" i="18" s="1"/>
  <c r="I552" i="18" s="1"/>
  <c r="J552" i="18" s="1"/>
  <c r="I553" i="18" s="1"/>
  <c r="J553" i="18" s="1"/>
  <c r="I554" i="18" s="1"/>
  <c r="J554" i="18" s="1"/>
  <c r="I555" i="18" s="1"/>
  <c r="J555" i="18" s="1"/>
  <c r="I556" i="18" s="1"/>
  <c r="J556" i="18" s="1"/>
  <c r="I557" i="18" s="1"/>
  <c r="J557" i="18" s="1"/>
  <c r="I558" i="18" s="1"/>
  <c r="J558" i="18" s="1"/>
  <c r="I559" i="18" s="1"/>
  <c r="J559" i="18" s="1"/>
  <c r="I560" i="18" s="1"/>
  <c r="J560" i="18" s="1"/>
  <c r="I561" i="18" s="1"/>
  <c r="J561" i="18" s="1"/>
  <c r="I562" i="18" s="1"/>
  <c r="J562" i="18" s="1"/>
  <c r="I563" i="18" s="1"/>
  <c r="J563" i="18" s="1"/>
  <c r="I564" i="18" s="1"/>
  <c r="J564" i="18" s="1"/>
  <c r="I565" i="18" s="1"/>
  <c r="J565" i="18" s="1"/>
  <c r="I566" i="18" s="1"/>
  <c r="J566" i="18" s="1"/>
  <c r="I567" i="18" s="1"/>
  <c r="J567" i="18" s="1"/>
  <c r="I568" i="18" s="1"/>
  <c r="J568" i="18" s="1"/>
  <c r="I569" i="18" s="1"/>
  <c r="J569" i="18" s="1"/>
  <c r="I570" i="18" s="1"/>
  <c r="J570" i="18" s="1"/>
  <c r="I571" i="18" s="1"/>
  <c r="J571" i="18" s="1"/>
  <c r="I572" i="18" s="1"/>
  <c r="J572" i="18" s="1"/>
  <c r="I573" i="18" s="1"/>
  <c r="J573" i="18" s="1"/>
  <c r="I574" i="18" s="1"/>
  <c r="J574" i="18" s="1"/>
  <c r="I575" i="18" s="1"/>
  <c r="J575" i="18" s="1"/>
  <c r="I576" i="18" s="1"/>
  <c r="J576" i="18" s="1"/>
  <c r="I577" i="18" s="1"/>
  <c r="J577" i="18" s="1"/>
  <c r="I578" i="18" s="1"/>
  <c r="J578" i="18" s="1"/>
  <c r="I579" i="18" s="1"/>
  <c r="J579" i="18" s="1"/>
  <c r="I580" i="18" s="1"/>
  <c r="J580" i="18" s="1"/>
  <c r="I581" i="18" s="1"/>
  <c r="J581" i="18" s="1"/>
  <c r="I582" i="18" s="1"/>
  <c r="J582" i="18" s="1"/>
  <c r="I583" i="18" s="1"/>
  <c r="J583" i="18" s="1"/>
  <c r="I584" i="18" s="1"/>
  <c r="J584" i="18" s="1"/>
  <c r="I585" i="18" s="1"/>
  <c r="J585" i="18" s="1"/>
  <c r="I586" i="18" s="1"/>
  <c r="J586" i="18" s="1"/>
  <c r="I587" i="18" s="1"/>
  <c r="J587" i="18" s="1"/>
  <c r="I588" i="18" s="1"/>
  <c r="J588" i="18" s="1"/>
  <c r="I589" i="18" s="1"/>
  <c r="J589" i="18" s="1"/>
  <c r="I590" i="18" s="1"/>
  <c r="J590" i="18" s="1"/>
  <c r="I591" i="18" s="1"/>
  <c r="J591" i="18" s="1"/>
  <c r="I592" i="18" s="1"/>
  <c r="J592" i="18" s="1"/>
  <c r="I593" i="18" s="1"/>
  <c r="J593" i="18" s="1"/>
  <c r="I594" i="18" s="1"/>
  <c r="J594" i="18" s="1"/>
  <c r="I595" i="18" s="1"/>
  <c r="J595" i="18" s="1"/>
  <c r="I596" i="18" s="1"/>
  <c r="J596" i="18" s="1"/>
  <c r="I597" i="18" s="1"/>
  <c r="J597" i="18" s="1"/>
  <c r="I598" i="18" s="1"/>
  <c r="J598" i="18" s="1"/>
  <c r="I599" i="18" s="1"/>
  <c r="J599" i="18" s="1"/>
  <c r="I600" i="18" s="1"/>
  <c r="J600" i="18" s="1"/>
  <c r="I601" i="18" s="1"/>
  <c r="J601" i="18" s="1"/>
  <c r="I602" i="18" s="1"/>
  <c r="J602" i="18" s="1"/>
  <c r="I603" i="18" s="1"/>
  <c r="J603" i="18" s="1"/>
  <c r="I604" i="18" s="1"/>
  <c r="J604" i="18" s="1"/>
  <c r="I605" i="18" s="1"/>
  <c r="J605" i="18" s="1"/>
  <c r="I606" i="18" s="1"/>
  <c r="J606" i="18" s="1"/>
  <c r="I607" i="18" s="1"/>
  <c r="J607" i="18" s="1"/>
  <c r="I608" i="18" s="1"/>
  <c r="J608" i="18" s="1"/>
  <c r="I609" i="18" s="1"/>
  <c r="J609" i="18" s="1"/>
  <c r="I610" i="18" s="1"/>
  <c r="J610" i="18" s="1"/>
  <c r="I611" i="18" s="1"/>
  <c r="J611" i="18" s="1"/>
  <c r="I612" i="18" s="1"/>
  <c r="J612" i="18" s="1"/>
  <c r="I613" i="18" s="1"/>
  <c r="J613" i="18" s="1"/>
  <c r="I614" i="18" s="1"/>
  <c r="J614" i="18" s="1"/>
  <c r="I615" i="18" s="1"/>
  <c r="J615" i="18" s="1"/>
  <c r="I616" i="18" s="1"/>
  <c r="J616" i="18" s="1"/>
  <c r="I617" i="18" s="1"/>
  <c r="J617" i="18" s="1"/>
  <c r="I618" i="18" s="1"/>
  <c r="J618" i="18" s="1"/>
  <c r="I619" i="18" s="1"/>
  <c r="J619" i="18" s="1"/>
  <c r="I620" i="18" s="1"/>
  <c r="J620" i="18" s="1"/>
  <c r="I621" i="18" s="1"/>
  <c r="J621" i="18" s="1"/>
  <c r="I622" i="18" s="1"/>
  <c r="J622" i="18" s="1"/>
  <c r="I623" i="18" s="1"/>
  <c r="J623" i="18" s="1"/>
  <c r="I624" i="18" s="1"/>
  <c r="J624" i="18" s="1"/>
  <c r="I625" i="18" s="1"/>
  <c r="J625" i="18" s="1"/>
  <c r="I626" i="18" s="1"/>
  <c r="J626" i="18" s="1"/>
  <c r="I627" i="18" s="1"/>
  <c r="J627" i="18" s="1"/>
  <c r="I628" i="18" s="1"/>
  <c r="J628" i="18" s="1"/>
  <c r="I629" i="18" s="1"/>
  <c r="J629" i="18" s="1"/>
  <c r="I630" i="18" s="1"/>
  <c r="J630" i="18" s="1"/>
  <c r="I631" i="18" s="1"/>
  <c r="J631" i="18" s="1"/>
  <c r="I632" i="18" s="1"/>
  <c r="J632" i="18" s="1"/>
  <c r="I633" i="18" s="1"/>
  <c r="J633" i="18" s="1"/>
  <c r="I634" i="18" s="1"/>
  <c r="J634" i="18" s="1"/>
  <c r="I635" i="18" s="1"/>
  <c r="J635" i="18" s="1"/>
  <c r="I636" i="18" s="1"/>
  <c r="J636" i="18" s="1"/>
  <c r="I637" i="18" s="1"/>
  <c r="J637" i="18" s="1"/>
  <c r="I638" i="18" s="1"/>
  <c r="J638" i="18" s="1"/>
  <c r="I639" i="18" s="1"/>
  <c r="J639" i="18" s="1"/>
  <c r="I640" i="18" s="1"/>
  <c r="J640" i="18" s="1"/>
  <c r="I641" i="18" s="1"/>
  <c r="J641" i="18" s="1"/>
  <c r="I642" i="18" s="1"/>
  <c r="J642" i="18" s="1"/>
  <c r="I643" i="18" s="1"/>
  <c r="J643" i="18" s="1"/>
  <c r="I644" i="18" s="1"/>
  <c r="J644" i="18" s="1"/>
  <c r="I645" i="18" s="1"/>
  <c r="J645" i="18" s="1"/>
  <c r="I646" i="18" s="1"/>
  <c r="J646" i="18" s="1"/>
  <c r="I647" i="18" s="1"/>
  <c r="J647" i="18" s="1"/>
  <c r="I648" i="18" s="1"/>
  <c r="J648" i="18" s="1"/>
  <c r="I649" i="18" s="1"/>
  <c r="J649" i="18" s="1"/>
  <c r="I650" i="18" s="1"/>
  <c r="J650" i="18" s="1"/>
  <c r="I651" i="18" s="1"/>
  <c r="J651" i="18" s="1"/>
  <c r="I652" i="18" s="1"/>
  <c r="J652" i="18" s="1"/>
  <c r="I653" i="18" s="1"/>
  <c r="J653" i="18" s="1"/>
  <c r="I654" i="18" s="1"/>
  <c r="J654" i="18" s="1"/>
  <c r="I655" i="18" s="1"/>
  <c r="J655" i="18" s="1"/>
  <c r="I656" i="18" s="1"/>
  <c r="J656" i="18" s="1"/>
  <c r="I657" i="18" s="1"/>
  <c r="J657" i="18" s="1"/>
  <c r="I658" i="18" s="1"/>
  <c r="J658" i="18" s="1"/>
  <c r="I659" i="18" s="1"/>
  <c r="J659" i="18" s="1"/>
  <c r="I660" i="18" s="1"/>
  <c r="J660" i="18" s="1"/>
  <c r="I661" i="18" s="1"/>
  <c r="J661" i="18" s="1"/>
  <c r="I662" i="18" s="1"/>
  <c r="J662" i="18" s="1"/>
  <c r="I663" i="18" s="1"/>
  <c r="J663" i="18" s="1"/>
  <c r="I664" i="18" s="1"/>
  <c r="J664" i="18" s="1"/>
  <c r="I665" i="18" s="1"/>
  <c r="J665" i="18" s="1"/>
  <c r="I666" i="18" s="1"/>
  <c r="J666" i="18" s="1"/>
  <c r="I667" i="18" s="1"/>
  <c r="J667" i="18" s="1"/>
  <c r="I668" i="18" s="1"/>
  <c r="J668" i="18" s="1"/>
  <c r="I669" i="18" s="1"/>
  <c r="J669" i="18" s="1"/>
  <c r="I670" i="18" s="1"/>
  <c r="J670" i="18" s="1"/>
  <c r="I671" i="18" s="1"/>
  <c r="J671" i="18" s="1"/>
  <c r="I672" i="18" s="1"/>
  <c r="J672" i="18" s="1"/>
  <c r="I673" i="18" s="1"/>
  <c r="J673" i="18" s="1"/>
  <c r="I674" i="18" s="1"/>
  <c r="J674" i="18" s="1"/>
  <c r="I675" i="18" s="1"/>
  <c r="J675" i="18" s="1"/>
  <c r="I676" i="18" s="1"/>
  <c r="J676" i="18" s="1"/>
  <c r="I677" i="18" s="1"/>
  <c r="J677" i="18" s="1"/>
  <c r="I678" i="18" s="1"/>
  <c r="J678" i="18" s="1"/>
  <c r="I679" i="18" s="1"/>
  <c r="J679" i="18" s="1"/>
  <c r="I680" i="18" s="1"/>
  <c r="J680" i="18" s="1"/>
  <c r="I681" i="18" s="1"/>
  <c r="J681" i="18" s="1"/>
  <c r="I682" i="18" s="1"/>
  <c r="J682" i="18" s="1"/>
  <c r="I683" i="18" s="1"/>
  <c r="J683" i="18" s="1"/>
  <c r="I684" i="18" s="1"/>
  <c r="J684" i="18" s="1"/>
  <c r="I685" i="18" s="1"/>
  <c r="J685" i="18" s="1"/>
  <c r="I686" i="18" s="1"/>
  <c r="J686" i="18" s="1"/>
  <c r="I687" i="18" s="1"/>
  <c r="J687" i="18" s="1"/>
  <c r="I688" i="18" s="1"/>
  <c r="J688" i="18" s="1"/>
  <c r="I689" i="18" s="1"/>
  <c r="J689" i="18" s="1"/>
  <c r="I690" i="18" s="1"/>
  <c r="J690" i="18" s="1"/>
  <c r="I691" i="18" s="1"/>
  <c r="J691" i="18" s="1"/>
  <c r="I692" i="18" s="1"/>
  <c r="J692" i="18" s="1"/>
  <c r="I693" i="18" s="1"/>
  <c r="J693" i="18" s="1"/>
  <c r="I694" i="18" s="1"/>
  <c r="J694" i="18" s="1"/>
  <c r="I695" i="18" s="1"/>
  <c r="J695" i="18" s="1"/>
  <c r="I696" i="18" s="1"/>
  <c r="J696" i="18" s="1"/>
  <c r="I697" i="18" s="1"/>
  <c r="J697" i="18" s="1"/>
  <c r="I698" i="18" s="1"/>
  <c r="J698" i="18" s="1"/>
  <c r="I699" i="18" s="1"/>
  <c r="J699" i="18" s="1"/>
  <c r="I700" i="18" s="1"/>
  <c r="J700" i="18" s="1"/>
  <c r="I701" i="18" s="1"/>
  <c r="J701" i="18" s="1"/>
  <c r="I702" i="18" s="1"/>
  <c r="J702" i="18" s="1"/>
  <c r="I703" i="18" s="1"/>
  <c r="J703" i="18" s="1"/>
  <c r="I704" i="18" s="1"/>
  <c r="J704" i="18" s="1"/>
  <c r="I705" i="18" s="1"/>
  <c r="J705" i="18" s="1"/>
  <c r="I706" i="18" s="1"/>
  <c r="J706" i="18" s="1"/>
  <c r="I707" i="18" s="1"/>
  <c r="J707" i="18" s="1"/>
  <c r="I708" i="18" s="1"/>
  <c r="J708" i="18" s="1"/>
  <c r="I709" i="18" s="1"/>
  <c r="J709" i="18" s="1"/>
  <c r="I710" i="18" s="1"/>
  <c r="J710" i="18" s="1"/>
  <c r="I711" i="18" s="1"/>
  <c r="J711" i="18" s="1"/>
  <c r="I712" i="18" s="1"/>
  <c r="J712" i="18" s="1"/>
  <c r="I713" i="18" s="1"/>
  <c r="J713" i="18" s="1"/>
  <c r="I714" i="18" s="1"/>
  <c r="J714" i="18" s="1"/>
  <c r="I715" i="18" s="1"/>
  <c r="J715" i="18" s="1"/>
  <c r="I716" i="18" s="1"/>
  <c r="J716" i="18" s="1"/>
  <c r="I717" i="18" s="1"/>
  <c r="J717" i="18" s="1"/>
  <c r="I718" i="18" s="1"/>
  <c r="J718" i="18" s="1"/>
  <c r="I719" i="18" s="1"/>
  <c r="J719" i="18" s="1"/>
  <c r="I720" i="18" s="1"/>
  <c r="J720" i="18" s="1"/>
  <c r="I721" i="18" s="1"/>
  <c r="J721" i="18" s="1"/>
  <c r="I722" i="18" s="1"/>
  <c r="J722" i="18" s="1"/>
  <c r="I723" i="18" s="1"/>
  <c r="J723" i="18" s="1"/>
  <c r="I724" i="18" s="1"/>
  <c r="J724" i="18" s="1"/>
  <c r="I725" i="18" s="1"/>
  <c r="J725" i="18" s="1"/>
  <c r="I726" i="18" s="1"/>
  <c r="J726" i="18" s="1"/>
  <c r="I727" i="18" s="1"/>
  <c r="J727" i="18" s="1"/>
  <c r="I728" i="18" s="1"/>
  <c r="J728" i="18" s="1"/>
  <c r="I729" i="18" s="1"/>
  <c r="J729" i="18" s="1"/>
  <c r="I730" i="18" s="1"/>
  <c r="J730" i="18" s="1"/>
  <c r="I731" i="18" s="1"/>
  <c r="J731" i="18" s="1"/>
  <c r="I732" i="18" s="1"/>
  <c r="J732" i="18" s="1"/>
  <c r="I733" i="18" s="1"/>
  <c r="J733" i="18" s="1"/>
  <c r="I734" i="18" s="1"/>
  <c r="J734" i="18" s="1"/>
  <c r="I735" i="18" s="1"/>
  <c r="J735" i="18" s="1"/>
  <c r="I736" i="18" s="1"/>
  <c r="J736" i="18" s="1"/>
  <c r="I737" i="18" s="1"/>
  <c r="J737" i="18" s="1"/>
  <c r="I738" i="18" s="1"/>
  <c r="J738" i="18" s="1"/>
  <c r="I739" i="18" s="1"/>
  <c r="J739" i="18" s="1"/>
  <c r="I740" i="18" s="1"/>
  <c r="J740" i="18" s="1"/>
  <c r="I741" i="18" s="1"/>
  <c r="J741" i="18" s="1"/>
  <c r="I742" i="18" s="1"/>
  <c r="J742" i="18" s="1"/>
  <c r="I743" i="18" s="1"/>
  <c r="J743" i="18" s="1"/>
  <c r="I744" i="18" s="1"/>
  <c r="J744" i="18" s="1"/>
  <c r="I745" i="18" s="1"/>
  <c r="J745" i="18" s="1"/>
  <c r="I746" i="18" s="1"/>
  <c r="J746" i="18" s="1"/>
  <c r="I747" i="18" s="1"/>
  <c r="J747" i="18" s="1"/>
  <c r="I748" i="18" s="1"/>
  <c r="J748" i="18" s="1"/>
  <c r="I749" i="18" s="1"/>
  <c r="J749" i="18" s="1"/>
  <c r="I750" i="18" s="1"/>
  <c r="J750" i="18" s="1"/>
  <c r="I751" i="18" s="1"/>
  <c r="J751" i="18" s="1"/>
  <c r="I752" i="18" s="1"/>
  <c r="J752" i="18" s="1"/>
  <c r="I753" i="18" s="1"/>
  <c r="J753" i="18" s="1"/>
  <c r="I754" i="18" s="1"/>
  <c r="J754" i="18" s="1"/>
  <c r="I755" i="18" s="1"/>
  <c r="J755" i="18" s="1"/>
  <c r="I756" i="18" s="1"/>
  <c r="J756" i="18" s="1"/>
  <c r="I757" i="18" s="1"/>
  <c r="J757" i="18" s="1"/>
  <c r="I758" i="18" s="1"/>
  <c r="J758" i="18" s="1"/>
  <c r="I759" i="18" s="1"/>
  <c r="J759" i="18" s="1"/>
  <c r="I760" i="18" s="1"/>
  <c r="J760" i="18" s="1"/>
  <c r="I761" i="18" s="1"/>
  <c r="J761" i="18" s="1"/>
  <c r="I762" i="18" s="1"/>
  <c r="J762" i="18" s="1"/>
  <c r="I763" i="18" s="1"/>
  <c r="J763" i="18" s="1"/>
  <c r="I764" i="18" s="1"/>
  <c r="J764" i="18" s="1"/>
  <c r="I765" i="18" s="1"/>
  <c r="J765" i="18" s="1"/>
  <c r="I766" i="18" s="1"/>
  <c r="J766" i="18" s="1"/>
  <c r="I767" i="18" s="1"/>
  <c r="J767" i="18" s="1"/>
  <c r="I768" i="18" s="1"/>
  <c r="J768" i="18" s="1"/>
  <c r="I769" i="18" s="1"/>
  <c r="J769" i="18" s="1"/>
  <c r="I770" i="18" s="1"/>
  <c r="J770" i="18" s="1"/>
  <c r="I771" i="18" s="1"/>
  <c r="J771" i="18" s="1"/>
  <c r="I772" i="18" s="1"/>
  <c r="J772" i="18" s="1"/>
  <c r="I773" i="18" s="1"/>
  <c r="J773" i="18" s="1"/>
  <c r="I774" i="18" s="1"/>
  <c r="J774" i="18" s="1"/>
  <c r="I775" i="18" s="1"/>
  <c r="J775" i="18" s="1"/>
  <c r="I776" i="18" s="1"/>
  <c r="J776" i="18" s="1"/>
  <c r="I777" i="18" s="1"/>
  <c r="J777" i="18" s="1"/>
  <c r="I778" i="18" s="1"/>
  <c r="J778" i="18" s="1"/>
  <c r="I779" i="18" s="1"/>
  <c r="J779" i="18" s="1"/>
  <c r="I780" i="18" s="1"/>
  <c r="J780" i="18" s="1"/>
  <c r="I781" i="18" s="1"/>
  <c r="J781" i="18" s="1"/>
  <c r="I782" i="18" s="1"/>
  <c r="J782" i="18" s="1"/>
  <c r="I783" i="18" s="1"/>
  <c r="J783" i="18" s="1"/>
  <c r="I784" i="18" s="1"/>
  <c r="J784" i="18" s="1"/>
  <c r="I785" i="18" s="1"/>
  <c r="J785" i="18" s="1"/>
  <c r="I786" i="18" s="1"/>
  <c r="J786" i="18" s="1"/>
  <c r="I787" i="18" s="1"/>
  <c r="J787" i="18" s="1"/>
  <c r="I788" i="18" s="1"/>
  <c r="J788" i="18" s="1"/>
  <c r="I789" i="18" s="1"/>
  <c r="J789" i="18" s="1"/>
  <c r="I790" i="18" s="1"/>
  <c r="J790" i="18" s="1"/>
  <c r="I791" i="18" s="1"/>
  <c r="J791" i="18" s="1"/>
  <c r="I792" i="18" s="1"/>
  <c r="J792" i="18" s="1"/>
  <c r="I793" i="18" s="1"/>
  <c r="J793" i="18" s="1"/>
  <c r="I794" i="18" s="1"/>
  <c r="J794" i="18" s="1"/>
  <c r="I795" i="18" s="1"/>
  <c r="J795" i="18" s="1"/>
  <c r="I796" i="18" s="1"/>
  <c r="J796" i="18" s="1"/>
  <c r="I797" i="18" s="1"/>
  <c r="J797" i="18" s="1"/>
  <c r="I798" i="18" s="1"/>
  <c r="J798" i="18" s="1"/>
  <c r="I799" i="18" s="1"/>
  <c r="J799" i="18" s="1"/>
  <c r="I800" i="18" s="1"/>
  <c r="J800" i="18" s="1"/>
  <c r="I801" i="18" s="1"/>
  <c r="J801" i="18" s="1"/>
  <c r="I802" i="18" s="1"/>
  <c r="J802" i="18" s="1"/>
  <c r="I803" i="18" s="1"/>
  <c r="J803" i="18" s="1"/>
  <c r="I804" i="18" s="1"/>
  <c r="J804" i="18" s="1"/>
  <c r="I805" i="18" s="1"/>
  <c r="J805" i="18" s="1"/>
  <c r="I806" i="18" s="1"/>
  <c r="J806" i="18" s="1"/>
  <c r="I807" i="18" s="1"/>
  <c r="J807" i="18" s="1"/>
  <c r="I808" i="18" s="1"/>
  <c r="J808" i="18" s="1"/>
  <c r="I809" i="18" s="1"/>
  <c r="J809" i="18" s="1"/>
  <c r="I810" i="18" s="1"/>
  <c r="J810" i="18" s="1"/>
  <c r="I811" i="18" s="1"/>
  <c r="J811" i="18" s="1"/>
  <c r="I812" i="18" s="1"/>
  <c r="J812" i="18" s="1"/>
  <c r="I813" i="18" s="1"/>
  <c r="J813" i="18" s="1"/>
  <c r="I814" i="18" s="1"/>
  <c r="J814" i="18" s="1"/>
  <c r="I815" i="18" s="1"/>
  <c r="J815" i="18" s="1"/>
  <c r="I816" i="18" s="1"/>
  <c r="J816" i="18" s="1"/>
  <c r="I817" i="18" s="1"/>
  <c r="J817" i="18" s="1"/>
  <c r="I818" i="18" s="1"/>
  <c r="J818" i="18" s="1"/>
  <c r="I819" i="18" s="1"/>
  <c r="J819" i="18" s="1"/>
  <c r="I820" i="18" s="1"/>
  <c r="J820" i="18" s="1"/>
  <c r="I821" i="18" s="1"/>
  <c r="J821" i="18" s="1"/>
  <c r="I822" i="18" s="1"/>
  <c r="J822" i="18" s="1"/>
  <c r="I823" i="18" s="1"/>
  <c r="J823" i="18" s="1"/>
  <c r="I824" i="18" s="1"/>
  <c r="J824" i="18" s="1"/>
  <c r="I825" i="18" s="1"/>
  <c r="J825" i="18" s="1"/>
  <c r="I826" i="18" s="1"/>
  <c r="J826" i="18" s="1"/>
  <c r="I827" i="18" s="1"/>
  <c r="J827" i="18" s="1"/>
  <c r="I828" i="18" s="1"/>
  <c r="J828" i="18" s="1"/>
  <c r="I829" i="18" s="1"/>
  <c r="J829" i="18" s="1"/>
  <c r="I830" i="18" s="1"/>
  <c r="J830" i="18" s="1"/>
  <c r="I831" i="18" s="1"/>
  <c r="J831" i="18" s="1"/>
  <c r="I832" i="18" s="1"/>
  <c r="J832" i="18" s="1"/>
  <c r="I833" i="18" s="1"/>
  <c r="J833" i="18" s="1"/>
  <c r="I834" i="18" s="1"/>
  <c r="J834" i="18" s="1"/>
  <c r="I835" i="18" s="1"/>
  <c r="J835" i="18" s="1"/>
  <c r="I836" i="18" s="1"/>
  <c r="J836" i="18" s="1"/>
  <c r="I837" i="18" s="1"/>
  <c r="J837" i="18" s="1"/>
  <c r="I838" i="18" s="1"/>
  <c r="J838" i="18" s="1"/>
  <c r="I839" i="18" s="1"/>
  <c r="J839" i="18" s="1"/>
  <c r="I840" i="18" s="1"/>
  <c r="J840" i="18" s="1"/>
  <c r="I841" i="18" s="1"/>
  <c r="J841" i="18" s="1"/>
  <c r="I842" i="18" s="1"/>
  <c r="J842" i="18" s="1"/>
  <c r="I843" i="18" s="1"/>
  <c r="J843" i="18" s="1"/>
  <c r="I844" i="18" s="1"/>
  <c r="J844" i="18" s="1"/>
  <c r="I845" i="18" s="1"/>
  <c r="J845" i="18" s="1"/>
  <c r="I846" i="18" s="1"/>
  <c r="J846" i="18" s="1"/>
  <c r="I847" i="18" s="1"/>
  <c r="J847" i="18" s="1"/>
  <c r="I848" i="18" s="1"/>
  <c r="J848" i="18" s="1"/>
  <c r="I849" i="18" s="1"/>
  <c r="J849" i="18" s="1"/>
  <c r="I850" i="18" s="1"/>
  <c r="J850" i="18" s="1"/>
  <c r="I851" i="18" s="1"/>
  <c r="J851" i="18" s="1"/>
  <c r="I852" i="18" s="1"/>
  <c r="J852" i="18" s="1"/>
  <c r="I853" i="18" s="1"/>
  <c r="J853" i="18" s="1"/>
  <c r="I854" i="18" s="1"/>
  <c r="J854" i="18" s="1"/>
  <c r="I855" i="18" s="1"/>
  <c r="J855" i="18" s="1"/>
  <c r="I856" i="18" s="1"/>
  <c r="J856" i="18" s="1"/>
  <c r="I857" i="18" s="1"/>
  <c r="J857" i="18" s="1"/>
  <c r="I858" i="18" s="1"/>
  <c r="J858" i="18" s="1"/>
  <c r="I859" i="18" s="1"/>
  <c r="J859" i="18" s="1"/>
  <c r="I860" i="18" s="1"/>
  <c r="J860" i="18" s="1"/>
  <c r="I861" i="18" s="1"/>
  <c r="J861" i="18" s="1"/>
  <c r="I862" i="18" s="1"/>
  <c r="J862" i="18" s="1"/>
  <c r="I863" i="18" s="1"/>
  <c r="J863" i="18" s="1"/>
  <c r="I864" i="18" s="1"/>
  <c r="J864" i="18" s="1"/>
  <c r="I865" i="18" s="1"/>
  <c r="J865" i="18" s="1"/>
  <c r="I866" i="18" s="1"/>
  <c r="J866" i="18" s="1"/>
  <c r="I867" i="18" s="1"/>
  <c r="J867" i="18" s="1"/>
  <c r="I868" i="18" s="1"/>
  <c r="J868" i="18" s="1"/>
  <c r="I869" i="18" s="1"/>
  <c r="J869" i="18" s="1"/>
  <c r="I870" i="18" s="1"/>
  <c r="J870" i="18" s="1"/>
  <c r="I871" i="18" s="1"/>
  <c r="J871" i="18" s="1"/>
  <c r="I872" i="18" s="1"/>
  <c r="J872" i="18" s="1"/>
  <c r="I873" i="18" s="1"/>
  <c r="J873" i="18" s="1"/>
  <c r="I874" i="18" s="1"/>
  <c r="J874" i="18" s="1"/>
  <c r="I875" i="18" s="1"/>
  <c r="J875" i="18" s="1"/>
  <c r="I876" i="18" s="1"/>
  <c r="J876" i="18" s="1"/>
  <c r="I877" i="18" s="1"/>
  <c r="J877" i="18" s="1"/>
  <c r="I878" i="18" s="1"/>
  <c r="J878" i="18" s="1"/>
  <c r="I879" i="18" s="1"/>
  <c r="J879" i="18" s="1"/>
  <c r="I880" i="18" s="1"/>
  <c r="J880" i="18" s="1"/>
  <c r="I881" i="18" s="1"/>
  <c r="J881" i="18" s="1"/>
  <c r="I882" i="18" s="1"/>
  <c r="J882" i="18" s="1"/>
  <c r="I883" i="18" s="1"/>
  <c r="J883" i="18" s="1"/>
  <c r="I884" i="18" s="1"/>
  <c r="J884" i="18" s="1"/>
  <c r="I885" i="18" s="1"/>
  <c r="J885" i="18" s="1"/>
  <c r="I886" i="18" s="1"/>
  <c r="J886" i="18" s="1"/>
  <c r="I887" i="18" s="1"/>
  <c r="J887" i="18" s="1"/>
  <c r="I888" i="18" s="1"/>
  <c r="J888" i="18" s="1"/>
  <c r="I889" i="18" s="1"/>
  <c r="J889" i="18" s="1"/>
  <c r="I890" i="18" s="1"/>
  <c r="J890" i="18" s="1"/>
  <c r="I891" i="18" s="1"/>
  <c r="J891" i="18" s="1"/>
  <c r="I892" i="18" s="1"/>
  <c r="J892" i="18" s="1"/>
  <c r="I893" i="18" s="1"/>
  <c r="J893" i="18" s="1"/>
  <c r="I894" i="18" s="1"/>
  <c r="J894" i="18" s="1"/>
  <c r="I895" i="18" s="1"/>
  <c r="J895" i="18" s="1"/>
  <c r="I896" i="18" s="1"/>
  <c r="J896" i="18" s="1"/>
  <c r="I897" i="18" s="1"/>
  <c r="J897" i="18" s="1"/>
  <c r="I898" i="18" s="1"/>
  <c r="J898" i="18" s="1"/>
  <c r="I899" i="18" s="1"/>
  <c r="J899" i="18" s="1"/>
  <c r="I900" i="18" s="1"/>
  <c r="J900" i="18" s="1"/>
  <c r="I901" i="18" s="1"/>
  <c r="J901" i="18" s="1"/>
  <c r="I902" i="18" s="1"/>
  <c r="J902" i="18" s="1"/>
  <c r="I903" i="18" s="1"/>
  <c r="J903" i="18" s="1"/>
  <c r="I904" i="18" s="1"/>
  <c r="J904" i="18" s="1"/>
  <c r="I905" i="18" s="1"/>
  <c r="J905" i="18" s="1"/>
  <c r="I906" i="18" s="1"/>
  <c r="J906" i="18" s="1"/>
  <c r="I907" i="18" s="1"/>
  <c r="J907" i="18" s="1"/>
  <c r="I908" i="18" s="1"/>
  <c r="J908" i="18" s="1"/>
  <c r="I909" i="18" s="1"/>
  <c r="J909" i="18" s="1"/>
  <c r="I910" i="18" s="1"/>
  <c r="J910" i="18" s="1"/>
  <c r="I911" i="18" s="1"/>
  <c r="J911" i="18" s="1"/>
  <c r="I912" i="18" s="1"/>
  <c r="J912" i="18" s="1"/>
  <c r="I913" i="18" s="1"/>
  <c r="J913" i="18" s="1"/>
  <c r="I914" i="18" s="1"/>
  <c r="J914" i="18" s="1"/>
  <c r="I915" i="18" s="1"/>
  <c r="J915" i="18" s="1"/>
  <c r="I916" i="18" s="1"/>
  <c r="J916" i="18" s="1"/>
  <c r="I917" i="18" s="1"/>
  <c r="J917" i="18" s="1"/>
  <c r="I918" i="18" s="1"/>
  <c r="J918" i="18" s="1"/>
  <c r="I919" i="18" s="1"/>
  <c r="J919" i="18" s="1"/>
  <c r="I920" i="18" s="1"/>
  <c r="J920" i="18" s="1"/>
  <c r="I921" i="18" s="1"/>
  <c r="J921" i="18" s="1"/>
  <c r="I922" i="18" s="1"/>
  <c r="J922" i="18" s="1"/>
  <c r="I923" i="18" s="1"/>
  <c r="J923" i="18" s="1"/>
  <c r="I924" i="18" s="1"/>
  <c r="J924" i="18" s="1"/>
  <c r="I925" i="18" s="1"/>
  <c r="J925" i="18" s="1"/>
  <c r="I926" i="18" s="1"/>
  <c r="J926" i="18" s="1"/>
  <c r="I927" i="18" s="1"/>
  <c r="J927" i="18" s="1"/>
  <c r="I928" i="18" s="1"/>
  <c r="J928" i="18" s="1"/>
  <c r="I929" i="18" s="1"/>
  <c r="J929" i="18" s="1"/>
  <c r="I930" i="18" s="1"/>
  <c r="J930" i="18" s="1"/>
  <c r="I931" i="18" s="1"/>
  <c r="J931" i="18" s="1"/>
  <c r="I932" i="18" s="1"/>
  <c r="J932" i="18" s="1"/>
  <c r="I933" i="18" s="1"/>
  <c r="J933" i="18" s="1"/>
  <c r="I934" i="18" s="1"/>
  <c r="J934" i="18" s="1"/>
  <c r="I935" i="18" s="1"/>
  <c r="J935" i="18" s="1"/>
  <c r="I936" i="18" s="1"/>
  <c r="J936" i="18" s="1"/>
  <c r="I937" i="18" s="1"/>
  <c r="J937" i="18" s="1"/>
  <c r="I938" i="18" s="1"/>
  <c r="J938" i="18" s="1"/>
  <c r="I939" i="18" s="1"/>
  <c r="J939" i="18" s="1"/>
  <c r="I940" i="18" s="1"/>
  <c r="J940" i="18" s="1"/>
  <c r="I941" i="18" s="1"/>
  <c r="J941" i="18" s="1"/>
  <c r="I942" i="18" s="1"/>
  <c r="J942" i="18" s="1"/>
  <c r="I943" i="18" s="1"/>
  <c r="J943" i="18" s="1"/>
  <c r="I944" i="18" s="1"/>
  <c r="J944" i="18" s="1"/>
  <c r="I945" i="18" s="1"/>
  <c r="J945" i="18" s="1"/>
  <c r="I946" i="18" s="1"/>
  <c r="J946" i="18" s="1"/>
  <c r="I947" i="18" s="1"/>
  <c r="J947" i="18" s="1"/>
  <c r="I948" i="18" s="1"/>
  <c r="J948" i="18" s="1"/>
  <c r="I949" i="18" s="1"/>
  <c r="J949" i="18" s="1"/>
  <c r="I950" i="18" s="1"/>
  <c r="J950" i="18" s="1"/>
  <c r="I951" i="18" s="1"/>
  <c r="J951" i="18" s="1"/>
  <c r="I952" i="18" s="1"/>
  <c r="J952" i="18" s="1"/>
  <c r="I953" i="18" s="1"/>
  <c r="J953" i="18" s="1"/>
  <c r="I954" i="18" s="1"/>
  <c r="J954" i="18" s="1"/>
  <c r="I955" i="18" s="1"/>
  <c r="J955" i="18" s="1"/>
  <c r="I956" i="18" s="1"/>
  <c r="J956" i="18" s="1"/>
  <c r="I957" i="18" s="1"/>
  <c r="J957" i="18" s="1"/>
  <c r="I958" i="18" s="1"/>
  <c r="J958" i="18" s="1"/>
  <c r="I959" i="18" s="1"/>
  <c r="J959" i="18" s="1"/>
  <c r="I960" i="18" s="1"/>
  <c r="J960" i="18" s="1"/>
  <c r="I961" i="18" s="1"/>
  <c r="J961" i="18" s="1"/>
  <c r="I962" i="18" s="1"/>
  <c r="J962" i="18" s="1"/>
  <c r="I963" i="18" s="1"/>
  <c r="J963" i="18" s="1"/>
  <c r="I964" i="18" s="1"/>
  <c r="J964" i="18" s="1"/>
  <c r="I965" i="18" s="1"/>
  <c r="J965" i="18" s="1"/>
  <c r="I966" i="18" s="1"/>
  <c r="J966" i="18" s="1"/>
  <c r="I967" i="18" s="1"/>
  <c r="J967" i="18" s="1"/>
  <c r="I968" i="18" s="1"/>
  <c r="J968" i="18" s="1"/>
  <c r="I969" i="18" s="1"/>
  <c r="J969" i="18" s="1"/>
  <c r="I970" i="18" s="1"/>
  <c r="J970" i="18" s="1"/>
  <c r="I971" i="18" s="1"/>
  <c r="J971" i="18" s="1"/>
  <c r="I972" i="18" s="1"/>
  <c r="J972" i="18" s="1"/>
  <c r="I973" i="18" s="1"/>
  <c r="J973" i="18" s="1"/>
  <c r="I974" i="18" s="1"/>
  <c r="J974" i="18" s="1"/>
  <c r="I975" i="18" s="1"/>
  <c r="J975" i="18" s="1"/>
  <c r="I976" i="18" s="1"/>
  <c r="J976" i="18" s="1"/>
  <c r="I977" i="18" s="1"/>
  <c r="J977" i="18" s="1"/>
  <c r="I978" i="18" s="1"/>
  <c r="J978" i="18" s="1"/>
  <c r="I979" i="18" s="1"/>
  <c r="J979" i="18" s="1"/>
  <c r="I980" i="18" s="1"/>
  <c r="J980" i="18" s="1"/>
  <c r="I981" i="18" s="1"/>
  <c r="J981" i="18" s="1"/>
  <c r="I982" i="18" s="1"/>
  <c r="J982" i="18" s="1"/>
  <c r="I983" i="18" s="1"/>
  <c r="J983" i="18" s="1"/>
  <c r="I984" i="18" s="1"/>
  <c r="J984" i="18" s="1"/>
  <c r="I985" i="18" s="1"/>
  <c r="J985" i="18" s="1"/>
  <c r="I986" i="18" s="1"/>
  <c r="J986" i="18" s="1"/>
  <c r="I987" i="18" s="1"/>
  <c r="J987" i="18" s="1"/>
  <c r="I988" i="18" s="1"/>
  <c r="J988" i="18" s="1"/>
  <c r="I989" i="18" s="1"/>
  <c r="J989" i="18" s="1"/>
  <c r="I990" i="18" s="1"/>
  <c r="J990" i="18" s="1"/>
  <c r="I991" i="18" s="1"/>
  <c r="J991" i="18" s="1"/>
  <c r="I992" i="18" s="1"/>
  <c r="J992" i="18" s="1"/>
  <c r="I993" i="18" s="1"/>
  <c r="J993" i="18" s="1"/>
  <c r="I994" i="18" s="1"/>
  <c r="J994" i="18" s="1"/>
  <c r="I995" i="18" s="1"/>
  <c r="J995" i="18" s="1"/>
  <c r="I996" i="18" s="1"/>
  <c r="J996" i="18" s="1"/>
  <c r="I997" i="18" s="1"/>
  <c r="J997" i="18" s="1"/>
  <c r="I998" i="18" s="1"/>
  <c r="J998" i="18" s="1"/>
  <c r="I999" i="18" s="1"/>
  <c r="J999" i="18" s="1"/>
  <c r="I1000" i="18" s="1"/>
  <c r="J1000" i="18" s="1"/>
  <c r="I1001" i="18" s="1"/>
  <c r="J1001" i="18" s="1"/>
  <c r="I1002" i="18" s="1"/>
  <c r="J1002" i="18" s="1"/>
  <c r="I1003" i="18" s="1"/>
  <c r="J1003" i="18" s="1"/>
  <c r="I1004" i="18" s="1"/>
  <c r="J1004" i="18" s="1"/>
  <c r="I1005" i="18" s="1"/>
  <c r="J1005" i="18" s="1"/>
  <c r="I1006" i="18" s="1"/>
  <c r="J1006" i="18" s="1"/>
  <c r="I1007" i="18" s="1"/>
  <c r="J1007" i="18" s="1"/>
  <c r="I1008" i="18" s="1"/>
  <c r="J1008" i="18" s="1"/>
  <c r="I1009" i="18" s="1"/>
  <c r="J1009" i="18" s="1"/>
  <c r="I1010" i="18" s="1"/>
  <c r="J1010" i="18" s="1"/>
  <c r="I1011" i="18" s="1"/>
  <c r="J1011" i="18" s="1"/>
  <c r="I1012" i="18" s="1"/>
  <c r="J1012" i="18" s="1"/>
  <c r="I1013" i="18" s="1"/>
  <c r="J1013" i="18" s="1"/>
  <c r="I1014" i="18" s="1"/>
  <c r="J1014" i="18" s="1"/>
  <c r="I1015" i="18" s="1"/>
  <c r="J1015" i="18" s="1"/>
  <c r="I1016" i="18" s="1"/>
  <c r="J1016" i="18" s="1"/>
  <c r="I1017" i="18" s="1"/>
  <c r="J1017" i="18" s="1"/>
  <c r="I1018" i="18" s="1"/>
  <c r="J1018" i="18" s="1"/>
  <c r="I1019" i="18" s="1"/>
  <c r="J1019" i="18" s="1"/>
  <c r="I1020" i="18" s="1"/>
  <c r="J1020" i="18" s="1"/>
  <c r="I1021" i="18" s="1"/>
  <c r="J1021" i="18" s="1"/>
  <c r="I1022" i="18" s="1"/>
  <c r="J1022" i="18" s="1"/>
  <c r="I1023" i="18" s="1"/>
  <c r="J1023" i="18" s="1"/>
  <c r="I1024" i="18" s="1"/>
  <c r="J1024" i="18" s="1"/>
  <c r="I1025" i="18" s="1"/>
  <c r="J1025" i="18" s="1"/>
  <c r="I1026" i="18" s="1"/>
  <c r="J1026" i="18" s="1"/>
  <c r="I1027" i="18" s="1"/>
  <c r="J1027" i="18" s="1"/>
  <c r="I1028" i="18" s="1"/>
  <c r="J1028" i="18" s="1"/>
  <c r="I1029" i="18" s="1"/>
  <c r="J1029" i="18" s="1"/>
  <c r="I1030" i="18" s="1"/>
  <c r="J1030" i="18" s="1"/>
  <c r="I1031" i="18" s="1"/>
  <c r="J1031" i="18" s="1"/>
  <c r="I1032" i="18" s="1"/>
  <c r="J1032" i="18" s="1"/>
  <c r="I1033" i="18" s="1"/>
  <c r="J1033" i="18" s="1"/>
  <c r="I1034" i="18" s="1"/>
  <c r="J1034" i="18" s="1"/>
  <c r="I1035" i="18" s="1"/>
  <c r="J1035" i="18" s="1"/>
  <c r="I1036" i="18" s="1"/>
  <c r="J1036" i="18" s="1"/>
  <c r="I1037" i="18" s="1"/>
  <c r="J1037" i="18" s="1"/>
  <c r="I1038" i="18" s="1"/>
  <c r="J1038" i="18" s="1"/>
  <c r="I1039" i="18" s="1"/>
  <c r="J1039" i="18" s="1"/>
  <c r="I1040" i="18" s="1"/>
  <c r="G4" i="18"/>
  <c r="H4" i="18" s="1"/>
  <c r="G5" i="18" s="1"/>
  <c r="H5" i="18" s="1"/>
  <c r="G6" i="18" s="1"/>
  <c r="H6" i="18" s="1"/>
  <c r="G7" i="18" s="1"/>
  <c r="H7" i="18" s="1"/>
  <c r="G8" i="18" s="1"/>
  <c r="H8" i="18" s="1"/>
  <c r="G9" i="18" s="1"/>
  <c r="H9" i="18" s="1"/>
  <c r="G10" i="18" s="1"/>
  <c r="H10" i="18" s="1"/>
  <c r="G11" i="18" s="1"/>
  <c r="H11" i="18" s="1"/>
  <c r="G12" i="18" s="1"/>
  <c r="H12" i="18" s="1"/>
  <c r="G13" i="18" s="1"/>
  <c r="H13" i="18" s="1"/>
  <c r="G14" i="18" s="1"/>
  <c r="H14" i="18" s="1"/>
  <c r="G15" i="18" s="1"/>
  <c r="H15" i="18" s="1"/>
  <c r="G16" i="18" s="1"/>
  <c r="H16" i="18" s="1"/>
  <c r="G17" i="18" s="1"/>
  <c r="H17" i="18" s="1"/>
  <c r="G18" i="18" s="1"/>
  <c r="H18" i="18" s="1"/>
  <c r="G19" i="18" s="1"/>
  <c r="H19" i="18" s="1"/>
  <c r="G20" i="18" s="1"/>
  <c r="H20" i="18" s="1"/>
  <c r="G21" i="18" s="1"/>
  <c r="H21" i="18" s="1"/>
  <c r="G22" i="18" s="1"/>
  <c r="H22" i="18" s="1"/>
  <c r="G23" i="18" s="1"/>
  <c r="H23" i="18" s="1"/>
  <c r="G24" i="18" s="1"/>
  <c r="H24" i="18" s="1"/>
  <c r="G25" i="18" s="1"/>
  <c r="H25" i="18" s="1"/>
  <c r="G26" i="18" s="1"/>
  <c r="H26" i="18" s="1"/>
  <c r="G27" i="18" s="1"/>
  <c r="H27" i="18" s="1"/>
  <c r="G28" i="18" s="1"/>
  <c r="H28" i="18" s="1"/>
  <c r="G29" i="18" s="1"/>
  <c r="H29" i="18" s="1"/>
  <c r="G30" i="18" s="1"/>
  <c r="H30" i="18" s="1"/>
  <c r="G31" i="18" s="1"/>
  <c r="H31" i="18" s="1"/>
  <c r="G32" i="18" s="1"/>
  <c r="H32" i="18" s="1"/>
  <c r="G33" i="18" s="1"/>
  <c r="H33" i="18" s="1"/>
  <c r="G34" i="18" s="1"/>
  <c r="H34" i="18" s="1"/>
  <c r="G35" i="18" s="1"/>
  <c r="H35" i="18" s="1"/>
  <c r="G36" i="18" s="1"/>
  <c r="H36" i="18" s="1"/>
  <c r="G37" i="18" s="1"/>
  <c r="H37" i="18" s="1"/>
  <c r="G38" i="18" s="1"/>
  <c r="H38" i="18" s="1"/>
  <c r="G39" i="18" s="1"/>
  <c r="H39" i="18" s="1"/>
  <c r="G40" i="18" s="1"/>
  <c r="H40" i="18" s="1"/>
  <c r="G41" i="18" s="1"/>
  <c r="H41" i="18" s="1"/>
  <c r="G42" i="18" s="1"/>
  <c r="H42" i="18" s="1"/>
  <c r="G43" i="18" s="1"/>
  <c r="H43" i="18" s="1"/>
  <c r="G44" i="18" s="1"/>
  <c r="H44" i="18" s="1"/>
  <c r="G45" i="18" s="1"/>
  <c r="H45" i="18" s="1"/>
  <c r="G46" i="18" s="1"/>
  <c r="H46" i="18" s="1"/>
  <c r="G47" i="18" s="1"/>
  <c r="H47" i="18" s="1"/>
  <c r="G48" i="18" s="1"/>
  <c r="H48" i="18" s="1"/>
  <c r="G49" i="18" s="1"/>
  <c r="H49" i="18" s="1"/>
  <c r="G50" i="18" s="1"/>
  <c r="H50" i="18" s="1"/>
  <c r="G51" i="18" s="1"/>
  <c r="H51" i="18" s="1"/>
  <c r="G52" i="18" s="1"/>
  <c r="H52" i="18" s="1"/>
  <c r="G53" i="18" s="1"/>
  <c r="H53" i="18" s="1"/>
  <c r="G54" i="18" s="1"/>
  <c r="H54" i="18" s="1"/>
  <c r="G55" i="18" s="1"/>
  <c r="H55" i="18" s="1"/>
  <c r="G56" i="18" s="1"/>
  <c r="H56" i="18" s="1"/>
  <c r="G57" i="18" s="1"/>
  <c r="H57" i="18" s="1"/>
  <c r="G58" i="18" s="1"/>
  <c r="H58" i="18" s="1"/>
  <c r="G59" i="18" s="1"/>
  <c r="H59" i="18" s="1"/>
  <c r="G60" i="18" s="1"/>
  <c r="H60" i="18" s="1"/>
  <c r="G61" i="18" s="1"/>
  <c r="H61" i="18" s="1"/>
  <c r="G62" i="18" s="1"/>
  <c r="H62" i="18" s="1"/>
  <c r="G63" i="18" s="1"/>
  <c r="H63" i="18" s="1"/>
  <c r="G64" i="18" s="1"/>
  <c r="H64" i="18" s="1"/>
  <c r="G65" i="18" s="1"/>
  <c r="H65" i="18" s="1"/>
  <c r="G66" i="18" s="1"/>
  <c r="H66" i="18" s="1"/>
  <c r="G67" i="18" s="1"/>
  <c r="H67" i="18" s="1"/>
  <c r="G68" i="18" s="1"/>
  <c r="H68" i="18" s="1"/>
  <c r="G69" i="18" s="1"/>
  <c r="H69" i="18" s="1"/>
  <c r="G70" i="18" s="1"/>
  <c r="H70" i="18" s="1"/>
  <c r="G71" i="18" s="1"/>
  <c r="H71" i="18" s="1"/>
  <c r="G72" i="18" s="1"/>
  <c r="H72" i="18" s="1"/>
  <c r="G73" i="18" s="1"/>
  <c r="H73" i="18" s="1"/>
  <c r="G74" i="18" s="1"/>
  <c r="H74" i="18" s="1"/>
  <c r="G75" i="18" s="1"/>
  <c r="H75" i="18" s="1"/>
  <c r="G76" i="18" s="1"/>
  <c r="H76" i="18" s="1"/>
  <c r="G77" i="18" s="1"/>
  <c r="H77" i="18" s="1"/>
  <c r="G78" i="18" s="1"/>
  <c r="H78" i="18" s="1"/>
  <c r="G79" i="18" s="1"/>
  <c r="H79" i="18" s="1"/>
  <c r="G80" i="18" s="1"/>
  <c r="H80" i="18" s="1"/>
  <c r="G81" i="18" s="1"/>
  <c r="H81" i="18" s="1"/>
  <c r="G82" i="18" s="1"/>
  <c r="H82" i="18" s="1"/>
  <c r="G83" i="18" s="1"/>
  <c r="H83" i="18" s="1"/>
  <c r="G84" i="18" s="1"/>
  <c r="H84" i="18" s="1"/>
  <c r="G85" i="18" s="1"/>
  <c r="H85" i="18" s="1"/>
  <c r="G86" i="18" s="1"/>
  <c r="H86" i="18" s="1"/>
  <c r="G87" i="18" s="1"/>
  <c r="H87" i="18" s="1"/>
  <c r="G88" i="18" s="1"/>
  <c r="H88" i="18" s="1"/>
  <c r="G89" i="18" s="1"/>
  <c r="H89" i="18" s="1"/>
  <c r="G90" i="18" s="1"/>
  <c r="H90" i="18" s="1"/>
  <c r="G91" i="18" s="1"/>
  <c r="H91" i="18" s="1"/>
  <c r="G92" i="18" s="1"/>
  <c r="H92" i="18" s="1"/>
  <c r="G93" i="18" s="1"/>
  <c r="H93" i="18" s="1"/>
  <c r="G94" i="18" s="1"/>
  <c r="H94" i="18" s="1"/>
  <c r="G95" i="18" s="1"/>
  <c r="H95" i="18" s="1"/>
  <c r="G96" i="18" s="1"/>
  <c r="H96" i="18" s="1"/>
  <c r="G97" i="18" s="1"/>
  <c r="H97" i="18" s="1"/>
  <c r="G98" i="18" s="1"/>
  <c r="H98" i="18" s="1"/>
  <c r="G99" i="18" s="1"/>
  <c r="H99" i="18" s="1"/>
  <c r="G100" i="18" s="1"/>
  <c r="H100" i="18" s="1"/>
  <c r="G101" i="18" s="1"/>
  <c r="H101" i="18" s="1"/>
  <c r="G102" i="18" s="1"/>
  <c r="H102" i="18" s="1"/>
  <c r="G103" i="18" s="1"/>
  <c r="H103" i="18" s="1"/>
  <c r="G104" i="18" s="1"/>
  <c r="H104" i="18" s="1"/>
  <c r="G105" i="18" s="1"/>
  <c r="H105" i="18" s="1"/>
  <c r="G106" i="18" s="1"/>
  <c r="H106" i="18" s="1"/>
  <c r="G107" i="18" s="1"/>
  <c r="H107" i="18" s="1"/>
  <c r="G108" i="18" s="1"/>
  <c r="H108" i="18" s="1"/>
  <c r="G109" i="18" s="1"/>
  <c r="H109" i="18" s="1"/>
  <c r="G110" i="18" s="1"/>
  <c r="H110" i="18" s="1"/>
  <c r="G111" i="18" s="1"/>
  <c r="H111" i="18" s="1"/>
  <c r="G112" i="18" s="1"/>
  <c r="H112" i="18" s="1"/>
  <c r="G113" i="18" s="1"/>
  <c r="H113" i="18" s="1"/>
  <c r="G114" i="18" s="1"/>
  <c r="H114" i="18" s="1"/>
  <c r="G115" i="18" s="1"/>
  <c r="H115" i="18" s="1"/>
  <c r="G116" i="18" s="1"/>
  <c r="H116" i="18" s="1"/>
  <c r="G117" i="18" s="1"/>
  <c r="H117" i="18" s="1"/>
  <c r="G118" i="18" s="1"/>
  <c r="H118" i="18" s="1"/>
  <c r="G119" i="18" s="1"/>
  <c r="H119" i="18" s="1"/>
  <c r="G120" i="18" s="1"/>
  <c r="H120" i="18" s="1"/>
  <c r="G121" i="18" s="1"/>
  <c r="H121" i="18" s="1"/>
  <c r="G122" i="18" s="1"/>
  <c r="H122" i="18" s="1"/>
  <c r="G123" i="18" s="1"/>
  <c r="H123" i="18" s="1"/>
  <c r="G124" i="18" s="1"/>
  <c r="H124" i="18" s="1"/>
  <c r="G125" i="18" s="1"/>
  <c r="H125" i="18" s="1"/>
  <c r="G126" i="18" s="1"/>
  <c r="H126" i="18" s="1"/>
  <c r="G127" i="18" s="1"/>
  <c r="H127" i="18" s="1"/>
  <c r="G128" i="18" s="1"/>
  <c r="H128" i="18" s="1"/>
  <c r="G129" i="18" s="1"/>
  <c r="H129" i="18" s="1"/>
  <c r="G130" i="18" s="1"/>
  <c r="H130" i="18" s="1"/>
  <c r="G131" i="18" s="1"/>
  <c r="H131" i="18" s="1"/>
  <c r="G132" i="18" s="1"/>
  <c r="H132" i="18" s="1"/>
  <c r="G133" i="18" s="1"/>
  <c r="H133" i="18" s="1"/>
  <c r="G134" i="18" s="1"/>
  <c r="H134" i="18" s="1"/>
  <c r="G135" i="18" s="1"/>
  <c r="H135" i="18" s="1"/>
  <c r="G136" i="18" s="1"/>
  <c r="H136" i="18" s="1"/>
  <c r="G137" i="18" s="1"/>
  <c r="H137" i="18" s="1"/>
  <c r="G138" i="18" s="1"/>
  <c r="H138" i="18" s="1"/>
  <c r="G139" i="18" s="1"/>
  <c r="H139" i="18" s="1"/>
  <c r="G140" i="18" s="1"/>
  <c r="H140" i="18" s="1"/>
  <c r="G141" i="18" s="1"/>
  <c r="H141" i="18" s="1"/>
  <c r="G142" i="18" s="1"/>
  <c r="H142" i="18" s="1"/>
  <c r="G143" i="18" s="1"/>
  <c r="H143" i="18" s="1"/>
  <c r="G144" i="18" s="1"/>
  <c r="H144" i="18" s="1"/>
  <c r="G145" i="18" s="1"/>
  <c r="H145" i="18" s="1"/>
  <c r="G146" i="18" s="1"/>
  <c r="H146" i="18" s="1"/>
  <c r="G147" i="18" s="1"/>
  <c r="H147" i="18" s="1"/>
  <c r="G148" i="18" s="1"/>
  <c r="H148" i="18" s="1"/>
  <c r="G149" i="18" s="1"/>
  <c r="H149" i="18" s="1"/>
  <c r="G150" i="18" s="1"/>
  <c r="H150" i="18" s="1"/>
  <c r="G151" i="18" s="1"/>
  <c r="H151" i="18" s="1"/>
  <c r="G152" i="18" s="1"/>
  <c r="H152" i="18" s="1"/>
  <c r="G153" i="18" s="1"/>
  <c r="H153" i="18" s="1"/>
  <c r="G154" i="18" s="1"/>
  <c r="H154" i="18" s="1"/>
  <c r="G155" i="18" s="1"/>
  <c r="H155" i="18" s="1"/>
  <c r="G156" i="18" s="1"/>
  <c r="H156" i="18" s="1"/>
  <c r="G157" i="18" s="1"/>
  <c r="H157" i="18" s="1"/>
  <c r="G158" i="18" s="1"/>
  <c r="H158" i="18" s="1"/>
  <c r="G159" i="18" s="1"/>
  <c r="H159" i="18" s="1"/>
  <c r="G160" i="18" s="1"/>
  <c r="H160" i="18" s="1"/>
  <c r="G161" i="18" s="1"/>
  <c r="H161" i="18" s="1"/>
  <c r="G162" i="18" s="1"/>
  <c r="H162" i="18" s="1"/>
  <c r="G163" i="18" s="1"/>
  <c r="H163" i="18" s="1"/>
  <c r="G164" i="18" s="1"/>
  <c r="H164" i="18" s="1"/>
  <c r="G165" i="18" s="1"/>
  <c r="H165" i="18" s="1"/>
  <c r="G166" i="18" s="1"/>
  <c r="H166" i="18" s="1"/>
  <c r="G167" i="18" s="1"/>
  <c r="H167" i="18" s="1"/>
  <c r="G168" i="18" s="1"/>
  <c r="H168" i="18" s="1"/>
  <c r="G169" i="18" s="1"/>
  <c r="H169" i="18" s="1"/>
  <c r="G170" i="18" s="1"/>
  <c r="H170" i="18" s="1"/>
  <c r="G171" i="18" s="1"/>
  <c r="H171" i="18" s="1"/>
  <c r="G172" i="18" s="1"/>
  <c r="H172" i="18" s="1"/>
  <c r="G173" i="18" s="1"/>
  <c r="H173" i="18" s="1"/>
  <c r="G174" i="18" s="1"/>
  <c r="H174" i="18" s="1"/>
  <c r="G175" i="18" s="1"/>
  <c r="H175" i="18" s="1"/>
  <c r="G176" i="18" s="1"/>
  <c r="H176" i="18" s="1"/>
  <c r="G177" i="18" s="1"/>
  <c r="H177" i="18" s="1"/>
  <c r="G178" i="18" s="1"/>
  <c r="H178" i="18" s="1"/>
  <c r="G179" i="18" s="1"/>
  <c r="H179" i="18" s="1"/>
  <c r="G180" i="18" s="1"/>
  <c r="H180" i="18" s="1"/>
  <c r="G181" i="18" s="1"/>
  <c r="H181" i="18" s="1"/>
  <c r="G182" i="18" s="1"/>
  <c r="H182" i="18" s="1"/>
  <c r="G183" i="18" s="1"/>
  <c r="H183" i="18" s="1"/>
  <c r="G184" i="18" s="1"/>
  <c r="H184" i="18" s="1"/>
  <c r="G185" i="18" s="1"/>
  <c r="H185" i="18" s="1"/>
  <c r="G186" i="18" s="1"/>
  <c r="H186" i="18" s="1"/>
  <c r="G187" i="18" s="1"/>
  <c r="H187" i="18" s="1"/>
  <c r="G188" i="18" s="1"/>
  <c r="H188" i="18" s="1"/>
  <c r="G189" i="18" s="1"/>
  <c r="H189" i="18" s="1"/>
  <c r="G190" i="18" s="1"/>
  <c r="H190" i="18" s="1"/>
  <c r="G191" i="18" s="1"/>
  <c r="H191" i="18" s="1"/>
  <c r="G192" i="18" s="1"/>
  <c r="H192" i="18" s="1"/>
  <c r="G193" i="18" s="1"/>
  <c r="H193" i="18" s="1"/>
  <c r="G194" i="18" s="1"/>
  <c r="H194" i="18" s="1"/>
  <c r="G195" i="18" s="1"/>
  <c r="H195" i="18" s="1"/>
  <c r="G196" i="18" s="1"/>
  <c r="H196" i="18" s="1"/>
  <c r="G197" i="18" s="1"/>
  <c r="H197" i="18" s="1"/>
  <c r="G198" i="18" s="1"/>
  <c r="H198" i="18" s="1"/>
  <c r="G199" i="18" s="1"/>
  <c r="H199" i="18" s="1"/>
  <c r="G200" i="18" s="1"/>
  <c r="H200" i="18" s="1"/>
  <c r="G201" i="18" s="1"/>
  <c r="H201" i="18" s="1"/>
  <c r="G202" i="18" s="1"/>
  <c r="H202" i="18" s="1"/>
  <c r="G203" i="18" s="1"/>
  <c r="H203" i="18" s="1"/>
  <c r="G204" i="18" s="1"/>
  <c r="H204" i="18" s="1"/>
  <c r="G205" i="18" s="1"/>
  <c r="H205" i="18" s="1"/>
  <c r="G206" i="18" s="1"/>
  <c r="H206" i="18" s="1"/>
  <c r="G207" i="18" s="1"/>
  <c r="H207" i="18" s="1"/>
  <c r="G208" i="18" s="1"/>
  <c r="H208" i="18" s="1"/>
  <c r="G209" i="18" s="1"/>
  <c r="H209" i="18" s="1"/>
  <c r="G210" i="18" s="1"/>
  <c r="H210" i="18" s="1"/>
  <c r="G211" i="18" s="1"/>
  <c r="H211" i="18" s="1"/>
  <c r="G212" i="18" s="1"/>
  <c r="H212" i="18" s="1"/>
  <c r="G213" i="18" s="1"/>
  <c r="H213" i="18" s="1"/>
  <c r="G214" i="18" s="1"/>
  <c r="H214" i="18" s="1"/>
  <c r="G215" i="18" s="1"/>
  <c r="H215" i="18" s="1"/>
  <c r="G216" i="18" s="1"/>
  <c r="H216" i="18" s="1"/>
  <c r="G217" i="18" s="1"/>
  <c r="H217" i="18" s="1"/>
  <c r="G218" i="18" s="1"/>
  <c r="H218" i="18" s="1"/>
  <c r="G219" i="18" s="1"/>
  <c r="H219" i="18" s="1"/>
  <c r="G220" i="18" s="1"/>
  <c r="H220" i="18" s="1"/>
  <c r="G221" i="18" s="1"/>
  <c r="H221" i="18" s="1"/>
  <c r="G222" i="18" s="1"/>
  <c r="H222" i="18" s="1"/>
  <c r="G223" i="18" s="1"/>
  <c r="H223" i="18" s="1"/>
  <c r="G224" i="18" s="1"/>
  <c r="H224" i="18" s="1"/>
  <c r="G225" i="18" s="1"/>
  <c r="H225" i="18" s="1"/>
  <c r="G226" i="18" s="1"/>
  <c r="H226" i="18" s="1"/>
  <c r="G227" i="18" s="1"/>
  <c r="H227" i="18" s="1"/>
  <c r="G228" i="18" s="1"/>
  <c r="H228" i="18" s="1"/>
  <c r="G229" i="18" s="1"/>
  <c r="H229" i="18" s="1"/>
  <c r="G230" i="18" s="1"/>
  <c r="H230" i="18" s="1"/>
  <c r="G231" i="18" s="1"/>
  <c r="H231" i="18" s="1"/>
  <c r="G232" i="18" s="1"/>
  <c r="H232" i="18" s="1"/>
  <c r="G233" i="18" s="1"/>
  <c r="H233" i="18" s="1"/>
  <c r="G234" i="18" s="1"/>
  <c r="H234" i="18" s="1"/>
  <c r="G235" i="18" s="1"/>
  <c r="H235" i="18" s="1"/>
  <c r="G236" i="18" s="1"/>
  <c r="H236" i="18" s="1"/>
  <c r="G237" i="18" s="1"/>
  <c r="H237" i="18" s="1"/>
  <c r="G238" i="18" s="1"/>
  <c r="H238" i="18" s="1"/>
  <c r="G239" i="18" s="1"/>
  <c r="H239" i="18" s="1"/>
  <c r="G240" i="18" s="1"/>
  <c r="H240" i="18" s="1"/>
  <c r="G241" i="18" s="1"/>
  <c r="H241" i="18" s="1"/>
  <c r="G242" i="18" s="1"/>
  <c r="H242" i="18" s="1"/>
  <c r="G243" i="18" s="1"/>
  <c r="H243" i="18" s="1"/>
  <c r="G244" i="18" s="1"/>
  <c r="H244" i="18" s="1"/>
  <c r="G245" i="18" s="1"/>
  <c r="H245" i="18" s="1"/>
  <c r="G246" i="18" s="1"/>
  <c r="H246" i="18" s="1"/>
  <c r="G247" i="18" s="1"/>
  <c r="H247" i="18" s="1"/>
  <c r="G248" i="18" s="1"/>
  <c r="H248" i="18" s="1"/>
  <c r="G249" i="18" s="1"/>
  <c r="H249" i="18" s="1"/>
  <c r="G250" i="18" s="1"/>
  <c r="H250" i="18" s="1"/>
  <c r="G251" i="18" s="1"/>
  <c r="H251" i="18" s="1"/>
  <c r="G252" i="18" s="1"/>
  <c r="H252" i="18" s="1"/>
  <c r="G253" i="18" s="1"/>
  <c r="H253" i="18" s="1"/>
  <c r="G254" i="18" s="1"/>
  <c r="H254" i="18" s="1"/>
  <c r="G255" i="18" s="1"/>
  <c r="H255" i="18" s="1"/>
  <c r="G256" i="18" s="1"/>
  <c r="H256" i="18" s="1"/>
  <c r="G257" i="18" s="1"/>
  <c r="H257" i="18" s="1"/>
  <c r="G258" i="18" s="1"/>
  <c r="H258" i="18" s="1"/>
  <c r="G259" i="18" s="1"/>
  <c r="H259" i="18" s="1"/>
  <c r="G260" i="18" s="1"/>
  <c r="H260" i="18" s="1"/>
  <c r="G261" i="18" s="1"/>
  <c r="H261" i="18" s="1"/>
  <c r="G262" i="18" s="1"/>
  <c r="H262" i="18" s="1"/>
  <c r="G263" i="18" s="1"/>
  <c r="H263" i="18" s="1"/>
  <c r="G264" i="18" s="1"/>
  <c r="H264" i="18" s="1"/>
  <c r="G265" i="18" s="1"/>
  <c r="H265" i="18" s="1"/>
  <c r="G266" i="18" s="1"/>
  <c r="H266" i="18" s="1"/>
  <c r="G267" i="18" s="1"/>
  <c r="H267" i="18" s="1"/>
  <c r="G268" i="18" s="1"/>
  <c r="H268" i="18" s="1"/>
  <c r="G269" i="18" s="1"/>
  <c r="H269" i="18" s="1"/>
  <c r="G270" i="18" s="1"/>
  <c r="H270" i="18" s="1"/>
  <c r="G271" i="18" s="1"/>
  <c r="H271" i="18" s="1"/>
  <c r="G272" i="18" s="1"/>
  <c r="H272" i="18" s="1"/>
  <c r="G273" i="18" s="1"/>
  <c r="H273" i="18" s="1"/>
  <c r="G274" i="18" s="1"/>
  <c r="H274" i="18" s="1"/>
  <c r="G275" i="18" s="1"/>
  <c r="H275" i="18" s="1"/>
  <c r="G276" i="18" s="1"/>
  <c r="H276" i="18" s="1"/>
  <c r="G277" i="18" s="1"/>
  <c r="H277" i="18" s="1"/>
  <c r="G278" i="18" s="1"/>
  <c r="H278" i="18" s="1"/>
  <c r="G279" i="18" s="1"/>
  <c r="H279" i="18" s="1"/>
  <c r="G280" i="18" s="1"/>
  <c r="H280" i="18" s="1"/>
  <c r="G281" i="18" s="1"/>
  <c r="H281" i="18" s="1"/>
  <c r="G282" i="18" s="1"/>
  <c r="H282" i="18" s="1"/>
  <c r="G283" i="18" s="1"/>
  <c r="H283" i="18" s="1"/>
  <c r="G284" i="18" s="1"/>
  <c r="H284" i="18" s="1"/>
  <c r="G285" i="18" s="1"/>
  <c r="H285" i="18" s="1"/>
  <c r="G286" i="18" s="1"/>
  <c r="H286" i="18" s="1"/>
  <c r="G287" i="18" s="1"/>
  <c r="H287" i="18" s="1"/>
  <c r="G288" i="18" s="1"/>
  <c r="H288" i="18" s="1"/>
  <c r="G289" i="18" s="1"/>
  <c r="H289" i="18" s="1"/>
  <c r="G290" i="18" s="1"/>
  <c r="H290" i="18" s="1"/>
  <c r="G291" i="18" s="1"/>
  <c r="H291" i="18" s="1"/>
  <c r="G292" i="18" s="1"/>
  <c r="H292" i="18" s="1"/>
  <c r="G293" i="18" s="1"/>
  <c r="H293" i="18" s="1"/>
  <c r="G294" i="18" s="1"/>
  <c r="H294" i="18" s="1"/>
  <c r="G295" i="18" s="1"/>
  <c r="H295" i="18" s="1"/>
  <c r="G296" i="18" s="1"/>
  <c r="H296" i="18" s="1"/>
  <c r="G297" i="18" s="1"/>
  <c r="H297" i="18" s="1"/>
  <c r="G298" i="18" s="1"/>
  <c r="H298" i="18" s="1"/>
  <c r="G299" i="18" s="1"/>
  <c r="H299" i="18" s="1"/>
  <c r="G300" i="18" s="1"/>
  <c r="H300" i="18" s="1"/>
  <c r="G301" i="18" s="1"/>
  <c r="H301" i="18" s="1"/>
  <c r="G302" i="18" s="1"/>
  <c r="H302" i="18" s="1"/>
  <c r="G303" i="18" s="1"/>
  <c r="H303" i="18" s="1"/>
  <c r="G304" i="18" s="1"/>
  <c r="H304" i="18" s="1"/>
  <c r="G305" i="18" s="1"/>
  <c r="H305" i="18" s="1"/>
  <c r="G306" i="18" s="1"/>
  <c r="H306" i="18" s="1"/>
  <c r="G307" i="18" s="1"/>
  <c r="H307" i="18" s="1"/>
  <c r="G308" i="18" s="1"/>
  <c r="H308" i="18" s="1"/>
  <c r="G309" i="18" s="1"/>
  <c r="H309" i="18" s="1"/>
  <c r="G310" i="18" s="1"/>
  <c r="H310" i="18" s="1"/>
  <c r="G311" i="18" s="1"/>
  <c r="H311" i="18" s="1"/>
  <c r="G312" i="18" s="1"/>
  <c r="H312" i="18" s="1"/>
  <c r="G313" i="18" s="1"/>
  <c r="H313" i="18" s="1"/>
  <c r="G314" i="18" s="1"/>
  <c r="H314" i="18" s="1"/>
  <c r="G315" i="18" s="1"/>
  <c r="H315" i="18" s="1"/>
  <c r="G316" i="18" s="1"/>
  <c r="H316" i="18" s="1"/>
  <c r="G317" i="18" s="1"/>
  <c r="H317" i="18" s="1"/>
  <c r="G318" i="18" s="1"/>
  <c r="H318" i="18" s="1"/>
  <c r="G319" i="18" s="1"/>
  <c r="H319" i="18" s="1"/>
  <c r="G320" i="18" s="1"/>
  <c r="H320" i="18" s="1"/>
  <c r="G321" i="18" s="1"/>
  <c r="H321" i="18" s="1"/>
  <c r="G322" i="18" s="1"/>
  <c r="H322" i="18" s="1"/>
  <c r="G323" i="18" s="1"/>
  <c r="H323" i="18" s="1"/>
  <c r="G324" i="18" s="1"/>
  <c r="H324" i="18" s="1"/>
  <c r="G325" i="18" s="1"/>
  <c r="H325" i="18" s="1"/>
  <c r="G326" i="18" s="1"/>
  <c r="H326" i="18" s="1"/>
  <c r="G327" i="18" s="1"/>
  <c r="H327" i="18" s="1"/>
  <c r="G328" i="18" s="1"/>
  <c r="H328" i="18" s="1"/>
  <c r="G329" i="18" s="1"/>
  <c r="H329" i="18" s="1"/>
  <c r="G330" i="18" s="1"/>
  <c r="H330" i="18" s="1"/>
  <c r="G331" i="18" s="1"/>
  <c r="H331" i="18" s="1"/>
  <c r="G332" i="18" s="1"/>
  <c r="H332" i="18" s="1"/>
  <c r="G333" i="18" s="1"/>
  <c r="H333" i="18" s="1"/>
  <c r="G334" i="18" s="1"/>
  <c r="H334" i="18" s="1"/>
  <c r="G335" i="18" s="1"/>
  <c r="H335" i="18" s="1"/>
  <c r="G336" i="18" s="1"/>
  <c r="H336" i="18" s="1"/>
  <c r="G337" i="18" s="1"/>
  <c r="H337" i="18" s="1"/>
  <c r="G338" i="18" s="1"/>
  <c r="H338" i="18" s="1"/>
  <c r="G339" i="18" s="1"/>
  <c r="H339" i="18" s="1"/>
  <c r="G340" i="18" s="1"/>
  <c r="H340" i="18" s="1"/>
  <c r="G341" i="18" s="1"/>
  <c r="H341" i="18" s="1"/>
  <c r="G342" i="18" s="1"/>
  <c r="H342" i="18" s="1"/>
  <c r="G343" i="18" s="1"/>
  <c r="H343" i="18" s="1"/>
  <c r="G344" i="18" s="1"/>
  <c r="H344" i="18" s="1"/>
  <c r="G345" i="18" s="1"/>
  <c r="H345" i="18" s="1"/>
  <c r="G346" i="18" s="1"/>
  <c r="H346" i="18" s="1"/>
  <c r="G347" i="18" s="1"/>
  <c r="H347" i="18" s="1"/>
  <c r="G348" i="18" s="1"/>
  <c r="H348" i="18" s="1"/>
  <c r="G349" i="18" s="1"/>
  <c r="H349" i="18" s="1"/>
  <c r="G350" i="18" s="1"/>
  <c r="H350" i="18" s="1"/>
  <c r="G351" i="18" s="1"/>
  <c r="H351" i="18" s="1"/>
  <c r="G352" i="18" s="1"/>
  <c r="H352" i="18" s="1"/>
  <c r="G353" i="18" s="1"/>
  <c r="H353" i="18" s="1"/>
  <c r="G354" i="18" s="1"/>
  <c r="H354" i="18" s="1"/>
  <c r="G355" i="18" s="1"/>
  <c r="H355" i="18" s="1"/>
  <c r="G356" i="18" s="1"/>
  <c r="H356" i="18" s="1"/>
  <c r="G357" i="18" s="1"/>
  <c r="H357" i="18" s="1"/>
  <c r="G358" i="18" s="1"/>
  <c r="H358" i="18" s="1"/>
  <c r="G359" i="18" s="1"/>
  <c r="H359" i="18" s="1"/>
  <c r="G360" i="18" s="1"/>
  <c r="H360" i="18" s="1"/>
  <c r="G361" i="18" s="1"/>
  <c r="H361" i="18" s="1"/>
  <c r="G362" i="18" s="1"/>
  <c r="H362" i="18" s="1"/>
  <c r="G363" i="18" s="1"/>
  <c r="H363" i="18" s="1"/>
  <c r="G364" i="18" s="1"/>
  <c r="H364" i="18" s="1"/>
  <c r="G365" i="18" s="1"/>
  <c r="H365" i="18" s="1"/>
  <c r="G366" i="18" s="1"/>
  <c r="H366" i="18" s="1"/>
  <c r="G367" i="18" s="1"/>
  <c r="H367" i="18" s="1"/>
  <c r="G368" i="18" s="1"/>
  <c r="H368" i="18" s="1"/>
  <c r="G369" i="18" s="1"/>
  <c r="H369" i="18" s="1"/>
  <c r="G370" i="18" s="1"/>
  <c r="H370" i="18" s="1"/>
  <c r="G371" i="18" s="1"/>
  <c r="H371" i="18" s="1"/>
  <c r="G372" i="18" s="1"/>
  <c r="H372" i="18" s="1"/>
  <c r="G373" i="18" s="1"/>
  <c r="H373" i="18" s="1"/>
  <c r="G374" i="18" s="1"/>
  <c r="H374" i="18" s="1"/>
  <c r="G375" i="18" s="1"/>
  <c r="H375" i="18" s="1"/>
  <c r="G376" i="18" s="1"/>
  <c r="H376" i="18" s="1"/>
  <c r="G377" i="18" s="1"/>
  <c r="H377" i="18" s="1"/>
  <c r="G378" i="18" s="1"/>
  <c r="H378" i="18" s="1"/>
  <c r="G379" i="18" s="1"/>
  <c r="H379" i="18" s="1"/>
  <c r="G380" i="18" s="1"/>
  <c r="H380" i="18" s="1"/>
  <c r="G381" i="18" s="1"/>
  <c r="H381" i="18" s="1"/>
  <c r="G382" i="18" s="1"/>
  <c r="H382" i="18" s="1"/>
  <c r="G383" i="18" s="1"/>
  <c r="H383" i="18" s="1"/>
  <c r="G384" i="18" s="1"/>
  <c r="H384" i="18" s="1"/>
  <c r="G385" i="18" s="1"/>
  <c r="H385" i="18" s="1"/>
  <c r="G386" i="18" s="1"/>
  <c r="H386" i="18" s="1"/>
  <c r="G387" i="18" s="1"/>
  <c r="H387" i="18" s="1"/>
  <c r="G388" i="18" s="1"/>
  <c r="H388" i="18" s="1"/>
  <c r="G389" i="18" s="1"/>
  <c r="H389" i="18" s="1"/>
  <c r="G390" i="18" s="1"/>
  <c r="H390" i="18" s="1"/>
  <c r="G391" i="18" s="1"/>
  <c r="H391" i="18" s="1"/>
  <c r="G392" i="18" s="1"/>
  <c r="H392" i="18" s="1"/>
  <c r="G393" i="18" s="1"/>
  <c r="H393" i="18" s="1"/>
  <c r="G394" i="18" s="1"/>
  <c r="H394" i="18" s="1"/>
  <c r="G395" i="18" s="1"/>
  <c r="H395" i="18" s="1"/>
  <c r="G396" i="18" s="1"/>
  <c r="H396" i="18" s="1"/>
  <c r="G397" i="18" s="1"/>
  <c r="H397" i="18" s="1"/>
  <c r="G398" i="18" s="1"/>
  <c r="H398" i="18" s="1"/>
  <c r="G399" i="18" s="1"/>
  <c r="H399" i="18" s="1"/>
  <c r="G400" i="18" s="1"/>
  <c r="H400" i="18" s="1"/>
  <c r="G401" i="18" s="1"/>
  <c r="H401" i="18" s="1"/>
  <c r="G402" i="18" s="1"/>
  <c r="H402" i="18" s="1"/>
  <c r="G403" i="18" s="1"/>
  <c r="H403" i="18" s="1"/>
  <c r="G404" i="18" s="1"/>
  <c r="H404" i="18" s="1"/>
  <c r="G405" i="18" s="1"/>
  <c r="H405" i="18" s="1"/>
  <c r="G406" i="18" s="1"/>
  <c r="H406" i="18" s="1"/>
  <c r="G407" i="18" s="1"/>
  <c r="H407" i="18" s="1"/>
  <c r="G408" i="18" s="1"/>
  <c r="H408" i="18" s="1"/>
  <c r="G409" i="18" s="1"/>
  <c r="H409" i="18" s="1"/>
  <c r="G410" i="18" s="1"/>
  <c r="H410" i="18" s="1"/>
  <c r="G411" i="18" s="1"/>
  <c r="H411" i="18" s="1"/>
  <c r="G412" i="18" s="1"/>
  <c r="H412" i="18" s="1"/>
  <c r="G413" i="18" s="1"/>
  <c r="H413" i="18" s="1"/>
  <c r="G414" i="18" s="1"/>
  <c r="H414" i="18" s="1"/>
  <c r="G415" i="18" s="1"/>
  <c r="H415" i="18" s="1"/>
  <c r="G416" i="18" s="1"/>
  <c r="H416" i="18" s="1"/>
  <c r="G417" i="18" s="1"/>
  <c r="H417" i="18" s="1"/>
  <c r="G418" i="18" s="1"/>
  <c r="H418" i="18" s="1"/>
  <c r="G419" i="18" s="1"/>
  <c r="H419" i="18" s="1"/>
  <c r="G420" i="18" s="1"/>
  <c r="H420" i="18" s="1"/>
  <c r="G421" i="18" s="1"/>
  <c r="H421" i="18" s="1"/>
  <c r="G422" i="18" s="1"/>
  <c r="H422" i="18" s="1"/>
  <c r="G423" i="18" s="1"/>
  <c r="H423" i="18" s="1"/>
  <c r="G424" i="18" s="1"/>
  <c r="H424" i="18" s="1"/>
  <c r="G425" i="18" s="1"/>
  <c r="H425" i="18" s="1"/>
  <c r="G426" i="18" s="1"/>
  <c r="H426" i="18" s="1"/>
  <c r="G427" i="18" s="1"/>
  <c r="H427" i="18" s="1"/>
  <c r="G428" i="18" s="1"/>
  <c r="H428" i="18" s="1"/>
  <c r="G429" i="18" s="1"/>
  <c r="H429" i="18" s="1"/>
  <c r="G430" i="18" s="1"/>
  <c r="H430" i="18" s="1"/>
  <c r="G431" i="18" s="1"/>
  <c r="H431" i="18" s="1"/>
  <c r="G432" i="18" s="1"/>
  <c r="H432" i="18" s="1"/>
  <c r="G433" i="18" s="1"/>
  <c r="H433" i="18" s="1"/>
  <c r="G434" i="18" s="1"/>
  <c r="H434" i="18" s="1"/>
  <c r="G435" i="18" s="1"/>
  <c r="H435" i="18" s="1"/>
  <c r="G436" i="18" s="1"/>
  <c r="H436" i="18" s="1"/>
  <c r="G437" i="18" s="1"/>
  <c r="H437" i="18" s="1"/>
  <c r="G438" i="18" s="1"/>
  <c r="H438" i="18" s="1"/>
  <c r="G439" i="18" s="1"/>
  <c r="H439" i="18" s="1"/>
  <c r="G440" i="18" s="1"/>
  <c r="H440" i="18" s="1"/>
  <c r="G441" i="18" s="1"/>
  <c r="H441" i="18" s="1"/>
  <c r="G442" i="18" s="1"/>
  <c r="H442" i="18" s="1"/>
  <c r="G443" i="18" s="1"/>
  <c r="H443" i="18" s="1"/>
  <c r="G444" i="18" s="1"/>
  <c r="H444" i="18" s="1"/>
  <c r="G445" i="18" s="1"/>
  <c r="H445" i="18" s="1"/>
  <c r="G446" i="18" s="1"/>
  <c r="H446" i="18" s="1"/>
  <c r="G447" i="18" s="1"/>
  <c r="H447" i="18" s="1"/>
  <c r="G448" i="18" s="1"/>
  <c r="H448" i="18" s="1"/>
  <c r="G449" i="18" s="1"/>
  <c r="H449" i="18" s="1"/>
  <c r="G450" i="18" s="1"/>
  <c r="H450" i="18" s="1"/>
  <c r="G451" i="18" s="1"/>
  <c r="H451" i="18" s="1"/>
  <c r="G452" i="18" s="1"/>
  <c r="H452" i="18" s="1"/>
  <c r="G453" i="18" s="1"/>
  <c r="H453" i="18" s="1"/>
  <c r="G454" i="18" s="1"/>
  <c r="H454" i="18" s="1"/>
  <c r="G455" i="18" s="1"/>
  <c r="H455" i="18" s="1"/>
  <c r="G456" i="18" s="1"/>
  <c r="H456" i="18" s="1"/>
  <c r="G457" i="18" s="1"/>
  <c r="H457" i="18" s="1"/>
  <c r="G458" i="18" s="1"/>
  <c r="H458" i="18" s="1"/>
  <c r="G459" i="18" s="1"/>
  <c r="H459" i="18" s="1"/>
  <c r="G460" i="18" s="1"/>
  <c r="H460" i="18" s="1"/>
  <c r="G461" i="18" s="1"/>
  <c r="H461" i="18" s="1"/>
  <c r="G462" i="18" s="1"/>
  <c r="H462" i="18" s="1"/>
  <c r="G463" i="18" s="1"/>
  <c r="H463" i="18" s="1"/>
  <c r="G464" i="18" s="1"/>
  <c r="H464" i="18" s="1"/>
  <c r="G465" i="18" s="1"/>
  <c r="H465" i="18" s="1"/>
  <c r="G466" i="18" s="1"/>
  <c r="H466" i="18" s="1"/>
  <c r="G467" i="18" s="1"/>
  <c r="H467" i="18" s="1"/>
  <c r="G468" i="18" s="1"/>
  <c r="H468" i="18" s="1"/>
  <c r="G469" i="18" s="1"/>
  <c r="H469" i="18" s="1"/>
  <c r="G470" i="18" s="1"/>
  <c r="H470" i="18" s="1"/>
  <c r="G471" i="18" s="1"/>
  <c r="H471" i="18" s="1"/>
  <c r="G472" i="18" s="1"/>
  <c r="H472" i="18" s="1"/>
  <c r="G473" i="18" s="1"/>
  <c r="H473" i="18" s="1"/>
  <c r="G474" i="18" s="1"/>
  <c r="H474" i="18" s="1"/>
  <c r="G475" i="18" s="1"/>
  <c r="H475" i="18" s="1"/>
  <c r="G476" i="18" s="1"/>
  <c r="H476" i="18" s="1"/>
  <c r="G477" i="18" s="1"/>
  <c r="H477" i="18" s="1"/>
  <c r="G478" i="18" s="1"/>
  <c r="H478" i="18" s="1"/>
  <c r="G479" i="18" s="1"/>
  <c r="H479" i="18" s="1"/>
  <c r="G480" i="18" s="1"/>
  <c r="H480" i="18" s="1"/>
  <c r="G481" i="18" s="1"/>
  <c r="H481" i="18" s="1"/>
  <c r="G482" i="18" s="1"/>
  <c r="H482" i="18" s="1"/>
  <c r="G483" i="18" s="1"/>
  <c r="H483" i="18" s="1"/>
  <c r="G484" i="18" s="1"/>
  <c r="H484" i="18" s="1"/>
  <c r="G485" i="18" s="1"/>
  <c r="H485" i="18" s="1"/>
  <c r="G486" i="18" s="1"/>
  <c r="H486" i="18" s="1"/>
  <c r="G487" i="18" s="1"/>
  <c r="H487" i="18" s="1"/>
  <c r="G488" i="18" s="1"/>
  <c r="H488" i="18" s="1"/>
  <c r="G489" i="18" s="1"/>
  <c r="H489" i="18" s="1"/>
  <c r="G490" i="18" s="1"/>
  <c r="H490" i="18" s="1"/>
  <c r="G491" i="18" s="1"/>
  <c r="H491" i="18" s="1"/>
  <c r="G492" i="18" s="1"/>
  <c r="H492" i="18" s="1"/>
  <c r="G493" i="18" s="1"/>
  <c r="H493" i="18" s="1"/>
  <c r="G494" i="18" s="1"/>
  <c r="H494" i="18" s="1"/>
  <c r="G495" i="18" s="1"/>
  <c r="H495" i="18" s="1"/>
  <c r="G496" i="18" s="1"/>
  <c r="H496" i="18" s="1"/>
  <c r="G497" i="18" s="1"/>
  <c r="H497" i="18" s="1"/>
  <c r="G498" i="18" s="1"/>
  <c r="H498" i="18" s="1"/>
  <c r="G499" i="18" s="1"/>
  <c r="H499" i="18" s="1"/>
  <c r="G500" i="18" s="1"/>
  <c r="H500" i="18" s="1"/>
  <c r="G501" i="18" s="1"/>
  <c r="H501" i="18" s="1"/>
  <c r="G502" i="18" s="1"/>
  <c r="H502" i="18" s="1"/>
  <c r="G503" i="18" s="1"/>
  <c r="H503" i="18" s="1"/>
  <c r="G504" i="18" s="1"/>
  <c r="H504" i="18" s="1"/>
  <c r="G505" i="18" s="1"/>
  <c r="H505" i="18" s="1"/>
  <c r="G506" i="18" s="1"/>
  <c r="H506" i="18" s="1"/>
  <c r="G507" i="18" s="1"/>
  <c r="H507" i="18" s="1"/>
  <c r="G508" i="18" s="1"/>
  <c r="H508" i="18" s="1"/>
  <c r="G509" i="18" s="1"/>
  <c r="H509" i="18" s="1"/>
  <c r="G510" i="18" s="1"/>
  <c r="H510" i="18" s="1"/>
  <c r="G511" i="18" s="1"/>
  <c r="H511" i="18" s="1"/>
  <c r="G512" i="18" s="1"/>
  <c r="H512" i="18" s="1"/>
  <c r="G513" i="18" s="1"/>
  <c r="H513" i="18" s="1"/>
  <c r="G514" i="18" s="1"/>
  <c r="H514" i="18" s="1"/>
  <c r="G515" i="18" s="1"/>
  <c r="H515" i="18" s="1"/>
  <c r="G516" i="18" s="1"/>
  <c r="H516" i="18" s="1"/>
  <c r="G517" i="18" s="1"/>
  <c r="H517" i="18" s="1"/>
  <c r="G518" i="18" s="1"/>
  <c r="H518" i="18" s="1"/>
  <c r="G519" i="18" s="1"/>
  <c r="H519" i="18" s="1"/>
  <c r="G520" i="18" s="1"/>
  <c r="H520" i="18" s="1"/>
  <c r="G521" i="18" s="1"/>
  <c r="H521" i="18" s="1"/>
  <c r="G522" i="18" s="1"/>
  <c r="H522" i="18" s="1"/>
  <c r="G523" i="18" s="1"/>
  <c r="H523" i="18" s="1"/>
  <c r="G524" i="18" s="1"/>
  <c r="H524" i="18" s="1"/>
  <c r="G525" i="18" s="1"/>
  <c r="H525" i="18" s="1"/>
  <c r="G526" i="18" s="1"/>
  <c r="H526" i="18" s="1"/>
  <c r="G527" i="18" s="1"/>
  <c r="H527" i="18" s="1"/>
  <c r="G528" i="18" s="1"/>
  <c r="H528" i="18" s="1"/>
  <c r="G529" i="18" s="1"/>
  <c r="H529" i="18" s="1"/>
  <c r="G530" i="18" s="1"/>
  <c r="H530" i="18" s="1"/>
  <c r="G531" i="18" s="1"/>
  <c r="H531" i="18" s="1"/>
  <c r="G532" i="18" s="1"/>
  <c r="H532" i="18" s="1"/>
  <c r="G533" i="18" s="1"/>
  <c r="H533" i="18" s="1"/>
  <c r="G534" i="18" s="1"/>
  <c r="H534" i="18" s="1"/>
  <c r="G535" i="18" s="1"/>
  <c r="H535" i="18" s="1"/>
  <c r="G536" i="18" s="1"/>
  <c r="H536" i="18" s="1"/>
  <c r="G537" i="18" s="1"/>
  <c r="H537" i="18" s="1"/>
  <c r="G538" i="18" s="1"/>
  <c r="H538" i="18" s="1"/>
  <c r="G539" i="18" s="1"/>
  <c r="H539" i="18" s="1"/>
  <c r="G540" i="18" s="1"/>
  <c r="H540" i="18" s="1"/>
  <c r="G541" i="18" s="1"/>
  <c r="H541" i="18" s="1"/>
  <c r="G542" i="18" s="1"/>
  <c r="H542" i="18" s="1"/>
  <c r="G543" i="18" s="1"/>
  <c r="H543" i="18" s="1"/>
  <c r="G544" i="18" s="1"/>
  <c r="H544" i="18" s="1"/>
  <c r="G545" i="18" s="1"/>
  <c r="H545" i="18" s="1"/>
  <c r="G546" i="18" s="1"/>
  <c r="H546" i="18" s="1"/>
  <c r="G547" i="18" s="1"/>
  <c r="H547" i="18" s="1"/>
  <c r="G548" i="18" s="1"/>
  <c r="H548" i="18" s="1"/>
  <c r="G549" i="18" s="1"/>
  <c r="H549" i="18" s="1"/>
  <c r="G550" i="18" s="1"/>
  <c r="H550" i="18" s="1"/>
  <c r="G551" i="18" s="1"/>
  <c r="H551" i="18" s="1"/>
  <c r="G552" i="18" s="1"/>
  <c r="H552" i="18" s="1"/>
  <c r="G553" i="18" s="1"/>
  <c r="H553" i="18" s="1"/>
  <c r="G554" i="18" s="1"/>
  <c r="H554" i="18" s="1"/>
  <c r="G555" i="18" s="1"/>
  <c r="H555" i="18" s="1"/>
  <c r="G556" i="18" s="1"/>
  <c r="H556" i="18" s="1"/>
  <c r="G557" i="18" s="1"/>
  <c r="H557" i="18" s="1"/>
  <c r="G558" i="18" s="1"/>
  <c r="H558" i="18" s="1"/>
  <c r="G559" i="18" s="1"/>
  <c r="H559" i="18" s="1"/>
  <c r="G560" i="18" s="1"/>
  <c r="H560" i="18" s="1"/>
  <c r="G561" i="18" s="1"/>
  <c r="H561" i="18" s="1"/>
  <c r="G562" i="18" s="1"/>
  <c r="H562" i="18" s="1"/>
  <c r="G563" i="18" s="1"/>
  <c r="H563" i="18" s="1"/>
  <c r="G564" i="18" s="1"/>
  <c r="H564" i="18" s="1"/>
  <c r="G565" i="18" s="1"/>
  <c r="H565" i="18" s="1"/>
  <c r="G566" i="18" s="1"/>
  <c r="H566" i="18" s="1"/>
  <c r="G567" i="18" s="1"/>
  <c r="H567" i="18" s="1"/>
  <c r="G568" i="18" s="1"/>
  <c r="H568" i="18" s="1"/>
  <c r="G569" i="18" s="1"/>
  <c r="H569" i="18" s="1"/>
  <c r="G570" i="18" s="1"/>
  <c r="H570" i="18" s="1"/>
  <c r="G571" i="18" s="1"/>
  <c r="H571" i="18" s="1"/>
  <c r="G572" i="18" s="1"/>
  <c r="H572" i="18" s="1"/>
  <c r="G573" i="18" s="1"/>
  <c r="H573" i="18" s="1"/>
  <c r="G574" i="18" s="1"/>
  <c r="H574" i="18" s="1"/>
  <c r="G575" i="18" s="1"/>
  <c r="H575" i="18" s="1"/>
  <c r="G576" i="18" s="1"/>
  <c r="H576" i="18" s="1"/>
  <c r="G577" i="18" s="1"/>
  <c r="H577" i="18" s="1"/>
  <c r="G578" i="18" s="1"/>
  <c r="H578" i="18" s="1"/>
  <c r="G579" i="18" s="1"/>
  <c r="H579" i="18" s="1"/>
  <c r="G580" i="18" s="1"/>
  <c r="H580" i="18" s="1"/>
  <c r="G581" i="18" s="1"/>
  <c r="H581" i="18" s="1"/>
  <c r="G582" i="18" s="1"/>
  <c r="H582" i="18" s="1"/>
  <c r="G583" i="18" s="1"/>
  <c r="H583" i="18" s="1"/>
  <c r="G584" i="18" s="1"/>
  <c r="H584" i="18" s="1"/>
  <c r="G585" i="18" s="1"/>
  <c r="H585" i="18" s="1"/>
  <c r="G586" i="18" s="1"/>
  <c r="H586" i="18" s="1"/>
  <c r="G587" i="18" s="1"/>
  <c r="H587" i="18" s="1"/>
  <c r="G588" i="18" s="1"/>
  <c r="H588" i="18" s="1"/>
  <c r="G589" i="18" s="1"/>
  <c r="H589" i="18" s="1"/>
  <c r="G590" i="18" s="1"/>
  <c r="H590" i="18" s="1"/>
  <c r="G591" i="18" s="1"/>
  <c r="H591" i="18" s="1"/>
  <c r="G592" i="18" s="1"/>
  <c r="H592" i="18" s="1"/>
  <c r="G593" i="18" s="1"/>
  <c r="H593" i="18" s="1"/>
  <c r="G594" i="18" s="1"/>
  <c r="H594" i="18" s="1"/>
  <c r="G595" i="18" s="1"/>
  <c r="H595" i="18" s="1"/>
  <c r="G596" i="18" s="1"/>
  <c r="H596" i="18" s="1"/>
  <c r="G597" i="18" s="1"/>
  <c r="H597" i="18" s="1"/>
  <c r="G598" i="18" s="1"/>
  <c r="H598" i="18" s="1"/>
  <c r="G599" i="18" s="1"/>
  <c r="H599" i="18" s="1"/>
  <c r="G600" i="18" s="1"/>
  <c r="H600" i="18" s="1"/>
  <c r="G601" i="18" s="1"/>
  <c r="H601" i="18" s="1"/>
  <c r="G602" i="18" s="1"/>
  <c r="H602" i="18" s="1"/>
  <c r="G603" i="18" s="1"/>
  <c r="H603" i="18" s="1"/>
  <c r="G604" i="18" s="1"/>
  <c r="H604" i="18" s="1"/>
  <c r="G605" i="18" s="1"/>
  <c r="H605" i="18" s="1"/>
  <c r="G606" i="18" s="1"/>
  <c r="H606" i="18" s="1"/>
  <c r="G607" i="18" s="1"/>
  <c r="H607" i="18" s="1"/>
  <c r="G608" i="18" s="1"/>
  <c r="H608" i="18" s="1"/>
  <c r="G609" i="18" s="1"/>
  <c r="H609" i="18" s="1"/>
  <c r="G610" i="18" s="1"/>
  <c r="H610" i="18" s="1"/>
  <c r="G611" i="18" s="1"/>
  <c r="H611" i="18" s="1"/>
  <c r="G612" i="18" s="1"/>
  <c r="H612" i="18" s="1"/>
  <c r="G613" i="18" s="1"/>
  <c r="H613" i="18" s="1"/>
  <c r="G614" i="18" s="1"/>
  <c r="H614" i="18" s="1"/>
  <c r="G615" i="18" s="1"/>
  <c r="H615" i="18" s="1"/>
  <c r="G616" i="18" s="1"/>
  <c r="H616" i="18" s="1"/>
  <c r="G617" i="18" s="1"/>
  <c r="H617" i="18" s="1"/>
  <c r="G618" i="18" s="1"/>
  <c r="H618" i="18" s="1"/>
  <c r="G619" i="18" s="1"/>
  <c r="H619" i="18" s="1"/>
  <c r="G620" i="18" s="1"/>
  <c r="H620" i="18" s="1"/>
  <c r="G621" i="18" s="1"/>
  <c r="H621" i="18" s="1"/>
  <c r="G622" i="18" s="1"/>
  <c r="H622" i="18" s="1"/>
  <c r="G623" i="18" s="1"/>
  <c r="H623" i="18" s="1"/>
  <c r="G624" i="18" s="1"/>
  <c r="H624" i="18" s="1"/>
  <c r="G625" i="18" s="1"/>
  <c r="H625" i="18" s="1"/>
  <c r="G626" i="18" s="1"/>
  <c r="H626" i="18" s="1"/>
  <c r="G627" i="18" s="1"/>
  <c r="H627" i="18" s="1"/>
  <c r="G628" i="18" s="1"/>
  <c r="H628" i="18" s="1"/>
  <c r="G629" i="18" s="1"/>
  <c r="H629" i="18" s="1"/>
  <c r="G630" i="18" s="1"/>
  <c r="H630" i="18" s="1"/>
  <c r="G631" i="18" s="1"/>
  <c r="H631" i="18" s="1"/>
  <c r="G632" i="18" s="1"/>
  <c r="H632" i="18" s="1"/>
  <c r="G633" i="18" s="1"/>
  <c r="H633" i="18" s="1"/>
  <c r="G634" i="18" s="1"/>
  <c r="H634" i="18" s="1"/>
  <c r="G635" i="18" s="1"/>
  <c r="H635" i="18" s="1"/>
  <c r="G636" i="18" s="1"/>
  <c r="H636" i="18" s="1"/>
  <c r="G637" i="18" s="1"/>
  <c r="H637" i="18" s="1"/>
  <c r="G638" i="18" s="1"/>
  <c r="H638" i="18" s="1"/>
  <c r="G639" i="18" s="1"/>
  <c r="H639" i="18" s="1"/>
  <c r="G640" i="18" s="1"/>
  <c r="H640" i="18" s="1"/>
  <c r="G641" i="18" s="1"/>
  <c r="H641" i="18" s="1"/>
  <c r="G642" i="18" s="1"/>
  <c r="H642" i="18" s="1"/>
  <c r="G643" i="18" s="1"/>
  <c r="H643" i="18" s="1"/>
  <c r="G644" i="18" s="1"/>
  <c r="H644" i="18" s="1"/>
  <c r="G645" i="18" s="1"/>
  <c r="H645" i="18" s="1"/>
  <c r="G646" i="18" s="1"/>
  <c r="H646" i="18" s="1"/>
  <c r="G647" i="18" s="1"/>
  <c r="H647" i="18" s="1"/>
  <c r="G648" i="18" s="1"/>
  <c r="H648" i="18" s="1"/>
  <c r="G649" i="18" s="1"/>
  <c r="H649" i="18" s="1"/>
  <c r="G650" i="18" s="1"/>
  <c r="H650" i="18" s="1"/>
  <c r="G651" i="18" s="1"/>
  <c r="H651" i="18" s="1"/>
  <c r="G652" i="18" s="1"/>
  <c r="H652" i="18" s="1"/>
  <c r="G653" i="18" s="1"/>
  <c r="H653" i="18" s="1"/>
  <c r="G654" i="18" s="1"/>
  <c r="H654" i="18" s="1"/>
  <c r="G655" i="18" s="1"/>
  <c r="H655" i="18" s="1"/>
  <c r="G656" i="18" s="1"/>
  <c r="H656" i="18" s="1"/>
  <c r="G657" i="18" s="1"/>
  <c r="H657" i="18" s="1"/>
  <c r="G658" i="18" s="1"/>
  <c r="H658" i="18" s="1"/>
  <c r="G659" i="18" s="1"/>
  <c r="H659" i="18" s="1"/>
  <c r="G660" i="18" s="1"/>
  <c r="H660" i="18" s="1"/>
  <c r="G661" i="18" s="1"/>
  <c r="H661" i="18" s="1"/>
  <c r="G662" i="18" s="1"/>
  <c r="H662" i="18" s="1"/>
  <c r="G663" i="18" s="1"/>
  <c r="H663" i="18" s="1"/>
  <c r="G664" i="18" s="1"/>
  <c r="H664" i="18" s="1"/>
  <c r="G665" i="18" s="1"/>
  <c r="H665" i="18" s="1"/>
  <c r="G666" i="18" s="1"/>
  <c r="H666" i="18" s="1"/>
  <c r="G667" i="18" s="1"/>
  <c r="H667" i="18" s="1"/>
  <c r="G668" i="18" s="1"/>
  <c r="H668" i="18" s="1"/>
  <c r="G669" i="18" s="1"/>
  <c r="H669" i="18" s="1"/>
  <c r="G670" i="18" s="1"/>
  <c r="H670" i="18" s="1"/>
  <c r="G671" i="18" s="1"/>
  <c r="H671" i="18" s="1"/>
  <c r="G672" i="18" s="1"/>
  <c r="H672" i="18" s="1"/>
  <c r="G673" i="18" s="1"/>
  <c r="H673" i="18" s="1"/>
  <c r="G674" i="18" s="1"/>
  <c r="H674" i="18" s="1"/>
  <c r="G675" i="18" s="1"/>
  <c r="H675" i="18" s="1"/>
  <c r="G676" i="18" s="1"/>
  <c r="H676" i="18" s="1"/>
  <c r="G677" i="18" s="1"/>
  <c r="H677" i="18" s="1"/>
  <c r="G678" i="18" s="1"/>
  <c r="H678" i="18" s="1"/>
  <c r="G679" i="18" s="1"/>
  <c r="H679" i="18" s="1"/>
  <c r="G680" i="18" s="1"/>
  <c r="H680" i="18" s="1"/>
  <c r="G681" i="18" s="1"/>
  <c r="H681" i="18" s="1"/>
  <c r="G682" i="18" s="1"/>
  <c r="H682" i="18" s="1"/>
  <c r="G683" i="18" s="1"/>
  <c r="H683" i="18" s="1"/>
  <c r="G684" i="18" s="1"/>
  <c r="H684" i="18" s="1"/>
  <c r="G685" i="18" s="1"/>
  <c r="H685" i="18" s="1"/>
  <c r="G686" i="18" s="1"/>
  <c r="H686" i="18" s="1"/>
  <c r="G687" i="18" s="1"/>
  <c r="H687" i="18" s="1"/>
  <c r="G688" i="18" s="1"/>
  <c r="H688" i="18" s="1"/>
  <c r="G689" i="18" s="1"/>
  <c r="H689" i="18" s="1"/>
  <c r="G690" i="18" s="1"/>
  <c r="H690" i="18" s="1"/>
  <c r="G691" i="18" s="1"/>
  <c r="H691" i="18" s="1"/>
  <c r="G692" i="18" s="1"/>
  <c r="H692" i="18" s="1"/>
  <c r="G693" i="18" s="1"/>
  <c r="H693" i="18" s="1"/>
  <c r="G694" i="18" s="1"/>
  <c r="H694" i="18" s="1"/>
  <c r="G695" i="18" s="1"/>
  <c r="H695" i="18" s="1"/>
  <c r="G696" i="18" s="1"/>
  <c r="H696" i="18" s="1"/>
  <c r="G697" i="18" s="1"/>
  <c r="H697" i="18" s="1"/>
  <c r="G698" i="18" s="1"/>
  <c r="H698" i="18" s="1"/>
  <c r="G699" i="18" s="1"/>
  <c r="H699" i="18" s="1"/>
  <c r="G700" i="18" s="1"/>
  <c r="H700" i="18" s="1"/>
  <c r="G701" i="18" s="1"/>
  <c r="H701" i="18" s="1"/>
  <c r="G702" i="18" s="1"/>
  <c r="H702" i="18" s="1"/>
  <c r="G703" i="18" s="1"/>
  <c r="H703" i="18" s="1"/>
  <c r="G704" i="18" s="1"/>
  <c r="H704" i="18" s="1"/>
  <c r="G705" i="18" s="1"/>
  <c r="H705" i="18" s="1"/>
  <c r="G706" i="18" s="1"/>
  <c r="H706" i="18" s="1"/>
  <c r="G707" i="18" s="1"/>
  <c r="H707" i="18" s="1"/>
  <c r="G708" i="18" s="1"/>
  <c r="H708" i="18" s="1"/>
  <c r="G709" i="18" s="1"/>
  <c r="H709" i="18" s="1"/>
  <c r="G710" i="18" s="1"/>
  <c r="H710" i="18" s="1"/>
  <c r="G711" i="18" s="1"/>
  <c r="H711" i="18" s="1"/>
  <c r="G712" i="18" s="1"/>
  <c r="H712" i="18" s="1"/>
  <c r="G713" i="18" s="1"/>
  <c r="H713" i="18" s="1"/>
  <c r="G714" i="18" s="1"/>
  <c r="H714" i="18" s="1"/>
  <c r="G715" i="18" s="1"/>
  <c r="H715" i="18" s="1"/>
  <c r="G716" i="18" s="1"/>
  <c r="H716" i="18" s="1"/>
  <c r="G717" i="18" s="1"/>
  <c r="H717" i="18" s="1"/>
  <c r="G718" i="18" s="1"/>
  <c r="H718" i="18" s="1"/>
  <c r="G719" i="18" s="1"/>
  <c r="H719" i="18" s="1"/>
  <c r="G720" i="18" s="1"/>
  <c r="H720" i="18" s="1"/>
  <c r="G721" i="18" s="1"/>
  <c r="H721" i="18" s="1"/>
  <c r="G722" i="18" s="1"/>
  <c r="H722" i="18" s="1"/>
  <c r="G723" i="18" s="1"/>
  <c r="H723" i="18" s="1"/>
  <c r="G724" i="18" s="1"/>
  <c r="H724" i="18" s="1"/>
  <c r="G725" i="18" s="1"/>
  <c r="H725" i="18" s="1"/>
  <c r="G726" i="18" s="1"/>
  <c r="H726" i="18" s="1"/>
  <c r="G727" i="18" s="1"/>
  <c r="H727" i="18" s="1"/>
  <c r="G728" i="18" s="1"/>
  <c r="H728" i="18" s="1"/>
  <c r="G729" i="18" s="1"/>
  <c r="H729" i="18" s="1"/>
  <c r="G730" i="18" s="1"/>
  <c r="H730" i="18" s="1"/>
  <c r="G731" i="18" s="1"/>
  <c r="H731" i="18" s="1"/>
  <c r="G732" i="18" s="1"/>
  <c r="H732" i="18" s="1"/>
  <c r="G733" i="18" s="1"/>
  <c r="H733" i="18" s="1"/>
  <c r="G734" i="18" s="1"/>
  <c r="H734" i="18" s="1"/>
  <c r="G735" i="18" s="1"/>
  <c r="H735" i="18" s="1"/>
  <c r="G736" i="18" s="1"/>
  <c r="H736" i="18" s="1"/>
  <c r="G737" i="18" s="1"/>
  <c r="H737" i="18" s="1"/>
  <c r="G738" i="18" s="1"/>
  <c r="H738" i="18" s="1"/>
  <c r="G739" i="18" s="1"/>
  <c r="H739" i="18" s="1"/>
  <c r="G740" i="18" s="1"/>
  <c r="H740" i="18" s="1"/>
  <c r="G741" i="18" s="1"/>
  <c r="H741" i="18" s="1"/>
  <c r="G742" i="18" s="1"/>
  <c r="H742" i="18" s="1"/>
  <c r="G743" i="18" s="1"/>
  <c r="H743" i="18" s="1"/>
  <c r="G744" i="18" s="1"/>
  <c r="H744" i="18" s="1"/>
  <c r="G745" i="18" s="1"/>
  <c r="H745" i="18" s="1"/>
  <c r="G746" i="18" s="1"/>
  <c r="H746" i="18" s="1"/>
  <c r="G747" i="18" s="1"/>
  <c r="H747" i="18" s="1"/>
  <c r="G748" i="18" s="1"/>
  <c r="H748" i="18" s="1"/>
  <c r="G749" i="18" s="1"/>
  <c r="H749" i="18" s="1"/>
  <c r="G750" i="18" s="1"/>
  <c r="H750" i="18" s="1"/>
  <c r="G751" i="18" s="1"/>
  <c r="H751" i="18" s="1"/>
  <c r="G752" i="18" s="1"/>
  <c r="H752" i="18" s="1"/>
  <c r="G753" i="18" s="1"/>
  <c r="H753" i="18" s="1"/>
  <c r="G754" i="18" s="1"/>
  <c r="H754" i="18" s="1"/>
  <c r="G755" i="18" s="1"/>
  <c r="H755" i="18" s="1"/>
  <c r="G756" i="18" s="1"/>
  <c r="H756" i="18" s="1"/>
  <c r="G757" i="18" s="1"/>
  <c r="H757" i="18" s="1"/>
  <c r="G758" i="18" s="1"/>
  <c r="H758" i="18" s="1"/>
  <c r="G759" i="18" s="1"/>
  <c r="H759" i="18" s="1"/>
  <c r="G760" i="18" s="1"/>
  <c r="H760" i="18" s="1"/>
  <c r="G761" i="18" s="1"/>
  <c r="H761" i="18" s="1"/>
  <c r="G762" i="18" s="1"/>
  <c r="H762" i="18" s="1"/>
  <c r="G763" i="18" s="1"/>
  <c r="H763" i="18" s="1"/>
  <c r="G764" i="18" s="1"/>
  <c r="H764" i="18" s="1"/>
  <c r="G765" i="18" s="1"/>
  <c r="H765" i="18" s="1"/>
  <c r="G766" i="18" s="1"/>
  <c r="H766" i="18" s="1"/>
  <c r="G767" i="18" s="1"/>
  <c r="H767" i="18" s="1"/>
  <c r="G768" i="18" s="1"/>
  <c r="H768" i="18" s="1"/>
  <c r="G769" i="18" s="1"/>
  <c r="H769" i="18" s="1"/>
  <c r="G770" i="18" s="1"/>
  <c r="H770" i="18" s="1"/>
  <c r="G771" i="18" s="1"/>
  <c r="H771" i="18" s="1"/>
  <c r="G772" i="18" s="1"/>
  <c r="H772" i="18" s="1"/>
  <c r="G773" i="18" s="1"/>
  <c r="H773" i="18" s="1"/>
  <c r="G774" i="18" s="1"/>
  <c r="H774" i="18" s="1"/>
  <c r="G775" i="18" s="1"/>
  <c r="H775" i="18" s="1"/>
  <c r="G776" i="18" s="1"/>
  <c r="H776" i="18" s="1"/>
  <c r="G777" i="18" s="1"/>
  <c r="H777" i="18" s="1"/>
  <c r="G778" i="18" s="1"/>
  <c r="H778" i="18" s="1"/>
  <c r="G779" i="18" s="1"/>
  <c r="H779" i="18" s="1"/>
  <c r="G780" i="18" s="1"/>
  <c r="H780" i="18" s="1"/>
  <c r="G781" i="18" s="1"/>
  <c r="H781" i="18" s="1"/>
  <c r="G782" i="18" s="1"/>
  <c r="H782" i="18" s="1"/>
  <c r="G783" i="18" s="1"/>
  <c r="H783" i="18" s="1"/>
  <c r="G784" i="18" s="1"/>
  <c r="H784" i="18" s="1"/>
  <c r="G785" i="18" s="1"/>
  <c r="H785" i="18" s="1"/>
  <c r="G786" i="18" s="1"/>
  <c r="H786" i="18" s="1"/>
  <c r="G787" i="18" s="1"/>
  <c r="H787" i="18" s="1"/>
  <c r="G788" i="18" s="1"/>
  <c r="H788" i="18" s="1"/>
  <c r="G789" i="18" s="1"/>
  <c r="H789" i="18" s="1"/>
  <c r="G790" i="18" s="1"/>
  <c r="H790" i="18" s="1"/>
  <c r="G791" i="18" s="1"/>
  <c r="H791" i="18" s="1"/>
  <c r="G792" i="18" s="1"/>
  <c r="H792" i="18" s="1"/>
  <c r="G793" i="18" s="1"/>
  <c r="H793" i="18" s="1"/>
  <c r="G794" i="18" s="1"/>
  <c r="H794" i="18" s="1"/>
  <c r="G795" i="18" s="1"/>
  <c r="H795" i="18" s="1"/>
  <c r="G796" i="18" s="1"/>
  <c r="H796" i="18" s="1"/>
  <c r="G797" i="18" s="1"/>
  <c r="H797" i="18" s="1"/>
  <c r="G798" i="18" s="1"/>
  <c r="H798" i="18" s="1"/>
  <c r="G799" i="18" s="1"/>
  <c r="H799" i="18" s="1"/>
  <c r="G800" i="18" s="1"/>
  <c r="H800" i="18" s="1"/>
  <c r="G801" i="18" s="1"/>
  <c r="H801" i="18" s="1"/>
  <c r="G802" i="18" s="1"/>
  <c r="H802" i="18" s="1"/>
  <c r="G803" i="18" s="1"/>
  <c r="H803" i="18" s="1"/>
  <c r="G804" i="18" s="1"/>
  <c r="H804" i="18" s="1"/>
  <c r="G805" i="18" s="1"/>
  <c r="H805" i="18" s="1"/>
  <c r="G806" i="18" s="1"/>
  <c r="H806" i="18" s="1"/>
  <c r="G807" i="18" s="1"/>
  <c r="H807" i="18" s="1"/>
  <c r="G808" i="18" s="1"/>
  <c r="H808" i="18" s="1"/>
  <c r="G809" i="18" s="1"/>
  <c r="H809" i="18" s="1"/>
  <c r="G810" i="18" s="1"/>
  <c r="H810" i="18" s="1"/>
  <c r="G811" i="18" s="1"/>
  <c r="H811" i="18" s="1"/>
  <c r="G812" i="18" s="1"/>
  <c r="H812" i="18" s="1"/>
  <c r="G813" i="18" s="1"/>
  <c r="H813" i="18" s="1"/>
  <c r="G814" i="18" s="1"/>
  <c r="H814" i="18" s="1"/>
  <c r="G815" i="18" s="1"/>
  <c r="H815" i="18" s="1"/>
  <c r="G816" i="18" s="1"/>
  <c r="H816" i="18" s="1"/>
  <c r="G817" i="18" s="1"/>
  <c r="H817" i="18" s="1"/>
  <c r="G818" i="18" s="1"/>
  <c r="H818" i="18" s="1"/>
  <c r="G819" i="18" s="1"/>
  <c r="H819" i="18" s="1"/>
  <c r="G820" i="18" s="1"/>
  <c r="H820" i="18" s="1"/>
  <c r="G821" i="18" s="1"/>
  <c r="H821" i="18" s="1"/>
  <c r="G822" i="18" s="1"/>
  <c r="H822" i="18" s="1"/>
  <c r="G823" i="18" s="1"/>
  <c r="H823" i="18" s="1"/>
  <c r="G824" i="18" s="1"/>
  <c r="H824" i="18" s="1"/>
  <c r="G825" i="18" s="1"/>
  <c r="H825" i="18" s="1"/>
  <c r="G826" i="18" s="1"/>
  <c r="H826" i="18" s="1"/>
  <c r="G827" i="18" s="1"/>
  <c r="H827" i="18" s="1"/>
  <c r="G828" i="18" s="1"/>
  <c r="H828" i="18" s="1"/>
  <c r="G829" i="18" s="1"/>
  <c r="H829" i="18" s="1"/>
  <c r="G830" i="18" s="1"/>
  <c r="H830" i="18" s="1"/>
  <c r="G831" i="18" s="1"/>
  <c r="H831" i="18" s="1"/>
  <c r="G832" i="18" s="1"/>
  <c r="H832" i="18" s="1"/>
  <c r="G833" i="18" s="1"/>
  <c r="H833" i="18" s="1"/>
  <c r="G834" i="18" s="1"/>
  <c r="H834" i="18" s="1"/>
  <c r="G835" i="18" s="1"/>
  <c r="H835" i="18" s="1"/>
  <c r="G836" i="18" s="1"/>
  <c r="H836" i="18" s="1"/>
  <c r="G837" i="18" s="1"/>
  <c r="H837" i="18" s="1"/>
  <c r="G838" i="18" s="1"/>
  <c r="H838" i="18" s="1"/>
  <c r="G839" i="18" s="1"/>
  <c r="H839" i="18" s="1"/>
  <c r="G840" i="18" s="1"/>
  <c r="H840" i="18" s="1"/>
  <c r="G841" i="18" s="1"/>
  <c r="H841" i="18" s="1"/>
  <c r="G842" i="18" s="1"/>
  <c r="H842" i="18" s="1"/>
  <c r="G843" i="18" s="1"/>
  <c r="H843" i="18" s="1"/>
  <c r="G844" i="18" s="1"/>
  <c r="H844" i="18" s="1"/>
  <c r="G845" i="18" s="1"/>
  <c r="H845" i="18" s="1"/>
  <c r="G846" i="18" s="1"/>
  <c r="H846" i="18" s="1"/>
  <c r="G847" i="18" s="1"/>
  <c r="H847" i="18" s="1"/>
  <c r="G848" i="18" s="1"/>
  <c r="H848" i="18" s="1"/>
  <c r="G849" i="18" s="1"/>
  <c r="H849" i="18" s="1"/>
  <c r="G850" i="18" s="1"/>
  <c r="H850" i="18" s="1"/>
  <c r="G851" i="18" s="1"/>
  <c r="H851" i="18" s="1"/>
  <c r="G852" i="18" s="1"/>
  <c r="H852" i="18" s="1"/>
  <c r="G853" i="18" s="1"/>
  <c r="H853" i="18" s="1"/>
  <c r="G854" i="18" s="1"/>
  <c r="H854" i="18" s="1"/>
  <c r="G855" i="18" s="1"/>
  <c r="H855" i="18" s="1"/>
  <c r="G856" i="18" s="1"/>
  <c r="H856" i="18" s="1"/>
  <c r="G857" i="18" s="1"/>
  <c r="H857" i="18" s="1"/>
  <c r="G858" i="18" s="1"/>
  <c r="H858" i="18" s="1"/>
  <c r="G859" i="18" s="1"/>
  <c r="H859" i="18" s="1"/>
  <c r="G860" i="18" s="1"/>
  <c r="H860" i="18" s="1"/>
  <c r="G861" i="18" s="1"/>
  <c r="H861" i="18" s="1"/>
  <c r="G862" i="18" s="1"/>
  <c r="H862" i="18" s="1"/>
  <c r="G863" i="18" s="1"/>
  <c r="H863" i="18" s="1"/>
  <c r="G864" i="18" s="1"/>
  <c r="H864" i="18" s="1"/>
  <c r="G865" i="18" s="1"/>
  <c r="H865" i="18" s="1"/>
  <c r="G866" i="18" s="1"/>
  <c r="H866" i="18" s="1"/>
  <c r="G867" i="18" s="1"/>
  <c r="H867" i="18" s="1"/>
  <c r="G868" i="18" s="1"/>
  <c r="H868" i="18" s="1"/>
  <c r="G869" i="18" s="1"/>
  <c r="H869" i="18" s="1"/>
  <c r="G870" i="18" s="1"/>
  <c r="H870" i="18" s="1"/>
  <c r="G871" i="18" s="1"/>
  <c r="H871" i="18" s="1"/>
  <c r="G872" i="18" s="1"/>
  <c r="H872" i="18" s="1"/>
  <c r="G873" i="18" s="1"/>
  <c r="H873" i="18" s="1"/>
  <c r="G874" i="18" s="1"/>
  <c r="H874" i="18" s="1"/>
  <c r="G875" i="18" s="1"/>
  <c r="H875" i="18" s="1"/>
  <c r="G876" i="18" s="1"/>
  <c r="H876" i="18" s="1"/>
  <c r="G877" i="18" s="1"/>
  <c r="H877" i="18" s="1"/>
  <c r="G878" i="18" s="1"/>
  <c r="H878" i="18" s="1"/>
  <c r="G879" i="18" s="1"/>
  <c r="H879" i="18" s="1"/>
  <c r="G880" i="18" s="1"/>
  <c r="H880" i="18" s="1"/>
  <c r="G881" i="18" s="1"/>
  <c r="H881" i="18" s="1"/>
  <c r="G882" i="18" s="1"/>
  <c r="H882" i="18" s="1"/>
  <c r="G883" i="18" s="1"/>
  <c r="H883" i="18" s="1"/>
  <c r="G884" i="18" s="1"/>
  <c r="H884" i="18" s="1"/>
  <c r="G885" i="18" s="1"/>
  <c r="H885" i="18" s="1"/>
  <c r="G886" i="18" s="1"/>
  <c r="H886" i="18" s="1"/>
  <c r="G887" i="18" s="1"/>
  <c r="H887" i="18" s="1"/>
  <c r="G888" i="18" s="1"/>
  <c r="H888" i="18" s="1"/>
  <c r="G889" i="18" s="1"/>
  <c r="H889" i="18" s="1"/>
  <c r="G890" i="18" s="1"/>
  <c r="H890" i="18" s="1"/>
  <c r="G891" i="18" s="1"/>
  <c r="H891" i="18" s="1"/>
  <c r="G892" i="18" s="1"/>
  <c r="H892" i="18" s="1"/>
  <c r="G893" i="18" s="1"/>
  <c r="H893" i="18" s="1"/>
  <c r="G894" i="18" s="1"/>
  <c r="H894" i="18" s="1"/>
  <c r="G895" i="18" s="1"/>
  <c r="H895" i="18" s="1"/>
  <c r="G896" i="18" s="1"/>
  <c r="H896" i="18" s="1"/>
  <c r="G897" i="18" s="1"/>
  <c r="H897" i="18" s="1"/>
  <c r="G898" i="18" s="1"/>
  <c r="H898" i="18" s="1"/>
  <c r="G899" i="18" s="1"/>
  <c r="H899" i="18" s="1"/>
  <c r="G900" i="18" s="1"/>
  <c r="H900" i="18" s="1"/>
  <c r="G901" i="18" s="1"/>
  <c r="H901" i="18" s="1"/>
  <c r="G902" i="18" s="1"/>
  <c r="H902" i="18" s="1"/>
  <c r="G903" i="18" s="1"/>
  <c r="H903" i="18" s="1"/>
  <c r="G904" i="18" s="1"/>
  <c r="H904" i="18" s="1"/>
  <c r="G905" i="18" s="1"/>
  <c r="H905" i="18" s="1"/>
  <c r="G906" i="18" s="1"/>
  <c r="H906" i="18" s="1"/>
  <c r="G907" i="18" s="1"/>
  <c r="H907" i="18" s="1"/>
  <c r="G908" i="18" s="1"/>
  <c r="H908" i="18" s="1"/>
  <c r="G909" i="18" s="1"/>
  <c r="H909" i="18" s="1"/>
  <c r="G910" i="18" s="1"/>
  <c r="H910" i="18" s="1"/>
  <c r="G911" i="18" s="1"/>
  <c r="H911" i="18" s="1"/>
  <c r="G912" i="18" s="1"/>
  <c r="H912" i="18" s="1"/>
  <c r="G913" i="18" s="1"/>
  <c r="H913" i="18" s="1"/>
  <c r="G914" i="18" s="1"/>
  <c r="H914" i="18" s="1"/>
  <c r="G915" i="18" s="1"/>
  <c r="H915" i="18" s="1"/>
  <c r="G916" i="18" s="1"/>
  <c r="H916" i="18" s="1"/>
  <c r="G917" i="18" s="1"/>
  <c r="H917" i="18" s="1"/>
  <c r="G918" i="18" s="1"/>
  <c r="H918" i="18" s="1"/>
  <c r="G919" i="18" s="1"/>
  <c r="H919" i="18" s="1"/>
  <c r="G920" i="18" s="1"/>
  <c r="H920" i="18" s="1"/>
  <c r="G921" i="18" s="1"/>
  <c r="H921" i="18" s="1"/>
  <c r="G922" i="18" s="1"/>
  <c r="H922" i="18" s="1"/>
  <c r="G923" i="18" s="1"/>
  <c r="H923" i="18" s="1"/>
  <c r="G924" i="18" s="1"/>
  <c r="H924" i="18" s="1"/>
  <c r="G925" i="18" s="1"/>
  <c r="H925" i="18" s="1"/>
  <c r="G926" i="18" s="1"/>
  <c r="H926" i="18" s="1"/>
  <c r="G927" i="18" s="1"/>
  <c r="H927" i="18" s="1"/>
  <c r="G928" i="18" s="1"/>
  <c r="H928" i="18" s="1"/>
  <c r="G929" i="18" s="1"/>
  <c r="H929" i="18" s="1"/>
  <c r="G930" i="18" s="1"/>
  <c r="H930" i="18" s="1"/>
  <c r="G931" i="18" s="1"/>
  <c r="H931" i="18" s="1"/>
  <c r="G932" i="18" s="1"/>
  <c r="H932" i="18" s="1"/>
  <c r="G933" i="18" s="1"/>
  <c r="H933" i="18" s="1"/>
  <c r="G934" i="18" s="1"/>
  <c r="H934" i="18" s="1"/>
  <c r="G935" i="18" s="1"/>
  <c r="H935" i="18" s="1"/>
  <c r="G936" i="18" s="1"/>
  <c r="H936" i="18" s="1"/>
  <c r="G937" i="18" s="1"/>
  <c r="H937" i="18" s="1"/>
  <c r="G938" i="18" s="1"/>
  <c r="H938" i="18" s="1"/>
  <c r="G939" i="18" s="1"/>
  <c r="H939" i="18" s="1"/>
  <c r="G940" i="18" s="1"/>
  <c r="H940" i="18" s="1"/>
  <c r="G941" i="18" s="1"/>
  <c r="H941" i="18" s="1"/>
  <c r="G942" i="18" s="1"/>
  <c r="H942" i="18" s="1"/>
  <c r="G943" i="18" s="1"/>
  <c r="H943" i="18" s="1"/>
  <c r="G944" i="18" s="1"/>
  <c r="H944" i="18" s="1"/>
  <c r="G945" i="18" s="1"/>
  <c r="H945" i="18" s="1"/>
  <c r="G946" i="18" s="1"/>
  <c r="H946" i="18" s="1"/>
  <c r="G947" i="18" s="1"/>
  <c r="H947" i="18" s="1"/>
  <c r="G948" i="18" s="1"/>
  <c r="H948" i="18" s="1"/>
  <c r="G949" i="18" s="1"/>
  <c r="H949" i="18" s="1"/>
  <c r="G950" i="18" s="1"/>
  <c r="H950" i="18" s="1"/>
  <c r="G951" i="18" s="1"/>
  <c r="H951" i="18" s="1"/>
  <c r="G952" i="18" s="1"/>
  <c r="H952" i="18" s="1"/>
  <c r="G953" i="18" s="1"/>
  <c r="H953" i="18" s="1"/>
  <c r="G954" i="18" s="1"/>
  <c r="H954" i="18" s="1"/>
  <c r="G955" i="18" s="1"/>
  <c r="H955" i="18" s="1"/>
  <c r="G956" i="18" s="1"/>
  <c r="H956" i="18" s="1"/>
  <c r="G957" i="18" s="1"/>
  <c r="H957" i="18" s="1"/>
  <c r="G958" i="18" s="1"/>
  <c r="H958" i="18" s="1"/>
  <c r="G959" i="18" s="1"/>
  <c r="H959" i="18" s="1"/>
  <c r="G960" i="18" s="1"/>
  <c r="H960" i="18" s="1"/>
  <c r="G961" i="18" s="1"/>
  <c r="H961" i="18" s="1"/>
  <c r="G962" i="18" s="1"/>
  <c r="H962" i="18" s="1"/>
  <c r="G963" i="18" s="1"/>
  <c r="H963" i="18" s="1"/>
  <c r="G964" i="18" s="1"/>
  <c r="H964" i="18" s="1"/>
  <c r="G965" i="18" s="1"/>
  <c r="H965" i="18" s="1"/>
  <c r="G966" i="18" s="1"/>
  <c r="H966" i="18" s="1"/>
  <c r="G967" i="18" s="1"/>
  <c r="H967" i="18" s="1"/>
  <c r="G968" i="18" s="1"/>
  <c r="H968" i="18" s="1"/>
  <c r="G969" i="18" s="1"/>
  <c r="H969" i="18" s="1"/>
  <c r="G970" i="18" s="1"/>
  <c r="H970" i="18" s="1"/>
  <c r="G971" i="18" s="1"/>
  <c r="H971" i="18" s="1"/>
  <c r="G972" i="18" s="1"/>
  <c r="H972" i="18" s="1"/>
  <c r="G973" i="18" s="1"/>
  <c r="H973" i="18" s="1"/>
  <c r="G974" i="18" s="1"/>
  <c r="H974" i="18" s="1"/>
  <c r="G975" i="18" s="1"/>
  <c r="H975" i="18" s="1"/>
  <c r="G976" i="18" s="1"/>
  <c r="H976" i="18" s="1"/>
  <c r="G977" i="18" s="1"/>
  <c r="H977" i="18" s="1"/>
  <c r="G978" i="18" s="1"/>
  <c r="H978" i="18" s="1"/>
  <c r="G979" i="18" s="1"/>
  <c r="H979" i="18" s="1"/>
  <c r="G980" i="18" s="1"/>
  <c r="H980" i="18" s="1"/>
  <c r="G981" i="18" s="1"/>
  <c r="H981" i="18" s="1"/>
  <c r="G982" i="18" s="1"/>
  <c r="H982" i="18" s="1"/>
  <c r="G983" i="18" s="1"/>
  <c r="H983" i="18" s="1"/>
  <c r="G984" i="18" s="1"/>
  <c r="H984" i="18" s="1"/>
  <c r="G985" i="18" s="1"/>
  <c r="H985" i="18" s="1"/>
  <c r="G986" i="18" s="1"/>
  <c r="H986" i="18" s="1"/>
  <c r="G987" i="18" s="1"/>
  <c r="H987" i="18" s="1"/>
  <c r="G988" i="18" s="1"/>
  <c r="H988" i="18" s="1"/>
  <c r="G989" i="18" s="1"/>
  <c r="H989" i="18" s="1"/>
  <c r="G990" i="18" s="1"/>
  <c r="H990" i="18" s="1"/>
  <c r="G991" i="18" s="1"/>
  <c r="H991" i="18" s="1"/>
  <c r="G992" i="18" s="1"/>
  <c r="H992" i="18" s="1"/>
  <c r="G993" i="18" s="1"/>
  <c r="H993" i="18" s="1"/>
  <c r="G994" i="18" s="1"/>
  <c r="H994" i="18" s="1"/>
  <c r="G995" i="18" s="1"/>
  <c r="H995" i="18" s="1"/>
  <c r="G996" i="18" s="1"/>
  <c r="H996" i="18" s="1"/>
  <c r="G997" i="18" s="1"/>
  <c r="H997" i="18" s="1"/>
  <c r="G998" i="18" s="1"/>
  <c r="H998" i="18" s="1"/>
  <c r="G999" i="18" s="1"/>
  <c r="H999" i="18" s="1"/>
  <c r="G1000" i="18" s="1"/>
  <c r="H1000" i="18" s="1"/>
  <c r="G1001" i="18" s="1"/>
  <c r="H1001" i="18" s="1"/>
  <c r="G1002" i="18" s="1"/>
  <c r="H1002" i="18" s="1"/>
  <c r="G1003" i="18" s="1"/>
  <c r="H1003" i="18" s="1"/>
  <c r="G1004" i="18" s="1"/>
  <c r="H1004" i="18" s="1"/>
  <c r="G1005" i="18" s="1"/>
  <c r="H1005" i="18" s="1"/>
  <c r="G1006" i="18" s="1"/>
  <c r="H1006" i="18" s="1"/>
  <c r="G1007" i="18" s="1"/>
  <c r="H1007" i="18" s="1"/>
  <c r="G1008" i="18" s="1"/>
  <c r="H1008" i="18" s="1"/>
  <c r="G1009" i="18" s="1"/>
  <c r="H1009" i="18" s="1"/>
  <c r="G1010" i="18" s="1"/>
  <c r="H1010" i="18" s="1"/>
  <c r="G1011" i="18" s="1"/>
  <c r="H1011" i="18" s="1"/>
  <c r="G1012" i="18" s="1"/>
  <c r="H1012" i="18" s="1"/>
  <c r="G1013" i="18" s="1"/>
  <c r="H1013" i="18" s="1"/>
  <c r="G1014" i="18" s="1"/>
  <c r="H1014" i="18" s="1"/>
  <c r="G1015" i="18" s="1"/>
  <c r="H1015" i="18" s="1"/>
  <c r="G1016" i="18" s="1"/>
  <c r="H1016" i="18" s="1"/>
  <c r="G1017" i="18" s="1"/>
  <c r="H1017" i="18" s="1"/>
  <c r="G1018" i="18" s="1"/>
  <c r="H1018" i="18" s="1"/>
  <c r="G1019" i="18" s="1"/>
  <c r="H1019" i="18" s="1"/>
  <c r="G1020" i="18" s="1"/>
  <c r="H1020" i="18" s="1"/>
  <c r="G1021" i="18" s="1"/>
  <c r="H1021" i="18" s="1"/>
  <c r="G1022" i="18" s="1"/>
  <c r="H1022" i="18" s="1"/>
  <c r="G1023" i="18" s="1"/>
  <c r="H1023" i="18" s="1"/>
  <c r="G1024" i="18" s="1"/>
  <c r="H1024" i="18" s="1"/>
  <c r="G1025" i="18" s="1"/>
  <c r="H1025" i="18" s="1"/>
  <c r="G1026" i="18" s="1"/>
  <c r="H1026" i="18" s="1"/>
  <c r="G1027" i="18" s="1"/>
  <c r="H1027" i="18" s="1"/>
  <c r="G1028" i="18" s="1"/>
  <c r="H1028" i="18" s="1"/>
  <c r="G1029" i="18" s="1"/>
  <c r="H1029" i="18" s="1"/>
  <c r="G1030" i="18" s="1"/>
  <c r="H1030" i="18" s="1"/>
  <c r="G1031" i="18" s="1"/>
  <c r="H1031" i="18" s="1"/>
  <c r="G1032" i="18" s="1"/>
  <c r="H1032" i="18" s="1"/>
  <c r="G1033" i="18" s="1"/>
  <c r="H1033" i="18" s="1"/>
  <c r="G1034" i="18" s="1"/>
  <c r="H1034" i="18" s="1"/>
  <c r="G1035" i="18" s="1"/>
  <c r="H1035" i="18" s="1"/>
  <c r="G1036" i="18" s="1"/>
  <c r="H1036" i="18" s="1"/>
  <c r="G1037" i="18" s="1"/>
  <c r="H1037" i="18" s="1"/>
  <c r="G1038" i="18" s="1"/>
  <c r="H1038" i="18" s="1"/>
  <c r="G1039" i="18" s="1"/>
  <c r="H1039" i="18" s="1"/>
  <c r="G1040" i="18" s="1"/>
  <c r="V16" i="1"/>
  <c r="W16" i="1" s="1"/>
  <c r="X17" i="1"/>
  <c r="AD18" i="5"/>
  <c r="Z18" i="5" s="1"/>
  <c r="V17" i="1"/>
  <c r="D61" i="8"/>
  <c r="K65" i="8" s="1"/>
  <c r="M65" i="8" s="1"/>
  <c r="P14" i="1"/>
  <c r="D178" i="8" s="1"/>
  <c r="K181" i="8" s="1"/>
  <c r="K84" i="8"/>
  <c r="M84" i="8" s="1"/>
  <c r="O84" i="8" s="1"/>
  <c r="K85" i="8"/>
  <c r="K37" i="8"/>
  <c r="M37" i="8" s="1"/>
  <c r="O37" i="8" s="1"/>
  <c r="O15" i="1"/>
  <c r="R15" i="1"/>
  <c r="T15" i="1" s="1"/>
  <c r="O14" i="1"/>
  <c r="D165" i="8" s="1"/>
  <c r="K168" i="8" s="1"/>
  <c r="AD90" i="5"/>
  <c r="Z90" i="5" s="1"/>
  <c r="AC92" i="5" s="1"/>
  <c r="Q39" i="6"/>
  <c r="S33" i="6"/>
  <c r="S39" i="6" s="1"/>
  <c r="Q14" i="1"/>
  <c r="D192" i="8" s="1"/>
  <c r="K198" i="8" s="1"/>
  <c r="D49" i="8"/>
  <c r="K53" i="8" s="1"/>
  <c r="O17" i="1"/>
  <c r="H12" i="4"/>
  <c r="D206" i="8"/>
  <c r="K212" i="8" s="1"/>
  <c r="S15" i="1"/>
  <c r="I39" i="8" l="1"/>
  <c r="M33" i="5"/>
  <c r="F39" i="8" s="1"/>
  <c r="J39" i="8" s="1"/>
  <c r="M39" i="8" s="1"/>
  <c r="O39" i="8" s="1"/>
  <c r="I181" i="8"/>
  <c r="I256" i="8"/>
  <c r="F277" i="8"/>
  <c r="J277" i="8" s="1"/>
  <c r="F259" i="8"/>
  <c r="J259" i="8" s="1"/>
  <c r="F181" i="8"/>
  <c r="F256" i="8"/>
  <c r="F196" i="8"/>
  <c r="J196" i="8" s="1"/>
  <c r="AC20" i="5"/>
  <c r="I241" i="8"/>
  <c r="I40" i="8"/>
  <c r="I113" i="8"/>
  <c r="M48" i="5"/>
  <c r="J279" i="8"/>
  <c r="L1040" i="18"/>
  <c r="C31" i="18" s="1"/>
  <c r="C32" i="18" s="1"/>
  <c r="J1040" i="18"/>
  <c r="C26" i="18" s="1"/>
  <c r="C27" i="18" s="1"/>
  <c r="C25" i="18"/>
  <c r="C28" i="18" s="1"/>
  <c r="H1040" i="18"/>
  <c r="C21" i="18" s="1"/>
  <c r="C22" i="18" s="1"/>
  <c r="C20" i="18"/>
  <c r="I210" i="8"/>
  <c r="I280" i="8"/>
  <c r="X14" i="1"/>
  <c r="K66" i="8"/>
  <c r="W17" i="1"/>
  <c r="D152" i="8"/>
  <c r="R14" i="1"/>
  <c r="V14" i="1" s="1"/>
  <c r="D93" i="8"/>
  <c r="K99" i="8" s="1"/>
  <c r="U15" i="1"/>
  <c r="D207" i="8" s="1"/>
  <c r="V15" i="1"/>
  <c r="W15" i="1" s="1"/>
  <c r="R39" i="6"/>
  <c r="N39" i="6" s="1"/>
  <c r="Q41" i="6" s="1"/>
  <c r="C18" i="6" s="1"/>
  <c r="D107" i="8"/>
  <c r="S14" i="1"/>
  <c r="E252" i="8" s="1"/>
  <c r="D237" i="8"/>
  <c r="K243" i="8" s="1"/>
  <c r="O65" i="8"/>
  <c r="J256" i="8" l="1"/>
  <c r="J181" i="8"/>
  <c r="M181" i="8" s="1"/>
  <c r="O181" i="8" s="1"/>
  <c r="F11" i="8"/>
  <c r="J11" i="8" s="1"/>
  <c r="M11" i="8" s="1"/>
  <c r="M14" i="8" s="1"/>
  <c r="F99" i="8"/>
  <c r="J99" i="8" s="1"/>
  <c r="M99" i="8" s="1"/>
  <c r="O99" i="8" s="1"/>
  <c r="C23" i="18"/>
  <c r="E28" i="18"/>
  <c r="F280" i="8"/>
  <c r="J280" i="8" s="1"/>
  <c r="F210" i="8"/>
  <c r="J210" i="8" s="1"/>
  <c r="F241" i="8"/>
  <c r="J241" i="8" s="1"/>
  <c r="F23" i="8"/>
  <c r="J23" i="8" s="1"/>
  <c r="M23" i="8" s="1"/>
  <c r="O23" i="8" s="1"/>
  <c r="O26" i="8" s="1"/>
  <c r="F40" i="8"/>
  <c r="J40" i="8" s="1"/>
  <c r="M40" i="8" s="1"/>
  <c r="O40" i="8" s="1"/>
  <c r="F113" i="8"/>
  <c r="J113" i="8" s="1"/>
  <c r="H9" i="4"/>
  <c r="C17" i="18"/>
  <c r="O21" i="1" s="1"/>
  <c r="H11" i="4"/>
  <c r="D151" i="8"/>
  <c r="K155" i="8" s="1"/>
  <c r="Y15" i="1"/>
  <c r="D122" i="8"/>
  <c r="K125" i="8" s="1"/>
  <c r="T14" i="1"/>
  <c r="K100" i="8"/>
  <c r="M100" i="8" s="1"/>
  <c r="O100" i="8" s="1"/>
  <c r="K211" i="8"/>
  <c r="K210" i="8"/>
  <c r="K113" i="8"/>
  <c r="K114" i="8"/>
  <c r="M114" i="8" s="1"/>
  <c r="O114" i="8" s="1"/>
  <c r="D134" i="8"/>
  <c r="K137" i="8" s="1"/>
  <c r="U14" i="1"/>
  <c r="D193" i="8" s="1"/>
  <c r="D164" i="8"/>
  <c r="K169" i="8" s="1"/>
  <c r="W14" i="1"/>
  <c r="Q21" i="1" s="1"/>
  <c r="O11" i="8" l="1"/>
  <c r="O14" i="8" s="1"/>
  <c r="N14" i="8" s="1"/>
  <c r="J14" i="8" s="1"/>
  <c r="I53" i="8" s="1"/>
  <c r="F10" i="18"/>
  <c r="E10" i="18"/>
  <c r="P22" i="9" s="1"/>
  <c r="E23" i="18"/>
  <c r="I66" i="8"/>
  <c r="M113" i="8"/>
  <c r="O113" i="8" s="1"/>
  <c r="M26" i="8"/>
  <c r="N26" i="8" s="1"/>
  <c r="J26" i="8" s="1"/>
  <c r="I38" i="8" s="1"/>
  <c r="G76" i="9"/>
  <c r="D270" i="8"/>
  <c r="K276" i="8" s="1"/>
  <c r="E253" i="8"/>
  <c r="K257" i="8" s="1"/>
  <c r="Q23" i="9"/>
  <c r="M210" i="8"/>
  <c r="O210" i="8" s="1"/>
  <c r="K156" i="8"/>
  <c r="Y14" i="1"/>
  <c r="B21" i="1" s="1"/>
  <c r="D238" i="8"/>
  <c r="K196" i="8"/>
  <c r="M196" i="8" s="1"/>
  <c r="O196" i="8" s="1"/>
  <c r="K197" i="8"/>
  <c r="M16" i="8" l="1"/>
  <c r="F53" i="8" s="1"/>
  <c r="J53" i="8" s="1"/>
  <c r="M53" i="8" s="1"/>
  <c r="O53" i="8" s="1"/>
  <c r="M28" i="8"/>
  <c r="S21" i="1"/>
  <c r="D269" i="8" s="1"/>
  <c r="K277" i="8" s="1"/>
  <c r="M277" i="8" s="1"/>
  <c r="E251" i="8"/>
  <c r="K259" i="8" s="1"/>
  <c r="M259" i="8" s="1"/>
  <c r="O259" i="8" s="1"/>
  <c r="K241" i="8"/>
  <c r="M241" i="8" s="1"/>
  <c r="O241" i="8" s="1"/>
  <c r="K242" i="8"/>
  <c r="D271" i="8"/>
  <c r="F66" i="8" l="1"/>
  <c r="J66" i="8" s="1"/>
  <c r="M66" i="8" s="1"/>
  <c r="O66" i="8" s="1"/>
  <c r="O68" i="8" s="1"/>
  <c r="M68" i="8"/>
  <c r="F38" i="8"/>
  <c r="J38" i="8" s="1"/>
  <c r="M38" i="8" s="1"/>
  <c r="K279" i="8"/>
  <c r="M279" i="8" s="1"/>
  <c r="O279" i="8" s="1"/>
  <c r="K280" i="8"/>
  <c r="M280" i="8" s="1"/>
  <c r="O280" i="8" s="1"/>
  <c r="U21" i="1"/>
  <c r="U23" i="1" s="1"/>
  <c r="U25" i="1" s="1"/>
  <c r="K258" i="8"/>
  <c r="K256" i="8"/>
  <c r="M256" i="8" s="1"/>
  <c r="O256" i="8" s="1"/>
  <c r="O277" i="8"/>
  <c r="N68" i="8" l="1"/>
  <c r="J68" i="8" s="1"/>
  <c r="M70" i="8" s="1"/>
  <c r="F155" i="8" s="1"/>
  <c r="F182" i="8"/>
  <c r="I182" i="8"/>
  <c r="J182" i="8" s="1"/>
  <c r="M182" i="8" s="1"/>
  <c r="M184" i="8" s="1"/>
  <c r="I98" i="8"/>
  <c r="O38" i="8"/>
  <c r="O42" i="8" s="1"/>
  <c r="M42" i="8"/>
  <c r="G78" i="9"/>
  <c r="Y21" i="1"/>
  <c r="G77" i="9" s="1"/>
  <c r="W21" i="1"/>
  <c r="W23" i="1" s="1"/>
  <c r="W25" i="1" s="1"/>
  <c r="F98" i="8" l="1"/>
  <c r="I155" i="8"/>
  <c r="J155" i="8" s="1"/>
  <c r="M155" i="8" s="1"/>
  <c r="O155" i="8" s="1"/>
  <c r="J98" i="8"/>
  <c r="M98" i="8" s="1"/>
  <c r="O98" i="8" s="1"/>
  <c r="O102" i="8" s="1"/>
  <c r="N42" i="8"/>
  <c r="J42" i="8" s="1"/>
  <c r="M44" i="8" s="1"/>
  <c r="F85" i="8" s="1"/>
  <c r="D288" i="8"/>
  <c r="D287" i="8"/>
  <c r="F282" i="8"/>
  <c r="J282" i="8" s="1"/>
  <c r="M282" i="8" s="1"/>
  <c r="O282" i="8" s="1"/>
  <c r="O182" i="8"/>
  <c r="O184" i="8" s="1"/>
  <c r="N184" i="8" s="1"/>
  <c r="J184" i="8" s="1"/>
  <c r="M186" i="8" s="1"/>
  <c r="N75" i="9"/>
  <c r="S75" i="9" s="1"/>
  <c r="Y23" i="1"/>
  <c r="Y25" i="1" s="1"/>
  <c r="D292" i="8"/>
  <c r="K296" i="8" s="1"/>
  <c r="D29" i="1"/>
  <c r="N77" i="9" s="1"/>
  <c r="R25" i="9" s="1"/>
  <c r="M102" i="8" l="1"/>
  <c r="N102" i="8" s="1"/>
  <c r="J102" i="8" s="1"/>
  <c r="M104" i="8" s="1"/>
  <c r="F156" i="8" s="1"/>
  <c r="I52" i="8"/>
  <c r="F52" i="8"/>
  <c r="R24" i="9"/>
  <c r="S24" i="9" s="1"/>
  <c r="I85" i="8"/>
  <c r="J85" i="8" s="1"/>
  <c r="M85" i="8" s="1"/>
  <c r="D289" i="8"/>
  <c r="G81" i="9"/>
  <c r="K295" i="8"/>
  <c r="M295" i="8" s="1"/>
  <c r="O295" i="8" s="1"/>
  <c r="S77" i="9"/>
  <c r="S25" i="9" s="1"/>
  <c r="J52" i="8" l="1"/>
  <c r="M52" i="8" s="1"/>
  <c r="O52" i="8" s="1"/>
  <c r="O55" i="8" s="1"/>
  <c r="F125" i="8"/>
  <c r="I156" i="8"/>
  <c r="J156" i="8" s="1"/>
  <c r="M156" i="8" s="1"/>
  <c r="M158" i="8" s="1"/>
  <c r="I125" i="8"/>
  <c r="O85" i="8"/>
  <c r="O87" i="8" s="1"/>
  <c r="M87" i="8"/>
  <c r="M55" i="8"/>
  <c r="N55" i="8" l="1"/>
  <c r="J55" i="8" s="1"/>
  <c r="M57" i="8" s="1"/>
  <c r="F169" i="8" s="1"/>
  <c r="J125" i="8"/>
  <c r="M125" i="8" s="1"/>
  <c r="O125" i="8" s="1"/>
  <c r="O128" i="8" s="1"/>
  <c r="N87" i="8"/>
  <c r="J87" i="8" s="1"/>
  <c r="I242" i="8" s="1"/>
  <c r="O156" i="8"/>
  <c r="O158" i="8" s="1"/>
  <c r="N158" i="8" s="1"/>
  <c r="J158" i="8" s="1"/>
  <c r="M160" i="8" s="1"/>
  <c r="F168" i="8" s="1"/>
  <c r="M128" i="8"/>
  <c r="N128" i="8" s="1"/>
  <c r="J128" i="8" s="1"/>
  <c r="M130" i="8" s="1"/>
  <c r="I169" i="8" l="1"/>
  <c r="J169" i="8" s="1"/>
  <c r="M169" i="8" s="1"/>
  <c r="O169" i="8" s="1"/>
  <c r="I211" i="8"/>
  <c r="M89" i="8"/>
  <c r="F197" i="8" s="1"/>
  <c r="I197" i="8"/>
  <c r="I112" i="8"/>
  <c r="F211" i="8"/>
  <c r="F242" i="8"/>
  <c r="J242" i="8" s="1"/>
  <c r="M242" i="8" s="1"/>
  <c r="O242" i="8" s="1"/>
  <c r="I168" i="8"/>
  <c r="J197" i="8" l="1"/>
  <c r="M197" i="8" s="1"/>
  <c r="O197" i="8" s="1"/>
  <c r="F112" i="8"/>
  <c r="J211" i="8"/>
  <c r="M211" i="8" s="1"/>
  <c r="O211" i="8" s="1"/>
  <c r="J112" i="8"/>
  <c r="M112" i="8" s="1"/>
  <c r="M116" i="8" s="1"/>
  <c r="J168" i="8"/>
  <c r="M168" i="8" s="1"/>
  <c r="O168" i="8" s="1"/>
  <c r="O171" i="8" s="1"/>
  <c r="O112" i="8"/>
  <c r="O116" i="8" s="1"/>
  <c r="M171" i="8" l="1"/>
  <c r="N171" i="8" s="1"/>
  <c r="J171" i="8" s="1"/>
  <c r="M173" i="8" s="1"/>
  <c r="N116" i="8"/>
  <c r="J116" i="8" s="1"/>
  <c r="M118" i="8" l="1"/>
  <c r="I258" i="8"/>
  <c r="I137" i="8"/>
  <c r="F137" i="8" l="1"/>
  <c r="J137" i="8" s="1"/>
  <c r="M137" i="8" s="1"/>
  <c r="O137" i="8" s="1"/>
  <c r="O140" i="8" s="1"/>
  <c r="F258" i="8"/>
  <c r="J258" i="8" s="1"/>
  <c r="M258" i="8" s="1"/>
  <c r="O258" i="8" s="1"/>
  <c r="M140" i="8" l="1"/>
  <c r="N140" i="8" s="1"/>
  <c r="J140" i="8" s="1"/>
  <c r="I243" i="8" s="1"/>
  <c r="M142" i="8" l="1"/>
  <c r="I198" i="8"/>
  <c r="I212" i="8"/>
  <c r="F212" i="8" l="1"/>
  <c r="J212" i="8" s="1"/>
  <c r="M212" i="8" s="1"/>
  <c r="F243" i="8"/>
  <c r="J243" i="8" s="1"/>
  <c r="M243" i="8" s="1"/>
  <c r="F198" i="8"/>
  <c r="J198" i="8" s="1"/>
  <c r="M198" i="8" s="1"/>
  <c r="O243" i="8" l="1"/>
  <c r="O245" i="8" s="1"/>
  <c r="M245" i="8"/>
  <c r="O198" i="8"/>
  <c r="O200" i="8" s="1"/>
  <c r="M200" i="8"/>
  <c r="M214" i="8"/>
  <c r="O212" i="8"/>
  <c r="O214" i="8" s="1"/>
  <c r="N200" i="8" l="1"/>
  <c r="J200" i="8" s="1"/>
  <c r="N245" i="8"/>
  <c r="J245" i="8" s="1"/>
  <c r="M247" i="8" s="1"/>
  <c r="F276" i="8" s="1"/>
  <c r="N214" i="8"/>
  <c r="J214" i="8" s="1"/>
  <c r="M216" i="8" s="1"/>
  <c r="M202" i="8" l="1"/>
  <c r="F257" i="8" s="1"/>
  <c r="I257" i="8"/>
  <c r="I276" i="8"/>
  <c r="J276" i="8" s="1"/>
  <c r="M276" i="8" s="1"/>
  <c r="O276" i="8" s="1"/>
  <c r="J257" i="8" l="1"/>
  <c r="M257" i="8" s="1"/>
  <c r="O257" i="8" s="1"/>
  <c r="O261" i="8" s="1"/>
  <c r="M261" i="8" l="1"/>
  <c r="N261" i="8" s="1"/>
  <c r="J261" i="8" s="1"/>
  <c r="M263" i="8" s="1"/>
  <c r="F278" i="8" s="1"/>
  <c r="I278" i="8" l="1"/>
  <c r="J278" i="8" s="1"/>
  <c r="M278" i="8" s="1"/>
  <c r="M284" i="8" s="1"/>
  <c r="O278" i="8" l="1"/>
  <c r="O284" i="8" s="1"/>
  <c r="N284" i="8" s="1"/>
  <c r="J284" i="8" s="1"/>
  <c r="M286" i="8" s="1"/>
  <c r="H77" i="9" s="1"/>
  <c r="I78" i="9" l="1"/>
  <c r="I77" i="9"/>
  <c r="I296" i="8"/>
  <c r="M287" i="8"/>
  <c r="H78" i="9" s="1"/>
  <c r="M288" i="8"/>
  <c r="F296" i="8" s="1"/>
  <c r="J296" i="8" l="1"/>
  <c r="M296" i="8" s="1"/>
  <c r="O296" i="8" s="1"/>
  <c r="O298" i="8" s="1"/>
  <c r="M298" i="8" l="1"/>
  <c r="N298" i="8" s="1"/>
  <c r="J298" i="8" s="1"/>
  <c r="I81" i="9" s="1"/>
  <c r="M300" i="8" l="1"/>
  <c r="M302" i="8" s="1"/>
  <c r="H81" i="9" s="1"/>
  <c r="F29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S16" authorId="0" shapeId="0" xr:uid="{00000000-0006-0000-0000-000001000000}">
      <text>
        <r>
          <rPr>
            <b/>
            <sz val="12"/>
            <color indexed="81"/>
            <rFont val="Segoe UI"/>
            <family val="2"/>
          </rPr>
          <t>Inserir unidade
Ex.: mbar ; mmCA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10083230</author>
  </authors>
  <commentList>
    <comment ref="B20" authorId="0" shapeId="0" xr:uid="{00000000-0006-0000-0500-000001000000}">
      <text>
        <r>
          <rPr>
            <b/>
            <sz val="9"/>
            <color indexed="10"/>
            <rFont val="Tahoma"/>
            <family val="2"/>
          </rPr>
          <t>ATENÇÃO: OS VALORES DEVEM SER SEMPRE INSERIDOS NA ORDEM CRESCENTE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Leonardo Felippe Soares</author>
  </authors>
  <commentList>
    <comment ref="C109" authorId="0" shapeId="0" xr:uid="{00000000-0006-0000-0600-000001000000}">
      <text>
        <r>
          <rPr>
            <b/>
            <sz val="9"/>
            <color indexed="81"/>
            <rFont val="Segoe UI"/>
            <family val="2"/>
          </rPr>
          <t>Plano de calibração do paquímetro 840DOM/2017
UTILIZADO PARA VALIDAÇÃO DO TÚNEL</t>
        </r>
      </text>
    </comment>
    <comment ref="C111" authorId="0" shapeId="0" xr:uid="{00000000-0006-0000-0600-000002000000}">
      <text>
        <r>
          <rPr>
            <b/>
            <sz val="9"/>
            <color indexed="81"/>
            <rFont val="Segoe UI"/>
            <family val="2"/>
          </rPr>
          <t>Desvio padrão das medidas do bocal com maior variação.
(Diferença entre o maio valor medido e o menor valor medido)</t>
        </r>
      </text>
    </comment>
    <comment ref="I111" authorId="0" shapeId="0" xr:uid="{00000000-0006-0000-0600-000003000000}">
      <text>
        <r>
          <rPr>
            <b/>
            <sz val="9"/>
            <color indexed="81"/>
            <rFont val="Segoe UI"/>
            <family val="2"/>
          </rPr>
          <t>Número de medidas do diâmetro do bocal com maior variação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excluir" type="6" refreshedVersion="6" background="1" saveData="1">
    <textPr codePage="850" sourceFile="C:\Users\10083394\Desktop\excluir.txt" space="1" consecutive="1" delimiter="?">
      <textFields count="16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xr16:uid="{00000000-0015-0000-FFFF-FFFF01000000}" name="Falso" type="6" refreshedVersion="0" background="1">
    <textPr prompt="0" sourceFile="Falso" decimal="," thousands=".">
      <textFields>
        <textField/>
      </textFields>
    </textPr>
  </connection>
</connections>
</file>

<file path=xl/sharedStrings.xml><?xml version="1.0" encoding="utf-8"?>
<sst xmlns="http://schemas.openxmlformats.org/spreadsheetml/2006/main" count="2116" uniqueCount="585">
  <si>
    <t>Ps</t>
  </si>
  <si>
    <t>Pv</t>
  </si>
  <si>
    <t>φ</t>
  </si>
  <si>
    <t>xs</t>
  </si>
  <si>
    <t>xv</t>
  </si>
  <si>
    <t>νs</t>
  </si>
  <si>
    <t>νv</t>
  </si>
  <si>
    <t>γs</t>
  </si>
  <si>
    <t>γv</t>
  </si>
  <si>
    <t>US</t>
  </si>
  <si>
    <t>UA</t>
  </si>
  <si>
    <t>Hv</t>
  </si>
  <si>
    <t>Hs</t>
  </si>
  <si>
    <t>mmHg</t>
  </si>
  <si>
    <t>%</t>
  </si>
  <si>
    <t>g/kg</t>
  </si>
  <si>
    <t>g/m3</t>
  </si>
  <si>
    <t>Psicrômetro</t>
  </si>
  <si>
    <t>Psic-EV</t>
  </si>
  <si>
    <t>Psic-TP</t>
  </si>
  <si>
    <t>Psic-CEV</t>
  </si>
  <si>
    <t>Psic-CCD</t>
  </si>
  <si>
    <t>-</t>
  </si>
  <si>
    <t>Var</t>
  </si>
  <si>
    <t>dp Bocais</t>
  </si>
  <si>
    <t>mmCA</t>
  </si>
  <si>
    <t>dUA</t>
  </si>
  <si>
    <t>dHv</t>
  </si>
  <si>
    <t>Capacidade</t>
  </si>
  <si>
    <t>BTU/h</t>
  </si>
  <si>
    <t>Medida 1</t>
  </si>
  <si>
    <t>Média</t>
  </si>
  <si>
    <t>Placa</t>
  </si>
  <si>
    <t>Consumo</t>
  </si>
  <si>
    <t>Wh</t>
  </si>
  <si>
    <t>KWh/mês</t>
  </si>
  <si>
    <t>W</t>
  </si>
  <si>
    <t>Difer (%)</t>
  </si>
  <si>
    <t>IEE</t>
  </si>
  <si>
    <t>KJ / s ºC</t>
  </si>
  <si>
    <t>K</t>
  </si>
  <si>
    <t>KJ</t>
  </si>
  <si>
    <t>Temperatura medida:</t>
  </si>
  <si>
    <t>Valor Medido</t>
  </si>
  <si>
    <t>Valor Corrigido</t>
  </si>
  <si>
    <t>Correção</t>
  </si>
  <si>
    <t>Incerteza</t>
  </si>
  <si>
    <t>VR (°C)</t>
  </si>
  <si>
    <t>MM(°C)</t>
  </si>
  <si>
    <t>±IM (°C)</t>
  </si>
  <si>
    <t>TTS-EV</t>
  </si>
  <si>
    <r>
      <t>Kcal/m</t>
    </r>
    <r>
      <rPr>
        <b/>
        <i/>
        <vertAlign val="superscript"/>
        <sz val="9"/>
        <rFont val="Arial"/>
        <family val="2"/>
      </rPr>
      <t>3</t>
    </r>
  </si>
  <si>
    <r>
      <t>P</t>
    </r>
    <r>
      <rPr>
        <b/>
        <i/>
        <vertAlign val="subscript"/>
        <sz val="9"/>
        <rFont val="Arial"/>
        <family val="2"/>
      </rPr>
      <t>0</t>
    </r>
  </si>
  <si>
    <r>
      <t>m</t>
    </r>
    <r>
      <rPr>
        <b/>
        <i/>
        <vertAlign val="superscript"/>
        <sz val="9"/>
        <rFont val="Arial"/>
        <family val="2"/>
      </rPr>
      <t>3</t>
    </r>
    <r>
      <rPr>
        <b/>
        <i/>
        <sz val="9"/>
        <rFont val="Arial"/>
        <family val="2"/>
      </rPr>
      <t>/h</t>
    </r>
  </si>
  <si>
    <t>Equipamento</t>
  </si>
  <si>
    <t>TTU-EV</t>
  </si>
  <si>
    <t>TTS-TP</t>
  </si>
  <si>
    <t>TTU-TP</t>
  </si>
  <si>
    <t>TTS-CEV</t>
  </si>
  <si>
    <t>TTU-CEV</t>
  </si>
  <si>
    <t>TTS-CCD</t>
  </si>
  <si>
    <t>TTU-CCD</t>
  </si>
  <si>
    <t>Planilha para cálculo de correção do erro.</t>
  </si>
  <si>
    <t>Simbolo</t>
  </si>
  <si>
    <t>Grandeza</t>
  </si>
  <si>
    <t>Unidade</t>
  </si>
  <si>
    <t>Equipamento utilizado</t>
  </si>
  <si>
    <r>
      <t>P</t>
    </r>
    <r>
      <rPr>
        <b/>
        <i/>
        <vertAlign val="subscript"/>
        <sz val="10"/>
        <rFont val="Arial"/>
        <family val="2"/>
      </rPr>
      <t>0</t>
    </r>
  </si>
  <si>
    <t>Pressão atmosférica</t>
  </si>
  <si>
    <t>Barômetro digital Lufft 1544REF</t>
  </si>
  <si>
    <t>Temperatura bulbo seco</t>
  </si>
  <si>
    <t>°C</t>
  </si>
  <si>
    <t>Medidor Field Logger 812REF</t>
  </si>
  <si>
    <t>TTS (K)</t>
  </si>
  <si>
    <t>cálculo</t>
  </si>
  <si>
    <t xml:space="preserve">TTS Valor Corrigido </t>
  </si>
  <si>
    <t>Temperatura bulbo úmido</t>
  </si>
  <si>
    <t>TTU (K)</t>
  </si>
  <si>
    <t xml:space="preserve">TTU Valor Corrigido </t>
  </si>
  <si>
    <t>Pressão de saturação</t>
  </si>
  <si>
    <t>Ps (TTU)</t>
  </si>
  <si>
    <t>Pressão de vapor</t>
  </si>
  <si>
    <r>
      <t>P</t>
    </r>
    <r>
      <rPr>
        <i/>
        <vertAlign val="subscript"/>
        <sz val="10"/>
        <rFont val="Arial"/>
        <family val="2"/>
      </rPr>
      <t>0</t>
    </r>
  </si>
  <si>
    <t>Umidade relativa</t>
  </si>
  <si>
    <t xml:space="preserve">Ps </t>
  </si>
  <si>
    <t>variável auxiliar</t>
  </si>
  <si>
    <r>
      <t>P</t>
    </r>
    <r>
      <rPr>
        <i/>
        <vertAlign val="subscript"/>
        <sz val="10"/>
        <color indexed="8"/>
        <rFont val="Arial"/>
        <family val="2"/>
      </rPr>
      <t>0</t>
    </r>
  </si>
  <si>
    <r>
      <t>m</t>
    </r>
    <r>
      <rPr>
        <b/>
        <i/>
        <vertAlign val="superscript"/>
        <sz val="10"/>
        <rFont val="Arial"/>
        <family val="2"/>
      </rPr>
      <t>3</t>
    </r>
    <r>
      <rPr>
        <b/>
        <i/>
        <sz val="10"/>
        <rFont val="Arial"/>
        <family val="2"/>
      </rPr>
      <t>/kg</t>
    </r>
  </si>
  <si>
    <t>densidade ar saturado</t>
  </si>
  <si>
    <t>kg/m3</t>
  </si>
  <si>
    <t>vs</t>
  </si>
  <si>
    <t>densidade do vapor</t>
  </si>
  <si>
    <t>vv</t>
  </si>
  <si>
    <t>concentração do ar saturado</t>
  </si>
  <si>
    <t>concentração absoluta</t>
  </si>
  <si>
    <t>poder calorífico do ar saturado</t>
  </si>
  <si>
    <r>
      <t>kcal/m</t>
    </r>
    <r>
      <rPr>
        <b/>
        <i/>
        <vertAlign val="superscript"/>
        <sz val="10"/>
        <rFont val="Arial"/>
        <family val="2"/>
      </rPr>
      <t>3</t>
    </r>
  </si>
  <si>
    <t>poder calorífico de vapor</t>
  </si>
  <si>
    <t>yv</t>
  </si>
  <si>
    <t>Variação de pressão entre entrada e saída dos bocais</t>
  </si>
  <si>
    <t>vazão de ar</t>
  </si>
  <si>
    <t>Diâmetro dos bocais do psicrômetro</t>
  </si>
  <si>
    <t>Variação da concentração absoluta</t>
  </si>
  <si>
    <t>UA (PSIC_EV)</t>
  </si>
  <si>
    <t>UA (PSIC_TP)</t>
  </si>
  <si>
    <t>Variação de poder calorífico de vapor</t>
  </si>
  <si>
    <t>Hv (PSIC_EV)</t>
  </si>
  <si>
    <t>Hv (PSIC_TP)</t>
  </si>
  <si>
    <t>Capacidade térmica</t>
  </si>
  <si>
    <t>TTS Valor Corrigido
 (PSIC_TP)</t>
  </si>
  <si>
    <t>TTS Valor Corrigido
 (PSIC_CEV)</t>
  </si>
  <si>
    <t>Capacidade em BTU/h</t>
  </si>
  <si>
    <t>Consumo de energia elétrica</t>
  </si>
  <si>
    <t>Power meter YOKOGAWA 
865DOM</t>
  </si>
  <si>
    <t>Consumo por mês</t>
  </si>
  <si>
    <t>Energia calorífica</t>
  </si>
  <si>
    <t>vv (PSIC_TP)</t>
  </si>
  <si>
    <t>t</t>
  </si>
  <si>
    <t>tempo entre as medidas 
do psicrômetro (5min)</t>
  </si>
  <si>
    <t>cronômetro 851DOM</t>
  </si>
  <si>
    <t>A (1x)</t>
  </si>
  <si>
    <t>B (3x)</t>
  </si>
  <si>
    <t>Calor específico do ar a 1 atm</t>
  </si>
  <si>
    <t>Cp</t>
  </si>
  <si>
    <t>Bulbo úmido</t>
  </si>
  <si>
    <t xml:space="preserve">Entalpia do ar </t>
  </si>
  <si>
    <t>H</t>
  </si>
  <si>
    <t>Pressão kPa de sat da água</t>
  </si>
  <si>
    <t>Entalpia liq saturado</t>
  </si>
  <si>
    <t>Entalpia vapor saturado</t>
  </si>
  <si>
    <t>Tmin</t>
  </si>
  <si>
    <t>Tmax</t>
  </si>
  <si>
    <t>Pmin</t>
  </si>
  <si>
    <t>Pmáx</t>
  </si>
  <si>
    <t>Hlmin</t>
  </si>
  <si>
    <t>Hlmáx</t>
  </si>
  <si>
    <t>Hvmin</t>
  </si>
  <si>
    <t>Hvmáx</t>
  </si>
  <si>
    <t>T Bulbo seco</t>
  </si>
  <si>
    <t>T1</t>
  </si>
  <si>
    <t>15-20</t>
  </si>
  <si>
    <t>Pressão de saturação de T1</t>
  </si>
  <si>
    <t>P1</t>
  </si>
  <si>
    <t>20-25</t>
  </si>
  <si>
    <t>T Bulbo úmido</t>
  </si>
  <si>
    <t>T2</t>
  </si>
  <si>
    <t>25-30</t>
  </si>
  <si>
    <t>Patm</t>
  </si>
  <si>
    <t>30-35</t>
  </si>
  <si>
    <t>Úmidade específica</t>
  </si>
  <si>
    <t>W1</t>
  </si>
  <si>
    <t>35-40</t>
  </si>
  <si>
    <t>Úmidade específica bulbo úmido</t>
  </si>
  <si>
    <t>W2</t>
  </si>
  <si>
    <t>40-45</t>
  </si>
  <si>
    <t>Úmidade relativa</t>
  </si>
  <si>
    <t>φ1</t>
  </si>
  <si>
    <t>45-50</t>
  </si>
  <si>
    <t>Umidade relativa do ar</t>
  </si>
  <si>
    <t>50-55</t>
  </si>
  <si>
    <t>Tmed</t>
  </si>
  <si>
    <t>Tmáx</t>
  </si>
  <si>
    <t>Pmax</t>
  </si>
  <si>
    <t>Hlmax</t>
  </si>
  <si>
    <t>Hvmax</t>
  </si>
  <si>
    <t>Psat2</t>
  </si>
  <si>
    <t>Hl</t>
  </si>
  <si>
    <t>Psat1</t>
  </si>
  <si>
    <t>Fonte</t>
  </si>
  <si>
    <t>IM</t>
  </si>
  <si>
    <t>Distribuição</t>
  </si>
  <si>
    <t>Divisor</t>
  </si>
  <si>
    <t>IM PAD</t>
  </si>
  <si>
    <t>CS</t>
  </si>
  <si>
    <t>UI</t>
  </si>
  <si>
    <t>Vi</t>
  </si>
  <si>
    <r>
      <t>Ui</t>
    </r>
    <r>
      <rPr>
        <vertAlign val="superscript"/>
        <sz val="10"/>
        <rFont val="Arial"/>
        <family val="2"/>
      </rPr>
      <t>4</t>
    </r>
    <r>
      <rPr>
        <sz val="10"/>
        <rFont val="Arial"/>
        <family val="2"/>
      </rPr>
      <t>/Vi</t>
    </r>
  </si>
  <si>
    <t>Pressão atm</t>
  </si>
  <si>
    <t>Resolução</t>
  </si>
  <si>
    <t>hPa</t>
  </si>
  <si>
    <t>retangular</t>
  </si>
  <si>
    <t>∞</t>
  </si>
  <si>
    <t>Erro associado</t>
  </si>
  <si>
    <t xml:space="preserve">NC = </t>
  </si>
  <si>
    <t>k=</t>
  </si>
  <si>
    <t>∑</t>
  </si>
  <si>
    <t>±IM</t>
  </si>
  <si>
    <t>Umidade especfica</t>
  </si>
  <si>
    <t>Critério de avaliação TBS</t>
  </si>
  <si>
    <t>normal</t>
  </si>
  <si>
    <t>%u.e</t>
  </si>
  <si>
    <t>Critério de avaliação TBU</t>
  </si>
  <si>
    <t>Critério de avaliação Pressão</t>
  </si>
  <si>
    <t>kPa</t>
  </si>
  <si>
    <t xml:space="preserve"> </t>
  </si>
  <si>
    <t>Critério de avaliação Umidade esp</t>
  </si>
  <si>
    <t>u.e%</t>
  </si>
  <si>
    <t>%u.r</t>
  </si>
  <si>
    <t>Critério de avaliação Patm</t>
  </si>
  <si>
    <t>Incerteza umidade relativa do ar</t>
  </si>
  <si>
    <t>Medidor de Densidade de Fluxo
ou Manômetro</t>
  </si>
  <si>
    <t>Variáveis precedentes</t>
  </si>
  <si>
    <t>Retangular</t>
  </si>
  <si>
    <t>Temperatura Bulbo Seco (Psic-EV)</t>
  </si>
  <si>
    <t>Temperatura Bulbo Seco (Psic-TP)</t>
  </si>
  <si>
    <t>Temperatura Bulbo Seco (Psic-CEV)</t>
  </si>
  <si>
    <t>Temperatura Bulbo Seco (Psic-CCD)</t>
  </si>
  <si>
    <t>Temperatura Bulbo Úmido (Psic-EV)</t>
  </si>
  <si>
    <t>Temperatura Bulbo Úmido (Psic-TP)</t>
  </si>
  <si>
    <t>Temperatura Bulbo Úmido (Psic-CEV)</t>
  </si>
  <si>
    <t>Temperatura Bulbo Úmido (Psic-CCD)</t>
  </si>
  <si>
    <t>Tmin medida</t>
  </si>
  <si>
    <t>Tmáx medida</t>
  </si>
  <si>
    <t>Variação da pressão dos bocais</t>
  </si>
  <si>
    <t>Faixa de operação</t>
  </si>
  <si>
    <t>à</t>
  </si>
  <si>
    <t>s</t>
  </si>
  <si>
    <t>Range de tensão utilizada:</t>
  </si>
  <si>
    <t>V</t>
  </si>
  <si>
    <t>Range de corrente utilizada:</t>
  </si>
  <si>
    <t>A</t>
  </si>
  <si>
    <t>Fator de potência utilizado:</t>
  </si>
  <si>
    <t>ativo</t>
  </si>
  <si>
    <t>Range de temperatura utilizada:</t>
  </si>
  <si>
    <t>Leitura</t>
  </si>
  <si>
    <t xml:space="preserve">Incerteza </t>
  </si>
  <si>
    <t>kg/m³</t>
  </si>
  <si>
    <t>g/m³</t>
  </si>
  <si>
    <t>kWh/mês</t>
  </si>
  <si>
    <t>Pressão saturação seco - Ps</t>
  </si>
  <si>
    <t>Pressão saturação úmido - Ps</t>
  </si>
  <si>
    <t>Pressão vapor - Pv</t>
  </si>
  <si>
    <t>Umidade relativa φ</t>
  </si>
  <si>
    <t>Incerteza pressão Pv</t>
  </si>
  <si>
    <t xml:space="preserve">Incerteza pressão Ps </t>
  </si>
  <si>
    <t>Xs</t>
  </si>
  <si>
    <t>Po</t>
  </si>
  <si>
    <t>adim</t>
  </si>
  <si>
    <t>Xv</t>
  </si>
  <si>
    <t xml:space="preserve">Pv </t>
  </si>
  <si>
    <t>Vv</t>
  </si>
  <si>
    <t>Vs</t>
  </si>
  <si>
    <t xml:space="preserve">Xs </t>
  </si>
  <si>
    <t>Incerteza Xs</t>
  </si>
  <si>
    <t xml:space="preserve">Xv </t>
  </si>
  <si>
    <t>Incerteza Xv</t>
  </si>
  <si>
    <t>Incerteza Vs</t>
  </si>
  <si>
    <t>Densidade do ar saturado -Ys</t>
  </si>
  <si>
    <t>Incerteza Vv</t>
  </si>
  <si>
    <t>Densidade do vapor de ar - Yv</t>
  </si>
  <si>
    <t>concentração ar saturado - US</t>
  </si>
  <si>
    <t>concentração ar absoluto - UA</t>
  </si>
  <si>
    <t>Us</t>
  </si>
  <si>
    <t>Incerteza Us</t>
  </si>
  <si>
    <t>Incerteza umidade relativa</t>
  </si>
  <si>
    <t>Poder calorífico ar saturado Hs</t>
  </si>
  <si>
    <t>kcal/m³</t>
  </si>
  <si>
    <t>Poder calorífico ar saturado Hv</t>
  </si>
  <si>
    <t>Yv</t>
  </si>
  <si>
    <t>Incerteza Yv</t>
  </si>
  <si>
    <t>Variação da concentração absoluta Var</t>
  </si>
  <si>
    <t>m³/h</t>
  </si>
  <si>
    <t>Quantidade de bocais</t>
  </si>
  <si>
    <t>Cálculo tamanho do bocal</t>
  </si>
  <si>
    <t>m²</t>
  </si>
  <si>
    <t>bocal</t>
  </si>
  <si>
    <t>área</t>
  </si>
  <si>
    <t>TOTAL</t>
  </si>
  <si>
    <t>erro</t>
  </si>
  <si>
    <t>±</t>
  </si>
  <si>
    <t>dp bocais</t>
  </si>
  <si>
    <t>delta Hv</t>
  </si>
  <si>
    <t>Capacidade W</t>
  </si>
  <si>
    <t>Incerteza Var</t>
  </si>
  <si>
    <t>Incerteza K</t>
  </si>
  <si>
    <t xml:space="preserve"> kJ/sºC</t>
  </si>
  <si>
    <t>kJ/sºC</t>
  </si>
  <si>
    <t>TTS CEV</t>
  </si>
  <si>
    <t>TTS TP</t>
  </si>
  <si>
    <t>Incerteza dHv</t>
  </si>
  <si>
    <t>Psic_EV</t>
  </si>
  <si>
    <t>PSIC_TP</t>
  </si>
  <si>
    <t>Data:</t>
  </si>
  <si>
    <t>Amostra:</t>
  </si>
  <si>
    <t>Protocolo:</t>
  </si>
  <si>
    <r>
      <rPr>
        <sz val="8"/>
        <rFont val="Arial"/>
        <family val="2"/>
      </rPr>
      <t>Mensurado</t>
    </r>
    <r>
      <rPr>
        <sz val="9"/>
        <rFont val="Arial"/>
        <family val="2"/>
      </rPr>
      <t xml:space="preserve"> °C</t>
    </r>
  </si>
  <si>
    <r>
      <rPr>
        <sz val="8"/>
        <rFont val="Arial"/>
        <family val="2"/>
      </rPr>
      <t>Correção</t>
    </r>
    <r>
      <rPr>
        <sz val="9"/>
        <rFont val="Arial"/>
        <family val="2"/>
      </rPr>
      <t xml:space="preserve"> °C</t>
    </r>
  </si>
  <si>
    <t>Corrigido 
°C</t>
  </si>
  <si>
    <r>
      <t>m</t>
    </r>
    <r>
      <rPr>
        <vertAlign val="superscript"/>
        <sz val="9"/>
        <rFont val="Arial"/>
        <family val="2"/>
      </rPr>
      <t>3</t>
    </r>
    <r>
      <rPr>
        <sz val="9"/>
        <rFont val="Arial"/>
        <family val="2"/>
      </rPr>
      <t>/kg</t>
    </r>
  </si>
  <si>
    <r>
      <t>kcal/m</t>
    </r>
    <r>
      <rPr>
        <vertAlign val="superscript"/>
        <sz val="9"/>
        <rFont val="Arial"/>
        <family val="2"/>
      </rPr>
      <t>3</t>
    </r>
  </si>
  <si>
    <r>
      <t>m</t>
    </r>
    <r>
      <rPr>
        <vertAlign val="superscript"/>
        <sz val="9"/>
        <rFont val="Arial"/>
        <family val="2"/>
      </rPr>
      <t>3</t>
    </r>
    <r>
      <rPr>
        <sz val="9"/>
        <rFont val="Arial"/>
        <family val="2"/>
      </rPr>
      <t>/h</t>
    </r>
  </si>
  <si>
    <t>kJ</t>
  </si>
  <si>
    <t>TEMPERATURA DE ORVALHO</t>
  </si>
  <si>
    <t>Ponto de orvalho</t>
  </si>
  <si>
    <t>Resultado</t>
  </si>
  <si>
    <t>Dados</t>
  </si>
  <si>
    <t>Certificado de Calibração</t>
  </si>
  <si>
    <t>TTU EV</t>
  </si>
  <si>
    <t xml:space="preserve">TTS EV </t>
  </si>
  <si>
    <t>TTU TP</t>
  </si>
  <si>
    <t>TTU CEV</t>
  </si>
  <si>
    <t>TTS CCD</t>
  </si>
  <si>
    <t>TTU CCD</t>
  </si>
  <si>
    <t>Fabricante:</t>
  </si>
  <si>
    <t>Nome Comercial:</t>
  </si>
  <si>
    <t>Modelo:</t>
  </si>
  <si>
    <t>Número de série:</t>
  </si>
  <si>
    <t>Tensão de alimentação:</t>
  </si>
  <si>
    <t>Corrente elétrica nominal:</t>
  </si>
  <si>
    <t>Freqüência de rede:</t>
  </si>
  <si>
    <t>Capacidade de Refrigeração:</t>
  </si>
  <si>
    <t>Compressor:</t>
  </si>
  <si>
    <t>Fluido Refrigerante:</t>
  </si>
  <si>
    <t>Protocolo LABELO:</t>
  </si>
  <si>
    <t>Tipo de amostra:</t>
  </si>
  <si>
    <t>Potência elétrica nominal:</t>
  </si>
  <si>
    <t>[m³/h]</t>
  </si>
  <si>
    <t>[Wh]</t>
  </si>
  <si>
    <t>kBTU/h</t>
  </si>
  <si>
    <t>kJ/h</t>
  </si>
  <si>
    <t>PET</t>
  </si>
  <si>
    <t xml:space="preserve">Consumo </t>
  </si>
  <si>
    <t>Energia</t>
  </si>
  <si>
    <t>Evaporadora (se aplicável)</t>
  </si>
  <si>
    <t>MONOBLOCO ou Condensadora (se aplicável)</t>
  </si>
  <si>
    <t>Tipo de ensaio</t>
  </si>
  <si>
    <t>Foi fornecida pelo cliente?</t>
  </si>
  <si>
    <t>Coeficiente de Eficiência Energética</t>
  </si>
  <si>
    <t>Vazão</t>
  </si>
  <si>
    <t>CORREÇÃO DO ERRO POLINOMIAL</t>
  </si>
  <si>
    <t>grau 4</t>
  </si>
  <si>
    <t>grau 3</t>
  </si>
  <si>
    <t>grau 2</t>
  </si>
  <si>
    <t>grau 1</t>
  </si>
  <si>
    <t>grau 0</t>
  </si>
  <si>
    <t>Canais</t>
  </si>
  <si>
    <t>Canais - Correção</t>
  </si>
  <si>
    <t>Média das temperaturas</t>
  </si>
  <si>
    <t>Incerteza de Medição</t>
  </si>
  <si>
    <t xml:space="preserve">Desvio </t>
  </si>
  <si>
    <t>Inserir os dados da aquisição</t>
  </si>
  <si>
    <t>Tipo de aquisição</t>
  </si>
  <si>
    <t>Média das temperaturas corrigidas</t>
  </si>
  <si>
    <t>Aquisições</t>
  </si>
  <si>
    <t>Pressão bocal</t>
  </si>
  <si>
    <t>Bocais utilizados</t>
  </si>
  <si>
    <t>Power meter</t>
  </si>
  <si>
    <t>Watthora</t>
  </si>
  <si>
    <t>TAG</t>
  </si>
  <si>
    <t>Orçamento LABELO:</t>
  </si>
  <si>
    <t>Padrões Utilizados</t>
  </si>
  <si>
    <t>Pressão medida:</t>
  </si>
  <si>
    <t>mm</t>
  </si>
  <si>
    <t>Pressão atmosférica medida</t>
  </si>
  <si>
    <t>Vazão de ar calculada</t>
  </si>
  <si>
    <t xml:space="preserve">Dimensional </t>
  </si>
  <si>
    <t xml:space="preserve">cronômetro </t>
  </si>
  <si>
    <t>Power meter YOKOGAWA 
WT210</t>
  </si>
  <si>
    <t xml:space="preserve">Multímetro de varredura </t>
  </si>
  <si>
    <t xml:space="preserve">Barômetro digital </t>
  </si>
  <si>
    <t>[hPa]</t>
  </si>
  <si>
    <t>[kWh/mês]</t>
  </si>
  <si>
    <t>[W/W]</t>
  </si>
  <si>
    <t>[kBTU/h]</t>
  </si>
  <si>
    <t xml:space="preserve"> [kW] </t>
  </si>
  <si>
    <t>Capacidade de Refrigeração calculada [kBTU/h]</t>
  </si>
  <si>
    <t>Consumo de energia calculado ¹,²</t>
  </si>
  <si>
    <t>Desvio calculado</t>
  </si>
  <si>
    <t>Coeficiente de eficiência energética calculado</t>
  </si>
  <si>
    <t>Capacidade de refrigeração calculada</t>
  </si>
  <si>
    <t>Incerteza associada ao manômetro *</t>
  </si>
  <si>
    <t>mbar</t>
  </si>
  <si>
    <t>1944DOM</t>
  </si>
  <si>
    <t xml:space="preserve">Manômetro </t>
  </si>
  <si>
    <t>Metrologista:</t>
  </si>
  <si>
    <t>Instrumento de referência utilizados</t>
  </si>
  <si>
    <t>Temperatura</t>
  </si>
  <si>
    <t>Grandezas</t>
  </si>
  <si>
    <t>Faixa</t>
  </si>
  <si>
    <t>% da leitura</t>
  </si>
  <si>
    <t>% da faixa</t>
  </si>
  <si>
    <t>Absoluto</t>
  </si>
  <si>
    <t>Total</t>
  </si>
  <si>
    <t>Critérios de aceitação</t>
  </si>
  <si>
    <t>Tempo</t>
  </si>
  <si>
    <t>VR</t>
  </si>
  <si>
    <t>MM</t>
  </si>
  <si>
    <t>Rastreabilidade das medições</t>
  </si>
  <si>
    <t>Item(ns) da norma</t>
  </si>
  <si>
    <t>Validade do certificado de calibração</t>
  </si>
  <si>
    <t>Laboratório
Emissor</t>
  </si>
  <si>
    <t>Fabricante / Modelo</t>
  </si>
  <si>
    <t>Consumo de energia medido</t>
  </si>
  <si>
    <t>k</t>
  </si>
  <si>
    <t xml:space="preserve">Coeficiente de Eficiência Energética [W/W] </t>
  </si>
  <si>
    <t>Valor declarado¹</t>
  </si>
  <si>
    <t>Desvio Permitido</t>
  </si>
  <si>
    <t>Pressão barométrica</t>
  </si>
  <si>
    <t>Pressão manométrica</t>
  </si>
  <si>
    <t>Documentação que 
Acompanha a Amostra</t>
  </si>
  <si>
    <t>Referências Normativas Utilizadas</t>
  </si>
  <si>
    <t>Emissor</t>
  </si>
  <si>
    <t>Número</t>
  </si>
  <si>
    <t>Ano</t>
  </si>
  <si>
    <t>Razão Social:</t>
  </si>
  <si>
    <t>Endereço:</t>
  </si>
  <si>
    <t>CEP:</t>
  </si>
  <si>
    <t>Incerteza herdada TBS(K)</t>
  </si>
  <si>
    <t>Incerteza Po</t>
  </si>
  <si>
    <t xml:space="preserve">Incerteza TBS (K) </t>
  </si>
  <si>
    <t>Incerteza TBU (K)</t>
  </si>
  <si>
    <t>Incerteza TBS (K)</t>
  </si>
  <si>
    <t>TBS(K) EV</t>
  </si>
  <si>
    <t>TBU(K) EV</t>
  </si>
  <si>
    <t>Ps TBU(K)</t>
  </si>
  <si>
    <t>TBS</t>
  </si>
  <si>
    <t>TBS(K)</t>
  </si>
  <si>
    <t>TBU</t>
  </si>
  <si>
    <t>TBU(K)</t>
  </si>
  <si>
    <r>
      <t>Ps</t>
    </r>
    <r>
      <rPr>
        <b/>
        <i/>
        <sz val="9"/>
        <color indexed="10"/>
        <rFont val="Arial"/>
        <family val="2"/>
      </rPr>
      <t>(TBS)</t>
    </r>
  </si>
  <si>
    <t>Ps(TBU)</t>
  </si>
  <si>
    <t>P mmHg</t>
  </si>
  <si>
    <t xml:space="preserve">Incerteza TBU (K) </t>
  </si>
  <si>
    <t>Incerteza TBS</t>
  </si>
  <si>
    <t>TBS CEV</t>
  </si>
  <si>
    <t>TBS TP</t>
  </si>
  <si>
    <t>Incerteza TBS (Psic_CEV)</t>
  </si>
  <si>
    <t>Incerteza TBS (Psic_TP)</t>
  </si>
  <si>
    <t>Incerteza Consumo Wh</t>
  </si>
  <si>
    <t>Incerteza Capacidade W</t>
  </si>
  <si>
    <t>Incerteza associada a área do bocal</t>
  </si>
  <si>
    <t xml:space="preserve">TBS 
Valor Corrigido </t>
  </si>
  <si>
    <t>TBS (K)</t>
  </si>
  <si>
    <t xml:space="preserve">TBU 
Valor Corrigido </t>
  </si>
  <si>
    <t>TBU (K)</t>
  </si>
  <si>
    <t>Ps (TBU)</t>
  </si>
  <si>
    <t>Diâmetro
(mm)</t>
  </si>
  <si>
    <t>Área</t>
  </si>
  <si>
    <t>m</t>
  </si>
  <si>
    <t>Erro Relativo</t>
  </si>
  <si>
    <r>
      <t xml:space="preserve">Cos </t>
    </r>
    <r>
      <rPr>
        <sz val="11"/>
        <rFont val="Calibri"/>
        <family val="2"/>
      </rPr>
      <t>φ</t>
    </r>
  </si>
  <si>
    <t>MM UST (%)</t>
  </si>
  <si>
    <t>Valor Lido (Wh):</t>
  </si>
  <si>
    <t>Correção (Wh):</t>
  </si>
  <si>
    <t>FP Lido (adim):</t>
  </si>
  <si>
    <t>Valor Corrigido (Wh):</t>
  </si>
  <si>
    <t>Plano de calibração</t>
  </si>
  <si>
    <t>Desvio padrão das medições</t>
  </si>
  <si>
    <t>Descrição</t>
  </si>
  <si>
    <t>(    )</t>
  </si>
  <si>
    <t>Com base nos resultados obtidos, o desvio da capacidade de refrigeração medida, em relação ao valor declarado na PET, atende ao limite estabelecido pela Portaria Inmetro nº007/2011</t>
  </si>
  <si>
    <t>Com base nos resultados obtidos, o desvio do coeficiente de eficiência energética medido, em relação ao valor declarado na PET, atende ao limite estabelecido pela Portaria Inmetro nº007/2011</t>
  </si>
  <si>
    <t>Com base nos resultados obtidos, o desvio da capacidade de refrigeração medida, em relação ao valor declarado na PET, não atende ao limite estabelecido pela Portaria Inmetro nº007/2011</t>
  </si>
  <si>
    <t>Com base nos resultados obtidos, o desvio do coeficiente de eficiência energética medida, em relação ao valor declarado na PET, não atende ao limite estabelecido pela Portaria Inmetro nº007/2011</t>
  </si>
  <si>
    <t>Com base nos resultados obtidos, o desvio do coeficiente de eficiência energética e da capacidade de refrigeração medidos, em relação ao valor declarado na PET, atende ao limite estabelecido pela Portaria Inmetro nº007/2011, mas a classificação obtida e a declarada na PET são diferentes com base nas variações permitidas pelo regulamento.</t>
  </si>
  <si>
    <t>O requerente não declara o coeficiente de eficiência energética na PET.</t>
  </si>
  <si>
    <t>O requerente não enviou a PET, não atendendo desta forma, aos requisitos da Portaria Inmetro nº007/2011</t>
  </si>
  <si>
    <t xml:space="preserve">                                 Planilha de Eficiência Energética para Condicionadores de Ar </t>
  </si>
  <si>
    <t>Sim</t>
  </si>
  <si>
    <t>ISO</t>
  </si>
  <si>
    <t>5151</t>
  </si>
  <si>
    <t>Inmetro</t>
  </si>
  <si>
    <t>Planilha de Especificações Técnicas (PET)</t>
  </si>
  <si>
    <t>1670DOM</t>
  </si>
  <si>
    <t xml:space="preserve">                                                          FOR REF01 - Planilha de Eficiência Energética para Condicionadores de Ar </t>
  </si>
  <si>
    <t xml:space="preserve">                     FOR REF01 - Planilha de Eficiência Energética para Condicionadores de Ar </t>
  </si>
  <si>
    <t xml:space="preserve">                      FOR REF01 - Planilha de Eficiência Energética para Condicionadores de Ar </t>
  </si>
  <si>
    <t xml:space="preserve">                   FOR REF01 - Planilha de Eficiência Energética para Condicionadores de Ar </t>
  </si>
  <si>
    <t>Histórico de atualizações do registro</t>
  </si>
  <si>
    <t>Alteração</t>
  </si>
  <si>
    <t>Data</t>
  </si>
  <si>
    <t>Responsável</t>
  </si>
  <si>
    <t xml:space="preserve">FOR REF01 - Eficiência Energética para Condicionadores de Ar </t>
  </si>
  <si>
    <t xml:space="preserve">                             FOR REF01 - Eficiência Energética para Condicionadores de Ar </t>
  </si>
  <si>
    <t xml:space="preserve">                                                          FOR REF01 - Eficiência Energética para Condicionadores de Ar </t>
  </si>
  <si>
    <t xml:space="preserve">                                                  FOR REF01 - Eficiência Energética para Condicionadores de Ar </t>
  </si>
  <si>
    <t xml:space="preserve">                      FOR REF01 -  Eficiência Energética para Condicionadores de Ar </t>
  </si>
  <si>
    <t xml:space="preserve">                      FOR REF01 - Eficiência Energética para Condicionadores de Ar </t>
  </si>
  <si>
    <t>Tensão</t>
  </si>
  <si>
    <t>Corrente</t>
  </si>
  <si>
    <t>Cos φ</t>
  </si>
  <si>
    <t>Potência</t>
  </si>
  <si>
    <t>1943DOM</t>
  </si>
  <si>
    <t>2017</t>
  </si>
  <si>
    <t>Item 8 –– Portaria Inmetro nº007/2011 – NBR12010/1990 Item 3.1 e 6.2</t>
  </si>
  <si>
    <t>Transmissor de Pressão Diferencial</t>
  </si>
  <si>
    <t>Huba Control / 699</t>
  </si>
  <si>
    <t>Wattímetro Digital</t>
  </si>
  <si>
    <t>Yokogawa / WT210</t>
  </si>
  <si>
    <t>LABELO
CAL 0024</t>
  </si>
  <si>
    <t>Multímetro Digital de Varredura</t>
  </si>
  <si>
    <t>Agilent / 34970A</t>
  </si>
  <si>
    <t>Barômetro Digital</t>
  </si>
  <si>
    <t>Lufft / C300</t>
  </si>
  <si>
    <t>269</t>
  </si>
  <si>
    <t>2021</t>
  </si>
  <si>
    <t>1544REF</t>
  </si>
  <si>
    <t>P-7280/21</t>
  </si>
  <si>
    <t>GRUPO CTJ</t>
  </si>
  <si>
    <t>CÁLCULO ASHRAE</t>
  </si>
  <si>
    <t>TBS TP:</t>
  </si>
  <si>
    <t>BOCAL 1</t>
  </si>
  <si>
    <t>BOCAL 2</t>
  </si>
  <si>
    <t>BOCAL 3</t>
  </si>
  <si>
    <t>BOCAL 4</t>
  </si>
  <si>
    <t>Temperatura
[°C]</t>
  </si>
  <si>
    <r>
      <t>W</t>
    </r>
    <r>
      <rPr>
        <vertAlign val="subscript"/>
        <sz val="11"/>
        <color theme="1"/>
        <rFont val="Calibri"/>
        <family val="2"/>
        <scheme val="minor"/>
      </rPr>
      <t xml:space="preserve">S
</t>
    </r>
    <r>
      <rPr>
        <sz val="10"/>
        <rFont val="Arial"/>
        <family val="2"/>
      </rPr>
      <t>[kg/kg]</t>
    </r>
  </si>
  <si>
    <t>Volume específico [m³/kg]</t>
  </si>
  <si>
    <t>TBU TP:</t>
  </si>
  <si>
    <t>Re</t>
  </si>
  <si>
    <t>Cd</t>
  </si>
  <si>
    <r>
      <t>ν</t>
    </r>
    <r>
      <rPr>
        <vertAlign val="subscript"/>
        <sz val="11"/>
        <color theme="1"/>
        <rFont val="Calibri"/>
        <family val="2"/>
      </rPr>
      <t>da</t>
    </r>
  </si>
  <si>
    <r>
      <t>ν</t>
    </r>
    <r>
      <rPr>
        <vertAlign val="subscript"/>
        <sz val="11"/>
        <color theme="1"/>
        <rFont val="Calibri"/>
        <family val="2"/>
      </rPr>
      <t>as</t>
    </r>
  </si>
  <si>
    <r>
      <t>ν</t>
    </r>
    <r>
      <rPr>
        <vertAlign val="subscript"/>
        <sz val="11"/>
        <color theme="1"/>
        <rFont val="Calibri"/>
        <family val="2"/>
      </rPr>
      <t>s</t>
    </r>
  </si>
  <si>
    <r>
      <t>W</t>
    </r>
    <r>
      <rPr>
        <vertAlign val="subscript"/>
        <sz val="11"/>
        <color theme="1"/>
        <rFont val="Calibri"/>
        <family val="2"/>
        <scheme val="minor"/>
      </rPr>
      <t>S</t>
    </r>
    <r>
      <rPr>
        <sz val="10"/>
        <rFont val="Arial"/>
        <family val="2"/>
      </rPr>
      <t>:</t>
    </r>
  </si>
  <si>
    <t>kg/kg</t>
  </si>
  <si>
    <r>
      <t>P</t>
    </r>
    <r>
      <rPr>
        <vertAlign val="subscript"/>
        <sz val="11"/>
        <color theme="1"/>
        <rFont val="Calibri"/>
        <family val="2"/>
        <scheme val="minor"/>
      </rPr>
      <t>atm</t>
    </r>
    <r>
      <rPr>
        <sz val="10"/>
        <rFont val="Arial"/>
        <family val="2"/>
      </rPr>
      <t>:</t>
    </r>
  </si>
  <si>
    <r>
      <t>P</t>
    </r>
    <r>
      <rPr>
        <vertAlign val="subscript"/>
        <sz val="11"/>
        <color theme="1"/>
        <rFont val="Calibri"/>
        <family val="2"/>
        <scheme val="minor"/>
      </rPr>
      <t>v</t>
    </r>
    <r>
      <rPr>
        <sz val="10"/>
        <rFont val="Arial"/>
        <family val="2"/>
      </rPr>
      <t>:</t>
    </r>
  </si>
  <si>
    <r>
      <t>D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0"/>
        <rFont val="Arial"/>
        <family val="2"/>
      </rPr>
      <t>:</t>
    </r>
  </si>
  <si>
    <r>
      <t>D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0"/>
        <rFont val="Arial"/>
        <family val="2"/>
      </rPr>
      <t>:</t>
    </r>
  </si>
  <si>
    <r>
      <t>D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0"/>
        <rFont val="Arial"/>
        <family val="2"/>
      </rPr>
      <t>:</t>
    </r>
  </si>
  <si>
    <r>
      <t>D</t>
    </r>
    <r>
      <rPr>
        <vertAlign val="subscript"/>
        <sz val="11"/>
        <color theme="1"/>
        <rFont val="Calibri"/>
        <family val="2"/>
        <scheme val="minor"/>
      </rPr>
      <t>4</t>
    </r>
    <r>
      <rPr>
        <sz val="10"/>
        <rFont val="Arial"/>
        <family val="2"/>
      </rPr>
      <t>:</t>
    </r>
  </si>
  <si>
    <t>n:</t>
  </si>
  <si>
    <t>bocais</t>
  </si>
  <si>
    <t>μ =</t>
  </si>
  <si>
    <t>kg/m.s</t>
  </si>
  <si>
    <r>
      <t>W</t>
    </r>
    <r>
      <rPr>
        <vertAlign val="subscript"/>
        <sz val="11"/>
        <color theme="1"/>
        <rFont val="Calibri"/>
        <family val="2"/>
        <scheme val="minor"/>
      </rPr>
      <t>n</t>
    </r>
    <r>
      <rPr>
        <sz val="10"/>
        <rFont val="Arial"/>
        <family val="2"/>
      </rPr>
      <t xml:space="preserve"> =</t>
    </r>
  </si>
  <si>
    <t>P =</t>
  </si>
  <si>
    <r>
      <t>ν</t>
    </r>
    <r>
      <rPr>
        <vertAlign val="subscript"/>
        <sz val="11"/>
        <color theme="1"/>
        <rFont val="Calibri"/>
        <family val="2"/>
      </rPr>
      <t xml:space="preserve">n </t>
    </r>
    <r>
      <rPr>
        <sz val="11"/>
        <color theme="1"/>
        <rFont val="Calibri"/>
        <family val="2"/>
      </rPr>
      <t>=</t>
    </r>
  </si>
  <si>
    <t>m³/kg</t>
  </si>
  <si>
    <r>
      <t>ν'</t>
    </r>
    <r>
      <rPr>
        <vertAlign val="subscript"/>
        <sz val="11"/>
        <color theme="1"/>
        <rFont val="Calibri"/>
        <family val="2"/>
      </rPr>
      <t xml:space="preserve">n </t>
    </r>
    <r>
      <rPr>
        <sz val="11"/>
        <color theme="1"/>
        <rFont val="Calibri"/>
        <family val="2"/>
      </rPr>
      <t>=</t>
    </r>
  </si>
  <si>
    <r>
      <t>Q</t>
    </r>
    <r>
      <rPr>
        <vertAlign val="subscript"/>
        <sz val="11"/>
        <color theme="1"/>
        <rFont val="Calibri"/>
        <family val="2"/>
      </rPr>
      <t>Σ</t>
    </r>
    <r>
      <rPr>
        <sz val="10"/>
        <rFont val="Arial"/>
        <family val="2"/>
      </rPr>
      <t xml:space="preserve"> =</t>
    </r>
  </si>
  <si>
    <r>
      <t>A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0"/>
        <rFont val="Arial"/>
        <family val="2"/>
      </rPr>
      <t xml:space="preserve"> =</t>
    </r>
  </si>
  <si>
    <t>Re =</t>
  </si>
  <si>
    <t>Cd =</t>
  </si>
  <si>
    <r>
      <t>Q</t>
    </r>
    <r>
      <rPr>
        <vertAlign val="subscript"/>
        <sz val="11"/>
        <color theme="1"/>
        <rFont val="Calibri"/>
        <family val="2"/>
        <scheme val="minor"/>
      </rPr>
      <t>m</t>
    </r>
    <r>
      <rPr>
        <sz val="10"/>
        <rFont val="Arial"/>
        <family val="2"/>
      </rPr>
      <t xml:space="preserve"> =</t>
    </r>
  </si>
  <si>
    <t>Va =</t>
  </si>
  <si>
    <t>m/s</t>
  </si>
  <si>
    <r>
      <t>A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0"/>
        <rFont val="Arial"/>
        <family val="2"/>
      </rPr>
      <t xml:space="preserve"> =</t>
    </r>
  </si>
  <si>
    <r>
      <t>A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0"/>
        <rFont val="Arial"/>
        <family val="2"/>
      </rPr>
      <t xml:space="preserve"> =</t>
    </r>
  </si>
  <si>
    <r>
      <t>A</t>
    </r>
    <r>
      <rPr>
        <vertAlign val="subscript"/>
        <sz val="11"/>
        <color theme="1"/>
        <rFont val="Calibri"/>
        <family val="2"/>
        <scheme val="minor"/>
      </rPr>
      <t>4</t>
    </r>
    <r>
      <rPr>
        <sz val="10"/>
        <rFont val="Arial"/>
        <family val="2"/>
      </rPr>
      <t xml:space="preserve"> =</t>
    </r>
  </si>
  <si>
    <t>t-Student</t>
  </si>
  <si>
    <t>Incerteza herdada</t>
  </si>
  <si>
    <t>Dispersão</t>
  </si>
  <si>
    <t>t-student</t>
  </si>
  <si>
    <t>a =</t>
  </si>
  <si>
    <t>b =</t>
  </si>
  <si>
    <r>
      <t>Wh</t>
    </r>
    <r>
      <rPr>
        <vertAlign val="subscript"/>
        <sz val="8.5"/>
        <rFont val="Arial"/>
        <family val="2"/>
      </rPr>
      <t>MIN</t>
    </r>
    <r>
      <rPr>
        <sz val="8.5"/>
        <rFont val="Arial"/>
        <family val="2"/>
      </rPr>
      <t xml:space="preserve"> =</t>
    </r>
  </si>
  <si>
    <r>
      <t>Wh</t>
    </r>
    <r>
      <rPr>
        <vertAlign val="subscript"/>
        <sz val="8.5"/>
        <rFont val="Arial"/>
        <family val="2"/>
      </rPr>
      <t>MÁX</t>
    </r>
    <r>
      <rPr>
        <sz val="8.5"/>
        <rFont val="Arial"/>
        <family val="2"/>
      </rPr>
      <t xml:space="preserve"> =</t>
    </r>
  </si>
  <si>
    <r>
      <rPr>
        <sz val="10"/>
        <rFont val="Calibri"/>
        <family val="2"/>
      </rPr>
      <t>Δ</t>
    </r>
    <r>
      <rPr>
        <sz val="10"/>
        <rFont val="Arial"/>
        <family val="2"/>
      </rPr>
      <t xml:space="preserve"> Wh =</t>
    </r>
  </si>
  <si>
    <t>Desvio R&amp;R 2020</t>
  </si>
  <si>
    <t>Variação de temperatura na condensadora (ISO 16358)</t>
  </si>
  <si>
    <t>ISO 16358</t>
  </si>
  <si>
    <r>
      <t>kBTU/h</t>
    </r>
    <r>
      <rPr>
        <vertAlign val="subscript"/>
        <sz val="8.5"/>
        <rFont val="Arial"/>
        <family val="2"/>
      </rPr>
      <t>MIN</t>
    </r>
    <r>
      <rPr>
        <sz val="8.5"/>
        <rFont val="Arial"/>
        <family val="2"/>
      </rPr>
      <t xml:space="preserve"> =</t>
    </r>
  </si>
  <si>
    <r>
      <t>kBTU/h</t>
    </r>
    <r>
      <rPr>
        <vertAlign val="subscript"/>
        <sz val="8.5"/>
        <rFont val="Arial"/>
        <family val="2"/>
      </rPr>
      <t>MÁX</t>
    </r>
    <r>
      <rPr>
        <sz val="8.5"/>
        <rFont val="Arial"/>
        <family val="2"/>
      </rPr>
      <t xml:space="preserve"> =</t>
    </r>
  </si>
  <si>
    <t>kBTU/h =</t>
  </si>
  <si>
    <t>Variabilidade da câmara climática</t>
  </si>
  <si>
    <t>Incerteza herdada TBU(K)</t>
  </si>
  <si>
    <t>Incerteza pressão Ps TBU (K)</t>
  </si>
  <si>
    <t>MIN</t>
  </si>
  <si>
    <t>MAX</t>
  </si>
  <si>
    <t xml:space="preserve">Pressão </t>
  </si>
  <si>
    <t>ABSI</t>
  </si>
  <si>
    <t>Software</t>
  </si>
  <si>
    <t>665DOM</t>
  </si>
  <si>
    <t>E1518/2022</t>
  </si>
  <si>
    <t>213258/22</t>
  </si>
  <si>
    <t>16358</t>
  </si>
  <si>
    <t>2013</t>
  </si>
  <si>
    <t>T0681/2022</t>
  </si>
  <si>
    <t>2918DOM</t>
  </si>
  <si>
    <t>217026/22</t>
  </si>
  <si>
    <t>Túnel psicrométrico</t>
  </si>
  <si>
    <t>Calorímetro psicrométrico</t>
  </si>
  <si>
    <t>A0916</t>
  </si>
  <si>
    <t>A0917</t>
  </si>
  <si>
    <t>Ivan Ávila / RSS</t>
  </si>
  <si>
    <t>EER</t>
  </si>
  <si>
    <t>Horário</t>
  </si>
  <si>
    <t>Condicionador de ar split hi-wall</t>
  </si>
  <si>
    <t>Ventisol</t>
  </si>
  <si>
    <t>Agratto</t>
  </si>
  <si>
    <t>220V</t>
  </si>
  <si>
    <t>60Hz</t>
  </si>
  <si>
    <t>0283a/2023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</si>
</sst>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8">
    <numFmt numFmtId="164" formatCode="0.0"/>
    <numFmt numFmtId="165" formatCode="#,##0.0000000"/>
    <numFmt numFmtId="166" formatCode="0.0000000"/>
    <numFmt numFmtId="167" formatCode="0.0\ &quot;°C&quot;"/>
    <numFmt numFmtId="168" formatCode="0.000000"/>
    <numFmt numFmtId="169" formatCode="0.00000"/>
    <numFmt numFmtId="170" formatCode="0.0000"/>
    <numFmt numFmtId="171" formatCode="0.000"/>
    <numFmt numFmtId="172" formatCode="0.00;[Red]0.00"/>
    <numFmt numFmtId="173" formatCode="0.0000;[Red]0.0000"/>
    <numFmt numFmtId="174" formatCode="0.000;[Red]0.000"/>
    <numFmt numFmtId="175" formatCode="0.0%"/>
    <numFmt numFmtId="176" formatCode="#,##0.0"/>
    <numFmt numFmtId="177" formatCode="#,##0.00000"/>
    <numFmt numFmtId="178" formatCode="##,##0.00&quot;%&quot;"/>
    <numFmt numFmtId="179" formatCode="&quot;&gt;&quot;0,000.0"/>
    <numFmt numFmtId="180" formatCode="0.0;[Red]0.0"/>
    <numFmt numFmtId="181" formatCode="0;[Red]0"/>
  </numFmts>
  <fonts count="77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i/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sz val="9"/>
      <color indexed="8"/>
      <name val="Arial"/>
      <family val="2"/>
    </font>
    <font>
      <sz val="9"/>
      <name val="Arial"/>
      <family val="2"/>
    </font>
    <font>
      <b/>
      <i/>
      <sz val="9"/>
      <name val="Arial"/>
      <family val="2"/>
    </font>
    <font>
      <b/>
      <i/>
      <vertAlign val="superscript"/>
      <sz val="9"/>
      <name val="Arial"/>
      <family val="2"/>
    </font>
    <font>
      <b/>
      <sz val="9"/>
      <name val="Arial"/>
      <family val="2"/>
    </font>
    <font>
      <b/>
      <i/>
      <vertAlign val="subscript"/>
      <sz val="9"/>
      <name val="Arial"/>
      <family val="2"/>
    </font>
    <font>
      <b/>
      <sz val="10"/>
      <color indexed="9"/>
      <name val="Arial"/>
      <family val="2"/>
    </font>
    <font>
      <sz val="10"/>
      <color indexed="9"/>
      <name val="Arial"/>
      <family val="2"/>
    </font>
    <font>
      <b/>
      <sz val="14"/>
      <color indexed="9"/>
      <name val="Arial"/>
      <family val="2"/>
    </font>
    <font>
      <b/>
      <i/>
      <vertAlign val="subscript"/>
      <sz val="10"/>
      <name val="Arial"/>
      <family val="2"/>
    </font>
    <font>
      <i/>
      <sz val="10"/>
      <name val="Arial"/>
      <family val="2"/>
    </font>
    <font>
      <i/>
      <vertAlign val="subscript"/>
      <sz val="10"/>
      <name val="Arial"/>
      <family val="2"/>
    </font>
    <font>
      <i/>
      <vertAlign val="subscript"/>
      <sz val="10"/>
      <color indexed="8"/>
      <name val="Arial"/>
      <family val="2"/>
    </font>
    <font>
      <b/>
      <i/>
      <vertAlign val="superscript"/>
      <sz val="10"/>
      <name val="Arial"/>
      <family val="2"/>
    </font>
    <font>
      <i/>
      <sz val="9"/>
      <name val="Arial"/>
      <family val="2"/>
    </font>
    <font>
      <sz val="10"/>
      <color indexed="10"/>
      <name val="Arial"/>
      <family val="2"/>
    </font>
    <font>
      <b/>
      <sz val="10"/>
      <color indexed="10"/>
      <name val="Arial"/>
      <family val="2"/>
    </font>
    <font>
      <vertAlign val="superscript"/>
      <sz val="10"/>
      <name val="Arial"/>
      <family val="2"/>
    </font>
    <font>
      <sz val="10"/>
      <name val="Calibri"/>
      <family val="2"/>
    </font>
    <font>
      <sz val="10"/>
      <name val="Arial"/>
      <family val="2"/>
    </font>
    <font>
      <b/>
      <i/>
      <sz val="9"/>
      <color indexed="10"/>
      <name val="Arial"/>
      <family val="2"/>
    </font>
    <font>
      <vertAlign val="superscript"/>
      <sz val="9"/>
      <name val="Arial"/>
      <family val="2"/>
    </font>
    <font>
      <sz val="11"/>
      <color indexed="10"/>
      <name val="Calibri"/>
      <family val="2"/>
    </font>
    <font>
      <b/>
      <sz val="11"/>
      <color indexed="8"/>
      <name val="Calibri"/>
      <family val="2"/>
    </font>
    <font>
      <b/>
      <i/>
      <sz val="10"/>
      <color indexed="8"/>
      <name val="Arial"/>
      <family val="2"/>
    </font>
    <font>
      <sz val="11"/>
      <color indexed="8"/>
      <name val="Calibri"/>
      <family val="2"/>
    </font>
    <font>
      <b/>
      <sz val="11"/>
      <name val="Calibri"/>
      <family val="2"/>
    </font>
    <font>
      <sz val="11"/>
      <name val="Calibri"/>
      <family val="2"/>
    </font>
    <font>
      <b/>
      <sz val="10"/>
      <color indexed="8"/>
      <name val="Arial"/>
      <family val="2"/>
    </font>
    <font>
      <sz val="10"/>
      <color indexed="10"/>
      <name val="Arial"/>
      <family val="2"/>
    </font>
    <font>
      <i/>
      <sz val="10"/>
      <color indexed="8"/>
      <name val="Arial"/>
      <family val="2"/>
    </font>
    <font>
      <b/>
      <i/>
      <sz val="9"/>
      <color indexed="10"/>
      <name val="Arial"/>
      <family val="2"/>
    </font>
    <font>
      <sz val="9"/>
      <color indexed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name val="Arial"/>
      <family val="2"/>
    </font>
    <font>
      <sz val="9"/>
      <color rgb="FFFF0000"/>
      <name val="Arial"/>
      <family val="2"/>
    </font>
    <font>
      <sz val="10"/>
      <color rgb="FFFF0000"/>
      <name val="Arial"/>
      <family val="2"/>
    </font>
    <font>
      <sz val="11"/>
      <name val="Calibri"/>
      <family val="2"/>
      <scheme val="minor"/>
    </font>
    <font>
      <b/>
      <sz val="10"/>
      <color rgb="FF00B0F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2"/>
      <color indexed="81"/>
      <name val="Segoe UI"/>
      <family val="2"/>
    </font>
    <font>
      <b/>
      <sz val="12"/>
      <color rgb="FF0070C0"/>
      <name val="Arial"/>
      <family val="2"/>
    </font>
    <font>
      <sz val="10"/>
      <color rgb="FF000000"/>
      <name val="Arial"/>
      <family val="2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9"/>
      <color indexed="10"/>
      <name val="Tahoma"/>
      <family val="2"/>
    </font>
    <font>
      <sz val="10"/>
      <color theme="0"/>
      <name val="Arial"/>
      <family val="2"/>
    </font>
    <font>
      <b/>
      <sz val="14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4"/>
      <name val="Arial"/>
      <family val="2"/>
    </font>
    <font>
      <b/>
      <sz val="20"/>
      <name val="Arial"/>
      <family val="2"/>
    </font>
    <font>
      <b/>
      <sz val="16"/>
      <color theme="1"/>
      <name val="Calibri"/>
      <family val="2"/>
      <scheme val="minor"/>
    </font>
    <font>
      <b/>
      <sz val="10"/>
      <color rgb="FFFF0000"/>
      <name val="Arial"/>
      <family val="2"/>
    </font>
    <font>
      <b/>
      <sz val="15"/>
      <name val="Arial"/>
      <family val="2"/>
    </font>
    <font>
      <vertAlign val="subscript"/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1"/>
      <color theme="1"/>
      <name val="Calibri"/>
      <family val="2"/>
    </font>
    <font>
      <vertAlign val="subscript"/>
      <sz val="11"/>
      <color theme="1"/>
      <name val="Calibri"/>
      <family val="2"/>
    </font>
    <font>
      <b/>
      <sz val="9"/>
      <color indexed="81"/>
      <name val="Segoe UI"/>
      <family val="2"/>
    </font>
    <font>
      <sz val="8.5"/>
      <name val="Arial"/>
      <family val="2"/>
    </font>
    <font>
      <vertAlign val="subscript"/>
      <sz val="8.5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79998168889431442"/>
        <bgColor indexed="64"/>
      </patternFill>
    </fill>
  </fills>
  <borders count="6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double">
        <color indexed="64"/>
      </top>
      <bottom style="double">
        <color indexed="64"/>
      </bottom>
      <diagonal/>
    </border>
    <border>
      <left/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7">
    <xf numFmtId="0" fontId="0" fillId="0" borderId="0"/>
    <xf numFmtId="0" fontId="46" fillId="0" borderId="0"/>
    <xf numFmtId="9" fontId="6" fillId="0" borderId="0" applyFont="0" applyFill="0" applyBorder="0" applyAlignment="0" applyProtection="0"/>
    <xf numFmtId="0" fontId="5" fillId="0" borderId="0"/>
    <xf numFmtId="0" fontId="9" fillId="0" borderId="0"/>
    <xf numFmtId="0" fontId="4" fillId="0" borderId="0"/>
    <xf numFmtId="0" fontId="2" fillId="0" borderId="0"/>
  </cellStyleXfs>
  <cellXfs count="948">
    <xf numFmtId="0" fontId="0" fillId="0" borderId="0" xfId="0"/>
    <xf numFmtId="172" fontId="10" fillId="3" borderId="1" xfId="1" applyNumberFormat="1" applyFont="1" applyFill="1" applyBorder="1" applyAlignment="1">
      <alignment horizontal="center" vertical="center"/>
    </xf>
    <xf numFmtId="11" fontId="9" fillId="3" borderId="1" xfId="1" applyNumberFormat="1" applyFont="1" applyFill="1" applyBorder="1" applyAlignment="1">
      <alignment horizontal="center" vertical="center"/>
    </xf>
    <xf numFmtId="172" fontId="12" fillId="3" borderId="1" xfId="1" applyNumberFormat="1" applyFont="1" applyFill="1" applyBorder="1" applyAlignment="1">
      <alignment horizontal="center" vertical="center"/>
    </xf>
    <xf numFmtId="11" fontId="10" fillId="3" borderId="1" xfId="1" applyNumberFormat="1" applyFont="1" applyFill="1" applyBorder="1" applyAlignment="1">
      <alignment horizontal="center" vertical="center"/>
    </xf>
    <xf numFmtId="172" fontId="9" fillId="3" borderId="1" xfId="1" applyNumberFormat="1" applyFont="1" applyFill="1" applyBorder="1" applyAlignment="1">
      <alignment horizontal="center" vertical="center"/>
    </xf>
    <xf numFmtId="0" fontId="0" fillId="15" borderId="2" xfId="0" applyFill="1" applyBorder="1" applyAlignment="1">
      <alignment horizontal="center"/>
    </xf>
    <xf numFmtId="0" fontId="0" fillId="15" borderId="46" xfId="0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13" borderId="0" xfId="0" applyFill="1"/>
    <xf numFmtId="0" fontId="52" fillId="13" borderId="0" xfId="0" applyFont="1" applyFill="1" applyAlignment="1">
      <alignment horizontal="center" vertical="center"/>
    </xf>
    <xf numFmtId="11" fontId="0" fillId="13" borderId="0" xfId="0" applyNumberFormat="1" applyFill="1"/>
    <xf numFmtId="164" fontId="0" fillId="0" borderId="3" xfId="0" applyNumberFormat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171" fontId="0" fillId="0" borderId="1" xfId="0" applyNumberFormat="1" applyBorder="1" applyAlignment="1">
      <alignment horizontal="center"/>
    </xf>
    <xf numFmtId="0" fontId="0" fillId="3" borderId="0" xfId="0" applyFill="1"/>
    <xf numFmtId="167" fontId="0" fillId="3" borderId="13" xfId="0" applyNumberFormat="1" applyFill="1" applyBorder="1" applyAlignment="1">
      <alignment horizontal="center" vertical="center"/>
    </xf>
    <xf numFmtId="0" fontId="0" fillId="3" borderId="0" xfId="0" applyFill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12" fillId="0" borderId="5" xfId="0" applyFont="1" applyBorder="1"/>
    <xf numFmtId="0" fontId="12" fillId="2" borderId="6" xfId="0" applyFont="1" applyFill="1" applyBorder="1" applyAlignment="1">
      <alignment horizontal="center"/>
    </xf>
    <xf numFmtId="0" fontId="12" fillId="2" borderId="7" xfId="0" applyFont="1" applyFill="1" applyBorder="1" applyAlignment="1">
      <alignment horizontal="center"/>
    </xf>
    <xf numFmtId="164" fontId="0" fillId="0" borderId="4" xfId="0" applyNumberFormat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2" fontId="0" fillId="0" borderId="8" xfId="0" applyNumberFormat="1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0" fontId="12" fillId="2" borderId="4" xfId="0" applyFont="1" applyFill="1" applyBorder="1"/>
    <xf numFmtId="164" fontId="0" fillId="0" borderId="8" xfId="0" applyNumberFormat="1" applyBorder="1" applyAlignment="1">
      <alignment horizontal="center"/>
    </xf>
    <xf numFmtId="164" fontId="0" fillId="0" borderId="10" xfId="0" applyNumberFormat="1" applyBorder="1" applyAlignment="1">
      <alignment horizontal="center" vertical="center"/>
    </xf>
    <xf numFmtId="2" fontId="0" fillId="0" borderId="11" xfId="0" applyNumberFormat="1" applyBorder="1" applyAlignment="1">
      <alignment horizontal="center" vertical="center"/>
    </xf>
    <xf numFmtId="2" fontId="0" fillId="0" borderId="9" xfId="0" applyNumberFormat="1" applyBorder="1" applyAlignment="1">
      <alignment horizontal="center" vertical="center"/>
    </xf>
    <xf numFmtId="0" fontId="12" fillId="0" borderId="12" xfId="0" applyFont="1" applyBorder="1"/>
    <xf numFmtId="164" fontId="6" fillId="5" borderId="11" xfId="0" applyNumberFormat="1" applyFont="1" applyFill="1" applyBorder="1" applyAlignment="1">
      <alignment horizontal="center"/>
    </xf>
    <xf numFmtId="0" fontId="6" fillId="5" borderId="9" xfId="0" applyFont="1" applyFill="1" applyBorder="1" applyAlignment="1">
      <alignment horizontal="center"/>
    </xf>
    <xf numFmtId="164" fontId="9" fillId="5" borderId="11" xfId="0" applyNumberFormat="1" applyFont="1" applyFill="1" applyBorder="1" applyAlignment="1">
      <alignment horizontal="center"/>
    </xf>
    <xf numFmtId="0" fontId="9" fillId="5" borderId="9" xfId="0" applyFont="1" applyFill="1" applyBorder="1" applyAlignment="1">
      <alignment horizontal="center"/>
    </xf>
    <xf numFmtId="164" fontId="0" fillId="5" borderId="11" xfId="0" applyNumberFormat="1" applyFill="1" applyBorder="1" applyAlignment="1">
      <alignment horizontal="center"/>
    </xf>
    <xf numFmtId="0" fontId="0" fillId="5" borderId="9" xfId="0" applyFill="1" applyBorder="1" applyAlignment="1">
      <alignment horizontal="center"/>
    </xf>
    <xf numFmtId="0" fontId="12" fillId="0" borderId="10" xfId="0" applyFont="1" applyBorder="1"/>
    <xf numFmtId="0" fontId="9" fillId="13" borderId="0" xfId="0" applyFont="1" applyFill="1"/>
    <xf numFmtId="0" fontId="8" fillId="3" borderId="0" xfId="0" applyFont="1" applyFill="1"/>
    <xf numFmtId="0" fontId="46" fillId="3" borderId="0" xfId="1" applyFill="1"/>
    <xf numFmtId="0" fontId="46" fillId="3" borderId="33" xfId="1" applyFill="1" applyBorder="1"/>
    <xf numFmtId="0" fontId="46" fillId="3" borderId="34" xfId="1" applyFill="1" applyBorder="1"/>
    <xf numFmtId="0" fontId="46" fillId="3" borderId="35" xfId="1" applyFill="1" applyBorder="1"/>
    <xf numFmtId="0" fontId="9" fillId="2" borderId="36" xfId="1" applyFont="1" applyFill="1" applyBorder="1" applyAlignment="1">
      <alignment horizontal="center"/>
    </xf>
    <xf numFmtId="164" fontId="38" fillId="2" borderId="34" xfId="1" applyNumberFormat="1" applyFont="1" applyFill="1" applyBorder="1" applyAlignment="1">
      <alignment horizontal="right"/>
    </xf>
    <xf numFmtId="0" fontId="9" fillId="2" borderId="37" xfId="1" applyFont="1" applyFill="1" applyBorder="1" applyAlignment="1">
      <alignment horizontal="left"/>
    </xf>
    <xf numFmtId="0" fontId="9" fillId="3" borderId="0" xfId="1" applyFont="1" applyFill="1" applyAlignment="1">
      <alignment horizontal="center"/>
    </xf>
    <xf numFmtId="2" fontId="46" fillId="3" borderId="0" xfId="1" applyNumberFormat="1" applyFill="1" applyAlignment="1">
      <alignment horizontal="right"/>
    </xf>
    <xf numFmtId="0" fontId="9" fillId="3" borderId="0" xfId="1" applyFont="1" applyFill="1" applyAlignment="1">
      <alignment horizontal="left"/>
    </xf>
    <xf numFmtId="0" fontId="39" fillId="3" borderId="0" xfId="1" applyFont="1" applyFill="1"/>
    <xf numFmtId="0" fontId="15" fillId="3" borderId="0" xfId="0" applyFont="1" applyFill="1" applyAlignment="1">
      <alignment horizontal="left"/>
    </xf>
    <xf numFmtId="0" fontId="9" fillId="3" borderId="0" xfId="0" applyFont="1" applyFill="1"/>
    <xf numFmtId="164" fontId="46" fillId="3" borderId="0" xfId="1" applyNumberFormat="1" applyFill="1" applyAlignment="1">
      <alignment horizontal="right"/>
    </xf>
    <xf numFmtId="0" fontId="8" fillId="3" borderId="0" xfId="1" applyFont="1" applyFill="1"/>
    <xf numFmtId="0" fontId="51" fillId="3" borderId="0" xfId="1" applyFont="1" applyFill="1"/>
    <xf numFmtId="0" fontId="51" fillId="3" borderId="33" xfId="1" applyFont="1" applyFill="1" applyBorder="1"/>
    <xf numFmtId="0" fontId="51" fillId="3" borderId="34" xfId="1" applyFont="1" applyFill="1" applyBorder="1"/>
    <xf numFmtId="0" fontId="51" fillId="3" borderId="35" xfId="1" applyFont="1" applyFill="1" applyBorder="1"/>
    <xf numFmtId="2" fontId="51" fillId="2" borderId="34" xfId="1" applyNumberFormat="1" applyFont="1" applyFill="1" applyBorder="1" applyAlignment="1">
      <alignment horizontal="right"/>
    </xf>
    <xf numFmtId="0" fontId="50" fillId="3" borderId="0" xfId="0" applyFont="1" applyFill="1"/>
    <xf numFmtId="0" fontId="9" fillId="3" borderId="0" xfId="0" applyFont="1" applyFill="1" applyAlignment="1">
      <alignment horizontal="center"/>
    </xf>
    <xf numFmtId="0" fontId="9" fillId="3" borderId="0" xfId="0" applyFont="1" applyFill="1" applyAlignment="1">
      <alignment horizontal="left"/>
    </xf>
    <xf numFmtId="169" fontId="12" fillId="3" borderId="0" xfId="0" applyNumberFormat="1" applyFont="1" applyFill="1" applyAlignment="1">
      <alignment horizontal="left"/>
    </xf>
    <xf numFmtId="0" fontId="21" fillId="3" borderId="25" xfId="0" applyFont="1" applyFill="1" applyBorder="1" applyAlignment="1">
      <alignment horizontal="right"/>
    </xf>
    <xf numFmtId="2" fontId="21" fillId="3" borderId="26" xfId="0" applyNumberFormat="1" applyFont="1" applyFill="1" applyBorder="1"/>
    <xf numFmtId="0" fontId="21" fillId="3" borderId="31" xfId="0" applyFont="1" applyFill="1" applyBorder="1"/>
    <xf numFmtId="0" fontId="40" fillId="3" borderId="0" xfId="0" applyFont="1" applyFill="1"/>
    <xf numFmtId="0" fontId="9" fillId="3" borderId="0" xfId="0" applyFont="1" applyFill="1" applyAlignment="1">
      <alignment horizontal="right"/>
    </xf>
    <xf numFmtId="0" fontId="3" fillId="3" borderId="0" xfId="1" applyFont="1" applyFill="1"/>
    <xf numFmtId="0" fontId="3" fillId="3" borderId="33" xfId="1" applyFont="1" applyFill="1" applyBorder="1"/>
    <xf numFmtId="0" fontId="3" fillId="3" borderId="34" xfId="1" applyFont="1" applyFill="1" applyBorder="1"/>
    <xf numFmtId="0" fontId="3" fillId="3" borderId="35" xfId="1" applyFont="1" applyFill="1" applyBorder="1"/>
    <xf numFmtId="0" fontId="6" fillId="2" borderId="36" xfId="1" applyFont="1" applyFill="1" applyBorder="1" applyAlignment="1">
      <alignment horizontal="center"/>
    </xf>
    <xf numFmtId="0" fontId="6" fillId="2" borderId="37" xfId="1" applyFont="1" applyFill="1" applyBorder="1" applyAlignment="1">
      <alignment horizontal="left"/>
    </xf>
    <xf numFmtId="0" fontId="46" fillId="0" borderId="0" xfId="1"/>
    <xf numFmtId="0" fontId="26" fillId="3" borderId="0" xfId="1" applyFont="1" applyFill="1" applyAlignment="1">
      <alignment horizontal="right"/>
    </xf>
    <xf numFmtId="2" fontId="27" fillId="3" borderId="0" xfId="1" applyNumberFormat="1" applyFont="1" applyFill="1"/>
    <xf numFmtId="0" fontId="26" fillId="3" borderId="0" xfId="1" applyFont="1" applyFill="1"/>
    <xf numFmtId="0" fontId="9" fillId="3" borderId="1" xfId="1" applyFont="1" applyFill="1" applyBorder="1" applyAlignment="1">
      <alignment horizontal="center"/>
    </xf>
    <xf numFmtId="0" fontId="46" fillId="0" borderId="25" xfId="1" applyBorder="1"/>
    <xf numFmtId="0" fontId="46" fillId="0" borderId="16" xfId="1" applyBorder="1" applyAlignment="1">
      <alignment horizontal="center"/>
    </xf>
    <xf numFmtId="0" fontId="46" fillId="4" borderId="26" xfId="1" applyFill="1" applyBorder="1" applyAlignment="1">
      <alignment horizontal="left"/>
    </xf>
    <xf numFmtId="0" fontId="46" fillId="4" borderId="25" xfId="1" applyFill="1" applyBorder="1"/>
    <xf numFmtId="0" fontId="46" fillId="3" borderId="26" xfId="1" applyFill="1" applyBorder="1" applyAlignment="1">
      <alignment horizontal="center"/>
    </xf>
    <xf numFmtId="0" fontId="46" fillId="4" borderId="27" xfId="1" applyFill="1" applyBorder="1"/>
    <xf numFmtId="169" fontId="10" fillId="3" borderId="1" xfId="1" applyNumberFormat="1" applyFont="1" applyFill="1" applyBorder="1" applyAlignment="1">
      <alignment horizontal="center"/>
    </xf>
    <xf numFmtId="0" fontId="10" fillId="3" borderId="1" xfId="1" applyFont="1" applyFill="1" applyBorder="1" applyAlignment="1">
      <alignment horizontal="center"/>
    </xf>
    <xf numFmtId="2" fontId="10" fillId="3" borderId="1" xfId="1" applyNumberFormat="1" applyFont="1" applyFill="1" applyBorder="1" applyAlignment="1">
      <alignment horizontal="center"/>
    </xf>
    <xf numFmtId="11" fontId="10" fillId="3" borderId="1" xfId="1" applyNumberFormat="1" applyFont="1" applyFill="1" applyBorder="1" applyAlignment="1">
      <alignment horizontal="center"/>
    </xf>
    <xf numFmtId="164" fontId="10" fillId="3" borderId="1" xfId="1" applyNumberFormat="1" applyFont="1" applyFill="1" applyBorder="1" applyAlignment="1">
      <alignment horizontal="center"/>
    </xf>
    <xf numFmtId="0" fontId="46" fillId="6" borderId="25" xfId="1" applyFill="1" applyBorder="1"/>
    <xf numFmtId="0" fontId="46" fillId="6" borderId="26" xfId="1" applyFill="1" applyBorder="1"/>
    <xf numFmtId="0" fontId="46" fillId="6" borderId="26" xfId="1" applyFill="1" applyBorder="1" applyAlignment="1">
      <alignment horizontal="left"/>
    </xf>
    <xf numFmtId="0" fontId="46" fillId="10" borderId="25" xfId="1" applyFill="1" applyBorder="1"/>
    <xf numFmtId="0" fontId="46" fillId="10" borderId="14" xfId="1" applyFill="1" applyBorder="1"/>
    <xf numFmtId="169" fontId="9" fillId="3" borderId="1" xfId="1" applyNumberFormat="1" applyFont="1" applyFill="1" applyBorder="1" applyAlignment="1">
      <alignment horizontal="center"/>
    </xf>
    <xf numFmtId="2" fontId="9" fillId="3" borderId="1" xfId="1" applyNumberFormat="1" applyFont="1" applyFill="1" applyBorder="1" applyAlignment="1">
      <alignment horizontal="center"/>
    </xf>
    <xf numFmtId="11" fontId="9" fillId="3" borderId="1" xfId="1" applyNumberFormat="1" applyFont="1" applyFill="1" applyBorder="1" applyAlignment="1">
      <alignment horizontal="center"/>
    </xf>
    <xf numFmtId="164" fontId="9" fillId="3" borderId="1" xfId="1" applyNumberFormat="1" applyFont="1" applyFill="1" applyBorder="1" applyAlignment="1">
      <alignment horizontal="center"/>
    </xf>
    <xf numFmtId="0" fontId="46" fillId="7" borderId="26" xfId="1" applyFill="1" applyBorder="1" applyAlignment="1">
      <alignment horizontal="left"/>
    </xf>
    <xf numFmtId="173" fontId="12" fillId="3" borderId="1" xfId="1" applyNumberFormat="1" applyFont="1" applyFill="1" applyBorder="1" applyAlignment="1">
      <alignment horizontal="center" vertical="center"/>
    </xf>
    <xf numFmtId="169" fontId="12" fillId="3" borderId="1" xfId="1" applyNumberFormat="1" applyFont="1" applyFill="1" applyBorder="1" applyAlignment="1">
      <alignment horizontal="center"/>
    </xf>
    <xf numFmtId="0" fontId="46" fillId="3" borderId="32" xfId="1" applyFill="1" applyBorder="1" applyAlignment="1">
      <alignment horizontal="center"/>
    </xf>
    <xf numFmtId="10" fontId="46" fillId="3" borderId="32" xfId="1" applyNumberFormat="1" applyFill="1" applyBorder="1" applyAlignment="1">
      <alignment horizontal="center"/>
    </xf>
    <xf numFmtId="2" fontId="46" fillId="3" borderId="32" xfId="1" applyNumberFormat="1" applyFill="1" applyBorder="1" applyAlignment="1">
      <alignment horizontal="center"/>
    </xf>
    <xf numFmtId="171" fontId="46" fillId="3" borderId="32" xfId="1" applyNumberFormat="1" applyFill="1" applyBorder="1" applyAlignment="1">
      <alignment horizontal="center"/>
    </xf>
    <xf numFmtId="0" fontId="46" fillId="8" borderId="38" xfId="1" applyFill="1" applyBorder="1"/>
    <xf numFmtId="164" fontId="46" fillId="8" borderId="38" xfId="1" applyNumberFormat="1" applyFill="1" applyBorder="1" applyAlignment="1">
      <alignment horizontal="center"/>
    </xf>
    <xf numFmtId="0" fontId="46" fillId="8" borderId="27" xfId="1" applyFill="1" applyBorder="1" applyAlignment="1">
      <alignment horizontal="left"/>
    </xf>
    <xf numFmtId="0" fontId="46" fillId="8" borderId="25" xfId="1" applyFill="1" applyBorder="1"/>
    <xf numFmtId="164" fontId="46" fillId="8" borderId="25" xfId="1" applyNumberFormat="1" applyFill="1" applyBorder="1" applyAlignment="1">
      <alignment horizontal="center"/>
    </xf>
    <xf numFmtId="0" fontId="46" fillId="8" borderId="26" xfId="1" applyFill="1" applyBorder="1" applyAlignment="1">
      <alignment horizontal="left"/>
    </xf>
    <xf numFmtId="164" fontId="46" fillId="2" borderId="34" xfId="1" applyNumberFormat="1" applyFill="1" applyBorder="1" applyAlignment="1">
      <alignment horizontal="right"/>
    </xf>
    <xf numFmtId="0" fontId="46" fillId="9" borderId="25" xfId="1" applyFill="1" applyBorder="1"/>
    <xf numFmtId="164" fontId="46" fillId="9" borderId="26" xfId="1" applyNumberFormat="1" applyFill="1" applyBorder="1" applyAlignment="1">
      <alignment horizontal="center"/>
    </xf>
    <xf numFmtId="0" fontId="46" fillId="9" borderId="31" xfId="1" applyFill="1" applyBorder="1"/>
    <xf numFmtId="0" fontId="34" fillId="0" borderId="27" xfId="1" applyFont="1" applyBorder="1" applyAlignment="1">
      <alignment horizontal="center"/>
    </xf>
    <xf numFmtId="0" fontId="46" fillId="0" borderId="28" xfId="1" applyBorder="1" applyAlignment="1">
      <alignment horizontal="center"/>
    </xf>
    <xf numFmtId="0" fontId="34" fillId="0" borderId="29" xfId="1" applyFont="1" applyBorder="1" applyAlignment="1">
      <alignment horizontal="center"/>
    </xf>
    <xf numFmtId="0" fontId="46" fillId="0" borderId="30" xfId="1" applyBorder="1" applyAlignment="1">
      <alignment horizontal="center"/>
    </xf>
    <xf numFmtId="170" fontId="10" fillId="3" borderId="1" xfId="1" applyNumberFormat="1" applyFont="1" applyFill="1" applyBorder="1" applyAlignment="1">
      <alignment horizontal="center"/>
    </xf>
    <xf numFmtId="0" fontId="34" fillId="4" borderId="26" xfId="1" applyFont="1" applyFill="1" applyBorder="1" applyAlignment="1">
      <alignment horizontal="center"/>
    </xf>
    <xf numFmtId="171" fontId="46" fillId="4" borderId="31" xfId="1" applyNumberFormat="1" applyFill="1" applyBorder="1" applyAlignment="1">
      <alignment horizontal="center"/>
    </xf>
    <xf numFmtId="0" fontId="37" fillId="4" borderId="26" xfId="1" applyFont="1" applyFill="1" applyBorder="1" applyAlignment="1">
      <alignment horizontal="center"/>
    </xf>
    <xf numFmtId="171" fontId="38" fillId="4" borderId="31" xfId="1" applyNumberFormat="1" applyFont="1" applyFill="1" applyBorder="1" applyAlignment="1">
      <alignment horizontal="center"/>
    </xf>
    <xf numFmtId="0" fontId="38" fillId="3" borderId="0" xfId="1" applyFont="1" applyFill="1"/>
    <xf numFmtId="0" fontId="38" fillId="3" borderId="32" xfId="1" applyFont="1" applyFill="1" applyBorder="1" applyAlignment="1">
      <alignment horizontal="center"/>
    </xf>
    <xf numFmtId="10" fontId="38" fillId="3" borderId="32" xfId="1" applyNumberFormat="1" applyFont="1" applyFill="1" applyBorder="1" applyAlignment="1">
      <alignment horizontal="center"/>
    </xf>
    <xf numFmtId="2" fontId="38" fillId="3" borderId="32" xfId="1" applyNumberFormat="1" applyFont="1" applyFill="1" applyBorder="1" applyAlignment="1">
      <alignment horizontal="center"/>
    </xf>
    <xf numFmtId="171" fontId="38" fillId="3" borderId="32" xfId="1" applyNumberFormat="1" applyFont="1" applyFill="1" applyBorder="1" applyAlignment="1">
      <alignment horizontal="center"/>
    </xf>
    <xf numFmtId="0" fontId="38" fillId="3" borderId="33" xfId="1" applyFont="1" applyFill="1" applyBorder="1"/>
    <xf numFmtId="0" fontId="38" fillId="3" borderId="34" xfId="1" applyFont="1" applyFill="1" applyBorder="1"/>
    <xf numFmtId="0" fontId="38" fillId="3" borderId="35" xfId="1" applyFont="1" applyFill="1" applyBorder="1"/>
    <xf numFmtId="0" fontId="34" fillId="6" borderId="26" xfId="1" applyFont="1" applyFill="1" applyBorder="1" applyAlignment="1">
      <alignment horizontal="center"/>
    </xf>
    <xf numFmtId="171" fontId="46" fillId="6" borderId="31" xfId="1" applyNumberFormat="1" applyFill="1" applyBorder="1" applyAlignment="1">
      <alignment horizontal="center"/>
    </xf>
    <xf numFmtId="0" fontId="50" fillId="13" borderId="0" xfId="0" applyFont="1" applyFill="1"/>
    <xf numFmtId="0" fontId="6" fillId="13" borderId="0" xfId="0" applyFont="1" applyFill="1"/>
    <xf numFmtId="0" fontId="47" fillId="3" borderId="0" xfId="1" applyFont="1" applyFill="1"/>
    <xf numFmtId="0" fontId="50" fillId="3" borderId="0" xfId="1" applyFont="1" applyFill="1" applyAlignment="1">
      <alignment horizontal="center"/>
    </xf>
    <xf numFmtId="164" fontId="47" fillId="3" borderId="0" xfId="1" applyNumberFormat="1" applyFont="1" applyFill="1" applyAlignment="1">
      <alignment horizontal="right"/>
    </xf>
    <xf numFmtId="0" fontId="50" fillId="3" borderId="0" xfId="1" applyFont="1" applyFill="1" applyAlignment="1">
      <alignment horizontal="left"/>
    </xf>
    <xf numFmtId="0" fontId="6" fillId="13" borderId="1" xfId="0" applyFont="1" applyFill="1" applyBorder="1" applyAlignment="1">
      <alignment horizontal="center"/>
    </xf>
    <xf numFmtId="0" fontId="0" fillId="13" borderId="0" xfId="0" applyFill="1" applyAlignment="1">
      <alignment horizontal="center"/>
    </xf>
    <xf numFmtId="2" fontId="0" fillId="13" borderId="0" xfId="0" applyNumberFormat="1" applyFill="1" applyAlignment="1">
      <alignment horizontal="center"/>
    </xf>
    <xf numFmtId="4" fontId="0" fillId="13" borderId="0" xfId="0" applyNumberFormat="1" applyFill="1" applyAlignment="1">
      <alignment horizontal="center"/>
    </xf>
    <xf numFmtId="2" fontId="12" fillId="13" borderId="0" xfId="0" applyNumberFormat="1" applyFont="1" applyFill="1" applyAlignment="1">
      <alignment horizontal="center"/>
    </xf>
    <xf numFmtId="0" fontId="12" fillId="13" borderId="0" xfId="0" applyFont="1" applyFill="1" applyAlignment="1">
      <alignment horizontal="center"/>
    </xf>
    <xf numFmtId="1" fontId="0" fillId="13" borderId="0" xfId="0" applyNumberFormat="1" applyFill="1" applyAlignment="1">
      <alignment horizontal="center"/>
    </xf>
    <xf numFmtId="2" fontId="9" fillId="0" borderId="1" xfId="0" applyNumberFormat="1" applyFont="1" applyBorder="1" applyAlignment="1">
      <alignment horizontal="center"/>
    </xf>
    <xf numFmtId="0" fontId="0" fillId="0" borderId="1" xfId="0" applyBorder="1"/>
    <xf numFmtId="168" fontId="0" fillId="0" borderId="1" xfId="0" applyNumberFormat="1" applyBorder="1" applyAlignment="1">
      <alignment horizontal="center"/>
    </xf>
    <xf numFmtId="0" fontId="29" fillId="0" borderId="1" xfId="0" applyFont="1" applyBorder="1" applyAlignment="1">
      <alignment horizontal="center"/>
    </xf>
    <xf numFmtId="1" fontId="0" fillId="0" borderId="1" xfId="0" applyNumberForma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165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 vertical="center"/>
    </xf>
    <xf numFmtId="171" fontId="0" fillId="13" borderId="0" xfId="0" applyNumberFormat="1" applyFill="1"/>
    <xf numFmtId="0" fontId="0" fillId="13" borderId="0" xfId="0" applyFill="1" applyAlignment="1">
      <alignment horizontal="center" vertical="center"/>
    </xf>
    <xf numFmtId="9" fontId="0" fillId="13" borderId="0" xfId="0" applyNumberFormat="1" applyFill="1"/>
    <xf numFmtId="0" fontId="46" fillId="13" borderId="0" xfId="1" applyFill="1"/>
    <xf numFmtId="0" fontId="34" fillId="13" borderId="0" xfId="1" applyFont="1" applyFill="1"/>
    <xf numFmtId="0" fontId="46" fillId="13" borderId="0" xfId="1" applyFill="1" applyAlignment="1">
      <alignment horizontal="left"/>
    </xf>
    <xf numFmtId="171" fontId="46" fillId="13" borderId="0" xfId="1" applyNumberFormat="1" applyFill="1" applyAlignment="1">
      <alignment horizontal="left"/>
    </xf>
    <xf numFmtId="169" fontId="46" fillId="13" borderId="0" xfId="1" applyNumberFormat="1" applyFill="1" applyAlignment="1">
      <alignment horizontal="left"/>
    </xf>
    <xf numFmtId="0" fontId="36" fillId="13" borderId="0" xfId="1" applyFont="1" applyFill="1" applyAlignment="1">
      <alignment horizontal="center"/>
    </xf>
    <xf numFmtId="0" fontId="46" fillId="0" borderId="1" xfId="1" applyBorder="1" applyAlignment="1">
      <alignment horizontal="center"/>
    </xf>
    <xf numFmtId="0" fontId="46" fillId="0" borderId="1" xfId="1" applyBorder="1"/>
    <xf numFmtId="0" fontId="33" fillId="13" borderId="0" xfId="1" applyFont="1" applyFill="1"/>
    <xf numFmtId="0" fontId="38" fillId="13" borderId="0" xfId="1" applyFont="1" applyFill="1"/>
    <xf numFmtId="0" fontId="46" fillId="13" borderId="45" xfId="1" applyFill="1" applyBorder="1"/>
    <xf numFmtId="0" fontId="46" fillId="13" borderId="30" xfId="1" applyFill="1" applyBorder="1"/>
    <xf numFmtId="0" fontId="46" fillId="13" borderId="40" xfId="1" applyFill="1" applyBorder="1"/>
    <xf numFmtId="0" fontId="46" fillId="13" borderId="41" xfId="1" applyFill="1" applyBorder="1"/>
    <xf numFmtId="0" fontId="46" fillId="13" borderId="42" xfId="1" applyFill="1" applyBorder="1"/>
    <xf numFmtId="0" fontId="46" fillId="13" borderId="28" xfId="1" applyFill="1" applyBorder="1" applyAlignment="1">
      <alignment horizontal="center"/>
    </xf>
    <xf numFmtId="0" fontId="46" fillId="13" borderId="30" xfId="1" applyFill="1" applyBorder="1" applyAlignment="1">
      <alignment horizontal="center"/>
    </xf>
    <xf numFmtId="0" fontId="34" fillId="13" borderId="27" xfId="1" applyFont="1" applyFill="1" applyBorder="1" applyAlignment="1">
      <alignment horizontal="center"/>
    </xf>
    <xf numFmtId="0" fontId="34" fillId="13" borderId="29" xfId="1" applyFont="1" applyFill="1" applyBorder="1" applyAlignment="1">
      <alignment horizontal="center"/>
    </xf>
    <xf numFmtId="0" fontId="37" fillId="13" borderId="27" xfId="1" applyFont="1" applyFill="1" applyBorder="1" applyAlignment="1">
      <alignment horizontal="center"/>
    </xf>
    <xf numFmtId="0" fontId="37" fillId="13" borderId="29" xfId="1" applyFont="1" applyFill="1" applyBorder="1" applyAlignment="1">
      <alignment horizontal="center"/>
    </xf>
    <xf numFmtId="0" fontId="38" fillId="13" borderId="28" xfId="1" applyFont="1" applyFill="1" applyBorder="1" applyAlignment="1">
      <alignment horizontal="center"/>
    </xf>
    <xf numFmtId="0" fontId="38" fillId="13" borderId="30" xfId="1" applyFont="1" applyFill="1" applyBorder="1" applyAlignment="1">
      <alignment horizontal="center"/>
    </xf>
    <xf numFmtId="164" fontId="6" fillId="13" borderId="1" xfId="0" applyNumberFormat="1" applyFont="1" applyFill="1" applyBorder="1" applyAlignment="1">
      <alignment horizontal="center" vertical="center"/>
    </xf>
    <xf numFmtId="164" fontId="6" fillId="13" borderId="1" xfId="0" applyNumberFormat="1" applyFont="1" applyFill="1" applyBorder="1" applyAlignment="1">
      <alignment horizontal="center"/>
    </xf>
    <xf numFmtId="0" fontId="6" fillId="13" borderId="0" xfId="0" applyFont="1" applyFill="1" applyAlignment="1">
      <alignment horizontal="center"/>
    </xf>
    <xf numFmtId="169" fontId="6" fillId="2" borderId="37" xfId="1" applyNumberFormat="1" applyFont="1" applyFill="1" applyBorder="1" applyAlignment="1">
      <alignment horizontal="left"/>
    </xf>
    <xf numFmtId="2" fontId="0" fillId="0" borderId="3" xfId="0" applyNumberFormat="1" applyBorder="1" applyAlignment="1">
      <alignment horizontal="center"/>
    </xf>
    <xf numFmtId="2" fontId="0" fillId="0" borderId="4" xfId="0" applyNumberFormat="1" applyBorder="1" applyAlignment="1">
      <alignment horizontal="center" vertical="center"/>
    </xf>
    <xf numFmtId="0" fontId="12" fillId="13" borderId="0" xfId="0" applyFont="1" applyFill="1"/>
    <xf numFmtId="0" fontId="12" fillId="3" borderId="0" xfId="0" applyFont="1" applyFill="1" applyAlignment="1">
      <alignment horizontal="center"/>
    </xf>
    <xf numFmtId="2" fontId="12" fillId="3" borderId="0" xfId="0" applyNumberFormat="1" applyFont="1" applyFill="1" applyAlignment="1">
      <alignment horizontal="center"/>
    </xf>
    <xf numFmtId="1" fontId="12" fillId="3" borderId="0" xfId="0" applyNumberFormat="1" applyFont="1" applyFill="1" applyAlignment="1">
      <alignment horizontal="center"/>
    </xf>
    <xf numFmtId="4" fontId="12" fillId="3" borderId="0" xfId="0" applyNumberFormat="1" applyFont="1" applyFill="1" applyAlignment="1">
      <alignment horizontal="center"/>
    </xf>
    <xf numFmtId="2" fontId="0" fillId="3" borderId="0" xfId="0" applyNumberFormat="1" applyFill="1" applyAlignment="1">
      <alignment horizontal="center"/>
    </xf>
    <xf numFmtId="1" fontId="0" fillId="3" borderId="0" xfId="0" applyNumberFormat="1" applyFill="1" applyAlignment="1">
      <alignment horizontal="center"/>
    </xf>
    <xf numFmtId="4" fontId="0" fillId="3" borderId="0" xfId="0" applyNumberFormat="1" applyFill="1" applyAlignment="1">
      <alignment horizontal="center"/>
    </xf>
    <xf numFmtId="4" fontId="9" fillId="3" borderId="0" xfId="0" applyNumberFormat="1" applyFont="1" applyFill="1" applyAlignment="1">
      <alignment horizontal="center"/>
    </xf>
    <xf numFmtId="2" fontId="9" fillId="3" borderId="0" xfId="0" applyNumberFormat="1" applyFont="1" applyFill="1" applyAlignment="1">
      <alignment horizontal="center"/>
    </xf>
    <xf numFmtId="0" fontId="7" fillId="13" borderId="0" xfId="0" applyFont="1" applyFill="1"/>
    <xf numFmtId="0" fontId="13" fillId="2" borderId="1" xfId="0" applyFont="1" applyFill="1" applyBorder="1" applyAlignment="1">
      <alignment horizontal="center"/>
    </xf>
    <xf numFmtId="2" fontId="13" fillId="2" borderId="1" xfId="0" applyNumberFormat="1" applyFont="1" applyFill="1" applyBorder="1" applyAlignment="1">
      <alignment horizontal="center"/>
    </xf>
    <xf numFmtId="4" fontId="13" fillId="2" borderId="1" xfId="0" applyNumberFormat="1" applyFont="1" applyFill="1" applyBorder="1" applyAlignment="1">
      <alignment horizontal="center"/>
    </xf>
    <xf numFmtId="0" fontId="7" fillId="13" borderId="0" xfId="0" applyFont="1" applyFill="1" applyAlignment="1">
      <alignment horizontal="center"/>
    </xf>
    <xf numFmtId="165" fontId="0" fillId="13" borderId="0" xfId="0" applyNumberFormat="1" applyFill="1" applyAlignment="1">
      <alignment horizontal="center"/>
    </xf>
    <xf numFmtId="0" fontId="7" fillId="13" borderId="1" xfId="0" applyFont="1" applyFill="1" applyBorder="1"/>
    <xf numFmtId="0" fontId="15" fillId="2" borderId="1" xfId="0" applyFont="1" applyFill="1" applyBorder="1" applyAlignment="1">
      <alignment horizontal="left"/>
    </xf>
    <xf numFmtId="2" fontId="12" fillId="13" borderId="1" xfId="0" applyNumberFormat="1" applyFont="1" applyFill="1" applyBorder="1" applyAlignment="1">
      <alignment horizontal="center"/>
    </xf>
    <xf numFmtId="164" fontId="12" fillId="13" borderId="1" xfId="0" applyNumberFormat="1" applyFont="1" applyFill="1" applyBorder="1" applyAlignment="1">
      <alignment horizontal="center"/>
    </xf>
    <xf numFmtId="164" fontId="15" fillId="13" borderId="1" xfId="0" applyNumberFormat="1" applyFont="1" applyFill="1" applyBorder="1" applyAlignment="1">
      <alignment horizontal="center"/>
    </xf>
    <xf numFmtId="1" fontId="15" fillId="13" borderId="1" xfId="0" applyNumberFormat="1" applyFont="1" applyFill="1" applyBorder="1" applyAlignment="1">
      <alignment horizontal="center"/>
    </xf>
    <xf numFmtId="2" fontId="15" fillId="13" borderId="1" xfId="0" applyNumberFormat="1" applyFont="1" applyFill="1" applyBorder="1" applyAlignment="1">
      <alignment horizontal="center"/>
    </xf>
    <xf numFmtId="4" fontId="12" fillId="13" borderId="1" xfId="0" applyNumberFormat="1" applyFont="1" applyFill="1" applyBorder="1" applyAlignment="1">
      <alignment horizontal="center"/>
    </xf>
    <xf numFmtId="4" fontId="15" fillId="13" borderId="1" xfId="0" applyNumberFormat="1" applyFont="1" applyFill="1" applyBorder="1" applyAlignment="1">
      <alignment horizontal="center"/>
    </xf>
    <xf numFmtId="0" fontId="11" fillId="13" borderId="1" xfId="0" applyFont="1" applyFill="1" applyBorder="1" applyAlignment="1">
      <alignment horizontal="center"/>
    </xf>
    <xf numFmtId="0" fontId="12" fillId="13" borderId="1" xfId="0" applyFont="1" applyFill="1" applyBorder="1" applyAlignment="1">
      <alignment horizontal="center"/>
    </xf>
    <xf numFmtId="0" fontId="12" fillId="3" borderId="0" xfId="0" applyFont="1" applyFill="1" applyAlignment="1">
      <alignment horizontal="left"/>
    </xf>
    <xf numFmtId="166" fontId="0" fillId="13" borderId="0" xfId="0" applyNumberFormat="1" applyFill="1" applyAlignment="1">
      <alignment horizontal="center"/>
    </xf>
    <xf numFmtId="0" fontId="12" fillId="0" borderId="0" xfId="0" applyFont="1" applyAlignment="1">
      <alignment horizontal="center"/>
    </xf>
    <xf numFmtId="0" fontId="42" fillId="3" borderId="1" xfId="0" applyFont="1" applyFill="1" applyBorder="1" applyAlignment="1">
      <alignment horizontal="center"/>
    </xf>
    <xf numFmtId="2" fontId="42" fillId="3" borderId="1" xfId="0" applyNumberFormat="1" applyFont="1" applyFill="1" applyBorder="1" applyAlignment="1">
      <alignment horizontal="center"/>
    </xf>
    <xf numFmtId="4" fontId="12" fillId="3" borderId="1" xfId="0" applyNumberFormat="1" applyFont="1" applyFill="1" applyBorder="1" applyAlignment="1">
      <alignment horizontal="center"/>
    </xf>
    <xf numFmtId="2" fontId="12" fillId="3" borderId="1" xfId="0" applyNumberFormat="1" applyFont="1" applyFill="1" applyBorder="1" applyAlignment="1">
      <alignment horizontal="center"/>
    </xf>
    <xf numFmtId="0" fontId="12" fillId="2" borderId="1" xfId="0" applyFont="1" applyFill="1" applyBorder="1" applyAlignment="1">
      <alignment horizontal="center"/>
    </xf>
    <xf numFmtId="0" fontId="43" fillId="3" borderId="1" xfId="0" applyFont="1" applyFill="1" applyBorder="1" applyAlignment="1">
      <alignment horizontal="center"/>
    </xf>
    <xf numFmtId="2" fontId="43" fillId="3" borderId="1" xfId="0" applyNumberFormat="1" applyFont="1" applyFill="1" applyBorder="1" applyAlignment="1">
      <alignment horizontal="center"/>
    </xf>
    <xf numFmtId="4" fontId="12" fillId="2" borderId="1" xfId="0" applyNumberFormat="1" applyFont="1" applyFill="1" applyBorder="1" applyAlignment="1">
      <alignment horizontal="center"/>
    </xf>
    <xf numFmtId="2" fontId="12" fillId="2" borderId="1" xfId="0" applyNumberFormat="1" applyFont="1" applyFill="1" applyBorder="1" applyAlignment="1">
      <alignment horizontal="center"/>
    </xf>
    <xf numFmtId="166" fontId="15" fillId="13" borderId="1" xfId="0" applyNumberFormat="1" applyFont="1" applyFill="1" applyBorder="1" applyAlignment="1">
      <alignment horizontal="center"/>
    </xf>
    <xf numFmtId="0" fontId="43" fillId="13" borderId="1" xfId="0" applyFont="1" applyFill="1" applyBorder="1" applyAlignment="1">
      <alignment horizontal="center"/>
    </xf>
    <xf numFmtId="2" fontId="43" fillId="13" borderId="1" xfId="0" applyNumberFormat="1" applyFont="1" applyFill="1" applyBorder="1" applyAlignment="1">
      <alignment horizontal="center"/>
    </xf>
    <xf numFmtId="2" fontId="45" fillId="13" borderId="1" xfId="0" applyNumberFormat="1" applyFont="1" applyFill="1" applyBorder="1" applyAlignment="1">
      <alignment horizontal="center"/>
    </xf>
    <xf numFmtId="1" fontId="12" fillId="13" borderId="0" xfId="0" applyNumberFormat="1" applyFont="1" applyFill="1" applyAlignment="1">
      <alignment horizontal="center"/>
    </xf>
    <xf numFmtId="4" fontId="12" fillId="13" borderId="0" xfId="0" applyNumberFormat="1" applyFont="1" applyFill="1" applyAlignment="1">
      <alignment horizontal="center"/>
    </xf>
    <xf numFmtId="0" fontId="15" fillId="13" borderId="0" xfId="0" applyFont="1" applyFill="1" applyAlignment="1">
      <alignment horizontal="center"/>
    </xf>
    <xf numFmtId="0" fontId="12" fillId="0" borderId="1" xfId="0" applyFont="1" applyBorder="1"/>
    <xf numFmtId="1" fontId="15" fillId="2" borderId="1" xfId="0" applyNumberFormat="1" applyFont="1" applyFill="1" applyBorder="1" applyAlignment="1">
      <alignment horizontal="center"/>
    </xf>
    <xf numFmtId="2" fontId="15" fillId="2" borderId="1" xfId="0" applyNumberFormat="1" applyFont="1" applyFill="1" applyBorder="1" applyAlignment="1">
      <alignment horizontal="center"/>
    </xf>
    <xf numFmtId="4" fontId="15" fillId="2" borderId="1" xfId="0" applyNumberFormat="1" applyFont="1" applyFill="1" applyBorder="1" applyAlignment="1">
      <alignment horizontal="center"/>
    </xf>
    <xf numFmtId="2" fontId="15" fillId="3" borderId="1" xfId="0" applyNumberFormat="1" applyFont="1" applyFill="1" applyBorder="1" applyAlignment="1">
      <alignment horizontal="center"/>
    </xf>
    <xf numFmtId="0" fontId="12" fillId="0" borderId="48" xfId="0" applyFont="1" applyBorder="1"/>
    <xf numFmtId="0" fontId="12" fillId="0" borderId="3" xfId="0" applyFont="1" applyBorder="1"/>
    <xf numFmtId="4" fontId="12" fillId="2" borderId="3" xfId="0" applyNumberFormat="1" applyFont="1" applyFill="1" applyBorder="1" applyAlignment="1">
      <alignment horizontal="center"/>
    </xf>
    <xf numFmtId="2" fontId="12" fillId="3" borderId="3" xfId="0" applyNumberFormat="1" applyFont="1" applyFill="1" applyBorder="1" applyAlignment="1">
      <alignment horizontal="center"/>
    </xf>
    <xf numFmtId="2" fontId="12" fillId="2" borderId="3" xfId="0" applyNumberFormat="1" applyFont="1" applyFill="1" applyBorder="1" applyAlignment="1">
      <alignment horizontal="center"/>
    </xf>
    <xf numFmtId="0" fontId="15" fillId="13" borderId="0" xfId="0" applyFont="1" applyFill="1" applyAlignment="1">
      <alignment horizontal="center" vertical="center"/>
    </xf>
    <xf numFmtId="164" fontId="12" fillId="13" borderId="0" xfId="0" applyNumberFormat="1" applyFont="1" applyFill="1" applyAlignment="1">
      <alignment horizontal="center"/>
    </xf>
    <xf numFmtId="0" fontId="12" fillId="0" borderId="43" xfId="0" applyFont="1" applyBorder="1" applyAlignment="1">
      <alignment horizontal="center"/>
    </xf>
    <xf numFmtId="2" fontId="12" fillId="0" borderId="1" xfId="0" applyNumberFormat="1" applyFont="1" applyBorder="1" applyAlignment="1">
      <alignment horizontal="center"/>
    </xf>
    <xf numFmtId="2" fontId="12" fillId="0" borderId="0" xfId="0" applyNumberFormat="1" applyFont="1" applyAlignment="1">
      <alignment horizontal="center"/>
    </xf>
    <xf numFmtId="2" fontId="0" fillId="0" borderId="0" xfId="0" applyNumberFormat="1" applyAlignment="1">
      <alignment horizontal="center"/>
    </xf>
    <xf numFmtId="1" fontId="13" fillId="13" borderId="18" xfId="0" applyNumberFormat="1" applyFont="1" applyFill="1" applyBorder="1" applyAlignment="1">
      <alignment horizontal="right" vertical="center"/>
    </xf>
    <xf numFmtId="2" fontId="0" fillId="13" borderId="43" xfId="0" applyNumberFormat="1" applyFill="1" applyBorder="1" applyAlignment="1">
      <alignment horizontal="right" vertical="center"/>
    </xf>
    <xf numFmtId="2" fontId="12" fillId="13" borderId="43" xfId="0" applyNumberFormat="1" applyFont="1" applyFill="1" applyBorder="1" applyAlignment="1">
      <alignment horizontal="center" vertical="center"/>
    </xf>
    <xf numFmtId="2" fontId="12" fillId="13" borderId="1" xfId="0" applyNumberFormat="1" applyFont="1" applyFill="1" applyBorder="1" applyAlignment="1">
      <alignment horizontal="center" vertical="center"/>
    </xf>
    <xf numFmtId="175" fontId="12" fillId="13" borderId="1" xfId="2" applyNumberFormat="1" applyFont="1" applyFill="1" applyBorder="1" applyAlignment="1" applyProtection="1">
      <alignment horizontal="center" vertical="center"/>
    </xf>
    <xf numFmtId="2" fontId="15" fillId="0" borderId="0" xfId="0" applyNumberFormat="1" applyFont="1" applyAlignment="1">
      <alignment horizontal="center"/>
    </xf>
    <xf numFmtId="1" fontId="15" fillId="0" borderId="0" xfId="0" applyNumberFormat="1" applyFont="1" applyAlignment="1">
      <alignment horizontal="center"/>
    </xf>
    <xf numFmtId="10" fontId="0" fillId="13" borderId="0" xfId="2" applyNumberFormat="1" applyFont="1" applyFill="1" applyAlignment="1" applyProtection="1">
      <alignment horizontal="center"/>
    </xf>
    <xf numFmtId="14" fontId="12" fillId="13" borderId="0" xfId="0" applyNumberFormat="1" applyFont="1" applyFill="1" applyAlignment="1">
      <alignment horizontal="center"/>
    </xf>
    <xf numFmtId="2" fontId="15" fillId="13" borderId="0" xfId="0" applyNumberFormat="1" applyFont="1" applyFill="1" applyAlignment="1">
      <alignment horizontal="center"/>
    </xf>
    <xf numFmtId="1" fontId="15" fillId="13" borderId="0" xfId="0" applyNumberFormat="1" applyFont="1" applyFill="1" applyAlignment="1">
      <alignment horizontal="center"/>
    </xf>
    <xf numFmtId="0" fontId="8" fillId="13" borderId="0" xfId="0" applyFont="1" applyFill="1"/>
    <xf numFmtId="20" fontId="6" fillId="13" borderId="0" xfId="0" applyNumberFormat="1" applyFont="1" applyFill="1"/>
    <xf numFmtId="0" fontId="8" fillId="13" borderId="1" xfId="0" applyFont="1" applyFill="1" applyBorder="1" applyAlignment="1">
      <alignment horizontal="left"/>
    </xf>
    <xf numFmtId="1" fontId="6" fillId="13" borderId="1" xfId="0" applyNumberFormat="1" applyFont="1" applyFill="1" applyBorder="1" applyAlignment="1">
      <alignment horizontal="center" vertical="center"/>
    </xf>
    <xf numFmtId="0" fontId="9" fillId="13" borderId="0" xfId="0" applyFont="1" applyFill="1" applyAlignment="1">
      <alignment vertical="center" wrapText="1"/>
    </xf>
    <xf numFmtId="0" fontId="0" fillId="13" borderId="0" xfId="0" applyFill="1" applyAlignment="1">
      <alignment vertical="center"/>
    </xf>
    <xf numFmtId="173" fontId="10" fillId="13" borderId="1" xfId="1" applyNumberFormat="1" applyFont="1" applyFill="1" applyBorder="1" applyAlignment="1">
      <alignment horizontal="center" vertical="center"/>
    </xf>
    <xf numFmtId="172" fontId="10" fillId="13" borderId="1" xfId="1" applyNumberFormat="1" applyFont="1" applyFill="1" applyBorder="1" applyAlignment="1">
      <alignment horizontal="center" vertical="center"/>
    </xf>
    <xf numFmtId="172" fontId="12" fillId="13" borderId="1" xfId="1" applyNumberFormat="1" applyFont="1" applyFill="1" applyBorder="1" applyAlignment="1">
      <alignment horizontal="center" vertical="center"/>
    </xf>
    <xf numFmtId="0" fontId="7" fillId="13" borderId="1" xfId="0" applyFont="1" applyFill="1" applyBorder="1" applyAlignment="1">
      <alignment horizontal="center" vertical="center" wrapText="1"/>
    </xf>
    <xf numFmtId="0" fontId="21" fillId="13" borderId="1" xfId="0" applyFont="1" applyFill="1" applyBorder="1" applyAlignment="1">
      <alignment horizontal="center" vertical="center" wrapText="1"/>
    </xf>
    <xf numFmtId="2" fontId="21" fillId="13" borderId="1" xfId="0" applyNumberFormat="1" applyFont="1" applyFill="1" applyBorder="1" applyAlignment="1">
      <alignment horizontal="center" vertical="center" wrapText="1"/>
    </xf>
    <xf numFmtId="0" fontId="7" fillId="13" borderId="18" xfId="0" applyFont="1" applyFill="1" applyBorder="1" applyAlignment="1">
      <alignment horizontal="center" vertical="center" wrapText="1"/>
    </xf>
    <xf numFmtId="0" fontId="21" fillId="13" borderId="18" xfId="0" applyFont="1" applyFill="1" applyBorder="1" applyAlignment="1">
      <alignment horizontal="center" vertical="center" wrapText="1"/>
    </xf>
    <xf numFmtId="0" fontId="7" fillId="13" borderId="19" xfId="0" applyFont="1" applyFill="1" applyBorder="1" applyAlignment="1">
      <alignment horizontal="center" vertical="center" wrapText="1"/>
    </xf>
    <xf numFmtId="0" fontId="21" fillId="13" borderId="22" xfId="0" applyFont="1" applyFill="1" applyBorder="1" applyAlignment="1">
      <alignment horizontal="center" vertical="center" wrapText="1"/>
    </xf>
    <xf numFmtId="0" fontId="21" fillId="13" borderId="19" xfId="0" applyFont="1" applyFill="1" applyBorder="1" applyAlignment="1">
      <alignment horizontal="center" vertical="center" wrapText="1"/>
    </xf>
    <xf numFmtId="0" fontId="21" fillId="13" borderId="21" xfId="0" applyFont="1" applyFill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/>
    </xf>
    <xf numFmtId="0" fontId="7" fillId="13" borderId="1" xfId="0" applyFont="1" applyFill="1" applyBorder="1" applyAlignment="1">
      <alignment horizontal="left" vertical="center"/>
    </xf>
    <xf numFmtId="0" fontId="7" fillId="13" borderId="1" xfId="0" applyFont="1" applyFill="1" applyBorder="1" applyAlignment="1">
      <alignment horizontal="left" vertical="center" wrapText="1"/>
    </xf>
    <xf numFmtId="0" fontId="21" fillId="13" borderId="18" xfId="0" applyFont="1" applyFill="1" applyBorder="1" applyAlignment="1">
      <alignment horizontal="center" vertical="center"/>
    </xf>
    <xf numFmtId="2" fontId="21" fillId="13" borderId="1" xfId="0" applyNumberFormat="1" applyFont="1" applyFill="1" applyBorder="1" applyAlignment="1">
      <alignment horizontal="center" vertical="center"/>
    </xf>
    <xf numFmtId="2" fontId="7" fillId="13" borderId="1" xfId="0" applyNumberFormat="1" applyFont="1" applyFill="1" applyBorder="1" applyAlignment="1">
      <alignment horizontal="left" vertical="center"/>
    </xf>
    <xf numFmtId="0" fontId="21" fillId="13" borderId="1" xfId="0" applyFont="1" applyFill="1" applyBorder="1" applyAlignment="1">
      <alignment horizontal="center" vertical="center"/>
    </xf>
    <xf numFmtId="2" fontId="7" fillId="13" borderId="2" xfId="0" applyNumberFormat="1" applyFont="1" applyFill="1" applyBorder="1" applyAlignment="1">
      <alignment horizontal="left" vertical="center"/>
    </xf>
    <xf numFmtId="0" fontId="21" fillId="13" borderId="19" xfId="0" applyFont="1" applyFill="1" applyBorder="1" applyAlignment="1">
      <alignment horizontal="center" vertical="center"/>
    </xf>
    <xf numFmtId="2" fontId="7" fillId="13" borderId="20" xfId="0" applyNumberFormat="1" applyFont="1" applyFill="1" applyBorder="1" applyAlignment="1">
      <alignment horizontal="left" vertical="center"/>
    </xf>
    <xf numFmtId="2" fontId="7" fillId="13" borderId="20" xfId="0" applyNumberFormat="1" applyFont="1" applyFill="1" applyBorder="1" applyAlignment="1">
      <alignment horizontal="center" vertical="center" wrapText="1"/>
    </xf>
    <xf numFmtId="0" fontId="8" fillId="13" borderId="20" xfId="0" applyFont="1" applyFill="1" applyBorder="1" applyAlignment="1">
      <alignment horizontal="center" vertical="center"/>
    </xf>
    <xf numFmtId="2" fontId="21" fillId="13" borderId="22" xfId="0" applyNumberFormat="1" applyFont="1" applyFill="1" applyBorder="1" applyAlignment="1">
      <alignment horizontal="center" vertical="center"/>
    </xf>
    <xf numFmtId="0" fontId="21" fillId="13" borderId="22" xfId="0" applyFont="1" applyFill="1" applyBorder="1" applyAlignment="1">
      <alignment horizontal="center" vertical="center"/>
    </xf>
    <xf numFmtId="2" fontId="7" fillId="13" borderId="3" xfId="0" applyNumberFormat="1" applyFont="1" applyFill="1" applyBorder="1" applyAlignment="1">
      <alignment horizontal="center" vertical="center" wrapText="1"/>
    </xf>
    <xf numFmtId="0" fontId="21" fillId="13" borderId="21" xfId="0" applyFont="1" applyFill="1" applyBorder="1" applyAlignment="1">
      <alignment horizontal="center" vertical="center"/>
    </xf>
    <xf numFmtId="0" fontId="41" fillId="13" borderId="19" xfId="0" applyFont="1" applyFill="1" applyBorder="1" applyAlignment="1">
      <alignment horizontal="center" vertical="center"/>
    </xf>
    <xf numFmtId="0" fontId="41" fillId="13" borderId="21" xfId="0" applyFont="1" applyFill="1" applyBorder="1" applyAlignment="1">
      <alignment horizontal="center" vertical="center"/>
    </xf>
    <xf numFmtId="1" fontId="21" fillId="13" borderId="19" xfId="0" applyNumberFormat="1" applyFont="1" applyFill="1" applyBorder="1" applyAlignment="1">
      <alignment horizontal="center" vertical="center"/>
    </xf>
    <xf numFmtId="0" fontId="13" fillId="13" borderId="1" xfId="0" applyFont="1" applyFill="1" applyBorder="1" applyAlignment="1">
      <alignment horizontal="center" vertical="center"/>
    </xf>
    <xf numFmtId="0" fontId="25" fillId="13" borderId="18" xfId="0" applyFont="1" applyFill="1" applyBorder="1" applyAlignment="1">
      <alignment horizontal="center" vertical="center" wrapText="1"/>
    </xf>
    <xf numFmtId="0" fontId="25" fillId="13" borderId="18" xfId="0" applyFont="1" applyFill="1" applyBorder="1" applyAlignment="1">
      <alignment horizontal="center" vertical="center"/>
    </xf>
    <xf numFmtId="0" fontId="25" fillId="13" borderId="1" xfId="0" applyFont="1" applyFill="1" applyBorder="1" applyAlignment="1">
      <alignment horizontal="center" vertical="center"/>
    </xf>
    <xf numFmtId="4" fontId="13" fillId="13" borderId="1" xfId="0" applyNumberFormat="1" applyFont="1" applyFill="1" applyBorder="1" applyAlignment="1">
      <alignment horizontal="center" vertical="center"/>
    </xf>
    <xf numFmtId="4" fontId="25" fillId="13" borderId="18" xfId="0" applyNumberFormat="1" applyFont="1" applyFill="1" applyBorder="1" applyAlignment="1">
      <alignment horizontal="center" vertical="center"/>
    </xf>
    <xf numFmtId="4" fontId="25" fillId="13" borderId="1" xfId="0" applyNumberFormat="1" applyFont="1" applyFill="1" applyBorder="1" applyAlignment="1">
      <alignment horizontal="center" vertical="center"/>
    </xf>
    <xf numFmtId="2" fontId="25" fillId="13" borderId="19" xfId="0" applyNumberFormat="1" applyFont="1" applyFill="1" applyBorder="1" applyAlignment="1">
      <alignment horizontal="center" vertical="center"/>
    </xf>
    <xf numFmtId="2" fontId="25" fillId="13" borderId="21" xfId="0" applyNumberFormat="1" applyFont="1" applyFill="1" applyBorder="1" applyAlignment="1">
      <alignment horizontal="center" vertical="center"/>
    </xf>
    <xf numFmtId="4" fontId="25" fillId="13" borderId="19" xfId="0" applyNumberFormat="1" applyFont="1" applyFill="1" applyBorder="1" applyAlignment="1">
      <alignment horizontal="center" vertical="center"/>
    </xf>
    <xf numFmtId="4" fontId="25" fillId="13" borderId="21" xfId="0" applyNumberFormat="1" applyFont="1" applyFill="1" applyBorder="1" applyAlignment="1">
      <alignment horizontal="center" vertical="center"/>
    </xf>
    <xf numFmtId="2" fontId="25" fillId="13" borderId="22" xfId="0" applyNumberFormat="1" applyFont="1" applyFill="1" applyBorder="1" applyAlignment="1">
      <alignment horizontal="center" vertical="center"/>
    </xf>
    <xf numFmtId="2" fontId="25" fillId="13" borderId="22" xfId="0" applyNumberFormat="1" applyFont="1" applyFill="1" applyBorder="1" applyAlignment="1">
      <alignment horizontal="center" vertical="center" wrapText="1"/>
    </xf>
    <xf numFmtId="2" fontId="25" fillId="13" borderId="21" xfId="0" applyNumberFormat="1" applyFont="1" applyFill="1" applyBorder="1" applyAlignment="1">
      <alignment horizontal="center" vertical="center" wrapText="1"/>
    </xf>
    <xf numFmtId="2" fontId="13" fillId="13" borderId="1" xfId="0" applyNumberFormat="1" applyFont="1" applyFill="1" applyBorder="1" applyAlignment="1">
      <alignment horizontal="center" vertical="center"/>
    </xf>
    <xf numFmtId="2" fontId="13" fillId="13" borderId="24" xfId="0" applyNumberFormat="1" applyFont="1" applyFill="1" applyBorder="1" applyAlignment="1">
      <alignment horizontal="center" vertical="center"/>
    </xf>
    <xf numFmtId="2" fontId="25" fillId="13" borderId="18" xfId="0" applyNumberFormat="1" applyFont="1" applyFill="1" applyBorder="1" applyAlignment="1">
      <alignment horizontal="center" vertical="center"/>
    </xf>
    <xf numFmtId="2" fontId="25" fillId="13" borderId="1" xfId="0" applyNumberFormat="1" applyFont="1" applyFill="1" applyBorder="1" applyAlignment="1">
      <alignment horizontal="center" vertical="center"/>
    </xf>
    <xf numFmtId="2" fontId="13" fillId="13" borderId="18" xfId="0" applyNumberFormat="1" applyFont="1" applyFill="1" applyBorder="1" applyAlignment="1">
      <alignment horizontal="center" vertical="center"/>
    </xf>
    <xf numFmtId="4" fontId="25" fillId="13" borderId="18" xfId="0" applyNumberFormat="1" applyFont="1" applyFill="1" applyBorder="1" applyAlignment="1">
      <alignment horizontal="center" vertical="center" wrapText="1"/>
    </xf>
    <xf numFmtId="0" fontId="12" fillId="13" borderId="19" xfId="0" applyFont="1" applyFill="1" applyBorder="1" applyAlignment="1">
      <alignment horizontal="center" vertical="center"/>
    </xf>
    <xf numFmtId="2" fontId="7" fillId="13" borderId="1" xfId="0" applyNumberFormat="1" applyFont="1" applyFill="1" applyBorder="1" applyAlignment="1">
      <alignment horizontal="center" vertical="center"/>
    </xf>
    <xf numFmtId="1" fontId="13" fillId="13" borderId="1" xfId="0" applyNumberFormat="1" applyFont="1" applyFill="1" applyBorder="1" applyAlignment="1">
      <alignment horizontal="center" vertical="center"/>
    </xf>
    <xf numFmtId="168" fontId="12" fillId="13" borderId="0" xfId="0" applyNumberFormat="1" applyFont="1" applyFill="1" applyAlignment="1">
      <alignment horizontal="center"/>
    </xf>
    <xf numFmtId="169" fontId="0" fillId="0" borderId="1" xfId="0" applyNumberFormat="1" applyBorder="1" applyAlignment="1">
      <alignment horizontal="center"/>
    </xf>
    <xf numFmtId="177" fontId="0" fillId="0" borderId="1" xfId="0" applyNumberFormat="1" applyBorder="1" applyAlignment="1">
      <alignment horizontal="center"/>
    </xf>
    <xf numFmtId="2" fontId="0" fillId="13" borderId="0" xfId="0" applyNumberFormat="1" applyFill="1" applyAlignment="1">
      <alignment horizontal="left" vertical="center"/>
    </xf>
    <xf numFmtId="171" fontId="0" fillId="13" borderId="1" xfId="0" applyNumberFormat="1" applyFill="1" applyBorder="1" applyAlignment="1">
      <alignment horizontal="center" vertical="center"/>
    </xf>
    <xf numFmtId="174" fontId="12" fillId="3" borderId="1" xfId="1" applyNumberFormat="1" applyFont="1" applyFill="1" applyBorder="1" applyAlignment="1">
      <alignment horizontal="center" vertical="center"/>
    </xf>
    <xf numFmtId="0" fontId="51" fillId="13" borderId="0" xfId="0" applyFont="1" applyFill="1" applyAlignment="1">
      <alignment horizontal="center"/>
    </xf>
    <xf numFmtId="2" fontId="10" fillId="13" borderId="0" xfId="0" applyNumberFormat="1" applyFont="1" applyFill="1" applyAlignment="1">
      <alignment horizontal="center"/>
    </xf>
    <xf numFmtId="0" fontId="10" fillId="13" borderId="0" xfId="0" applyFont="1" applyFill="1" applyAlignment="1">
      <alignment horizontal="center"/>
    </xf>
    <xf numFmtId="0" fontId="58" fillId="13" borderId="0" xfId="0" applyFont="1" applyFill="1"/>
    <xf numFmtId="170" fontId="59" fillId="13" borderId="0" xfId="0" applyNumberFormat="1" applyFont="1" applyFill="1" applyAlignment="1">
      <alignment horizontal="center" vertical="center"/>
    </xf>
    <xf numFmtId="170" fontId="61" fillId="13" borderId="0" xfId="0" applyNumberFormat="1" applyFont="1" applyFill="1"/>
    <xf numFmtId="170" fontId="59" fillId="13" borderId="0" xfId="0" applyNumberFormat="1" applyFont="1" applyFill="1"/>
    <xf numFmtId="0" fontId="51" fillId="13" borderId="1" xfId="0" applyFont="1" applyFill="1" applyBorder="1" applyAlignment="1">
      <alignment horizontal="center" vertical="center"/>
    </xf>
    <xf numFmtId="2" fontId="51" fillId="13" borderId="1" xfId="0" applyNumberFormat="1" applyFont="1" applyFill="1" applyBorder="1" applyAlignment="1">
      <alignment horizontal="center" vertical="center"/>
    </xf>
    <xf numFmtId="0" fontId="6" fillId="13" borderId="1" xfId="0" applyFont="1" applyFill="1" applyBorder="1" applyAlignment="1">
      <alignment horizontal="center" vertical="center"/>
    </xf>
    <xf numFmtId="0" fontId="50" fillId="13" borderId="1" xfId="0" applyFont="1" applyFill="1" applyBorder="1" applyAlignment="1">
      <alignment horizontal="center"/>
    </xf>
    <xf numFmtId="0" fontId="49" fillId="13" borderId="1" xfId="0" applyFont="1" applyFill="1" applyBorder="1"/>
    <xf numFmtId="0" fontId="15" fillId="13" borderId="1" xfId="0" applyFont="1" applyFill="1" applyBorder="1" applyAlignment="1">
      <alignment horizontal="center"/>
    </xf>
    <xf numFmtId="0" fontId="15" fillId="13" borderId="1" xfId="0" applyFont="1" applyFill="1" applyBorder="1"/>
    <xf numFmtId="0" fontId="12" fillId="13" borderId="1" xfId="0" applyFont="1" applyFill="1" applyBorder="1"/>
    <xf numFmtId="164" fontId="8" fillId="13" borderId="1" xfId="0" applyNumberFormat="1" applyFont="1" applyFill="1" applyBorder="1" applyAlignment="1">
      <alignment horizontal="center"/>
    </xf>
    <xf numFmtId="2" fontId="0" fillId="13" borderId="3" xfId="0" applyNumberFormat="1" applyFill="1" applyBorder="1" applyAlignment="1">
      <alignment horizontal="center"/>
    </xf>
    <xf numFmtId="0" fontId="9" fillId="13" borderId="1" xfId="1" applyFont="1" applyFill="1" applyBorder="1" applyAlignment="1">
      <alignment horizontal="center"/>
    </xf>
    <xf numFmtId="174" fontId="10" fillId="13" borderId="1" xfId="1" applyNumberFormat="1" applyFont="1" applyFill="1" applyBorder="1" applyAlignment="1">
      <alignment horizontal="center" vertical="center"/>
    </xf>
    <xf numFmtId="169" fontId="10" fillId="13" borderId="1" xfId="1" applyNumberFormat="1" applyFont="1" applyFill="1" applyBorder="1" applyAlignment="1">
      <alignment horizontal="center"/>
    </xf>
    <xf numFmtId="0" fontId="10" fillId="13" borderId="1" xfId="1" applyFont="1" applyFill="1" applyBorder="1" applyAlignment="1">
      <alignment horizontal="center"/>
    </xf>
    <xf numFmtId="2" fontId="10" fillId="13" borderId="1" xfId="1" applyNumberFormat="1" applyFont="1" applyFill="1" applyBorder="1" applyAlignment="1">
      <alignment horizontal="center"/>
    </xf>
    <xf numFmtId="11" fontId="10" fillId="13" borderId="1" xfId="1" applyNumberFormat="1" applyFont="1" applyFill="1" applyBorder="1" applyAlignment="1">
      <alignment horizontal="center"/>
    </xf>
    <xf numFmtId="164" fontId="10" fillId="13" borderId="1" xfId="1" applyNumberFormat="1" applyFont="1" applyFill="1" applyBorder="1" applyAlignment="1">
      <alignment horizontal="center"/>
    </xf>
    <xf numFmtId="11" fontId="9" fillId="13" borderId="1" xfId="1" applyNumberFormat="1" applyFont="1" applyFill="1" applyBorder="1" applyAlignment="1">
      <alignment horizontal="center" vertical="center"/>
    </xf>
    <xf numFmtId="169" fontId="9" fillId="13" borderId="1" xfId="1" applyNumberFormat="1" applyFont="1" applyFill="1" applyBorder="1" applyAlignment="1">
      <alignment horizontal="center"/>
    </xf>
    <xf numFmtId="2" fontId="9" fillId="13" borderId="1" xfId="1" applyNumberFormat="1" applyFont="1" applyFill="1" applyBorder="1" applyAlignment="1">
      <alignment horizontal="center"/>
    </xf>
    <xf numFmtId="11" fontId="9" fillId="13" borderId="1" xfId="1" applyNumberFormat="1" applyFont="1" applyFill="1" applyBorder="1" applyAlignment="1">
      <alignment horizontal="center"/>
    </xf>
    <xf numFmtId="164" fontId="9" fillId="13" borderId="1" xfId="1" applyNumberFormat="1" applyFont="1" applyFill="1" applyBorder="1" applyAlignment="1">
      <alignment horizontal="center"/>
    </xf>
    <xf numFmtId="173" fontId="12" fillId="13" borderId="1" xfId="1" applyNumberFormat="1" applyFont="1" applyFill="1" applyBorder="1" applyAlignment="1">
      <alignment horizontal="center" vertical="center"/>
    </xf>
    <xf numFmtId="169" fontId="12" fillId="13" borderId="1" xfId="1" applyNumberFormat="1" applyFont="1" applyFill="1" applyBorder="1" applyAlignment="1">
      <alignment horizontal="center"/>
    </xf>
    <xf numFmtId="0" fontId="46" fillId="13" borderId="32" xfId="1" applyFill="1" applyBorder="1" applyAlignment="1">
      <alignment horizontal="center"/>
    </xf>
    <xf numFmtId="10" fontId="46" fillId="13" borderId="32" xfId="1" applyNumberFormat="1" applyFill="1" applyBorder="1" applyAlignment="1">
      <alignment horizontal="center"/>
    </xf>
    <xf numFmtId="2" fontId="46" fillId="13" borderId="32" xfId="1" applyNumberFormat="1" applyFill="1" applyBorder="1" applyAlignment="1">
      <alignment horizontal="center"/>
    </xf>
    <xf numFmtId="171" fontId="46" fillId="13" borderId="32" xfId="1" applyNumberFormat="1" applyFill="1" applyBorder="1" applyAlignment="1">
      <alignment horizontal="center"/>
    </xf>
    <xf numFmtId="0" fontId="51" fillId="13" borderId="25" xfId="1" applyFont="1" applyFill="1" applyBorder="1"/>
    <xf numFmtId="0" fontId="51" fillId="13" borderId="16" xfId="1" applyFont="1" applyFill="1" applyBorder="1"/>
    <xf numFmtId="0" fontId="51" fillId="13" borderId="26" xfId="1" applyFont="1" applyFill="1" applyBorder="1"/>
    <xf numFmtId="0" fontId="51" fillId="13" borderId="16" xfId="1" applyFont="1" applyFill="1" applyBorder="1" applyAlignment="1">
      <alignment horizontal="center"/>
    </xf>
    <xf numFmtId="169" fontId="51" fillId="13" borderId="31" xfId="1" applyNumberFormat="1" applyFont="1" applyFill="1" applyBorder="1"/>
    <xf numFmtId="0" fontId="6" fillId="13" borderId="1" xfId="1" applyFont="1" applyFill="1" applyBorder="1" applyAlignment="1">
      <alignment horizontal="center"/>
    </xf>
    <xf numFmtId="170" fontId="10" fillId="13" borderId="1" xfId="1" applyNumberFormat="1" applyFont="1" applyFill="1" applyBorder="1" applyAlignment="1">
      <alignment horizontal="center" vertical="center"/>
    </xf>
    <xf numFmtId="171" fontId="10" fillId="13" borderId="1" xfId="1" applyNumberFormat="1" applyFont="1" applyFill="1" applyBorder="1" applyAlignment="1">
      <alignment horizontal="center" vertical="center"/>
    </xf>
    <xf numFmtId="2" fontId="6" fillId="13" borderId="1" xfId="1" applyNumberFormat="1" applyFont="1" applyFill="1" applyBorder="1" applyAlignment="1">
      <alignment horizontal="center" vertical="center"/>
    </xf>
    <xf numFmtId="169" fontId="6" fillId="13" borderId="1" xfId="1" applyNumberFormat="1" applyFont="1" applyFill="1" applyBorder="1" applyAlignment="1">
      <alignment horizontal="center"/>
    </xf>
    <xf numFmtId="2" fontId="6" fillId="13" borderId="1" xfId="1" applyNumberFormat="1" applyFont="1" applyFill="1" applyBorder="1" applyAlignment="1">
      <alignment horizontal="center"/>
    </xf>
    <xf numFmtId="11" fontId="6" fillId="13" borderId="1" xfId="1" applyNumberFormat="1" applyFont="1" applyFill="1" applyBorder="1" applyAlignment="1">
      <alignment horizontal="center"/>
    </xf>
    <xf numFmtId="164" fontId="6" fillId="13" borderId="1" xfId="1" applyNumberFormat="1" applyFont="1" applyFill="1" applyBorder="1" applyAlignment="1">
      <alignment horizontal="center"/>
    </xf>
    <xf numFmtId="0" fontId="51" fillId="13" borderId="0" xfId="1" applyFont="1" applyFill="1"/>
    <xf numFmtId="0" fontId="51" fillId="13" borderId="32" xfId="1" applyFont="1" applyFill="1" applyBorder="1" applyAlignment="1">
      <alignment horizontal="center"/>
    </xf>
    <xf numFmtId="10" fontId="51" fillId="13" borderId="32" xfId="1" applyNumberFormat="1" applyFont="1" applyFill="1" applyBorder="1" applyAlignment="1">
      <alignment horizontal="center"/>
    </xf>
    <xf numFmtId="2" fontId="51" fillId="13" borderId="32" xfId="1" applyNumberFormat="1" applyFont="1" applyFill="1" applyBorder="1" applyAlignment="1">
      <alignment horizontal="center"/>
    </xf>
    <xf numFmtId="171" fontId="51" fillId="13" borderId="32" xfId="1" applyNumberFormat="1" applyFont="1" applyFill="1" applyBorder="1" applyAlignment="1">
      <alignment horizontal="center"/>
    </xf>
    <xf numFmtId="11" fontId="6" fillId="13" borderId="1" xfId="1" applyNumberFormat="1" applyFont="1" applyFill="1" applyBorder="1" applyAlignment="1">
      <alignment horizontal="center" vertical="center"/>
    </xf>
    <xf numFmtId="0" fontId="3" fillId="13" borderId="0" xfId="1" applyFont="1" applyFill="1"/>
    <xf numFmtId="0" fontId="3" fillId="13" borderId="32" xfId="1" applyFont="1" applyFill="1" applyBorder="1" applyAlignment="1">
      <alignment horizontal="center"/>
    </xf>
    <xf numFmtId="10" fontId="3" fillId="13" borderId="32" xfId="1" applyNumberFormat="1" applyFont="1" applyFill="1" applyBorder="1" applyAlignment="1">
      <alignment horizontal="center"/>
    </xf>
    <xf numFmtId="2" fontId="3" fillId="13" borderId="32" xfId="1" applyNumberFormat="1" applyFont="1" applyFill="1" applyBorder="1" applyAlignment="1">
      <alignment horizontal="center"/>
    </xf>
    <xf numFmtId="171" fontId="10" fillId="13" borderId="1" xfId="1" applyNumberFormat="1" applyFont="1" applyFill="1" applyBorder="1" applyAlignment="1">
      <alignment horizontal="center"/>
    </xf>
    <xf numFmtId="168" fontId="46" fillId="13" borderId="32" xfId="1" applyNumberFormat="1" applyFill="1" applyBorder="1" applyAlignment="1">
      <alignment horizontal="center"/>
    </xf>
    <xf numFmtId="168" fontId="3" fillId="13" borderId="32" xfId="1" applyNumberFormat="1" applyFont="1" applyFill="1" applyBorder="1" applyAlignment="1">
      <alignment horizontal="center"/>
    </xf>
    <xf numFmtId="2" fontId="38" fillId="2" borderId="34" xfId="1" applyNumberFormat="1" applyFont="1" applyFill="1" applyBorder="1" applyAlignment="1">
      <alignment horizontal="right"/>
    </xf>
    <xf numFmtId="0" fontId="8" fillId="0" borderId="1" xfId="0" applyFont="1" applyBorder="1" applyAlignment="1">
      <alignment horizontal="center"/>
    </xf>
    <xf numFmtId="0" fontId="53" fillId="0" borderId="1" xfId="0" applyFont="1" applyBorder="1" applyAlignment="1">
      <alignment horizontal="center" vertical="center"/>
    </xf>
    <xf numFmtId="0" fontId="8" fillId="13" borderId="1" xfId="0" applyFont="1" applyFill="1" applyBorder="1" applyAlignment="1">
      <alignment horizontal="center" vertical="center"/>
    </xf>
    <xf numFmtId="0" fontId="0" fillId="13" borderId="1" xfId="0" applyFill="1" applyBorder="1" applyAlignment="1">
      <alignment horizontal="center" vertical="center"/>
    </xf>
    <xf numFmtId="0" fontId="8" fillId="13" borderId="0" xfId="0" applyFont="1" applyFill="1" applyAlignment="1">
      <alignment horizontal="center"/>
    </xf>
    <xf numFmtId="0" fontId="13" fillId="2" borderId="1" xfId="0" applyFont="1" applyFill="1" applyBorder="1" applyAlignment="1">
      <alignment horizontal="center" vertical="center" wrapText="1"/>
    </xf>
    <xf numFmtId="0" fontId="15" fillId="2" borderId="1" xfId="0" applyFont="1" applyFill="1" applyBorder="1" applyAlignment="1">
      <alignment horizontal="center"/>
    </xf>
    <xf numFmtId="1" fontId="13" fillId="2" borderId="1" xfId="0" applyNumberFormat="1" applyFont="1" applyFill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8" fillId="13" borderId="1" xfId="0" applyFont="1" applyFill="1" applyBorder="1" applyAlignment="1">
      <alignment horizontal="center"/>
    </xf>
    <xf numFmtId="0" fontId="9" fillId="13" borderId="1" xfId="0" applyFont="1" applyFill="1" applyBorder="1" applyAlignment="1">
      <alignment horizontal="center"/>
    </xf>
    <xf numFmtId="0" fontId="0" fillId="13" borderId="1" xfId="0" applyFill="1" applyBorder="1" applyAlignment="1">
      <alignment horizontal="center"/>
    </xf>
    <xf numFmtId="2" fontId="0" fillId="13" borderId="1" xfId="0" applyNumberFormat="1" applyFill="1" applyBorder="1" applyAlignment="1">
      <alignment horizontal="center" vertical="center"/>
    </xf>
    <xf numFmtId="0" fontId="9" fillId="13" borderId="3" xfId="1" applyFont="1" applyFill="1" applyBorder="1" applyAlignment="1">
      <alignment horizontal="center" vertical="center" wrapText="1"/>
    </xf>
    <xf numFmtId="0" fontId="21" fillId="13" borderId="3" xfId="0" applyFont="1" applyFill="1" applyBorder="1" applyAlignment="1">
      <alignment horizontal="center" vertical="center" wrapText="1"/>
    </xf>
    <xf numFmtId="0" fontId="7" fillId="13" borderId="2" xfId="0" applyFont="1" applyFill="1" applyBorder="1" applyAlignment="1">
      <alignment horizontal="center" vertical="center" wrapText="1"/>
    </xf>
    <xf numFmtId="0" fontId="7" fillId="13" borderId="20" xfId="0" applyFont="1" applyFill="1" applyBorder="1" applyAlignment="1">
      <alignment horizontal="center" vertical="center" wrapText="1"/>
    </xf>
    <xf numFmtId="0" fontId="7" fillId="13" borderId="3" xfId="0" applyFont="1" applyFill="1" applyBorder="1" applyAlignment="1">
      <alignment horizontal="center" vertical="center" wrapText="1"/>
    </xf>
    <xf numFmtId="2" fontId="21" fillId="13" borderId="2" xfId="0" applyNumberFormat="1" applyFont="1" applyFill="1" applyBorder="1" applyAlignment="1">
      <alignment horizontal="center" vertical="center" wrapText="1"/>
    </xf>
    <xf numFmtId="2" fontId="21" fillId="13" borderId="3" xfId="0" applyNumberFormat="1" applyFont="1" applyFill="1" applyBorder="1" applyAlignment="1">
      <alignment horizontal="center" vertical="center" wrapText="1"/>
    </xf>
    <xf numFmtId="0" fontId="21" fillId="13" borderId="2" xfId="0" applyFont="1" applyFill="1" applyBorder="1" applyAlignment="1">
      <alignment horizontal="center" vertical="center" wrapText="1"/>
    </xf>
    <xf numFmtId="2" fontId="13" fillId="13" borderId="2" xfId="0" applyNumberFormat="1" applyFont="1" applyFill="1" applyBorder="1" applyAlignment="1">
      <alignment horizontal="center" vertical="center"/>
    </xf>
    <xf numFmtId="2" fontId="13" fillId="13" borderId="3" xfId="0" applyNumberFormat="1" applyFont="1" applyFill="1" applyBorder="1" applyAlignment="1">
      <alignment horizontal="center" vertical="center"/>
    </xf>
    <xf numFmtId="2" fontId="7" fillId="13" borderId="3" xfId="0" applyNumberFormat="1" applyFont="1" applyFill="1" applyBorder="1" applyAlignment="1">
      <alignment horizontal="center" vertical="center"/>
    </xf>
    <xf numFmtId="0" fontId="46" fillId="13" borderId="0" xfId="1" applyFill="1" applyAlignment="1">
      <alignment horizontal="center"/>
    </xf>
    <xf numFmtId="0" fontId="10" fillId="3" borderId="18" xfId="1" applyFont="1" applyFill="1" applyBorder="1" applyAlignment="1">
      <alignment horizontal="left"/>
    </xf>
    <xf numFmtId="0" fontId="10" fillId="3" borderId="24" xfId="1" applyFont="1" applyFill="1" applyBorder="1" applyAlignment="1">
      <alignment horizontal="left"/>
    </xf>
    <xf numFmtId="0" fontId="10" fillId="3" borderId="43" xfId="1" applyFont="1" applyFill="1" applyBorder="1" applyAlignment="1">
      <alignment horizontal="left"/>
    </xf>
    <xf numFmtId="0" fontId="0" fillId="16" borderId="1" xfId="0" applyFill="1" applyBorder="1" applyAlignment="1">
      <alignment horizontal="center" vertical="center"/>
    </xf>
    <xf numFmtId="3" fontId="6" fillId="16" borderId="1" xfId="0" quotePrefix="1" applyNumberFormat="1" applyFont="1" applyFill="1" applyBorder="1" applyAlignment="1">
      <alignment horizontal="center" vertical="center"/>
    </xf>
    <xf numFmtId="164" fontId="6" fillId="16" borderId="1" xfId="0" quotePrefix="1" applyNumberFormat="1" applyFont="1" applyFill="1" applyBorder="1" applyAlignment="1">
      <alignment horizontal="center" vertical="center"/>
    </xf>
    <xf numFmtId="0" fontId="6" fillId="16" borderId="1" xfId="0" quotePrefix="1" applyFont="1" applyFill="1" applyBorder="1" applyAlignment="1">
      <alignment horizontal="center" vertical="center"/>
    </xf>
    <xf numFmtId="49" fontId="53" fillId="17" borderId="1" xfId="0" applyNumberFormat="1" applyFont="1" applyFill="1" applyBorder="1" applyAlignment="1">
      <alignment horizontal="center" vertical="center"/>
    </xf>
    <xf numFmtId="176" fontId="6" fillId="16" borderId="1" xfId="0" applyNumberFormat="1" applyFont="1" applyFill="1" applyBorder="1" applyAlignment="1">
      <alignment horizontal="center" vertical="center"/>
    </xf>
    <xf numFmtId="0" fontId="6" fillId="16" borderId="1" xfId="0" applyFont="1" applyFill="1" applyBorder="1" applyAlignment="1">
      <alignment horizontal="center" vertical="center"/>
    </xf>
    <xf numFmtId="164" fontId="6" fillId="16" borderId="1" xfId="0" applyNumberFormat="1" applyFont="1" applyFill="1" applyBorder="1" applyAlignment="1">
      <alignment horizontal="center" vertical="center"/>
    </xf>
    <xf numFmtId="175" fontId="6" fillId="16" borderId="1" xfId="2" applyNumberFormat="1" applyFont="1" applyFill="1" applyBorder="1" applyAlignment="1" applyProtection="1">
      <alignment horizontal="center" vertical="center"/>
    </xf>
    <xf numFmtId="0" fontId="0" fillId="16" borderId="1" xfId="2" applyNumberFormat="1" applyFont="1" applyFill="1" applyBorder="1" applyAlignment="1" applyProtection="1">
      <alignment horizontal="center" vertical="center"/>
    </xf>
    <xf numFmtId="175" fontId="0" fillId="16" borderId="1" xfId="2" applyNumberFormat="1" applyFont="1" applyFill="1" applyBorder="1" applyAlignment="1" applyProtection="1">
      <alignment horizontal="center" vertical="center"/>
    </xf>
    <xf numFmtId="0" fontId="64" fillId="0" borderId="14" xfId="0" applyFont="1" applyBorder="1" applyAlignment="1">
      <alignment horizontal="center" vertical="center" wrapText="1"/>
    </xf>
    <xf numFmtId="0" fontId="64" fillId="0" borderId="42" xfId="0" applyFont="1" applyBorder="1" applyAlignment="1">
      <alignment vertical="center" wrapText="1"/>
    </xf>
    <xf numFmtId="2" fontId="0" fillId="16" borderId="3" xfId="0" applyNumberFormat="1" applyFill="1" applyBorder="1" applyAlignment="1">
      <alignment horizontal="center"/>
    </xf>
    <xf numFmtId="2" fontId="0" fillId="16" borderId="1" xfId="0" applyNumberFormat="1" applyFill="1" applyBorder="1" applyAlignment="1">
      <alignment horizontal="center"/>
    </xf>
    <xf numFmtId="2" fontId="0" fillId="18" borderId="1" xfId="0" applyNumberFormat="1" applyFill="1" applyBorder="1" applyAlignment="1">
      <alignment horizontal="center" vertical="center"/>
    </xf>
    <xf numFmtId="2" fontId="0" fillId="18" borderId="1" xfId="0" applyNumberFormat="1" applyFill="1" applyBorder="1" applyAlignment="1">
      <alignment horizontal="center"/>
    </xf>
    <xf numFmtId="2" fontId="6" fillId="16" borderId="0" xfId="0" applyNumberFormat="1" applyFont="1" applyFill="1" applyAlignment="1">
      <alignment horizontal="center" vertical="center"/>
    </xf>
    <xf numFmtId="171" fontId="6" fillId="16" borderId="0" xfId="0" applyNumberFormat="1" applyFont="1" applyFill="1" applyAlignment="1">
      <alignment horizontal="center" vertical="center"/>
    </xf>
    <xf numFmtId="2" fontId="6" fillId="16" borderId="1" xfId="0" applyNumberFormat="1" applyFont="1" applyFill="1" applyBorder="1" applyAlignment="1">
      <alignment horizontal="center" vertical="center"/>
    </xf>
    <xf numFmtId="0" fontId="6" fillId="3" borderId="0" xfId="0" applyFont="1" applyFill="1"/>
    <xf numFmtId="164" fontId="0" fillId="3" borderId="26" xfId="0" applyNumberFormat="1" applyFill="1" applyBorder="1"/>
    <xf numFmtId="170" fontId="10" fillId="13" borderId="1" xfId="1" applyNumberFormat="1" applyFont="1" applyFill="1" applyBorder="1" applyAlignment="1">
      <alignment horizontal="center"/>
    </xf>
    <xf numFmtId="166" fontId="46" fillId="2" borderId="34" xfId="1" applyNumberFormat="1" applyFill="1" applyBorder="1" applyAlignment="1">
      <alignment horizontal="right"/>
    </xf>
    <xf numFmtId="2" fontId="0" fillId="3" borderId="27" xfId="0" applyNumberFormat="1" applyFill="1" applyBorder="1"/>
    <xf numFmtId="2" fontId="0" fillId="3" borderId="26" xfId="0" applyNumberFormat="1" applyFill="1" applyBorder="1"/>
    <xf numFmtId="2" fontId="0" fillId="3" borderId="29" xfId="0" applyNumberFormat="1" applyFill="1" applyBorder="1"/>
    <xf numFmtId="171" fontId="10" fillId="3" borderId="1" xfId="1" applyNumberFormat="1" applyFont="1" applyFill="1" applyBorder="1" applyAlignment="1">
      <alignment horizontal="center"/>
    </xf>
    <xf numFmtId="2" fontId="46" fillId="2" borderId="34" xfId="1" applyNumberFormat="1" applyFill="1" applyBorder="1" applyAlignment="1">
      <alignment horizontal="right"/>
    </xf>
    <xf numFmtId="170" fontId="46" fillId="2" borderId="34" xfId="1" applyNumberFormat="1" applyFill="1" applyBorder="1" applyAlignment="1">
      <alignment horizontal="right"/>
    </xf>
    <xf numFmtId="171" fontId="46" fillId="2" borderId="34" xfId="1" applyNumberFormat="1" applyFill="1" applyBorder="1" applyAlignment="1">
      <alignment horizontal="right"/>
    </xf>
    <xf numFmtId="169" fontId="46" fillId="2" borderId="34" xfId="1" applyNumberFormat="1" applyFill="1" applyBorder="1" applyAlignment="1">
      <alignment horizontal="right"/>
    </xf>
    <xf numFmtId="0" fontId="6" fillId="3" borderId="0" xfId="0" applyFont="1" applyFill="1" applyAlignment="1">
      <alignment horizontal="right"/>
    </xf>
    <xf numFmtId="169" fontId="12" fillId="3" borderId="26" xfId="0" applyNumberFormat="1" applyFont="1" applyFill="1" applyBorder="1"/>
    <xf numFmtId="164" fontId="12" fillId="3" borderId="26" xfId="0" applyNumberFormat="1" applyFont="1" applyFill="1" applyBorder="1"/>
    <xf numFmtId="0" fontId="9" fillId="13" borderId="1" xfId="1" applyFont="1" applyFill="1" applyBorder="1" applyAlignment="1">
      <alignment horizontal="center" vertical="center" wrapText="1"/>
    </xf>
    <xf numFmtId="2" fontId="38" fillId="13" borderId="0" xfId="1" applyNumberFormat="1" applyFont="1" applyFill="1"/>
    <xf numFmtId="0" fontId="38" fillId="13" borderId="32" xfId="1" applyFont="1" applyFill="1" applyBorder="1" applyAlignment="1">
      <alignment horizontal="center"/>
    </xf>
    <xf numFmtId="10" fontId="38" fillId="13" borderId="32" xfId="1" applyNumberFormat="1" applyFont="1" applyFill="1" applyBorder="1" applyAlignment="1">
      <alignment horizontal="center"/>
    </xf>
    <xf numFmtId="2" fontId="38" fillId="13" borderId="32" xfId="1" applyNumberFormat="1" applyFont="1" applyFill="1" applyBorder="1" applyAlignment="1">
      <alignment horizontal="center"/>
    </xf>
    <xf numFmtId="171" fontId="38" fillId="13" borderId="32" xfId="1" applyNumberFormat="1" applyFont="1" applyFill="1" applyBorder="1" applyAlignment="1">
      <alignment horizontal="center"/>
    </xf>
    <xf numFmtId="171" fontId="0" fillId="3" borderId="26" xfId="0" applyNumberFormat="1" applyFill="1" applyBorder="1"/>
    <xf numFmtId="0" fontId="9" fillId="13" borderId="0" xfId="1" applyFont="1" applyFill="1" applyAlignment="1">
      <alignment horizontal="center"/>
    </xf>
    <xf numFmtId="2" fontId="46" fillId="13" borderId="0" xfId="1" applyNumberFormat="1" applyFill="1" applyAlignment="1">
      <alignment horizontal="right"/>
    </xf>
    <xf numFmtId="0" fontId="9" fillId="13" borderId="0" xfId="1" applyFont="1" applyFill="1" applyAlignment="1">
      <alignment horizontal="left"/>
    </xf>
    <xf numFmtId="2" fontId="0" fillId="3" borderId="0" xfId="0" applyNumberFormat="1" applyFill="1"/>
    <xf numFmtId="4" fontId="0" fillId="3" borderId="0" xfId="0" applyNumberFormat="1" applyFill="1"/>
    <xf numFmtId="1" fontId="0" fillId="3" borderId="0" xfId="0" applyNumberFormat="1" applyFill="1"/>
    <xf numFmtId="166" fontId="10" fillId="3" borderId="1" xfId="1" applyNumberFormat="1" applyFont="1" applyFill="1" applyBorder="1" applyAlignment="1">
      <alignment horizontal="center"/>
    </xf>
    <xf numFmtId="1" fontId="0" fillId="3" borderId="26" xfId="0" applyNumberFormat="1" applyFill="1" applyBorder="1"/>
    <xf numFmtId="1" fontId="0" fillId="3" borderId="29" xfId="0" applyNumberFormat="1" applyFill="1" applyBorder="1"/>
    <xf numFmtId="170" fontId="0" fillId="3" borderId="26" xfId="0" applyNumberFormat="1" applyFill="1" applyBorder="1"/>
    <xf numFmtId="0" fontId="0" fillId="3" borderId="14" xfId="0" applyFill="1" applyBorder="1"/>
    <xf numFmtId="1" fontId="38" fillId="2" borderId="34" xfId="1" applyNumberFormat="1" applyFont="1" applyFill="1" applyBorder="1" applyAlignment="1">
      <alignment horizontal="right"/>
    </xf>
    <xf numFmtId="1" fontId="38" fillId="13" borderId="0" xfId="1" applyNumberFormat="1" applyFont="1" applyFill="1" applyAlignment="1">
      <alignment horizontal="right"/>
    </xf>
    <xf numFmtId="0" fontId="0" fillId="3" borderId="26" xfId="0" applyFill="1" applyBorder="1" applyAlignment="1">
      <alignment horizontal="center" vertical="center"/>
    </xf>
    <xf numFmtId="9" fontId="30" fillId="3" borderId="0" xfId="2" applyFont="1" applyFill="1" applyProtection="1"/>
    <xf numFmtId="0" fontId="6" fillId="0" borderId="0" xfId="0" applyFont="1"/>
    <xf numFmtId="0" fontId="62" fillId="13" borderId="0" xfId="0" applyFont="1" applyFill="1" applyAlignment="1">
      <alignment horizontal="left" vertical="center"/>
    </xf>
    <xf numFmtId="0" fontId="0" fillId="13" borderId="50" xfId="0" applyFill="1" applyBorder="1"/>
    <xf numFmtId="0" fontId="0" fillId="13" borderId="23" xfId="0" applyFill="1" applyBorder="1"/>
    <xf numFmtId="0" fontId="0" fillId="13" borderId="49" xfId="0" applyFill="1" applyBorder="1"/>
    <xf numFmtId="0" fontId="0" fillId="13" borderId="35" xfId="0" applyFill="1" applyBorder="1" applyAlignment="1">
      <alignment horizontal="center" vertical="center"/>
    </xf>
    <xf numFmtId="0" fontId="0" fillId="13" borderId="48" xfId="0" applyFill="1" applyBorder="1"/>
    <xf numFmtId="0" fontId="62" fillId="13" borderId="0" xfId="0" applyFont="1" applyFill="1" applyAlignment="1">
      <alignment horizontal="center" vertical="center"/>
    </xf>
    <xf numFmtId="0" fontId="34" fillId="13" borderId="0" xfId="1" applyFont="1" applyFill="1" applyAlignment="1">
      <alignment horizontal="center"/>
    </xf>
    <xf numFmtId="0" fontId="10" fillId="13" borderId="0" xfId="1" applyFont="1" applyFill="1" applyAlignment="1">
      <alignment horizontal="center"/>
    </xf>
    <xf numFmtId="0" fontId="46" fillId="3" borderId="0" xfId="1" applyFill="1" applyAlignment="1">
      <alignment horizontal="center"/>
    </xf>
    <xf numFmtId="0" fontId="10" fillId="3" borderId="0" xfId="1" applyFont="1" applyFill="1" applyAlignment="1">
      <alignment horizontal="center"/>
    </xf>
    <xf numFmtId="0" fontId="38" fillId="13" borderId="0" xfId="1" applyFont="1" applyFill="1" applyAlignment="1">
      <alignment horizontal="center"/>
    </xf>
    <xf numFmtId="0" fontId="62" fillId="13" borderId="0" xfId="0" applyFont="1" applyFill="1" applyAlignment="1">
      <alignment vertical="center"/>
    </xf>
    <xf numFmtId="0" fontId="46" fillId="0" borderId="0" xfId="1" applyAlignment="1">
      <alignment horizontal="center"/>
    </xf>
    <xf numFmtId="0" fontId="2" fillId="0" borderId="0" xfId="6"/>
    <xf numFmtId="0" fontId="2" fillId="0" borderId="1" xfId="6" applyBorder="1" applyAlignment="1" applyProtection="1">
      <alignment horizontal="center" vertical="center" wrapText="1"/>
      <protection locked="0"/>
    </xf>
    <xf numFmtId="14" fontId="2" fillId="0" borderId="1" xfId="6" applyNumberFormat="1" applyBorder="1" applyAlignment="1" applyProtection="1">
      <alignment horizontal="center" vertical="center" wrapText="1"/>
      <protection locked="0"/>
    </xf>
    <xf numFmtId="0" fontId="2" fillId="0" borderId="1" xfId="6" applyBorder="1" applyAlignment="1" applyProtection="1">
      <alignment wrapText="1"/>
      <protection locked="0"/>
    </xf>
    <xf numFmtId="2" fontId="6" fillId="16" borderId="1" xfId="0" applyNumberFormat="1" applyFont="1" applyFill="1" applyBorder="1" applyAlignment="1">
      <alignment horizontal="center"/>
    </xf>
    <xf numFmtId="0" fontId="61" fillId="13" borderId="0" xfId="0" applyFont="1" applyFill="1"/>
    <xf numFmtId="0" fontId="0" fillId="20" borderId="0" xfId="0" applyFill="1"/>
    <xf numFmtId="14" fontId="0" fillId="0" borderId="0" xfId="0" applyNumberFormat="1"/>
    <xf numFmtId="0" fontId="68" fillId="0" borderId="0" xfId="0" applyFont="1" applyAlignment="1">
      <alignment horizontal="center"/>
    </xf>
    <xf numFmtId="2" fontId="0" fillId="13" borderId="0" xfId="0" applyNumberFormat="1" applyFill="1"/>
    <xf numFmtId="10" fontId="0" fillId="13" borderId="0" xfId="2" applyNumberFormat="1" applyFont="1" applyFill="1" applyProtection="1"/>
    <xf numFmtId="0" fontId="8" fillId="22" borderId="1" xfId="0" applyFont="1" applyFill="1" applyBorder="1" applyAlignment="1">
      <alignment horizontal="center" vertical="center"/>
    </xf>
    <xf numFmtId="0" fontId="8" fillId="22" borderId="8" xfId="0" applyFont="1" applyFill="1" applyBorder="1" applyAlignment="1">
      <alignment horizontal="center" vertical="center"/>
    </xf>
    <xf numFmtId="0" fontId="6" fillId="22" borderId="1" xfId="0" applyFont="1" applyFill="1" applyBorder="1" applyAlignment="1">
      <alignment horizontal="center" vertical="center"/>
    </xf>
    <xf numFmtId="2" fontId="0" fillId="22" borderId="1" xfId="0" applyNumberFormat="1" applyFill="1" applyBorder="1" applyAlignment="1">
      <alignment horizontal="center" vertical="center"/>
    </xf>
    <xf numFmtId="164" fontId="0" fillId="22" borderId="1" xfId="0" applyNumberFormat="1" applyFill="1" applyBorder="1" applyAlignment="1">
      <alignment horizontal="center" vertical="center"/>
    </xf>
    <xf numFmtId="2" fontId="0" fillId="22" borderId="8" xfId="0" applyNumberFormat="1" applyFill="1" applyBorder="1" applyAlignment="1">
      <alignment horizontal="center" vertical="center"/>
    </xf>
    <xf numFmtId="0" fontId="0" fillId="22" borderId="1" xfId="0" applyFill="1" applyBorder="1" applyAlignment="1">
      <alignment horizontal="center" vertical="center"/>
    </xf>
    <xf numFmtId="1" fontId="0" fillId="22" borderId="1" xfId="0" applyNumberFormat="1" applyFill="1" applyBorder="1" applyAlignment="1">
      <alignment horizontal="center" vertical="center"/>
    </xf>
    <xf numFmtId="0" fontId="6" fillId="22" borderId="11" xfId="0" applyFont="1" applyFill="1" applyBorder="1" applyAlignment="1">
      <alignment horizontal="center" vertical="center"/>
    </xf>
    <xf numFmtId="2" fontId="0" fillId="22" borderId="11" xfId="0" applyNumberFormat="1" applyFill="1" applyBorder="1" applyAlignment="1">
      <alignment horizontal="center" vertical="center"/>
    </xf>
    <xf numFmtId="175" fontId="0" fillId="22" borderId="11" xfId="2" applyNumberFormat="1" applyFont="1" applyFill="1" applyBorder="1" applyAlignment="1" applyProtection="1">
      <alignment horizontal="center" vertical="center"/>
    </xf>
    <xf numFmtId="2" fontId="0" fillId="22" borderId="9" xfId="0" applyNumberFormat="1" applyFill="1" applyBorder="1" applyAlignment="1">
      <alignment horizontal="center" vertical="center"/>
    </xf>
    <xf numFmtId="0" fontId="6" fillId="13" borderId="0" xfId="0" applyFont="1" applyFill="1" applyAlignment="1">
      <alignment horizontal="right" vertical="center"/>
    </xf>
    <xf numFmtId="0" fontId="0" fillId="0" borderId="0" xfId="0" applyAlignment="1" applyProtection="1">
      <alignment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171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 applyProtection="1">
      <alignment horizontal="center" vertical="center"/>
      <protection locked="0"/>
    </xf>
    <xf numFmtId="0" fontId="71" fillId="0" borderId="4" xfId="0" applyFont="1" applyBorder="1" applyAlignment="1" applyProtection="1">
      <alignment horizontal="center" vertical="center"/>
      <protection locked="0"/>
    </xf>
    <xf numFmtId="0" fontId="58" fillId="0" borderId="8" xfId="0" applyFont="1" applyBorder="1" applyAlignment="1" applyProtection="1">
      <alignment horizontal="center" vertical="center"/>
      <protection locked="0"/>
    </xf>
    <xf numFmtId="0" fontId="72" fillId="0" borderId="0" xfId="0" applyFont="1" applyAlignment="1">
      <alignment horizontal="center" vertical="center"/>
    </xf>
    <xf numFmtId="0" fontId="0" fillId="0" borderId="0" xfId="0" applyAlignment="1" applyProtection="1">
      <alignment horizontal="right" vertical="center"/>
      <protection locked="0"/>
    </xf>
    <xf numFmtId="169" fontId="0" fillId="0" borderId="0" xfId="0" applyNumberFormat="1" applyAlignment="1" applyProtection="1">
      <alignment horizontal="center" vertical="center"/>
      <protection locked="0"/>
    </xf>
    <xf numFmtId="179" fontId="0" fillId="0" borderId="45" xfId="0" applyNumberFormat="1" applyBorder="1" applyAlignment="1" applyProtection="1">
      <alignment horizontal="center" vertical="center"/>
      <protection locked="0"/>
    </xf>
    <xf numFmtId="169" fontId="0" fillId="0" borderId="46" xfId="0" applyNumberFormat="1" applyBorder="1" applyAlignment="1" applyProtection="1">
      <alignment horizontal="center" vertical="center"/>
      <protection locked="0"/>
    </xf>
    <xf numFmtId="179" fontId="0" fillId="0" borderId="60" xfId="0" applyNumberFormat="1" applyBorder="1" applyAlignment="1" applyProtection="1">
      <alignment horizontal="center" vertical="center"/>
      <protection locked="0"/>
    </xf>
    <xf numFmtId="169" fontId="0" fillId="0" borderId="30" xfId="0" applyNumberFormat="1" applyBorder="1" applyAlignment="1" applyProtection="1">
      <alignment horizontal="center" vertical="center"/>
      <protection locked="0"/>
    </xf>
    <xf numFmtId="166" fontId="0" fillId="0" borderId="0" xfId="0" applyNumberFormat="1" applyAlignment="1">
      <alignment horizontal="center" vertical="center"/>
    </xf>
    <xf numFmtId="170" fontId="0" fillId="0" borderId="0" xfId="0" applyNumberFormat="1" applyAlignment="1">
      <alignment horizontal="center" vertical="center"/>
    </xf>
    <xf numFmtId="164" fontId="0" fillId="0" borderId="0" xfId="0" applyNumberFormat="1" applyAlignment="1" applyProtection="1">
      <alignment horizontal="center" vertical="center"/>
      <protection locked="0"/>
    </xf>
    <xf numFmtId="176" fontId="0" fillId="0" borderId="45" xfId="0" applyNumberFormat="1" applyBorder="1" applyAlignment="1" applyProtection="1">
      <alignment horizontal="center" vertical="center"/>
      <protection locked="0"/>
    </xf>
    <xf numFmtId="169" fontId="0" fillId="0" borderId="61" xfId="0" applyNumberFormat="1" applyBorder="1" applyAlignment="1" applyProtection="1">
      <alignment horizontal="center" vertical="center"/>
      <protection locked="0"/>
    </xf>
    <xf numFmtId="176" fontId="0" fillId="0" borderId="62" xfId="0" applyNumberFormat="1" applyBorder="1" applyAlignment="1" applyProtection="1">
      <alignment horizontal="center" vertical="center"/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vertical="center"/>
      <protection locked="0"/>
    </xf>
    <xf numFmtId="1" fontId="0" fillId="0" borderId="0" xfId="0" applyNumberFormat="1" applyAlignment="1" applyProtection="1">
      <alignment horizontal="center" vertical="center"/>
      <protection locked="0"/>
    </xf>
    <xf numFmtId="0" fontId="72" fillId="0" borderId="0" xfId="0" applyFont="1" applyAlignment="1" applyProtection="1">
      <alignment horizontal="right" vertical="center"/>
      <protection locked="0"/>
    </xf>
    <xf numFmtId="11" fontId="0" fillId="0" borderId="0" xfId="0" applyNumberFormat="1" applyAlignment="1" applyProtection="1">
      <alignment horizontal="center" vertical="center"/>
      <protection locked="0"/>
    </xf>
    <xf numFmtId="0" fontId="0" fillId="0" borderId="63" xfId="0" applyBorder="1" applyAlignment="1" applyProtection="1">
      <alignment horizontal="right" vertical="center"/>
      <protection locked="0"/>
    </xf>
    <xf numFmtId="170" fontId="0" fillId="0" borderId="52" xfId="0" applyNumberFormat="1" applyBorder="1" applyAlignment="1" applyProtection="1">
      <alignment horizontal="center" vertical="center"/>
      <protection locked="0"/>
    </xf>
    <xf numFmtId="0" fontId="0" fillId="0" borderId="53" xfId="0" applyBorder="1" applyAlignment="1" applyProtection="1">
      <alignment vertical="center"/>
      <protection locked="0"/>
    </xf>
    <xf numFmtId="0" fontId="0" fillId="0" borderId="18" xfId="0" applyBorder="1" applyAlignment="1" applyProtection="1">
      <alignment horizontal="right" vertical="center"/>
      <protection locked="0"/>
    </xf>
    <xf numFmtId="176" fontId="0" fillId="0" borderId="24" xfId="0" applyNumberFormat="1" applyBorder="1" applyAlignment="1" applyProtection="1">
      <alignment horizontal="center" vertical="center"/>
      <protection locked="0"/>
    </xf>
    <xf numFmtId="0" fontId="0" fillId="0" borderId="64" xfId="0" applyBorder="1" applyAlignment="1" applyProtection="1">
      <alignment vertical="center"/>
      <protection locked="0"/>
    </xf>
    <xf numFmtId="170" fontId="0" fillId="0" borderId="24" xfId="0" applyNumberFormat="1" applyBorder="1" applyAlignment="1" applyProtection="1">
      <alignment horizontal="center" vertical="center"/>
      <protection locked="0"/>
    </xf>
    <xf numFmtId="164" fontId="0" fillId="0" borderId="24" xfId="0" applyNumberFormat="1" applyBorder="1" applyAlignment="1" applyProtection="1">
      <alignment horizontal="center" vertical="center"/>
      <protection locked="0"/>
    </xf>
    <xf numFmtId="0" fontId="0" fillId="0" borderId="65" xfId="0" applyBorder="1" applyAlignment="1" applyProtection="1">
      <alignment horizontal="right" vertical="center"/>
      <protection locked="0"/>
    </xf>
    <xf numFmtId="0" fontId="0" fillId="0" borderId="66" xfId="0" applyBorder="1" applyAlignment="1" applyProtection="1">
      <alignment vertical="center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176" fontId="0" fillId="0" borderId="40" xfId="0" applyNumberFormat="1" applyBorder="1" applyAlignment="1" applyProtection="1">
      <alignment horizontal="center" vertical="center"/>
      <protection locked="0"/>
    </xf>
    <xf numFmtId="169" fontId="0" fillId="0" borderId="67" xfId="0" applyNumberFormat="1" applyBorder="1" applyAlignment="1" applyProtection="1">
      <alignment horizontal="center" vertical="center"/>
      <protection locked="0"/>
    </xf>
    <xf numFmtId="176" fontId="0" fillId="0" borderId="12" xfId="0" applyNumberFormat="1" applyBorder="1" applyAlignment="1" applyProtection="1">
      <alignment horizontal="center" vertical="center"/>
      <protection locked="0"/>
    </xf>
    <xf numFmtId="169" fontId="0" fillId="0" borderId="42" xfId="0" applyNumberFormat="1" applyBorder="1" applyAlignment="1" applyProtection="1">
      <alignment horizontal="center" vertical="center"/>
      <protection locked="0"/>
    </xf>
    <xf numFmtId="0" fontId="10" fillId="14" borderId="1" xfId="1" applyFont="1" applyFill="1" applyBorder="1" applyAlignment="1">
      <alignment horizontal="center" vertical="center"/>
    </xf>
    <xf numFmtId="2" fontId="10" fillId="14" borderId="1" xfId="1" applyNumberFormat="1" applyFont="1" applyFill="1" applyBorder="1" applyAlignment="1">
      <alignment horizontal="center" vertical="center"/>
    </xf>
    <xf numFmtId="172" fontId="10" fillId="14" borderId="1" xfId="1" applyNumberFormat="1" applyFont="1" applyFill="1" applyBorder="1" applyAlignment="1">
      <alignment horizontal="center" vertical="center"/>
    </xf>
    <xf numFmtId="180" fontId="10" fillId="14" borderId="1" xfId="1" applyNumberFormat="1" applyFont="1" applyFill="1" applyBorder="1" applyAlignment="1">
      <alignment horizontal="center" vertical="center"/>
    </xf>
    <xf numFmtId="11" fontId="10" fillId="14" borderId="1" xfId="1" applyNumberFormat="1" applyFont="1" applyFill="1" applyBorder="1" applyAlignment="1">
      <alignment horizontal="center" vertical="center"/>
    </xf>
    <xf numFmtId="164" fontId="10" fillId="14" borderId="1" xfId="1" applyNumberFormat="1" applyFont="1" applyFill="1" applyBorder="1" applyAlignment="1">
      <alignment horizontal="center" vertical="center"/>
    </xf>
    <xf numFmtId="169" fontId="10" fillId="14" borderId="1" xfId="1" applyNumberFormat="1" applyFont="1" applyFill="1" applyBorder="1" applyAlignment="1">
      <alignment horizontal="center" vertical="center"/>
    </xf>
    <xf numFmtId="174" fontId="10" fillId="14" borderId="1" xfId="4" applyNumberFormat="1" applyFont="1" applyFill="1" applyBorder="1" applyAlignment="1">
      <alignment horizontal="center" vertical="center"/>
    </xf>
    <xf numFmtId="169" fontId="10" fillId="14" borderId="1" xfId="4" applyNumberFormat="1" applyFont="1" applyFill="1" applyBorder="1" applyAlignment="1">
      <alignment horizontal="center" vertical="center"/>
    </xf>
    <xf numFmtId="0" fontId="10" fillId="14" borderId="1" xfId="4" applyFont="1" applyFill="1" applyBorder="1" applyAlignment="1">
      <alignment horizontal="center" vertical="center"/>
    </xf>
    <xf numFmtId="171" fontId="10" fillId="14" borderId="1" xfId="4" applyNumberFormat="1" applyFont="1" applyFill="1" applyBorder="1" applyAlignment="1">
      <alignment horizontal="center" vertical="center"/>
    </xf>
    <xf numFmtId="168" fontId="10" fillId="14" borderId="1" xfId="4" applyNumberFormat="1" applyFont="1" applyFill="1" applyBorder="1" applyAlignment="1">
      <alignment horizontal="center" vertical="center"/>
    </xf>
    <xf numFmtId="164" fontId="38" fillId="14" borderId="34" xfId="1" applyNumberFormat="1" applyFont="1" applyFill="1" applyBorder="1" applyAlignment="1">
      <alignment horizontal="right"/>
    </xf>
    <xf numFmtId="2" fontId="10" fillId="14" borderId="1" xfId="1" applyNumberFormat="1" applyFont="1" applyFill="1" applyBorder="1" applyAlignment="1">
      <alignment horizontal="center"/>
    </xf>
    <xf numFmtId="0" fontId="10" fillId="14" borderId="1" xfId="1" applyFont="1" applyFill="1" applyBorder="1" applyAlignment="1">
      <alignment horizontal="center"/>
    </xf>
    <xf numFmtId="2" fontId="10" fillId="14" borderId="1" xfId="1" quotePrefix="1" applyNumberFormat="1" applyFont="1" applyFill="1" applyBorder="1" applyAlignment="1">
      <alignment horizontal="center"/>
    </xf>
    <xf numFmtId="173" fontId="10" fillId="14" borderId="1" xfId="1" applyNumberFormat="1" applyFont="1" applyFill="1" applyBorder="1" applyAlignment="1">
      <alignment horizontal="center" vertical="center"/>
    </xf>
    <xf numFmtId="174" fontId="10" fillId="14" borderId="1" xfId="1" applyNumberFormat="1" applyFont="1" applyFill="1" applyBorder="1" applyAlignment="1">
      <alignment horizontal="center" vertical="center"/>
    </xf>
    <xf numFmtId="0" fontId="53" fillId="3" borderId="0" xfId="0" applyFont="1" applyFill="1"/>
    <xf numFmtId="169" fontId="10" fillId="14" borderId="1" xfId="1" applyNumberFormat="1" applyFont="1" applyFill="1" applyBorder="1" applyAlignment="1">
      <alignment horizontal="center"/>
    </xf>
    <xf numFmtId="171" fontId="10" fillId="14" borderId="1" xfId="1" applyNumberFormat="1" applyFont="1" applyFill="1" applyBorder="1" applyAlignment="1">
      <alignment horizontal="center"/>
    </xf>
    <xf numFmtId="1" fontId="38" fillId="14" borderId="34" xfId="1" applyNumberFormat="1" applyFont="1" applyFill="1" applyBorder="1" applyAlignment="1">
      <alignment horizontal="right"/>
    </xf>
    <xf numFmtId="0" fontId="0" fillId="3" borderId="0" xfId="0" applyFill="1" applyAlignment="1">
      <alignment vertical="center"/>
    </xf>
    <xf numFmtId="164" fontId="0" fillId="13" borderId="0" xfId="0" applyNumberFormat="1" applyFill="1"/>
    <xf numFmtId="4" fontId="0" fillId="13" borderId="0" xfId="0" applyNumberFormat="1" applyFill="1"/>
    <xf numFmtId="181" fontId="10" fillId="14" borderId="1" xfId="1" applyNumberFormat="1" applyFont="1" applyFill="1" applyBorder="1" applyAlignment="1">
      <alignment horizontal="center" vertical="center"/>
    </xf>
    <xf numFmtId="0" fontId="6" fillId="13" borderId="50" xfId="0" applyFont="1" applyFill="1" applyBorder="1" applyAlignment="1">
      <alignment horizontal="right" vertical="center"/>
    </xf>
    <xf numFmtId="0" fontId="0" fillId="13" borderId="50" xfId="0" applyFill="1" applyBorder="1" applyAlignment="1">
      <alignment vertical="center"/>
    </xf>
    <xf numFmtId="0" fontId="46" fillId="13" borderId="49" xfId="1" applyFill="1" applyBorder="1" applyAlignment="1">
      <alignment vertical="center"/>
    </xf>
    <xf numFmtId="0" fontId="6" fillId="3" borderId="0" xfId="0" applyFont="1" applyFill="1" applyAlignment="1">
      <alignment horizontal="right" vertical="center"/>
    </xf>
    <xf numFmtId="0" fontId="46" fillId="3" borderId="35" xfId="1" applyFill="1" applyBorder="1" applyAlignment="1">
      <alignment vertical="center"/>
    </xf>
    <xf numFmtId="0" fontId="46" fillId="3" borderId="0" xfId="1" applyFill="1" applyAlignment="1">
      <alignment vertical="center"/>
    </xf>
    <xf numFmtId="0" fontId="75" fillId="13" borderId="0" xfId="0" applyFont="1" applyFill="1" applyAlignment="1">
      <alignment horizontal="right" vertical="center"/>
    </xf>
    <xf numFmtId="2" fontId="0" fillId="13" borderId="0" xfId="0" applyNumberFormat="1" applyFill="1" applyAlignment="1">
      <alignment vertical="center"/>
    </xf>
    <xf numFmtId="0" fontId="0" fillId="3" borderId="35" xfId="0" applyFill="1" applyBorder="1" applyAlignment="1">
      <alignment vertical="center"/>
    </xf>
    <xf numFmtId="0" fontId="6" fillId="13" borderId="23" xfId="0" applyFont="1" applyFill="1" applyBorder="1" applyAlignment="1">
      <alignment horizontal="right" vertical="center"/>
    </xf>
    <xf numFmtId="2" fontId="0" fillId="13" borderId="23" xfId="0" applyNumberFormat="1" applyFill="1" applyBorder="1" applyAlignment="1">
      <alignment vertical="center"/>
    </xf>
    <xf numFmtId="0" fontId="0" fillId="3" borderId="48" xfId="0" applyFill="1" applyBorder="1" applyAlignment="1">
      <alignment vertical="center"/>
    </xf>
    <xf numFmtId="10" fontId="46" fillId="13" borderId="0" xfId="1" applyNumberFormat="1" applyFill="1" applyAlignment="1">
      <alignment horizontal="center"/>
    </xf>
    <xf numFmtId="2" fontId="46" fillId="13" borderId="0" xfId="1" applyNumberFormat="1" applyFill="1" applyAlignment="1">
      <alignment horizontal="center"/>
    </xf>
    <xf numFmtId="2" fontId="40" fillId="3" borderId="0" xfId="0" applyNumberFormat="1" applyFont="1" applyFill="1"/>
    <xf numFmtId="170" fontId="0" fillId="13" borderId="23" xfId="0" applyNumberFormat="1" applyFill="1" applyBorder="1" applyAlignment="1">
      <alignment vertical="center"/>
    </xf>
    <xf numFmtId="11" fontId="10" fillId="14" borderId="1" xfId="1" applyNumberFormat="1" applyFont="1" applyFill="1" applyBorder="1" applyAlignment="1">
      <alignment horizontal="center"/>
    </xf>
    <xf numFmtId="164" fontId="10" fillId="14" borderId="1" xfId="1" applyNumberFormat="1" applyFont="1" applyFill="1" applyBorder="1" applyAlignment="1">
      <alignment horizontal="center"/>
    </xf>
    <xf numFmtId="0" fontId="9" fillId="13" borderId="1" xfId="1" applyFont="1" applyFill="1" applyBorder="1" applyAlignment="1">
      <alignment horizontal="center" vertical="center"/>
    </xf>
    <xf numFmtId="2" fontId="9" fillId="13" borderId="1" xfId="1" applyNumberFormat="1" applyFont="1" applyFill="1" applyBorder="1" applyAlignment="1">
      <alignment horizontal="center" vertical="center"/>
    </xf>
    <xf numFmtId="0" fontId="46" fillId="13" borderId="0" xfId="1" applyFill="1" applyAlignment="1">
      <alignment vertical="center"/>
    </xf>
    <xf numFmtId="0" fontId="46" fillId="13" borderId="32" xfId="1" applyFill="1" applyBorder="1" applyAlignment="1">
      <alignment horizontal="center" vertical="center"/>
    </xf>
    <xf numFmtId="0" fontId="9" fillId="3" borderId="0" xfId="0" applyFont="1" applyFill="1" applyAlignment="1">
      <alignment vertical="center"/>
    </xf>
    <xf numFmtId="0" fontId="46" fillId="13" borderId="0" xfId="1" applyFill="1" applyAlignment="1">
      <alignment horizontal="center" vertical="center"/>
    </xf>
    <xf numFmtId="0" fontId="39" fillId="14" borderId="0" xfId="1" applyFont="1" applyFill="1" applyAlignment="1">
      <alignment vertical="center"/>
    </xf>
    <xf numFmtId="2" fontId="0" fillId="0" borderId="0" xfId="0" applyNumberFormat="1" applyAlignment="1" applyProtection="1">
      <alignment vertical="center"/>
      <protection locked="0"/>
    </xf>
    <xf numFmtId="171" fontId="0" fillId="0" borderId="58" xfId="0" applyNumberFormat="1" applyBorder="1" applyAlignment="1" applyProtection="1">
      <alignment horizontal="center" vertical="center"/>
      <protection locked="0"/>
    </xf>
    <xf numFmtId="178" fontId="0" fillId="13" borderId="0" xfId="0" applyNumberFormat="1" applyFill="1"/>
    <xf numFmtId="0" fontId="6" fillId="13" borderId="18" xfId="0" applyFont="1" applyFill="1" applyBorder="1" applyAlignment="1">
      <alignment horizontal="left" vertical="center"/>
    </xf>
    <xf numFmtId="0" fontId="0" fillId="13" borderId="43" xfId="0" applyFill="1" applyBorder="1" applyAlignment="1">
      <alignment horizontal="left" vertical="center"/>
    </xf>
    <xf numFmtId="0" fontId="6" fillId="13" borderId="0" xfId="0" applyFont="1" applyFill="1" applyAlignment="1">
      <alignment horizontal="left" vertical="center"/>
    </xf>
    <xf numFmtId="0" fontId="69" fillId="21" borderId="38" xfId="0" applyFont="1" applyFill="1" applyBorder="1" applyAlignment="1">
      <alignment horizontal="center" vertical="center"/>
    </xf>
    <xf numFmtId="0" fontId="69" fillId="21" borderId="39" xfId="0" applyFont="1" applyFill="1" applyBorder="1" applyAlignment="1">
      <alignment horizontal="center" vertical="center"/>
    </xf>
    <xf numFmtId="0" fontId="69" fillId="21" borderId="28" xfId="0" applyFont="1" applyFill="1" applyBorder="1" applyAlignment="1">
      <alignment horizontal="center" vertical="center"/>
    </xf>
    <xf numFmtId="0" fontId="69" fillId="21" borderId="54" xfId="0" applyFont="1" applyFill="1" applyBorder="1" applyAlignment="1">
      <alignment horizontal="center" vertical="center"/>
    </xf>
    <xf numFmtId="0" fontId="69" fillId="21" borderId="23" xfId="0" applyFont="1" applyFill="1" applyBorder="1" applyAlignment="1">
      <alignment horizontal="center" vertical="center"/>
    </xf>
    <xf numFmtId="0" fontId="69" fillId="21" borderId="55" xfId="0" applyFont="1" applyFill="1" applyBorder="1" applyAlignment="1">
      <alignment horizontal="center" vertical="center"/>
    </xf>
    <xf numFmtId="0" fontId="6" fillId="22" borderId="56" xfId="0" applyFont="1" applyFill="1" applyBorder="1" applyAlignment="1">
      <alignment horizontal="left" vertical="center"/>
    </xf>
    <xf numFmtId="0" fontId="6" fillId="22" borderId="24" xfId="0" applyFont="1" applyFill="1" applyBorder="1" applyAlignment="1">
      <alignment horizontal="left" vertical="center"/>
    </xf>
    <xf numFmtId="0" fontId="6" fillId="22" borderId="43" xfId="0" applyFont="1" applyFill="1" applyBorder="1" applyAlignment="1">
      <alignment horizontal="left" vertical="center"/>
    </xf>
    <xf numFmtId="0" fontId="8" fillId="22" borderId="56" xfId="0" applyFont="1" applyFill="1" applyBorder="1" applyAlignment="1">
      <alignment horizontal="center" vertical="center"/>
    </xf>
    <xf numFmtId="0" fontId="8" fillId="22" borderId="24" xfId="0" applyFont="1" applyFill="1" applyBorder="1" applyAlignment="1">
      <alignment horizontal="center" vertical="center"/>
    </xf>
    <xf numFmtId="0" fontId="8" fillId="22" borderId="43" xfId="0" applyFont="1" applyFill="1" applyBorder="1" applyAlignment="1">
      <alignment horizontal="center" vertical="center"/>
    </xf>
    <xf numFmtId="0" fontId="6" fillId="22" borderId="57" xfId="0" applyFont="1" applyFill="1" applyBorder="1" applyAlignment="1">
      <alignment horizontal="left" vertical="center"/>
    </xf>
    <xf numFmtId="0" fontId="6" fillId="22" borderId="58" xfId="0" applyFont="1" applyFill="1" applyBorder="1" applyAlignment="1">
      <alignment horizontal="left" vertical="center"/>
    </xf>
    <xf numFmtId="0" fontId="6" fillId="22" borderId="59" xfId="0" applyFont="1" applyFill="1" applyBorder="1" applyAlignment="1">
      <alignment horizontal="left" vertical="center"/>
    </xf>
    <xf numFmtId="0" fontId="9" fillId="13" borderId="0" xfId="0" applyFont="1" applyFill="1" applyAlignment="1">
      <alignment horizontal="center"/>
    </xf>
    <xf numFmtId="0" fontId="0" fillId="0" borderId="0" xfId="0"/>
    <xf numFmtId="0" fontId="6" fillId="13" borderId="1" xfId="0" applyFont="1" applyFill="1" applyBorder="1" applyAlignment="1">
      <alignment horizontal="left" vertical="center"/>
    </xf>
    <xf numFmtId="0" fontId="6" fillId="13" borderId="1" xfId="0" applyFont="1" applyFill="1" applyBorder="1" applyAlignment="1">
      <alignment horizontal="left"/>
    </xf>
    <xf numFmtId="0" fontId="6" fillId="16" borderId="1" xfId="0" applyFont="1" applyFill="1" applyBorder="1" applyAlignment="1">
      <alignment horizontal="left" vertical="center"/>
    </xf>
    <xf numFmtId="0" fontId="6" fillId="13" borderId="1" xfId="0" applyFont="1" applyFill="1" applyBorder="1" applyAlignment="1">
      <alignment horizontal="center" vertical="center"/>
    </xf>
    <xf numFmtId="0" fontId="6" fillId="13" borderId="1" xfId="0" applyFont="1" applyFill="1" applyBorder="1" applyAlignment="1">
      <alignment horizontal="right" vertical="center"/>
    </xf>
    <xf numFmtId="49" fontId="6" fillId="16" borderId="1" xfId="0" applyNumberFormat="1" applyFont="1" applyFill="1" applyBorder="1" applyAlignment="1">
      <alignment horizontal="left" vertical="center"/>
    </xf>
    <xf numFmtId="0" fontId="8" fillId="13" borderId="0" xfId="0" applyFont="1" applyFill="1" applyAlignment="1">
      <alignment horizontal="center"/>
    </xf>
    <xf numFmtId="0" fontId="53" fillId="17" borderId="1" xfId="0" applyFont="1" applyFill="1" applyBorder="1" applyAlignment="1">
      <alignment horizontal="center"/>
    </xf>
    <xf numFmtId="0" fontId="0" fillId="13" borderId="1" xfId="0" applyFill="1" applyBorder="1" applyAlignment="1">
      <alignment horizontal="center" vertical="center"/>
    </xf>
    <xf numFmtId="14" fontId="6" fillId="16" borderId="1" xfId="0" applyNumberFormat="1" applyFont="1" applyFill="1" applyBorder="1" applyAlignment="1">
      <alignment horizontal="left" vertical="center"/>
    </xf>
    <xf numFmtId="0" fontId="6" fillId="16" borderId="18" xfId="0" applyFont="1" applyFill="1" applyBorder="1" applyAlignment="1">
      <alignment horizontal="left" vertical="center"/>
    </xf>
    <xf numFmtId="0" fontId="6" fillId="16" borderId="24" xfId="0" applyFont="1" applyFill="1" applyBorder="1" applyAlignment="1">
      <alignment horizontal="left" vertical="center"/>
    </xf>
    <xf numFmtId="0" fontId="6" fillId="16" borderId="43" xfId="0" applyFont="1" applyFill="1" applyBorder="1" applyAlignment="1">
      <alignment horizontal="left" vertical="center"/>
    </xf>
    <xf numFmtId="0" fontId="0" fillId="13" borderId="1" xfId="0" applyFill="1" applyBorder="1" applyAlignment="1">
      <alignment horizontal="left" vertical="center"/>
    </xf>
    <xf numFmtId="0" fontId="62" fillId="13" borderId="19" xfId="0" applyFont="1" applyFill="1" applyBorder="1" applyAlignment="1">
      <alignment horizontal="center" vertical="center"/>
    </xf>
    <xf numFmtId="0" fontId="62" fillId="13" borderId="50" xfId="0" applyFont="1" applyFill="1" applyBorder="1" applyAlignment="1">
      <alignment horizontal="center" vertical="center"/>
    </xf>
    <xf numFmtId="0" fontId="62" fillId="13" borderId="49" xfId="0" applyFont="1" applyFill="1" applyBorder="1" applyAlignment="1">
      <alignment horizontal="center" vertical="center"/>
    </xf>
    <xf numFmtId="0" fontId="62" fillId="13" borderId="22" xfId="0" applyFont="1" applyFill="1" applyBorder="1" applyAlignment="1">
      <alignment horizontal="center" vertical="center"/>
    </xf>
    <xf numFmtId="0" fontId="62" fillId="13" borderId="0" xfId="0" applyFont="1" applyFill="1" applyAlignment="1">
      <alignment horizontal="center" vertical="center"/>
    </xf>
    <xf numFmtId="0" fontId="62" fillId="13" borderId="35" xfId="0" applyFont="1" applyFill="1" applyBorder="1" applyAlignment="1">
      <alignment horizontal="center" vertical="center"/>
    </xf>
    <xf numFmtId="0" fontId="62" fillId="13" borderId="21" xfId="0" applyFont="1" applyFill="1" applyBorder="1" applyAlignment="1">
      <alignment horizontal="center" vertical="center"/>
    </xf>
    <xf numFmtId="0" fontId="62" fillId="13" borderId="23" xfId="0" applyFont="1" applyFill="1" applyBorder="1" applyAlignment="1">
      <alignment horizontal="center" vertical="center"/>
    </xf>
    <xf numFmtId="0" fontId="62" fillId="13" borderId="48" xfId="0" applyFont="1" applyFill="1" applyBorder="1" applyAlignment="1">
      <alignment horizontal="center" vertical="center"/>
    </xf>
    <xf numFmtId="0" fontId="54" fillId="0" borderId="1" xfId="0" applyFont="1" applyBorder="1" applyAlignment="1">
      <alignment horizontal="center" vertical="center"/>
    </xf>
    <xf numFmtId="0" fontId="0" fillId="16" borderId="1" xfId="0" applyFill="1" applyBorder="1" applyAlignment="1">
      <alignment horizontal="center" vertical="center"/>
    </xf>
    <xf numFmtId="0" fontId="8" fillId="13" borderId="23" xfId="0" applyFont="1" applyFill="1" applyBorder="1" applyAlignment="1">
      <alignment horizontal="center" vertical="center"/>
    </xf>
    <xf numFmtId="0" fontId="8" fillId="13" borderId="0" xfId="0" applyFont="1" applyFill="1" applyAlignment="1">
      <alignment horizontal="center" vertical="center"/>
    </xf>
    <xf numFmtId="0" fontId="0" fillId="13" borderId="0" xfId="0" applyFill="1" applyAlignment="1">
      <alignment horizontal="left" vertical="center"/>
    </xf>
    <xf numFmtId="0" fontId="9" fillId="13" borderId="0" xfId="0" applyFont="1" applyFill="1" applyAlignment="1">
      <alignment horizontal="left" vertical="center"/>
    </xf>
    <xf numFmtId="0" fontId="9" fillId="13" borderId="0" xfId="0" applyFont="1" applyFill="1" applyAlignment="1">
      <alignment horizontal="left"/>
    </xf>
    <xf numFmtId="0" fontId="54" fillId="0" borderId="1" xfId="0" applyFont="1" applyBorder="1" applyAlignment="1">
      <alignment horizontal="center" vertical="center" wrapText="1"/>
    </xf>
    <xf numFmtId="0" fontId="12" fillId="16" borderId="1" xfId="0" applyFont="1" applyFill="1" applyBorder="1" applyAlignment="1">
      <alignment horizontal="left" vertical="center"/>
    </xf>
    <xf numFmtId="0" fontId="53" fillId="0" borderId="19" xfId="0" applyFont="1" applyBorder="1" applyAlignment="1">
      <alignment horizontal="center" vertical="center" wrapText="1"/>
    </xf>
    <xf numFmtId="0" fontId="53" fillId="0" borderId="49" xfId="0" applyFont="1" applyBorder="1" applyAlignment="1">
      <alignment horizontal="center" vertical="center"/>
    </xf>
    <xf numFmtId="0" fontId="53" fillId="0" borderId="22" xfId="0" applyFont="1" applyBorder="1" applyAlignment="1">
      <alignment horizontal="center" vertical="center"/>
    </xf>
    <xf numFmtId="0" fontId="53" fillId="0" borderId="35" xfId="0" applyFont="1" applyBorder="1" applyAlignment="1">
      <alignment horizontal="center" vertical="center"/>
    </xf>
    <xf numFmtId="0" fontId="53" fillId="0" borderId="21" xfId="0" applyFont="1" applyBorder="1" applyAlignment="1">
      <alignment horizontal="center" vertical="center"/>
    </xf>
    <xf numFmtId="0" fontId="53" fillId="0" borderId="48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53" fillId="0" borderId="1" xfId="0" applyFont="1" applyBorder="1" applyAlignment="1">
      <alignment horizontal="center" vertical="center" wrapText="1"/>
    </xf>
    <xf numFmtId="49" fontId="53" fillId="0" borderId="1" xfId="0" applyNumberFormat="1" applyFont="1" applyBorder="1" applyAlignment="1">
      <alignment horizontal="left"/>
    </xf>
    <xf numFmtId="0" fontId="53" fillId="0" borderId="1" xfId="0" applyFont="1" applyBorder="1" applyAlignment="1">
      <alignment horizontal="center"/>
    </xf>
    <xf numFmtId="14" fontId="53" fillId="0" borderId="1" xfId="0" applyNumberFormat="1" applyFont="1" applyBorder="1" applyAlignment="1">
      <alignment horizontal="center"/>
    </xf>
    <xf numFmtId="0" fontId="53" fillId="0" borderId="1" xfId="0" applyFont="1" applyBorder="1" applyAlignment="1">
      <alignment horizontal="center" wrapText="1"/>
    </xf>
    <xf numFmtId="0" fontId="53" fillId="0" borderId="18" xfId="0" applyFont="1" applyBorder="1" applyAlignment="1">
      <alignment horizontal="center"/>
    </xf>
    <xf numFmtId="0" fontId="53" fillId="0" borderId="43" xfId="0" applyFont="1" applyBorder="1" applyAlignment="1">
      <alignment horizontal="center"/>
    </xf>
    <xf numFmtId="49" fontId="53" fillId="0" borderId="18" xfId="0" applyNumberFormat="1" applyFont="1" applyBorder="1" applyAlignment="1">
      <alignment horizontal="center" vertical="center"/>
    </xf>
    <xf numFmtId="49" fontId="53" fillId="0" borderId="43" xfId="0" applyNumberFormat="1" applyFont="1" applyBorder="1" applyAlignment="1">
      <alignment horizontal="center" vertical="center"/>
    </xf>
    <xf numFmtId="49" fontId="53" fillId="0" borderId="1" xfId="0" applyNumberFormat="1" applyFont="1" applyBorder="1" applyAlignment="1">
      <alignment horizontal="center"/>
    </xf>
    <xf numFmtId="49" fontId="53" fillId="0" borderId="1" xfId="0" applyNumberFormat="1" applyFont="1" applyBorder="1" applyAlignment="1">
      <alignment horizontal="center" wrapText="1"/>
    </xf>
    <xf numFmtId="0" fontId="8" fillId="13" borderId="1" xfId="0" applyFont="1" applyFill="1" applyBorder="1" applyAlignment="1">
      <alignment horizontal="center" vertical="center"/>
    </xf>
    <xf numFmtId="0" fontId="0" fillId="13" borderId="2" xfId="0" applyFill="1" applyBorder="1" applyAlignment="1">
      <alignment horizontal="center" vertical="center"/>
    </xf>
    <xf numFmtId="0" fontId="0" fillId="13" borderId="3" xfId="0" applyFill="1" applyBorder="1" applyAlignment="1">
      <alignment horizontal="center" vertical="center"/>
    </xf>
    <xf numFmtId="0" fontId="0" fillId="13" borderId="19" xfId="0" applyFill="1" applyBorder="1" applyAlignment="1">
      <alignment horizontal="center" vertical="center"/>
    </xf>
    <xf numFmtId="0" fontId="0" fillId="13" borderId="49" xfId="0" applyFill="1" applyBorder="1" applyAlignment="1">
      <alignment horizontal="center" vertical="center"/>
    </xf>
    <xf numFmtId="0" fontId="0" fillId="13" borderId="21" xfId="0" applyFill="1" applyBorder="1" applyAlignment="1">
      <alignment horizontal="center" vertical="center"/>
    </xf>
    <xf numFmtId="0" fontId="0" fillId="13" borderId="48" xfId="0" applyFill="1" applyBorder="1" applyAlignment="1">
      <alignment horizontal="center" vertical="center"/>
    </xf>
    <xf numFmtId="10" fontId="0" fillId="13" borderId="19" xfId="2" applyNumberFormat="1" applyFont="1" applyFill="1" applyBorder="1" applyAlignment="1" applyProtection="1">
      <alignment horizontal="center" vertical="center"/>
    </xf>
    <xf numFmtId="10" fontId="0" fillId="13" borderId="49" xfId="2" applyNumberFormat="1" applyFont="1" applyFill="1" applyBorder="1" applyAlignment="1" applyProtection="1">
      <alignment horizontal="center" vertical="center"/>
    </xf>
    <xf numFmtId="10" fontId="0" fillId="13" borderId="21" xfId="2" applyNumberFormat="1" applyFont="1" applyFill="1" applyBorder="1" applyAlignment="1" applyProtection="1">
      <alignment horizontal="center" vertical="center"/>
    </xf>
    <xf numFmtId="10" fontId="0" fillId="13" borderId="48" xfId="2" applyNumberFormat="1" applyFont="1" applyFill="1" applyBorder="1" applyAlignment="1" applyProtection="1">
      <alignment horizontal="center" vertical="center"/>
    </xf>
    <xf numFmtId="178" fontId="0" fillId="13" borderId="19" xfId="0" applyNumberFormat="1" applyFill="1" applyBorder="1" applyAlignment="1">
      <alignment horizontal="center" vertical="center"/>
    </xf>
    <xf numFmtId="178" fontId="0" fillId="13" borderId="49" xfId="0" applyNumberFormat="1" applyFill="1" applyBorder="1" applyAlignment="1">
      <alignment horizontal="center" vertical="center"/>
    </xf>
    <xf numFmtId="178" fontId="0" fillId="13" borderId="21" xfId="0" applyNumberFormat="1" applyFill="1" applyBorder="1" applyAlignment="1">
      <alignment horizontal="center" vertical="center"/>
    </xf>
    <xf numFmtId="178" fontId="0" fillId="13" borderId="48" xfId="0" applyNumberFormat="1" applyFill="1" applyBorder="1" applyAlignment="1">
      <alignment horizontal="center" vertical="center"/>
    </xf>
    <xf numFmtId="2" fontId="0" fillId="13" borderId="2" xfId="0" applyNumberFormat="1" applyFill="1" applyBorder="1" applyAlignment="1">
      <alignment horizontal="center" vertical="center"/>
    </xf>
    <xf numFmtId="2" fontId="0" fillId="13" borderId="3" xfId="0" applyNumberFormat="1" applyFill="1" applyBorder="1" applyAlignment="1">
      <alignment horizontal="center" vertical="center"/>
    </xf>
    <xf numFmtId="0" fontId="6" fillId="13" borderId="1" xfId="0" applyFont="1" applyFill="1" applyBorder="1" applyAlignment="1">
      <alignment horizontal="left" vertical="center" wrapText="1"/>
    </xf>
    <xf numFmtId="0" fontId="0" fillId="13" borderId="1" xfId="0" applyFill="1" applyBorder="1" applyAlignment="1">
      <alignment horizontal="left" vertical="center" wrapText="1"/>
    </xf>
    <xf numFmtId="0" fontId="0" fillId="13" borderId="23" xfId="0" applyFill="1" applyBorder="1" applyAlignment="1">
      <alignment horizontal="center"/>
    </xf>
    <xf numFmtId="0" fontId="51" fillId="13" borderId="18" xfId="0" applyFont="1" applyFill="1" applyBorder="1" applyAlignment="1">
      <alignment horizontal="right" vertical="center"/>
    </xf>
    <xf numFmtId="0" fontId="51" fillId="13" borderId="43" xfId="0" applyFont="1" applyFill="1" applyBorder="1" applyAlignment="1">
      <alignment horizontal="right" vertical="center"/>
    </xf>
    <xf numFmtId="49" fontId="53" fillId="17" borderId="1" xfId="0" applyNumberFormat="1" applyFont="1" applyFill="1" applyBorder="1" applyAlignment="1">
      <alignment horizontal="center" vertical="center"/>
    </xf>
    <xf numFmtId="0" fontId="8" fillId="0" borderId="1" xfId="0" applyFont="1" applyBorder="1" applyAlignment="1">
      <alignment horizontal="center"/>
    </xf>
    <xf numFmtId="49" fontId="53" fillId="17" borderId="18" xfId="0" applyNumberFormat="1" applyFont="1" applyFill="1" applyBorder="1" applyAlignment="1">
      <alignment horizontal="center" vertical="center"/>
    </xf>
    <xf numFmtId="49" fontId="53" fillId="17" borderId="43" xfId="0" applyNumberFormat="1" applyFont="1" applyFill="1" applyBorder="1" applyAlignment="1">
      <alignment horizontal="center" vertical="center"/>
    </xf>
    <xf numFmtId="0" fontId="53" fillId="0" borderId="1" xfId="0" applyFont="1" applyBorder="1" applyAlignment="1">
      <alignment horizontal="center" vertical="center"/>
    </xf>
    <xf numFmtId="0" fontId="0" fillId="16" borderId="1" xfId="0" applyFill="1" applyBorder="1" applyAlignment="1">
      <alignment horizontal="left" vertical="center"/>
    </xf>
    <xf numFmtId="0" fontId="63" fillId="0" borderId="25" xfId="0" applyFont="1" applyBorder="1" applyAlignment="1">
      <alignment horizontal="center" vertical="center" wrapText="1"/>
    </xf>
    <xf numFmtId="0" fontId="63" fillId="0" borderId="31" xfId="0" applyFont="1" applyBorder="1" applyAlignment="1">
      <alignment horizontal="center" vertical="center" wrapText="1"/>
    </xf>
    <xf numFmtId="0" fontId="62" fillId="13" borderId="1" xfId="0" applyFont="1" applyFill="1" applyBorder="1" applyAlignment="1">
      <alignment horizontal="left" vertical="center"/>
    </xf>
    <xf numFmtId="0" fontId="65" fillId="13" borderId="1" xfId="0" applyFont="1" applyFill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38" xfId="0" applyBorder="1" applyAlignment="1" applyProtection="1">
      <alignment horizontal="center" vertical="center" textRotation="90"/>
      <protection locked="0"/>
    </xf>
    <xf numFmtId="0" fontId="0" fillId="0" borderId="45" xfId="0" applyBorder="1" applyAlignment="1" applyProtection="1">
      <alignment horizontal="center" vertical="center" textRotation="90"/>
      <protection locked="0"/>
    </xf>
    <xf numFmtId="0" fontId="0" fillId="0" borderId="40" xfId="0" applyBorder="1" applyAlignment="1" applyProtection="1">
      <alignment horizontal="center" vertical="center" textRotation="90"/>
      <protection locked="0"/>
    </xf>
    <xf numFmtId="0" fontId="58" fillId="0" borderId="5" xfId="0" applyFont="1" applyBorder="1" applyAlignment="1" applyProtection="1">
      <alignment horizontal="center" vertical="center"/>
      <protection locked="0"/>
    </xf>
    <xf numFmtId="0" fontId="58" fillId="0" borderId="7" xfId="0" applyFont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 wrapText="1"/>
    </xf>
    <xf numFmtId="166" fontId="0" fillId="0" borderId="0" xfId="0" applyNumberFormat="1" applyAlignment="1">
      <alignment horizontal="center" vertical="center" wrapText="1"/>
    </xf>
    <xf numFmtId="0" fontId="62" fillId="13" borderId="19" xfId="0" applyFont="1" applyFill="1" applyBorder="1" applyAlignment="1">
      <alignment horizontal="left" vertical="center"/>
    </xf>
    <xf numFmtId="0" fontId="62" fillId="13" borderId="50" xfId="0" applyFont="1" applyFill="1" applyBorder="1" applyAlignment="1">
      <alignment horizontal="left" vertical="center"/>
    </xf>
    <xf numFmtId="0" fontId="62" fillId="13" borderId="49" xfId="0" applyFont="1" applyFill="1" applyBorder="1" applyAlignment="1">
      <alignment horizontal="left" vertical="center"/>
    </xf>
    <xf numFmtId="0" fontId="62" fillId="13" borderId="22" xfId="0" applyFont="1" applyFill="1" applyBorder="1" applyAlignment="1">
      <alignment horizontal="left" vertical="center"/>
    </xf>
    <xf numFmtId="0" fontId="62" fillId="13" borderId="0" xfId="0" applyFont="1" applyFill="1" applyAlignment="1">
      <alignment horizontal="left" vertical="center"/>
    </xf>
    <xf numFmtId="0" fontId="62" fillId="13" borderId="35" xfId="0" applyFont="1" applyFill="1" applyBorder="1" applyAlignment="1">
      <alignment horizontal="left" vertical="center"/>
    </xf>
    <xf numFmtId="0" fontId="62" fillId="13" borderId="21" xfId="0" applyFont="1" applyFill="1" applyBorder="1" applyAlignment="1">
      <alignment horizontal="left" vertical="center"/>
    </xf>
    <xf numFmtId="0" fontId="62" fillId="13" borderId="23" xfId="0" applyFont="1" applyFill="1" applyBorder="1" applyAlignment="1">
      <alignment horizontal="left" vertical="center"/>
    </xf>
    <xf numFmtId="0" fontId="62" fillId="13" borderId="48" xfId="0" applyFont="1" applyFill="1" applyBorder="1" applyAlignment="1">
      <alignment horizontal="left" vertical="center"/>
    </xf>
    <xf numFmtId="0" fontId="9" fillId="0" borderId="0" xfId="0" applyFont="1" applyAlignment="1">
      <alignment horizontal="center" vertical="center" wrapText="1"/>
    </xf>
    <xf numFmtId="0" fontId="15" fillId="13" borderId="0" xfId="0" applyFont="1" applyFill="1" applyAlignment="1">
      <alignment horizontal="center" vertical="center" wrapText="1"/>
    </xf>
    <xf numFmtId="14" fontId="12" fillId="13" borderId="0" xfId="0" applyNumberFormat="1" applyFont="1" applyFill="1" applyAlignment="1">
      <alignment horizontal="center" vertical="center" wrapText="1"/>
    </xf>
    <xf numFmtId="0" fontId="12" fillId="2" borderId="1" xfId="0" applyFont="1" applyFill="1" applyBorder="1" applyAlignment="1">
      <alignment horizontal="center" vertical="center" wrapText="1"/>
    </xf>
    <xf numFmtId="0" fontId="12" fillId="3" borderId="1" xfId="0" applyFont="1" applyFill="1" applyBorder="1" applyAlignment="1">
      <alignment horizontal="left" vertical="center"/>
    </xf>
    <xf numFmtId="0" fontId="25" fillId="2" borderId="1" xfId="0" applyFont="1" applyFill="1" applyBorder="1" applyAlignment="1">
      <alignment horizontal="center" vertical="center" wrapText="1"/>
    </xf>
    <xf numFmtId="0" fontId="10" fillId="2" borderId="1" xfId="0" applyFont="1" applyFill="1" applyBorder="1" applyAlignment="1">
      <alignment horizontal="center" vertical="center" wrapText="1"/>
    </xf>
    <xf numFmtId="0" fontId="13" fillId="2" borderId="1" xfId="0" applyFont="1" applyFill="1" applyBorder="1" applyAlignment="1">
      <alignment horizontal="center" vertical="center" wrapText="1"/>
    </xf>
    <xf numFmtId="0" fontId="15" fillId="3" borderId="1" xfId="0" applyFont="1" applyFill="1" applyBorder="1" applyAlignment="1">
      <alignment horizontal="center" vertical="center"/>
    </xf>
    <xf numFmtId="14" fontId="12" fillId="3" borderId="1" xfId="0" applyNumberFormat="1" applyFont="1" applyFill="1" applyBorder="1" applyAlignment="1">
      <alignment horizontal="left" vertical="center"/>
    </xf>
    <xf numFmtId="0" fontId="13" fillId="3" borderId="0" xfId="0" applyFont="1" applyFill="1" applyAlignment="1">
      <alignment horizontal="right"/>
    </xf>
    <xf numFmtId="2" fontId="9" fillId="3" borderId="0" xfId="0" applyNumberFormat="1" applyFont="1" applyFill="1" applyAlignment="1">
      <alignment horizontal="right"/>
    </xf>
    <xf numFmtId="0" fontId="15" fillId="11" borderId="1" xfId="0" applyFont="1" applyFill="1" applyBorder="1" applyAlignment="1">
      <alignment horizontal="center"/>
    </xf>
    <xf numFmtId="0" fontId="15" fillId="2" borderId="1" xfId="0" applyFont="1" applyFill="1" applyBorder="1" applyAlignment="1">
      <alignment horizontal="center"/>
    </xf>
    <xf numFmtId="1" fontId="13" fillId="2" borderId="1" xfId="0" applyNumberFormat="1" applyFont="1" applyFill="1" applyBorder="1" applyAlignment="1">
      <alignment horizontal="center"/>
    </xf>
    <xf numFmtId="49" fontId="63" fillId="13" borderId="38" xfId="0" applyNumberFormat="1" applyFont="1" applyFill="1" applyBorder="1" applyAlignment="1">
      <alignment horizontal="center" vertical="center" wrapText="1"/>
    </xf>
    <xf numFmtId="49" fontId="63" fillId="13" borderId="39" xfId="0" applyNumberFormat="1" applyFont="1" applyFill="1" applyBorder="1" applyAlignment="1">
      <alignment horizontal="center" vertical="center" wrapText="1"/>
    </xf>
    <xf numFmtId="49" fontId="63" fillId="13" borderId="28" xfId="0" applyNumberFormat="1" applyFont="1" applyFill="1" applyBorder="1" applyAlignment="1">
      <alignment horizontal="center" vertical="center" wrapText="1"/>
    </xf>
    <xf numFmtId="49" fontId="63" fillId="13" borderId="45" xfId="0" applyNumberFormat="1" applyFont="1" applyFill="1" applyBorder="1" applyAlignment="1">
      <alignment horizontal="center" vertical="center" wrapText="1"/>
    </xf>
    <xf numFmtId="49" fontId="63" fillId="13" borderId="0" xfId="0" applyNumberFormat="1" applyFont="1" applyFill="1" applyAlignment="1">
      <alignment horizontal="center" vertical="center" wrapText="1"/>
    </xf>
    <xf numFmtId="49" fontId="63" fillId="13" borderId="30" xfId="0" applyNumberFormat="1" applyFont="1" applyFill="1" applyBorder="1" applyAlignment="1">
      <alignment horizontal="center" vertical="center" wrapText="1"/>
    </xf>
    <xf numFmtId="49" fontId="63" fillId="13" borderId="40" xfId="0" applyNumberFormat="1" applyFont="1" applyFill="1" applyBorder="1" applyAlignment="1">
      <alignment horizontal="center" vertical="center" wrapText="1"/>
    </xf>
    <xf numFmtId="49" fontId="63" fillId="13" borderId="41" xfId="0" applyNumberFormat="1" applyFont="1" applyFill="1" applyBorder="1" applyAlignment="1">
      <alignment horizontal="center" vertical="center" wrapText="1"/>
    </xf>
    <xf numFmtId="49" fontId="63" fillId="13" borderId="42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 vertical="center"/>
    </xf>
    <xf numFmtId="0" fontId="17" fillId="5" borderId="5" xfId="0" applyFont="1" applyFill="1" applyBorder="1" applyAlignment="1">
      <alignment horizontal="center"/>
    </xf>
    <xf numFmtId="0" fontId="17" fillId="5" borderId="6" xfId="0" applyFont="1" applyFill="1" applyBorder="1" applyAlignment="1">
      <alignment horizontal="center"/>
    </xf>
    <xf numFmtId="0" fontId="17" fillId="5" borderId="7" xfId="0" applyFont="1" applyFill="1" applyBorder="1" applyAlignment="1">
      <alignment horizontal="center"/>
    </xf>
    <xf numFmtId="0" fontId="17" fillId="5" borderId="38" xfId="0" applyFont="1" applyFill="1" applyBorder="1" applyAlignment="1">
      <alignment horizontal="center"/>
    </xf>
    <xf numFmtId="0" fontId="18" fillId="5" borderId="44" xfId="0" applyFont="1" applyFill="1" applyBorder="1"/>
    <xf numFmtId="0" fontId="17" fillId="5" borderId="25" xfId="0" applyFont="1" applyFill="1" applyBorder="1" applyAlignment="1">
      <alignment horizontal="center"/>
    </xf>
    <xf numFmtId="0" fontId="18" fillId="0" borderId="47" xfId="0" applyFont="1" applyBorder="1"/>
    <xf numFmtId="0" fontId="17" fillId="5" borderId="15" xfId="0" applyFont="1" applyFill="1" applyBorder="1" applyAlignment="1">
      <alignment horizontal="center"/>
    </xf>
    <xf numFmtId="0" fontId="18" fillId="0" borderId="17" xfId="0" applyFont="1" applyBorder="1"/>
    <xf numFmtId="0" fontId="18" fillId="0" borderId="44" xfId="0" applyFont="1" applyBorder="1"/>
    <xf numFmtId="164" fontId="0" fillId="13" borderId="0" xfId="0" applyNumberFormat="1" applyFill="1" applyAlignment="1">
      <alignment horizontal="center" vertical="center"/>
    </xf>
    <xf numFmtId="49" fontId="19" fillId="13" borderId="0" xfId="0" applyNumberFormat="1" applyFont="1" applyFill="1" applyAlignment="1">
      <alignment horizontal="center" vertical="center" wrapText="1"/>
    </xf>
    <xf numFmtId="0" fontId="17" fillId="5" borderId="51" xfId="0" applyFont="1" applyFill="1" applyBorder="1" applyAlignment="1">
      <alignment horizontal="center"/>
    </xf>
    <xf numFmtId="0" fontId="17" fillId="5" borderId="52" xfId="0" applyFont="1" applyFill="1" applyBorder="1" applyAlignment="1">
      <alignment horizontal="center"/>
    </xf>
    <xf numFmtId="0" fontId="17" fillId="5" borderId="53" xfId="0" applyFont="1" applyFill="1" applyBorder="1" applyAlignment="1">
      <alignment horizontal="center"/>
    </xf>
    <xf numFmtId="0" fontId="0" fillId="14" borderId="6" xfId="0" applyFill="1" applyBorder="1" applyAlignment="1">
      <alignment horizontal="center"/>
    </xf>
    <xf numFmtId="0" fontId="0" fillId="14" borderId="7" xfId="0" applyFill="1" applyBorder="1" applyAlignment="1">
      <alignment horizontal="center"/>
    </xf>
    <xf numFmtId="0" fontId="8" fillId="13" borderId="1" xfId="0" applyFont="1" applyFill="1" applyBorder="1" applyAlignment="1">
      <alignment horizontal="center"/>
    </xf>
    <xf numFmtId="0" fontId="9" fillId="13" borderId="1" xfId="0" applyFont="1" applyFill="1" applyBorder="1" applyAlignment="1">
      <alignment horizontal="center"/>
    </xf>
    <xf numFmtId="0" fontId="0" fillId="13" borderId="1" xfId="0" applyFill="1" applyBorder="1" applyAlignment="1">
      <alignment horizontal="center"/>
    </xf>
    <xf numFmtId="0" fontId="48" fillId="13" borderId="38" xfId="0" applyFont="1" applyFill="1" applyBorder="1" applyAlignment="1">
      <alignment horizontal="center" vertical="center" wrapText="1"/>
    </xf>
    <xf numFmtId="0" fontId="48" fillId="13" borderId="39" xfId="0" applyFont="1" applyFill="1" applyBorder="1" applyAlignment="1">
      <alignment horizontal="center" vertical="center"/>
    </xf>
    <xf numFmtId="0" fontId="48" fillId="13" borderId="28" xfId="0" applyFont="1" applyFill="1" applyBorder="1" applyAlignment="1">
      <alignment horizontal="center" vertical="center"/>
    </xf>
    <xf numFmtId="0" fontId="48" fillId="13" borderId="45" xfId="0" applyFont="1" applyFill="1" applyBorder="1" applyAlignment="1">
      <alignment horizontal="center" vertical="center"/>
    </xf>
    <xf numFmtId="0" fontId="48" fillId="13" borderId="0" xfId="0" applyFont="1" applyFill="1" applyAlignment="1">
      <alignment horizontal="center" vertical="center"/>
    </xf>
    <xf numFmtId="0" fontId="48" fillId="13" borderId="30" xfId="0" applyFont="1" applyFill="1" applyBorder="1" applyAlignment="1">
      <alignment horizontal="center" vertical="center"/>
    </xf>
    <xf numFmtId="0" fontId="48" fillId="13" borderId="40" xfId="0" applyFont="1" applyFill="1" applyBorder="1" applyAlignment="1">
      <alignment horizontal="center" vertical="center"/>
    </xf>
    <xf numFmtId="0" fontId="48" fillId="13" borderId="41" xfId="0" applyFont="1" applyFill="1" applyBorder="1" applyAlignment="1">
      <alignment horizontal="center" vertical="center"/>
    </xf>
    <xf numFmtId="0" fontId="48" fillId="13" borderId="42" xfId="0" applyFont="1" applyFill="1" applyBorder="1" applyAlignment="1">
      <alignment horizontal="center" vertical="center"/>
    </xf>
    <xf numFmtId="0" fontId="17" fillId="5" borderId="47" xfId="0" applyFont="1" applyFill="1" applyBorder="1" applyAlignment="1">
      <alignment horizontal="center"/>
    </xf>
    <xf numFmtId="0" fontId="6" fillId="13" borderId="0" xfId="0" applyFont="1" applyFill="1" applyAlignment="1">
      <alignment horizontal="center" vertical="center"/>
    </xf>
    <xf numFmtId="0" fontId="0" fillId="13" borderId="23" xfId="0" applyFill="1" applyBorder="1" applyAlignment="1">
      <alignment horizontal="center" vertical="center"/>
    </xf>
    <xf numFmtId="0" fontId="9" fillId="13" borderId="0" xfId="0" applyFont="1" applyFill="1" applyAlignment="1">
      <alignment horizontal="center" vertical="center"/>
    </xf>
    <xf numFmtId="0" fontId="9" fillId="13" borderId="23" xfId="0" applyFont="1" applyFill="1" applyBorder="1" applyAlignment="1">
      <alignment horizontal="center" vertical="center"/>
    </xf>
    <xf numFmtId="0" fontId="9" fillId="13" borderId="1" xfId="0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14" borderId="38" xfId="0" applyFill="1" applyBorder="1" applyAlignment="1">
      <alignment horizontal="center" wrapText="1"/>
    </xf>
    <xf numFmtId="0" fontId="0" fillId="14" borderId="40" xfId="0" applyFill="1" applyBorder="1" applyAlignment="1">
      <alignment horizontal="center" wrapText="1"/>
    </xf>
    <xf numFmtId="0" fontId="0" fillId="14" borderId="27" xfId="0" applyFill="1" applyBorder="1" applyAlignment="1">
      <alignment horizontal="center" wrapText="1"/>
    </xf>
    <xf numFmtId="0" fontId="0" fillId="14" borderId="14" xfId="0" applyFill="1" applyBorder="1" applyAlignment="1">
      <alignment horizontal="center" wrapText="1"/>
    </xf>
    <xf numFmtId="0" fontId="0" fillId="14" borderId="27" xfId="0" applyFill="1" applyBorder="1" applyAlignment="1">
      <alignment horizontal="center"/>
    </xf>
    <xf numFmtId="0" fontId="0" fillId="14" borderId="14" xfId="0" applyFill="1" applyBorder="1" applyAlignment="1">
      <alignment horizontal="center"/>
    </xf>
    <xf numFmtId="0" fontId="6" fillId="13" borderId="0" xfId="0" applyFont="1" applyFill="1" applyAlignment="1">
      <alignment horizontal="center" vertical="center" wrapText="1"/>
    </xf>
    <xf numFmtId="0" fontId="6" fillId="13" borderId="23" xfId="0" applyFont="1" applyFill="1" applyBorder="1" applyAlignment="1">
      <alignment horizontal="center" vertical="center"/>
    </xf>
    <xf numFmtId="0" fontId="48" fillId="13" borderId="22" xfId="0" applyFont="1" applyFill="1" applyBorder="1" applyAlignment="1">
      <alignment horizontal="left" vertical="center"/>
    </xf>
    <xf numFmtId="0" fontId="48" fillId="13" borderId="0" xfId="0" applyFont="1" applyFill="1" applyAlignment="1">
      <alignment horizontal="left" vertical="center"/>
    </xf>
    <xf numFmtId="0" fontId="58" fillId="13" borderId="0" xfId="0" applyFont="1" applyFill="1" applyAlignment="1">
      <alignment horizontal="center" vertical="center"/>
    </xf>
    <xf numFmtId="0" fontId="56" fillId="13" borderId="0" xfId="0" applyFont="1" applyFill="1" applyAlignment="1">
      <alignment horizontal="center" vertical="center"/>
    </xf>
    <xf numFmtId="0" fontId="6" fillId="13" borderId="1" xfId="0" applyFont="1" applyFill="1" applyBorder="1"/>
    <xf numFmtId="0" fontId="0" fillId="13" borderId="2" xfId="0" applyFill="1" applyBorder="1" applyAlignment="1">
      <alignment horizontal="center" vertical="center" wrapText="1"/>
    </xf>
    <xf numFmtId="0" fontId="0" fillId="13" borderId="3" xfId="0" applyFill="1" applyBorder="1" applyAlignment="1">
      <alignment horizontal="center" vertical="center" wrapText="1"/>
    </xf>
    <xf numFmtId="0" fontId="1" fillId="13" borderId="19" xfId="1" applyFont="1" applyFill="1" applyBorder="1" applyAlignment="1">
      <alignment horizontal="center" vertical="center"/>
    </xf>
    <xf numFmtId="0" fontId="46" fillId="13" borderId="22" xfId="1" applyFill="1" applyBorder="1" applyAlignment="1">
      <alignment horizontal="center" vertical="center"/>
    </xf>
    <xf numFmtId="0" fontId="46" fillId="13" borderId="21" xfId="1" applyFill="1" applyBorder="1" applyAlignment="1">
      <alignment horizontal="center" vertical="center"/>
    </xf>
    <xf numFmtId="0" fontId="9" fillId="13" borderId="18" xfId="1" applyFont="1" applyFill="1" applyBorder="1" applyAlignment="1">
      <alignment horizontal="center"/>
    </xf>
    <xf numFmtId="0" fontId="9" fillId="13" borderId="24" xfId="1" applyFont="1" applyFill="1" applyBorder="1"/>
    <xf numFmtId="0" fontId="9" fillId="13" borderId="43" xfId="1" applyFont="1" applyFill="1" applyBorder="1"/>
    <xf numFmtId="0" fontId="9" fillId="13" borderId="18" xfId="1" applyFont="1" applyFill="1" applyBorder="1" applyAlignment="1">
      <alignment horizontal="left"/>
    </xf>
    <xf numFmtId="0" fontId="9" fillId="13" borderId="24" xfId="1" applyFont="1" applyFill="1" applyBorder="1" applyAlignment="1">
      <alignment horizontal="left"/>
    </xf>
    <xf numFmtId="0" fontId="9" fillId="13" borderId="43" xfId="1" applyFont="1" applyFill="1" applyBorder="1" applyAlignment="1">
      <alignment horizontal="left"/>
    </xf>
    <xf numFmtId="0" fontId="6" fillId="13" borderId="2" xfId="1" applyFont="1" applyFill="1" applyBorder="1" applyAlignment="1">
      <alignment horizontal="center" vertical="center" wrapText="1"/>
    </xf>
    <xf numFmtId="0" fontId="9" fillId="13" borderId="20" xfId="1" applyFont="1" applyFill="1" applyBorder="1" applyAlignment="1">
      <alignment horizontal="center" vertical="center" wrapText="1"/>
    </xf>
    <xf numFmtId="0" fontId="9" fillId="13" borderId="3" xfId="1" applyFont="1" applyFill="1" applyBorder="1" applyAlignment="1">
      <alignment horizontal="center" vertical="center" wrapText="1"/>
    </xf>
    <xf numFmtId="0" fontId="10" fillId="13" borderId="18" xfId="1" applyFont="1" applyFill="1" applyBorder="1" applyAlignment="1">
      <alignment horizontal="left" vertical="center"/>
    </xf>
    <xf numFmtId="0" fontId="10" fillId="13" borderId="24" xfId="1" applyFont="1" applyFill="1" applyBorder="1" applyAlignment="1">
      <alignment horizontal="left" vertical="center"/>
    </xf>
    <xf numFmtId="0" fontId="10" fillId="13" borderId="43" xfId="1" applyFont="1" applyFill="1" applyBorder="1" applyAlignment="1">
      <alignment horizontal="left" vertical="center"/>
    </xf>
    <xf numFmtId="0" fontId="6" fillId="13" borderId="20" xfId="1" applyFont="1" applyFill="1" applyBorder="1" applyAlignment="1">
      <alignment horizontal="center" vertical="center" wrapText="1"/>
    </xf>
    <xf numFmtId="0" fontId="6" fillId="13" borderId="3" xfId="1" applyFont="1" applyFill="1" applyBorder="1" applyAlignment="1">
      <alignment horizontal="center" vertical="center" wrapText="1"/>
    </xf>
    <xf numFmtId="0" fontId="10" fillId="13" borderId="18" xfId="1" applyFont="1" applyFill="1" applyBorder="1" applyAlignment="1">
      <alignment horizontal="left"/>
    </xf>
    <xf numFmtId="0" fontId="10" fillId="13" borderId="24" xfId="1" applyFont="1" applyFill="1" applyBorder="1" applyAlignment="1">
      <alignment horizontal="left"/>
    </xf>
    <xf numFmtId="0" fontId="10" fillId="13" borderId="43" xfId="1" applyFont="1" applyFill="1" applyBorder="1" applyAlignment="1">
      <alignment horizontal="left"/>
    </xf>
    <xf numFmtId="0" fontId="9" fillId="13" borderId="18" xfId="1" applyFont="1" applyFill="1" applyBorder="1" applyAlignment="1">
      <alignment horizontal="left" vertical="center"/>
    </xf>
    <xf numFmtId="0" fontId="9" fillId="13" borderId="24" xfId="1" applyFont="1" applyFill="1" applyBorder="1" applyAlignment="1">
      <alignment horizontal="left" vertical="center"/>
    </xf>
    <xf numFmtId="0" fontId="9" fillId="13" borderId="43" xfId="1" applyFont="1" applyFill="1" applyBorder="1" applyAlignment="1">
      <alignment horizontal="left" vertical="center"/>
    </xf>
    <xf numFmtId="0" fontId="10" fillId="14" borderId="18" xfId="1" applyFont="1" applyFill="1" applyBorder="1" applyAlignment="1">
      <alignment horizontal="left" vertical="center"/>
    </xf>
    <xf numFmtId="0" fontId="10" fillId="14" borderId="24" xfId="1" applyFont="1" applyFill="1" applyBorder="1" applyAlignment="1">
      <alignment horizontal="left" vertical="center"/>
    </xf>
    <xf numFmtId="0" fontId="10" fillId="14" borderId="43" xfId="1" applyFont="1" applyFill="1" applyBorder="1" applyAlignment="1">
      <alignment horizontal="left" vertical="center"/>
    </xf>
    <xf numFmtId="0" fontId="10" fillId="14" borderId="18" xfId="4" applyFont="1" applyFill="1" applyBorder="1" applyAlignment="1">
      <alignment horizontal="left" vertical="center"/>
    </xf>
    <xf numFmtId="0" fontId="10" fillId="14" borderId="24" xfId="4" applyFont="1" applyFill="1" applyBorder="1" applyAlignment="1">
      <alignment horizontal="left" vertical="center"/>
    </xf>
    <xf numFmtId="0" fontId="10" fillId="14" borderId="43" xfId="4" applyFont="1" applyFill="1" applyBorder="1" applyAlignment="1">
      <alignment horizontal="left" vertical="center"/>
    </xf>
    <xf numFmtId="0" fontId="6" fillId="13" borderId="18" xfId="1" applyFont="1" applyFill="1" applyBorder="1" applyAlignment="1">
      <alignment horizontal="center"/>
    </xf>
    <xf numFmtId="0" fontId="6" fillId="13" borderId="24" xfId="1" applyFont="1" applyFill="1" applyBorder="1"/>
    <xf numFmtId="0" fontId="6" fillId="13" borderId="43" xfId="1" applyFont="1" applyFill="1" applyBorder="1"/>
    <xf numFmtId="0" fontId="6" fillId="13" borderId="18" xfId="1" applyFont="1" applyFill="1" applyBorder="1" applyAlignment="1">
      <alignment horizontal="left"/>
    </xf>
    <xf numFmtId="0" fontId="6" fillId="13" borderId="24" xfId="1" applyFont="1" applyFill="1" applyBorder="1" applyAlignment="1">
      <alignment horizontal="left"/>
    </xf>
    <xf numFmtId="0" fontId="6" fillId="13" borderId="43" xfId="1" applyFont="1" applyFill="1" applyBorder="1" applyAlignment="1">
      <alignment horizontal="left"/>
    </xf>
    <xf numFmtId="0" fontId="6" fillId="13" borderId="18" xfId="0" applyFont="1" applyFill="1" applyBorder="1" applyAlignment="1">
      <alignment horizontal="center"/>
    </xf>
    <xf numFmtId="0" fontId="6" fillId="13" borderId="24" xfId="0" applyFont="1" applyFill="1" applyBorder="1" applyAlignment="1">
      <alignment horizontal="center"/>
    </xf>
    <xf numFmtId="0" fontId="6" fillId="13" borderId="43" xfId="0" applyFont="1" applyFill="1" applyBorder="1" applyAlignment="1">
      <alignment horizontal="center"/>
    </xf>
    <xf numFmtId="0" fontId="51" fillId="3" borderId="41" xfId="1" applyFont="1" applyFill="1" applyBorder="1" applyAlignment="1">
      <alignment horizontal="center"/>
    </xf>
    <xf numFmtId="0" fontId="10" fillId="0" borderId="18" xfId="1" applyFont="1" applyBorder="1" applyAlignment="1">
      <alignment horizontal="left" vertical="center"/>
    </xf>
    <xf numFmtId="0" fontId="10" fillId="0" borderId="24" xfId="1" applyFont="1" applyBorder="1" applyAlignment="1">
      <alignment horizontal="left" vertical="center"/>
    </xf>
    <xf numFmtId="0" fontId="10" fillId="0" borderId="43" xfId="1" applyFont="1" applyBorder="1" applyAlignment="1">
      <alignment horizontal="left" vertical="center"/>
    </xf>
    <xf numFmtId="0" fontId="8" fillId="3" borderId="0" xfId="0" applyFont="1" applyFill="1" applyAlignment="1">
      <alignment horizontal="right"/>
    </xf>
    <xf numFmtId="0" fontId="6" fillId="13" borderId="18" xfId="1" applyFont="1" applyFill="1" applyBorder="1" applyAlignment="1">
      <alignment horizontal="left" vertical="center"/>
    </xf>
    <xf numFmtId="0" fontId="6" fillId="13" borderId="24" xfId="1" applyFont="1" applyFill="1" applyBorder="1" applyAlignment="1">
      <alignment horizontal="left" vertical="center"/>
    </xf>
    <xf numFmtId="0" fontId="6" fillId="13" borderId="43" xfId="1" applyFont="1" applyFill="1" applyBorder="1" applyAlignment="1">
      <alignment horizontal="left" vertical="center"/>
    </xf>
    <xf numFmtId="0" fontId="10" fillId="14" borderId="18" xfId="1" applyFont="1" applyFill="1" applyBorder="1" applyAlignment="1">
      <alignment horizontal="left"/>
    </xf>
    <xf numFmtId="0" fontId="10" fillId="14" borderId="24" xfId="1" applyFont="1" applyFill="1" applyBorder="1" applyAlignment="1">
      <alignment horizontal="left"/>
    </xf>
    <xf numFmtId="0" fontId="10" fillId="14" borderId="43" xfId="1" applyFont="1" applyFill="1" applyBorder="1" applyAlignment="1">
      <alignment horizontal="left"/>
    </xf>
    <xf numFmtId="0" fontId="10" fillId="3" borderId="18" xfId="1" applyFont="1" applyFill="1" applyBorder="1" applyAlignment="1">
      <alignment horizontal="left"/>
    </xf>
    <xf numFmtId="0" fontId="10" fillId="3" borderId="24" xfId="1" applyFont="1" applyFill="1" applyBorder="1" applyAlignment="1">
      <alignment horizontal="left"/>
    </xf>
    <xf numFmtId="0" fontId="10" fillId="3" borderId="43" xfId="1" applyFont="1" applyFill="1" applyBorder="1" applyAlignment="1">
      <alignment horizontal="left"/>
    </xf>
    <xf numFmtId="0" fontId="9" fillId="3" borderId="18" xfId="1" applyFont="1" applyFill="1" applyBorder="1" applyAlignment="1">
      <alignment horizontal="center"/>
    </xf>
    <xf numFmtId="0" fontId="9" fillId="3" borderId="24" xfId="1" applyFont="1" applyFill="1" applyBorder="1"/>
    <xf numFmtId="0" fontId="9" fillId="3" borderId="43" xfId="1" applyFont="1" applyFill="1" applyBorder="1"/>
    <xf numFmtId="0" fontId="9" fillId="3" borderId="2" xfId="1" applyFont="1" applyFill="1" applyBorder="1" applyAlignment="1">
      <alignment horizontal="center" vertical="center" wrapText="1"/>
    </xf>
    <xf numFmtId="0" fontId="9" fillId="3" borderId="20" xfId="1" applyFont="1" applyFill="1" applyBorder="1" applyAlignment="1">
      <alignment horizontal="center" vertical="center" wrapText="1"/>
    </xf>
    <xf numFmtId="0" fontId="9" fillId="3" borderId="3" xfId="1" applyFont="1" applyFill="1" applyBorder="1" applyAlignment="1">
      <alignment horizontal="center" vertical="center" wrapText="1"/>
    </xf>
    <xf numFmtId="0" fontId="9" fillId="13" borderId="2" xfId="1" applyFont="1" applyFill="1" applyBorder="1" applyAlignment="1">
      <alignment horizontal="center" vertical="center" wrapText="1"/>
    </xf>
    <xf numFmtId="0" fontId="10" fillId="13" borderId="18" xfId="1" applyFont="1" applyFill="1" applyBorder="1"/>
    <xf numFmtId="0" fontId="10" fillId="13" borderId="24" xfId="1" applyFont="1" applyFill="1" applyBorder="1"/>
    <xf numFmtId="0" fontId="10" fillId="13" borderId="43" xfId="1" applyFont="1" applyFill="1" applyBorder="1"/>
    <xf numFmtId="0" fontId="0" fillId="0" borderId="20" xfId="0" applyBorder="1"/>
    <xf numFmtId="0" fontId="0" fillId="0" borderId="3" xfId="0" applyBorder="1"/>
    <xf numFmtId="0" fontId="9" fillId="3" borderId="18" xfId="1" applyFont="1" applyFill="1" applyBorder="1" applyAlignment="1">
      <alignment horizontal="left"/>
    </xf>
    <xf numFmtId="0" fontId="9" fillId="3" borderId="24" xfId="1" applyFont="1" applyFill="1" applyBorder="1" applyAlignment="1">
      <alignment horizontal="left"/>
    </xf>
    <xf numFmtId="0" fontId="9" fillId="3" borderId="43" xfId="1" applyFont="1" applyFill="1" applyBorder="1" applyAlignment="1">
      <alignment horizontal="left"/>
    </xf>
    <xf numFmtId="0" fontId="7" fillId="13" borderId="2" xfId="0" applyFont="1" applyFill="1" applyBorder="1" applyAlignment="1">
      <alignment horizontal="center" vertical="center" wrapText="1"/>
    </xf>
    <xf numFmtId="0" fontId="7" fillId="13" borderId="3" xfId="0" applyFont="1" applyFill="1" applyBorder="1" applyAlignment="1">
      <alignment horizontal="center" vertical="center" wrapText="1"/>
    </xf>
    <xf numFmtId="1" fontId="21" fillId="13" borderId="2" xfId="0" applyNumberFormat="1" applyFont="1" applyFill="1" applyBorder="1" applyAlignment="1">
      <alignment horizontal="center" vertical="center" wrapText="1"/>
    </xf>
    <xf numFmtId="1" fontId="21" fillId="13" borderId="3" xfId="0" applyNumberFormat="1" applyFont="1" applyFill="1" applyBorder="1" applyAlignment="1">
      <alignment horizontal="center" vertical="center" wrapText="1"/>
    </xf>
    <xf numFmtId="1" fontId="7" fillId="13" borderId="2" xfId="0" applyNumberFormat="1" applyFont="1" applyFill="1" applyBorder="1" applyAlignment="1">
      <alignment horizontal="center" vertical="center"/>
    </xf>
    <xf numFmtId="1" fontId="7" fillId="13" borderId="3" xfId="0" applyNumberFormat="1" applyFont="1" applyFill="1" applyBorder="1" applyAlignment="1">
      <alignment horizontal="center" vertical="center"/>
    </xf>
    <xf numFmtId="0" fontId="21" fillId="13" borderId="2" xfId="0" applyFont="1" applyFill="1" applyBorder="1" applyAlignment="1">
      <alignment horizontal="center" vertical="center"/>
    </xf>
    <xf numFmtId="0" fontId="21" fillId="13" borderId="20" xfId="0" applyFont="1" applyFill="1" applyBorder="1" applyAlignment="1">
      <alignment horizontal="center" vertical="center"/>
    </xf>
    <xf numFmtId="0" fontId="21" fillId="13" borderId="3" xfId="0" applyFont="1" applyFill="1" applyBorder="1" applyAlignment="1">
      <alignment horizontal="center" vertical="center"/>
    </xf>
    <xf numFmtId="2" fontId="7" fillId="13" borderId="2" xfId="0" applyNumberFormat="1" applyFont="1" applyFill="1" applyBorder="1" applyAlignment="1">
      <alignment horizontal="center" vertical="center"/>
    </xf>
    <xf numFmtId="2" fontId="7" fillId="13" borderId="3" xfId="0" applyNumberFormat="1" applyFont="1" applyFill="1" applyBorder="1" applyAlignment="1">
      <alignment horizontal="center" vertical="center"/>
    </xf>
    <xf numFmtId="2" fontId="21" fillId="13" borderId="2" xfId="0" applyNumberFormat="1" applyFont="1" applyFill="1" applyBorder="1" applyAlignment="1">
      <alignment horizontal="center" vertical="center" wrapText="1"/>
    </xf>
    <xf numFmtId="2" fontId="21" fillId="13" borderId="3" xfId="0" applyNumberFormat="1" applyFont="1" applyFill="1" applyBorder="1" applyAlignment="1">
      <alignment horizontal="center" vertical="center" wrapText="1"/>
    </xf>
    <xf numFmtId="0" fontId="35" fillId="13" borderId="2" xfId="0" applyFont="1" applyFill="1" applyBorder="1" applyAlignment="1">
      <alignment horizontal="center" vertical="center" wrapText="1"/>
    </xf>
    <xf numFmtId="0" fontId="35" fillId="13" borderId="3" xfId="0" applyFont="1" applyFill="1" applyBorder="1" applyAlignment="1">
      <alignment horizontal="center" vertical="center" wrapText="1"/>
    </xf>
    <xf numFmtId="4" fontId="21" fillId="13" borderId="2" xfId="0" applyNumberFormat="1" applyFont="1" applyFill="1" applyBorder="1" applyAlignment="1">
      <alignment horizontal="center" vertical="center" wrapText="1"/>
    </xf>
    <xf numFmtId="4" fontId="21" fillId="13" borderId="3" xfId="0" applyNumberFormat="1" applyFont="1" applyFill="1" applyBorder="1" applyAlignment="1">
      <alignment horizontal="center" vertical="center" wrapText="1"/>
    </xf>
    <xf numFmtId="2" fontId="35" fillId="13" borderId="2" xfId="0" applyNumberFormat="1" applyFont="1" applyFill="1" applyBorder="1" applyAlignment="1">
      <alignment horizontal="center" vertical="center"/>
    </xf>
    <xf numFmtId="2" fontId="35" fillId="13" borderId="3" xfId="0" applyNumberFormat="1" applyFont="1" applyFill="1" applyBorder="1" applyAlignment="1">
      <alignment horizontal="center" vertical="center"/>
    </xf>
    <xf numFmtId="0" fontId="7" fillId="13" borderId="20" xfId="0" applyFont="1" applyFill="1" applyBorder="1" applyAlignment="1">
      <alignment horizontal="center" vertical="center" wrapText="1"/>
    </xf>
    <xf numFmtId="4" fontId="21" fillId="13" borderId="20" xfId="0" applyNumberFormat="1" applyFont="1" applyFill="1" applyBorder="1" applyAlignment="1">
      <alignment horizontal="center" vertical="center" wrapText="1"/>
    </xf>
    <xf numFmtId="4" fontId="7" fillId="13" borderId="2" xfId="0" applyNumberFormat="1" applyFont="1" applyFill="1" applyBorder="1" applyAlignment="1">
      <alignment horizontal="center" vertical="center"/>
    </xf>
    <xf numFmtId="4" fontId="7" fillId="13" borderId="20" xfId="0" applyNumberFormat="1" applyFont="1" applyFill="1" applyBorder="1" applyAlignment="1">
      <alignment horizontal="center" vertical="center"/>
    </xf>
    <xf numFmtId="4" fontId="7" fillId="13" borderId="3" xfId="0" applyNumberFormat="1" applyFont="1" applyFill="1" applyBorder="1" applyAlignment="1">
      <alignment horizontal="center" vertical="center"/>
    </xf>
    <xf numFmtId="2" fontId="7" fillId="13" borderId="20" xfId="0" applyNumberFormat="1" applyFont="1" applyFill="1" applyBorder="1" applyAlignment="1">
      <alignment horizontal="center" vertical="center"/>
    </xf>
    <xf numFmtId="2" fontId="13" fillId="13" borderId="2" xfId="0" applyNumberFormat="1" applyFont="1" applyFill="1" applyBorder="1" applyAlignment="1">
      <alignment horizontal="center" vertical="center"/>
    </xf>
    <xf numFmtId="2" fontId="13" fillId="13" borderId="3" xfId="0" applyNumberFormat="1" applyFont="1" applyFill="1" applyBorder="1" applyAlignment="1">
      <alignment horizontal="center" vertical="center"/>
    </xf>
    <xf numFmtId="4" fontId="13" fillId="13" borderId="2" xfId="0" applyNumberFormat="1" applyFont="1" applyFill="1" applyBorder="1" applyAlignment="1">
      <alignment horizontal="center" vertical="center"/>
    </xf>
    <xf numFmtId="4" fontId="13" fillId="13" borderId="3" xfId="0" applyNumberFormat="1" applyFont="1" applyFill="1" applyBorder="1" applyAlignment="1">
      <alignment horizontal="center" vertical="center"/>
    </xf>
    <xf numFmtId="0" fontId="21" fillId="13" borderId="2" xfId="0" applyFont="1" applyFill="1" applyBorder="1" applyAlignment="1">
      <alignment horizontal="center" vertical="center" wrapText="1"/>
    </xf>
    <xf numFmtId="0" fontId="21" fillId="13" borderId="3" xfId="0" applyFont="1" applyFill="1" applyBorder="1" applyAlignment="1">
      <alignment horizontal="center" vertical="center" wrapText="1"/>
    </xf>
    <xf numFmtId="2" fontId="21" fillId="13" borderId="20" xfId="0" applyNumberFormat="1" applyFont="1" applyFill="1" applyBorder="1" applyAlignment="1">
      <alignment horizontal="center" vertical="center" wrapText="1"/>
    </xf>
    <xf numFmtId="0" fontId="15" fillId="13" borderId="2" xfId="0" applyFont="1" applyFill="1" applyBorder="1" applyAlignment="1">
      <alignment horizontal="center" vertical="center"/>
    </xf>
    <xf numFmtId="0" fontId="15" fillId="13" borderId="20" xfId="0" applyFont="1" applyFill="1" applyBorder="1" applyAlignment="1">
      <alignment horizontal="center" vertical="center"/>
    </xf>
    <xf numFmtId="0" fontId="15" fillId="13" borderId="3" xfId="0" applyFont="1" applyFill="1" applyBorder="1" applyAlignment="1">
      <alignment horizontal="center" vertical="center"/>
    </xf>
    <xf numFmtId="0" fontId="21" fillId="13" borderId="20" xfId="0" applyFont="1" applyFill="1" applyBorder="1" applyAlignment="1">
      <alignment horizontal="center" vertical="center" wrapText="1"/>
    </xf>
    <xf numFmtId="2" fontId="13" fillId="13" borderId="20" xfId="0" applyNumberFormat="1" applyFont="1" applyFill="1" applyBorder="1" applyAlignment="1">
      <alignment horizontal="center" vertical="center"/>
    </xf>
    <xf numFmtId="0" fontId="12" fillId="13" borderId="2" xfId="0" applyFont="1" applyFill="1" applyBorder="1" applyAlignment="1">
      <alignment horizontal="center" vertical="center"/>
    </xf>
    <xf numFmtId="0" fontId="12" fillId="13" borderId="20" xfId="0" applyFont="1" applyFill="1" applyBorder="1" applyAlignment="1">
      <alignment horizontal="center" vertical="center"/>
    </xf>
    <xf numFmtId="0" fontId="12" fillId="13" borderId="3" xfId="0" applyFont="1" applyFill="1" applyBorder="1" applyAlignment="1">
      <alignment horizontal="center" vertical="center"/>
    </xf>
    <xf numFmtId="1" fontId="21" fillId="13" borderId="2" xfId="0" applyNumberFormat="1" applyFont="1" applyFill="1" applyBorder="1" applyAlignment="1">
      <alignment horizontal="center" vertical="center"/>
    </xf>
    <xf numFmtId="1" fontId="21" fillId="13" borderId="3" xfId="0" applyNumberFormat="1" applyFont="1" applyFill="1" applyBorder="1" applyAlignment="1">
      <alignment horizontal="center" vertical="center"/>
    </xf>
    <xf numFmtId="2" fontId="25" fillId="13" borderId="2" xfId="0" applyNumberFormat="1" applyFont="1" applyFill="1" applyBorder="1" applyAlignment="1">
      <alignment horizontal="center" vertical="center"/>
    </xf>
    <xf numFmtId="2" fontId="25" fillId="13" borderId="3" xfId="0" applyNumberFormat="1" applyFont="1" applyFill="1" applyBorder="1" applyAlignment="1">
      <alignment horizontal="center" vertical="center"/>
    </xf>
    <xf numFmtId="4" fontId="25" fillId="13" borderId="2" xfId="0" applyNumberFormat="1" applyFont="1" applyFill="1" applyBorder="1" applyAlignment="1">
      <alignment horizontal="center" vertical="center"/>
    </xf>
    <xf numFmtId="4" fontId="25" fillId="13" borderId="3" xfId="0" applyNumberFormat="1" applyFont="1" applyFill="1" applyBorder="1" applyAlignment="1">
      <alignment horizontal="center" vertical="center"/>
    </xf>
    <xf numFmtId="2" fontId="25" fillId="13" borderId="20" xfId="0" applyNumberFormat="1" applyFont="1" applyFill="1" applyBorder="1" applyAlignment="1">
      <alignment horizontal="center" vertical="center"/>
    </xf>
    <xf numFmtId="0" fontId="41" fillId="13" borderId="2" xfId="0" applyFont="1" applyFill="1" applyBorder="1" applyAlignment="1">
      <alignment horizontal="center" vertical="center"/>
    </xf>
    <xf numFmtId="0" fontId="41" fillId="13" borderId="3" xfId="0" applyFont="1" applyFill="1" applyBorder="1" applyAlignment="1">
      <alignment horizontal="center" vertical="center"/>
    </xf>
    <xf numFmtId="0" fontId="0" fillId="13" borderId="0" xfId="0" applyFill="1" applyAlignment="1">
      <alignment horizontal="center" vertical="center"/>
    </xf>
    <xf numFmtId="0" fontId="66" fillId="13" borderId="0" xfId="0" applyFont="1" applyFill="1" applyAlignment="1">
      <alignment horizontal="center" vertical="center"/>
    </xf>
    <xf numFmtId="0" fontId="10" fillId="3" borderId="18" xfId="1" applyFont="1" applyFill="1" applyBorder="1" applyAlignment="1">
      <alignment horizontal="left" vertical="center"/>
    </xf>
    <xf numFmtId="0" fontId="10" fillId="3" borderId="24" xfId="1" applyFont="1" applyFill="1" applyBorder="1" applyAlignment="1">
      <alignment horizontal="left" vertical="center"/>
    </xf>
    <xf numFmtId="0" fontId="10" fillId="3" borderId="43" xfId="1" applyFont="1" applyFill="1" applyBorder="1" applyAlignment="1">
      <alignment horizontal="left" vertical="center"/>
    </xf>
    <xf numFmtId="0" fontId="9" fillId="3" borderId="18" xfId="1" applyFont="1" applyFill="1" applyBorder="1" applyAlignment="1">
      <alignment horizontal="left" vertical="center"/>
    </xf>
    <xf numFmtId="0" fontId="9" fillId="3" borderId="24" xfId="1" applyFont="1" applyFill="1" applyBorder="1" applyAlignment="1">
      <alignment horizontal="left" vertical="center"/>
    </xf>
    <xf numFmtId="0" fontId="9" fillId="3" borderId="43" xfId="1" applyFont="1" applyFill="1" applyBorder="1" applyAlignment="1">
      <alignment horizontal="left" vertical="center"/>
    </xf>
    <xf numFmtId="0" fontId="46" fillId="13" borderId="0" xfId="1" applyFill="1" applyAlignment="1">
      <alignment horizontal="center"/>
    </xf>
    <xf numFmtId="0" fontId="34" fillId="12" borderId="25" xfId="1" applyFont="1" applyFill="1" applyBorder="1" applyAlignment="1">
      <alignment horizontal="center"/>
    </xf>
    <xf numFmtId="0" fontId="34" fillId="12" borderId="16" xfId="1" applyFont="1" applyFill="1" applyBorder="1" applyAlignment="1">
      <alignment horizontal="center"/>
    </xf>
    <xf numFmtId="0" fontId="34" fillId="12" borderId="31" xfId="1" applyFont="1" applyFill="1" applyBorder="1" applyAlignment="1">
      <alignment horizontal="center"/>
    </xf>
    <xf numFmtId="0" fontId="34" fillId="13" borderId="0" xfId="1" applyFont="1" applyFill="1" applyAlignment="1">
      <alignment horizontal="center"/>
    </xf>
    <xf numFmtId="0" fontId="67" fillId="0" borderId="0" xfId="6" applyFont="1" applyAlignment="1">
      <alignment horizontal="center" vertical="center"/>
    </xf>
    <xf numFmtId="0" fontId="67" fillId="0" borderId="23" xfId="6" applyFont="1" applyBorder="1" applyAlignment="1">
      <alignment horizontal="center" vertical="center"/>
    </xf>
    <xf numFmtId="0" fontId="58" fillId="19" borderId="1" xfId="6" applyFont="1" applyFill="1" applyBorder="1" applyAlignment="1">
      <alignment horizontal="center" vertical="center" wrapText="1"/>
    </xf>
    <xf numFmtId="0" fontId="58" fillId="19" borderId="1" xfId="6" applyFont="1" applyFill="1" applyBorder="1" applyAlignment="1">
      <alignment horizontal="center" vertical="center"/>
    </xf>
    <xf numFmtId="171" fontId="0" fillId="22" borderId="1" xfId="0" applyNumberFormat="1" applyFill="1" applyBorder="1" applyAlignment="1">
      <alignment horizontal="center" vertical="center"/>
    </xf>
    <xf numFmtId="10" fontId="0" fillId="13" borderId="0" xfId="0" applyNumberFormat="1" applyFill="1"/>
    <xf numFmtId="20" fontId="0" fillId="13" borderId="0" xfId="0" applyNumberFormat="1" applyFill="1"/>
  </cellXfs>
  <cellStyles count="7">
    <cellStyle name="Normal" xfId="0" builtinId="0"/>
    <cellStyle name="Normal 2" xfId="1" xr:uid="{00000000-0005-0000-0000-000001000000}"/>
    <cellStyle name="Normal 2 2" xfId="6" xr:uid="{00000000-0005-0000-0000-000002000000}"/>
    <cellStyle name="Normal 2 2 2" xfId="4" xr:uid="{00000000-0005-0000-0000-000003000000}"/>
    <cellStyle name="Normal 3" xfId="3" xr:uid="{00000000-0005-0000-0000-000004000000}"/>
    <cellStyle name="Normal 3 2" xfId="5" xr:uid="{00000000-0005-0000-0000-000005000000}"/>
    <cellStyle name="Porcentagem" xfId="2" builtinId="5"/>
  </cellStyles>
  <dxfs count="6">
    <dxf>
      <font>
        <color rgb="FF92D050"/>
      </font>
      <numFmt numFmtId="0" formatCode="General"/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FF0000"/>
        </patternFill>
      </fill>
    </dxf>
    <dxf>
      <font>
        <color theme="0"/>
      </font>
    </dxf>
    <dxf>
      <font>
        <color theme="0"/>
      </font>
    </dxf>
    <dxf>
      <font>
        <color theme="0"/>
      </font>
      <numFmt numFmtId="2" formatCode="0.0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2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image" Target="../media/image2.jpe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image" Target="../media/image3.em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269876</xdr:colOff>
      <xdr:row>0</xdr:row>
      <xdr:rowOff>74085</xdr:rowOff>
    </xdr:from>
    <xdr:to>
      <xdr:col>3</xdr:col>
      <xdr:colOff>353892</xdr:colOff>
      <xdr:row>3</xdr:row>
      <xdr:rowOff>101835</xdr:rowOff>
    </xdr:to>
    <xdr:pic>
      <xdr:nvPicPr>
        <xdr:cNvPr id="2" name="Imagem 1" descr="Logo LABELO.jpg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17526" y="74085"/>
          <a:ext cx="1675749" cy="51352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219075</xdr:colOff>
          <xdr:row>44</xdr:row>
          <xdr:rowOff>19050</xdr:rowOff>
        </xdr:from>
        <xdr:to>
          <xdr:col>17</xdr:col>
          <xdr:colOff>514350</xdr:colOff>
          <xdr:row>48</xdr:row>
          <xdr:rowOff>9525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Padrões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52</xdr:row>
          <xdr:rowOff>114300</xdr:rowOff>
        </xdr:from>
        <xdr:to>
          <xdr:col>17</xdr:col>
          <xdr:colOff>552450</xdr:colOff>
          <xdr:row>57</xdr:row>
          <xdr:rowOff>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Montar Relatório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6621992</xdr:colOff>
      <xdr:row>0</xdr:row>
      <xdr:rowOff>78318</xdr:rowOff>
    </xdr:from>
    <xdr:to>
      <xdr:col>3</xdr:col>
      <xdr:colOff>459724</xdr:colOff>
      <xdr:row>3</xdr:row>
      <xdr:rowOff>96543</xdr:rowOff>
    </xdr:to>
    <xdr:pic>
      <xdr:nvPicPr>
        <xdr:cNvPr id="2" name="Imagem 1" descr="Logo LABELO.jp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88767" y="78318"/>
          <a:ext cx="1686332" cy="504000"/>
        </a:xfrm>
        <a:prstGeom prst="rect">
          <a:avLst/>
        </a:prstGeom>
      </xdr:spPr>
    </xdr:pic>
    <xdr:clientData/>
  </xdr:twoCellAnchor>
  <xdr:twoCellAnchor editAs="oneCell">
    <xdr:from>
      <xdr:col>0</xdr:col>
      <xdr:colOff>114300</xdr:colOff>
      <xdr:row>0</xdr:row>
      <xdr:rowOff>57150</xdr:rowOff>
    </xdr:from>
    <xdr:to>
      <xdr:col>1</xdr:col>
      <xdr:colOff>165788</xdr:colOff>
      <xdr:row>3</xdr:row>
      <xdr:rowOff>111375</xdr:rowOff>
    </xdr:to>
    <xdr:pic>
      <xdr:nvPicPr>
        <xdr:cNvPr id="3" name="Picture 4" descr="Brasão PUCRS JPG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14300" y="57150"/>
          <a:ext cx="308663" cy="540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14126</xdr:colOff>
      <xdr:row>0</xdr:row>
      <xdr:rowOff>142874</xdr:rowOff>
    </xdr:from>
    <xdr:to>
      <xdr:col>2</xdr:col>
      <xdr:colOff>249142</xdr:colOff>
      <xdr:row>3</xdr:row>
      <xdr:rowOff>77492</xdr:rowOff>
    </xdr:to>
    <xdr:pic>
      <xdr:nvPicPr>
        <xdr:cNvPr id="2" name="Imagem 1" descr="Logo LABELO.jpg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4126" y="142874"/>
          <a:ext cx="1469125" cy="43157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25</xdr:col>
      <xdr:colOff>409452</xdr:colOff>
      <xdr:row>0</xdr:row>
      <xdr:rowOff>143493</xdr:rowOff>
    </xdr:from>
    <xdr:ext cx="1497759" cy="391818"/>
    <xdr:pic>
      <xdr:nvPicPr>
        <xdr:cNvPr id="12" name="Imagem 11" descr="Logo LABELO.jpg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4627679" y="143493"/>
          <a:ext cx="1497759" cy="391818"/>
        </a:xfrm>
        <a:prstGeom prst="rect">
          <a:avLst/>
        </a:prstGeom>
      </xdr:spPr>
    </xdr:pic>
    <xdr:clientData/>
  </xdr:oneCellAnchor>
  <xdr:oneCellAnchor>
    <xdr:from>
      <xdr:col>44</xdr:col>
      <xdr:colOff>409452</xdr:colOff>
      <xdr:row>0</xdr:row>
      <xdr:rowOff>143493</xdr:rowOff>
    </xdr:from>
    <xdr:ext cx="1497759" cy="391818"/>
    <xdr:pic>
      <xdr:nvPicPr>
        <xdr:cNvPr id="14" name="Imagem 13" descr="Logo LABELO.jpg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4625515" y="143493"/>
          <a:ext cx="1497759" cy="391818"/>
        </a:xfrm>
        <a:prstGeom prst="rect">
          <a:avLst/>
        </a:prstGeom>
      </xdr:spPr>
    </xdr:pic>
    <xdr:clientData/>
  </xdr:oneCellAnchor>
  <xdr:oneCellAnchor>
    <xdr:from>
      <xdr:col>0</xdr:col>
      <xdr:colOff>381000</xdr:colOff>
      <xdr:row>0</xdr:row>
      <xdr:rowOff>136071</xdr:rowOff>
    </xdr:from>
    <xdr:ext cx="1497759" cy="391818"/>
    <xdr:pic>
      <xdr:nvPicPr>
        <xdr:cNvPr id="16" name="Imagem 15" descr="Logo LABELO.jpg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81000" y="136071"/>
          <a:ext cx="1497759" cy="391818"/>
        </a:xfrm>
        <a:prstGeom prst="rect">
          <a:avLst/>
        </a:prstGeom>
      </xdr:spPr>
    </xdr:pic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154517</xdr:colOff>
      <xdr:row>0</xdr:row>
      <xdr:rowOff>97368</xdr:rowOff>
    </xdr:from>
    <xdr:to>
      <xdr:col>3</xdr:col>
      <xdr:colOff>107299</xdr:colOff>
      <xdr:row>3</xdr:row>
      <xdr:rowOff>115593</xdr:rowOff>
    </xdr:to>
    <xdr:pic>
      <xdr:nvPicPr>
        <xdr:cNvPr id="2" name="Imagem 1" descr="Logo LABELO.jpg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54517" y="97368"/>
          <a:ext cx="1686332" cy="5040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476808</xdr:colOff>
      <xdr:row>1</xdr:row>
      <xdr:rowOff>52917</xdr:rowOff>
    </xdr:from>
    <xdr:to>
      <xdr:col>14</xdr:col>
      <xdr:colOff>804117</xdr:colOff>
      <xdr:row>4</xdr:row>
      <xdr:rowOff>116667</xdr:rowOff>
    </xdr:to>
    <xdr:pic>
      <xdr:nvPicPr>
        <xdr:cNvPr id="3" name="Picture 4" descr="Brasão PUCRS JPG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16899" y="208781"/>
          <a:ext cx="327309" cy="531341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57765</xdr:colOff>
      <xdr:row>1</xdr:row>
      <xdr:rowOff>51673</xdr:rowOff>
    </xdr:from>
    <xdr:to>
      <xdr:col>3</xdr:col>
      <xdr:colOff>321093</xdr:colOff>
      <xdr:row>4</xdr:row>
      <xdr:rowOff>79423</xdr:rowOff>
    </xdr:to>
    <xdr:pic>
      <xdr:nvPicPr>
        <xdr:cNvPr id="2" name="Imagem 1" descr="Logo LABELO.jpg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96310" y="207537"/>
          <a:ext cx="1752692" cy="495341"/>
        </a:xfrm>
        <a:prstGeom prst="rect">
          <a:avLst/>
        </a:prstGeom>
      </xdr:spPr>
    </xdr:pic>
    <xdr:clientData/>
  </xdr:twoCellAnchor>
  <xdr:oneCellAnchor>
    <xdr:from>
      <xdr:col>17</xdr:col>
      <xdr:colOff>57765</xdr:colOff>
      <xdr:row>1</xdr:row>
      <xdr:rowOff>51673</xdr:rowOff>
    </xdr:from>
    <xdr:ext cx="1752692" cy="495341"/>
    <xdr:pic>
      <xdr:nvPicPr>
        <xdr:cNvPr id="11" name="Imagem 10" descr="Logo LABELO.jpg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96310" y="207537"/>
          <a:ext cx="1752692" cy="495341"/>
        </a:xfrm>
        <a:prstGeom prst="rect">
          <a:avLst/>
        </a:prstGeom>
      </xdr:spPr>
    </xdr:pic>
    <xdr:clientData/>
  </xdr:oneCellAnchor>
  <xdr:oneCellAnchor>
    <xdr:from>
      <xdr:col>14</xdr:col>
      <xdr:colOff>476808</xdr:colOff>
      <xdr:row>68</xdr:row>
      <xdr:rowOff>52917</xdr:rowOff>
    </xdr:from>
    <xdr:ext cx="327309" cy="531341"/>
    <xdr:pic>
      <xdr:nvPicPr>
        <xdr:cNvPr id="18" name="Picture 4" descr="Brasão PUCRS JPG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16899" y="208781"/>
          <a:ext cx="327309" cy="531341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</xdr:col>
      <xdr:colOff>57765</xdr:colOff>
      <xdr:row>68</xdr:row>
      <xdr:rowOff>51673</xdr:rowOff>
    </xdr:from>
    <xdr:ext cx="1752692" cy="495341"/>
    <xdr:pic>
      <xdr:nvPicPr>
        <xdr:cNvPr id="19" name="Imagem 18" descr="Logo LABELO.jpg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96310" y="207537"/>
          <a:ext cx="1752692" cy="495341"/>
        </a:xfrm>
        <a:prstGeom prst="rect">
          <a:avLst/>
        </a:prstGeom>
      </xdr:spPr>
    </xdr:pic>
    <xdr:clientData/>
  </xdr:oneCellAnchor>
  <xdr:oneCellAnchor>
    <xdr:from>
      <xdr:col>17</xdr:col>
      <xdr:colOff>57765</xdr:colOff>
      <xdr:row>68</xdr:row>
      <xdr:rowOff>51673</xdr:rowOff>
    </xdr:from>
    <xdr:ext cx="1752692" cy="495341"/>
    <xdr:pic>
      <xdr:nvPicPr>
        <xdr:cNvPr id="21" name="Imagem 20" descr="Logo LABELO.jpg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0344765" y="207537"/>
          <a:ext cx="1752692" cy="495341"/>
        </a:xfrm>
        <a:prstGeom prst="rect">
          <a:avLst/>
        </a:prstGeom>
      </xdr:spPr>
    </xdr:pic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112193</xdr:colOff>
      <xdr:row>2</xdr:row>
      <xdr:rowOff>160530</xdr:rowOff>
    </xdr:from>
    <xdr:ext cx="2320803" cy="655899"/>
    <xdr:pic>
      <xdr:nvPicPr>
        <xdr:cNvPr id="3" name="Imagem 2" descr="Logo LABELO.jpg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16300" y="487101"/>
          <a:ext cx="2320803" cy="655899"/>
        </a:xfrm>
        <a:prstGeom prst="rect">
          <a:avLst/>
        </a:prstGeom>
      </xdr:spPr>
    </xdr:pic>
    <xdr:clientData/>
  </xdr:oneCellAnchor>
  <xdr:oneCellAnchor>
    <xdr:from>
      <xdr:col>14</xdr:col>
      <xdr:colOff>526288</xdr:colOff>
      <xdr:row>73</xdr:row>
      <xdr:rowOff>29059</xdr:rowOff>
    </xdr:from>
    <xdr:ext cx="323479" cy="525123"/>
    <xdr:pic>
      <xdr:nvPicPr>
        <xdr:cNvPr id="14" name="Picture 4" descr="Brasão PUCRS JPG">
          <a:extLst>
            <a:ext uri="{FF2B5EF4-FFF2-40B4-BE49-F238E27FC236}">
              <a16:creationId xmlns:a16="http://schemas.microsoft.com/office/drawing/2014/main" id="{00000000-0008-0000-07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0813288" y="13156241"/>
          <a:ext cx="323479" cy="52512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</xdr:col>
      <xdr:colOff>129512</xdr:colOff>
      <xdr:row>73</xdr:row>
      <xdr:rowOff>73939</xdr:rowOff>
    </xdr:from>
    <xdr:ext cx="1827444" cy="516467"/>
    <xdr:pic>
      <xdr:nvPicPr>
        <xdr:cNvPr id="15" name="Imagem 14" descr="Logo LABELO.jpg">
          <a:extLst>
            <a:ext uri="{FF2B5EF4-FFF2-40B4-BE49-F238E27FC236}">
              <a16:creationId xmlns:a16="http://schemas.microsoft.com/office/drawing/2014/main" id="{00000000-0008-0000-07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37330" y="13201121"/>
          <a:ext cx="1827444" cy="516467"/>
        </a:xfrm>
        <a:prstGeom prst="rect">
          <a:avLst/>
        </a:prstGeom>
      </xdr:spPr>
    </xdr:pic>
    <xdr:clientData/>
  </xdr:oneCellAnchor>
  <xdr:oneCellAnchor>
    <xdr:from>
      <xdr:col>14</xdr:col>
      <xdr:colOff>526288</xdr:colOff>
      <xdr:row>145</xdr:row>
      <xdr:rowOff>29059</xdr:rowOff>
    </xdr:from>
    <xdr:ext cx="323479" cy="525123"/>
    <xdr:pic>
      <xdr:nvPicPr>
        <xdr:cNvPr id="16" name="Picture 4" descr="Brasão PUCRS JPG">
          <a:extLst>
            <a:ext uri="{FF2B5EF4-FFF2-40B4-BE49-F238E27FC236}">
              <a16:creationId xmlns:a16="http://schemas.microsoft.com/office/drawing/2014/main" id="{00000000-0008-0000-07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0840502" y="13377666"/>
          <a:ext cx="323479" cy="52512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</xdr:col>
      <xdr:colOff>129512</xdr:colOff>
      <xdr:row>145</xdr:row>
      <xdr:rowOff>73939</xdr:rowOff>
    </xdr:from>
    <xdr:ext cx="1827444" cy="516467"/>
    <xdr:pic>
      <xdr:nvPicPr>
        <xdr:cNvPr id="17" name="Imagem 16" descr="Logo LABELO.jpg">
          <a:extLst>
            <a:ext uri="{FF2B5EF4-FFF2-40B4-BE49-F238E27FC236}">
              <a16:creationId xmlns:a16="http://schemas.microsoft.com/office/drawing/2014/main" id="{00000000-0008-0000-07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33619" y="13422546"/>
          <a:ext cx="1827444" cy="516467"/>
        </a:xfrm>
        <a:prstGeom prst="rect">
          <a:avLst/>
        </a:prstGeom>
      </xdr:spPr>
    </xdr:pic>
    <xdr:clientData/>
  </xdr:oneCellAnchor>
  <xdr:oneCellAnchor>
    <xdr:from>
      <xdr:col>14</xdr:col>
      <xdr:colOff>526288</xdr:colOff>
      <xdr:row>230</xdr:row>
      <xdr:rowOff>29059</xdr:rowOff>
    </xdr:from>
    <xdr:ext cx="323479" cy="525123"/>
    <xdr:pic>
      <xdr:nvPicPr>
        <xdr:cNvPr id="18" name="Picture 4" descr="Brasão PUCRS JPG">
          <a:extLst>
            <a:ext uri="{FF2B5EF4-FFF2-40B4-BE49-F238E27FC236}">
              <a16:creationId xmlns:a16="http://schemas.microsoft.com/office/drawing/2014/main" id="{00000000-0008-0000-0700-00001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0813288" y="25833150"/>
          <a:ext cx="323479" cy="52512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</xdr:col>
      <xdr:colOff>129512</xdr:colOff>
      <xdr:row>230</xdr:row>
      <xdr:rowOff>73939</xdr:rowOff>
    </xdr:from>
    <xdr:ext cx="1827444" cy="516467"/>
    <xdr:pic>
      <xdr:nvPicPr>
        <xdr:cNvPr id="19" name="Imagem 18" descr="Logo LABELO.jpg">
          <a:extLst>
            <a:ext uri="{FF2B5EF4-FFF2-40B4-BE49-F238E27FC236}">
              <a16:creationId xmlns:a16="http://schemas.microsoft.com/office/drawing/2014/main" id="{00000000-0008-0000-07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37330" y="25878030"/>
          <a:ext cx="1827444" cy="516467"/>
        </a:xfrm>
        <a:prstGeom prst="rect">
          <a:avLst/>
        </a:prstGeom>
      </xdr:spPr>
    </xdr:pic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171450</xdr:colOff>
      <xdr:row>7</xdr:row>
      <xdr:rowOff>142875</xdr:rowOff>
    </xdr:from>
    <xdr:to>
      <xdr:col>16</xdr:col>
      <xdr:colOff>276225</xdr:colOff>
      <xdr:row>11</xdr:row>
      <xdr:rowOff>47626</xdr:rowOff>
    </xdr:to>
    <xdr:pic>
      <xdr:nvPicPr>
        <xdr:cNvPr id="2431" name="Picture 1">
          <a:extLst>
            <a:ext uri="{FF2B5EF4-FFF2-40B4-BE49-F238E27FC236}">
              <a16:creationId xmlns:a16="http://schemas.microsoft.com/office/drawing/2014/main" id="{00000000-0008-0000-0800-00007F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15475" y="647700"/>
          <a:ext cx="3181350" cy="8953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oneCellAnchor>
    <xdr:from>
      <xdr:col>2</xdr:col>
      <xdr:colOff>207443</xdr:colOff>
      <xdr:row>1</xdr:row>
      <xdr:rowOff>78887</xdr:rowOff>
    </xdr:from>
    <xdr:ext cx="1901665" cy="537443"/>
    <xdr:pic>
      <xdr:nvPicPr>
        <xdr:cNvPr id="4" name="Imagem 3" descr="Logo LABELO.jpg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29264" y="242173"/>
          <a:ext cx="1901665" cy="537443"/>
        </a:xfrm>
        <a:prstGeom prst="rect">
          <a:avLst/>
        </a:prstGeom>
      </xdr:spPr>
    </xdr:pic>
    <xdr:clientData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207443</xdr:colOff>
      <xdr:row>1</xdr:row>
      <xdr:rowOff>78887</xdr:rowOff>
    </xdr:from>
    <xdr:ext cx="1901665" cy="537443"/>
    <xdr:pic>
      <xdr:nvPicPr>
        <xdr:cNvPr id="3" name="Imagem 2" descr="Logo LABELO.jpg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26543" y="240812"/>
          <a:ext cx="1901665" cy="537443"/>
        </a:xfrm>
        <a:prstGeom prst="rect">
          <a:avLst/>
        </a:prstGeom>
      </xdr:spPr>
    </xdr:pic>
    <xdr:clientData/>
  </xdr:oneCellAnchor>
  <xdr:oneCellAnchor>
    <xdr:from>
      <xdr:col>21</xdr:col>
      <xdr:colOff>207443</xdr:colOff>
      <xdr:row>1</xdr:row>
      <xdr:rowOff>78887</xdr:rowOff>
    </xdr:from>
    <xdr:ext cx="1901665" cy="537443"/>
    <xdr:pic>
      <xdr:nvPicPr>
        <xdr:cNvPr id="5" name="Imagem 4" descr="Logo LABELO.jpg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445568" y="269387"/>
          <a:ext cx="1901665" cy="537443"/>
        </a:xfrm>
        <a:prstGeom prst="rect">
          <a:avLst/>
        </a:prstGeom>
      </xdr:spPr>
    </xdr:pic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OA01SAL01\Labelo_Qualidade$\02%20Sistema%20da%20Qualidade\03%20Ensaios\Garantias%20Internas\2020\DOM\GI%2010_20_CAD\FOR%207710%20-%20rev%2000%20-%20Garantia%20interna%20&#8211;%20R&amp;R1%20-%20Variabilidade%20da%20c&#226;mara%20clim&#225;tica%20(pot&#234;ncia)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Q:\02%20Sistema%20da%20Qualidade\03%20Ensaios\Garantias%20Internas\2020\DOM\GI%2009_20_CAD\FOR%207710%20-%20rev%2000%20-%20Garantia%20interna%20&#8211;%20R&amp;R1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Opção 1"/>
      <sheetName val="GIQ_R&amp;R"/>
    </sheetNames>
    <sheetDataSet>
      <sheetData sheetId="0"/>
      <sheetData sheetId="1">
        <row r="15">
          <cell r="C15">
            <v>1219.4804904671998</v>
          </cell>
          <cell r="D15">
            <v>1219.68030144</v>
          </cell>
          <cell r="E15">
            <v>1217.6805527040001</v>
          </cell>
          <cell r="F15">
            <v>1234.8764566528</v>
          </cell>
          <cell r="G15">
            <v>1231</v>
          </cell>
          <cell r="H15">
            <v>1229.4777333695999</v>
          </cell>
          <cell r="I15"/>
          <cell r="J15"/>
          <cell r="K15"/>
          <cell r="L15"/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Opção 1"/>
      <sheetName val="GIQ_R&amp;R"/>
    </sheetNames>
    <sheetDataSet>
      <sheetData sheetId="0"/>
      <sheetData sheetId="1">
        <row r="15">
          <cell r="C15">
            <v>9.8160000000000007</v>
          </cell>
        </row>
        <row r="17">
          <cell r="C17">
            <v>9.8780000000000001</v>
          </cell>
        </row>
        <row r="19">
          <cell r="C19">
            <v>9.8179999999999996</v>
          </cell>
        </row>
        <row r="21">
          <cell r="C21">
            <v>9.8870000000000005</v>
          </cell>
        </row>
        <row r="23">
          <cell r="C23">
            <v>9.8239999999999998</v>
          </cell>
        </row>
        <row r="25">
          <cell r="C25">
            <v>9.9160000000000004</v>
          </cell>
        </row>
        <row r="27">
          <cell r="C27">
            <v>9.8490000000000002</v>
          </cell>
        </row>
        <row r="29">
          <cell r="C29">
            <v>9.9290000000000003</v>
          </cell>
        </row>
        <row r="31">
          <cell r="C31">
            <v>9.8610000000000007</v>
          </cell>
        </row>
        <row r="33">
          <cell r="C33">
            <v>9.9459999999999997</v>
          </cell>
        </row>
      </sheetData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cluir_1" connectionId="1" xr16:uid="{00000000-0016-0000-0200-000000000000}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3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7">
    <pageSetUpPr fitToPage="1"/>
  </sheetPr>
  <dimension ref="A1:Z82"/>
  <sheetViews>
    <sheetView tabSelected="1" zoomScale="90" zoomScaleNormal="90" zoomScalePageLayoutView="70" workbookViewId="0">
      <selection activeCell="L28" sqref="L28:N28"/>
    </sheetView>
  </sheetViews>
  <sheetFormatPr defaultRowHeight="12.75" x14ac:dyDescent="0.2"/>
  <cols>
    <col min="1" max="1" width="3.7109375" style="9" customWidth="1"/>
    <col min="2" max="2" width="12.140625" style="9" customWidth="1"/>
    <col min="3" max="3" width="11.7109375" style="9" customWidth="1"/>
    <col min="4" max="4" width="10.85546875" style="9" customWidth="1"/>
    <col min="5" max="5" width="9.140625" style="9" customWidth="1"/>
    <col min="6" max="6" width="11.7109375" style="9" customWidth="1"/>
    <col min="7" max="7" width="12.7109375" style="9" bestFit="1" customWidth="1"/>
    <col min="8" max="8" width="10.28515625" style="9" customWidth="1"/>
    <col min="9" max="9" width="8.42578125" style="9" customWidth="1"/>
    <col min="10" max="10" width="8" style="9" customWidth="1"/>
    <col min="11" max="11" width="16.7109375" style="9" bestFit="1" customWidth="1"/>
    <col min="12" max="12" width="7.140625" style="9" bestFit="1" customWidth="1"/>
    <col min="13" max="13" width="7.42578125" style="9" customWidth="1"/>
    <col min="14" max="14" width="14.85546875" style="9" customWidth="1"/>
    <col min="15" max="15" width="9.42578125" style="9" customWidth="1"/>
    <col min="16" max="16" width="9.140625" style="9"/>
    <col min="17" max="18" width="10.5703125" style="9" customWidth="1"/>
    <col min="19" max="19" width="12.140625" style="9" bestFit="1" customWidth="1"/>
    <col min="20" max="20" width="9.140625" style="9"/>
    <col min="21" max="21" width="11.7109375" style="9" bestFit="1" customWidth="1"/>
    <col min="22" max="22" width="9.85546875" style="9" bestFit="1" customWidth="1"/>
    <col min="23" max="23" width="5" style="9" bestFit="1" customWidth="1"/>
    <col min="24" max="24" width="6.28515625" style="9" bestFit="1" customWidth="1"/>
    <col min="25" max="25" width="8.85546875" style="9" bestFit="1" customWidth="1"/>
    <col min="26" max="26" width="9.140625" style="9"/>
    <col min="27" max="27" width="5.42578125" style="9" customWidth="1"/>
    <col min="28" max="16384" width="9.140625" style="9"/>
  </cols>
  <sheetData>
    <row r="1" spans="1:19" ht="12.75" customHeight="1" x14ac:dyDescent="0.2">
      <c r="A1" s="649" t="s">
        <v>472</v>
      </c>
      <c r="B1" s="650"/>
      <c r="C1" s="650"/>
      <c r="D1" s="650"/>
      <c r="E1" s="650"/>
      <c r="F1" s="650"/>
      <c r="G1" s="650"/>
      <c r="H1" s="650"/>
      <c r="I1" s="650"/>
      <c r="J1" s="650"/>
      <c r="K1" s="650"/>
      <c r="L1" s="650"/>
      <c r="M1" s="650"/>
      <c r="N1" s="650"/>
      <c r="O1" s="650"/>
      <c r="P1" s="650"/>
      <c r="Q1" s="650"/>
      <c r="R1" s="650"/>
      <c r="S1" s="651"/>
    </row>
    <row r="2" spans="1:19" ht="12.75" customHeight="1" x14ac:dyDescent="0.2">
      <c r="A2" s="652"/>
      <c r="B2" s="653"/>
      <c r="C2" s="653"/>
      <c r="D2" s="653"/>
      <c r="E2" s="653"/>
      <c r="F2" s="653"/>
      <c r="G2" s="653"/>
      <c r="H2" s="653"/>
      <c r="I2" s="653"/>
      <c r="J2" s="653"/>
      <c r="K2" s="653"/>
      <c r="L2" s="653"/>
      <c r="M2" s="653"/>
      <c r="N2" s="653"/>
      <c r="O2" s="653"/>
      <c r="P2" s="653"/>
      <c r="Q2" s="653"/>
      <c r="R2" s="653"/>
      <c r="S2" s="654"/>
    </row>
    <row r="3" spans="1:19" ht="12.75" customHeight="1" x14ac:dyDescent="0.2">
      <c r="A3" s="652"/>
      <c r="B3" s="653"/>
      <c r="C3" s="653"/>
      <c r="D3" s="653"/>
      <c r="E3" s="653"/>
      <c r="F3" s="653"/>
      <c r="G3" s="653"/>
      <c r="H3" s="653"/>
      <c r="I3" s="653"/>
      <c r="J3" s="653"/>
      <c r="K3" s="653"/>
      <c r="L3" s="653"/>
      <c r="M3" s="653"/>
      <c r="N3" s="653"/>
      <c r="O3" s="653"/>
      <c r="P3" s="653"/>
      <c r="Q3" s="653"/>
      <c r="R3" s="653"/>
      <c r="S3" s="654"/>
    </row>
    <row r="4" spans="1:19" ht="12.75" customHeight="1" x14ac:dyDescent="0.2">
      <c r="A4" s="655"/>
      <c r="B4" s="656"/>
      <c r="C4" s="656"/>
      <c r="D4" s="656"/>
      <c r="E4" s="656"/>
      <c r="F4" s="656"/>
      <c r="G4" s="656"/>
      <c r="H4" s="656"/>
      <c r="I4" s="656"/>
      <c r="J4" s="656"/>
      <c r="K4" s="656"/>
      <c r="L4" s="656"/>
      <c r="M4" s="656"/>
      <c r="N4" s="656"/>
      <c r="O4" s="656"/>
      <c r="P4" s="656"/>
      <c r="Q4" s="656"/>
      <c r="R4" s="656"/>
      <c r="S4" s="657"/>
    </row>
    <row r="5" spans="1:19" x14ac:dyDescent="0.2">
      <c r="P5" s="633"/>
      <c r="Q5" s="634"/>
      <c r="R5" s="634"/>
      <c r="S5" s="634"/>
    </row>
    <row r="6" spans="1:19" x14ac:dyDescent="0.2">
      <c r="O6" s="708" t="s">
        <v>400</v>
      </c>
      <c r="P6" s="708"/>
      <c r="Q6" s="708"/>
      <c r="R6" s="708"/>
    </row>
    <row r="7" spans="1:19" x14ac:dyDescent="0.2">
      <c r="O7" s="395" t="s">
        <v>401</v>
      </c>
      <c r="P7" s="711" t="s">
        <v>402</v>
      </c>
      <c r="Q7" s="711"/>
      <c r="R7" s="395" t="s">
        <v>403</v>
      </c>
    </row>
    <row r="8" spans="1:19" ht="12.75" customHeight="1" x14ac:dyDescent="0.2">
      <c r="B8" s="638" t="s">
        <v>325</v>
      </c>
      <c r="C8" s="638"/>
      <c r="D8" s="638"/>
      <c r="E8" s="638"/>
      <c r="F8" s="659"/>
      <c r="G8" s="659"/>
      <c r="I8" s="665" t="s">
        <v>399</v>
      </c>
      <c r="J8" s="665"/>
      <c r="K8" s="665"/>
      <c r="L8" s="665"/>
      <c r="M8" s="665"/>
      <c r="O8" s="428" t="s">
        <v>459</v>
      </c>
      <c r="P8" s="709" t="s">
        <v>460</v>
      </c>
      <c r="Q8" s="710"/>
      <c r="R8" s="428" t="s">
        <v>483</v>
      </c>
    </row>
    <row r="9" spans="1:19" ht="13.5" customHeight="1" x14ac:dyDescent="0.2">
      <c r="B9" s="638" t="s">
        <v>341</v>
      </c>
      <c r="C9" s="638"/>
      <c r="D9" s="638"/>
      <c r="E9" s="638"/>
      <c r="F9" s="659" t="s">
        <v>563</v>
      </c>
      <c r="G9" s="659"/>
      <c r="I9" s="665"/>
      <c r="J9" s="665"/>
      <c r="K9" s="665"/>
      <c r="L9" s="665"/>
      <c r="M9" s="665"/>
      <c r="O9" s="428" t="s">
        <v>459</v>
      </c>
      <c r="P9" s="709" t="s">
        <v>567</v>
      </c>
      <c r="Q9" s="710"/>
      <c r="R9" s="428" t="s">
        <v>568</v>
      </c>
    </row>
    <row r="10" spans="1:19" x14ac:dyDescent="0.2">
      <c r="B10" s="638" t="s">
        <v>404</v>
      </c>
      <c r="C10" s="638"/>
      <c r="D10" s="637"/>
      <c r="E10" s="712"/>
      <c r="F10" s="712"/>
      <c r="G10" s="712"/>
      <c r="I10" s="642" t="s">
        <v>462</v>
      </c>
      <c r="J10" s="642"/>
      <c r="K10" s="642"/>
      <c r="L10" s="642"/>
      <c r="M10" s="642"/>
      <c r="O10" s="428" t="s">
        <v>461</v>
      </c>
      <c r="P10" s="709" t="s">
        <v>494</v>
      </c>
      <c r="Q10" s="710"/>
      <c r="R10" s="428" t="s">
        <v>495</v>
      </c>
    </row>
    <row r="11" spans="1:19" ht="13.5" customHeight="1" x14ac:dyDescent="0.2">
      <c r="A11" s="398"/>
      <c r="B11" s="638" t="s">
        <v>405</v>
      </c>
      <c r="C11" s="638"/>
      <c r="D11" s="637"/>
      <c r="E11" s="637"/>
      <c r="F11" s="637"/>
      <c r="G11" s="637"/>
      <c r="I11" s="642"/>
      <c r="J11" s="642"/>
      <c r="K11" s="642"/>
      <c r="L11" s="642"/>
      <c r="M11" s="642"/>
      <c r="O11" s="428"/>
      <c r="P11" s="709"/>
      <c r="Q11" s="710"/>
      <c r="R11" s="428"/>
    </row>
    <row r="12" spans="1:19" ht="13.5" customHeight="1" x14ac:dyDescent="0.2">
      <c r="B12" s="638" t="s">
        <v>406</v>
      </c>
      <c r="C12" s="638"/>
      <c r="D12" s="637"/>
      <c r="E12" s="712"/>
      <c r="F12" s="712"/>
      <c r="G12" s="712"/>
      <c r="I12" s="642"/>
      <c r="J12" s="642"/>
      <c r="K12" s="642"/>
      <c r="L12" s="642"/>
      <c r="M12" s="642"/>
      <c r="O12" s="428"/>
      <c r="P12" s="707"/>
      <c r="Q12" s="707"/>
      <c r="R12" s="428"/>
    </row>
    <row r="13" spans="1:19" ht="13.5" customHeight="1" x14ac:dyDescent="0.2">
      <c r="I13" s="642"/>
      <c r="J13" s="642"/>
      <c r="K13" s="642"/>
      <c r="L13" s="642"/>
      <c r="M13" s="642"/>
      <c r="O13" s="428"/>
      <c r="P13" s="707"/>
      <c r="Q13" s="707"/>
      <c r="R13" s="428"/>
    </row>
    <row r="14" spans="1:19" ht="13.5" customHeight="1" x14ac:dyDescent="0.2">
      <c r="B14" s="641" t="s">
        <v>324</v>
      </c>
      <c r="C14" s="641"/>
      <c r="D14" s="641"/>
      <c r="E14" s="641"/>
      <c r="F14" s="641"/>
      <c r="G14" s="641"/>
    </row>
    <row r="15" spans="1:19" ht="13.5" customHeight="1" x14ac:dyDescent="0.2">
      <c r="B15" s="636" t="s">
        <v>374</v>
      </c>
      <c r="C15" s="636"/>
      <c r="D15" s="636"/>
      <c r="E15" s="637" t="s">
        <v>576</v>
      </c>
      <c r="F15" s="637"/>
      <c r="G15" s="637"/>
      <c r="I15" s="660" t="s">
        <v>320</v>
      </c>
      <c r="J15" s="660"/>
      <c r="K15" s="660"/>
      <c r="L15" s="660"/>
      <c r="M15" s="266"/>
      <c r="N15" s="266"/>
      <c r="P15" s="639" t="s">
        <v>177</v>
      </c>
      <c r="Q15" s="639"/>
      <c r="R15" s="429">
        <v>1008.4</v>
      </c>
      <c r="S15" s="141" t="s">
        <v>179</v>
      </c>
    </row>
    <row r="16" spans="1:19" ht="13.5" customHeight="1" x14ac:dyDescent="0.2">
      <c r="B16" s="636" t="s">
        <v>282</v>
      </c>
      <c r="C16" s="636"/>
      <c r="D16" s="636"/>
      <c r="E16" s="644">
        <v>45093</v>
      </c>
      <c r="F16" s="644"/>
      <c r="G16" s="644"/>
      <c r="I16" s="636" t="s">
        <v>326</v>
      </c>
      <c r="J16" s="636"/>
      <c r="K16" s="636"/>
      <c r="L16" s="424" t="s">
        <v>458</v>
      </c>
      <c r="M16" s="664"/>
      <c r="N16" s="664"/>
      <c r="P16" s="639" t="s">
        <v>344</v>
      </c>
      <c r="Q16" s="639"/>
      <c r="R16" s="430">
        <v>3.22</v>
      </c>
      <c r="S16" s="141" t="s">
        <v>371</v>
      </c>
    </row>
    <row r="17" spans="2:26" ht="12.75" customHeight="1" x14ac:dyDescent="0.2">
      <c r="B17" s="636" t="s">
        <v>314</v>
      </c>
      <c r="C17" s="636"/>
      <c r="D17" s="636"/>
      <c r="E17" s="666" t="s">
        <v>579</v>
      </c>
      <c r="F17" s="666"/>
      <c r="G17" s="666"/>
      <c r="I17" s="636" t="s">
        <v>28</v>
      </c>
      <c r="J17" s="636"/>
      <c r="K17" s="636"/>
      <c r="L17" s="425">
        <v>9000</v>
      </c>
      <c r="M17" s="664" t="s">
        <v>29</v>
      </c>
      <c r="N17" s="664"/>
      <c r="P17" s="639" t="s">
        <v>345</v>
      </c>
      <c r="Q17" s="639"/>
      <c r="R17" s="430">
        <v>1</v>
      </c>
    </row>
    <row r="18" spans="2:26" ht="12.75" customHeight="1" x14ac:dyDescent="0.2">
      <c r="B18" s="636" t="s">
        <v>303</v>
      </c>
      <c r="C18" s="636"/>
      <c r="D18" s="636"/>
      <c r="E18" s="637" t="s">
        <v>580</v>
      </c>
      <c r="F18" s="637"/>
      <c r="G18" s="637"/>
      <c r="I18" s="635" t="s">
        <v>321</v>
      </c>
      <c r="J18" s="635"/>
      <c r="K18" s="635"/>
      <c r="L18" s="426"/>
      <c r="M18" s="663" t="s">
        <v>228</v>
      </c>
      <c r="N18" s="663"/>
      <c r="P18" s="639" t="s">
        <v>322</v>
      </c>
      <c r="Q18" s="639"/>
      <c r="R18" s="431">
        <v>788.11</v>
      </c>
      <c r="S18" s="267" t="s">
        <v>34</v>
      </c>
    </row>
    <row r="19" spans="2:26" ht="12.75" customHeight="1" x14ac:dyDescent="0.2">
      <c r="B19" s="636" t="s">
        <v>304</v>
      </c>
      <c r="C19" s="636"/>
      <c r="D19" s="636"/>
      <c r="E19" s="637" t="s">
        <v>581</v>
      </c>
      <c r="F19" s="637"/>
      <c r="G19" s="637"/>
      <c r="I19" s="635" t="s">
        <v>327</v>
      </c>
      <c r="J19" s="635"/>
      <c r="K19" s="635"/>
      <c r="L19" s="427"/>
      <c r="M19" s="662"/>
      <c r="N19" s="662"/>
      <c r="P19" s="705" t="s">
        <v>444</v>
      </c>
      <c r="Q19" s="706"/>
      <c r="R19" s="443">
        <f>Pressão!G23</f>
        <v>0.98760000000000003</v>
      </c>
    </row>
    <row r="20" spans="2:26" ht="12.75" customHeight="1" x14ac:dyDescent="0.2">
      <c r="B20" s="636" t="s">
        <v>305</v>
      </c>
      <c r="C20" s="636"/>
      <c r="D20" s="636"/>
      <c r="E20" s="637"/>
      <c r="F20" s="637"/>
      <c r="G20" s="637"/>
    </row>
    <row r="21" spans="2:26" ht="12.75" customHeight="1" x14ac:dyDescent="0.2">
      <c r="B21" s="636" t="s">
        <v>306</v>
      </c>
      <c r="C21" s="636"/>
      <c r="D21" s="636"/>
      <c r="E21" s="640"/>
      <c r="F21" s="640"/>
      <c r="G21" s="640"/>
    </row>
    <row r="22" spans="2:26" x14ac:dyDescent="0.2">
      <c r="B22" s="636" t="s">
        <v>307</v>
      </c>
      <c r="C22" s="636"/>
      <c r="D22" s="636"/>
      <c r="E22" s="637" t="s">
        <v>582</v>
      </c>
      <c r="F22" s="637"/>
      <c r="G22" s="637"/>
      <c r="I22" s="661" t="s">
        <v>323</v>
      </c>
      <c r="J22" s="661"/>
      <c r="K22" s="661"/>
      <c r="L22" s="661"/>
      <c r="M22" s="661"/>
      <c r="N22" s="661"/>
      <c r="P22" s="704" t="str">
        <f>IF(OR(R16=0,R17=0),"",IF(ASHRAE!E10&lt;15,"V do ar &lt; 15 m/s",IF(ASHRAE!F10&gt;35,"V do ar &gt; 35 m/s","V do ar OK!")))</f>
        <v>V do ar OK!</v>
      </c>
      <c r="Q22" s="704"/>
    </row>
    <row r="23" spans="2:26" x14ac:dyDescent="0.2">
      <c r="B23" s="636" t="s">
        <v>315</v>
      </c>
      <c r="C23" s="636"/>
      <c r="D23" s="636"/>
      <c r="E23" s="637"/>
      <c r="F23" s="637"/>
      <c r="G23" s="637"/>
      <c r="I23" s="636" t="s">
        <v>305</v>
      </c>
      <c r="J23" s="636"/>
      <c r="K23" s="636"/>
      <c r="L23" s="637"/>
      <c r="M23" s="637"/>
      <c r="N23" s="637"/>
      <c r="P23" s="268" t="s">
        <v>328</v>
      </c>
      <c r="Q23" s="269">
        <f>'Condicionador de ar'!O21</f>
        <v>458.5478629117722</v>
      </c>
      <c r="U23" s="141" t="s">
        <v>28</v>
      </c>
      <c r="V23" s="141" t="s">
        <v>33</v>
      </c>
      <c r="W23" s="141" t="s">
        <v>577</v>
      </c>
      <c r="X23" s="141" t="s">
        <v>328</v>
      </c>
      <c r="Y23" s="141" t="s">
        <v>14</v>
      </c>
      <c r="Z23" s="141" t="s">
        <v>578</v>
      </c>
    </row>
    <row r="24" spans="2:26" x14ac:dyDescent="0.2">
      <c r="B24" s="636" t="s">
        <v>308</v>
      </c>
      <c r="C24" s="636"/>
      <c r="D24" s="636"/>
      <c r="E24" s="637"/>
      <c r="F24" s="637"/>
      <c r="G24" s="637"/>
      <c r="I24" s="636" t="s">
        <v>306</v>
      </c>
      <c r="J24" s="636"/>
      <c r="K24" s="636"/>
      <c r="L24" s="640"/>
      <c r="M24" s="640"/>
      <c r="N24" s="640"/>
      <c r="P24" s="268" t="s">
        <v>298</v>
      </c>
      <c r="Q24" s="430">
        <v>26.995999999999999</v>
      </c>
      <c r="R24" s="505">
        <f>N75</f>
        <v>9.7200000000000006</v>
      </c>
      <c r="S24" s="506">
        <f>R24/(L17/1000)</f>
        <v>1.08</v>
      </c>
      <c r="U24" s="9">
        <v>9690</v>
      </c>
      <c r="V24" s="9">
        <v>788</v>
      </c>
      <c r="W24" s="9">
        <v>3.6</v>
      </c>
      <c r="X24" s="9">
        <v>459</v>
      </c>
      <c r="Y24" s="946">
        <v>1.0767</v>
      </c>
      <c r="Z24" s="947">
        <v>0.45</v>
      </c>
    </row>
    <row r="25" spans="2:26" x14ac:dyDescent="0.2">
      <c r="B25" s="636" t="s">
        <v>309</v>
      </c>
      <c r="C25" s="636"/>
      <c r="D25" s="636"/>
      <c r="E25" s="637" t="s">
        <v>583</v>
      </c>
      <c r="F25" s="637"/>
      <c r="G25" s="637"/>
      <c r="I25" s="636" t="s">
        <v>307</v>
      </c>
      <c r="J25" s="636"/>
      <c r="K25" s="636"/>
      <c r="L25" s="637" t="s">
        <v>582</v>
      </c>
      <c r="M25" s="637"/>
      <c r="N25" s="637"/>
      <c r="P25" s="268" t="s">
        <v>297</v>
      </c>
      <c r="Q25" s="443">
        <v>19.033000000000001</v>
      </c>
      <c r="R25" s="9">
        <f>N77</f>
        <v>3.61</v>
      </c>
      <c r="S25" s="614" t="str">
        <f>S77</f>
        <v>-</v>
      </c>
      <c r="U25" s="9">
        <v>9730</v>
      </c>
      <c r="V25" s="9">
        <v>786</v>
      </c>
      <c r="W25" s="9">
        <v>3.63</v>
      </c>
      <c r="X25" s="9">
        <v>459</v>
      </c>
      <c r="Y25" s="946">
        <v>1.0810999999999999</v>
      </c>
      <c r="Z25" s="947">
        <v>0.45624999999999999</v>
      </c>
    </row>
    <row r="26" spans="2:26" x14ac:dyDescent="0.2">
      <c r="B26" s="636" t="s">
        <v>310</v>
      </c>
      <c r="C26" s="636"/>
      <c r="D26" s="636"/>
      <c r="E26" s="637"/>
      <c r="F26" s="637"/>
      <c r="G26" s="637"/>
      <c r="I26" s="636" t="s">
        <v>315</v>
      </c>
      <c r="J26" s="636"/>
      <c r="K26" s="636"/>
      <c r="L26" s="637"/>
      <c r="M26" s="637"/>
      <c r="N26" s="637"/>
      <c r="P26" s="268" t="s">
        <v>278</v>
      </c>
      <c r="Q26" s="430">
        <v>15.308</v>
      </c>
    </row>
    <row r="27" spans="2:26" x14ac:dyDescent="0.2">
      <c r="B27" s="636" t="s">
        <v>311</v>
      </c>
      <c r="C27" s="636"/>
      <c r="D27" s="636"/>
      <c r="E27" s="637"/>
      <c r="F27" s="637"/>
      <c r="G27" s="637"/>
      <c r="I27" s="636" t="s">
        <v>308</v>
      </c>
      <c r="J27" s="636"/>
      <c r="K27" s="636"/>
      <c r="L27" s="637"/>
      <c r="M27" s="637"/>
      <c r="N27" s="637"/>
      <c r="P27" s="268" t="s">
        <v>299</v>
      </c>
      <c r="Q27" s="430">
        <v>13.584</v>
      </c>
    </row>
    <row r="28" spans="2:26" x14ac:dyDescent="0.2">
      <c r="B28" s="636" t="s">
        <v>312</v>
      </c>
      <c r="C28" s="636"/>
      <c r="D28" s="636"/>
      <c r="E28" s="637"/>
      <c r="F28" s="637"/>
      <c r="G28" s="637"/>
      <c r="I28" s="636" t="s">
        <v>309</v>
      </c>
      <c r="J28" s="636"/>
      <c r="K28" s="636"/>
      <c r="L28" s="637"/>
      <c r="M28" s="637"/>
      <c r="N28" s="637"/>
      <c r="P28" s="268" t="s">
        <v>277</v>
      </c>
      <c r="Q28" s="430"/>
    </row>
    <row r="29" spans="2:26" x14ac:dyDescent="0.2">
      <c r="B29" s="636" t="s">
        <v>313</v>
      </c>
      <c r="C29" s="636"/>
      <c r="D29" s="636"/>
      <c r="E29" s="637">
        <v>69388</v>
      </c>
      <c r="F29" s="637"/>
      <c r="G29" s="637"/>
      <c r="I29" s="636" t="s">
        <v>310</v>
      </c>
      <c r="J29" s="636"/>
      <c r="K29" s="636"/>
      <c r="L29" s="637"/>
      <c r="M29" s="637"/>
      <c r="N29" s="637"/>
      <c r="P29" s="268" t="s">
        <v>300</v>
      </c>
      <c r="Q29" s="430"/>
    </row>
    <row r="30" spans="2:26" x14ac:dyDescent="0.2">
      <c r="B30" s="636" t="s">
        <v>349</v>
      </c>
      <c r="C30" s="636"/>
      <c r="D30" s="636"/>
      <c r="E30" s="645" t="s">
        <v>584</v>
      </c>
      <c r="F30" s="646"/>
      <c r="G30" s="647"/>
      <c r="P30" s="268" t="s">
        <v>301</v>
      </c>
      <c r="Q30" s="430"/>
    </row>
    <row r="31" spans="2:26" x14ac:dyDescent="0.2">
      <c r="P31" s="268" t="s">
        <v>302</v>
      </c>
      <c r="Q31" s="430"/>
    </row>
    <row r="33" spans="1:19" ht="12.75" customHeight="1" x14ac:dyDescent="0.2"/>
    <row r="34" spans="1:19" ht="13.5" customHeight="1" x14ac:dyDescent="0.2">
      <c r="B34" s="661" t="s">
        <v>375</v>
      </c>
      <c r="C34" s="661"/>
      <c r="D34" s="661"/>
      <c r="E34" s="661"/>
      <c r="F34" s="661"/>
      <c r="G34" s="661"/>
      <c r="H34" s="661"/>
      <c r="I34" s="661"/>
      <c r="J34" s="661"/>
    </row>
    <row r="35" spans="1:19" ht="13.5" customHeight="1" x14ac:dyDescent="0.2">
      <c r="B35" s="638" t="s">
        <v>377</v>
      </c>
      <c r="C35" s="638"/>
      <c r="D35" s="638" t="s">
        <v>178</v>
      </c>
      <c r="E35" s="638" t="s">
        <v>348</v>
      </c>
      <c r="F35" s="638" t="s">
        <v>378</v>
      </c>
      <c r="G35" s="638" t="s">
        <v>383</v>
      </c>
      <c r="H35" s="643"/>
      <c r="I35" s="643"/>
      <c r="J35" s="638" t="s">
        <v>382</v>
      </c>
    </row>
    <row r="36" spans="1:19" ht="13.5" customHeight="1" x14ac:dyDescent="0.2">
      <c r="B36" s="638"/>
      <c r="C36" s="638"/>
      <c r="D36" s="638"/>
      <c r="E36" s="638"/>
      <c r="F36" s="638"/>
      <c r="G36" s="341" t="s">
        <v>379</v>
      </c>
      <c r="H36" s="341" t="s">
        <v>380</v>
      </c>
      <c r="I36" s="341" t="s">
        <v>381</v>
      </c>
      <c r="J36" s="638"/>
    </row>
    <row r="37" spans="1:19" ht="13.5" customHeight="1" x14ac:dyDescent="0.2">
      <c r="B37" s="635" t="s">
        <v>561</v>
      </c>
      <c r="C37" s="635"/>
      <c r="D37" s="424">
        <v>0.01</v>
      </c>
      <c r="E37" s="430" t="s">
        <v>372</v>
      </c>
      <c r="F37" s="430"/>
      <c r="G37" s="432"/>
      <c r="H37" s="432"/>
      <c r="I37" s="433">
        <v>0.05</v>
      </c>
      <c r="J37" s="408">
        <f>IF(AND(G37="",H37="",I37=""),"",IFERROR(G37*R16+H37*F37+I37,""))</f>
        <v>0.05</v>
      </c>
    </row>
    <row r="38" spans="1:19" ht="13.5" customHeight="1" x14ac:dyDescent="0.2">
      <c r="B38" s="635" t="s">
        <v>322</v>
      </c>
      <c r="C38" s="648"/>
      <c r="D38" s="424">
        <v>0.1</v>
      </c>
      <c r="E38" s="430" t="s">
        <v>564</v>
      </c>
      <c r="F38" s="424"/>
      <c r="G38" s="434">
        <v>1.5E-3</v>
      </c>
      <c r="H38" s="434">
        <v>1.5E-3</v>
      </c>
      <c r="I38" s="433"/>
      <c r="J38" s="408">
        <f>IF(AND(G38="",H38="",I38=""),"",IFERROR(G38*Pressão!G23+H38*F38+I38,""))</f>
        <v>1.4814000000000001E-3</v>
      </c>
    </row>
    <row r="39" spans="1:19" ht="13.5" customHeight="1" x14ac:dyDescent="0.2">
      <c r="B39" s="635" t="s">
        <v>384</v>
      </c>
      <c r="C39" s="648"/>
      <c r="D39" s="424">
        <v>1</v>
      </c>
      <c r="E39" s="430" t="s">
        <v>564</v>
      </c>
      <c r="F39" s="424"/>
      <c r="G39" s="434"/>
      <c r="H39" s="434"/>
      <c r="I39" s="433">
        <v>4</v>
      </c>
      <c r="J39" s="408">
        <f>IF(AND(G39="",H39="",I39=""),"",IFERROR(G39*1+H39*F39+I39,""))</f>
        <v>4</v>
      </c>
    </row>
    <row r="40" spans="1:19" ht="13.5" customHeight="1" x14ac:dyDescent="0.2">
      <c r="B40" s="615" t="s">
        <v>376</v>
      </c>
      <c r="C40" s="616"/>
      <c r="D40" s="424">
        <v>1E-3</v>
      </c>
      <c r="E40" s="430" t="s">
        <v>463</v>
      </c>
      <c r="F40" s="424"/>
      <c r="G40" s="434"/>
      <c r="H40" s="434"/>
      <c r="I40" s="433">
        <v>0.2</v>
      </c>
      <c r="J40" s="408">
        <f>IF(AND(G40="",H40="",I40=""),"",IFERROR(G40*1+H40*F40+I40,""))</f>
        <v>0.2</v>
      </c>
    </row>
    <row r="41" spans="1:19" ht="13.5" customHeight="1" x14ac:dyDescent="0.2">
      <c r="B41" s="615" t="s">
        <v>397</v>
      </c>
      <c r="C41" s="616"/>
      <c r="D41" s="424">
        <v>0.1</v>
      </c>
      <c r="E41" s="430" t="s">
        <v>496</v>
      </c>
      <c r="F41" s="424"/>
      <c r="G41" s="434"/>
      <c r="H41" s="434"/>
      <c r="I41" s="433">
        <v>0.1</v>
      </c>
      <c r="J41" s="408">
        <f>IF(AND(G41="",H41="",I41=""),"",IFERROR((G41*(R15*10))+(H41*F41)+I41,""))</f>
        <v>0.1</v>
      </c>
    </row>
    <row r="42" spans="1:19" ht="13.5" customHeight="1" x14ac:dyDescent="0.2">
      <c r="B42" s="615" t="s">
        <v>398</v>
      </c>
      <c r="C42" s="616"/>
      <c r="D42" s="424">
        <v>0.01</v>
      </c>
      <c r="E42" s="430" t="s">
        <v>482</v>
      </c>
      <c r="F42" s="424"/>
      <c r="G42" s="434">
        <v>0.05</v>
      </c>
      <c r="H42" s="434"/>
      <c r="I42" s="433"/>
      <c r="J42" s="408">
        <f>IF(AND(G42="",H42="",I42=""),"",IFERROR((G42*(R16*10))+(H42*F42)+I42,""))</f>
        <v>1.6100000000000003</v>
      </c>
    </row>
    <row r="43" spans="1:19" ht="13.5" customHeight="1" x14ac:dyDescent="0.2">
      <c r="B43" s="615" t="s">
        <v>572</v>
      </c>
      <c r="C43" s="616"/>
      <c r="D43" s="424"/>
      <c r="E43" s="430" t="s">
        <v>574</v>
      </c>
      <c r="F43" s="424"/>
      <c r="G43" s="434"/>
      <c r="H43" s="434"/>
      <c r="I43" s="433"/>
      <c r="J43" s="408" t="str">
        <f>IF(AND(G43="",H43="",I43=""),"",IFERROR(G43*1+H43*F43+I43,""))</f>
        <v/>
      </c>
    </row>
    <row r="44" spans="1:19" ht="13.5" customHeight="1" x14ac:dyDescent="0.2">
      <c r="B44" s="615" t="s">
        <v>573</v>
      </c>
      <c r="C44" s="616"/>
      <c r="D44" s="424"/>
      <c r="E44" s="430" t="s">
        <v>575</v>
      </c>
      <c r="F44" s="424"/>
      <c r="G44" s="434"/>
      <c r="H44" s="434"/>
      <c r="I44" s="433"/>
      <c r="J44" s="408" t="str">
        <f>IF(AND(G44="",H44="",I44=""),"",IFERROR(G44*1+H44*F44+I44,""))</f>
        <v/>
      </c>
    </row>
    <row r="45" spans="1:19" ht="13.5" customHeight="1" x14ac:dyDescent="0.2">
      <c r="A45" s="270"/>
      <c r="B45" s="270"/>
      <c r="C45" s="270"/>
      <c r="D45" s="270"/>
      <c r="E45" s="270"/>
      <c r="F45" s="270"/>
      <c r="G45" s="270"/>
      <c r="H45" s="270"/>
      <c r="I45" s="270"/>
      <c r="J45" s="270"/>
      <c r="K45" s="270"/>
      <c r="L45" s="270"/>
      <c r="M45" s="270"/>
      <c r="N45" s="270"/>
      <c r="Q45" s="270"/>
      <c r="R45" s="270"/>
      <c r="S45" s="270"/>
    </row>
    <row r="46" spans="1:19" ht="13.5" customHeight="1" x14ac:dyDescent="0.2">
      <c r="A46" s="270"/>
      <c r="B46" s="270"/>
      <c r="C46" s="270"/>
      <c r="D46" s="270"/>
      <c r="E46" s="270"/>
      <c r="F46" s="270"/>
      <c r="G46" s="270"/>
      <c r="H46" s="270"/>
      <c r="I46" s="270"/>
      <c r="J46" s="270"/>
      <c r="K46" s="270"/>
      <c r="L46" s="270"/>
      <c r="M46" s="270"/>
      <c r="N46" s="270"/>
      <c r="Q46" s="270"/>
      <c r="R46" s="270"/>
      <c r="S46" s="270"/>
    </row>
    <row r="47" spans="1:19" ht="13.5" customHeight="1" x14ac:dyDescent="0.2">
      <c r="A47" s="270"/>
      <c r="B47" s="658" t="s">
        <v>387</v>
      </c>
      <c r="C47" s="658"/>
      <c r="D47" s="658"/>
      <c r="E47" s="658"/>
      <c r="F47" s="658"/>
      <c r="G47" s="658"/>
      <c r="H47" s="658"/>
      <c r="I47" s="658"/>
      <c r="J47" s="658"/>
      <c r="K47" s="658"/>
      <c r="L47" s="658"/>
      <c r="M47" s="658"/>
      <c r="N47" s="658"/>
      <c r="O47" s="658"/>
      <c r="Q47" s="270"/>
      <c r="R47" s="270"/>
      <c r="S47" s="270"/>
    </row>
    <row r="48" spans="1:19" ht="13.5" customHeight="1" x14ac:dyDescent="0.2">
      <c r="B48" s="667" t="s">
        <v>388</v>
      </c>
      <c r="C48" s="668"/>
      <c r="D48" s="673" t="s">
        <v>350</v>
      </c>
      <c r="E48" s="673"/>
      <c r="F48" s="673"/>
      <c r="G48" s="673"/>
      <c r="H48" s="673"/>
      <c r="I48" s="673"/>
      <c r="J48" s="674" t="s">
        <v>296</v>
      </c>
      <c r="K48" s="674"/>
      <c r="L48" s="674" t="s">
        <v>389</v>
      </c>
      <c r="M48" s="674"/>
      <c r="N48" s="674" t="s">
        <v>390</v>
      </c>
      <c r="O48" s="674"/>
    </row>
    <row r="49" spans="2:15" ht="13.5" customHeight="1" x14ac:dyDescent="0.2">
      <c r="B49" s="669"/>
      <c r="C49" s="670"/>
      <c r="D49" s="674" t="s">
        <v>54</v>
      </c>
      <c r="E49" s="674"/>
      <c r="F49" s="674" t="s">
        <v>391</v>
      </c>
      <c r="G49" s="674"/>
      <c r="H49" s="674" t="s">
        <v>348</v>
      </c>
      <c r="I49" s="674"/>
      <c r="J49" s="674"/>
      <c r="K49" s="674"/>
      <c r="L49" s="674"/>
      <c r="M49" s="674"/>
      <c r="N49" s="674"/>
      <c r="O49" s="674"/>
    </row>
    <row r="50" spans="2:15" ht="13.5" customHeight="1" x14ac:dyDescent="0.2">
      <c r="B50" s="671"/>
      <c r="C50" s="672"/>
      <c r="D50" s="674"/>
      <c r="E50" s="674"/>
      <c r="F50" s="674"/>
      <c r="G50" s="674"/>
      <c r="H50" s="674"/>
      <c r="I50" s="674"/>
      <c r="J50" s="674"/>
      <c r="K50" s="674"/>
      <c r="L50" s="674"/>
      <c r="M50" s="674"/>
      <c r="N50" s="674"/>
      <c r="O50" s="674"/>
    </row>
    <row r="51" spans="2:15" ht="13.5" customHeight="1" x14ac:dyDescent="0.2">
      <c r="B51" s="675" t="s">
        <v>484</v>
      </c>
      <c r="C51" s="675"/>
      <c r="D51" s="676" t="s">
        <v>485</v>
      </c>
      <c r="E51" s="676"/>
      <c r="F51" s="676" t="s">
        <v>486</v>
      </c>
      <c r="G51" s="676"/>
      <c r="H51" s="676" t="str">
        <f t="shared" ref="H51" si="0">IF(E37="","-",E37)</f>
        <v>1944DOM</v>
      </c>
      <c r="I51" s="676"/>
      <c r="J51" s="676" t="s">
        <v>566</v>
      </c>
      <c r="K51" s="676"/>
      <c r="L51" s="677">
        <v>45114</v>
      </c>
      <c r="M51" s="677"/>
      <c r="N51" s="678" t="s">
        <v>562</v>
      </c>
      <c r="O51" s="676"/>
    </row>
    <row r="52" spans="2:15" ht="13.5" customHeight="1" x14ac:dyDescent="0.2">
      <c r="B52" s="675" t="s">
        <v>484</v>
      </c>
      <c r="C52" s="675"/>
      <c r="D52" s="676" t="s">
        <v>487</v>
      </c>
      <c r="E52" s="676"/>
      <c r="F52" s="676" t="s">
        <v>488</v>
      </c>
      <c r="G52" s="676"/>
      <c r="H52" s="676" t="str">
        <f t="shared" ref="H52:H55" si="1">IF(E38="","-",E38)</f>
        <v>665DOM</v>
      </c>
      <c r="I52" s="676"/>
      <c r="J52" s="679" t="s">
        <v>565</v>
      </c>
      <c r="K52" s="680"/>
      <c r="L52" s="677">
        <v>45169</v>
      </c>
      <c r="M52" s="677"/>
      <c r="N52" s="678" t="s">
        <v>489</v>
      </c>
      <c r="O52" s="676"/>
    </row>
    <row r="53" spans="2:15" ht="12.75" customHeight="1" x14ac:dyDescent="0.2">
      <c r="B53" s="675" t="s">
        <v>484</v>
      </c>
      <c r="C53" s="675"/>
      <c r="D53" s="676" t="s">
        <v>487</v>
      </c>
      <c r="E53" s="676"/>
      <c r="F53" s="676" t="s">
        <v>488</v>
      </c>
      <c r="G53" s="676"/>
      <c r="H53" s="676" t="str">
        <f t="shared" si="1"/>
        <v>665DOM</v>
      </c>
      <c r="I53" s="676"/>
      <c r="J53" s="679" t="s">
        <v>565</v>
      </c>
      <c r="K53" s="680"/>
      <c r="L53" s="677">
        <v>45169</v>
      </c>
      <c r="M53" s="677"/>
      <c r="N53" s="678" t="s">
        <v>489</v>
      </c>
      <c r="O53" s="676"/>
    </row>
    <row r="54" spans="2:15" ht="12.75" customHeight="1" x14ac:dyDescent="0.2">
      <c r="B54" s="675" t="s">
        <v>484</v>
      </c>
      <c r="C54" s="675"/>
      <c r="D54" s="676" t="s">
        <v>490</v>
      </c>
      <c r="E54" s="676"/>
      <c r="F54" s="676" t="s">
        <v>491</v>
      </c>
      <c r="G54" s="676"/>
      <c r="H54" s="676" t="str">
        <f t="shared" si="1"/>
        <v>1670DOM</v>
      </c>
      <c r="I54" s="676"/>
      <c r="J54" s="676" t="s">
        <v>569</v>
      </c>
      <c r="K54" s="676"/>
      <c r="L54" s="677">
        <v>45076</v>
      </c>
      <c r="M54" s="677"/>
      <c r="N54" s="678" t="s">
        <v>489</v>
      </c>
      <c r="O54" s="676"/>
    </row>
    <row r="55" spans="2:15" ht="12.75" customHeight="1" x14ac:dyDescent="0.2">
      <c r="B55" s="675" t="s">
        <v>484</v>
      </c>
      <c r="C55" s="675"/>
      <c r="D55" s="676" t="s">
        <v>492</v>
      </c>
      <c r="E55" s="676"/>
      <c r="F55" s="676" t="s">
        <v>493</v>
      </c>
      <c r="G55" s="676"/>
      <c r="H55" s="676" t="str">
        <f t="shared" si="1"/>
        <v>1544REF</v>
      </c>
      <c r="I55" s="676"/>
      <c r="J55" s="676" t="s">
        <v>497</v>
      </c>
      <c r="K55" s="676"/>
      <c r="L55" s="677">
        <v>45261</v>
      </c>
      <c r="M55" s="677"/>
      <c r="N55" s="678" t="s">
        <v>498</v>
      </c>
      <c r="O55" s="676"/>
    </row>
    <row r="56" spans="2:15" ht="12.75" customHeight="1" x14ac:dyDescent="0.2">
      <c r="B56" s="675" t="s">
        <v>484</v>
      </c>
      <c r="C56" s="675"/>
      <c r="D56" s="676" t="s">
        <v>485</v>
      </c>
      <c r="E56" s="676"/>
      <c r="F56" s="676" t="s">
        <v>486</v>
      </c>
      <c r="G56" s="676"/>
      <c r="H56" s="676" t="s">
        <v>570</v>
      </c>
      <c r="I56" s="676"/>
      <c r="J56" s="676" t="s">
        <v>571</v>
      </c>
      <c r="K56" s="676"/>
      <c r="L56" s="677">
        <v>45216</v>
      </c>
      <c r="M56" s="677"/>
      <c r="N56" s="678" t="s">
        <v>562</v>
      </c>
      <c r="O56" s="676"/>
    </row>
    <row r="57" spans="2:15" x14ac:dyDescent="0.2">
      <c r="B57" s="681" t="s">
        <v>22</v>
      </c>
      <c r="C57" s="682"/>
      <c r="D57" s="683" t="s">
        <v>22</v>
      </c>
      <c r="E57" s="683"/>
      <c r="F57" s="683" t="s">
        <v>22</v>
      </c>
      <c r="G57" s="683"/>
      <c r="H57" s="676" t="s">
        <v>22</v>
      </c>
      <c r="I57" s="676"/>
      <c r="J57" s="683" t="s">
        <v>22</v>
      </c>
      <c r="K57" s="683"/>
      <c r="L57" s="677" t="s">
        <v>22</v>
      </c>
      <c r="M57" s="677"/>
      <c r="N57" s="683" t="s">
        <v>22</v>
      </c>
      <c r="O57" s="683"/>
    </row>
    <row r="58" spans="2:15" x14ac:dyDescent="0.2">
      <c r="B58" s="683" t="s">
        <v>22</v>
      </c>
      <c r="C58" s="683"/>
      <c r="D58" s="683" t="s">
        <v>22</v>
      </c>
      <c r="E58" s="683"/>
      <c r="F58" s="683" t="s">
        <v>22</v>
      </c>
      <c r="G58" s="683"/>
      <c r="H58" s="683" t="s">
        <v>22</v>
      </c>
      <c r="I58" s="683"/>
      <c r="J58" s="683" t="s">
        <v>22</v>
      </c>
      <c r="K58" s="683"/>
      <c r="L58" s="677" t="s">
        <v>22</v>
      </c>
      <c r="M58" s="677"/>
      <c r="N58" s="683" t="s">
        <v>22</v>
      </c>
      <c r="O58" s="683"/>
    </row>
    <row r="59" spans="2:15" x14ac:dyDescent="0.2">
      <c r="B59" s="683" t="s">
        <v>22</v>
      </c>
      <c r="C59" s="683"/>
      <c r="D59" s="683" t="s">
        <v>22</v>
      </c>
      <c r="E59" s="683"/>
      <c r="F59" s="683" t="s">
        <v>22</v>
      </c>
      <c r="G59" s="683"/>
      <c r="H59" s="683" t="s">
        <v>22</v>
      </c>
      <c r="I59" s="683"/>
      <c r="J59" s="683" t="s">
        <v>22</v>
      </c>
      <c r="K59" s="683"/>
      <c r="L59" s="677" t="s">
        <v>22</v>
      </c>
      <c r="M59" s="677"/>
      <c r="N59" s="683" t="s">
        <v>22</v>
      </c>
      <c r="O59" s="683"/>
    </row>
    <row r="60" spans="2:15" x14ac:dyDescent="0.2">
      <c r="B60" s="683" t="s">
        <v>22</v>
      </c>
      <c r="C60" s="683"/>
      <c r="D60" s="683" t="s">
        <v>22</v>
      </c>
      <c r="E60" s="683"/>
      <c r="F60" s="683" t="s">
        <v>22</v>
      </c>
      <c r="G60" s="683"/>
      <c r="H60" s="683" t="s">
        <v>22</v>
      </c>
      <c r="I60" s="683"/>
      <c r="J60" s="683" t="s">
        <v>22</v>
      </c>
      <c r="K60" s="683"/>
      <c r="L60" s="677" t="s">
        <v>22</v>
      </c>
      <c r="M60" s="677"/>
      <c r="N60" s="683" t="s">
        <v>22</v>
      </c>
      <c r="O60" s="683"/>
    </row>
    <row r="61" spans="2:15" ht="12.75" customHeight="1" x14ac:dyDescent="0.2">
      <c r="B61" s="683" t="s">
        <v>22</v>
      </c>
      <c r="C61" s="683"/>
      <c r="D61" s="683" t="s">
        <v>22</v>
      </c>
      <c r="E61" s="683"/>
      <c r="F61" s="683" t="s">
        <v>22</v>
      </c>
      <c r="G61" s="683"/>
      <c r="H61" s="683" t="s">
        <v>22</v>
      </c>
      <c r="I61" s="683"/>
      <c r="J61" s="683" t="s">
        <v>22</v>
      </c>
      <c r="K61" s="683"/>
      <c r="L61" s="677" t="s">
        <v>22</v>
      </c>
      <c r="M61" s="677"/>
      <c r="N61" s="683" t="s">
        <v>22</v>
      </c>
      <c r="O61" s="683"/>
    </row>
    <row r="62" spans="2:15" ht="12.75" customHeight="1" x14ac:dyDescent="0.2">
      <c r="B62" s="683" t="s">
        <v>22</v>
      </c>
      <c r="C62" s="683"/>
      <c r="D62" s="683" t="s">
        <v>22</v>
      </c>
      <c r="E62" s="683"/>
      <c r="F62" s="683" t="s">
        <v>22</v>
      </c>
      <c r="G62" s="683"/>
      <c r="H62" s="683" t="s">
        <v>22</v>
      </c>
      <c r="I62" s="683"/>
      <c r="J62" s="683" t="s">
        <v>22</v>
      </c>
      <c r="K62" s="683"/>
      <c r="L62" s="677" t="s">
        <v>22</v>
      </c>
      <c r="M62" s="677"/>
      <c r="N62" s="683" t="s">
        <v>22</v>
      </c>
      <c r="O62" s="683"/>
    </row>
    <row r="63" spans="2:15" x14ac:dyDescent="0.2">
      <c r="B63" s="683" t="s">
        <v>22</v>
      </c>
      <c r="C63" s="683"/>
      <c r="D63" s="683" t="s">
        <v>22</v>
      </c>
      <c r="E63" s="683"/>
      <c r="F63" s="683" t="s">
        <v>22</v>
      </c>
      <c r="G63" s="683"/>
      <c r="H63" s="683" t="s">
        <v>22</v>
      </c>
      <c r="I63" s="683"/>
      <c r="J63" s="683" t="s">
        <v>22</v>
      </c>
      <c r="K63" s="683"/>
      <c r="L63" s="677" t="s">
        <v>22</v>
      </c>
      <c r="M63" s="677"/>
      <c r="N63" s="683" t="s">
        <v>22</v>
      </c>
      <c r="O63" s="683"/>
    </row>
    <row r="64" spans="2:15" x14ac:dyDescent="0.2">
      <c r="B64" s="683" t="s">
        <v>22</v>
      </c>
      <c r="C64" s="683"/>
      <c r="D64" s="683" t="s">
        <v>22</v>
      </c>
      <c r="E64" s="683"/>
      <c r="F64" s="683" t="s">
        <v>22</v>
      </c>
      <c r="G64" s="683"/>
      <c r="H64" s="683" t="s">
        <v>22</v>
      </c>
      <c r="I64" s="683"/>
      <c r="J64" s="683" t="s">
        <v>22</v>
      </c>
      <c r="K64" s="683"/>
      <c r="L64" s="677" t="s">
        <v>22</v>
      </c>
      <c r="M64" s="677"/>
      <c r="N64" s="683" t="s">
        <v>22</v>
      </c>
      <c r="O64" s="683"/>
    </row>
    <row r="65" spans="2:20" x14ac:dyDescent="0.2">
      <c r="B65" s="683" t="s">
        <v>22</v>
      </c>
      <c r="C65" s="683"/>
      <c r="D65" s="683" t="s">
        <v>22</v>
      </c>
      <c r="E65" s="683"/>
      <c r="F65" s="683" t="s">
        <v>22</v>
      </c>
      <c r="G65" s="683"/>
      <c r="H65" s="683" t="s">
        <v>22</v>
      </c>
      <c r="I65" s="683"/>
      <c r="J65" s="683" t="s">
        <v>22</v>
      </c>
      <c r="K65" s="683"/>
      <c r="L65" s="677" t="s">
        <v>22</v>
      </c>
      <c r="M65" s="677"/>
      <c r="N65" s="683" t="s">
        <v>22</v>
      </c>
      <c r="O65" s="683"/>
    </row>
    <row r="66" spans="2:20" x14ac:dyDescent="0.2">
      <c r="B66" s="683" t="s">
        <v>22</v>
      </c>
      <c r="C66" s="683"/>
      <c r="D66" s="683" t="s">
        <v>22</v>
      </c>
      <c r="E66" s="683"/>
      <c r="F66" s="683" t="s">
        <v>22</v>
      </c>
      <c r="G66" s="683"/>
      <c r="H66" s="683" t="s">
        <v>22</v>
      </c>
      <c r="I66" s="683"/>
      <c r="J66" s="683" t="s">
        <v>22</v>
      </c>
      <c r="K66" s="683"/>
      <c r="L66" s="677" t="s">
        <v>22</v>
      </c>
      <c r="M66" s="677"/>
      <c r="N66" s="683" t="s">
        <v>22</v>
      </c>
      <c r="O66" s="683"/>
    </row>
    <row r="67" spans="2:20" x14ac:dyDescent="0.2">
      <c r="B67" s="683" t="s">
        <v>22</v>
      </c>
      <c r="C67" s="683"/>
      <c r="D67" s="683" t="s">
        <v>22</v>
      </c>
      <c r="E67" s="683"/>
      <c r="F67" s="683" t="s">
        <v>22</v>
      </c>
      <c r="G67" s="683"/>
      <c r="H67" s="683" t="s">
        <v>22</v>
      </c>
      <c r="I67" s="683"/>
      <c r="J67" s="683" t="s">
        <v>22</v>
      </c>
      <c r="K67" s="683"/>
      <c r="L67" s="677" t="s">
        <v>22</v>
      </c>
      <c r="M67" s="677"/>
      <c r="N67" s="684" t="s">
        <v>22</v>
      </c>
      <c r="O67" s="683"/>
    </row>
    <row r="68" spans="2:20" x14ac:dyDescent="0.2">
      <c r="B68" s="683" t="s">
        <v>22</v>
      </c>
      <c r="C68" s="683"/>
      <c r="D68" s="676" t="s">
        <v>22</v>
      </c>
      <c r="E68" s="676"/>
      <c r="F68" s="676" t="s">
        <v>22</v>
      </c>
      <c r="G68" s="676"/>
      <c r="H68" s="683" t="s">
        <v>22</v>
      </c>
      <c r="I68" s="683"/>
      <c r="J68" s="676" t="s">
        <v>22</v>
      </c>
      <c r="K68" s="676"/>
      <c r="L68" s="677" t="s">
        <v>22</v>
      </c>
      <c r="M68" s="677"/>
      <c r="N68" s="678" t="s">
        <v>22</v>
      </c>
      <c r="O68" s="676"/>
    </row>
    <row r="69" spans="2:20" x14ac:dyDescent="0.2">
      <c r="B69" s="683" t="s">
        <v>22</v>
      </c>
      <c r="C69" s="683"/>
      <c r="D69" s="676" t="s">
        <v>22</v>
      </c>
      <c r="E69" s="676"/>
      <c r="F69" s="676" t="s">
        <v>22</v>
      </c>
      <c r="G69" s="676"/>
      <c r="H69" s="683" t="s">
        <v>22</v>
      </c>
      <c r="I69" s="683"/>
      <c r="J69" s="676" t="s">
        <v>22</v>
      </c>
      <c r="K69" s="676"/>
      <c r="L69" s="677" t="s">
        <v>22</v>
      </c>
      <c r="M69" s="677"/>
      <c r="N69" s="678" t="s">
        <v>22</v>
      </c>
      <c r="O69" s="676"/>
    </row>
    <row r="71" spans="2:20" ht="13.5" thickBot="1" x14ac:dyDescent="0.25"/>
    <row r="72" spans="2:20" ht="12.75" customHeight="1" x14ac:dyDescent="0.2">
      <c r="B72" s="618" t="s">
        <v>499</v>
      </c>
      <c r="C72" s="619"/>
      <c r="D72" s="619"/>
      <c r="E72" s="619"/>
      <c r="F72" s="619"/>
      <c r="G72" s="619"/>
      <c r="H72" s="619"/>
      <c r="I72" s="620"/>
    </row>
    <row r="73" spans="2:20" ht="12.75" customHeight="1" x14ac:dyDescent="0.2">
      <c r="B73" s="621"/>
      <c r="C73" s="622"/>
      <c r="D73" s="622"/>
      <c r="E73" s="622"/>
      <c r="F73" s="622"/>
      <c r="G73" s="622"/>
      <c r="H73" s="622"/>
      <c r="I73" s="623"/>
      <c r="P73" s="271"/>
    </row>
    <row r="74" spans="2:20" x14ac:dyDescent="0.2">
      <c r="B74" s="627" t="s">
        <v>377</v>
      </c>
      <c r="C74" s="628"/>
      <c r="D74" s="628"/>
      <c r="E74" s="629"/>
      <c r="F74" s="507" t="s">
        <v>65</v>
      </c>
      <c r="G74" s="507" t="s">
        <v>294</v>
      </c>
      <c r="H74" s="507" t="s">
        <v>169</v>
      </c>
      <c r="I74" s="508" t="s">
        <v>393</v>
      </c>
      <c r="K74" s="685" t="s">
        <v>64</v>
      </c>
      <c r="L74" s="685"/>
      <c r="M74" s="685"/>
      <c r="N74" s="396" t="s">
        <v>294</v>
      </c>
      <c r="O74" s="685" t="s">
        <v>395</v>
      </c>
      <c r="P74" s="685"/>
      <c r="Q74" s="685" t="s">
        <v>396</v>
      </c>
      <c r="R74" s="685"/>
      <c r="S74" s="685" t="s">
        <v>367</v>
      </c>
      <c r="T74" s="685"/>
    </row>
    <row r="75" spans="2:20" x14ac:dyDescent="0.2">
      <c r="B75" s="624" t="s">
        <v>353</v>
      </c>
      <c r="C75" s="625"/>
      <c r="D75" s="625"/>
      <c r="E75" s="626"/>
      <c r="F75" s="509" t="s">
        <v>360</v>
      </c>
      <c r="G75" s="510">
        <f>IF('Condicionador de ar'!$C$14="","",'Condicionador de ar'!$C$14*1.333224)</f>
        <v>1008.4000756366864</v>
      </c>
      <c r="H75" s="511">
        <f>IF('i.m. instrumentos'!$M$18="","",'i.m. instrumentos'!$M$18*1.333224)</f>
        <v>1.15990488</v>
      </c>
      <c r="I75" s="512">
        <f>'i.m. instrumentos'!$J$16</f>
        <v>2.0000274442871735</v>
      </c>
      <c r="K75" s="702" t="s">
        <v>365</v>
      </c>
      <c r="L75" s="703"/>
      <c r="M75" s="703"/>
      <c r="N75" s="700">
        <f>IF(G78="","",ROUND(G78,2))</f>
        <v>9.7200000000000006</v>
      </c>
      <c r="O75" s="688">
        <f>IF(L17="-","",ROUND(L17/1000,2))</f>
        <v>9</v>
      </c>
      <c r="P75" s="689"/>
      <c r="Q75" s="692">
        <v>-0.08</v>
      </c>
      <c r="R75" s="693"/>
      <c r="S75" s="696">
        <f>IFERROR((N75*100/O75)-100,"-")</f>
        <v>8.0000000000000142</v>
      </c>
      <c r="T75" s="697"/>
    </row>
    <row r="76" spans="2:20" x14ac:dyDescent="0.2">
      <c r="B76" s="624" t="s">
        <v>354</v>
      </c>
      <c r="C76" s="625"/>
      <c r="D76" s="625"/>
      <c r="E76" s="626"/>
      <c r="F76" s="509" t="s">
        <v>316</v>
      </c>
      <c r="G76" s="510">
        <f>'Condicionador de ar'!$O$21</f>
        <v>458.5478629117722</v>
      </c>
      <c r="H76" s="513" t="str">
        <f>'i.m. equação'!$M$228</f>
        <v>0,024</v>
      </c>
      <c r="I76" s="512">
        <f>'i.m. equação'!$J$226</f>
        <v>2.0000274442871735</v>
      </c>
      <c r="K76" s="703"/>
      <c r="L76" s="703"/>
      <c r="M76" s="703"/>
      <c r="N76" s="701"/>
      <c r="O76" s="690"/>
      <c r="P76" s="691"/>
      <c r="Q76" s="694"/>
      <c r="R76" s="695"/>
      <c r="S76" s="698"/>
      <c r="T76" s="699"/>
    </row>
    <row r="77" spans="2:20" x14ac:dyDescent="0.2">
      <c r="B77" s="624" t="s">
        <v>369</v>
      </c>
      <c r="C77" s="625"/>
      <c r="D77" s="625"/>
      <c r="E77" s="626"/>
      <c r="F77" s="509" t="s">
        <v>364</v>
      </c>
      <c r="G77" s="945">
        <f>IF('Condicionador de ar'!$Y$21="","",'Condicionador de ar'!$Y$21/1000)</f>
        <v>2.8491474005577655</v>
      </c>
      <c r="H77" s="510">
        <f>'i.m. equação'!$M$286/1000</f>
        <v>0.11698759902328518</v>
      </c>
      <c r="I77" s="512">
        <f>'i.m. equação'!$J$284</f>
        <v>2.1811656819040768</v>
      </c>
      <c r="K77" s="702" t="s">
        <v>394</v>
      </c>
      <c r="L77" s="703"/>
      <c r="M77" s="703"/>
      <c r="N77" s="686">
        <f>IF('Condicionador de ar'!D29="","",ROUND('Condicionador de ar'!D29,2))</f>
        <v>3.61</v>
      </c>
      <c r="O77" s="688">
        <f>IF(L19="-","",ROUND(L19,2))</f>
        <v>0</v>
      </c>
      <c r="P77" s="689"/>
      <c r="Q77" s="692">
        <v>-0.08</v>
      </c>
      <c r="R77" s="693"/>
      <c r="S77" s="696" t="str">
        <f>IFERROR((N77*100/O77)-100,"-")</f>
        <v>-</v>
      </c>
      <c r="T77" s="697"/>
    </row>
    <row r="78" spans="2:20" x14ac:dyDescent="0.2">
      <c r="B78" s="624" t="s">
        <v>369</v>
      </c>
      <c r="C78" s="625"/>
      <c r="D78" s="625"/>
      <c r="E78" s="626"/>
      <c r="F78" s="509" t="s">
        <v>363</v>
      </c>
      <c r="G78" s="510">
        <f>IF('Condicionador de ar'!$U$21="","",'Condicionador de ar'!$U$21/1000)</f>
        <v>9.7240525616306002</v>
      </c>
      <c r="H78" s="510" t="str">
        <f>'i.m. equação'!$M$287</f>
        <v>0,40</v>
      </c>
      <c r="I78" s="512">
        <f>'i.m. equação'!$J$284</f>
        <v>2.1811656819040768</v>
      </c>
      <c r="K78" s="703"/>
      <c r="L78" s="703"/>
      <c r="M78" s="703"/>
      <c r="N78" s="687"/>
      <c r="O78" s="690"/>
      <c r="P78" s="691"/>
      <c r="Q78" s="694"/>
      <c r="R78" s="695"/>
      <c r="S78" s="698"/>
      <c r="T78" s="699"/>
    </row>
    <row r="79" spans="2:20" x14ac:dyDescent="0.2">
      <c r="B79" s="624" t="s">
        <v>392</v>
      </c>
      <c r="C79" s="625"/>
      <c r="D79" s="625"/>
      <c r="E79" s="626"/>
      <c r="F79" s="509" t="s">
        <v>317</v>
      </c>
      <c r="G79" s="514">
        <f>'Condicionador de ar'!$O$25</f>
        <v>789.74614157951999</v>
      </c>
      <c r="H79" s="513" t="str">
        <f>'i.m. instrumentos'!$M$89</f>
        <v>8,5</v>
      </c>
      <c r="I79" s="512">
        <f>'i.m. instrumentos'!$J$87</f>
        <v>2.0000274442871735</v>
      </c>
    </row>
    <row r="80" spans="2:20" x14ac:dyDescent="0.2">
      <c r="B80" s="624" t="s">
        <v>366</v>
      </c>
      <c r="C80" s="625"/>
      <c r="D80" s="625"/>
      <c r="E80" s="626"/>
      <c r="F80" s="509" t="s">
        <v>361</v>
      </c>
      <c r="G80" s="510">
        <f>IF('Condicionador de ar'!$Q$25="","",'Condicionador de ar'!$Q$25*0.7)</f>
        <v>16.584668973169919</v>
      </c>
      <c r="H80" s="510">
        <f>('i.m. instrumentos'!$M$89/1000)*30</f>
        <v>0.255</v>
      </c>
      <c r="I80" s="512">
        <f>'i.m. instrumentos'!$J$87</f>
        <v>2.0000274442871735</v>
      </c>
    </row>
    <row r="81" spans="2:9" ht="13.5" thickBot="1" x14ac:dyDescent="0.25">
      <c r="B81" s="630" t="s">
        <v>368</v>
      </c>
      <c r="C81" s="631"/>
      <c r="D81" s="631"/>
      <c r="E81" s="632"/>
      <c r="F81" s="515" t="s">
        <v>362</v>
      </c>
      <c r="G81" s="516">
        <f>'Condicionador de ar'!$D$29</f>
        <v>3.607674986368874</v>
      </c>
      <c r="H81" s="517">
        <f>('i.m. equação'!$M$302)/100</f>
        <v>1.0763005619947707E-2</v>
      </c>
      <c r="I81" s="518">
        <f>'i.m. equação'!$J$298</f>
        <v>2.0000274442871735</v>
      </c>
    </row>
    <row r="82" spans="2:9" x14ac:dyDescent="0.2">
      <c r="B82" s="617"/>
      <c r="C82" s="617"/>
      <c r="D82" s="617"/>
      <c r="E82" s="617"/>
    </row>
  </sheetData>
  <mergeCells count="269">
    <mergeCell ref="P22:Q22"/>
    <mergeCell ref="P19:Q19"/>
    <mergeCell ref="P13:Q13"/>
    <mergeCell ref="O6:R6"/>
    <mergeCell ref="P10:Q10"/>
    <mergeCell ref="P9:Q9"/>
    <mergeCell ref="P8:Q8"/>
    <mergeCell ref="P7:Q7"/>
    <mergeCell ref="B10:C10"/>
    <mergeCell ref="B12:C12"/>
    <mergeCell ref="B11:C11"/>
    <mergeCell ref="D12:G12"/>
    <mergeCell ref="D11:G11"/>
    <mergeCell ref="D10:G10"/>
    <mergeCell ref="I11:M11"/>
    <mergeCell ref="I10:M10"/>
    <mergeCell ref="P11:Q11"/>
    <mergeCell ref="P12:Q12"/>
    <mergeCell ref="K74:M74"/>
    <mergeCell ref="O74:P74"/>
    <mergeCell ref="Q74:R74"/>
    <mergeCell ref="S74:T74"/>
    <mergeCell ref="N77:N78"/>
    <mergeCell ref="O77:P78"/>
    <mergeCell ref="Q77:R78"/>
    <mergeCell ref="S77:T78"/>
    <mergeCell ref="S75:T76"/>
    <mergeCell ref="Q75:R76"/>
    <mergeCell ref="O75:P76"/>
    <mergeCell ref="N75:N76"/>
    <mergeCell ref="K75:M76"/>
    <mergeCell ref="K77:M78"/>
    <mergeCell ref="B68:C68"/>
    <mergeCell ref="D68:E68"/>
    <mergeCell ref="F68:G68"/>
    <mergeCell ref="H68:I68"/>
    <mergeCell ref="J68:K68"/>
    <mergeCell ref="L68:M68"/>
    <mergeCell ref="N68:O68"/>
    <mergeCell ref="B69:C69"/>
    <mergeCell ref="D69:E69"/>
    <mergeCell ref="F69:G69"/>
    <mergeCell ref="H69:I69"/>
    <mergeCell ref="J69:K69"/>
    <mergeCell ref="L69:M69"/>
    <mergeCell ref="N69:O69"/>
    <mergeCell ref="B66:C66"/>
    <mergeCell ref="D66:E66"/>
    <mergeCell ref="F66:G66"/>
    <mergeCell ref="H66:I66"/>
    <mergeCell ref="J66:K66"/>
    <mergeCell ref="L66:M66"/>
    <mergeCell ref="N66:O66"/>
    <mergeCell ref="B67:C67"/>
    <mergeCell ref="D67:E67"/>
    <mergeCell ref="F67:G67"/>
    <mergeCell ref="H67:I67"/>
    <mergeCell ref="J67:K67"/>
    <mergeCell ref="L67:M67"/>
    <mergeCell ref="N67:O67"/>
    <mergeCell ref="B64:C64"/>
    <mergeCell ref="D64:E64"/>
    <mergeCell ref="F64:G64"/>
    <mergeCell ref="H64:I64"/>
    <mergeCell ref="J64:K64"/>
    <mergeCell ref="L64:M64"/>
    <mergeCell ref="N64:O64"/>
    <mergeCell ref="B65:C65"/>
    <mergeCell ref="D65:E65"/>
    <mergeCell ref="F65:G65"/>
    <mergeCell ref="H65:I65"/>
    <mergeCell ref="J65:K65"/>
    <mergeCell ref="L65:M65"/>
    <mergeCell ref="N65:O65"/>
    <mergeCell ref="B62:C62"/>
    <mergeCell ref="D62:E62"/>
    <mergeCell ref="F62:G62"/>
    <mergeCell ref="H62:I62"/>
    <mergeCell ref="J62:K62"/>
    <mergeCell ref="L62:M62"/>
    <mergeCell ref="N62:O62"/>
    <mergeCell ref="B63:C63"/>
    <mergeCell ref="D63:E63"/>
    <mergeCell ref="F63:G63"/>
    <mergeCell ref="H63:I63"/>
    <mergeCell ref="J63:K63"/>
    <mergeCell ref="L63:M63"/>
    <mergeCell ref="N63:O63"/>
    <mergeCell ref="B60:C60"/>
    <mergeCell ref="D60:E60"/>
    <mergeCell ref="F60:G60"/>
    <mergeCell ref="H60:I60"/>
    <mergeCell ref="J60:K60"/>
    <mergeCell ref="L60:M60"/>
    <mergeCell ref="N60:O60"/>
    <mergeCell ref="B61:C61"/>
    <mergeCell ref="D61:E61"/>
    <mergeCell ref="F61:G61"/>
    <mergeCell ref="H61:I61"/>
    <mergeCell ref="J61:K61"/>
    <mergeCell ref="L61:M61"/>
    <mergeCell ref="N61:O61"/>
    <mergeCell ref="B58:C58"/>
    <mergeCell ref="D58:E58"/>
    <mergeCell ref="F58:G58"/>
    <mergeCell ref="H58:I58"/>
    <mergeCell ref="J58:K58"/>
    <mergeCell ref="L58:M58"/>
    <mergeCell ref="N58:O58"/>
    <mergeCell ref="B59:C59"/>
    <mergeCell ref="D59:E59"/>
    <mergeCell ref="F59:G59"/>
    <mergeCell ref="H59:I59"/>
    <mergeCell ref="J59:K59"/>
    <mergeCell ref="L59:M59"/>
    <mergeCell ref="N59:O59"/>
    <mergeCell ref="H56:I56"/>
    <mergeCell ref="J56:K56"/>
    <mergeCell ref="L56:M56"/>
    <mergeCell ref="N56:O56"/>
    <mergeCell ref="B57:C57"/>
    <mergeCell ref="D57:E57"/>
    <mergeCell ref="F57:G57"/>
    <mergeCell ref="H57:I57"/>
    <mergeCell ref="J57:K57"/>
    <mergeCell ref="L57:M57"/>
    <mergeCell ref="N57:O57"/>
    <mergeCell ref="J54:K54"/>
    <mergeCell ref="L54:M54"/>
    <mergeCell ref="N54:O54"/>
    <mergeCell ref="B55:C55"/>
    <mergeCell ref="D55:E55"/>
    <mergeCell ref="F55:G55"/>
    <mergeCell ref="H55:I55"/>
    <mergeCell ref="J55:K55"/>
    <mergeCell ref="L55:M55"/>
    <mergeCell ref="N55:O55"/>
    <mergeCell ref="J52:K52"/>
    <mergeCell ref="L52:M52"/>
    <mergeCell ref="N52:O52"/>
    <mergeCell ref="B53:C53"/>
    <mergeCell ref="D53:E53"/>
    <mergeCell ref="F53:G53"/>
    <mergeCell ref="H53:I53"/>
    <mergeCell ref="J53:K53"/>
    <mergeCell ref="L53:M53"/>
    <mergeCell ref="N53:O53"/>
    <mergeCell ref="J48:K50"/>
    <mergeCell ref="L48:M50"/>
    <mergeCell ref="N48:O50"/>
    <mergeCell ref="D49:E50"/>
    <mergeCell ref="F49:G50"/>
    <mergeCell ref="H49:I50"/>
    <mergeCell ref="B51:C51"/>
    <mergeCell ref="D51:E51"/>
    <mergeCell ref="F51:G51"/>
    <mergeCell ref="H51:I51"/>
    <mergeCell ref="J51:K51"/>
    <mergeCell ref="L51:M51"/>
    <mergeCell ref="N51:O51"/>
    <mergeCell ref="A1:S4"/>
    <mergeCell ref="B47:O47"/>
    <mergeCell ref="B41:C41"/>
    <mergeCell ref="B42:C42"/>
    <mergeCell ref="B43:C43"/>
    <mergeCell ref="F8:G8"/>
    <mergeCell ref="F9:G9"/>
    <mergeCell ref="I15:L15"/>
    <mergeCell ref="I22:N22"/>
    <mergeCell ref="M19:N19"/>
    <mergeCell ref="M18:N18"/>
    <mergeCell ref="M17:N17"/>
    <mergeCell ref="M16:N16"/>
    <mergeCell ref="I28:K28"/>
    <mergeCell ref="L28:N28"/>
    <mergeCell ref="E20:G20"/>
    <mergeCell ref="E21:G21"/>
    <mergeCell ref="I25:K25"/>
    <mergeCell ref="I8:M9"/>
    <mergeCell ref="I13:M13"/>
    <mergeCell ref="L29:N29"/>
    <mergeCell ref="B34:J34"/>
    <mergeCell ref="B27:D27"/>
    <mergeCell ref="E17:G17"/>
    <mergeCell ref="B40:C40"/>
    <mergeCell ref="B19:D19"/>
    <mergeCell ref="B20:D20"/>
    <mergeCell ref="B30:D30"/>
    <mergeCell ref="E18:G18"/>
    <mergeCell ref="E19:G19"/>
    <mergeCell ref="E22:G22"/>
    <mergeCell ref="E23:G23"/>
    <mergeCell ref="E24:G24"/>
    <mergeCell ref="B39:C39"/>
    <mergeCell ref="B38:C38"/>
    <mergeCell ref="B37:C37"/>
    <mergeCell ref="B35:C36"/>
    <mergeCell ref="F35:F36"/>
    <mergeCell ref="E35:E36"/>
    <mergeCell ref="D35:D36"/>
    <mergeCell ref="J35:J36"/>
    <mergeCell ref="G35:I35"/>
    <mergeCell ref="B15:D15"/>
    <mergeCell ref="B29:D29"/>
    <mergeCell ref="E28:G28"/>
    <mergeCell ref="E29:G29"/>
    <mergeCell ref="E25:G25"/>
    <mergeCell ref="E26:G26"/>
    <mergeCell ref="B26:D26"/>
    <mergeCell ref="I29:K29"/>
    <mergeCell ref="I19:K19"/>
    <mergeCell ref="I24:K24"/>
    <mergeCell ref="I26:K26"/>
    <mergeCell ref="E15:G15"/>
    <mergeCell ref="E16:G16"/>
    <mergeCell ref="B16:D16"/>
    <mergeCell ref="B17:D17"/>
    <mergeCell ref="B18:D18"/>
    <mergeCell ref="I27:K27"/>
    <mergeCell ref="B28:D28"/>
    <mergeCell ref="E30:G30"/>
    <mergeCell ref="P5:S5"/>
    <mergeCell ref="I18:K18"/>
    <mergeCell ref="I17:K17"/>
    <mergeCell ref="I16:K16"/>
    <mergeCell ref="E27:G27"/>
    <mergeCell ref="B8:E8"/>
    <mergeCell ref="B9:E9"/>
    <mergeCell ref="B22:D22"/>
    <mergeCell ref="B21:D21"/>
    <mergeCell ref="I23:K23"/>
    <mergeCell ref="P17:Q17"/>
    <mergeCell ref="P18:Q18"/>
    <mergeCell ref="P16:Q16"/>
    <mergeCell ref="P15:Q15"/>
    <mergeCell ref="B24:D24"/>
    <mergeCell ref="B23:D23"/>
    <mergeCell ref="B25:D25"/>
    <mergeCell ref="L27:N27"/>
    <mergeCell ref="L24:N24"/>
    <mergeCell ref="L23:N23"/>
    <mergeCell ref="L25:N25"/>
    <mergeCell ref="L26:N26"/>
    <mergeCell ref="B14:G14"/>
    <mergeCell ref="I12:M12"/>
    <mergeCell ref="B44:C44"/>
    <mergeCell ref="B82:E82"/>
    <mergeCell ref="B72:I73"/>
    <mergeCell ref="B77:E77"/>
    <mergeCell ref="B76:E76"/>
    <mergeCell ref="B75:E75"/>
    <mergeCell ref="B78:E78"/>
    <mergeCell ref="B79:E79"/>
    <mergeCell ref="B80:E80"/>
    <mergeCell ref="B74:E74"/>
    <mergeCell ref="B81:E81"/>
    <mergeCell ref="B48:C50"/>
    <mergeCell ref="D48:I48"/>
    <mergeCell ref="B52:C52"/>
    <mergeCell ref="D52:E52"/>
    <mergeCell ref="F52:G52"/>
    <mergeCell ref="H52:I52"/>
    <mergeCell ref="B54:C54"/>
    <mergeCell ref="D54:E54"/>
    <mergeCell ref="F54:G54"/>
    <mergeCell ref="H54:I54"/>
    <mergeCell ref="B56:C56"/>
    <mergeCell ref="D56:E56"/>
    <mergeCell ref="F56:G56"/>
  </mergeCells>
  <dataValidations count="4">
    <dataValidation type="list" allowBlank="1" showInputMessage="1" showErrorMessage="1" sqref="F8" xr:uid="{00000000-0002-0000-0000-000000000000}">
      <formula1>"Homologação, ACP"</formula1>
    </dataValidation>
    <dataValidation type="list" allowBlank="1" showInputMessage="1" showErrorMessage="1" sqref="F9" xr:uid="{00000000-0002-0000-0000-000001000000}">
      <formula1>"Manual, Software"</formula1>
    </dataValidation>
    <dataValidation type="list" allowBlank="1" showInputMessage="1" showErrorMessage="1" promptTitle="Escolha o tipo de condicionador " sqref="E17:G17" xr:uid="{00000000-0002-0000-0000-000002000000}">
      <formula1>"Condicionador de ar monobloco,Condicionador de ar split hi-wall,Condicionador de ar split hi-wall inverter,Condicionador de ar piso-teto"</formula1>
    </dataValidation>
    <dataValidation type="list" allowBlank="1" showInputMessage="1" showErrorMessage="1" sqref="L16" xr:uid="{00000000-0002-0000-0000-000003000000}">
      <formula1>"Sim,Não"</formula1>
    </dataValidation>
  </dataValidations>
  <pageMargins left="0.51181102362204722" right="0.51181102362204722" top="0.78740157480314965" bottom="0.78740157480314965" header="0.31496062992125984" footer="0.31496062992125984"/>
  <pageSetup paperSize="9" scale="71" orientation="landscape" r:id="rId1"/>
  <headerFooter>
    <oddHeader>&amp;RPágina &amp;P de &amp;N</oddHeader>
    <oddFooter>&amp;CRevisão 00 - 25/10/2018 - Pagina &amp;P de &amp;N
Elaborado por: Leonardo de Andrea João - Aprovado por: Leandro Weschenfelder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6" r:id="rId4" name="Button 12">
              <controlPr defaultSize="0" print="0" autoFill="0" autoPict="0" macro="[0]!Padroes">
                <anchor moveWithCells="1" sizeWithCells="1">
                  <from>
                    <xdr:col>15</xdr:col>
                    <xdr:colOff>219075</xdr:colOff>
                    <xdr:row>44</xdr:row>
                    <xdr:rowOff>19050</xdr:rowOff>
                  </from>
                  <to>
                    <xdr:col>17</xdr:col>
                    <xdr:colOff>514350</xdr:colOff>
                    <xdr:row>48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5" name="Button 18">
              <controlPr defaultSize="0" print="0" autoFill="0" autoPict="0" macro="[0]!Montar_relatorio">
                <anchor moveWithCells="1" sizeWithCells="1">
                  <from>
                    <xdr:col>15</xdr:col>
                    <xdr:colOff>352425</xdr:colOff>
                    <xdr:row>52</xdr:row>
                    <xdr:rowOff>114300</xdr:rowOff>
                  </from>
                  <to>
                    <xdr:col>17</xdr:col>
                    <xdr:colOff>552450</xdr:colOff>
                    <xdr:row>57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">
    <pageSetUpPr fitToPage="1"/>
  </sheetPr>
  <dimension ref="A1:D13"/>
  <sheetViews>
    <sheetView zoomScaleNormal="100" workbookViewId="0">
      <selection activeCell="B16" sqref="B16"/>
    </sheetView>
  </sheetViews>
  <sheetFormatPr defaultRowHeight="12.75" x14ac:dyDescent="0.2"/>
  <cols>
    <col min="1" max="1" width="3.85546875" style="9" customWidth="1"/>
    <col min="2" max="2" width="9.140625" style="9"/>
    <col min="3" max="3" width="117.7109375" style="9" customWidth="1"/>
    <col min="4" max="16384" width="9.140625" style="9"/>
  </cols>
  <sheetData>
    <row r="1" spans="1:4" x14ac:dyDescent="0.2">
      <c r="A1" s="715" t="s">
        <v>457</v>
      </c>
      <c r="B1" s="716"/>
      <c r="C1" s="716"/>
      <c r="D1" s="716"/>
    </row>
    <row r="2" spans="1:4" x14ac:dyDescent="0.2">
      <c r="A2" s="716"/>
      <c r="B2" s="716"/>
      <c r="C2" s="716"/>
      <c r="D2" s="716"/>
    </row>
    <row r="3" spans="1:4" x14ac:dyDescent="0.2">
      <c r="A3" s="716"/>
      <c r="B3" s="716"/>
      <c r="C3" s="716"/>
      <c r="D3" s="716"/>
    </row>
    <row r="4" spans="1:4" x14ac:dyDescent="0.2">
      <c r="A4" s="716"/>
      <c r="B4" s="716"/>
      <c r="C4" s="716"/>
      <c r="D4" s="716"/>
    </row>
    <row r="5" spans="1:4" ht="13.5" thickBot="1" x14ac:dyDescent="0.25"/>
    <row r="6" spans="1:4" ht="15.75" thickBot="1" x14ac:dyDescent="0.25">
      <c r="B6" s="713" t="s">
        <v>448</v>
      </c>
      <c r="C6" s="714"/>
    </row>
    <row r="7" spans="1:4" ht="29.25" thickBot="1" x14ac:dyDescent="0.25">
      <c r="B7" s="435" t="s">
        <v>449</v>
      </c>
      <c r="C7" s="436" t="s">
        <v>450</v>
      </c>
    </row>
    <row r="8" spans="1:4" ht="29.25" thickBot="1" x14ac:dyDescent="0.25">
      <c r="B8" s="435" t="s">
        <v>449</v>
      </c>
      <c r="C8" s="436" t="s">
        <v>451</v>
      </c>
    </row>
    <row r="9" spans="1:4" ht="29.25" thickBot="1" x14ac:dyDescent="0.25">
      <c r="B9" s="435" t="s">
        <v>449</v>
      </c>
      <c r="C9" s="436" t="s">
        <v>452</v>
      </c>
    </row>
    <row r="10" spans="1:4" ht="29.25" thickBot="1" x14ac:dyDescent="0.25">
      <c r="B10" s="435" t="s">
        <v>449</v>
      </c>
      <c r="C10" s="436" t="s">
        <v>453</v>
      </c>
    </row>
    <row r="11" spans="1:4" ht="43.5" thickBot="1" x14ac:dyDescent="0.25">
      <c r="B11" s="435" t="s">
        <v>449</v>
      </c>
      <c r="C11" s="436" t="s">
        <v>454</v>
      </c>
    </row>
    <row r="12" spans="1:4" ht="18.75" customHeight="1" thickBot="1" x14ac:dyDescent="0.25">
      <c r="B12" s="435" t="s">
        <v>449</v>
      </c>
      <c r="C12" s="436" t="s">
        <v>455</v>
      </c>
    </row>
    <row r="13" spans="1:4" ht="18" customHeight="1" thickBot="1" x14ac:dyDescent="0.25">
      <c r="B13" s="435" t="s">
        <v>449</v>
      </c>
      <c r="C13" s="436" t="s">
        <v>456</v>
      </c>
    </row>
  </sheetData>
  <sheetProtection selectLockedCells="1" selectUnlockedCells="1"/>
  <mergeCells count="2">
    <mergeCell ref="B6:C6"/>
    <mergeCell ref="A1:D4"/>
  </mergeCells>
  <pageMargins left="0.51181102362204722" right="0.51181102362204722" top="0.78740157480314965" bottom="0.78740157480314965" header="0.31496062992125984" footer="0.31496062992125984"/>
  <pageSetup paperSize="9" scale="67" orientation="portrait" r:id="rId1"/>
  <headerFooter>
    <oddHeader>&amp;RPágina &amp;P de &amp;N</oddHeader>
    <oddFooter>&amp;RData da emissão:  06/06/2016
Elaborada por: Robson Dendena 
Revisada por: Leandro Weschenfelder
Revisão 03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T1040"/>
  <sheetViews>
    <sheetView workbookViewId="0">
      <selection activeCell="E10" sqref="E10"/>
    </sheetView>
  </sheetViews>
  <sheetFormatPr defaultRowHeight="12.75" x14ac:dyDescent="0.2"/>
  <cols>
    <col min="1" max="1" width="5.28515625" style="520" customWidth="1"/>
    <col min="2" max="2" width="8" style="529" bestFit="1" customWidth="1"/>
    <col min="3" max="3" width="12.28515625" style="525" customWidth="1"/>
    <col min="4" max="4" width="9.140625" style="520"/>
    <col min="5" max="5" width="9.140625" style="525"/>
    <col min="6" max="6" width="9.140625" style="520"/>
    <col min="7" max="12" width="11.5703125" style="525" customWidth="1"/>
    <col min="13" max="14" width="11.5703125" style="520" customWidth="1"/>
    <col min="15" max="15" width="12.140625" style="523" customWidth="1"/>
    <col min="16" max="16" width="10" style="535" bestFit="1" customWidth="1"/>
    <col min="17" max="17" width="8" style="523" customWidth="1"/>
    <col min="18" max="18" width="8" style="536" customWidth="1"/>
    <col min="19" max="19" width="8" style="523" customWidth="1"/>
    <col min="20" max="20" width="10.28515625" style="523" customWidth="1"/>
    <col min="21" max="21" width="8.5703125" style="524" customWidth="1"/>
    <col min="22" max="16384" width="9.140625" style="524"/>
  </cols>
  <sheetData>
    <row r="1" spans="1:20" ht="18" customHeight="1" x14ac:dyDescent="0.2">
      <c r="B1" s="521" t="s">
        <v>500</v>
      </c>
      <c r="C1" s="522">
        <f>'Condicionador de ar'!$F$15</f>
        <v>15.162053885170128</v>
      </c>
      <c r="D1" s="520" t="s">
        <v>71</v>
      </c>
      <c r="E1" s="523"/>
      <c r="G1" s="721" t="s">
        <v>501</v>
      </c>
      <c r="H1" s="722"/>
      <c r="I1" s="721" t="s">
        <v>502</v>
      </c>
      <c r="J1" s="722"/>
      <c r="K1" s="721" t="s">
        <v>503</v>
      </c>
      <c r="L1" s="722"/>
      <c r="M1" s="721" t="s">
        <v>504</v>
      </c>
      <c r="N1" s="722"/>
      <c r="O1" s="723" t="s">
        <v>505</v>
      </c>
      <c r="P1" s="724" t="s">
        <v>506</v>
      </c>
      <c r="Q1" s="717" t="s">
        <v>507</v>
      </c>
      <c r="R1" s="717"/>
      <c r="S1" s="717"/>
    </row>
    <row r="2" spans="1:20" s="523" customFormat="1" ht="35.25" customHeight="1" x14ac:dyDescent="0.2">
      <c r="A2" s="520"/>
      <c r="B2" s="521" t="s">
        <v>508</v>
      </c>
      <c r="C2" s="522">
        <f>'Condicionador de ar'!$J$15</f>
        <v>13.606145952326512</v>
      </c>
      <c r="D2" s="520" t="s">
        <v>71</v>
      </c>
      <c r="E2" s="525"/>
      <c r="F2" s="520"/>
      <c r="G2" s="526" t="s">
        <v>509</v>
      </c>
      <c r="H2" s="527" t="s">
        <v>510</v>
      </c>
      <c r="I2" s="526" t="s">
        <v>509</v>
      </c>
      <c r="J2" s="527" t="s">
        <v>510</v>
      </c>
      <c r="K2" s="526" t="s">
        <v>509</v>
      </c>
      <c r="L2" s="527" t="s">
        <v>510</v>
      </c>
      <c r="M2" s="526" t="s">
        <v>509</v>
      </c>
      <c r="N2" s="527" t="s">
        <v>510</v>
      </c>
      <c r="O2" s="723"/>
      <c r="P2" s="724"/>
      <c r="Q2" s="528" t="s">
        <v>511</v>
      </c>
      <c r="R2" s="528" t="s">
        <v>512</v>
      </c>
      <c r="S2" s="528" t="s">
        <v>513</v>
      </c>
      <c r="T2" s="528"/>
    </row>
    <row r="3" spans="1:20" ht="18" x14ac:dyDescent="0.2">
      <c r="B3" s="529" t="s">
        <v>514</v>
      </c>
      <c r="C3" s="530">
        <f>AVERAGE(T3:T154)</f>
        <v>1.0808840851207662E-2</v>
      </c>
      <c r="D3" s="520" t="s">
        <v>515</v>
      </c>
      <c r="G3" s="531">
        <v>12000</v>
      </c>
      <c r="H3" s="532">
        <f t="shared" ref="H3:H66" si="0">0.9986-(7.006/SQRT(G3))+134.6/G3</f>
        <v>0.94586092936864685</v>
      </c>
      <c r="I3" s="533">
        <v>12000</v>
      </c>
      <c r="J3" s="534">
        <f>0.9986-(7.006/SQRT(I3))+134.6/I3</f>
        <v>0.94586092936864685</v>
      </c>
      <c r="K3" s="531">
        <v>12000</v>
      </c>
      <c r="L3" s="532">
        <f>0.9986-(7.006/SQRT(K3))+134.6/K3</f>
        <v>0.94586092936864685</v>
      </c>
      <c r="M3" s="533">
        <v>12000</v>
      </c>
      <c r="N3" s="534">
        <f>0.9986-(7.006/SQRT(M3))+134.6/M3</f>
        <v>0.94586092936864685</v>
      </c>
      <c r="O3" s="523">
        <v>-60</v>
      </c>
      <c r="P3" s="535">
        <v>6.7000000000000002E-6</v>
      </c>
      <c r="Q3" s="523">
        <v>0.60270000000000001</v>
      </c>
      <c r="R3" s="536">
        <v>0</v>
      </c>
      <c r="S3" s="523">
        <v>0.60270000000000001</v>
      </c>
      <c r="T3" s="535" t="str">
        <f t="shared" ref="T3:T66" si="1">IF(AND($C$1&gt;O3,$C$1&lt;=O4),($C$1-O3)/(O4-O3)*(P4-P3)+P3,"")</f>
        <v/>
      </c>
    </row>
    <row r="4" spans="1:20" ht="18" x14ac:dyDescent="0.2">
      <c r="B4" s="529" t="s">
        <v>516</v>
      </c>
      <c r="C4" s="537">
        <f>Resumo!$R$15</f>
        <v>1008.4</v>
      </c>
      <c r="D4" s="520" t="s">
        <v>179</v>
      </c>
      <c r="G4" s="538">
        <f t="shared" ref="G4:G67" si="2">($C$6/(1000*$C$12*$C$16))*(H3*SQRT(2*$C$5*100*$C$16))</f>
        <v>125133.78807808638</v>
      </c>
      <c r="H4" s="539">
        <f t="shared" si="0"/>
        <v>0.97987028434427415</v>
      </c>
      <c r="I4" s="540">
        <f t="shared" ref="I4:I67" si="3">($C$7/(1000*$C$12*$C$16))*(J3*SQRT(2*$C$5*100*$C$16))</f>
        <v>124756.6117665035</v>
      </c>
      <c r="J4" s="534">
        <f t="shared" ref="J4:N67" si="4">0.9986-(7.006/SQRT(I4))+134.6/I4</f>
        <v>0.97984362019325666</v>
      </c>
      <c r="K4" s="538">
        <f t="shared" ref="K4:K67" si="5">($C$8/(1000*$C$12*$C$16))*(L3*SQRT(2*$C$5*100*$C$16))</f>
        <v>123780.39072475958</v>
      </c>
      <c r="L4" s="539">
        <f t="shared" si="4"/>
        <v>0.97977406516155685</v>
      </c>
      <c r="M4" s="540">
        <f t="shared" ref="M4:M67" si="6">($C$9/(1000*$C$12*$C$16))*(N3*SQRT(2*$C$5*100*$C$16))</f>
        <v>147461.14660100263</v>
      </c>
      <c r="N4" s="534">
        <f t="shared" si="4"/>
        <v>0.98126830953215649</v>
      </c>
      <c r="O4" s="523">
        <v>-59</v>
      </c>
      <c r="P4" s="535">
        <v>7.6000000000000001E-6</v>
      </c>
      <c r="Q4" s="523">
        <v>0.60560000000000003</v>
      </c>
      <c r="R4" s="536">
        <v>0</v>
      </c>
      <c r="S4" s="523">
        <v>0.60560000000000003</v>
      </c>
      <c r="T4" s="535" t="str">
        <f t="shared" si="1"/>
        <v/>
      </c>
    </row>
    <row r="5" spans="1:20" ht="18" x14ac:dyDescent="0.2">
      <c r="B5" s="529" t="s">
        <v>517</v>
      </c>
      <c r="C5" s="541">
        <f>Pressão!$H$14</f>
        <v>3.245967741935484</v>
      </c>
      <c r="D5" s="542" t="s">
        <v>371</v>
      </c>
      <c r="G5" s="538">
        <f t="shared" si="2"/>
        <v>129633.09583682127</v>
      </c>
      <c r="H5" s="539">
        <f t="shared" si="0"/>
        <v>0.98017968838970382</v>
      </c>
      <c r="I5" s="540">
        <f t="shared" si="3"/>
        <v>129238.84084939504</v>
      </c>
      <c r="J5" s="534">
        <f t="shared" si="4"/>
        <v>0.98015319830010061</v>
      </c>
      <c r="K5" s="538">
        <f t="shared" si="5"/>
        <v>128218.44400385021</v>
      </c>
      <c r="L5" s="539">
        <f t="shared" si="4"/>
        <v>0.98008409386889628</v>
      </c>
      <c r="M5" s="540">
        <f t="shared" si="6"/>
        <v>152981.21061351433</v>
      </c>
      <c r="N5" s="534">
        <f t="shared" si="4"/>
        <v>0.98156755766732262</v>
      </c>
      <c r="O5" s="523">
        <v>-58</v>
      </c>
      <c r="P5" s="535">
        <v>8.6999999999999997E-6</v>
      </c>
      <c r="Q5" s="523">
        <v>0.60840000000000005</v>
      </c>
      <c r="R5" s="536">
        <v>0</v>
      </c>
      <c r="S5" s="523">
        <v>0.60840000000000005</v>
      </c>
      <c r="T5" s="535" t="str">
        <f t="shared" si="1"/>
        <v/>
      </c>
    </row>
    <row r="6" spans="1:20" ht="18" x14ac:dyDescent="0.2">
      <c r="B6" s="529" t="s">
        <v>518</v>
      </c>
      <c r="C6" s="537">
        <v>84.6</v>
      </c>
      <c r="D6" s="520" t="s">
        <v>352</v>
      </c>
      <c r="G6" s="538">
        <f>($C$6/(1000*$C$12*$C$16))*(H5*SQRT(2*$C$5*100*$C$16))</f>
        <v>129674.02881021003</v>
      </c>
      <c r="H6" s="539">
        <f>0.9986-(7.006/SQRT(G6))+134.6/G6</f>
        <v>0.98018243203726829</v>
      </c>
      <c r="I6" s="540">
        <f t="shared" si="3"/>
        <v>129279.67340150471</v>
      </c>
      <c r="J6" s="534">
        <f t="shared" si="4"/>
        <v>0.98015594724904931</v>
      </c>
      <c r="K6" s="538">
        <f t="shared" si="5"/>
        <v>128259.01600903494</v>
      </c>
      <c r="L6" s="539">
        <f t="shared" si="4"/>
        <v>0.98008685663339934</v>
      </c>
      <c r="M6" s="540">
        <f t="shared" si="6"/>
        <v>153027.86384948133</v>
      </c>
      <c r="N6" s="534">
        <f t="shared" si="4"/>
        <v>0.98157002007691996</v>
      </c>
      <c r="O6" s="523">
        <v>-57</v>
      </c>
      <c r="P6" s="535">
        <v>1.0000000000000001E-5</v>
      </c>
      <c r="Q6" s="523">
        <v>0.61129999999999995</v>
      </c>
      <c r="R6" s="536">
        <v>0</v>
      </c>
      <c r="S6" s="523">
        <v>0.61129999999999995</v>
      </c>
      <c r="T6" s="535" t="str">
        <f t="shared" si="1"/>
        <v/>
      </c>
    </row>
    <row r="7" spans="1:20" ht="18" x14ac:dyDescent="0.2">
      <c r="B7" s="529" t="s">
        <v>519</v>
      </c>
      <c r="C7" s="541">
        <v>84.344999999999999</v>
      </c>
      <c r="D7" s="520" t="s">
        <v>352</v>
      </c>
      <c r="G7" s="538">
        <f t="shared" si="2"/>
        <v>129674.39178430298</v>
      </c>
      <c r="H7" s="539">
        <f t="shared" si="0"/>
        <v>0.98018245636104717</v>
      </c>
      <c r="I7" s="540">
        <f t="shared" si="3"/>
        <v>129280.03598076569</v>
      </c>
      <c r="J7" s="534">
        <f t="shared" si="4"/>
        <v>0.98015597165318569</v>
      </c>
      <c r="K7" s="538">
        <f t="shared" si="5"/>
        <v>128259.37755908848</v>
      </c>
      <c r="L7" s="539">
        <f t="shared" si="4"/>
        <v>0.98008688124761612</v>
      </c>
      <c r="M7" s="540">
        <f t="shared" si="6"/>
        <v>153028.24774285441</v>
      </c>
      <c r="N7" s="534">
        <f t="shared" si="4"/>
        <v>0.98157004033473672</v>
      </c>
      <c r="O7" s="523">
        <v>-56</v>
      </c>
      <c r="P7" s="535">
        <v>1.1399999999999999E-5</v>
      </c>
      <c r="Q7" s="523">
        <v>0.61409999999999998</v>
      </c>
      <c r="R7" s="536">
        <v>0</v>
      </c>
      <c r="S7" s="523">
        <v>0.61409999999999998</v>
      </c>
      <c r="T7" s="535" t="str">
        <f t="shared" si="1"/>
        <v/>
      </c>
    </row>
    <row r="8" spans="1:20" ht="18" x14ac:dyDescent="0.2">
      <c r="B8" s="529" t="s">
        <v>520</v>
      </c>
      <c r="C8" s="541">
        <v>83.685000000000002</v>
      </c>
      <c r="D8" s="520" t="s">
        <v>352</v>
      </c>
      <c r="G8" s="538">
        <f t="shared" si="2"/>
        <v>129674.395002246</v>
      </c>
      <c r="H8" s="539">
        <f t="shared" si="0"/>
        <v>0.98018245657668901</v>
      </c>
      <c r="I8" s="540">
        <f t="shared" si="3"/>
        <v>129280.0391996082</v>
      </c>
      <c r="J8" s="534">
        <f t="shared" si="4"/>
        <v>0.98015597186983605</v>
      </c>
      <c r="K8" s="538">
        <f t="shared" si="5"/>
        <v>128259.38078023578</v>
      </c>
      <c r="L8" s="539">
        <f t="shared" si="4"/>
        <v>0.98008688146691048</v>
      </c>
      <c r="M8" s="540">
        <f t="shared" si="6"/>
        <v>153028.2509010786</v>
      </c>
      <c r="N8" s="534">
        <f t="shared" si="4"/>
        <v>0.98157004050139407</v>
      </c>
      <c r="O8" s="523">
        <v>-55</v>
      </c>
      <c r="P8" s="535">
        <v>1.29E-5</v>
      </c>
      <c r="Q8" s="523">
        <v>0.61699999999999999</v>
      </c>
      <c r="R8" s="536">
        <v>0</v>
      </c>
      <c r="S8" s="523">
        <v>0.61699999999999999</v>
      </c>
      <c r="T8" s="535" t="str">
        <f t="shared" si="1"/>
        <v/>
      </c>
    </row>
    <row r="9" spans="1:20" ht="18" x14ac:dyDescent="0.2">
      <c r="B9" s="529" t="s">
        <v>521</v>
      </c>
      <c r="C9" s="541">
        <v>99.694999999999993</v>
      </c>
      <c r="D9" s="520" t="s">
        <v>352</v>
      </c>
      <c r="E9" s="556" t="s">
        <v>559</v>
      </c>
      <c r="F9" s="556" t="s">
        <v>560</v>
      </c>
      <c r="G9" s="538">
        <f>($C$6/(1000*$C$12*$C$16))*(H8*SQRT(2*$C$5*100*$C$16))</f>
        <v>129674.39503077461</v>
      </c>
      <c r="H9" s="539">
        <f>0.9986-(7.006/SQRT(G9))+134.6/G9</f>
        <v>0.9801824565786007</v>
      </c>
      <c r="I9" s="540">
        <f t="shared" si="3"/>
        <v>129280.03922818381</v>
      </c>
      <c r="J9" s="534">
        <f t="shared" si="4"/>
        <v>0.98015597187175929</v>
      </c>
      <c r="K9" s="538">
        <f t="shared" si="5"/>
        <v>128259.3808089338</v>
      </c>
      <c r="L9" s="539">
        <f t="shared" si="4"/>
        <v>0.98008688146886425</v>
      </c>
      <c r="M9" s="540">
        <f t="shared" si="6"/>
        <v>153028.25092706073</v>
      </c>
      <c r="N9" s="534">
        <f t="shared" si="4"/>
        <v>0.98157004050276508</v>
      </c>
      <c r="O9" s="523">
        <v>-54</v>
      </c>
      <c r="P9" s="535">
        <v>1.47E-5</v>
      </c>
      <c r="Q9" s="523">
        <v>0.61980000000000002</v>
      </c>
      <c r="R9" s="536">
        <v>0</v>
      </c>
      <c r="S9" s="523">
        <v>0.61980000000000002</v>
      </c>
      <c r="T9" s="535" t="str">
        <f t="shared" si="1"/>
        <v/>
      </c>
    </row>
    <row r="10" spans="1:20" x14ac:dyDescent="0.2">
      <c r="B10" s="529" t="s">
        <v>522</v>
      </c>
      <c r="C10" s="543">
        <f>Resumo!$R$17</f>
        <v>1</v>
      </c>
      <c r="D10" s="520" t="s">
        <v>523</v>
      </c>
      <c r="E10" s="522">
        <f>IF(C10=4,MIN(C23,C28,C33,C38),IF(C10=3,MIN(C23,C28,C33),IF(C10=2,MIN(C23,C28),IF(C10=1,C23))))</f>
        <v>22.659564851183468</v>
      </c>
      <c r="F10" s="522">
        <f>IF(C10=4,MAX(C23,C28,C33,C38),IF(C10=3,MAX(C23,C28,C33),IF(C10=2,MAX(C23,C28),IF(C10=1,C23))))</f>
        <v>22.659564851183468</v>
      </c>
      <c r="G10" s="538">
        <f t="shared" si="2"/>
        <v>129674.39503102751</v>
      </c>
      <c r="H10" s="539">
        <f t="shared" si="0"/>
        <v>0.98018245657861758</v>
      </c>
      <c r="I10" s="540">
        <f t="shared" si="3"/>
        <v>129280.03922843748</v>
      </c>
      <c r="J10" s="534">
        <f t="shared" si="4"/>
        <v>0.9801559718717765</v>
      </c>
      <c r="K10" s="538">
        <f t="shared" si="5"/>
        <v>128259.38080918949</v>
      </c>
      <c r="L10" s="539">
        <f t="shared" si="4"/>
        <v>0.98008688146888168</v>
      </c>
      <c r="M10" s="540">
        <f t="shared" si="6"/>
        <v>153028.25092727446</v>
      </c>
      <c r="N10" s="534">
        <f t="shared" si="4"/>
        <v>0.98157004050277641</v>
      </c>
      <c r="O10" s="523">
        <v>-53</v>
      </c>
      <c r="P10" s="535">
        <v>1.6699999999999999E-5</v>
      </c>
      <c r="Q10" s="523">
        <v>0.62260000000000004</v>
      </c>
      <c r="R10" s="536">
        <v>0</v>
      </c>
      <c r="S10" s="523">
        <v>0.62270000000000003</v>
      </c>
      <c r="T10" s="535" t="str">
        <f t="shared" si="1"/>
        <v/>
      </c>
    </row>
    <row r="11" spans="1:20" x14ac:dyDescent="0.2">
      <c r="G11" s="538">
        <f t="shared" si="2"/>
        <v>129674.39503102975</v>
      </c>
      <c r="H11" s="539">
        <f t="shared" si="0"/>
        <v>0.98018245657861769</v>
      </c>
      <c r="I11" s="540">
        <f t="shared" si="3"/>
        <v>129280.03922843975</v>
      </c>
      <c r="J11" s="534">
        <f t="shared" si="4"/>
        <v>0.98015597187177661</v>
      </c>
      <c r="K11" s="538">
        <f t="shared" si="5"/>
        <v>128259.38080919176</v>
      </c>
      <c r="L11" s="539">
        <f t="shared" si="4"/>
        <v>0.98008688146888179</v>
      </c>
      <c r="M11" s="540">
        <f t="shared" si="6"/>
        <v>153028.25092727624</v>
      </c>
      <c r="N11" s="534">
        <f t="shared" si="4"/>
        <v>0.98157004050277652</v>
      </c>
      <c r="O11" s="523">
        <v>-52</v>
      </c>
      <c r="P11" s="535">
        <v>1.9000000000000001E-5</v>
      </c>
      <c r="Q11" s="523">
        <v>0.62549999999999994</v>
      </c>
      <c r="R11" s="536">
        <v>0</v>
      </c>
      <c r="S11" s="523">
        <v>0.62549999999999994</v>
      </c>
      <c r="T11" s="535" t="str">
        <f t="shared" si="1"/>
        <v/>
      </c>
    </row>
    <row r="12" spans="1:20" ht="15" x14ac:dyDescent="0.2">
      <c r="B12" s="544" t="s">
        <v>524</v>
      </c>
      <c r="C12" s="545">
        <f>(17.23+0.048*C1)/10^6</f>
        <v>1.7957778586488167E-5</v>
      </c>
      <c r="D12" s="520" t="s">
        <v>525</v>
      </c>
      <c r="G12" s="538">
        <f t="shared" si="2"/>
        <v>129674.39503102977</v>
      </c>
      <c r="H12" s="539">
        <f t="shared" si="0"/>
        <v>0.98018245657861769</v>
      </c>
      <c r="I12" s="540">
        <f t="shared" si="3"/>
        <v>129280.03922843978</v>
      </c>
      <c r="J12" s="534">
        <f t="shared" si="4"/>
        <v>0.98015597187177661</v>
      </c>
      <c r="K12" s="538">
        <f t="shared" si="5"/>
        <v>128259.38080919179</v>
      </c>
      <c r="L12" s="539">
        <f t="shared" si="4"/>
        <v>0.98008688146888179</v>
      </c>
      <c r="M12" s="540">
        <f t="shared" si="6"/>
        <v>153028.25092727627</v>
      </c>
      <c r="N12" s="534">
        <f t="shared" si="4"/>
        <v>0.98157004050277652</v>
      </c>
      <c r="O12" s="523">
        <v>-51</v>
      </c>
      <c r="P12" s="535">
        <v>2.1500000000000001E-5</v>
      </c>
      <c r="Q12" s="523">
        <v>0.62829999999999997</v>
      </c>
      <c r="R12" s="536">
        <v>0</v>
      </c>
      <c r="S12" s="523">
        <v>0.62839999999999996</v>
      </c>
      <c r="T12" s="535" t="str">
        <f t="shared" si="1"/>
        <v/>
      </c>
    </row>
    <row r="13" spans="1:20" ht="18" x14ac:dyDescent="0.2">
      <c r="B13" s="529" t="s">
        <v>526</v>
      </c>
      <c r="C13" s="530">
        <f>((2501-2.381*C2)*C3-1.006*(C1-C2))/(2501+1.805*C1-4.186*C2)</f>
        <v>1.016321844505181E-2</v>
      </c>
      <c r="D13" s="520" t="s">
        <v>515</v>
      </c>
      <c r="G13" s="538">
        <f t="shared" si="2"/>
        <v>129674.39503102977</v>
      </c>
      <c r="H13" s="539">
        <f t="shared" si="0"/>
        <v>0.98018245657861769</v>
      </c>
      <c r="I13" s="540">
        <f t="shared" si="3"/>
        <v>129280.03922843978</v>
      </c>
      <c r="J13" s="534">
        <f t="shared" si="4"/>
        <v>0.98015597187177661</v>
      </c>
      <c r="K13" s="538">
        <f t="shared" si="5"/>
        <v>128259.38080919179</v>
      </c>
      <c r="L13" s="539">
        <f t="shared" si="4"/>
        <v>0.98008688146888179</v>
      </c>
      <c r="M13" s="540">
        <f t="shared" si="6"/>
        <v>153028.25092727627</v>
      </c>
      <c r="N13" s="534">
        <f t="shared" si="4"/>
        <v>0.98157004050277652</v>
      </c>
      <c r="O13" s="523">
        <v>-50</v>
      </c>
      <c r="P13" s="535">
        <v>2.4300000000000001E-5</v>
      </c>
      <c r="Q13" s="523">
        <v>0.63119999999999998</v>
      </c>
      <c r="R13" s="536">
        <v>0</v>
      </c>
      <c r="S13" s="523">
        <v>0.63119999999999998</v>
      </c>
      <c r="T13" s="535" t="str">
        <f t="shared" si="1"/>
        <v/>
      </c>
    </row>
    <row r="14" spans="1:20" x14ac:dyDescent="0.2">
      <c r="B14" s="529" t="s">
        <v>527</v>
      </c>
      <c r="C14" s="541">
        <f>(C4+C5)/10</f>
        <v>101.16459677419354</v>
      </c>
      <c r="D14" s="520" t="s">
        <v>193</v>
      </c>
      <c r="G14" s="538">
        <f t="shared" si="2"/>
        <v>129674.39503102977</v>
      </c>
      <c r="H14" s="539">
        <f t="shared" si="0"/>
        <v>0.98018245657861769</v>
      </c>
      <c r="I14" s="540">
        <f t="shared" si="3"/>
        <v>129280.03922843978</v>
      </c>
      <c r="J14" s="534">
        <f t="shared" si="4"/>
        <v>0.98015597187177661</v>
      </c>
      <c r="K14" s="538">
        <f t="shared" si="5"/>
        <v>128259.38080919179</v>
      </c>
      <c r="L14" s="539">
        <f t="shared" si="4"/>
        <v>0.98008688146888179</v>
      </c>
      <c r="M14" s="540">
        <f t="shared" si="6"/>
        <v>153028.25092727627</v>
      </c>
      <c r="N14" s="534">
        <f t="shared" si="4"/>
        <v>0.98157004050277652</v>
      </c>
      <c r="O14" s="523">
        <v>-49</v>
      </c>
      <c r="P14" s="535">
        <v>2.7500000000000001E-5</v>
      </c>
      <c r="Q14" s="523">
        <v>0.63400000000000001</v>
      </c>
      <c r="R14" s="536">
        <v>0</v>
      </c>
      <c r="S14" s="523">
        <v>0.6341</v>
      </c>
      <c r="T14" s="535" t="str">
        <f t="shared" si="1"/>
        <v/>
      </c>
    </row>
    <row r="15" spans="1:20" ht="18" x14ac:dyDescent="0.2">
      <c r="B15" s="544" t="s">
        <v>528</v>
      </c>
      <c r="C15" s="530">
        <f>(0.2871*(C1+273.15)*(1+1.6078*C13))/C14</f>
        <v>0.83158498010467607</v>
      </c>
      <c r="D15" s="520" t="s">
        <v>529</v>
      </c>
      <c r="G15" s="538">
        <f t="shared" si="2"/>
        <v>129674.39503102977</v>
      </c>
      <c r="H15" s="539">
        <f t="shared" si="0"/>
        <v>0.98018245657861769</v>
      </c>
      <c r="I15" s="540">
        <f t="shared" si="3"/>
        <v>129280.03922843978</v>
      </c>
      <c r="J15" s="534">
        <f t="shared" si="4"/>
        <v>0.98015597187177661</v>
      </c>
      <c r="K15" s="538">
        <f t="shared" si="5"/>
        <v>128259.38080919179</v>
      </c>
      <c r="L15" s="539">
        <f t="shared" si="4"/>
        <v>0.98008688146888179</v>
      </c>
      <c r="M15" s="540">
        <f t="shared" si="6"/>
        <v>153028.25092727627</v>
      </c>
      <c r="N15" s="534">
        <f t="shared" si="4"/>
        <v>0.98157004050277652</v>
      </c>
      <c r="O15" s="523">
        <v>-48</v>
      </c>
      <c r="P15" s="535">
        <v>3.1099999999999997E-5</v>
      </c>
      <c r="Q15" s="523">
        <v>0.63690000000000002</v>
      </c>
      <c r="R15" s="536">
        <v>0</v>
      </c>
      <c r="S15" s="523">
        <v>0.63690000000000002</v>
      </c>
      <c r="T15" s="535" t="str">
        <f t="shared" si="1"/>
        <v/>
      </c>
    </row>
    <row r="16" spans="1:20" ht="18" x14ac:dyDescent="0.2">
      <c r="B16" s="544" t="s">
        <v>530</v>
      </c>
      <c r="C16" s="530">
        <f>C15/(1+C13)</f>
        <v>0.82321843135878392</v>
      </c>
      <c r="D16" s="520" t="s">
        <v>529</v>
      </c>
      <c r="E16" s="541"/>
      <c r="G16" s="538">
        <f t="shared" si="2"/>
        <v>129674.39503102977</v>
      </c>
      <c r="H16" s="539">
        <f t="shared" si="0"/>
        <v>0.98018245657861769</v>
      </c>
      <c r="I16" s="540">
        <f t="shared" si="3"/>
        <v>129280.03922843978</v>
      </c>
      <c r="J16" s="534">
        <f t="shared" si="4"/>
        <v>0.98015597187177661</v>
      </c>
      <c r="K16" s="538">
        <f t="shared" si="5"/>
        <v>128259.38080919179</v>
      </c>
      <c r="L16" s="539">
        <f t="shared" si="4"/>
        <v>0.98008688146888179</v>
      </c>
      <c r="M16" s="540">
        <f t="shared" si="6"/>
        <v>153028.25092727627</v>
      </c>
      <c r="N16" s="534">
        <f t="shared" si="4"/>
        <v>0.98157004050277652</v>
      </c>
      <c r="O16" s="523">
        <v>-47</v>
      </c>
      <c r="P16" s="535">
        <v>3.4999999999999997E-5</v>
      </c>
      <c r="Q16" s="523">
        <v>0.63970000000000005</v>
      </c>
      <c r="R16" s="536">
        <v>0</v>
      </c>
      <c r="S16" s="523">
        <v>0.63980000000000004</v>
      </c>
      <c r="T16" s="535" t="str">
        <f t="shared" si="1"/>
        <v/>
      </c>
    </row>
    <row r="17" spans="1:20" ht="18" x14ac:dyDescent="0.2">
      <c r="B17" s="529" t="s">
        <v>531</v>
      </c>
      <c r="C17" s="541">
        <f>IF(C10&lt;2,C22,IF(C10&lt;3,C22+C27,IF(C10&lt;4,C22+C27+C32,C22+C27+C32+C37)))</f>
        <v>458.5478629117722</v>
      </c>
      <c r="D17" s="520" t="s">
        <v>261</v>
      </c>
      <c r="E17" s="541"/>
      <c r="G17" s="538">
        <f t="shared" si="2"/>
        <v>129674.39503102977</v>
      </c>
      <c r="H17" s="539">
        <f t="shared" si="0"/>
        <v>0.98018245657861769</v>
      </c>
      <c r="I17" s="540">
        <f t="shared" si="3"/>
        <v>129280.03922843978</v>
      </c>
      <c r="J17" s="534">
        <f t="shared" si="4"/>
        <v>0.98015597187177661</v>
      </c>
      <c r="K17" s="538">
        <f t="shared" si="5"/>
        <v>128259.38080919179</v>
      </c>
      <c r="L17" s="539">
        <f t="shared" si="4"/>
        <v>0.98008688146888179</v>
      </c>
      <c r="M17" s="540">
        <f t="shared" si="6"/>
        <v>153028.25092727627</v>
      </c>
      <c r="N17" s="534">
        <f t="shared" si="4"/>
        <v>0.98157004050277652</v>
      </c>
      <c r="O17" s="523">
        <v>-46</v>
      </c>
      <c r="P17" s="535">
        <v>3.9499999999999998E-5</v>
      </c>
      <c r="Q17" s="523">
        <v>0.64259999999999995</v>
      </c>
      <c r="R17" s="536">
        <v>0</v>
      </c>
      <c r="S17" s="523">
        <v>0.64259999999999995</v>
      </c>
      <c r="T17" s="535" t="str">
        <f t="shared" si="1"/>
        <v/>
      </c>
    </row>
    <row r="18" spans="1:20" ht="13.5" thickBot="1" x14ac:dyDescent="0.25">
      <c r="G18" s="538">
        <f t="shared" si="2"/>
        <v>129674.39503102977</v>
      </c>
      <c r="H18" s="539">
        <f t="shared" si="0"/>
        <v>0.98018245657861769</v>
      </c>
      <c r="I18" s="540">
        <f t="shared" si="3"/>
        <v>129280.03922843978</v>
      </c>
      <c r="J18" s="534">
        <f t="shared" si="4"/>
        <v>0.98015597187177661</v>
      </c>
      <c r="K18" s="538">
        <f t="shared" si="5"/>
        <v>128259.38080919179</v>
      </c>
      <c r="L18" s="539">
        <f t="shared" si="4"/>
        <v>0.98008688146888179</v>
      </c>
      <c r="M18" s="540">
        <f t="shared" si="6"/>
        <v>153028.25092727627</v>
      </c>
      <c r="N18" s="534">
        <f t="shared" si="4"/>
        <v>0.98157004050277652</v>
      </c>
      <c r="O18" s="523">
        <v>-45</v>
      </c>
      <c r="P18" s="535">
        <v>4.4499999999999997E-5</v>
      </c>
      <c r="Q18" s="523">
        <v>0.64539999999999997</v>
      </c>
      <c r="R18" s="536">
        <v>0</v>
      </c>
      <c r="S18" s="523">
        <v>0.64549999999999996</v>
      </c>
      <c r="T18" s="535" t="str">
        <f t="shared" si="1"/>
        <v/>
      </c>
    </row>
    <row r="19" spans="1:20" ht="18" x14ac:dyDescent="0.2">
      <c r="A19" s="718" t="s">
        <v>501</v>
      </c>
      <c r="B19" s="546" t="s">
        <v>532</v>
      </c>
      <c r="C19" s="547">
        <f>(PI()*(C6/1000)^2)/4</f>
        <v>5.6212203191416807E-3</v>
      </c>
      <c r="D19" s="548" t="s">
        <v>264</v>
      </c>
      <c r="G19" s="538">
        <f t="shared" si="2"/>
        <v>129674.39503102977</v>
      </c>
      <c r="H19" s="539">
        <f t="shared" si="0"/>
        <v>0.98018245657861769</v>
      </c>
      <c r="I19" s="540">
        <f t="shared" si="3"/>
        <v>129280.03922843978</v>
      </c>
      <c r="J19" s="534">
        <f t="shared" si="4"/>
        <v>0.98015597187177661</v>
      </c>
      <c r="K19" s="538">
        <f t="shared" si="5"/>
        <v>128259.38080919179</v>
      </c>
      <c r="L19" s="539">
        <f t="shared" si="4"/>
        <v>0.98008688146888179</v>
      </c>
      <c r="M19" s="540">
        <f t="shared" si="6"/>
        <v>153028.25092727627</v>
      </c>
      <c r="N19" s="534">
        <f t="shared" si="4"/>
        <v>0.98157004050277652</v>
      </c>
      <c r="O19" s="523">
        <v>-44</v>
      </c>
      <c r="P19" s="535">
        <v>5.0000000000000002E-5</v>
      </c>
      <c r="Q19" s="523">
        <v>0.64829999999999999</v>
      </c>
      <c r="R19" s="536">
        <v>1E-4</v>
      </c>
      <c r="S19" s="523">
        <v>0.64829999999999999</v>
      </c>
      <c r="T19" s="535" t="str">
        <f t="shared" si="1"/>
        <v/>
      </c>
    </row>
    <row r="20" spans="1:20" x14ac:dyDescent="0.2">
      <c r="A20" s="719"/>
      <c r="B20" s="549" t="s">
        <v>533</v>
      </c>
      <c r="C20" s="550">
        <f>G1040</f>
        <v>129674.39503102977</v>
      </c>
      <c r="D20" s="551"/>
      <c r="G20" s="538">
        <f t="shared" si="2"/>
        <v>129674.39503102977</v>
      </c>
      <c r="H20" s="539">
        <f t="shared" si="0"/>
        <v>0.98018245657861769</v>
      </c>
      <c r="I20" s="540">
        <f t="shared" si="3"/>
        <v>129280.03922843978</v>
      </c>
      <c r="J20" s="534">
        <f t="shared" si="4"/>
        <v>0.98015597187177661</v>
      </c>
      <c r="K20" s="538">
        <f t="shared" si="5"/>
        <v>128259.38080919179</v>
      </c>
      <c r="L20" s="539">
        <f t="shared" si="4"/>
        <v>0.98008688146888179</v>
      </c>
      <c r="M20" s="540">
        <f t="shared" si="6"/>
        <v>153028.25092727627</v>
      </c>
      <c r="N20" s="534">
        <f t="shared" si="4"/>
        <v>0.98157004050277652</v>
      </c>
      <c r="O20" s="523">
        <v>-43</v>
      </c>
      <c r="P20" s="535">
        <v>5.6199999999999997E-5</v>
      </c>
      <c r="Q20" s="523">
        <v>0.65110000000000001</v>
      </c>
      <c r="R20" s="536">
        <v>1E-4</v>
      </c>
      <c r="S20" s="523">
        <v>0.6512</v>
      </c>
      <c r="T20" s="535" t="str">
        <f t="shared" si="1"/>
        <v/>
      </c>
    </row>
    <row r="21" spans="1:20" x14ac:dyDescent="0.2">
      <c r="A21" s="719"/>
      <c r="B21" s="549" t="s">
        <v>534</v>
      </c>
      <c r="C21" s="552">
        <f>H1040</f>
        <v>0.98018245657861769</v>
      </c>
      <c r="D21" s="551"/>
      <c r="G21" s="538">
        <f t="shared" si="2"/>
        <v>129674.39503102977</v>
      </c>
      <c r="H21" s="539">
        <f t="shared" si="0"/>
        <v>0.98018245657861769</v>
      </c>
      <c r="I21" s="540">
        <f t="shared" si="3"/>
        <v>129280.03922843978</v>
      </c>
      <c r="J21" s="534">
        <f t="shared" si="4"/>
        <v>0.98015597187177661</v>
      </c>
      <c r="K21" s="538">
        <f t="shared" si="5"/>
        <v>128259.38080919179</v>
      </c>
      <c r="L21" s="539">
        <f t="shared" si="4"/>
        <v>0.98008688146888179</v>
      </c>
      <c r="M21" s="540">
        <f t="shared" si="6"/>
        <v>153028.25092727627</v>
      </c>
      <c r="N21" s="534">
        <f t="shared" si="4"/>
        <v>0.98157004050277652</v>
      </c>
      <c r="O21" s="523">
        <v>-42</v>
      </c>
      <c r="P21" s="535">
        <v>6.3100000000000002E-5</v>
      </c>
      <c r="Q21" s="523">
        <v>0.65400000000000003</v>
      </c>
      <c r="R21" s="536">
        <v>1E-4</v>
      </c>
      <c r="S21" s="523">
        <v>0.65400000000000003</v>
      </c>
      <c r="T21" s="535" t="str">
        <f t="shared" si="1"/>
        <v/>
      </c>
    </row>
    <row r="22" spans="1:20" ht="18" x14ac:dyDescent="0.2">
      <c r="A22" s="719"/>
      <c r="B22" s="549" t="s">
        <v>535</v>
      </c>
      <c r="C22" s="553">
        <f>C21*C19*SQRT(2*$C$5*100*$C$16)*3600</f>
        <v>458.5478629117722</v>
      </c>
      <c r="D22" s="551" t="s">
        <v>261</v>
      </c>
      <c r="F22" s="612"/>
      <c r="G22" s="538">
        <f t="shared" si="2"/>
        <v>129674.39503102977</v>
      </c>
      <c r="H22" s="539">
        <f t="shared" si="0"/>
        <v>0.98018245657861769</v>
      </c>
      <c r="I22" s="540">
        <f t="shared" si="3"/>
        <v>129280.03922843978</v>
      </c>
      <c r="J22" s="534">
        <f t="shared" si="4"/>
        <v>0.98015597187177661</v>
      </c>
      <c r="K22" s="538">
        <f t="shared" si="5"/>
        <v>128259.38080919179</v>
      </c>
      <c r="L22" s="539">
        <f t="shared" si="4"/>
        <v>0.98008688146888179</v>
      </c>
      <c r="M22" s="540">
        <f t="shared" si="6"/>
        <v>153028.25092727627</v>
      </c>
      <c r="N22" s="534">
        <f t="shared" si="4"/>
        <v>0.98157004050277652</v>
      </c>
      <c r="O22" s="523">
        <v>-41</v>
      </c>
      <c r="P22" s="535">
        <v>7.08E-5</v>
      </c>
      <c r="Q22" s="523">
        <v>0.65680000000000005</v>
      </c>
      <c r="R22" s="536">
        <v>1E-4</v>
      </c>
      <c r="S22" s="523">
        <v>0.65690000000000004</v>
      </c>
      <c r="T22" s="535" t="str">
        <f t="shared" si="1"/>
        <v/>
      </c>
    </row>
    <row r="23" spans="1:20" ht="13.5" thickBot="1" x14ac:dyDescent="0.25">
      <c r="A23" s="720"/>
      <c r="B23" s="554" t="s">
        <v>536</v>
      </c>
      <c r="C23" s="613">
        <f>1000*C20*$C$12*$C$16/C6</f>
        <v>22.659564851183468</v>
      </c>
      <c r="D23" s="555" t="s">
        <v>537</v>
      </c>
      <c r="E23" s="525" t="str">
        <f>IF($C$10&gt;=1,IF(AND(C23&lt;=35,C23&gt;=15),"OK","NC"),"")</f>
        <v>OK</v>
      </c>
      <c r="F23" s="612"/>
      <c r="G23" s="538">
        <f t="shared" si="2"/>
        <v>129674.39503102977</v>
      </c>
      <c r="H23" s="539">
        <f t="shared" si="0"/>
        <v>0.98018245657861769</v>
      </c>
      <c r="I23" s="540">
        <f t="shared" si="3"/>
        <v>129280.03922843978</v>
      </c>
      <c r="J23" s="534">
        <f t="shared" si="4"/>
        <v>0.98015597187177661</v>
      </c>
      <c r="K23" s="538">
        <f t="shared" si="5"/>
        <v>128259.38080919179</v>
      </c>
      <c r="L23" s="539">
        <f t="shared" si="4"/>
        <v>0.98008688146888179</v>
      </c>
      <c r="M23" s="540">
        <f t="shared" si="6"/>
        <v>153028.25092727627</v>
      </c>
      <c r="N23" s="534">
        <f t="shared" si="4"/>
        <v>0.98157004050277652</v>
      </c>
      <c r="O23" s="523">
        <v>-40</v>
      </c>
      <c r="P23" s="535">
        <v>7.9300000000000003E-5</v>
      </c>
      <c r="Q23" s="523">
        <v>0.65969999999999995</v>
      </c>
      <c r="R23" s="536">
        <v>1E-4</v>
      </c>
      <c r="S23" s="523">
        <v>0.65969999999999995</v>
      </c>
      <c r="T23" s="535" t="str">
        <f t="shared" si="1"/>
        <v/>
      </c>
    </row>
    <row r="24" spans="1:20" ht="18" x14ac:dyDescent="0.2">
      <c r="A24" s="718" t="s">
        <v>502</v>
      </c>
      <c r="B24" s="546" t="s">
        <v>538</v>
      </c>
      <c r="C24" s="547">
        <f>(PI()*(C7/1000)^2)/4</f>
        <v>5.5873846004993099E-3</v>
      </c>
      <c r="D24" s="548" t="s">
        <v>264</v>
      </c>
      <c r="G24" s="538">
        <f t="shared" si="2"/>
        <v>129674.39503102977</v>
      </c>
      <c r="H24" s="539">
        <f t="shared" si="0"/>
        <v>0.98018245657861769</v>
      </c>
      <c r="I24" s="540">
        <f t="shared" si="3"/>
        <v>129280.03922843978</v>
      </c>
      <c r="J24" s="534">
        <f t="shared" si="4"/>
        <v>0.98015597187177661</v>
      </c>
      <c r="K24" s="538">
        <f t="shared" si="5"/>
        <v>128259.38080919179</v>
      </c>
      <c r="L24" s="539">
        <f t="shared" si="4"/>
        <v>0.98008688146888179</v>
      </c>
      <c r="M24" s="540">
        <f t="shared" si="6"/>
        <v>153028.25092727627</v>
      </c>
      <c r="N24" s="534">
        <f t="shared" si="4"/>
        <v>0.98157004050277652</v>
      </c>
      <c r="O24" s="523">
        <v>-39</v>
      </c>
      <c r="P24" s="535">
        <v>8.8700000000000001E-5</v>
      </c>
      <c r="Q24" s="523">
        <v>0.66249999999999998</v>
      </c>
      <c r="R24" s="536">
        <v>1E-4</v>
      </c>
      <c r="S24" s="523">
        <v>0.66259999999999997</v>
      </c>
      <c r="T24" s="535" t="str">
        <f t="shared" si="1"/>
        <v/>
      </c>
    </row>
    <row r="25" spans="1:20" x14ac:dyDescent="0.2">
      <c r="A25" s="719"/>
      <c r="B25" s="549" t="s">
        <v>533</v>
      </c>
      <c r="C25" s="550">
        <f>I1040</f>
        <v>129280.03922843978</v>
      </c>
      <c r="D25" s="551"/>
      <c r="G25" s="538">
        <f t="shared" si="2"/>
        <v>129674.39503102977</v>
      </c>
      <c r="H25" s="539">
        <f t="shared" si="0"/>
        <v>0.98018245657861769</v>
      </c>
      <c r="I25" s="540">
        <f t="shared" si="3"/>
        <v>129280.03922843978</v>
      </c>
      <c r="J25" s="534">
        <f t="shared" si="4"/>
        <v>0.98015597187177661</v>
      </c>
      <c r="K25" s="538">
        <f t="shared" si="5"/>
        <v>128259.38080919179</v>
      </c>
      <c r="L25" s="539">
        <f t="shared" si="4"/>
        <v>0.98008688146888179</v>
      </c>
      <c r="M25" s="540">
        <f t="shared" si="6"/>
        <v>153028.25092727627</v>
      </c>
      <c r="N25" s="534">
        <f t="shared" si="4"/>
        <v>0.98157004050277652</v>
      </c>
      <c r="O25" s="523">
        <v>-38</v>
      </c>
      <c r="P25" s="535">
        <v>9.9199999999999999E-5</v>
      </c>
      <c r="Q25" s="523">
        <v>0.6653</v>
      </c>
      <c r="R25" s="536">
        <v>1E-4</v>
      </c>
      <c r="S25" s="523">
        <v>0.66539999999999999</v>
      </c>
      <c r="T25" s="535" t="str">
        <f t="shared" si="1"/>
        <v/>
      </c>
    </row>
    <row r="26" spans="1:20" x14ac:dyDescent="0.2">
      <c r="A26" s="719"/>
      <c r="B26" s="549" t="s">
        <v>534</v>
      </c>
      <c r="C26" s="552">
        <f>J1040</f>
        <v>0.98015597187177661</v>
      </c>
      <c r="D26" s="551"/>
      <c r="G26" s="538">
        <f t="shared" si="2"/>
        <v>129674.39503102977</v>
      </c>
      <c r="H26" s="539">
        <f t="shared" si="0"/>
        <v>0.98018245657861769</v>
      </c>
      <c r="I26" s="540">
        <f t="shared" si="3"/>
        <v>129280.03922843978</v>
      </c>
      <c r="J26" s="534">
        <f t="shared" si="4"/>
        <v>0.98015597187177661</v>
      </c>
      <c r="K26" s="538">
        <f t="shared" si="5"/>
        <v>128259.38080919179</v>
      </c>
      <c r="L26" s="539">
        <f t="shared" si="4"/>
        <v>0.98008688146888179</v>
      </c>
      <c r="M26" s="540">
        <f t="shared" si="6"/>
        <v>153028.25092727627</v>
      </c>
      <c r="N26" s="534">
        <f t="shared" si="4"/>
        <v>0.98157004050277652</v>
      </c>
      <c r="O26" s="523">
        <v>-37</v>
      </c>
      <c r="P26" s="535">
        <v>1.108E-4</v>
      </c>
      <c r="Q26" s="523">
        <v>0.66820000000000002</v>
      </c>
      <c r="R26" s="536">
        <v>1E-4</v>
      </c>
      <c r="S26" s="523">
        <v>0.66830000000000001</v>
      </c>
      <c r="T26" s="535" t="str">
        <f t="shared" si="1"/>
        <v/>
      </c>
    </row>
    <row r="27" spans="1:20" ht="18" x14ac:dyDescent="0.2">
      <c r="A27" s="719"/>
      <c r="B27" s="549" t="s">
        <v>535</v>
      </c>
      <c r="C27" s="553">
        <f>C26*C24*SQRT(2*$C$5*100*$C$16)*3600</f>
        <v>455.77541786586755</v>
      </c>
      <c r="D27" s="551" t="s">
        <v>261</v>
      </c>
      <c r="G27" s="538">
        <f t="shared" si="2"/>
        <v>129674.39503102977</v>
      </c>
      <c r="H27" s="539">
        <f t="shared" si="0"/>
        <v>0.98018245657861769</v>
      </c>
      <c r="I27" s="540">
        <f t="shared" si="3"/>
        <v>129280.03922843978</v>
      </c>
      <c r="J27" s="534">
        <f t="shared" si="4"/>
        <v>0.98015597187177661</v>
      </c>
      <c r="K27" s="538">
        <f t="shared" si="5"/>
        <v>128259.38080919179</v>
      </c>
      <c r="L27" s="539">
        <f t="shared" si="4"/>
        <v>0.98008688146888179</v>
      </c>
      <c r="M27" s="540">
        <f t="shared" si="6"/>
        <v>153028.25092727627</v>
      </c>
      <c r="N27" s="534">
        <f t="shared" si="4"/>
        <v>0.98157004050277652</v>
      </c>
      <c r="O27" s="523">
        <v>-36</v>
      </c>
      <c r="P27" s="535">
        <v>1.237E-4</v>
      </c>
      <c r="Q27" s="523">
        <v>0.67100000000000004</v>
      </c>
      <c r="R27" s="536">
        <v>1E-4</v>
      </c>
      <c r="S27" s="523">
        <v>0.67120000000000002</v>
      </c>
      <c r="T27" s="535" t="str">
        <f t="shared" si="1"/>
        <v/>
      </c>
    </row>
    <row r="28" spans="1:20" ht="13.5" thickBot="1" x14ac:dyDescent="0.25">
      <c r="A28" s="720"/>
      <c r="B28" s="554" t="s">
        <v>536</v>
      </c>
      <c r="C28" s="613">
        <f>1000*C25*$C$12*$C$16/C7</f>
        <v>22.658952585652493</v>
      </c>
      <c r="D28" s="555" t="s">
        <v>537</v>
      </c>
      <c r="E28" s="525" t="str">
        <f>IF($C$10&gt;=2,IF(AND(C28&lt;=35,C28&gt;=15),"OK","NC"),"")</f>
        <v/>
      </c>
      <c r="F28" s="612"/>
      <c r="G28" s="538">
        <f t="shared" si="2"/>
        <v>129674.39503102977</v>
      </c>
      <c r="H28" s="539">
        <f t="shared" si="0"/>
        <v>0.98018245657861769</v>
      </c>
      <c r="I28" s="540">
        <f t="shared" si="3"/>
        <v>129280.03922843978</v>
      </c>
      <c r="J28" s="534">
        <f t="shared" si="4"/>
        <v>0.98015597187177661</v>
      </c>
      <c r="K28" s="538">
        <f t="shared" si="5"/>
        <v>128259.38080919179</v>
      </c>
      <c r="L28" s="539">
        <f t="shared" si="4"/>
        <v>0.98008688146888179</v>
      </c>
      <c r="M28" s="540">
        <f t="shared" si="6"/>
        <v>153028.25092727627</v>
      </c>
      <c r="N28" s="534">
        <f t="shared" si="4"/>
        <v>0.98157004050277652</v>
      </c>
      <c r="O28" s="523">
        <v>-35</v>
      </c>
      <c r="P28" s="535">
        <v>1.3789999999999999E-4</v>
      </c>
      <c r="Q28" s="523">
        <v>0.67390000000000005</v>
      </c>
      <c r="R28" s="536">
        <v>1E-4</v>
      </c>
      <c r="S28" s="523">
        <v>0.67400000000000004</v>
      </c>
      <c r="T28" s="535" t="str">
        <f t="shared" si="1"/>
        <v/>
      </c>
    </row>
    <row r="29" spans="1:20" ht="18" x14ac:dyDescent="0.2">
      <c r="A29" s="718" t="s">
        <v>503</v>
      </c>
      <c r="B29" s="546" t="s">
        <v>539</v>
      </c>
      <c r="C29" s="547">
        <f>(PI()*(C8/1000)^2)/4</f>
        <v>5.5002841012581644E-3</v>
      </c>
      <c r="D29" s="548" t="s">
        <v>264</v>
      </c>
      <c r="G29" s="538">
        <f t="shared" si="2"/>
        <v>129674.39503102977</v>
      </c>
      <c r="H29" s="539">
        <f t="shared" si="0"/>
        <v>0.98018245657861769</v>
      </c>
      <c r="I29" s="540">
        <f t="shared" si="3"/>
        <v>129280.03922843978</v>
      </c>
      <c r="J29" s="534">
        <f t="shared" si="4"/>
        <v>0.98015597187177661</v>
      </c>
      <c r="K29" s="538">
        <f t="shared" si="5"/>
        <v>128259.38080919179</v>
      </c>
      <c r="L29" s="539">
        <f t="shared" si="4"/>
        <v>0.98008688146888179</v>
      </c>
      <c r="M29" s="540">
        <f t="shared" si="6"/>
        <v>153028.25092727627</v>
      </c>
      <c r="N29" s="534">
        <f t="shared" si="4"/>
        <v>0.98157004050277652</v>
      </c>
      <c r="O29" s="523">
        <v>-34</v>
      </c>
      <c r="P29" s="535">
        <v>1.5359999999999999E-4</v>
      </c>
      <c r="Q29" s="523">
        <v>0.67669999999999997</v>
      </c>
      <c r="R29" s="536">
        <v>2.0000000000000001E-4</v>
      </c>
      <c r="S29" s="523">
        <v>0.67689999999999995</v>
      </c>
      <c r="T29" s="535" t="str">
        <f t="shared" si="1"/>
        <v/>
      </c>
    </row>
    <row r="30" spans="1:20" x14ac:dyDescent="0.2">
      <c r="A30" s="719"/>
      <c r="B30" s="549" t="s">
        <v>533</v>
      </c>
      <c r="C30" s="550">
        <f>K1040</f>
        <v>128259.38080919179</v>
      </c>
      <c r="D30" s="551"/>
      <c r="G30" s="538">
        <f t="shared" si="2"/>
        <v>129674.39503102977</v>
      </c>
      <c r="H30" s="539">
        <f t="shared" si="0"/>
        <v>0.98018245657861769</v>
      </c>
      <c r="I30" s="540">
        <f t="shared" si="3"/>
        <v>129280.03922843978</v>
      </c>
      <c r="J30" s="534">
        <f t="shared" si="4"/>
        <v>0.98015597187177661</v>
      </c>
      <c r="K30" s="538">
        <f t="shared" si="5"/>
        <v>128259.38080919179</v>
      </c>
      <c r="L30" s="539">
        <f t="shared" si="4"/>
        <v>0.98008688146888179</v>
      </c>
      <c r="M30" s="540">
        <f t="shared" si="6"/>
        <v>153028.25092727627</v>
      </c>
      <c r="N30" s="534">
        <f t="shared" si="4"/>
        <v>0.98157004050277652</v>
      </c>
      <c r="O30" s="523">
        <v>-33</v>
      </c>
      <c r="P30" s="535">
        <v>1.7100000000000001E-4</v>
      </c>
      <c r="Q30" s="523">
        <v>0.67959999999999998</v>
      </c>
      <c r="R30" s="536">
        <v>2.0000000000000001E-4</v>
      </c>
      <c r="S30" s="523">
        <v>0.67979999999999996</v>
      </c>
      <c r="T30" s="535" t="str">
        <f t="shared" si="1"/>
        <v/>
      </c>
    </row>
    <row r="31" spans="1:20" x14ac:dyDescent="0.2">
      <c r="A31" s="719"/>
      <c r="B31" s="549" t="s">
        <v>534</v>
      </c>
      <c r="C31" s="552">
        <f>L1040</f>
        <v>0.98008688146888179</v>
      </c>
      <c r="D31" s="551"/>
      <c r="E31" s="556"/>
      <c r="G31" s="538">
        <f t="shared" si="2"/>
        <v>129674.39503102977</v>
      </c>
      <c r="H31" s="539">
        <f t="shared" si="0"/>
        <v>0.98018245657861769</v>
      </c>
      <c r="I31" s="540">
        <f t="shared" si="3"/>
        <v>129280.03922843978</v>
      </c>
      <c r="J31" s="534">
        <f t="shared" si="4"/>
        <v>0.98015597187177661</v>
      </c>
      <c r="K31" s="538">
        <f t="shared" si="5"/>
        <v>128259.38080919179</v>
      </c>
      <c r="L31" s="539">
        <f t="shared" si="4"/>
        <v>0.98008688146888179</v>
      </c>
      <c r="M31" s="540">
        <f t="shared" si="6"/>
        <v>153028.25092727627</v>
      </c>
      <c r="N31" s="534">
        <f t="shared" si="4"/>
        <v>0.98157004050277652</v>
      </c>
      <c r="O31" s="523">
        <v>-32</v>
      </c>
      <c r="P31" s="535">
        <v>1.9019999999999999E-4</v>
      </c>
      <c r="Q31" s="523">
        <v>0.68240000000000001</v>
      </c>
      <c r="R31" s="536">
        <v>2.0000000000000001E-4</v>
      </c>
      <c r="S31" s="523">
        <v>0.68259999999999998</v>
      </c>
      <c r="T31" s="535" t="str">
        <f t="shared" si="1"/>
        <v/>
      </c>
    </row>
    <row r="32" spans="1:20" ht="18" x14ac:dyDescent="0.2">
      <c r="A32" s="719"/>
      <c r="B32" s="549" t="s">
        <v>535</v>
      </c>
      <c r="C32" s="553">
        <f>C31*C29*SQRT(2*$C$5*100*$C$16)*3600</f>
        <v>448.63880955220668</v>
      </c>
      <c r="D32" s="551" t="s">
        <v>261</v>
      </c>
      <c r="G32" s="538">
        <f t="shared" si="2"/>
        <v>129674.39503102977</v>
      </c>
      <c r="H32" s="539">
        <f t="shared" si="0"/>
        <v>0.98018245657861769</v>
      </c>
      <c r="I32" s="540">
        <f t="shared" si="3"/>
        <v>129280.03922843978</v>
      </c>
      <c r="J32" s="534">
        <f t="shared" si="4"/>
        <v>0.98015597187177661</v>
      </c>
      <c r="K32" s="538">
        <f t="shared" si="5"/>
        <v>128259.38080919179</v>
      </c>
      <c r="L32" s="539">
        <f t="shared" si="4"/>
        <v>0.98008688146888179</v>
      </c>
      <c r="M32" s="540">
        <f t="shared" si="6"/>
        <v>153028.25092727627</v>
      </c>
      <c r="N32" s="534">
        <f t="shared" si="4"/>
        <v>0.98157004050277652</v>
      </c>
      <c r="O32" s="523">
        <v>-31</v>
      </c>
      <c r="P32" s="535">
        <v>2.1130000000000001E-4</v>
      </c>
      <c r="Q32" s="523">
        <v>0.68530000000000002</v>
      </c>
      <c r="R32" s="536">
        <v>2.0000000000000001E-4</v>
      </c>
      <c r="S32" s="523">
        <v>0.6855</v>
      </c>
      <c r="T32" s="535" t="str">
        <f t="shared" si="1"/>
        <v/>
      </c>
    </row>
    <row r="33" spans="1:20" ht="13.5" thickBot="1" x14ac:dyDescent="0.25">
      <c r="A33" s="720"/>
      <c r="B33" s="554" t="s">
        <v>536</v>
      </c>
      <c r="C33" s="613">
        <f>1000*C30*$C$12*$C$16/C8</f>
        <v>22.65735537438384</v>
      </c>
      <c r="D33" s="555" t="s">
        <v>537</v>
      </c>
      <c r="E33" s="525" t="str">
        <f>IF($C$10&gt;=3,IF(AND(C33&lt;=35,C33&gt;=15),"OK","NC"),"")</f>
        <v/>
      </c>
      <c r="F33" s="612"/>
      <c r="G33" s="538">
        <f t="shared" si="2"/>
        <v>129674.39503102977</v>
      </c>
      <c r="H33" s="539">
        <f t="shared" si="0"/>
        <v>0.98018245657861769</v>
      </c>
      <c r="I33" s="540">
        <f t="shared" si="3"/>
        <v>129280.03922843978</v>
      </c>
      <c r="J33" s="534">
        <f t="shared" si="4"/>
        <v>0.98015597187177661</v>
      </c>
      <c r="K33" s="538">
        <f t="shared" si="5"/>
        <v>128259.38080919179</v>
      </c>
      <c r="L33" s="539">
        <f t="shared" si="4"/>
        <v>0.98008688146888179</v>
      </c>
      <c r="M33" s="540">
        <f t="shared" si="6"/>
        <v>153028.25092727627</v>
      </c>
      <c r="N33" s="534">
        <f t="shared" si="4"/>
        <v>0.98157004050277652</v>
      </c>
      <c r="O33" s="523">
        <v>-30</v>
      </c>
      <c r="P33" s="535">
        <v>2.3460000000000001E-4</v>
      </c>
      <c r="Q33" s="523">
        <v>0.68810000000000004</v>
      </c>
      <c r="R33" s="536">
        <v>2.9999999999999997E-4</v>
      </c>
      <c r="S33" s="523">
        <v>0.68840000000000001</v>
      </c>
      <c r="T33" s="535" t="str">
        <f t="shared" si="1"/>
        <v/>
      </c>
    </row>
    <row r="34" spans="1:20" ht="18" x14ac:dyDescent="0.2">
      <c r="A34" s="718" t="s">
        <v>504</v>
      </c>
      <c r="B34" s="546" t="s">
        <v>540</v>
      </c>
      <c r="C34" s="547">
        <f>(PI()*(C9/1000)^2)/4</f>
        <v>7.8061454076713867E-3</v>
      </c>
      <c r="D34" s="548" t="s">
        <v>264</v>
      </c>
      <c r="G34" s="538">
        <f t="shared" si="2"/>
        <v>129674.39503102977</v>
      </c>
      <c r="H34" s="539">
        <f t="shared" si="0"/>
        <v>0.98018245657861769</v>
      </c>
      <c r="I34" s="540">
        <f t="shared" si="3"/>
        <v>129280.03922843978</v>
      </c>
      <c r="J34" s="534">
        <f t="shared" si="4"/>
        <v>0.98015597187177661</v>
      </c>
      <c r="K34" s="538">
        <f t="shared" si="5"/>
        <v>128259.38080919179</v>
      </c>
      <c r="L34" s="539">
        <f t="shared" si="4"/>
        <v>0.98008688146888179</v>
      </c>
      <c r="M34" s="540">
        <f t="shared" si="6"/>
        <v>153028.25092727627</v>
      </c>
      <c r="N34" s="534">
        <f t="shared" si="4"/>
        <v>0.98157004050277652</v>
      </c>
      <c r="O34" s="523">
        <v>-29</v>
      </c>
      <c r="P34" s="535">
        <v>2.6019999999999998E-4</v>
      </c>
      <c r="Q34" s="523">
        <v>0.69089999999999996</v>
      </c>
      <c r="R34" s="536">
        <v>2.9999999999999997E-4</v>
      </c>
      <c r="S34" s="523">
        <v>0.69120000000000004</v>
      </c>
      <c r="T34" s="535" t="str">
        <f t="shared" si="1"/>
        <v/>
      </c>
    </row>
    <row r="35" spans="1:20" x14ac:dyDescent="0.2">
      <c r="A35" s="719"/>
      <c r="B35" s="549" t="s">
        <v>533</v>
      </c>
      <c r="C35" s="550">
        <f>M1040</f>
        <v>153028.25092727627</v>
      </c>
      <c r="D35" s="551"/>
      <c r="G35" s="538">
        <f t="shared" si="2"/>
        <v>129674.39503102977</v>
      </c>
      <c r="H35" s="539">
        <f t="shared" si="0"/>
        <v>0.98018245657861769</v>
      </c>
      <c r="I35" s="540">
        <f t="shared" si="3"/>
        <v>129280.03922843978</v>
      </c>
      <c r="J35" s="534">
        <f t="shared" si="4"/>
        <v>0.98015597187177661</v>
      </c>
      <c r="K35" s="538">
        <f t="shared" si="5"/>
        <v>128259.38080919179</v>
      </c>
      <c r="L35" s="539">
        <f t="shared" si="4"/>
        <v>0.98008688146888179</v>
      </c>
      <c r="M35" s="540">
        <f t="shared" si="6"/>
        <v>153028.25092727627</v>
      </c>
      <c r="N35" s="534">
        <f t="shared" si="4"/>
        <v>0.98157004050277652</v>
      </c>
      <c r="O35" s="523">
        <v>-28</v>
      </c>
      <c r="P35" s="535">
        <v>2.8830000000000001E-4</v>
      </c>
      <c r="Q35" s="523">
        <v>0.69379999999999997</v>
      </c>
      <c r="R35" s="536">
        <v>2.9999999999999997E-4</v>
      </c>
      <c r="S35" s="523">
        <v>0.69410000000000005</v>
      </c>
      <c r="T35" s="535" t="str">
        <f t="shared" si="1"/>
        <v/>
      </c>
    </row>
    <row r="36" spans="1:20" x14ac:dyDescent="0.2">
      <c r="A36" s="719"/>
      <c r="B36" s="549" t="s">
        <v>534</v>
      </c>
      <c r="C36" s="552">
        <f>N1040</f>
        <v>0.98157004050277652</v>
      </c>
      <c r="D36" s="551"/>
      <c r="G36" s="538">
        <f t="shared" si="2"/>
        <v>129674.39503102977</v>
      </c>
      <c r="H36" s="539">
        <f t="shared" si="0"/>
        <v>0.98018245657861769</v>
      </c>
      <c r="I36" s="540">
        <f t="shared" si="3"/>
        <v>129280.03922843978</v>
      </c>
      <c r="J36" s="534">
        <f t="shared" si="4"/>
        <v>0.98015597187177661</v>
      </c>
      <c r="K36" s="538">
        <f t="shared" si="5"/>
        <v>128259.38080919179</v>
      </c>
      <c r="L36" s="539">
        <f t="shared" si="4"/>
        <v>0.98008688146888179</v>
      </c>
      <c r="M36" s="540">
        <f t="shared" si="6"/>
        <v>153028.25092727627</v>
      </c>
      <c r="N36" s="534">
        <f t="shared" si="4"/>
        <v>0.98157004050277652</v>
      </c>
      <c r="O36" s="523">
        <v>-27</v>
      </c>
      <c r="P36" s="535">
        <v>3.1930000000000001E-4</v>
      </c>
      <c r="Q36" s="523">
        <v>0.6966</v>
      </c>
      <c r="R36" s="536">
        <v>4.0000000000000002E-4</v>
      </c>
      <c r="S36" s="523">
        <v>0.69699999999999995</v>
      </c>
      <c r="T36" s="535" t="str">
        <f t="shared" si="1"/>
        <v/>
      </c>
    </row>
    <row r="37" spans="1:20" ht="18" x14ac:dyDescent="0.2">
      <c r="A37" s="719"/>
      <c r="B37" s="549" t="s">
        <v>535</v>
      </c>
      <c r="C37" s="553">
        <f>C36*C34*SQRT(2*$C$5*100*$C$16)*3600</f>
        <v>637.68334206491943</v>
      </c>
      <c r="D37" s="551" t="s">
        <v>261</v>
      </c>
      <c r="G37" s="538">
        <f t="shared" si="2"/>
        <v>129674.39503102977</v>
      </c>
      <c r="H37" s="539">
        <f t="shared" si="0"/>
        <v>0.98018245657861769</v>
      </c>
      <c r="I37" s="540">
        <f t="shared" si="3"/>
        <v>129280.03922843978</v>
      </c>
      <c r="J37" s="534">
        <f t="shared" si="4"/>
        <v>0.98015597187177661</v>
      </c>
      <c r="K37" s="538">
        <f t="shared" si="5"/>
        <v>128259.38080919179</v>
      </c>
      <c r="L37" s="539">
        <f t="shared" si="4"/>
        <v>0.98008688146888179</v>
      </c>
      <c r="M37" s="540">
        <f t="shared" si="6"/>
        <v>153028.25092727627</v>
      </c>
      <c r="N37" s="534">
        <f t="shared" si="4"/>
        <v>0.98157004050277652</v>
      </c>
      <c r="O37" s="523">
        <v>-26</v>
      </c>
      <c r="P37" s="535">
        <v>3.5330000000000002E-4</v>
      </c>
      <c r="Q37" s="523">
        <v>0.69950000000000001</v>
      </c>
      <c r="R37" s="536">
        <v>4.0000000000000002E-4</v>
      </c>
      <c r="S37" s="523">
        <v>0.69989999999999997</v>
      </c>
      <c r="T37" s="535" t="str">
        <f t="shared" si="1"/>
        <v/>
      </c>
    </row>
    <row r="38" spans="1:20" ht="13.5" thickBot="1" x14ac:dyDescent="0.25">
      <c r="A38" s="720"/>
      <c r="B38" s="554" t="s">
        <v>536</v>
      </c>
      <c r="C38" s="613">
        <f>1000*C35*$C$12*$C$16/C9</f>
        <v>22.691642601305308</v>
      </c>
      <c r="D38" s="555" t="s">
        <v>537</v>
      </c>
      <c r="E38" s="525" t="str">
        <f>IF($C$10&gt;=4,IF(AND(C38&lt;=35,C38&gt;=15),"OK","NC"),"")</f>
        <v/>
      </c>
      <c r="F38" s="612"/>
      <c r="G38" s="538">
        <f t="shared" si="2"/>
        <v>129674.39503102977</v>
      </c>
      <c r="H38" s="539">
        <f t="shared" si="0"/>
        <v>0.98018245657861769</v>
      </c>
      <c r="I38" s="540">
        <f t="shared" si="3"/>
        <v>129280.03922843978</v>
      </c>
      <c r="J38" s="534">
        <f t="shared" si="4"/>
        <v>0.98015597187177661</v>
      </c>
      <c r="K38" s="538">
        <f t="shared" si="5"/>
        <v>128259.38080919179</v>
      </c>
      <c r="L38" s="539">
        <f t="shared" si="4"/>
        <v>0.98008688146888179</v>
      </c>
      <c r="M38" s="540">
        <f t="shared" si="6"/>
        <v>153028.25092727627</v>
      </c>
      <c r="N38" s="534">
        <f t="shared" si="4"/>
        <v>0.98157004050277652</v>
      </c>
      <c r="O38" s="523">
        <v>-25</v>
      </c>
      <c r="P38" s="535">
        <v>3.9050000000000001E-4</v>
      </c>
      <c r="Q38" s="523">
        <v>0.70230000000000004</v>
      </c>
      <c r="R38" s="536">
        <v>4.0000000000000002E-4</v>
      </c>
      <c r="S38" s="523">
        <v>0.70279999999999998</v>
      </c>
      <c r="T38" s="535" t="str">
        <f t="shared" si="1"/>
        <v/>
      </c>
    </row>
    <row r="39" spans="1:20" x14ac:dyDescent="0.2">
      <c r="G39" s="538">
        <f t="shared" si="2"/>
        <v>129674.39503102977</v>
      </c>
      <c r="H39" s="539">
        <f t="shared" si="0"/>
        <v>0.98018245657861769</v>
      </c>
      <c r="I39" s="540">
        <f t="shared" si="3"/>
        <v>129280.03922843978</v>
      </c>
      <c r="J39" s="534">
        <f t="shared" si="4"/>
        <v>0.98015597187177661</v>
      </c>
      <c r="K39" s="538">
        <f t="shared" si="5"/>
        <v>128259.38080919179</v>
      </c>
      <c r="L39" s="539">
        <f t="shared" si="4"/>
        <v>0.98008688146888179</v>
      </c>
      <c r="M39" s="540">
        <f t="shared" si="6"/>
        <v>153028.25092727627</v>
      </c>
      <c r="N39" s="534">
        <f t="shared" si="4"/>
        <v>0.98157004050277652</v>
      </c>
      <c r="O39" s="523">
        <v>-24</v>
      </c>
      <c r="P39" s="535">
        <v>4.3140000000000002E-4</v>
      </c>
      <c r="Q39" s="523">
        <v>0.70520000000000005</v>
      </c>
      <c r="R39" s="536">
        <v>5.0000000000000001E-4</v>
      </c>
      <c r="S39" s="523">
        <v>0.70569999999999999</v>
      </c>
      <c r="T39" s="535" t="str">
        <f t="shared" si="1"/>
        <v/>
      </c>
    </row>
    <row r="40" spans="1:20" x14ac:dyDescent="0.2">
      <c r="G40" s="538">
        <f t="shared" si="2"/>
        <v>129674.39503102977</v>
      </c>
      <c r="H40" s="539">
        <f t="shared" si="0"/>
        <v>0.98018245657861769</v>
      </c>
      <c r="I40" s="540">
        <f t="shared" si="3"/>
        <v>129280.03922843978</v>
      </c>
      <c r="J40" s="534">
        <f t="shared" si="4"/>
        <v>0.98015597187177661</v>
      </c>
      <c r="K40" s="538">
        <f t="shared" si="5"/>
        <v>128259.38080919179</v>
      </c>
      <c r="L40" s="539">
        <f t="shared" si="4"/>
        <v>0.98008688146888179</v>
      </c>
      <c r="M40" s="540">
        <f t="shared" si="6"/>
        <v>153028.25092727627</v>
      </c>
      <c r="N40" s="534">
        <f t="shared" si="4"/>
        <v>0.98157004050277652</v>
      </c>
      <c r="O40" s="523">
        <v>-23</v>
      </c>
      <c r="P40" s="535">
        <v>4.7619999999999997E-4</v>
      </c>
      <c r="Q40" s="523">
        <v>0.70799999999999996</v>
      </c>
      <c r="R40" s="536">
        <v>5.0000000000000001E-4</v>
      </c>
      <c r="S40" s="523">
        <v>0.70860000000000001</v>
      </c>
      <c r="T40" s="535" t="str">
        <f t="shared" si="1"/>
        <v/>
      </c>
    </row>
    <row r="41" spans="1:20" x14ac:dyDescent="0.2">
      <c r="G41" s="538">
        <f t="shared" si="2"/>
        <v>129674.39503102977</v>
      </c>
      <c r="H41" s="539">
        <f t="shared" si="0"/>
        <v>0.98018245657861769</v>
      </c>
      <c r="I41" s="540">
        <f t="shared" si="3"/>
        <v>129280.03922843978</v>
      </c>
      <c r="J41" s="534">
        <f t="shared" si="4"/>
        <v>0.98015597187177661</v>
      </c>
      <c r="K41" s="538">
        <f t="shared" si="5"/>
        <v>128259.38080919179</v>
      </c>
      <c r="L41" s="539">
        <f t="shared" si="4"/>
        <v>0.98008688146888179</v>
      </c>
      <c r="M41" s="540">
        <f t="shared" si="6"/>
        <v>153028.25092727627</v>
      </c>
      <c r="N41" s="534">
        <f t="shared" si="4"/>
        <v>0.98157004050277652</v>
      </c>
      <c r="O41" s="523">
        <v>-22</v>
      </c>
      <c r="P41" s="535">
        <v>5.2510000000000002E-4</v>
      </c>
      <c r="Q41" s="523">
        <v>0.71089999999999998</v>
      </c>
      <c r="R41" s="536">
        <v>5.9999999999999995E-4</v>
      </c>
      <c r="S41" s="523">
        <v>0.71150000000000002</v>
      </c>
      <c r="T41" s="535" t="str">
        <f t="shared" si="1"/>
        <v/>
      </c>
    </row>
    <row r="42" spans="1:20" x14ac:dyDescent="0.2">
      <c r="G42" s="538">
        <f t="shared" si="2"/>
        <v>129674.39503102977</v>
      </c>
      <c r="H42" s="539">
        <f t="shared" si="0"/>
        <v>0.98018245657861769</v>
      </c>
      <c r="I42" s="540">
        <f t="shared" si="3"/>
        <v>129280.03922843978</v>
      </c>
      <c r="J42" s="534">
        <f t="shared" si="4"/>
        <v>0.98015597187177661</v>
      </c>
      <c r="K42" s="538">
        <f t="shared" si="5"/>
        <v>128259.38080919179</v>
      </c>
      <c r="L42" s="539">
        <f t="shared" si="4"/>
        <v>0.98008688146888179</v>
      </c>
      <c r="M42" s="540">
        <f t="shared" si="6"/>
        <v>153028.25092727627</v>
      </c>
      <c r="N42" s="534">
        <f t="shared" si="4"/>
        <v>0.98157004050277652</v>
      </c>
      <c r="O42" s="523">
        <v>-21</v>
      </c>
      <c r="P42" s="535">
        <v>5.7870000000000003E-4</v>
      </c>
      <c r="Q42" s="523">
        <v>0.7137</v>
      </c>
      <c r="R42" s="536">
        <v>6.9999999999999999E-4</v>
      </c>
      <c r="S42" s="523">
        <v>0.71440000000000003</v>
      </c>
      <c r="T42" s="535" t="str">
        <f t="shared" si="1"/>
        <v/>
      </c>
    </row>
    <row r="43" spans="1:20" x14ac:dyDescent="0.2">
      <c r="G43" s="538">
        <f t="shared" si="2"/>
        <v>129674.39503102977</v>
      </c>
      <c r="H43" s="539">
        <f t="shared" si="0"/>
        <v>0.98018245657861769</v>
      </c>
      <c r="I43" s="540">
        <f t="shared" si="3"/>
        <v>129280.03922843978</v>
      </c>
      <c r="J43" s="534">
        <f t="shared" si="4"/>
        <v>0.98015597187177661</v>
      </c>
      <c r="K43" s="538">
        <f t="shared" si="5"/>
        <v>128259.38080919179</v>
      </c>
      <c r="L43" s="539">
        <f t="shared" si="4"/>
        <v>0.98008688146888179</v>
      </c>
      <c r="M43" s="540">
        <f t="shared" si="6"/>
        <v>153028.25092727627</v>
      </c>
      <c r="N43" s="534">
        <f t="shared" si="4"/>
        <v>0.98157004050277652</v>
      </c>
      <c r="O43" s="523">
        <v>-20</v>
      </c>
      <c r="P43" s="535">
        <v>6.3730000000000004E-4</v>
      </c>
      <c r="Q43" s="523">
        <v>0.71650000000000003</v>
      </c>
      <c r="R43" s="536">
        <v>6.9999999999999999E-4</v>
      </c>
      <c r="S43" s="523">
        <v>0.71730000000000005</v>
      </c>
      <c r="T43" s="535" t="str">
        <f t="shared" si="1"/>
        <v/>
      </c>
    </row>
    <row r="44" spans="1:20" x14ac:dyDescent="0.2">
      <c r="G44" s="538">
        <f t="shared" si="2"/>
        <v>129674.39503102977</v>
      </c>
      <c r="H44" s="539">
        <f t="shared" si="0"/>
        <v>0.98018245657861769</v>
      </c>
      <c r="I44" s="540">
        <f t="shared" si="3"/>
        <v>129280.03922843978</v>
      </c>
      <c r="J44" s="534">
        <f t="shared" si="4"/>
        <v>0.98015597187177661</v>
      </c>
      <c r="K44" s="538">
        <f t="shared" si="5"/>
        <v>128259.38080919179</v>
      </c>
      <c r="L44" s="539">
        <f t="shared" si="4"/>
        <v>0.98008688146888179</v>
      </c>
      <c r="M44" s="540">
        <f t="shared" si="6"/>
        <v>153028.25092727627</v>
      </c>
      <c r="N44" s="534">
        <f t="shared" si="4"/>
        <v>0.98157004050277652</v>
      </c>
      <c r="O44" s="523">
        <v>-19</v>
      </c>
      <c r="P44" s="535">
        <v>7.0129999999999997E-4</v>
      </c>
      <c r="Q44" s="523">
        <v>0.71940000000000004</v>
      </c>
      <c r="R44" s="536">
        <v>8.0000000000000004E-4</v>
      </c>
      <c r="S44" s="523">
        <v>0.72019999999999995</v>
      </c>
      <c r="T44" s="535" t="str">
        <f t="shared" si="1"/>
        <v/>
      </c>
    </row>
    <row r="45" spans="1:20" x14ac:dyDescent="0.2">
      <c r="G45" s="538">
        <f t="shared" si="2"/>
        <v>129674.39503102977</v>
      </c>
      <c r="H45" s="539">
        <f t="shared" si="0"/>
        <v>0.98018245657861769</v>
      </c>
      <c r="I45" s="540">
        <f t="shared" si="3"/>
        <v>129280.03922843978</v>
      </c>
      <c r="J45" s="534">
        <f t="shared" si="4"/>
        <v>0.98015597187177661</v>
      </c>
      <c r="K45" s="538">
        <f t="shared" si="5"/>
        <v>128259.38080919179</v>
      </c>
      <c r="L45" s="539">
        <f t="shared" si="4"/>
        <v>0.98008688146888179</v>
      </c>
      <c r="M45" s="540">
        <f t="shared" si="6"/>
        <v>153028.25092727627</v>
      </c>
      <c r="N45" s="534">
        <f t="shared" si="4"/>
        <v>0.98157004050277652</v>
      </c>
      <c r="O45" s="523">
        <v>-18</v>
      </c>
      <c r="P45" s="535">
        <v>7.7110000000000004E-4</v>
      </c>
      <c r="Q45" s="523">
        <v>0.72219999999999995</v>
      </c>
      <c r="R45" s="536">
        <v>8.9999999999999998E-4</v>
      </c>
      <c r="S45" s="523">
        <v>0.72309999999999997</v>
      </c>
      <c r="T45" s="535" t="str">
        <f t="shared" si="1"/>
        <v/>
      </c>
    </row>
    <row r="46" spans="1:20" x14ac:dyDescent="0.2">
      <c r="G46" s="538">
        <f t="shared" si="2"/>
        <v>129674.39503102977</v>
      </c>
      <c r="H46" s="539">
        <f t="shared" si="0"/>
        <v>0.98018245657861769</v>
      </c>
      <c r="I46" s="540">
        <f t="shared" si="3"/>
        <v>129280.03922843978</v>
      </c>
      <c r="J46" s="534">
        <f t="shared" si="4"/>
        <v>0.98015597187177661</v>
      </c>
      <c r="K46" s="538">
        <f t="shared" si="5"/>
        <v>128259.38080919179</v>
      </c>
      <c r="L46" s="539">
        <f t="shared" si="4"/>
        <v>0.98008688146888179</v>
      </c>
      <c r="M46" s="540">
        <f t="shared" si="6"/>
        <v>153028.25092727627</v>
      </c>
      <c r="N46" s="534">
        <f t="shared" si="4"/>
        <v>0.98157004050277652</v>
      </c>
      <c r="O46" s="523">
        <v>-17</v>
      </c>
      <c r="P46" s="535">
        <v>8.4730000000000005E-4</v>
      </c>
      <c r="Q46" s="523">
        <v>0.72509999999999997</v>
      </c>
      <c r="R46" s="536">
        <v>1E-3</v>
      </c>
      <c r="S46" s="523">
        <v>0.72609999999999997</v>
      </c>
      <c r="T46" s="535" t="str">
        <f t="shared" si="1"/>
        <v/>
      </c>
    </row>
    <row r="47" spans="1:20" x14ac:dyDescent="0.2">
      <c r="G47" s="538">
        <f t="shared" si="2"/>
        <v>129674.39503102977</v>
      </c>
      <c r="H47" s="539">
        <f t="shared" si="0"/>
        <v>0.98018245657861769</v>
      </c>
      <c r="I47" s="540">
        <f t="shared" si="3"/>
        <v>129280.03922843978</v>
      </c>
      <c r="J47" s="534">
        <f t="shared" si="4"/>
        <v>0.98015597187177661</v>
      </c>
      <c r="K47" s="538">
        <f t="shared" si="5"/>
        <v>128259.38080919179</v>
      </c>
      <c r="L47" s="539">
        <f t="shared" si="4"/>
        <v>0.98008688146888179</v>
      </c>
      <c r="M47" s="540">
        <f t="shared" si="6"/>
        <v>153028.25092727627</v>
      </c>
      <c r="N47" s="534">
        <f t="shared" si="4"/>
        <v>0.98157004050277652</v>
      </c>
      <c r="O47" s="523">
        <v>-16</v>
      </c>
      <c r="P47" s="535">
        <v>9.3030000000000001E-4</v>
      </c>
      <c r="Q47" s="523">
        <v>0.72789999999999999</v>
      </c>
      <c r="R47" s="536">
        <v>1.1000000000000001E-3</v>
      </c>
      <c r="S47" s="523">
        <v>0.72899999999999998</v>
      </c>
      <c r="T47" s="535" t="str">
        <f t="shared" si="1"/>
        <v/>
      </c>
    </row>
    <row r="48" spans="1:20" x14ac:dyDescent="0.2">
      <c r="G48" s="538">
        <f t="shared" si="2"/>
        <v>129674.39503102977</v>
      </c>
      <c r="H48" s="539">
        <f t="shared" si="0"/>
        <v>0.98018245657861769</v>
      </c>
      <c r="I48" s="540">
        <f t="shared" si="3"/>
        <v>129280.03922843978</v>
      </c>
      <c r="J48" s="534">
        <f t="shared" si="4"/>
        <v>0.98015597187177661</v>
      </c>
      <c r="K48" s="538">
        <f t="shared" si="5"/>
        <v>128259.38080919179</v>
      </c>
      <c r="L48" s="539">
        <f t="shared" si="4"/>
        <v>0.98008688146888179</v>
      </c>
      <c r="M48" s="540">
        <f t="shared" si="6"/>
        <v>153028.25092727627</v>
      </c>
      <c r="N48" s="534">
        <f t="shared" si="4"/>
        <v>0.98157004050277652</v>
      </c>
      <c r="O48" s="523">
        <v>-15</v>
      </c>
      <c r="P48" s="535">
        <v>1.0207E-3</v>
      </c>
      <c r="Q48" s="523">
        <v>0.73080000000000001</v>
      </c>
      <c r="R48" s="536">
        <v>1.1999999999999999E-3</v>
      </c>
      <c r="S48" s="523">
        <v>0.73199999999999998</v>
      </c>
      <c r="T48" s="535" t="str">
        <f t="shared" si="1"/>
        <v/>
      </c>
    </row>
    <row r="49" spans="7:20" x14ac:dyDescent="0.2">
      <c r="G49" s="538">
        <f t="shared" si="2"/>
        <v>129674.39503102977</v>
      </c>
      <c r="H49" s="539">
        <f t="shared" si="0"/>
        <v>0.98018245657861769</v>
      </c>
      <c r="I49" s="540">
        <f t="shared" si="3"/>
        <v>129280.03922843978</v>
      </c>
      <c r="J49" s="534">
        <f t="shared" si="4"/>
        <v>0.98015597187177661</v>
      </c>
      <c r="K49" s="538">
        <f t="shared" si="5"/>
        <v>128259.38080919179</v>
      </c>
      <c r="L49" s="539">
        <f t="shared" si="4"/>
        <v>0.98008688146888179</v>
      </c>
      <c r="M49" s="540">
        <f t="shared" si="6"/>
        <v>153028.25092727627</v>
      </c>
      <c r="N49" s="534">
        <f t="shared" si="4"/>
        <v>0.98157004050277652</v>
      </c>
      <c r="O49" s="523">
        <v>-14</v>
      </c>
      <c r="P49" s="535">
        <v>1.1191E-3</v>
      </c>
      <c r="Q49" s="523">
        <v>0.73360000000000003</v>
      </c>
      <c r="R49" s="536">
        <v>1.2999999999999999E-3</v>
      </c>
      <c r="S49" s="523">
        <v>0.7349</v>
      </c>
      <c r="T49" s="535" t="str">
        <f t="shared" si="1"/>
        <v/>
      </c>
    </row>
    <row r="50" spans="7:20" x14ac:dyDescent="0.2">
      <c r="G50" s="538">
        <f t="shared" si="2"/>
        <v>129674.39503102977</v>
      </c>
      <c r="H50" s="539">
        <f t="shared" si="0"/>
        <v>0.98018245657861769</v>
      </c>
      <c r="I50" s="540">
        <f t="shared" si="3"/>
        <v>129280.03922843978</v>
      </c>
      <c r="J50" s="534">
        <f t="shared" si="4"/>
        <v>0.98015597187177661</v>
      </c>
      <c r="K50" s="538">
        <f t="shared" si="5"/>
        <v>128259.38080919179</v>
      </c>
      <c r="L50" s="539">
        <f t="shared" si="4"/>
        <v>0.98008688146888179</v>
      </c>
      <c r="M50" s="540">
        <f t="shared" si="6"/>
        <v>153028.25092727627</v>
      </c>
      <c r="N50" s="534">
        <f t="shared" si="4"/>
        <v>0.98157004050277652</v>
      </c>
      <c r="O50" s="523">
        <v>-13</v>
      </c>
      <c r="P50" s="535">
        <v>1.2262E-3</v>
      </c>
      <c r="Q50" s="523">
        <v>0.73640000000000005</v>
      </c>
      <c r="R50" s="536">
        <v>1.4E-3</v>
      </c>
      <c r="S50" s="523">
        <v>0.7379</v>
      </c>
      <c r="T50" s="535" t="str">
        <f t="shared" si="1"/>
        <v/>
      </c>
    </row>
    <row r="51" spans="7:20" x14ac:dyDescent="0.2">
      <c r="G51" s="538">
        <f t="shared" si="2"/>
        <v>129674.39503102977</v>
      </c>
      <c r="H51" s="539">
        <f t="shared" si="0"/>
        <v>0.98018245657861769</v>
      </c>
      <c r="I51" s="540">
        <f t="shared" si="3"/>
        <v>129280.03922843978</v>
      </c>
      <c r="J51" s="534">
        <f t="shared" si="4"/>
        <v>0.98015597187177661</v>
      </c>
      <c r="K51" s="538">
        <f t="shared" si="5"/>
        <v>128259.38080919179</v>
      </c>
      <c r="L51" s="539">
        <f t="shared" si="4"/>
        <v>0.98008688146888179</v>
      </c>
      <c r="M51" s="540">
        <f t="shared" si="6"/>
        <v>153028.25092727627</v>
      </c>
      <c r="N51" s="534">
        <f t="shared" si="4"/>
        <v>0.98157004050277652</v>
      </c>
      <c r="O51" s="523">
        <v>-12</v>
      </c>
      <c r="P51" s="535">
        <v>1.3424999999999999E-3</v>
      </c>
      <c r="Q51" s="523">
        <v>0.73929999999999996</v>
      </c>
      <c r="R51" s="536">
        <v>1.6000000000000001E-3</v>
      </c>
      <c r="S51" s="523">
        <v>0.7409</v>
      </c>
      <c r="T51" s="535" t="str">
        <f t="shared" si="1"/>
        <v/>
      </c>
    </row>
    <row r="52" spans="7:20" x14ac:dyDescent="0.2">
      <c r="G52" s="538">
        <f t="shared" si="2"/>
        <v>129674.39503102977</v>
      </c>
      <c r="H52" s="539">
        <f t="shared" si="0"/>
        <v>0.98018245657861769</v>
      </c>
      <c r="I52" s="540">
        <f t="shared" si="3"/>
        <v>129280.03922843978</v>
      </c>
      <c r="J52" s="534">
        <f t="shared" si="4"/>
        <v>0.98015597187177661</v>
      </c>
      <c r="K52" s="538">
        <f t="shared" si="5"/>
        <v>128259.38080919179</v>
      </c>
      <c r="L52" s="539">
        <f t="shared" si="4"/>
        <v>0.98008688146888179</v>
      </c>
      <c r="M52" s="540">
        <f t="shared" si="6"/>
        <v>153028.25092727627</v>
      </c>
      <c r="N52" s="534">
        <f t="shared" si="4"/>
        <v>0.98157004050277652</v>
      </c>
      <c r="O52" s="523">
        <v>-11</v>
      </c>
      <c r="P52" s="535">
        <v>1.469E-3</v>
      </c>
      <c r="Q52" s="523">
        <v>0.74209999999999998</v>
      </c>
      <c r="R52" s="536">
        <v>1.6999999999999999E-3</v>
      </c>
      <c r="S52" s="523">
        <v>0.74390000000000001</v>
      </c>
      <c r="T52" s="535" t="str">
        <f t="shared" si="1"/>
        <v/>
      </c>
    </row>
    <row r="53" spans="7:20" x14ac:dyDescent="0.2">
      <c r="G53" s="538">
        <f t="shared" si="2"/>
        <v>129674.39503102977</v>
      </c>
      <c r="H53" s="539">
        <f t="shared" si="0"/>
        <v>0.98018245657861769</v>
      </c>
      <c r="I53" s="540">
        <f t="shared" si="3"/>
        <v>129280.03922843978</v>
      </c>
      <c r="J53" s="534">
        <f t="shared" si="4"/>
        <v>0.98015597187177661</v>
      </c>
      <c r="K53" s="538">
        <f t="shared" si="5"/>
        <v>128259.38080919179</v>
      </c>
      <c r="L53" s="539">
        <f t="shared" si="4"/>
        <v>0.98008688146888179</v>
      </c>
      <c r="M53" s="540">
        <f t="shared" si="6"/>
        <v>153028.25092727627</v>
      </c>
      <c r="N53" s="534">
        <f t="shared" si="4"/>
        <v>0.98157004050277652</v>
      </c>
      <c r="O53" s="523">
        <v>-10</v>
      </c>
      <c r="P53" s="535">
        <v>1.6061999999999999E-3</v>
      </c>
      <c r="Q53" s="523">
        <v>0.745</v>
      </c>
      <c r="R53" s="536">
        <v>1.9E-3</v>
      </c>
      <c r="S53" s="523">
        <v>0.74690000000000001</v>
      </c>
      <c r="T53" s="535" t="str">
        <f t="shared" si="1"/>
        <v/>
      </c>
    </row>
    <row r="54" spans="7:20" x14ac:dyDescent="0.2">
      <c r="G54" s="538">
        <f t="shared" si="2"/>
        <v>129674.39503102977</v>
      </c>
      <c r="H54" s="539">
        <f t="shared" si="0"/>
        <v>0.98018245657861769</v>
      </c>
      <c r="I54" s="540">
        <f t="shared" si="3"/>
        <v>129280.03922843978</v>
      </c>
      <c r="J54" s="534">
        <f t="shared" si="4"/>
        <v>0.98015597187177661</v>
      </c>
      <c r="K54" s="538">
        <f t="shared" si="5"/>
        <v>128259.38080919179</v>
      </c>
      <c r="L54" s="539">
        <f t="shared" si="4"/>
        <v>0.98008688146888179</v>
      </c>
      <c r="M54" s="540">
        <f t="shared" si="6"/>
        <v>153028.25092727627</v>
      </c>
      <c r="N54" s="534">
        <f t="shared" si="4"/>
        <v>0.98157004050277652</v>
      </c>
      <c r="O54" s="523">
        <v>-9</v>
      </c>
      <c r="P54" s="535">
        <v>1.7551000000000001E-3</v>
      </c>
      <c r="Q54" s="523">
        <v>0.74780000000000002</v>
      </c>
      <c r="R54" s="536">
        <v>2.0999999999999999E-3</v>
      </c>
      <c r="S54" s="523">
        <v>0.74990000000000001</v>
      </c>
      <c r="T54" s="535" t="str">
        <f t="shared" si="1"/>
        <v/>
      </c>
    </row>
    <row r="55" spans="7:20" x14ac:dyDescent="0.2">
      <c r="G55" s="538">
        <f t="shared" si="2"/>
        <v>129674.39503102977</v>
      </c>
      <c r="H55" s="539">
        <f t="shared" si="0"/>
        <v>0.98018245657861769</v>
      </c>
      <c r="I55" s="540">
        <f t="shared" si="3"/>
        <v>129280.03922843978</v>
      </c>
      <c r="J55" s="534">
        <f t="shared" si="4"/>
        <v>0.98015597187177661</v>
      </c>
      <c r="K55" s="538">
        <f t="shared" si="5"/>
        <v>128259.38080919179</v>
      </c>
      <c r="L55" s="539">
        <f t="shared" si="4"/>
        <v>0.98008688146888179</v>
      </c>
      <c r="M55" s="540">
        <f t="shared" si="6"/>
        <v>153028.25092727627</v>
      </c>
      <c r="N55" s="534">
        <f t="shared" si="4"/>
        <v>0.98157004050277652</v>
      </c>
      <c r="O55" s="523">
        <v>-8</v>
      </c>
      <c r="P55" s="535">
        <v>1.9166000000000001E-3</v>
      </c>
      <c r="Q55" s="523">
        <v>0.75070000000000003</v>
      </c>
      <c r="R55" s="536">
        <v>2.3E-3</v>
      </c>
      <c r="S55" s="523">
        <v>0.753</v>
      </c>
      <c r="T55" s="535" t="str">
        <f t="shared" si="1"/>
        <v/>
      </c>
    </row>
    <row r="56" spans="7:20" x14ac:dyDescent="0.2">
      <c r="G56" s="538">
        <f t="shared" si="2"/>
        <v>129674.39503102977</v>
      </c>
      <c r="H56" s="539">
        <f t="shared" si="0"/>
        <v>0.98018245657861769</v>
      </c>
      <c r="I56" s="540">
        <f t="shared" si="3"/>
        <v>129280.03922843978</v>
      </c>
      <c r="J56" s="534">
        <f t="shared" si="4"/>
        <v>0.98015597187177661</v>
      </c>
      <c r="K56" s="538">
        <f t="shared" si="5"/>
        <v>128259.38080919179</v>
      </c>
      <c r="L56" s="539">
        <f t="shared" si="4"/>
        <v>0.98008688146888179</v>
      </c>
      <c r="M56" s="540">
        <f t="shared" si="6"/>
        <v>153028.25092727627</v>
      </c>
      <c r="N56" s="534">
        <f t="shared" si="4"/>
        <v>0.98157004050277652</v>
      </c>
      <c r="O56" s="523">
        <v>-7</v>
      </c>
      <c r="P56" s="535">
        <v>2.0915999999999999E-3</v>
      </c>
      <c r="Q56" s="523">
        <v>0.75349999999999995</v>
      </c>
      <c r="R56" s="536">
        <v>2.5000000000000001E-3</v>
      </c>
      <c r="S56" s="523">
        <v>0.75600000000000001</v>
      </c>
      <c r="T56" s="535" t="str">
        <f t="shared" si="1"/>
        <v/>
      </c>
    </row>
    <row r="57" spans="7:20" x14ac:dyDescent="0.2">
      <c r="G57" s="538">
        <f t="shared" si="2"/>
        <v>129674.39503102977</v>
      </c>
      <c r="H57" s="539">
        <f t="shared" si="0"/>
        <v>0.98018245657861769</v>
      </c>
      <c r="I57" s="540">
        <f t="shared" si="3"/>
        <v>129280.03922843978</v>
      </c>
      <c r="J57" s="534">
        <f t="shared" si="4"/>
        <v>0.98015597187177661</v>
      </c>
      <c r="K57" s="538">
        <f t="shared" si="5"/>
        <v>128259.38080919179</v>
      </c>
      <c r="L57" s="539">
        <f t="shared" si="4"/>
        <v>0.98008688146888179</v>
      </c>
      <c r="M57" s="540">
        <f t="shared" si="6"/>
        <v>153028.25092727627</v>
      </c>
      <c r="N57" s="534">
        <f t="shared" si="4"/>
        <v>0.98157004050277652</v>
      </c>
      <c r="O57" s="523">
        <v>-6</v>
      </c>
      <c r="P57" s="535">
        <v>2.2810999999999999E-3</v>
      </c>
      <c r="Q57" s="523">
        <v>0.75629999999999997</v>
      </c>
      <c r="R57" s="536">
        <v>2.8E-3</v>
      </c>
      <c r="S57" s="523">
        <v>0.7591</v>
      </c>
      <c r="T57" s="535" t="str">
        <f t="shared" si="1"/>
        <v/>
      </c>
    </row>
    <row r="58" spans="7:20" x14ac:dyDescent="0.2">
      <c r="G58" s="538">
        <f t="shared" si="2"/>
        <v>129674.39503102977</v>
      </c>
      <c r="H58" s="539">
        <f t="shared" si="0"/>
        <v>0.98018245657861769</v>
      </c>
      <c r="I58" s="540">
        <f t="shared" si="3"/>
        <v>129280.03922843978</v>
      </c>
      <c r="J58" s="534">
        <f t="shared" si="4"/>
        <v>0.98015597187177661</v>
      </c>
      <c r="K58" s="538">
        <f t="shared" si="5"/>
        <v>128259.38080919179</v>
      </c>
      <c r="L58" s="539">
        <f t="shared" si="4"/>
        <v>0.98008688146888179</v>
      </c>
      <c r="M58" s="540">
        <f t="shared" si="6"/>
        <v>153028.25092727627</v>
      </c>
      <c r="N58" s="534">
        <f t="shared" si="4"/>
        <v>0.98157004050277652</v>
      </c>
      <c r="O58" s="523">
        <v>-5</v>
      </c>
      <c r="P58" s="535">
        <v>2.4862E-3</v>
      </c>
      <c r="Q58" s="523">
        <v>0.75919999999999999</v>
      </c>
      <c r="R58" s="536">
        <v>3.0000000000000001E-3</v>
      </c>
      <c r="S58" s="523">
        <v>0.76219999999999999</v>
      </c>
      <c r="T58" s="535" t="str">
        <f t="shared" si="1"/>
        <v/>
      </c>
    </row>
    <row r="59" spans="7:20" x14ac:dyDescent="0.2">
      <c r="G59" s="538">
        <f t="shared" si="2"/>
        <v>129674.39503102977</v>
      </c>
      <c r="H59" s="539">
        <f t="shared" si="0"/>
        <v>0.98018245657861769</v>
      </c>
      <c r="I59" s="540">
        <f t="shared" si="3"/>
        <v>129280.03922843978</v>
      </c>
      <c r="J59" s="534">
        <f t="shared" si="4"/>
        <v>0.98015597187177661</v>
      </c>
      <c r="K59" s="538">
        <f t="shared" si="5"/>
        <v>128259.38080919179</v>
      </c>
      <c r="L59" s="539">
        <f t="shared" si="4"/>
        <v>0.98008688146888179</v>
      </c>
      <c r="M59" s="540">
        <f t="shared" si="6"/>
        <v>153028.25092727627</v>
      </c>
      <c r="N59" s="534">
        <f t="shared" si="4"/>
        <v>0.98157004050277652</v>
      </c>
      <c r="O59" s="523">
        <v>-4</v>
      </c>
      <c r="P59" s="535">
        <v>2.7081000000000002E-3</v>
      </c>
      <c r="Q59" s="523">
        <v>0.76200000000000001</v>
      </c>
      <c r="R59" s="536">
        <v>3.3E-3</v>
      </c>
      <c r="S59" s="523">
        <v>0.76529999999999998</v>
      </c>
      <c r="T59" s="535" t="str">
        <f t="shared" si="1"/>
        <v/>
      </c>
    </row>
    <row r="60" spans="7:20" x14ac:dyDescent="0.2">
      <c r="G60" s="538">
        <f t="shared" si="2"/>
        <v>129674.39503102977</v>
      </c>
      <c r="H60" s="539">
        <f t="shared" si="0"/>
        <v>0.98018245657861769</v>
      </c>
      <c r="I60" s="540">
        <f t="shared" si="3"/>
        <v>129280.03922843978</v>
      </c>
      <c r="J60" s="534">
        <f t="shared" si="4"/>
        <v>0.98015597187177661</v>
      </c>
      <c r="K60" s="538">
        <f t="shared" si="5"/>
        <v>128259.38080919179</v>
      </c>
      <c r="L60" s="539">
        <f t="shared" si="4"/>
        <v>0.98008688146888179</v>
      </c>
      <c r="M60" s="540">
        <f t="shared" si="6"/>
        <v>153028.25092727627</v>
      </c>
      <c r="N60" s="534">
        <f t="shared" si="4"/>
        <v>0.98157004050277652</v>
      </c>
      <c r="O60" s="523">
        <v>-3</v>
      </c>
      <c r="P60" s="535">
        <v>2.9480000000000001E-3</v>
      </c>
      <c r="Q60" s="523">
        <v>0.76490000000000002</v>
      </c>
      <c r="R60" s="536">
        <v>3.5999999999999999E-3</v>
      </c>
      <c r="S60" s="523">
        <v>0.76849999999999996</v>
      </c>
      <c r="T60" s="535" t="str">
        <f t="shared" si="1"/>
        <v/>
      </c>
    </row>
    <row r="61" spans="7:20" x14ac:dyDescent="0.2">
      <c r="G61" s="538">
        <f t="shared" si="2"/>
        <v>129674.39503102977</v>
      </c>
      <c r="H61" s="539">
        <f t="shared" si="0"/>
        <v>0.98018245657861769</v>
      </c>
      <c r="I61" s="540">
        <f t="shared" si="3"/>
        <v>129280.03922843978</v>
      </c>
      <c r="J61" s="534">
        <f t="shared" si="4"/>
        <v>0.98015597187177661</v>
      </c>
      <c r="K61" s="538">
        <f t="shared" si="5"/>
        <v>128259.38080919179</v>
      </c>
      <c r="L61" s="539">
        <f t="shared" si="4"/>
        <v>0.98008688146888179</v>
      </c>
      <c r="M61" s="540">
        <f t="shared" si="6"/>
        <v>153028.25092727627</v>
      </c>
      <c r="N61" s="534">
        <f t="shared" si="4"/>
        <v>0.98157004050277652</v>
      </c>
      <c r="O61" s="523">
        <v>-2</v>
      </c>
      <c r="P61" s="535">
        <v>3.2074E-3</v>
      </c>
      <c r="Q61" s="523">
        <v>0.76770000000000005</v>
      </c>
      <c r="R61" s="536">
        <v>3.8999999999999998E-3</v>
      </c>
      <c r="S61" s="523">
        <v>0.77170000000000005</v>
      </c>
      <c r="T61" s="535" t="str">
        <f t="shared" si="1"/>
        <v/>
      </c>
    </row>
    <row r="62" spans="7:20" x14ac:dyDescent="0.2">
      <c r="G62" s="538">
        <f t="shared" si="2"/>
        <v>129674.39503102977</v>
      </c>
      <c r="H62" s="539">
        <f t="shared" si="0"/>
        <v>0.98018245657861769</v>
      </c>
      <c r="I62" s="540">
        <f t="shared" si="3"/>
        <v>129280.03922843978</v>
      </c>
      <c r="J62" s="534">
        <f t="shared" si="4"/>
        <v>0.98015597187177661</v>
      </c>
      <c r="K62" s="538">
        <f t="shared" si="5"/>
        <v>128259.38080919179</v>
      </c>
      <c r="L62" s="539">
        <f t="shared" si="4"/>
        <v>0.98008688146888179</v>
      </c>
      <c r="M62" s="540">
        <f t="shared" si="6"/>
        <v>153028.25092727627</v>
      </c>
      <c r="N62" s="534">
        <f t="shared" si="4"/>
        <v>0.98157004050277652</v>
      </c>
      <c r="O62" s="523">
        <v>-1</v>
      </c>
      <c r="P62" s="535">
        <v>3.4873999999999999E-3</v>
      </c>
      <c r="Q62" s="523">
        <v>0.77049999999999996</v>
      </c>
      <c r="R62" s="536">
        <v>4.3E-3</v>
      </c>
      <c r="S62" s="523">
        <v>0.77490000000000003</v>
      </c>
      <c r="T62" s="535" t="str">
        <f t="shared" si="1"/>
        <v/>
      </c>
    </row>
    <row r="63" spans="7:20" x14ac:dyDescent="0.2">
      <c r="G63" s="538">
        <f t="shared" si="2"/>
        <v>129674.39503102977</v>
      </c>
      <c r="H63" s="539">
        <f t="shared" si="0"/>
        <v>0.98018245657861769</v>
      </c>
      <c r="I63" s="540">
        <f t="shared" si="3"/>
        <v>129280.03922843978</v>
      </c>
      <c r="J63" s="534">
        <f t="shared" si="4"/>
        <v>0.98015597187177661</v>
      </c>
      <c r="K63" s="538">
        <f t="shared" si="5"/>
        <v>128259.38080919179</v>
      </c>
      <c r="L63" s="539">
        <f t="shared" si="4"/>
        <v>0.98008688146888179</v>
      </c>
      <c r="M63" s="540">
        <f t="shared" si="6"/>
        <v>153028.25092727627</v>
      </c>
      <c r="N63" s="534">
        <f t="shared" si="4"/>
        <v>0.98157004050277652</v>
      </c>
      <c r="O63" s="523">
        <v>0</v>
      </c>
      <c r="P63" s="535">
        <v>3.7894999999999999E-3</v>
      </c>
      <c r="Q63" s="523">
        <v>0.77339999999999998</v>
      </c>
      <c r="R63" s="536">
        <v>4.7000000000000002E-3</v>
      </c>
      <c r="S63" s="523">
        <v>0.77810000000000001</v>
      </c>
      <c r="T63" s="535" t="str">
        <f t="shared" si="1"/>
        <v/>
      </c>
    </row>
    <row r="64" spans="7:20" x14ac:dyDescent="0.2">
      <c r="G64" s="538">
        <f t="shared" si="2"/>
        <v>129674.39503102977</v>
      </c>
      <c r="H64" s="539">
        <f t="shared" si="0"/>
        <v>0.98018245657861769</v>
      </c>
      <c r="I64" s="540">
        <f t="shared" si="3"/>
        <v>129280.03922843978</v>
      </c>
      <c r="J64" s="534">
        <f t="shared" si="4"/>
        <v>0.98015597187177661</v>
      </c>
      <c r="K64" s="538">
        <f t="shared" si="5"/>
        <v>128259.38080919179</v>
      </c>
      <c r="L64" s="539">
        <f t="shared" si="4"/>
        <v>0.98008688146888179</v>
      </c>
      <c r="M64" s="540">
        <f t="shared" si="6"/>
        <v>153028.25092727627</v>
      </c>
      <c r="N64" s="534">
        <f t="shared" si="4"/>
        <v>0.98157004050277652</v>
      </c>
      <c r="O64" s="523">
        <v>0</v>
      </c>
      <c r="P64" s="535">
        <v>3.7889999999999998E-3</v>
      </c>
      <c r="Q64" s="523">
        <v>0.77339999999999998</v>
      </c>
      <c r="R64" s="536">
        <v>4.7000000000000002E-3</v>
      </c>
      <c r="S64" s="523">
        <v>0.77810000000000001</v>
      </c>
      <c r="T64" s="535" t="str">
        <f t="shared" si="1"/>
        <v/>
      </c>
    </row>
    <row r="65" spans="7:20" x14ac:dyDescent="0.2">
      <c r="G65" s="538">
        <f t="shared" si="2"/>
        <v>129674.39503102977</v>
      </c>
      <c r="H65" s="539">
        <f t="shared" si="0"/>
        <v>0.98018245657861769</v>
      </c>
      <c r="I65" s="540">
        <f t="shared" si="3"/>
        <v>129280.03922843978</v>
      </c>
      <c r="J65" s="534">
        <f t="shared" si="4"/>
        <v>0.98015597187177661</v>
      </c>
      <c r="K65" s="538">
        <f t="shared" si="5"/>
        <v>128259.38080919179</v>
      </c>
      <c r="L65" s="539">
        <f t="shared" si="4"/>
        <v>0.98008688146888179</v>
      </c>
      <c r="M65" s="540">
        <f t="shared" si="6"/>
        <v>153028.25092727627</v>
      </c>
      <c r="N65" s="534">
        <f t="shared" si="4"/>
        <v>0.98157004050277652</v>
      </c>
      <c r="O65" s="523">
        <v>1</v>
      </c>
      <c r="P65" s="535">
        <v>4.0759999999999998E-3</v>
      </c>
      <c r="Q65" s="523">
        <v>0.7762</v>
      </c>
      <c r="R65" s="536">
        <v>5.1000000000000004E-3</v>
      </c>
      <c r="S65" s="523">
        <v>0.78129999999999999</v>
      </c>
      <c r="T65" s="535" t="str">
        <f t="shared" si="1"/>
        <v/>
      </c>
    </row>
    <row r="66" spans="7:20" x14ac:dyDescent="0.2">
      <c r="G66" s="538">
        <f t="shared" si="2"/>
        <v>129674.39503102977</v>
      </c>
      <c r="H66" s="539">
        <f t="shared" si="0"/>
        <v>0.98018245657861769</v>
      </c>
      <c r="I66" s="540">
        <f t="shared" si="3"/>
        <v>129280.03922843978</v>
      </c>
      <c r="J66" s="534">
        <f t="shared" si="4"/>
        <v>0.98015597187177661</v>
      </c>
      <c r="K66" s="538">
        <f t="shared" si="5"/>
        <v>128259.38080919179</v>
      </c>
      <c r="L66" s="539">
        <f t="shared" si="4"/>
        <v>0.98008688146888179</v>
      </c>
      <c r="M66" s="540">
        <f t="shared" si="6"/>
        <v>153028.25092727627</v>
      </c>
      <c r="N66" s="534">
        <f t="shared" si="4"/>
        <v>0.98157004050277652</v>
      </c>
      <c r="O66" s="523">
        <v>2</v>
      </c>
      <c r="P66" s="535">
        <v>4.3810000000000003E-3</v>
      </c>
      <c r="Q66" s="523">
        <v>0.77910000000000001</v>
      </c>
      <c r="R66" s="536">
        <v>5.4999999999999997E-3</v>
      </c>
      <c r="S66" s="523">
        <v>0.78449999999999998</v>
      </c>
      <c r="T66" s="535" t="str">
        <f t="shared" si="1"/>
        <v/>
      </c>
    </row>
    <row r="67" spans="7:20" x14ac:dyDescent="0.2">
      <c r="G67" s="538">
        <f t="shared" si="2"/>
        <v>129674.39503102977</v>
      </c>
      <c r="H67" s="539">
        <f t="shared" ref="H67:H130" si="7">0.9986-(7.006/SQRT(G67))+134.6/G67</f>
        <v>0.98018245657861769</v>
      </c>
      <c r="I67" s="540">
        <f t="shared" si="3"/>
        <v>129280.03922843978</v>
      </c>
      <c r="J67" s="534">
        <f t="shared" si="4"/>
        <v>0.98015597187177661</v>
      </c>
      <c r="K67" s="538">
        <f t="shared" si="5"/>
        <v>128259.38080919179</v>
      </c>
      <c r="L67" s="539">
        <f t="shared" si="4"/>
        <v>0.98008688146888179</v>
      </c>
      <c r="M67" s="540">
        <f t="shared" si="6"/>
        <v>153028.25092727627</v>
      </c>
      <c r="N67" s="534">
        <f t="shared" si="4"/>
        <v>0.98157004050277652</v>
      </c>
      <c r="O67" s="523">
        <v>3</v>
      </c>
      <c r="P67" s="535">
        <v>4.7070000000000002E-3</v>
      </c>
      <c r="Q67" s="523">
        <v>0.78190000000000004</v>
      </c>
      <c r="R67" s="536">
        <v>5.8999999999999999E-3</v>
      </c>
      <c r="S67" s="523">
        <v>0.78779999999999994</v>
      </c>
      <c r="T67" s="535" t="str">
        <f t="shared" ref="T67:T130" si="8">IF(AND($C$1&gt;O67,$C$1&lt;=O68),($C$1-O67)/(O68-O67)*(P68-P67)+P67,"")</f>
        <v/>
      </c>
    </row>
    <row r="68" spans="7:20" x14ac:dyDescent="0.2">
      <c r="G68" s="538">
        <f t="shared" ref="G68:G131" si="9">($C$6/(1000*$C$12*$C$16))*(H67*SQRT(2*$C$5*100*$C$16))</f>
        <v>129674.39503102977</v>
      </c>
      <c r="H68" s="539">
        <f t="shared" si="7"/>
        <v>0.98018245657861769</v>
      </c>
      <c r="I68" s="540">
        <f t="shared" ref="I68:I131" si="10">($C$7/(1000*$C$12*$C$16))*(J67*SQRT(2*$C$5*100*$C$16))</f>
        <v>129280.03922843978</v>
      </c>
      <c r="J68" s="534">
        <f t="shared" ref="J68:J131" si="11">0.9986-(7.006/SQRT(I68))+134.6/I68</f>
        <v>0.98015597187177661</v>
      </c>
      <c r="K68" s="538">
        <f t="shared" ref="K68:K131" si="12">($C$8/(1000*$C$12*$C$16))*(L67*SQRT(2*$C$5*100*$C$16))</f>
        <v>128259.38080919179</v>
      </c>
      <c r="L68" s="539">
        <f t="shared" ref="L68:L131" si="13">0.9986-(7.006/SQRT(K68))+134.6/K68</f>
        <v>0.98008688146888179</v>
      </c>
      <c r="M68" s="540">
        <f t="shared" ref="M68:M131" si="14">($C$9/(1000*$C$12*$C$16))*(N67*SQRT(2*$C$5*100*$C$16))</f>
        <v>153028.25092727627</v>
      </c>
      <c r="N68" s="534">
        <f t="shared" ref="N68:N131" si="15">0.9986-(7.006/SQRT(M68))+134.6/M68</f>
        <v>0.98157004050277652</v>
      </c>
      <c r="O68" s="523">
        <v>4</v>
      </c>
      <c r="P68" s="535">
        <v>5.0540000000000003E-3</v>
      </c>
      <c r="Q68" s="523">
        <v>0.78480000000000005</v>
      </c>
      <c r="R68" s="536">
        <v>6.4000000000000003E-3</v>
      </c>
      <c r="S68" s="523">
        <v>0.79110000000000003</v>
      </c>
      <c r="T68" s="535" t="str">
        <f t="shared" si="8"/>
        <v/>
      </c>
    </row>
    <row r="69" spans="7:20" x14ac:dyDescent="0.2">
      <c r="G69" s="538">
        <f t="shared" si="9"/>
        <v>129674.39503102977</v>
      </c>
      <c r="H69" s="539">
        <f t="shared" si="7"/>
        <v>0.98018245657861769</v>
      </c>
      <c r="I69" s="540">
        <f t="shared" si="10"/>
        <v>129280.03922843978</v>
      </c>
      <c r="J69" s="534">
        <f t="shared" si="11"/>
        <v>0.98015597187177661</v>
      </c>
      <c r="K69" s="538">
        <f t="shared" si="12"/>
        <v>128259.38080919179</v>
      </c>
      <c r="L69" s="539">
        <f t="shared" si="13"/>
        <v>0.98008688146888179</v>
      </c>
      <c r="M69" s="540">
        <f t="shared" si="14"/>
        <v>153028.25092727627</v>
      </c>
      <c r="N69" s="534">
        <f t="shared" si="15"/>
        <v>0.98157004050277652</v>
      </c>
      <c r="O69" s="523">
        <v>5</v>
      </c>
      <c r="P69" s="535">
        <v>5.424E-3</v>
      </c>
      <c r="Q69" s="523">
        <v>0.78759999999999997</v>
      </c>
      <c r="R69" s="536">
        <v>6.7999999999999996E-3</v>
      </c>
      <c r="S69" s="523">
        <v>0.7944</v>
      </c>
      <c r="T69" s="535" t="str">
        <f t="shared" si="8"/>
        <v/>
      </c>
    </row>
    <row r="70" spans="7:20" x14ac:dyDescent="0.2">
      <c r="G70" s="538">
        <f t="shared" si="9"/>
        <v>129674.39503102977</v>
      </c>
      <c r="H70" s="539">
        <f t="shared" si="7"/>
        <v>0.98018245657861769</v>
      </c>
      <c r="I70" s="540">
        <f t="shared" si="10"/>
        <v>129280.03922843978</v>
      </c>
      <c r="J70" s="534">
        <f t="shared" si="11"/>
        <v>0.98015597187177661</v>
      </c>
      <c r="K70" s="538">
        <f t="shared" si="12"/>
        <v>128259.38080919179</v>
      </c>
      <c r="L70" s="539">
        <f t="shared" si="13"/>
        <v>0.98008688146888179</v>
      </c>
      <c r="M70" s="540">
        <f t="shared" si="14"/>
        <v>153028.25092727627</v>
      </c>
      <c r="N70" s="534">
        <f t="shared" si="15"/>
        <v>0.98157004050277652</v>
      </c>
      <c r="O70" s="523">
        <v>6</v>
      </c>
      <c r="P70" s="535">
        <v>5.8180000000000003E-3</v>
      </c>
      <c r="Q70" s="523">
        <v>0.79039999999999999</v>
      </c>
      <c r="R70" s="536">
        <v>7.4000000000000003E-3</v>
      </c>
      <c r="S70" s="523">
        <v>0.79779999999999995</v>
      </c>
      <c r="T70" s="535" t="str">
        <f t="shared" si="8"/>
        <v/>
      </c>
    </row>
    <row r="71" spans="7:20" x14ac:dyDescent="0.2">
      <c r="G71" s="538">
        <f t="shared" si="9"/>
        <v>129674.39503102977</v>
      </c>
      <c r="H71" s="539">
        <f t="shared" si="7"/>
        <v>0.98018245657861769</v>
      </c>
      <c r="I71" s="540">
        <f t="shared" si="10"/>
        <v>129280.03922843978</v>
      </c>
      <c r="J71" s="534">
        <f t="shared" si="11"/>
        <v>0.98015597187177661</v>
      </c>
      <c r="K71" s="538">
        <f t="shared" si="12"/>
        <v>128259.38080919179</v>
      </c>
      <c r="L71" s="539">
        <f t="shared" si="13"/>
        <v>0.98008688146888179</v>
      </c>
      <c r="M71" s="540">
        <f t="shared" si="14"/>
        <v>153028.25092727627</v>
      </c>
      <c r="N71" s="534">
        <f t="shared" si="15"/>
        <v>0.98157004050277652</v>
      </c>
      <c r="O71" s="523">
        <v>7</v>
      </c>
      <c r="P71" s="535">
        <v>6.2370000000000004E-3</v>
      </c>
      <c r="Q71" s="523">
        <v>0.79330000000000001</v>
      </c>
      <c r="R71" s="536">
        <v>7.9000000000000008E-3</v>
      </c>
      <c r="S71" s="523">
        <v>0.80120000000000002</v>
      </c>
      <c r="T71" s="535" t="str">
        <f t="shared" si="8"/>
        <v/>
      </c>
    </row>
    <row r="72" spans="7:20" x14ac:dyDescent="0.2">
      <c r="G72" s="538">
        <f t="shared" si="9"/>
        <v>129674.39503102977</v>
      </c>
      <c r="H72" s="539">
        <f t="shared" si="7"/>
        <v>0.98018245657861769</v>
      </c>
      <c r="I72" s="540">
        <f t="shared" si="10"/>
        <v>129280.03922843978</v>
      </c>
      <c r="J72" s="534">
        <f t="shared" si="11"/>
        <v>0.98015597187177661</v>
      </c>
      <c r="K72" s="538">
        <f t="shared" si="12"/>
        <v>128259.38080919179</v>
      </c>
      <c r="L72" s="539">
        <f t="shared" si="13"/>
        <v>0.98008688146888179</v>
      </c>
      <c r="M72" s="540">
        <f t="shared" si="14"/>
        <v>153028.25092727627</v>
      </c>
      <c r="N72" s="534">
        <f t="shared" si="15"/>
        <v>0.98157004050277652</v>
      </c>
      <c r="O72" s="523">
        <v>8</v>
      </c>
      <c r="P72" s="535">
        <v>6.6829999999999997E-3</v>
      </c>
      <c r="Q72" s="523">
        <v>0.79610000000000003</v>
      </c>
      <c r="R72" s="536">
        <v>8.5000000000000006E-3</v>
      </c>
      <c r="S72" s="523">
        <v>0.80459999999999998</v>
      </c>
      <c r="T72" s="535" t="str">
        <f t="shared" si="8"/>
        <v/>
      </c>
    </row>
    <row r="73" spans="7:20" x14ac:dyDescent="0.2">
      <c r="G73" s="538">
        <f t="shared" si="9"/>
        <v>129674.39503102977</v>
      </c>
      <c r="H73" s="539">
        <f t="shared" si="7"/>
        <v>0.98018245657861769</v>
      </c>
      <c r="I73" s="540">
        <f t="shared" si="10"/>
        <v>129280.03922843978</v>
      </c>
      <c r="J73" s="534">
        <f t="shared" si="11"/>
        <v>0.98015597187177661</v>
      </c>
      <c r="K73" s="538">
        <f t="shared" si="12"/>
        <v>128259.38080919179</v>
      </c>
      <c r="L73" s="539">
        <f t="shared" si="13"/>
        <v>0.98008688146888179</v>
      </c>
      <c r="M73" s="540">
        <f t="shared" si="14"/>
        <v>153028.25092727627</v>
      </c>
      <c r="N73" s="534">
        <f t="shared" si="15"/>
        <v>0.98157004050277652</v>
      </c>
      <c r="O73" s="523">
        <v>9</v>
      </c>
      <c r="P73" s="535">
        <v>7.1570000000000002E-3</v>
      </c>
      <c r="Q73" s="523">
        <v>0.79900000000000004</v>
      </c>
      <c r="R73" s="536">
        <v>9.1999999999999998E-3</v>
      </c>
      <c r="S73" s="523">
        <v>0.80810000000000004</v>
      </c>
      <c r="T73" s="535" t="str">
        <f t="shared" si="8"/>
        <v/>
      </c>
    </row>
    <row r="74" spans="7:20" x14ac:dyDescent="0.2">
      <c r="G74" s="538">
        <f t="shared" si="9"/>
        <v>129674.39503102977</v>
      </c>
      <c r="H74" s="539">
        <f t="shared" si="7"/>
        <v>0.98018245657861769</v>
      </c>
      <c r="I74" s="540">
        <f t="shared" si="10"/>
        <v>129280.03922843978</v>
      </c>
      <c r="J74" s="534">
        <f t="shared" si="11"/>
        <v>0.98015597187177661</v>
      </c>
      <c r="K74" s="538">
        <f t="shared" si="12"/>
        <v>128259.38080919179</v>
      </c>
      <c r="L74" s="539">
        <f t="shared" si="13"/>
        <v>0.98008688146888179</v>
      </c>
      <c r="M74" s="540">
        <f t="shared" si="14"/>
        <v>153028.25092727627</v>
      </c>
      <c r="N74" s="534">
        <f t="shared" si="15"/>
        <v>0.98157004050277652</v>
      </c>
      <c r="O74" s="523">
        <v>10</v>
      </c>
      <c r="P74" s="535">
        <v>7.6610000000000003E-3</v>
      </c>
      <c r="Q74" s="523">
        <v>0.80179999999999996</v>
      </c>
      <c r="R74" s="536">
        <v>9.7999999999999997E-3</v>
      </c>
      <c r="S74" s="523">
        <v>0.81159999999999999</v>
      </c>
      <c r="T74" s="535" t="str">
        <f t="shared" si="8"/>
        <v/>
      </c>
    </row>
    <row r="75" spans="7:20" x14ac:dyDescent="0.2">
      <c r="G75" s="538">
        <f t="shared" si="9"/>
        <v>129674.39503102977</v>
      </c>
      <c r="H75" s="539">
        <f t="shared" si="7"/>
        <v>0.98018245657861769</v>
      </c>
      <c r="I75" s="540">
        <f t="shared" si="10"/>
        <v>129280.03922843978</v>
      </c>
      <c r="J75" s="534">
        <f t="shared" si="11"/>
        <v>0.98015597187177661</v>
      </c>
      <c r="K75" s="538">
        <f t="shared" si="12"/>
        <v>128259.38080919179</v>
      </c>
      <c r="L75" s="539">
        <f t="shared" si="13"/>
        <v>0.98008688146888179</v>
      </c>
      <c r="M75" s="540">
        <f t="shared" si="14"/>
        <v>153028.25092727627</v>
      </c>
      <c r="N75" s="534">
        <f t="shared" si="15"/>
        <v>0.98157004050277652</v>
      </c>
      <c r="O75" s="523">
        <v>11</v>
      </c>
      <c r="P75" s="535">
        <v>8.1969999999999994E-3</v>
      </c>
      <c r="Q75" s="523">
        <v>0.80459999999999998</v>
      </c>
      <c r="R75" s="536">
        <v>1.06E-2</v>
      </c>
      <c r="S75" s="523">
        <v>0.81520000000000004</v>
      </c>
      <c r="T75" s="535" t="str">
        <f t="shared" si="8"/>
        <v/>
      </c>
    </row>
    <row r="76" spans="7:20" x14ac:dyDescent="0.2">
      <c r="G76" s="538">
        <f t="shared" si="9"/>
        <v>129674.39503102977</v>
      </c>
      <c r="H76" s="539">
        <f t="shared" si="7"/>
        <v>0.98018245657861769</v>
      </c>
      <c r="I76" s="540">
        <f t="shared" si="10"/>
        <v>129280.03922843978</v>
      </c>
      <c r="J76" s="534">
        <f t="shared" si="11"/>
        <v>0.98015597187177661</v>
      </c>
      <c r="K76" s="538">
        <f t="shared" si="12"/>
        <v>128259.38080919179</v>
      </c>
      <c r="L76" s="539">
        <f t="shared" si="13"/>
        <v>0.98008688146888179</v>
      </c>
      <c r="M76" s="540">
        <f t="shared" si="14"/>
        <v>153028.25092727627</v>
      </c>
      <c r="N76" s="534">
        <f t="shared" si="15"/>
        <v>0.98157004050277652</v>
      </c>
      <c r="O76" s="523">
        <v>12</v>
      </c>
      <c r="P76" s="535">
        <v>8.7659999999999995E-3</v>
      </c>
      <c r="Q76" s="523">
        <v>0.8075</v>
      </c>
      <c r="R76" s="536">
        <v>1.1299999999999999E-2</v>
      </c>
      <c r="S76" s="523">
        <v>0.81879999999999997</v>
      </c>
      <c r="T76" s="535" t="str">
        <f t="shared" si="8"/>
        <v/>
      </c>
    </row>
    <row r="77" spans="7:20" x14ac:dyDescent="0.2">
      <c r="G77" s="538">
        <f t="shared" si="9"/>
        <v>129674.39503102977</v>
      </c>
      <c r="H77" s="539">
        <f t="shared" si="7"/>
        <v>0.98018245657861769</v>
      </c>
      <c r="I77" s="540">
        <f t="shared" si="10"/>
        <v>129280.03922843978</v>
      </c>
      <c r="J77" s="534">
        <f t="shared" si="11"/>
        <v>0.98015597187177661</v>
      </c>
      <c r="K77" s="538">
        <f t="shared" si="12"/>
        <v>128259.38080919179</v>
      </c>
      <c r="L77" s="539">
        <f t="shared" si="13"/>
        <v>0.98008688146888179</v>
      </c>
      <c r="M77" s="540">
        <f t="shared" si="14"/>
        <v>153028.25092727627</v>
      </c>
      <c r="N77" s="534">
        <f t="shared" si="15"/>
        <v>0.98157004050277652</v>
      </c>
      <c r="O77" s="523">
        <v>13</v>
      </c>
      <c r="P77" s="535">
        <v>9.3699999999999999E-3</v>
      </c>
      <c r="Q77" s="523">
        <v>0.81030000000000002</v>
      </c>
      <c r="R77" s="536">
        <v>1.2200000000000001E-2</v>
      </c>
      <c r="S77" s="523">
        <v>0.82250000000000001</v>
      </c>
      <c r="T77" s="535" t="str">
        <f t="shared" si="8"/>
        <v/>
      </c>
    </row>
    <row r="78" spans="7:20" x14ac:dyDescent="0.2">
      <c r="G78" s="538">
        <f t="shared" si="9"/>
        <v>129674.39503102977</v>
      </c>
      <c r="H78" s="539">
        <f t="shared" si="7"/>
        <v>0.98018245657861769</v>
      </c>
      <c r="I78" s="540">
        <f t="shared" si="10"/>
        <v>129280.03922843978</v>
      </c>
      <c r="J78" s="534">
        <f t="shared" si="11"/>
        <v>0.98015597187177661</v>
      </c>
      <c r="K78" s="538">
        <f t="shared" si="12"/>
        <v>128259.38080919179</v>
      </c>
      <c r="L78" s="539">
        <f t="shared" si="13"/>
        <v>0.98008688146888179</v>
      </c>
      <c r="M78" s="540">
        <f t="shared" si="14"/>
        <v>153028.25092727627</v>
      </c>
      <c r="N78" s="534">
        <f t="shared" si="15"/>
        <v>0.98157004050277652</v>
      </c>
      <c r="O78" s="523">
        <v>14</v>
      </c>
      <c r="P78" s="535">
        <v>1.0012E-2</v>
      </c>
      <c r="Q78" s="523">
        <v>0.81320000000000003</v>
      </c>
      <c r="R78" s="536">
        <v>1.3100000000000001E-2</v>
      </c>
      <c r="S78" s="523">
        <v>0.82620000000000005</v>
      </c>
      <c r="T78" s="535" t="str">
        <f t="shared" si="8"/>
        <v/>
      </c>
    </row>
    <row r="79" spans="7:20" x14ac:dyDescent="0.2">
      <c r="G79" s="538">
        <f t="shared" si="9"/>
        <v>129674.39503102977</v>
      </c>
      <c r="H79" s="539">
        <f t="shared" si="7"/>
        <v>0.98018245657861769</v>
      </c>
      <c r="I79" s="540">
        <f t="shared" si="10"/>
        <v>129280.03922843978</v>
      </c>
      <c r="J79" s="534">
        <f t="shared" si="11"/>
        <v>0.98015597187177661</v>
      </c>
      <c r="K79" s="538">
        <f t="shared" si="12"/>
        <v>128259.38080919179</v>
      </c>
      <c r="L79" s="539">
        <f t="shared" si="13"/>
        <v>0.98008688146888179</v>
      </c>
      <c r="M79" s="540">
        <f t="shared" si="14"/>
        <v>153028.25092727627</v>
      </c>
      <c r="N79" s="534">
        <f t="shared" si="15"/>
        <v>0.98157004050277652</v>
      </c>
      <c r="O79" s="523">
        <v>15</v>
      </c>
      <c r="P79" s="535">
        <v>1.0692E-2</v>
      </c>
      <c r="Q79" s="523">
        <v>0.81599999999999995</v>
      </c>
      <c r="R79" s="536">
        <v>1.4E-2</v>
      </c>
      <c r="S79" s="523">
        <v>0.83</v>
      </c>
      <c r="T79" s="535">
        <f t="shared" si="8"/>
        <v>1.0808840851207662E-2</v>
      </c>
    </row>
    <row r="80" spans="7:20" x14ac:dyDescent="0.2">
      <c r="G80" s="538">
        <f t="shared" si="9"/>
        <v>129674.39503102977</v>
      </c>
      <c r="H80" s="539">
        <f t="shared" si="7"/>
        <v>0.98018245657861769</v>
      </c>
      <c r="I80" s="540">
        <f t="shared" si="10"/>
        <v>129280.03922843978</v>
      </c>
      <c r="J80" s="534">
        <f t="shared" si="11"/>
        <v>0.98015597187177661</v>
      </c>
      <c r="K80" s="538">
        <f t="shared" si="12"/>
        <v>128259.38080919179</v>
      </c>
      <c r="L80" s="539">
        <f t="shared" si="13"/>
        <v>0.98008688146888179</v>
      </c>
      <c r="M80" s="540">
        <f t="shared" si="14"/>
        <v>153028.25092727627</v>
      </c>
      <c r="N80" s="534">
        <f t="shared" si="15"/>
        <v>0.98157004050277652</v>
      </c>
      <c r="O80" s="523">
        <v>16</v>
      </c>
      <c r="P80" s="535">
        <v>1.1413E-2</v>
      </c>
      <c r="Q80" s="523">
        <v>0.81879999999999997</v>
      </c>
      <c r="R80" s="536">
        <v>1.4999999999999999E-2</v>
      </c>
      <c r="S80" s="523">
        <v>0.83379999999999999</v>
      </c>
      <c r="T80" s="535" t="str">
        <f t="shared" si="8"/>
        <v/>
      </c>
    </row>
    <row r="81" spans="7:20" x14ac:dyDescent="0.2">
      <c r="G81" s="538">
        <f t="shared" si="9"/>
        <v>129674.39503102977</v>
      </c>
      <c r="H81" s="539">
        <f t="shared" si="7"/>
        <v>0.98018245657861769</v>
      </c>
      <c r="I81" s="540">
        <f t="shared" si="10"/>
        <v>129280.03922843978</v>
      </c>
      <c r="J81" s="534">
        <f t="shared" si="11"/>
        <v>0.98015597187177661</v>
      </c>
      <c r="K81" s="538">
        <f t="shared" si="12"/>
        <v>128259.38080919179</v>
      </c>
      <c r="L81" s="539">
        <f t="shared" si="13"/>
        <v>0.98008688146888179</v>
      </c>
      <c r="M81" s="540">
        <f t="shared" si="14"/>
        <v>153028.25092727627</v>
      </c>
      <c r="N81" s="534">
        <f t="shared" si="15"/>
        <v>0.98157004050277652</v>
      </c>
      <c r="O81" s="523">
        <v>17</v>
      </c>
      <c r="P81" s="535">
        <v>1.2178E-2</v>
      </c>
      <c r="Q81" s="523">
        <v>0.82169999999999999</v>
      </c>
      <c r="R81" s="536">
        <v>1.6E-2</v>
      </c>
      <c r="S81" s="523">
        <v>0.8377</v>
      </c>
      <c r="T81" s="535" t="str">
        <f t="shared" si="8"/>
        <v/>
      </c>
    </row>
    <row r="82" spans="7:20" x14ac:dyDescent="0.2">
      <c r="G82" s="538">
        <f t="shared" si="9"/>
        <v>129674.39503102977</v>
      </c>
      <c r="H82" s="539">
        <f t="shared" si="7"/>
        <v>0.98018245657861769</v>
      </c>
      <c r="I82" s="540">
        <f t="shared" si="10"/>
        <v>129280.03922843978</v>
      </c>
      <c r="J82" s="534">
        <f t="shared" si="11"/>
        <v>0.98015597187177661</v>
      </c>
      <c r="K82" s="538">
        <f t="shared" si="12"/>
        <v>128259.38080919179</v>
      </c>
      <c r="L82" s="539">
        <f t="shared" si="13"/>
        <v>0.98008688146888179</v>
      </c>
      <c r="M82" s="540">
        <f t="shared" si="14"/>
        <v>153028.25092727627</v>
      </c>
      <c r="N82" s="534">
        <f t="shared" si="15"/>
        <v>0.98157004050277652</v>
      </c>
      <c r="O82" s="523">
        <v>18</v>
      </c>
      <c r="P82" s="535">
        <v>1.2989000000000001E-2</v>
      </c>
      <c r="Q82" s="523">
        <v>0.82450000000000001</v>
      </c>
      <c r="R82" s="536">
        <v>1.72E-2</v>
      </c>
      <c r="S82" s="523">
        <v>0.8417</v>
      </c>
      <c r="T82" s="535" t="str">
        <f t="shared" si="8"/>
        <v/>
      </c>
    </row>
    <row r="83" spans="7:20" x14ac:dyDescent="0.2">
      <c r="G83" s="538">
        <f t="shared" si="9"/>
        <v>129674.39503102977</v>
      </c>
      <c r="H83" s="539">
        <f t="shared" si="7"/>
        <v>0.98018245657861769</v>
      </c>
      <c r="I83" s="540">
        <f t="shared" si="10"/>
        <v>129280.03922843978</v>
      </c>
      <c r="J83" s="534">
        <f t="shared" si="11"/>
        <v>0.98015597187177661</v>
      </c>
      <c r="K83" s="538">
        <f t="shared" si="12"/>
        <v>128259.38080919179</v>
      </c>
      <c r="L83" s="539">
        <f t="shared" si="13"/>
        <v>0.98008688146888179</v>
      </c>
      <c r="M83" s="540">
        <f t="shared" si="14"/>
        <v>153028.25092727627</v>
      </c>
      <c r="N83" s="534">
        <f t="shared" si="15"/>
        <v>0.98157004050277652</v>
      </c>
      <c r="O83" s="523">
        <v>19</v>
      </c>
      <c r="P83" s="535">
        <v>1.3847999999999999E-2</v>
      </c>
      <c r="Q83" s="523">
        <v>0.82740000000000002</v>
      </c>
      <c r="R83" s="536">
        <v>1.84E-2</v>
      </c>
      <c r="S83" s="523">
        <v>0.84570000000000001</v>
      </c>
      <c r="T83" s="535" t="str">
        <f t="shared" si="8"/>
        <v/>
      </c>
    </row>
    <row r="84" spans="7:20" x14ac:dyDescent="0.2">
      <c r="G84" s="538">
        <f t="shared" si="9"/>
        <v>129674.39503102977</v>
      </c>
      <c r="H84" s="539">
        <f t="shared" si="7"/>
        <v>0.98018245657861769</v>
      </c>
      <c r="I84" s="540">
        <f t="shared" si="10"/>
        <v>129280.03922843978</v>
      </c>
      <c r="J84" s="534">
        <f t="shared" si="11"/>
        <v>0.98015597187177661</v>
      </c>
      <c r="K84" s="538">
        <f t="shared" si="12"/>
        <v>128259.38080919179</v>
      </c>
      <c r="L84" s="539">
        <f t="shared" si="13"/>
        <v>0.98008688146888179</v>
      </c>
      <c r="M84" s="540">
        <f t="shared" si="14"/>
        <v>153028.25092727627</v>
      </c>
      <c r="N84" s="534">
        <f t="shared" si="15"/>
        <v>0.98157004050277652</v>
      </c>
      <c r="O84" s="523">
        <v>20</v>
      </c>
      <c r="P84" s="535">
        <v>1.4758E-2</v>
      </c>
      <c r="Q84" s="523">
        <v>0.83020000000000005</v>
      </c>
      <c r="R84" s="536">
        <v>1.9599999999999999E-2</v>
      </c>
      <c r="S84" s="523">
        <v>0.8498</v>
      </c>
      <c r="T84" s="535" t="str">
        <f t="shared" si="8"/>
        <v/>
      </c>
    </row>
    <row r="85" spans="7:20" x14ac:dyDescent="0.2">
      <c r="G85" s="538">
        <f t="shared" si="9"/>
        <v>129674.39503102977</v>
      </c>
      <c r="H85" s="539">
        <f t="shared" si="7"/>
        <v>0.98018245657861769</v>
      </c>
      <c r="I85" s="540">
        <f t="shared" si="10"/>
        <v>129280.03922843978</v>
      </c>
      <c r="J85" s="534">
        <f t="shared" si="11"/>
        <v>0.98015597187177661</v>
      </c>
      <c r="K85" s="538">
        <f t="shared" si="12"/>
        <v>128259.38080919179</v>
      </c>
      <c r="L85" s="539">
        <f t="shared" si="13"/>
        <v>0.98008688146888179</v>
      </c>
      <c r="M85" s="540">
        <f t="shared" si="14"/>
        <v>153028.25092727627</v>
      </c>
      <c r="N85" s="534">
        <f t="shared" si="15"/>
        <v>0.98157004050277652</v>
      </c>
      <c r="O85" s="523">
        <v>21</v>
      </c>
      <c r="P85" s="535">
        <v>1.5720999999999999E-2</v>
      </c>
      <c r="Q85" s="523">
        <v>0.83299999999999996</v>
      </c>
      <c r="R85" s="536">
        <v>2.1000000000000001E-2</v>
      </c>
      <c r="S85" s="523">
        <v>0.85399999999999998</v>
      </c>
      <c r="T85" s="535" t="str">
        <f t="shared" si="8"/>
        <v/>
      </c>
    </row>
    <row r="86" spans="7:20" x14ac:dyDescent="0.2">
      <c r="G86" s="538">
        <f t="shared" si="9"/>
        <v>129674.39503102977</v>
      </c>
      <c r="H86" s="539">
        <f t="shared" si="7"/>
        <v>0.98018245657861769</v>
      </c>
      <c r="I86" s="540">
        <f t="shared" si="10"/>
        <v>129280.03922843978</v>
      </c>
      <c r="J86" s="534">
        <f t="shared" si="11"/>
        <v>0.98015597187177661</v>
      </c>
      <c r="K86" s="538">
        <f t="shared" si="12"/>
        <v>128259.38080919179</v>
      </c>
      <c r="L86" s="539">
        <f t="shared" si="13"/>
        <v>0.98008688146888179</v>
      </c>
      <c r="M86" s="540">
        <f t="shared" si="14"/>
        <v>153028.25092727627</v>
      </c>
      <c r="N86" s="534">
        <f t="shared" si="15"/>
        <v>0.98157004050277652</v>
      </c>
      <c r="O86" s="523">
        <v>22</v>
      </c>
      <c r="P86" s="535">
        <v>1.6740999999999999E-2</v>
      </c>
      <c r="Q86" s="523">
        <v>0.83589999999999998</v>
      </c>
      <c r="R86" s="536">
        <v>2.24E-2</v>
      </c>
      <c r="S86" s="523">
        <v>0.85829999999999995</v>
      </c>
      <c r="T86" s="535" t="str">
        <f t="shared" si="8"/>
        <v/>
      </c>
    </row>
    <row r="87" spans="7:20" x14ac:dyDescent="0.2">
      <c r="G87" s="538">
        <f t="shared" si="9"/>
        <v>129674.39503102977</v>
      </c>
      <c r="H87" s="539">
        <f t="shared" si="7"/>
        <v>0.98018245657861769</v>
      </c>
      <c r="I87" s="540">
        <f t="shared" si="10"/>
        <v>129280.03922843978</v>
      </c>
      <c r="J87" s="534">
        <f t="shared" si="11"/>
        <v>0.98015597187177661</v>
      </c>
      <c r="K87" s="538">
        <f t="shared" si="12"/>
        <v>128259.38080919179</v>
      </c>
      <c r="L87" s="539">
        <f t="shared" si="13"/>
        <v>0.98008688146888179</v>
      </c>
      <c r="M87" s="540">
        <f t="shared" si="14"/>
        <v>153028.25092727627</v>
      </c>
      <c r="N87" s="534">
        <f t="shared" si="15"/>
        <v>0.98157004050277652</v>
      </c>
      <c r="O87" s="523">
        <v>23</v>
      </c>
      <c r="P87" s="535">
        <v>1.7821E-2</v>
      </c>
      <c r="Q87" s="523">
        <v>0.8387</v>
      </c>
      <c r="R87" s="536">
        <v>2.4E-2</v>
      </c>
      <c r="S87" s="523">
        <v>0.86270000000000002</v>
      </c>
      <c r="T87" s="535" t="str">
        <f t="shared" si="8"/>
        <v/>
      </c>
    </row>
    <row r="88" spans="7:20" x14ac:dyDescent="0.2">
      <c r="G88" s="538">
        <f t="shared" si="9"/>
        <v>129674.39503102977</v>
      </c>
      <c r="H88" s="539">
        <f t="shared" si="7"/>
        <v>0.98018245657861769</v>
      </c>
      <c r="I88" s="540">
        <f t="shared" si="10"/>
        <v>129280.03922843978</v>
      </c>
      <c r="J88" s="534">
        <f t="shared" si="11"/>
        <v>0.98015597187177661</v>
      </c>
      <c r="K88" s="538">
        <f t="shared" si="12"/>
        <v>128259.38080919179</v>
      </c>
      <c r="L88" s="539">
        <f t="shared" si="13"/>
        <v>0.98008688146888179</v>
      </c>
      <c r="M88" s="540">
        <f t="shared" si="14"/>
        <v>153028.25092727627</v>
      </c>
      <c r="N88" s="534">
        <f t="shared" si="15"/>
        <v>0.98157004050277652</v>
      </c>
      <c r="O88" s="523">
        <v>24</v>
      </c>
      <c r="P88" s="535">
        <v>1.8963000000000001E-2</v>
      </c>
      <c r="Q88" s="523">
        <v>0.84160000000000001</v>
      </c>
      <c r="R88" s="536">
        <v>2.5600000000000001E-2</v>
      </c>
      <c r="S88" s="523">
        <v>0.86709999999999998</v>
      </c>
      <c r="T88" s="535" t="str">
        <f t="shared" si="8"/>
        <v/>
      </c>
    </row>
    <row r="89" spans="7:20" x14ac:dyDescent="0.2">
      <c r="G89" s="538">
        <f t="shared" si="9"/>
        <v>129674.39503102977</v>
      </c>
      <c r="H89" s="539">
        <f t="shared" si="7"/>
        <v>0.98018245657861769</v>
      </c>
      <c r="I89" s="540">
        <f t="shared" si="10"/>
        <v>129280.03922843978</v>
      </c>
      <c r="J89" s="534">
        <f t="shared" si="11"/>
        <v>0.98015597187177661</v>
      </c>
      <c r="K89" s="538">
        <f t="shared" si="12"/>
        <v>128259.38080919179</v>
      </c>
      <c r="L89" s="539">
        <f t="shared" si="13"/>
        <v>0.98008688146888179</v>
      </c>
      <c r="M89" s="540">
        <f t="shared" si="14"/>
        <v>153028.25092727627</v>
      </c>
      <c r="N89" s="534">
        <f t="shared" si="15"/>
        <v>0.98157004050277652</v>
      </c>
      <c r="O89" s="523">
        <v>25</v>
      </c>
      <c r="P89" s="535">
        <v>2.017E-2</v>
      </c>
      <c r="Q89" s="523">
        <v>0.84440000000000004</v>
      </c>
      <c r="R89" s="536">
        <v>2.7300000000000001E-2</v>
      </c>
      <c r="S89" s="523">
        <v>0.87170000000000003</v>
      </c>
      <c r="T89" s="535" t="str">
        <f t="shared" si="8"/>
        <v/>
      </c>
    </row>
    <row r="90" spans="7:20" x14ac:dyDescent="0.2">
      <c r="G90" s="538">
        <f t="shared" si="9"/>
        <v>129674.39503102977</v>
      </c>
      <c r="H90" s="539">
        <f t="shared" si="7"/>
        <v>0.98018245657861769</v>
      </c>
      <c r="I90" s="540">
        <f t="shared" si="10"/>
        <v>129280.03922843978</v>
      </c>
      <c r="J90" s="534">
        <f t="shared" si="11"/>
        <v>0.98015597187177661</v>
      </c>
      <c r="K90" s="538">
        <f t="shared" si="12"/>
        <v>128259.38080919179</v>
      </c>
      <c r="L90" s="539">
        <f t="shared" si="13"/>
        <v>0.98008688146888179</v>
      </c>
      <c r="M90" s="540">
        <f t="shared" si="14"/>
        <v>153028.25092727627</v>
      </c>
      <c r="N90" s="534">
        <f t="shared" si="15"/>
        <v>0.98157004050277652</v>
      </c>
      <c r="O90" s="523">
        <v>26</v>
      </c>
      <c r="P90" s="535">
        <v>2.1447999999999998E-2</v>
      </c>
      <c r="Q90" s="523">
        <v>0.84719999999999995</v>
      </c>
      <c r="R90" s="536">
        <v>2.9100000000000001E-2</v>
      </c>
      <c r="S90" s="523">
        <v>0.87639999999999996</v>
      </c>
      <c r="T90" s="535" t="str">
        <f t="shared" si="8"/>
        <v/>
      </c>
    </row>
    <row r="91" spans="7:20" x14ac:dyDescent="0.2">
      <c r="G91" s="538">
        <f t="shared" si="9"/>
        <v>129674.39503102977</v>
      </c>
      <c r="H91" s="539">
        <f t="shared" si="7"/>
        <v>0.98018245657861769</v>
      </c>
      <c r="I91" s="540">
        <f t="shared" si="10"/>
        <v>129280.03922843978</v>
      </c>
      <c r="J91" s="534">
        <f t="shared" si="11"/>
        <v>0.98015597187177661</v>
      </c>
      <c r="K91" s="538">
        <f t="shared" si="12"/>
        <v>128259.38080919179</v>
      </c>
      <c r="L91" s="539">
        <f t="shared" si="13"/>
        <v>0.98008688146888179</v>
      </c>
      <c r="M91" s="540">
        <f t="shared" si="14"/>
        <v>153028.25092727627</v>
      </c>
      <c r="N91" s="534">
        <f t="shared" si="15"/>
        <v>0.98157004050277652</v>
      </c>
      <c r="O91" s="523">
        <v>27</v>
      </c>
      <c r="P91" s="535">
        <v>2.2797999999999999E-2</v>
      </c>
      <c r="Q91" s="523">
        <v>0.85009999999999997</v>
      </c>
      <c r="R91" s="536">
        <v>3.1099999999999999E-2</v>
      </c>
      <c r="S91" s="523">
        <v>0.88109999999999999</v>
      </c>
      <c r="T91" s="535" t="str">
        <f t="shared" si="8"/>
        <v/>
      </c>
    </row>
    <row r="92" spans="7:20" x14ac:dyDescent="0.2">
      <c r="G92" s="538">
        <f t="shared" si="9"/>
        <v>129674.39503102977</v>
      </c>
      <c r="H92" s="539">
        <f t="shared" si="7"/>
        <v>0.98018245657861769</v>
      </c>
      <c r="I92" s="540">
        <f t="shared" si="10"/>
        <v>129280.03922843978</v>
      </c>
      <c r="J92" s="534">
        <f t="shared" si="11"/>
        <v>0.98015597187177661</v>
      </c>
      <c r="K92" s="538">
        <f t="shared" si="12"/>
        <v>128259.38080919179</v>
      </c>
      <c r="L92" s="539">
        <f t="shared" si="13"/>
        <v>0.98008688146888179</v>
      </c>
      <c r="M92" s="540">
        <f t="shared" si="14"/>
        <v>153028.25092727627</v>
      </c>
      <c r="N92" s="534">
        <f t="shared" si="15"/>
        <v>0.98157004050277652</v>
      </c>
      <c r="O92" s="523">
        <v>28</v>
      </c>
      <c r="P92" s="535">
        <v>2.4226000000000001E-2</v>
      </c>
      <c r="Q92" s="523">
        <v>0.85289999999999999</v>
      </c>
      <c r="R92" s="536">
        <v>3.3099999999999997E-2</v>
      </c>
      <c r="S92" s="523">
        <v>0.88600000000000001</v>
      </c>
      <c r="T92" s="535" t="str">
        <f t="shared" si="8"/>
        <v/>
      </c>
    </row>
    <row r="93" spans="7:20" x14ac:dyDescent="0.2">
      <c r="G93" s="538">
        <f t="shared" si="9"/>
        <v>129674.39503102977</v>
      </c>
      <c r="H93" s="539">
        <f t="shared" si="7"/>
        <v>0.98018245657861769</v>
      </c>
      <c r="I93" s="540">
        <f t="shared" si="10"/>
        <v>129280.03922843978</v>
      </c>
      <c r="J93" s="534">
        <f t="shared" si="11"/>
        <v>0.98015597187177661</v>
      </c>
      <c r="K93" s="538">
        <f t="shared" si="12"/>
        <v>128259.38080919179</v>
      </c>
      <c r="L93" s="539">
        <f t="shared" si="13"/>
        <v>0.98008688146888179</v>
      </c>
      <c r="M93" s="540">
        <f t="shared" si="14"/>
        <v>153028.25092727627</v>
      </c>
      <c r="N93" s="534">
        <f t="shared" si="15"/>
        <v>0.98157004050277652</v>
      </c>
      <c r="O93" s="523">
        <v>29</v>
      </c>
      <c r="P93" s="535">
        <v>2.5735000000000001E-2</v>
      </c>
      <c r="Q93" s="523">
        <v>0.85580000000000001</v>
      </c>
      <c r="R93" s="536">
        <v>3.5299999999999998E-2</v>
      </c>
      <c r="S93" s="523">
        <v>0.89100000000000001</v>
      </c>
      <c r="T93" s="535" t="str">
        <f t="shared" si="8"/>
        <v/>
      </c>
    </row>
    <row r="94" spans="7:20" x14ac:dyDescent="0.2">
      <c r="G94" s="538">
        <f t="shared" si="9"/>
        <v>129674.39503102977</v>
      </c>
      <c r="H94" s="539">
        <f t="shared" si="7"/>
        <v>0.98018245657861769</v>
      </c>
      <c r="I94" s="540">
        <f t="shared" si="10"/>
        <v>129280.03922843978</v>
      </c>
      <c r="J94" s="534">
        <f t="shared" si="11"/>
        <v>0.98015597187177661</v>
      </c>
      <c r="K94" s="538">
        <f t="shared" si="12"/>
        <v>128259.38080919179</v>
      </c>
      <c r="L94" s="539">
        <f t="shared" si="13"/>
        <v>0.98008688146888179</v>
      </c>
      <c r="M94" s="540">
        <f t="shared" si="14"/>
        <v>153028.25092727627</v>
      </c>
      <c r="N94" s="534">
        <f t="shared" si="15"/>
        <v>0.98157004050277652</v>
      </c>
      <c r="O94" s="523">
        <v>30</v>
      </c>
      <c r="P94" s="535">
        <v>2.7328999999999999E-2</v>
      </c>
      <c r="Q94" s="523">
        <v>0.85860000000000003</v>
      </c>
      <c r="R94" s="536">
        <v>3.7600000000000001E-2</v>
      </c>
      <c r="S94" s="523">
        <v>0.8962</v>
      </c>
      <c r="T94" s="535" t="str">
        <f t="shared" si="8"/>
        <v/>
      </c>
    </row>
    <row r="95" spans="7:20" x14ac:dyDescent="0.2">
      <c r="G95" s="538">
        <f t="shared" si="9"/>
        <v>129674.39503102977</v>
      </c>
      <c r="H95" s="539">
        <f t="shared" si="7"/>
        <v>0.98018245657861769</v>
      </c>
      <c r="I95" s="540">
        <f t="shared" si="10"/>
        <v>129280.03922843978</v>
      </c>
      <c r="J95" s="534">
        <f t="shared" si="11"/>
        <v>0.98015597187177661</v>
      </c>
      <c r="K95" s="538">
        <f t="shared" si="12"/>
        <v>128259.38080919179</v>
      </c>
      <c r="L95" s="539">
        <f t="shared" si="13"/>
        <v>0.98008688146888179</v>
      </c>
      <c r="M95" s="540">
        <f t="shared" si="14"/>
        <v>153028.25092727627</v>
      </c>
      <c r="N95" s="534">
        <f t="shared" si="15"/>
        <v>0.98157004050277652</v>
      </c>
      <c r="O95" s="523">
        <v>31</v>
      </c>
      <c r="P95" s="535">
        <v>2.9014000000000002E-2</v>
      </c>
      <c r="Q95" s="523">
        <v>0.86140000000000005</v>
      </c>
      <c r="R95" s="536">
        <v>0.04</v>
      </c>
      <c r="S95" s="523">
        <v>0.90149999999999997</v>
      </c>
      <c r="T95" s="535" t="str">
        <f t="shared" si="8"/>
        <v/>
      </c>
    </row>
    <row r="96" spans="7:20" x14ac:dyDescent="0.2">
      <c r="G96" s="538">
        <f t="shared" si="9"/>
        <v>129674.39503102977</v>
      </c>
      <c r="H96" s="539">
        <f t="shared" si="7"/>
        <v>0.98018245657861769</v>
      </c>
      <c r="I96" s="540">
        <f t="shared" si="10"/>
        <v>129280.03922843978</v>
      </c>
      <c r="J96" s="534">
        <f t="shared" si="11"/>
        <v>0.98015597187177661</v>
      </c>
      <c r="K96" s="538">
        <f t="shared" si="12"/>
        <v>128259.38080919179</v>
      </c>
      <c r="L96" s="539">
        <f t="shared" si="13"/>
        <v>0.98008688146888179</v>
      </c>
      <c r="M96" s="540">
        <f t="shared" si="14"/>
        <v>153028.25092727627</v>
      </c>
      <c r="N96" s="534">
        <f t="shared" si="15"/>
        <v>0.98157004050277652</v>
      </c>
      <c r="O96" s="523">
        <v>32</v>
      </c>
      <c r="P96" s="535">
        <v>3.0793000000000001E-2</v>
      </c>
      <c r="Q96" s="523">
        <v>0.86429999999999996</v>
      </c>
      <c r="R96" s="536">
        <v>4.2599999999999999E-2</v>
      </c>
      <c r="S96" s="523">
        <v>0.90690000000000004</v>
      </c>
      <c r="T96" s="535" t="str">
        <f t="shared" si="8"/>
        <v/>
      </c>
    </row>
    <row r="97" spans="7:20" x14ac:dyDescent="0.2">
      <c r="G97" s="538">
        <f t="shared" si="9"/>
        <v>129674.39503102977</v>
      </c>
      <c r="H97" s="539">
        <f t="shared" si="7"/>
        <v>0.98018245657861769</v>
      </c>
      <c r="I97" s="540">
        <f t="shared" si="10"/>
        <v>129280.03922843978</v>
      </c>
      <c r="J97" s="534">
        <f t="shared" si="11"/>
        <v>0.98015597187177661</v>
      </c>
      <c r="K97" s="538">
        <f t="shared" si="12"/>
        <v>128259.38080919179</v>
      </c>
      <c r="L97" s="539">
        <f t="shared" si="13"/>
        <v>0.98008688146888179</v>
      </c>
      <c r="M97" s="540">
        <f t="shared" si="14"/>
        <v>153028.25092727627</v>
      </c>
      <c r="N97" s="534">
        <f t="shared" si="15"/>
        <v>0.98157004050277652</v>
      </c>
      <c r="O97" s="523">
        <v>33</v>
      </c>
      <c r="P97" s="535">
        <v>3.2674000000000002E-2</v>
      </c>
      <c r="Q97" s="523">
        <v>0.86709999999999998</v>
      </c>
      <c r="R97" s="536">
        <v>4.5400000000000003E-2</v>
      </c>
      <c r="S97" s="523">
        <v>0.91249999999999998</v>
      </c>
      <c r="T97" s="535" t="str">
        <f t="shared" si="8"/>
        <v/>
      </c>
    </row>
    <row r="98" spans="7:20" x14ac:dyDescent="0.2">
      <c r="G98" s="538">
        <f t="shared" si="9"/>
        <v>129674.39503102977</v>
      </c>
      <c r="H98" s="539">
        <f t="shared" si="7"/>
        <v>0.98018245657861769</v>
      </c>
      <c r="I98" s="540">
        <f t="shared" si="10"/>
        <v>129280.03922843978</v>
      </c>
      <c r="J98" s="534">
        <f t="shared" si="11"/>
        <v>0.98015597187177661</v>
      </c>
      <c r="K98" s="538">
        <f t="shared" si="12"/>
        <v>128259.38080919179</v>
      </c>
      <c r="L98" s="539">
        <f t="shared" si="13"/>
        <v>0.98008688146888179</v>
      </c>
      <c r="M98" s="540">
        <f t="shared" si="14"/>
        <v>153028.25092727627</v>
      </c>
      <c r="N98" s="534">
        <f t="shared" si="15"/>
        <v>0.98157004050277652</v>
      </c>
      <c r="O98" s="523">
        <v>34</v>
      </c>
      <c r="P98" s="535">
        <v>3.4660000000000003E-2</v>
      </c>
      <c r="Q98" s="523">
        <v>0.87</v>
      </c>
      <c r="R98" s="536">
        <v>4.8300000000000003E-2</v>
      </c>
      <c r="S98" s="523">
        <v>0.91830000000000001</v>
      </c>
      <c r="T98" s="535" t="str">
        <f t="shared" si="8"/>
        <v/>
      </c>
    </row>
    <row r="99" spans="7:20" x14ac:dyDescent="0.2">
      <c r="G99" s="538">
        <f t="shared" si="9"/>
        <v>129674.39503102977</v>
      </c>
      <c r="H99" s="539">
        <f t="shared" si="7"/>
        <v>0.98018245657861769</v>
      </c>
      <c r="I99" s="540">
        <f t="shared" si="10"/>
        <v>129280.03922843978</v>
      </c>
      <c r="J99" s="534">
        <f t="shared" si="11"/>
        <v>0.98015597187177661</v>
      </c>
      <c r="K99" s="538">
        <f t="shared" si="12"/>
        <v>128259.38080919179</v>
      </c>
      <c r="L99" s="539">
        <f t="shared" si="13"/>
        <v>0.98008688146888179</v>
      </c>
      <c r="M99" s="540">
        <f t="shared" si="14"/>
        <v>153028.25092727627</v>
      </c>
      <c r="N99" s="534">
        <f t="shared" si="15"/>
        <v>0.98157004050277652</v>
      </c>
      <c r="O99" s="523">
        <v>35</v>
      </c>
      <c r="P99" s="535">
        <v>3.6755999999999997E-2</v>
      </c>
      <c r="Q99" s="523">
        <v>0.87280000000000002</v>
      </c>
      <c r="R99" s="536">
        <v>5.1400000000000001E-2</v>
      </c>
      <c r="S99" s="523">
        <v>0.92420000000000002</v>
      </c>
      <c r="T99" s="535" t="str">
        <f t="shared" si="8"/>
        <v/>
      </c>
    </row>
    <row r="100" spans="7:20" x14ac:dyDescent="0.2">
      <c r="G100" s="538">
        <f t="shared" si="9"/>
        <v>129674.39503102977</v>
      </c>
      <c r="H100" s="539">
        <f t="shared" si="7"/>
        <v>0.98018245657861769</v>
      </c>
      <c r="I100" s="540">
        <f t="shared" si="10"/>
        <v>129280.03922843978</v>
      </c>
      <c r="J100" s="534">
        <f t="shared" si="11"/>
        <v>0.98015597187177661</v>
      </c>
      <c r="K100" s="538">
        <f t="shared" si="12"/>
        <v>128259.38080919179</v>
      </c>
      <c r="L100" s="539">
        <f t="shared" si="13"/>
        <v>0.98008688146888179</v>
      </c>
      <c r="M100" s="540">
        <f t="shared" si="14"/>
        <v>153028.25092727627</v>
      </c>
      <c r="N100" s="534">
        <f t="shared" si="15"/>
        <v>0.98157004050277652</v>
      </c>
      <c r="O100" s="523">
        <v>36</v>
      </c>
      <c r="P100" s="535">
        <v>3.8970999999999999E-2</v>
      </c>
      <c r="Q100" s="523">
        <v>0.87560000000000004</v>
      </c>
      <c r="R100" s="536">
        <v>5.4600000000000003E-2</v>
      </c>
      <c r="S100" s="523">
        <v>0.93030000000000002</v>
      </c>
      <c r="T100" s="535" t="str">
        <f t="shared" si="8"/>
        <v/>
      </c>
    </row>
    <row r="101" spans="7:20" x14ac:dyDescent="0.2">
      <c r="G101" s="538">
        <f t="shared" si="9"/>
        <v>129674.39503102977</v>
      </c>
      <c r="H101" s="539">
        <f t="shared" si="7"/>
        <v>0.98018245657861769</v>
      </c>
      <c r="I101" s="540">
        <f t="shared" si="10"/>
        <v>129280.03922843978</v>
      </c>
      <c r="J101" s="534">
        <f t="shared" si="11"/>
        <v>0.98015597187177661</v>
      </c>
      <c r="K101" s="538">
        <f t="shared" si="12"/>
        <v>128259.38080919179</v>
      </c>
      <c r="L101" s="539">
        <f t="shared" si="13"/>
        <v>0.98008688146888179</v>
      </c>
      <c r="M101" s="540">
        <f t="shared" si="14"/>
        <v>153028.25092727627</v>
      </c>
      <c r="N101" s="534">
        <f t="shared" si="15"/>
        <v>0.98157004050277652</v>
      </c>
      <c r="O101" s="523">
        <v>37</v>
      </c>
      <c r="P101" s="535">
        <v>4.1308999999999998E-2</v>
      </c>
      <c r="Q101" s="523">
        <v>0.87849999999999995</v>
      </c>
      <c r="R101" s="536">
        <v>5.8099999999999999E-2</v>
      </c>
      <c r="S101" s="523">
        <v>0.93659999999999999</v>
      </c>
      <c r="T101" s="535" t="str">
        <f t="shared" si="8"/>
        <v/>
      </c>
    </row>
    <row r="102" spans="7:20" x14ac:dyDescent="0.2">
      <c r="G102" s="538">
        <f t="shared" si="9"/>
        <v>129674.39503102977</v>
      </c>
      <c r="H102" s="539">
        <f t="shared" si="7"/>
        <v>0.98018245657861769</v>
      </c>
      <c r="I102" s="540">
        <f t="shared" si="10"/>
        <v>129280.03922843978</v>
      </c>
      <c r="J102" s="534">
        <f t="shared" si="11"/>
        <v>0.98015597187177661</v>
      </c>
      <c r="K102" s="538">
        <f t="shared" si="12"/>
        <v>128259.38080919179</v>
      </c>
      <c r="L102" s="539">
        <f t="shared" si="13"/>
        <v>0.98008688146888179</v>
      </c>
      <c r="M102" s="540">
        <f t="shared" si="14"/>
        <v>153028.25092727627</v>
      </c>
      <c r="N102" s="534">
        <f t="shared" si="15"/>
        <v>0.98157004050277652</v>
      </c>
      <c r="O102" s="523">
        <v>38</v>
      </c>
      <c r="P102" s="535">
        <v>4.3777999999999997E-2</v>
      </c>
      <c r="Q102" s="523">
        <v>0.88129999999999997</v>
      </c>
      <c r="R102" s="536">
        <v>6.1800000000000001E-2</v>
      </c>
      <c r="S102" s="523">
        <v>0.94310000000000005</v>
      </c>
      <c r="T102" s="535" t="str">
        <f t="shared" si="8"/>
        <v/>
      </c>
    </row>
    <row r="103" spans="7:20" x14ac:dyDescent="0.2">
      <c r="G103" s="538">
        <f t="shared" si="9"/>
        <v>129674.39503102977</v>
      </c>
      <c r="H103" s="539">
        <f t="shared" si="7"/>
        <v>0.98018245657861769</v>
      </c>
      <c r="I103" s="540">
        <f t="shared" si="10"/>
        <v>129280.03922843978</v>
      </c>
      <c r="J103" s="534">
        <f t="shared" si="11"/>
        <v>0.98015597187177661</v>
      </c>
      <c r="K103" s="538">
        <f t="shared" si="12"/>
        <v>128259.38080919179</v>
      </c>
      <c r="L103" s="539">
        <f t="shared" si="13"/>
        <v>0.98008688146888179</v>
      </c>
      <c r="M103" s="540">
        <f t="shared" si="14"/>
        <v>153028.25092727627</v>
      </c>
      <c r="N103" s="534">
        <f t="shared" si="15"/>
        <v>0.98157004050277652</v>
      </c>
      <c r="O103" s="523">
        <v>39</v>
      </c>
      <c r="P103" s="535">
        <v>4.6385999999999997E-2</v>
      </c>
      <c r="Q103" s="523">
        <v>0.88419999999999999</v>
      </c>
      <c r="R103" s="536">
        <v>6.5699999999999995E-2</v>
      </c>
      <c r="S103" s="523">
        <v>0.94979999999999998</v>
      </c>
      <c r="T103" s="535" t="str">
        <f t="shared" si="8"/>
        <v/>
      </c>
    </row>
    <row r="104" spans="7:20" x14ac:dyDescent="0.2">
      <c r="G104" s="538">
        <f t="shared" si="9"/>
        <v>129674.39503102977</v>
      </c>
      <c r="H104" s="539">
        <f t="shared" si="7"/>
        <v>0.98018245657861769</v>
      </c>
      <c r="I104" s="540">
        <f t="shared" si="10"/>
        <v>129280.03922843978</v>
      </c>
      <c r="J104" s="534">
        <f t="shared" si="11"/>
        <v>0.98015597187177661</v>
      </c>
      <c r="K104" s="538">
        <f t="shared" si="12"/>
        <v>128259.38080919179</v>
      </c>
      <c r="L104" s="539">
        <f t="shared" si="13"/>
        <v>0.98008688146888179</v>
      </c>
      <c r="M104" s="540">
        <f t="shared" si="14"/>
        <v>153028.25092727627</v>
      </c>
      <c r="N104" s="534">
        <f t="shared" si="15"/>
        <v>0.98157004050277652</v>
      </c>
      <c r="O104" s="523">
        <v>40</v>
      </c>
      <c r="P104" s="535">
        <v>4.9140999999999997E-2</v>
      </c>
      <c r="Q104" s="523">
        <v>0.88700000000000001</v>
      </c>
      <c r="R104" s="536">
        <v>6.9800000000000001E-2</v>
      </c>
      <c r="S104" s="523">
        <v>0.95679999999999998</v>
      </c>
      <c r="T104" s="535" t="str">
        <f t="shared" si="8"/>
        <v/>
      </c>
    </row>
    <row r="105" spans="7:20" x14ac:dyDescent="0.2">
      <c r="G105" s="538">
        <f t="shared" si="9"/>
        <v>129674.39503102977</v>
      </c>
      <c r="H105" s="539">
        <f t="shared" si="7"/>
        <v>0.98018245657861769</v>
      </c>
      <c r="I105" s="540">
        <f t="shared" si="10"/>
        <v>129280.03922843978</v>
      </c>
      <c r="J105" s="534">
        <f t="shared" si="11"/>
        <v>0.98015597187177661</v>
      </c>
      <c r="K105" s="538">
        <f t="shared" si="12"/>
        <v>128259.38080919179</v>
      </c>
      <c r="L105" s="539">
        <f t="shared" si="13"/>
        <v>0.98008688146888179</v>
      </c>
      <c r="M105" s="540">
        <f t="shared" si="14"/>
        <v>153028.25092727627</v>
      </c>
      <c r="N105" s="534">
        <f t="shared" si="15"/>
        <v>0.98157004050277652</v>
      </c>
      <c r="O105" s="523">
        <v>41</v>
      </c>
      <c r="P105" s="535">
        <v>5.2048999999999998E-2</v>
      </c>
      <c r="Q105" s="523">
        <v>0.88980000000000004</v>
      </c>
      <c r="R105" s="536">
        <v>7.4099999999999999E-2</v>
      </c>
      <c r="S105" s="523">
        <v>0.96399999999999997</v>
      </c>
      <c r="T105" s="535" t="str">
        <f t="shared" si="8"/>
        <v/>
      </c>
    </row>
    <row r="106" spans="7:20" x14ac:dyDescent="0.2">
      <c r="G106" s="538">
        <f t="shared" si="9"/>
        <v>129674.39503102977</v>
      </c>
      <c r="H106" s="539">
        <f t="shared" si="7"/>
        <v>0.98018245657861769</v>
      </c>
      <c r="I106" s="540">
        <f t="shared" si="10"/>
        <v>129280.03922843978</v>
      </c>
      <c r="J106" s="534">
        <f t="shared" si="11"/>
        <v>0.98015597187177661</v>
      </c>
      <c r="K106" s="538">
        <f t="shared" si="12"/>
        <v>128259.38080919179</v>
      </c>
      <c r="L106" s="539">
        <f t="shared" si="13"/>
        <v>0.98008688146888179</v>
      </c>
      <c r="M106" s="540">
        <f t="shared" si="14"/>
        <v>153028.25092727627</v>
      </c>
      <c r="N106" s="534">
        <f t="shared" si="15"/>
        <v>0.98157004050277652</v>
      </c>
      <c r="O106" s="523">
        <v>42</v>
      </c>
      <c r="P106" s="535">
        <v>5.5119000000000001E-2</v>
      </c>
      <c r="Q106" s="523">
        <v>0.89270000000000005</v>
      </c>
      <c r="R106" s="536">
        <v>7.8799999999999995E-2</v>
      </c>
      <c r="S106" s="523">
        <v>0.97140000000000004</v>
      </c>
      <c r="T106" s="535" t="str">
        <f t="shared" si="8"/>
        <v/>
      </c>
    </row>
    <row r="107" spans="7:20" x14ac:dyDescent="0.2">
      <c r="G107" s="538">
        <f t="shared" si="9"/>
        <v>129674.39503102977</v>
      </c>
      <c r="H107" s="539">
        <f t="shared" si="7"/>
        <v>0.98018245657861769</v>
      </c>
      <c r="I107" s="540">
        <f t="shared" si="10"/>
        <v>129280.03922843978</v>
      </c>
      <c r="J107" s="534">
        <f t="shared" si="11"/>
        <v>0.98015597187177661</v>
      </c>
      <c r="K107" s="538">
        <f t="shared" si="12"/>
        <v>128259.38080919179</v>
      </c>
      <c r="L107" s="539">
        <f t="shared" si="13"/>
        <v>0.98008688146888179</v>
      </c>
      <c r="M107" s="540">
        <f t="shared" si="14"/>
        <v>153028.25092727627</v>
      </c>
      <c r="N107" s="534">
        <f t="shared" si="15"/>
        <v>0.98157004050277652</v>
      </c>
      <c r="O107" s="523">
        <v>43</v>
      </c>
      <c r="P107" s="535">
        <v>5.8365E-2</v>
      </c>
      <c r="Q107" s="523">
        <v>0.89549999999999996</v>
      </c>
      <c r="R107" s="536">
        <v>8.3699999999999997E-2</v>
      </c>
      <c r="S107" s="523">
        <v>0.97919999999999996</v>
      </c>
      <c r="T107" s="535" t="str">
        <f t="shared" si="8"/>
        <v/>
      </c>
    </row>
    <row r="108" spans="7:20" x14ac:dyDescent="0.2">
      <c r="G108" s="538">
        <f t="shared" si="9"/>
        <v>129674.39503102977</v>
      </c>
      <c r="H108" s="539">
        <f t="shared" si="7"/>
        <v>0.98018245657861769</v>
      </c>
      <c r="I108" s="540">
        <f t="shared" si="10"/>
        <v>129280.03922843978</v>
      </c>
      <c r="J108" s="534">
        <f t="shared" si="11"/>
        <v>0.98015597187177661</v>
      </c>
      <c r="K108" s="538">
        <f t="shared" si="12"/>
        <v>128259.38080919179</v>
      </c>
      <c r="L108" s="539">
        <f t="shared" si="13"/>
        <v>0.98008688146888179</v>
      </c>
      <c r="M108" s="540">
        <f t="shared" si="14"/>
        <v>153028.25092727627</v>
      </c>
      <c r="N108" s="534">
        <f t="shared" si="15"/>
        <v>0.98157004050277652</v>
      </c>
      <c r="O108" s="523">
        <v>44</v>
      </c>
      <c r="P108" s="535">
        <v>6.1790999999999999E-2</v>
      </c>
      <c r="Q108" s="523">
        <v>0.89829999999999999</v>
      </c>
      <c r="R108" s="536">
        <v>8.8800000000000004E-2</v>
      </c>
      <c r="S108" s="523">
        <v>0.98719999999999997</v>
      </c>
      <c r="T108" s="535" t="str">
        <f t="shared" si="8"/>
        <v/>
      </c>
    </row>
    <row r="109" spans="7:20" x14ac:dyDescent="0.2">
      <c r="G109" s="538">
        <f t="shared" si="9"/>
        <v>129674.39503102977</v>
      </c>
      <c r="H109" s="539">
        <f t="shared" si="7"/>
        <v>0.98018245657861769</v>
      </c>
      <c r="I109" s="540">
        <f t="shared" si="10"/>
        <v>129280.03922843978</v>
      </c>
      <c r="J109" s="534">
        <f t="shared" si="11"/>
        <v>0.98015597187177661</v>
      </c>
      <c r="K109" s="538">
        <f t="shared" si="12"/>
        <v>128259.38080919179</v>
      </c>
      <c r="L109" s="539">
        <f t="shared" si="13"/>
        <v>0.98008688146888179</v>
      </c>
      <c r="M109" s="540">
        <f t="shared" si="14"/>
        <v>153028.25092727627</v>
      </c>
      <c r="N109" s="534">
        <f t="shared" si="15"/>
        <v>0.98157004050277652</v>
      </c>
      <c r="O109" s="523">
        <v>45</v>
      </c>
      <c r="P109" s="535">
        <v>6.5410999999999997E-2</v>
      </c>
      <c r="Q109" s="523">
        <v>0.9012</v>
      </c>
      <c r="R109" s="536">
        <v>9.4299999999999995E-2</v>
      </c>
      <c r="S109" s="523">
        <v>0.99550000000000005</v>
      </c>
      <c r="T109" s="535" t="str">
        <f t="shared" si="8"/>
        <v/>
      </c>
    </row>
    <row r="110" spans="7:20" x14ac:dyDescent="0.2">
      <c r="G110" s="538">
        <f t="shared" si="9"/>
        <v>129674.39503102977</v>
      </c>
      <c r="H110" s="539">
        <f t="shared" si="7"/>
        <v>0.98018245657861769</v>
      </c>
      <c r="I110" s="540">
        <f t="shared" si="10"/>
        <v>129280.03922843978</v>
      </c>
      <c r="J110" s="534">
        <f t="shared" si="11"/>
        <v>0.98015597187177661</v>
      </c>
      <c r="K110" s="538">
        <f t="shared" si="12"/>
        <v>128259.38080919179</v>
      </c>
      <c r="L110" s="539">
        <f t="shared" si="13"/>
        <v>0.98008688146888179</v>
      </c>
      <c r="M110" s="540">
        <f t="shared" si="14"/>
        <v>153028.25092727627</v>
      </c>
      <c r="N110" s="534">
        <f t="shared" si="15"/>
        <v>0.98157004050277652</v>
      </c>
      <c r="O110" s="523">
        <v>46</v>
      </c>
      <c r="P110" s="535">
        <v>6.9238999999999995E-2</v>
      </c>
      <c r="Q110" s="523">
        <v>0.90400000000000003</v>
      </c>
      <c r="R110" s="536">
        <v>0.1002</v>
      </c>
      <c r="S110" s="523">
        <v>1.0042</v>
      </c>
      <c r="T110" s="535" t="str">
        <f t="shared" si="8"/>
        <v/>
      </c>
    </row>
    <row r="111" spans="7:20" x14ac:dyDescent="0.2">
      <c r="G111" s="538">
        <f t="shared" si="9"/>
        <v>129674.39503102977</v>
      </c>
      <c r="H111" s="539">
        <f t="shared" si="7"/>
        <v>0.98018245657861769</v>
      </c>
      <c r="I111" s="540">
        <f t="shared" si="10"/>
        <v>129280.03922843978</v>
      </c>
      <c r="J111" s="534">
        <f t="shared" si="11"/>
        <v>0.98015597187177661</v>
      </c>
      <c r="K111" s="538">
        <f t="shared" si="12"/>
        <v>128259.38080919179</v>
      </c>
      <c r="L111" s="539">
        <f t="shared" si="13"/>
        <v>0.98008688146888179</v>
      </c>
      <c r="M111" s="540">
        <f t="shared" si="14"/>
        <v>153028.25092727627</v>
      </c>
      <c r="N111" s="534">
        <f t="shared" si="15"/>
        <v>0.98157004050277652</v>
      </c>
      <c r="O111" s="523">
        <v>47</v>
      </c>
      <c r="P111" s="535">
        <v>7.3282E-2</v>
      </c>
      <c r="Q111" s="523">
        <v>0.90690000000000004</v>
      </c>
      <c r="R111" s="536">
        <v>0.10630000000000001</v>
      </c>
      <c r="S111" s="523">
        <v>1.0132000000000001</v>
      </c>
      <c r="T111" s="535" t="str">
        <f t="shared" si="8"/>
        <v/>
      </c>
    </row>
    <row r="112" spans="7:20" x14ac:dyDescent="0.2">
      <c r="G112" s="538">
        <f t="shared" si="9"/>
        <v>129674.39503102977</v>
      </c>
      <c r="H112" s="539">
        <f t="shared" si="7"/>
        <v>0.98018245657861769</v>
      </c>
      <c r="I112" s="540">
        <f t="shared" si="10"/>
        <v>129280.03922843978</v>
      </c>
      <c r="J112" s="534">
        <f t="shared" si="11"/>
        <v>0.98015597187177661</v>
      </c>
      <c r="K112" s="538">
        <f t="shared" si="12"/>
        <v>128259.38080919179</v>
      </c>
      <c r="L112" s="539">
        <f t="shared" si="13"/>
        <v>0.98008688146888179</v>
      </c>
      <c r="M112" s="540">
        <f t="shared" si="14"/>
        <v>153028.25092727627</v>
      </c>
      <c r="N112" s="534">
        <f t="shared" si="15"/>
        <v>0.98157004050277652</v>
      </c>
      <c r="O112" s="523">
        <v>48</v>
      </c>
      <c r="P112" s="535">
        <v>7.7556E-2</v>
      </c>
      <c r="Q112" s="523">
        <v>0.90969999999999995</v>
      </c>
      <c r="R112" s="536">
        <v>0.1129</v>
      </c>
      <c r="S112" s="523">
        <v>1.0226</v>
      </c>
      <c r="T112" s="535" t="str">
        <f t="shared" si="8"/>
        <v/>
      </c>
    </row>
    <row r="113" spans="7:20" x14ac:dyDescent="0.2">
      <c r="G113" s="538">
        <f t="shared" si="9"/>
        <v>129674.39503102977</v>
      </c>
      <c r="H113" s="539">
        <f t="shared" si="7"/>
        <v>0.98018245657861769</v>
      </c>
      <c r="I113" s="540">
        <f t="shared" si="10"/>
        <v>129280.03922843978</v>
      </c>
      <c r="J113" s="534">
        <f t="shared" si="11"/>
        <v>0.98015597187177661</v>
      </c>
      <c r="K113" s="538">
        <f t="shared" si="12"/>
        <v>128259.38080919179</v>
      </c>
      <c r="L113" s="539">
        <f t="shared" si="13"/>
        <v>0.98008688146888179</v>
      </c>
      <c r="M113" s="540">
        <f t="shared" si="14"/>
        <v>153028.25092727627</v>
      </c>
      <c r="N113" s="534">
        <f t="shared" si="15"/>
        <v>0.98157004050277652</v>
      </c>
      <c r="O113" s="523">
        <v>49</v>
      </c>
      <c r="P113" s="535">
        <v>8.2076999999999997E-2</v>
      </c>
      <c r="Q113" s="523">
        <v>0.91249999999999998</v>
      </c>
      <c r="R113" s="536">
        <v>0.1198</v>
      </c>
      <c r="S113" s="523">
        <v>1.0323</v>
      </c>
      <c r="T113" s="535" t="str">
        <f t="shared" si="8"/>
        <v/>
      </c>
    </row>
    <row r="114" spans="7:20" x14ac:dyDescent="0.2">
      <c r="G114" s="538">
        <f t="shared" si="9"/>
        <v>129674.39503102977</v>
      </c>
      <c r="H114" s="539">
        <f t="shared" si="7"/>
        <v>0.98018245657861769</v>
      </c>
      <c r="I114" s="540">
        <f t="shared" si="10"/>
        <v>129280.03922843978</v>
      </c>
      <c r="J114" s="534">
        <f t="shared" si="11"/>
        <v>0.98015597187177661</v>
      </c>
      <c r="K114" s="538">
        <f t="shared" si="12"/>
        <v>128259.38080919179</v>
      </c>
      <c r="L114" s="539">
        <f t="shared" si="13"/>
        <v>0.98008688146888179</v>
      </c>
      <c r="M114" s="540">
        <f t="shared" si="14"/>
        <v>153028.25092727627</v>
      </c>
      <c r="N114" s="534">
        <f t="shared" si="15"/>
        <v>0.98157004050277652</v>
      </c>
      <c r="O114" s="523">
        <v>50</v>
      </c>
      <c r="P114" s="535">
        <v>8.6858000000000005E-2</v>
      </c>
      <c r="Q114" s="523">
        <v>0.91539999999999999</v>
      </c>
      <c r="R114" s="536">
        <v>0.12720000000000001</v>
      </c>
      <c r="S114" s="523">
        <v>1.0425</v>
      </c>
      <c r="T114" s="535" t="str">
        <f t="shared" si="8"/>
        <v/>
      </c>
    </row>
    <row r="115" spans="7:20" x14ac:dyDescent="0.2">
      <c r="G115" s="538">
        <f t="shared" si="9"/>
        <v>129674.39503102977</v>
      </c>
      <c r="H115" s="539">
        <f t="shared" si="7"/>
        <v>0.98018245657861769</v>
      </c>
      <c r="I115" s="540">
        <f t="shared" si="10"/>
        <v>129280.03922843978</v>
      </c>
      <c r="J115" s="534">
        <f t="shared" si="11"/>
        <v>0.98015597187177661</v>
      </c>
      <c r="K115" s="538">
        <f t="shared" si="12"/>
        <v>128259.38080919179</v>
      </c>
      <c r="L115" s="539">
        <f t="shared" si="13"/>
        <v>0.98008688146888179</v>
      </c>
      <c r="M115" s="540">
        <f t="shared" si="14"/>
        <v>153028.25092727627</v>
      </c>
      <c r="N115" s="534">
        <f t="shared" si="15"/>
        <v>0.98157004050277652</v>
      </c>
      <c r="O115" s="523">
        <v>51</v>
      </c>
      <c r="P115" s="535">
        <v>9.1918E-2</v>
      </c>
      <c r="Q115" s="523">
        <v>0.91820000000000002</v>
      </c>
      <c r="R115" s="536">
        <v>0.13500000000000001</v>
      </c>
      <c r="S115" s="523">
        <v>1.0531999999999999</v>
      </c>
      <c r="T115" s="535" t="str">
        <f t="shared" si="8"/>
        <v/>
      </c>
    </row>
    <row r="116" spans="7:20" x14ac:dyDescent="0.2">
      <c r="G116" s="538">
        <f t="shared" si="9"/>
        <v>129674.39503102977</v>
      </c>
      <c r="H116" s="539">
        <f t="shared" si="7"/>
        <v>0.98018245657861769</v>
      </c>
      <c r="I116" s="540">
        <f t="shared" si="10"/>
        <v>129280.03922843978</v>
      </c>
      <c r="J116" s="534">
        <f t="shared" si="11"/>
        <v>0.98015597187177661</v>
      </c>
      <c r="K116" s="538">
        <f t="shared" si="12"/>
        <v>128259.38080919179</v>
      </c>
      <c r="L116" s="539">
        <f t="shared" si="13"/>
        <v>0.98008688146888179</v>
      </c>
      <c r="M116" s="540">
        <f t="shared" si="14"/>
        <v>153028.25092727627</v>
      </c>
      <c r="N116" s="534">
        <f t="shared" si="15"/>
        <v>0.98157004050277652</v>
      </c>
      <c r="O116" s="523">
        <v>52</v>
      </c>
      <c r="P116" s="535">
        <v>9.7271999999999997E-2</v>
      </c>
      <c r="Q116" s="523">
        <v>0.92110000000000003</v>
      </c>
      <c r="R116" s="536">
        <v>0.14330000000000001</v>
      </c>
      <c r="S116" s="523">
        <v>1.0643</v>
      </c>
      <c r="T116" s="535" t="str">
        <f t="shared" si="8"/>
        <v/>
      </c>
    </row>
    <row r="117" spans="7:20" x14ac:dyDescent="0.2">
      <c r="G117" s="538">
        <f t="shared" si="9"/>
        <v>129674.39503102977</v>
      </c>
      <c r="H117" s="539">
        <f t="shared" si="7"/>
        <v>0.98018245657861769</v>
      </c>
      <c r="I117" s="540">
        <f t="shared" si="10"/>
        <v>129280.03922843978</v>
      </c>
      <c r="J117" s="534">
        <f t="shared" si="11"/>
        <v>0.98015597187177661</v>
      </c>
      <c r="K117" s="538">
        <f t="shared" si="12"/>
        <v>128259.38080919179</v>
      </c>
      <c r="L117" s="539">
        <f t="shared" si="13"/>
        <v>0.98008688146888179</v>
      </c>
      <c r="M117" s="540">
        <f t="shared" si="14"/>
        <v>153028.25092727627</v>
      </c>
      <c r="N117" s="534">
        <f t="shared" si="15"/>
        <v>0.98157004050277652</v>
      </c>
      <c r="O117" s="523">
        <v>53</v>
      </c>
      <c r="P117" s="535">
        <v>0.102948</v>
      </c>
      <c r="Q117" s="523">
        <v>0.92390000000000005</v>
      </c>
      <c r="R117" s="536">
        <v>0.15210000000000001</v>
      </c>
      <c r="S117" s="523">
        <v>1.0760000000000001</v>
      </c>
      <c r="T117" s="535" t="str">
        <f t="shared" si="8"/>
        <v/>
      </c>
    </row>
    <row r="118" spans="7:20" x14ac:dyDescent="0.2">
      <c r="G118" s="538">
        <f t="shared" si="9"/>
        <v>129674.39503102977</v>
      </c>
      <c r="H118" s="539">
        <f t="shared" si="7"/>
        <v>0.98018245657861769</v>
      </c>
      <c r="I118" s="540">
        <f t="shared" si="10"/>
        <v>129280.03922843978</v>
      </c>
      <c r="J118" s="534">
        <f t="shared" si="11"/>
        <v>0.98015597187177661</v>
      </c>
      <c r="K118" s="538">
        <f t="shared" si="12"/>
        <v>128259.38080919179</v>
      </c>
      <c r="L118" s="539">
        <f t="shared" si="13"/>
        <v>0.98008688146888179</v>
      </c>
      <c r="M118" s="540">
        <f t="shared" si="14"/>
        <v>153028.25092727627</v>
      </c>
      <c r="N118" s="534">
        <f t="shared" si="15"/>
        <v>0.98157004050277652</v>
      </c>
      <c r="O118" s="523">
        <v>54</v>
      </c>
      <c r="P118" s="535">
        <v>0.108954</v>
      </c>
      <c r="Q118" s="523">
        <v>0.92669999999999997</v>
      </c>
      <c r="R118" s="536">
        <v>0.16139999999999999</v>
      </c>
      <c r="S118" s="523">
        <v>1.0882000000000001</v>
      </c>
      <c r="T118" s="535" t="str">
        <f t="shared" si="8"/>
        <v/>
      </c>
    </row>
    <row r="119" spans="7:20" x14ac:dyDescent="0.2">
      <c r="G119" s="538">
        <f t="shared" si="9"/>
        <v>129674.39503102977</v>
      </c>
      <c r="H119" s="539">
        <f t="shared" si="7"/>
        <v>0.98018245657861769</v>
      </c>
      <c r="I119" s="540">
        <f t="shared" si="10"/>
        <v>129280.03922843978</v>
      </c>
      <c r="J119" s="534">
        <f t="shared" si="11"/>
        <v>0.98015597187177661</v>
      </c>
      <c r="K119" s="538">
        <f t="shared" si="12"/>
        <v>128259.38080919179</v>
      </c>
      <c r="L119" s="539">
        <f t="shared" si="13"/>
        <v>0.98008688146888179</v>
      </c>
      <c r="M119" s="540">
        <f t="shared" si="14"/>
        <v>153028.25092727627</v>
      </c>
      <c r="N119" s="534">
        <f t="shared" si="15"/>
        <v>0.98157004050277652</v>
      </c>
      <c r="O119" s="523">
        <v>55</v>
      </c>
      <c r="P119" s="535">
        <v>0.11532100000000001</v>
      </c>
      <c r="Q119" s="523">
        <v>0.92959999999999998</v>
      </c>
      <c r="R119" s="536">
        <v>0.17130000000000001</v>
      </c>
      <c r="S119" s="523">
        <v>1.1009</v>
      </c>
      <c r="T119" s="535" t="str">
        <f t="shared" si="8"/>
        <v/>
      </c>
    </row>
    <row r="120" spans="7:20" x14ac:dyDescent="0.2">
      <c r="G120" s="538">
        <f t="shared" si="9"/>
        <v>129674.39503102977</v>
      </c>
      <c r="H120" s="539">
        <f t="shared" si="7"/>
        <v>0.98018245657861769</v>
      </c>
      <c r="I120" s="540">
        <f t="shared" si="10"/>
        <v>129280.03922843978</v>
      </c>
      <c r="J120" s="534">
        <f t="shared" si="11"/>
        <v>0.98015597187177661</v>
      </c>
      <c r="K120" s="538">
        <f t="shared" si="12"/>
        <v>128259.38080919179</v>
      </c>
      <c r="L120" s="539">
        <f t="shared" si="13"/>
        <v>0.98008688146888179</v>
      </c>
      <c r="M120" s="540">
        <f t="shared" si="14"/>
        <v>153028.25092727627</v>
      </c>
      <c r="N120" s="534">
        <f t="shared" si="15"/>
        <v>0.98157004050277652</v>
      </c>
      <c r="O120" s="523">
        <v>56</v>
      </c>
      <c r="P120" s="535">
        <v>0.122077</v>
      </c>
      <c r="Q120" s="523">
        <v>0.93240000000000001</v>
      </c>
      <c r="R120" s="536">
        <v>0.18190000000000001</v>
      </c>
      <c r="S120" s="523">
        <v>1.1143000000000001</v>
      </c>
      <c r="T120" s="535" t="str">
        <f t="shared" si="8"/>
        <v/>
      </c>
    </row>
    <row r="121" spans="7:20" x14ac:dyDescent="0.2">
      <c r="G121" s="538">
        <f t="shared" si="9"/>
        <v>129674.39503102977</v>
      </c>
      <c r="H121" s="539">
        <f t="shared" si="7"/>
        <v>0.98018245657861769</v>
      </c>
      <c r="I121" s="540">
        <f t="shared" si="10"/>
        <v>129280.03922843978</v>
      </c>
      <c r="J121" s="534">
        <f t="shared" si="11"/>
        <v>0.98015597187177661</v>
      </c>
      <c r="K121" s="538">
        <f t="shared" si="12"/>
        <v>128259.38080919179</v>
      </c>
      <c r="L121" s="539">
        <f t="shared" si="13"/>
        <v>0.98008688146888179</v>
      </c>
      <c r="M121" s="540">
        <f t="shared" si="14"/>
        <v>153028.25092727627</v>
      </c>
      <c r="N121" s="534">
        <f t="shared" si="15"/>
        <v>0.98157004050277652</v>
      </c>
      <c r="O121" s="523">
        <v>57</v>
      </c>
      <c r="P121" s="535">
        <v>0.129243</v>
      </c>
      <c r="Q121" s="523">
        <v>0.93530000000000002</v>
      </c>
      <c r="R121" s="536">
        <v>0.19320000000000001</v>
      </c>
      <c r="S121" s="523">
        <v>1.1284000000000001</v>
      </c>
      <c r="T121" s="535" t="str">
        <f t="shared" si="8"/>
        <v/>
      </c>
    </row>
    <row r="122" spans="7:20" x14ac:dyDescent="0.2">
      <c r="G122" s="538">
        <f t="shared" si="9"/>
        <v>129674.39503102977</v>
      </c>
      <c r="H122" s="539">
        <f t="shared" si="7"/>
        <v>0.98018245657861769</v>
      </c>
      <c r="I122" s="540">
        <f t="shared" si="10"/>
        <v>129280.03922843978</v>
      </c>
      <c r="J122" s="534">
        <f t="shared" si="11"/>
        <v>0.98015597187177661</v>
      </c>
      <c r="K122" s="538">
        <f t="shared" si="12"/>
        <v>128259.38080919179</v>
      </c>
      <c r="L122" s="539">
        <f t="shared" si="13"/>
        <v>0.98008688146888179</v>
      </c>
      <c r="M122" s="540">
        <f t="shared" si="14"/>
        <v>153028.25092727627</v>
      </c>
      <c r="N122" s="534">
        <f t="shared" si="15"/>
        <v>0.98157004050277652</v>
      </c>
      <c r="O122" s="523">
        <v>58</v>
      </c>
      <c r="P122" s="535">
        <v>0.136851</v>
      </c>
      <c r="Q122" s="523">
        <v>0.93810000000000004</v>
      </c>
      <c r="R122" s="536">
        <v>0.2051</v>
      </c>
      <c r="S122" s="523">
        <v>1.1432</v>
      </c>
      <c r="T122" s="535" t="str">
        <f t="shared" si="8"/>
        <v/>
      </c>
    </row>
    <row r="123" spans="7:20" x14ac:dyDescent="0.2">
      <c r="G123" s="538">
        <f t="shared" si="9"/>
        <v>129674.39503102977</v>
      </c>
      <c r="H123" s="539">
        <f t="shared" si="7"/>
        <v>0.98018245657861769</v>
      </c>
      <c r="I123" s="540">
        <f t="shared" si="10"/>
        <v>129280.03922843978</v>
      </c>
      <c r="J123" s="534">
        <f t="shared" si="11"/>
        <v>0.98015597187177661</v>
      </c>
      <c r="K123" s="538">
        <f t="shared" si="12"/>
        <v>128259.38080919179</v>
      </c>
      <c r="L123" s="539">
        <f t="shared" si="13"/>
        <v>0.98008688146888179</v>
      </c>
      <c r="M123" s="540">
        <f t="shared" si="14"/>
        <v>153028.25092727627</v>
      </c>
      <c r="N123" s="534">
        <f t="shared" si="15"/>
        <v>0.98157004050277652</v>
      </c>
      <c r="O123" s="523">
        <v>59</v>
      </c>
      <c r="P123" s="535">
        <v>0.14494199999999999</v>
      </c>
      <c r="Q123" s="523">
        <v>0.94089999999999996</v>
      </c>
      <c r="R123" s="536">
        <v>0.21790000000000001</v>
      </c>
      <c r="S123" s="523">
        <v>1.1588000000000001</v>
      </c>
      <c r="T123" s="535" t="str">
        <f t="shared" si="8"/>
        <v/>
      </c>
    </row>
    <row r="124" spans="7:20" x14ac:dyDescent="0.2">
      <c r="G124" s="538">
        <f t="shared" si="9"/>
        <v>129674.39503102977</v>
      </c>
      <c r="H124" s="539">
        <f t="shared" si="7"/>
        <v>0.98018245657861769</v>
      </c>
      <c r="I124" s="540">
        <f t="shared" si="10"/>
        <v>129280.03922843978</v>
      </c>
      <c r="J124" s="534">
        <f t="shared" si="11"/>
        <v>0.98015597187177661</v>
      </c>
      <c r="K124" s="538">
        <f t="shared" si="12"/>
        <v>128259.38080919179</v>
      </c>
      <c r="L124" s="539">
        <f t="shared" si="13"/>
        <v>0.98008688146888179</v>
      </c>
      <c r="M124" s="540">
        <f t="shared" si="14"/>
        <v>153028.25092727627</v>
      </c>
      <c r="N124" s="534">
        <f t="shared" si="15"/>
        <v>0.98157004050277652</v>
      </c>
      <c r="O124" s="523">
        <v>60</v>
      </c>
      <c r="P124" s="535">
        <v>0.15354000000000001</v>
      </c>
      <c r="Q124" s="523">
        <v>0.94379999999999997</v>
      </c>
      <c r="R124" s="536">
        <v>0.23150000000000001</v>
      </c>
      <c r="S124" s="523">
        <v>1.1752</v>
      </c>
      <c r="T124" s="535" t="str">
        <f t="shared" si="8"/>
        <v/>
      </c>
    </row>
    <row r="125" spans="7:20" x14ac:dyDescent="0.2">
      <c r="G125" s="538">
        <f t="shared" si="9"/>
        <v>129674.39503102977</v>
      </c>
      <c r="H125" s="539">
        <f t="shared" si="7"/>
        <v>0.98018245657861769</v>
      </c>
      <c r="I125" s="540">
        <f t="shared" si="10"/>
        <v>129280.03922843978</v>
      </c>
      <c r="J125" s="534">
        <f t="shared" si="11"/>
        <v>0.98015597187177661</v>
      </c>
      <c r="K125" s="538">
        <f t="shared" si="12"/>
        <v>128259.38080919179</v>
      </c>
      <c r="L125" s="539">
        <f t="shared" si="13"/>
        <v>0.98008688146888179</v>
      </c>
      <c r="M125" s="540">
        <f t="shared" si="14"/>
        <v>153028.25092727627</v>
      </c>
      <c r="N125" s="534">
        <f t="shared" si="15"/>
        <v>0.98157004050277652</v>
      </c>
      <c r="O125" s="523">
        <v>61</v>
      </c>
      <c r="P125" s="535">
        <v>0.16269</v>
      </c>
      <c r="Q125" s="523">
        <v>0.9466</v>
      </c>
      <c r="R125" s="536">
        <v>0.246</v>
      </c>
      <c r="S125" s="523">
        <v>1.1926000000000001</v>
      </c>
      <c r="T125" s="535" t="str">
        <f t="shared" si="8"/>
        <v/>
      </c>
    </row>
    <row r="126" spans="7:20" x14ac:dyDescent="0.2">
      <c r="G126" s="538">
        <f t="shared" si="9"/>
        <v>129674.39503102977</v>
      </c>
      <c r="H126" s="539">
        <f t="shared" si="7"/>
        <v>0.98018245657861769</v>
      </c>
      <c r="I126" s="540">
        <f t="shared" si="10"/>
        <v>129280.03922843978</v>
      </c>
      <c r="J126" s="534">
        <f t="shared" si="11"/>
        <v>0.98015597187177661</v>
      </c>
      <c r="K126" s="538">
        <f t="shared" si="12"/>
        <v>128259.38080919179</v>
      </c>
      <c r="L126" s="539">
        <f t="shared" si="13"/>
        <v>0.98008688146888179</v>
      </c>
      <c r="M126" s="540">
        <f t="shared" si="14"/>
        <v>153028.25092727627</v>
      </c>
      <c r="N126" s="534">
        <f t="shared" si="15"/>
        <v>0.98157004050277652</v>
      </c>
      <c r="O126" s="523">
        <v>62</v>
      </c>
      <c r="P126" s="535">
        <v>0.17244000000000001</v>
      </c>
      <c r="Q126" s="523">
        <v>0.94940000000000002</v>
      </c>
      <c r="R126" s="536">
        <v>0.26140000000000002</v>
      </c>
      <c r="S126" s="523">
        <v>1.2109000000000001</v>
      </c>
      <c r="T126" s="535" t="str">
        <f t="shared" si="8"/>
        <v/>
      </c>
    </row>
    <row r="127" spans="7:20" x14ac:dyDescent="0.2">
      <c r="G127" s="538">
        <f t="shared" si="9"/>
        <v>129674.39503102977</v>
      </c>
      <c r="H127" s="539">
        <f t="shared" si="7"/>
        <v>0.98018245657861769</v>
      </c>
      <c r="I127" s="540">
        <f t="shared" si="10"/>
        <v>129280.03922843978</v>
      </c>
      <c r="J127" s="534">
        <f t="shared" si="11"/>
        <v>0.98015597187177661</v>
      </c>
      <c r="K127" s="538">
        <f t="shared" si="12"/>
        <v>128259.38080919179</v>
      </c>
      <c r="L127" s="539">
        <f t="shared" si="13"/>
        <v>0.98008688146888179</v>
      </c>
      <c r="M127" s="540">
        <f t="shared" si="14"/>
        <v>153028.25092727627</v>
      </c>
      <c r="N127" s="534">
        <f t="shared" si="15"/>
        <v>0.98157004050277652</v>
      </c>
      <c r="O127" s="523">
        <v>63</v>
      </c>
      <c r="P127" s="535">
        <v>0.18284</v>
      </c>
      <c r="Q127" s="523">
        <v>0.95230000000000004</v>
      </c>
      <c r="R127" s="536">
        <v>0.27800000000000002</v>
      </c>
      <c r="S127" s="523">
        <v>1.2302999999999999</v>
      </c>
      <c r="T127" s="535" t="str">
        <f t="shared" si="8"/>
        <v/>
      </c>
    </row>
    <row r="128" spans="7:20" x14ac:dyDescent="0.2">
      <c r="G128" s="538">
        <f t="shared" si="9"/>
        <v>129674.39503102977</v>
      </c>
      <c r="H128" s="539">
        <f t="shared" si="7"/>
        <v>0.98018245657861769</v>
      </c>
      <c r="I128" s="540">
        <f t="shared" si="10"/>
        <v>129280.03922843978</v>
      </c>
      <c r="J128" s="534">
        <f t="shared" si="11"/>
        <v>0.98015597187177661</v>
      </c>
      <c r="K128" s="538">
        <f t="shared" si="12"/>
        <v>128259.38080919179</v>
      </c>
      <c r="L128" s="539">
        <f t="shared" si="13"/>
        <v>0.98008688146888179</v>
      </c>
      <c r="M128" s="540">
        <f t="shared" si="14"/>
        <v>153028.25092727627</v>
      </c>
      <c r="N128" s="534">
        <f t="shared" si="15"/>
        <v>0.98157004050277652</v>
      </c>
      <c r="O128" s="523">
        <v>64</v>
      </c>
      <c r="P128" s="535">
        <v>0.19392999999999999</v>
      </c>
      <c r="Q128" s="523">
        <v>0.95509999999999995</v>
      </c>
      <c r="R128" s="536">
        <v>0.29570000000000002</v>
      </c>
      <c r="S128" s="523">
        <v>1.2507999999999999</v>
      </c>
      <c r="T128" s="535" t="str">
        <f t="shared" si="8"/>
        <v/>
      </c>
    </row>
    <row r="129" spans="7:20" x14ac:dyDescent="0.2">
      <c r="G129" s="538">
        <f t="shared" si="9"/>
        <v>129674.39503102977</v>
      </c>
      <c r="H129" s="539">
        <f t="shared" si="7"/>
        <v>0.98018245657861769</v>
      </c>
      <c r="I129" s="540">
        <f t="shared" si="10"/>
        <v>129280.03922843978</v>
      </c>
      <c r="J129" s="534">
        <f t="shared" si="11"/>
        <v>0.98015597187177661</v>
      </c>
      <c r="K129" s="538">
        <f t="shared" si="12"/>
        <v>128259.38080919179</v>
      </c>
      <c r="L129" s="539">
        <f t="shared" si="13"/>
        <v>0.98008688146888179</v>
      </c>
      <c r="M129" s="540">
        <f t="shared" si="14"/>
        <v>153028.25092727627</v>
      </c>
      <c r="N129" s="534">
        <f t="shared" si="15"/>
        <v>0.98157004050277652</v>
      </c>
      <c r="O129" s="523">
        <v>65</v>
      </c>
      <c r="P129" s="535">
        <v>0.20579</v>
      </c>
      <c r="Q129" s="523">
        <v>0.95799999999999996</v>
      </c>
      <c r="R129" s="536">
        <v>0.31469999999999998</v>
      </c>
      <c r="S129" s="523">
        <v>1.2726</v>
      </c>
      <c r="T129" s="535" t="str">
        <f t="shared" si="8"/>
        <v/>
      </c>
    </row>
    <row r="130" spans="7:20" x14ac:dyDescent="0.2">
      <c r="G130" s="538">
        <f t="shared" si="9"/>
        <v>129674.39503102977</v>
      </c>
      <c r="H130" s="539">
        <f t="shared" si="7"/>
        <v>0.98018245657861769</v>
      </c>
      <c r="I130" s="540">
        <f t="shared" si="10"/>
        <v>129280.03922843978</v>
      </c>
      <c r="J130" s="534">
        <f t="shared" si="11"/>
        <v>0.98015597187177661</v>
      </c>
      <c r="K130" s="538">
        <f t="shared" si="12"/>
        <v>128259.38080919179</v>
      </c>
      <c r="L130" s="539">
        <f t="shared" si="13"/>
        <v>0.98008688146888179</v>
      </c>
      <c r="M130" s="540">
        <f t="shared" si="14"/>
        <v>153028.25092727627</v>
      </c>
      <c r="N130" s="534">
        <f t="shared" si="15"/>
        <v>0.98157004050277652</v>
      </c>
      <c r="O130" s="523">
        <v>66</v>
      </c>
      <c r="P130" s="535">
        <v>0.21848000000000001</v>
      </c>
      <c r="Q130" s="523">
        <v>0.96079999999999999</v>
      </c>
      <c r="R130" s="536">
        <v>0.33500000000000002</v>
      </c>
      <c r="S130" s="523">
        <v>1.2958000000000001</v>
      </c>
      <c r="T130" s="535" t="str">
        <f t="shared" si="8"/>
        <v/>
      </c>
    </row>
    <row r="131" spans="7:20" x14ac:dyDescent="0.2">
      <c r="G131" s="538">
        <f t="shared" si="9"/>
        <v>129674.39503102977</v>
      </c>
      <c r="H131" s="539">
        <f t="shared" ref="H131:H194" si="16">0.9986-(7.006/SQRT(G131))+134.6/G131</f>
        <v>0.98018245657861769</v>
      </c>
      <c r="I131" s="540">
        <f t="shared" si="10"/>
        <v>129280.03922843978</v>
      </c>
      <c r="J131" s="534">
        <f t="shared" si="11"/>
        <v>0.98015597187177661</v>
      </c>
      <c r="K131" s="538">
        <f t="shared" si="12"/>
        <v>128259.38080919179</v>
      </c>
      <c r="L131" s="539">
        <f t="shared" si="13"/>
        <v>0.98008688146888179</v>
      </c>
      <c r="M131" s="540">
        <f t="shared" si="14"/>
        <v>153028.25092727627</v>
      </c>
      <c r="N131" s="534">
        <f t="shared" si="15"/>
        <v>0.98157004050277652</v>
      </c>
      <c r="O131" s="523">
        <v>67</v>
      </c>
      <c r="P131" s="535">
        <v>0.23207</v>
      </c>
      <c r="Q131" s="523">
        <v>0.96360000000000001</v>
      </c>
      <c r="R131" s="536">
        <v>0.35680000000000001</v>
      </c>
      <c r="S131" s="523">
        <v>1.3204</v>
      </c>
      <c r="T131" s="535" t="str">
        <f t="shared" ref="T131:T154" si="17">IF(AND($C$1&gt;O131,$C$1&lt;=O132),($C$1-O131)/(O132-O131)*(P132-P131)+P131,"")</f>
        <v/>
      </c>
    </row>
    <row r="132" spans="7:20" x14ac:dyDescent="0.2">
      <c r="G132" s="538">
        <f t="shared" ref="G132:G195" si="18">($C$6/(1000*$C$12*$C$16))*(H131*SQRT(2*$C$5*100*$C$16))</f>
        <v>129674.39503102977</v>
      </c>
      <c r="H132" s="539">
        <f t="shared" si="16"/>
        <v>0.98018245657861769</v>
      </c>
      <c r="I132" s="540">
        <f t="shared" ref="I132:I195" si="19">($C$7/(1000*$C$12*$C$16))*(J131*SQRT(2*$C$5*100*$C$16))</f>
        <v>129280.03922843978</v>
      </c>
      <c r="J132" s="534">
        <f t="shared" ref="J132:J195" si="20">0.9986-(7.006/SQRT(I132))+134.6/I132</f>
        <v>0.98015597187177661</v>
      </c>
      <c r="K132" s="538">
        <f t="shared" ref="K132:K195" si="21">($C$8/(1000*$C$12*$C$16))*(L131*SQRT(2*$C$5*100*$C$16))</f>
        <v>128259.38080919179</v>
      </c>
      <c r="L132" s="539">
        <f t="shared" ref="L132:L195" si="22">0.9986-(7.006/SQRT(K132))+134.6/K132</f>
        <v>0.98008688146888179</v>
      </c>
      <c r="M132" s="540">
        <f t="shared" ref="M132:M195" si="23">($C$9/(1000*$C$12*$C$16))*(N131*SQRT(2*$C$5*100*$C$16))</f>
        <v>153028.25092727627</v>
      </c>
      <c r="N132" s="534">
        <f t="shared" ref="N132:N195" si="24">0.9986-(7.006/SQRT(M132))+134.6/M132</f>
        <v>0.98157004050277652</v>
      </c>
      <c r="O132" s="523">
        <v>68</v>
      </c>
      <c r="P132" s="535">
        <v>0.24664</v>
      </c>
      <c r="Q132" s="523">
        <v>0.96650000000000003</v>
      </c>
      <c r="R132" s="536">
        <v>0.38030000000000003</v>
      </c>
      <c r="S132" s="523">
        <v>1.3467</v>
      </c>
      <c r="T132" s="535" t="str">
        <f t="shared" si="17"/>
        <v/>
      </c>
    </row>
    <row r="133" spans="7:20" x14ac:dyDescent="0.2">
      <c r="G133" s="538">
        <f t="shared" si="18"/>
        <v>129674.39503102977</v>
      </c>
      <c r="H133" s="539">
        <f t="shared" si="16"/>
        <v>0.98018245657861769</v>
      </c>
      <c r="I133" s="540">
        <f t="shared" si="19"/>
        <v>129280.03922843978</v>
      </c>
      <c r="J133" s="534">
        <f t="shared" si="20"/>
        <v>0.98015597187177661</v>
      </c>
      <c r="K133" s="538">
        <f t="shared" si="21"/>
        <v>128259.38080919179</v>
      </c>
      <c r="L133" s="539">
        <f t="shared" si="22"/>
        <v>0.98008688146888179</v>
      </c>
      <c r="M133" s="540">
        <f t="shared" si="23"/>
        <v>153028.25092727627</v>
      </c>
      <c r="N133" s="534">
        <f t="shared" si="24"/>
        <v>0.98157004050277652</v>
      </c>
      <c r="O133" s="523">
        <v>69</v>
      </c>
      <c r="P133" s="535">
        <v>0.26230999999999999</v>
      </c>
      <c r="Q133" s="523">
        <v>0.96930000000000005</v>
      </c>
      <c r="R133" s="536">
        <v>0.40550000000000003</v>
      </c>
      <c r="S133" s="523">
        <v>1.3749</v>
      </c>
      <c r="T133" s="535" t="str">
        <f t="shared" si="17"/>
        <v/>
      </c>
    </row>
    <row r="134" spans="7:20" x14ac:dyDescent="0.2">
      <c r="G134" s="538">
        <f t="shared" si="18"/>
        <v>129674.39503102977</v>
      </c>
      <c r="H134" s="539">
        <f t="shared" si="16"/>
        <v>0.98018245657861769</v>
      </c>
      <c r="I134" s="540">
        <f t="shared" si="19"/>
        <v>129280.03922843978</v>
      </c>
      <c r="J134" s="534">
        <f t="shared" si="20"/>
        <v>0.98015597187177661</v>
      </c>
      <c r="K134" s="538">
        <f t="shared" si="21"/>
        <v>128259.38080919179</v>
      </c>
      <c r="L134" s="539">
        <f t="shared" si="22"/>
        <v>0.98008688146888179</v>
      </c>
      <c r="M134" s="540">
        <f t="shared" si="23"/>
        <v>153028.25092727627</v>
      </c>
      <c r="N134" s="534">
        <f t="shared" si="24"/>
        <v>0.98157004050277652</v>
      </c>
      <c r="O134" s="523">
        <v>70</v>
      </c>
      <c r="P134" s="535">
        <v>0.27916000000000002</v>
      </c>
      <c r="Q134" s="523">
        <v>0.97209999999999996</v>
      </c>
      <c r="R134" s="536">
        <v>0.43280000000000002</v>
      </c>
      <c r="S134" s="523">
        <v>1.4049</v>
      </c>
      <c r="T134" s="535" t="str">
        <f t="shared" si="17"/>
        <v/>
      </c>
    </row>
    <row r="135" spans="7:20" x14ac:dyDescent="0.2">
      <c r="G135" s="538">
        <f t="shared" si="18"/>
        <v>129674.39503102977</v>
      </c>
      <c r="H135" s="539">
        <f t="shared" si="16"/>
        <v>0.98018245657861769</v>
      </c>
      <c r="I135" s="540">
        <f t="shared" si="19"/>
        <v>129280.03922843978</v>
      </c>
      <c r="J135" s="534">
        <f t="shared" si="20"/>
        <v>0.98015597187177661</v>
      </c>
      <c r="K135" s="538">
        <f t="shared" si="21"/>
        <v>128259.38080919179</v>
      </c>
      <c r="L135" s="539">
        <f t="shared" si="22"/>
        <v>0.98008688146888179</v>
      </c>
      <c r="M135" s="540">
        <f t="shared" si="23"/>
        <v>153028.25092727627</v>
      </c>
      <c r="N135" s="534">
        <f t="shared" si="24"/>
        <v>0.98157004050277652</v>
      </c>
      <c r="O135" s="523">
        <v>71</v>
      </c>
      <c r="P135" s="535">
        <v>0.29733999999999999</v>
      </c>
      <c r="Q135" s="523">
        <v>0.97499999999999998</v>
      </c>
      <c r="R135" s="536">
        <v>0.4622</v>
      </c>
      <c r="S135" s="523">
        <v>1.4372</v>
      </c>
      <c r="T135" s="535" t="str">
        <f t="shared" si="17"/>
        <v/>
      </c>
    </row>
    <row r="136" spans="7:20" x14ac:dyDescent="0.2">
      <c r="G136" s="538">
        <f t="shared" si="18"/>
        <v>129674.39503102977</v>
      </c>
      <c r="H136" s="539">
        <f t="shared" si="16"/>
        <v>0.98018245657861769</v>
      </c>
      <c r="I136" s="540">
        <f t="shared" si="19"/>
        <v>129280.03922843978</v>
      </c>
      <c r="J136" s="534">
        <f t="shared" si="20"/>
        <v>0.98015597187177661</v>
      </c>
      <c r="K136" s="538">
        <f t="shared" si="21"/>
        <v>128259.38080919179</v>
      </c>
      <c r="L136" s="539">
        <f t="shared" si="22"/>
        <v>0.98008688146888179</v>
      </c>
      <c r="M136" s="540">
        <f t="shared" si="23"/>
        <v>153028.25092727627</v>
      </c>
      <c r="N136" s="534">
        <f t="shared" si="24"/>
        <v>0.98157004050277652</v>
      </c>
      <c r="O136" s="523">
        <v>72</v>
      </c>
      <c r="P136" s="535">
        <v>0.31697999999999998</v>
      </c>
      <c r="Q136" s="523">
        <v>0.9778</v>
      </c>
      <c r="R136" s="536">
        <v>0.49409999999999998</v>
      </c>
      <c r="S136" s="523">
        <v>1.4719</v>
      </c>
      <c r="T136" s="535" t="str">
        <f t="shared" si="17"/>
        <v/>
      </c>
    </row>
    <row r="137" spans="7:20" x14ac:dyDescent="0.2">
      <c r="G137" s="538">
        <f t="shared" si="18"/>
        <v>129674.39503102977</v>
      </c>
      <c r="H137" s="539">
        <f t="shared" si="16"/>
        <v>0.98018245657861769</v>
      </c>
      <c r="I137" s="540">
        <f t="shared" si="19"/>
        <v>129280.03922843978</v>
      </c>
      <c r="J137" s="534">
        <f t="shared" si="20"/>
        <v>0.98015597187177661</v>
      </c>
      <c r="K137" s="538">
        <f t="shared" si="21"/>
        <v>128259.38080919179</v>
      </c>
      <c r="L137" s="539">
        <f t="shared" si="22"/>
        <v>0.98008688146888179</v>
      </c>
      <c r="M137" s="540">
        <f t="shared" si="23"/>
        <v>153028.25092727627</v>
      </c>
      <c r="N137" s="534">
        <f t="shared" si="24"/>
        <v>0.98157004050277652</v>
      </c>
      <c r="O137" s="523">
        <v>73</v>
      </c>
      <c r="P137" s="535">
        <v>0.33823999999999999</v>
      </c>
      <c r="Q137" s="523">
        <v>0.98070000000000002</v>
      </c>
      <c r="R137" s="536">
        <v>0.52869999999999995</v>
      </c>
      <c r="S137" s="523">
        <v>1.5093000000000001</v>
      </c>
      <c r="T137" s="535" t="str">
        <f t="shared" si="17"/>
        <v/>
      </c>
    </row>
    <row r="138" spans="7:20" x14ac:dyDescent="0.2">
      <c r="G138" s="538">
        <f t="shared" si="18"/>
        <v>129674.39503102977</v>
      </c>
      <c r="H138" s="539">
        <f t="shared" si="16"/>
        <v>0.98018245657861769</v>
      </c>
      <c r="I138" s="540">
        <f t="shared" si="19"/>
        <v>129280.03922843978</v>
      </c>
      <c r="J138" s="534">
        <f t="shared" si="20"/>
        <v>0.98015597187177661</v>
      </c>
      <c r="K138" s="538">
        <f t="shared" si="21"/>
        <v>128259.38080919179</v>
      </c>
      <c r="L138" s="539">
        <f t="shared" si="22"/>
        <v>0.98008688146888179</v>
      </c>
      <c r="M138" s="540">
        <f t="shared" si="23"/>
        <v>153028.25092727627</v>
      </c>
      <c r="N138" s="534">
        <f t="shared" si="24"/>
        <v>0.98157004050277652</v>
      </c>
      <c r="O138" s="523">
        <v>74</v>
      </c>
      <c r="P138" s="535">
        <v>0.36130000000000001</v>
      </c>
      <c r="Q138" s="523">
        <v>0.98350000000000004</v>
      </c>
      <c r="R138" s="536">
        <v>0.56620000000000004</v>
      </c>
      <c r="S138" s="523">
        <v>1.5497000000000001</v>
      </c>
      <c r="T138" s="535" t="str">
        <f t="shared" si="17"/>
        <v/>
      </c>
    </row>
    <row r="139" spans="7:20" x14ac:dyDescent="0.2">
      <c r="G139" s="538">
        <f t="shared" si="18"/>
        <v>129674.39503102977</v>
      </c>
      <c r="H139" s="539">
        <f t="shared" si="16"/>
        <v>0.98018245657861769</v>
      </c>
      <c r="I139" s="540">
        <f t="shared" si="19"/>
        <v>129280.03922843978</v>
      </c>
      <c r="J139" s="534">
        <f t="shared" si="20"/>
        <v>0.98015597187177661</v>
      </c>
      <c r="K139" s="538">
        <f t="shared" si="21"/>
        <v>128259.38080919179</v>
      </c>
      <c r="L139" s="539">
        <f t="shared" si="22"/>
        <v>0.98008688146888179</v>
      </c>
      <c r="M139" s="540">
        <f t="shared" si="23"/>
        <v>153028.25092727627</v>
      </c>
      <c r="N139" s="534">
        <f t="shared" si="24"/>
        <v>0.98157004050277652</v>
      </c>
      <c r="O139" s="523">
        <v>75</v>
      </c>
      <c r="P139" s="535">
        <v>0.38640999999999998</v>
      </c>
      <c r="Q139" s="523">
        <v>0.98629999999999995</v>
      </c>
      <c r="R139" s="536">
        <v>0.60719999999999996</v>
      </c>
      <c r="S139" s="523">
        <v>1.5934999999999999</v>
      </c>
      <c r="T139" s="535" t="str">
        <f t="shared" si="17"/>
        <v/>
      </c>
    </row>
    <row r="140" spans="7:20" x14ac:dyDescent="0.2">
      <c r="G140" s="538">
        <f t="shared" si="18"/>
        <v>129674.39503102977</v>
      </c>
      <c r="H140" s="539">
        <f t="shared" si="16"/>
        <v>0.98018245657861769</v>
      </c>
      <c r="I140" s="540">
        <f t="shared" si="19"/>
        <v>129280.03922843978</v>
      </c>
      <c r="J140" s="534">
        <f t="shared" si="20"/>
        <v>0.98015597187177661</v>
      </c>
      <c r="K140" s="538">
        <f t="shared" si="21"/>
        <v>128259.38080919179</v>
      </c>
      <c r="L140" s="539">
        <f t="shared" si="22"/>
        <v>0.98008688146888179</v>
      </c>
      <c r="M140" s="540">
        <f t="shared" si="23"/>
        <v>153028.25092727627</v>
      </c>
      <c r="N140" s="534">
        <f t="shared" si="24"/>
        <v>0.98157004050277652</v>
      </c>
      <c r="O140" s="523">
        <v>76</v>
      </c>
      <c r="P140" s="535">
        <v>0.41377000000000003</v>
      </c>
      <c r="Q140" s="523">
        <v>0.98919999999999997</v>
      </c>
      <c r="R140" s="536">
        <v>0.65190000000000003</v>
      </c>
      <c r="S140" s="523">
        <v>1.6411</v>
      </c>
      <c r="T140" s="535" t="str">
        <f t="shared" si="17"/>
        <v/>
      </c>
    </row>
    <row r="141" spans="7:20" x14ac:dyDescent="0.2">
      <c r="G141" s="538">
        <f t="shared" si="18"/>
        <v>129674.39503102977</v>
      </c>
      <c r="H141" s="539">
        <f t="shared" si="16"/>
        <v>0.98018245657861769</v>
      </c>
      <c r="I141" s="540">
        <f t="shared" si="19"/>
        <v>129280.03922843978</v>
      </c>
      <c r="J141" s="534">
        <f t="shared" si="20"/>
        <v>0.98015597187177661</v>
      </c>
      <c r="K141" s="538">
        <f t="shared" si="21"/>
        <v>128259.38080919179</v>
      </c>
      <c r="L141" s="539">
        <f t="shared" si="22"/>
        <v>0.98008688146888179</v>
      </c>
      <c r="M141" s="540">
        <f t="shared" si="23"/>
        <v>153028.25092727627</v>
      </c>
      <c r="N141" s="534">
        <f t="shared" si="24"/>
        <v>0.98157004050277652</v>
      </c>
      <c r="O141" s="523">
        <v>77</v>
      </c>
      <c r="P141" s="535">
        <v>0.44372</v>
      </c>
      <c r="Q141" s="523">
        <v>0.99199999999999999</v>
      </c>
      <c r="R141" s="536">
        <v>0.70099999999999996</v>
      </c>
      <c r="S141" s="523">
        <v>1.6930000000000001</v>
      </c>
      <c r="T141" s="535" t="str">
        <f t="shared" si="17"/>
        <v/>
      </c>
    </row>
    <row r="142" spans="7:20" x14ac:dyDescent="0.2">
      <c r="G142" s="538">
        <f t="shared" si="18"/>
        <v>129674.39503102977</v>
      </c>
      <c r="H142" s="539">
        <f t="shared" si="16"/>
        <v>0.98018245657861769</v>
      </c>
      <c r="I142" s="540">
        <f t="shared" si="19"/>
        <v>129280.03922843978</v>
      </c>
      <c r="J142" s="534">
        <f t="shared" si="20"/>
        <v>0.98015597187177661</v>
      </c>
      <c r="K142" s="538">
        <f t="shared" si="21"/>
        <v>128259.38080919179</v>
      </c>
      <c r="L142" s="539">
        <f t="shared" si="22"/>
        <v>0.98008688146888179</v>
      </c>
      <c r="M142" s="540">
        <f t="shared" si="23"/>
        <v>153028.25092727627</v>
      </c>
      <c r="N142" s="534">
        <f t="shared" si="24"/>
        <v>0.98157004050277652</v>
      </c>
      <c r="O142" s="523">
        <v>78</v>
      </c>
      <c r="P142" s="535">
        <v>0.47663</v>
      </c>
      <c r="Q142" s="523">
        <v>0.99480000000000002</v>
      </c>
      <c r="R142" s="536">
        <v>0.755</v>
      </c>
      <c r="S142" s="523">
        <v>1.7498</v>
      </c>
      <c r="T142" s="535" t="str">
        <f t="shared" si="17"/>
        <v/>
      </c>
    </row>
    <row r="143" spans="7:20" x14ac:dyDescent="0.2">
      <c r="G143" s="538">
        <f t="shared" si="18"/>
        <v>129674.39503102977</v>
      </c>
      <c r="H143" s="539">
        <f t="shared" si="16"/>
        <v>0.98018245657861769</v>
      </c>
      <c r="I143" s="540">
        <f t="shared" si="19"/>
        <v>129280.03922843978</v>
      </c>
      <c r="J143" s="534">
        <f t="shared" si="20"/>
        <v>0.98015597187177661</v>
      </c>
      <c r="K143" s="538">
        <f t="shared" si="21"/>
        <v>128259.38080919179</v>
      </c>
      <c r="L143" s="539">
        <f t="shared" si="22"/>
        <v>0.98008688146888179</v>
      </c>
      <c r="M143" s="540">
        <f t="shared" si="23"/>
        <v>153028.25092727627</v>
      </c>
      <c r="N143" s="534">
        <f t="shared" si="24"/>
        <v>0.98157004050277652</v>
      </c>
      <c r="O143" s="523">
        <v>79</v>
      </c>
      <c r="P143" s="535">
        <v>0.51283999999999996</v>
      </c>
      <c r="Q143" s="523">
        <v>0.99770000000000003</v>
      </c>
      <c r="R143" s="536">
        <v>0.8145</v>
      </c>
      <c r="S143" s="523">
        <v>1.8121</v>
      </c>
      <c r="T143" s="535" t="str">
        <f t="shared" si="17"/>
        <v/>
      </c>
    </row>
    <row r="144" spans="7:20" x14ac:dyDescent="0.2">
      <c r="G144" s="538">
        <f t="shared" si="18"/>
        <v>129674.39503102977</v>
      </c>
      <c r="H144" s="539">
        <f t="shared" si="16"/>
        <v>0.98018245657861769</v>
      </c>
      <c r="I144" s="540">
        <f t="shared" si="19"/>
        <v>129280.03922843978</v>
      </c>
      <c r="J144" s="534">
        <f t="shared" si="20"/>
        <v>0.98015597187177661</v>
      </c>
      <c r="K144" s="538">
        <f t="shared" si="21"/>
        <v>128259.38080919179</v>
      </c>
      <c r="L144" s="539">
        <f t="shared" si="22"/>
        <v>0.98008688146888179</v>
      </c>
      <c r="M144" s="540">
        <f t="shared" si="23"/>
        <v>153028.25092727627</v>
      </c>
      <c r="N144" s="534">
        <f t="shared" si="24"/>
        <v>0.98157004050277652</v>
      </c>
      <c r="O144" s="523">
        <v>80</v>
      </c>
      <c r="P144" s="535">
        <v>0.55295000000000005</v>
      </c>
      <c r="Q144" s="523">
        <v>1.0004999999999999</v>
      </c>
      <c r="R144" s="536">
        <v>0.88049999999999995</v>
      </c>
      <c r="S144" s="523">
        <v>1.881</v>
      </c>
      <c r="T144" s="535" t="str">
        <f t="shared" si="17"/>
        <v/>
      </c>
    </row>
    <row r="145" spans="7:20" x14ac:dyDescent="0.2">
      <c r="G145" s="538">
        <f t="shared" si="18"/>
        <v>129674.39503102977</v>
      </c>
      <c r="H145" s="539">
        <f t="shared" si="16"/>
        <v>0.98018245657861769</v>
      </c>
      <c r="I145" s="540">
        <f t="shared" si="19"/>
        <v>129280.03922843978</v>
      </c>
      <c r="J145" s="534">
        <f t="shared" si="20"/>
        <v>0.98015597187177661</v>
      </c>
      <c r="K145" s="538">
        <f t="shared" si="21"/>
        <v>128259.38080919179</v>
      </c>
      <c r="L145" s="539">
        <f t="shared" si="22"/>
        <v>0.98008688146888179</v>
      </c>
      <c r="M145" s="540">
        <f t="shared" si="23"/>
        <v>153028.25092727627</v>
      </c>
      <c r="N145" s="534">
        <f t="shared" si="24"/>
        <v>0.98157004050277652</v>
      </c>
      <c r="O145" s="523">
        <v>81</v>
      </c>
      <c r="P145" s="535">
        <v>0.59750999999999999</v>
      </c>
      <c r="Q145" s="523">
        <v>1.0034000000000001</v>
      </c>
      <c r="R145" s="536">
        <v>0.95389999999999997</v>
      </c>
      <c r="S145" s="523">
        <v>1.9572000000000001</v>
      </c>
      <c r="T145" s="535" t="str">
        <f t="shared" si="17"/>
        <v/>
      </c>
    </row>
    <row r="146" spans="7:20" x14ac:dyDescent="0.2">
      <c r="G146" s="538">
        <f t="shared" si="18"/>
        <v>129674.39503102977</v>
      </c>
      <c r="H146" s="539">
        <f t="shared" si="16"/>
        <v>0.98018245657861769</v>
      </c>
      <c r="I146" s="540">
        <f t="shared" si="19"/>
        <v>129280.03922843978</v>
      </c>
      <c r="J146" s="534">
        <f t="shared" si="20"/>
        <v>0.98015597187177661</v>
      </c>
      <c r="K146" s="538">
        <f t="shared" si="21"/>
        <v>128259.38080919179</v>
      </c>
      <c r="L146" s="539">
        <f t="shared" si="22"/>
        <v>0.98008688146888179</v>
      </c>
      <c r="M146" s="540">
        <f t="shared" si="23"/>
        <v>153028.25092727627</v>
      </c>
      <c r="N146" s="534">
        <f t="shared" si="24"/>
        <v>0.98157004050277652</v>
      </c>
      <c r="O146" s="523">
        <v>82</v>
      </c>
      <c r="P146" s="535">
        <v>0.64724000000000004</v>
      </c>
      <c r="Q146" s="523">
        <v>1.0062</v>
      </c>
      <c r="R146" s="536">
        <v>1.036</v>
      </c>
      <c r="S146" s="523">
        <v>2.0421999999999998</v>
      </c>
      <c r="T146" s="535" t="str">
        <f t="shared" si="17"/>
        <v/>
      </c>
    </row>
    <row r="147" spans="7:20" x14ac:dyDescent="0.2">
      <c r="G147" s="538">
        <f t="shared" si="18"/>
        <v>129674.39503102977</v>
      </c>
      <c r="H147" s="539">
        <f t="shared" si="16"/>
        <v>0.98018245657861769</v>
      </c>
      <c r="I147" s="540">
        <f t="shared" si="19"/>
        <v>129280.03922843978</v>
      </c>
      <c r="J147" s="534">
        <f t="shared" si="20"/>
        <v>0.98015597187177661</v>
      </c>
      <c r="K147" s="538">
        <f t="shared" si="21"/>
        <v>128259.38080919179</v>
      </c>
      <c r="L147" s="539">
        <f t="shared" si="22"/>
        <v>0.98008688146888179</v>
      </c>
      <c r="M147" s="540">
        <f t="shared" si="23"/>
        <v>153028.25092727627</v>
      </c>
      <c r="N147" s="534">
        <f t="shared" si="24"/>
        <v>0.98157004050277652</v>
      </c>
      <c r="O147" s="523">
        <v>83</v>
      </c>
      <c r="P147" s="535">
        <v>0.70311000000000001</v>
      </c>
      <c r="Q147" s="523">
        <v>1.0089999999999999</v>
      </c>
      <c r="R147" s="536">
        <v>1.1283000000000001</v>
      </c>
      <c r="S147" s="523">
        <v>2.1373000000000002</v>
      </c>
      <c r="T147" s="535" t="str">
        <f t="shared" si="17"/>
        <v/>
      </c>
    </row>
    <row r="148" spans="7:20" x14ac:dyDescent="0.2">
      <c r="G148" s="538">
        <f t="shared" si="18"/>
        <v>129674.39503102977</v>
      </c>
      <c r="H148" s="539">
        <f t="shared" si="16"/>
        <v>0.98018245657861769</v>
      </c>
      <c r="I148" s="540">
        <f t="shared" si="19"/>
        <v>129280.03922843978</v>
      </c>
      <c r="J148" s="534">
        <f t="shared" si="20"/>
        <v>0.98015597187177661</v>
      </c>
      <c r="K148" s="538">
        <f t="shared" si="21"/>
        <v>128259.38080919179</v>
      </c>
      <c r="L148" s="539">
        <f t="shared" si="22"/>
        <v>0.98008688146888179</v>
      </c>
      <c r="M148" s="540">
        <f t="shared" si="23"/>
        <v>153028.25092727627</v>
      </c>
      <c r="N148" s="534">
        <f t="shared" si="24"/>
        <v>0.98157004050277652</v>
      </c>
      <c r="O148" s="523">
        <v>84</v>
      </c>
      <c r="P148" s="535">
        <v>0.76624000000000003</v>
      </c>
      <c r="Q148" s="523">
        <v>1.0119</v>
      </c>
      <c r="R148" s="536">
        <v>1.2327999999999999</v>
      </c>
      <c r="S148" s="523">
        <v>2.2446000000000002</v>
      </c>
      <c r="T148" s="535" t="str">
        <f t="shared" si="17"/>
        <v/>
      </c>
    </row>
    <row r="149" spans="7:20" x14ac:dyDescent="0.2">
      <c r="G149" s="538">
        <f t="shared" si="18"/>
        <v>129674.39503102977</v>
      </c>
      <c r="H149" s="539">
        <f t="shared" si="16"/>
        <v>0.98018245657861769</v>
      </c>
      <c r="I149" s="540">
        <f t="shared" si="19"/>
        <v>129280.03922843978</v>
      </c>
      <c r="J149" s="534">
        <f t="shared" si="20"/>
        <v>0.98015597187177661</v>
      </c>
      <c r="K149" s="538">
        <f t="shared" si="21"/>
        <v>128259.38080919179</v>
      </c>
      <c r="L149" s="539">
        <f t="shared" si="22"/>
        <v>0.98008688146888179</v>
      </c>
      <c r="M149" s="540">
        <f t="shared" si="23"/>
        <v>153028.25092727627</v>
      </c>
      <c r="N149" s="534">
        <f t="shared" si="24"/>
        <v>0.98157004050277652</v>
      </c>
      <c r="O149" s="523">
        <v>85</v>
      </c>
      <c r="P149" s="535">
        <v>0.83811999999999998</v>
      </c>
      <c r="Q149" s="523">
        <v>1.0146999999999999</v>
      </c>
      <c r="R149" s="536">
        <v>1.3517999999999999</v>
      </c>
      <c r="S149" s="523">
        <v>2.3666</v>
      </c>
      <c r="T149" s="535" t="str">
        <f t="shared" si="17"/>
        <v/>
      </c>
    </row>
    <row r="150" spans="7:20" x14ac:dyDescent="0.2">
      <c r="G150" s="538">
        <f t="shared" si="18"/>
        <v>129674.39503102977</v>
      </c>
      <c r="H150" s="539">
        <f t="shared" si="16"/>
        <v>0.98018245657861769</v>
      </c>
      <c r="I150" s="540">
        <f t="shared" si="19"/>
        <v>129280.03922843978</v>
      </c>
      <c r="J150" s="534">
        <f t="shared" si="20"/>
        <v>0.98015597187177661</v>
      </c>
      <c r="K150" s="538">
        <f t="shared" si="21"/>
        <v>128259.38080919179</v>
      </c>
      <c r="L150" s="539">
        <f t="shared" si="22"/>
        <v>0.98008688146888179</v>
      </c>
      <c r="M150" s="540">
        <f t="shared" si="23"/>
        <v>153028.25092727627</v>
      </c>
      <c r="N150" s="534">
        <f t="shared" si="24"/>
        <v>0.98157004050277652</v>
      </c>
      <c r="O150" s="523">
        <v>86</v>
      </c>
      <c r="P150" s="535">
        <v>0.92061999999999999</v>
      </c>
      <c r="Q150" s="523">
        <v>1.0175000000000001</v>
      </c>
      <c r="R150" s="536">
        <v>1.4886999999999999</v>
      </c>
      <c r="S150" s="523">
        <v>2.5062000000000002</v>
      </c>
      <c r="T150" s="535" t="str">
        <f t="shared" si="17"/>
        <v/>
      </c>
    </row>
    <row r="151" spans="7:20" x14ac:dyDescent="0.2">
      <c r="G151" s="538">
        <f t="shared" si="18"/>
        <v>129674.39503102977</v>
      </c>
      <c r="H151" s="539">
        <f t="shared" si="16"/>
        <v>0.98018245657861769</v>
      </c>
      <c r="I151" s="540">
        <f t="shared" si="19"/>
        <v>129280.03922843978</v>
      </c>
      <c r="J151" s="534">
        <f t="shared" si="20"/>
        <v>0.98015597187177661</v>
      </c>
      <c r="K151" s="538">
        <f t="shared" si="21"/>
        <v>128259.38080919179</v>
      </c>
      <c r="L151" s="539">
        <f t="shared" si="22"/>
        <v>0.98008688146888179</v>
      </c>
      <c r="M151" s="540">
        <f t="shared" si="23"/>
        <v>153028.25092727627</v>
      </c>
      <c r="N151" s="534">
        <f t="shared" si="24"/>
        <v>0.98157004050277652</v>
      </c>
      <c r="O151" s="523">
        <v>87</v>
      </c>
      <c r="P151" s="535">
        <v>1.0161100000000001</v>
      </c>
      <c r="Q151" s="523">
        <v>1.0204</v>
      </c>
      <c r="R151" s="536">
        <v>1.6473</v>
      </c>
      <c r="S151" s="523">
        <v>2.6676000000000002</v>
      </c>
      <c r="T151" s="535" t="str">
        <f t="shared" si="17"/>
        <v/>
      </c>
    </row>
    <row r="152" spans="7:20" x14ac:dyDescent="0.2">
      <c r="G152" s="538">
        <f t="shared" si="18"/>
        <v>129674.39503102977</v>
      </c>
      <c r="H152" s="539">
        <f t="shared" si="16"/>
        <v>0.98018245657861769</v>
      </c>
      <c r="I152" s="540">
        <f t="shared" si="19"/>
        <v>129280.03922843978</v>
      </c>
      <c r="J152" s="534">
        <f t="shared" si="20"/>
        <v>0.98015597187177661</v>
      </c>
      <c r="K152" s="538">
        <f t="shared" si="21"/>
        <v>128259.38080919179</v>
      </c>
      <c r="L152" s="539">
        <f t="shared" si="22"/>
        <v>0.98008688146888179</v>
      </c>
      <c r="M152" s="540">
        <f t="shared" si="23"/>
        <v>153028.25092727627</v>
      </c>
      <c r="N152" s="534">
        <f t="shared" si="24"/>
        <v>0.98157004050277652</v>
      </c>
      <c r="O152" s="523">
        <v>88</v>
      </c>
      <c r="P152" s="535">
        <v>1.1279999999999999</v>
      </c>
      <c r="Q152" s="523">
        <v>1.0232000000000001</v>
      </c>
      <c r="R152" s="536">
        <v>1.8332999999999999</v>
      </c>
      <c r="S152" s="523">
        <v>2.8565</v>
      </c>
      <c r="T152" s="535" t="str">
        <f t="shared" si="17"/>
        <v/>
      </c>
    </row>
    <row r="153" spans="7:20" x14ac:dyDescent="0.2">
      <c r="G153" s="538">
        <f t="shared" si="18"/>
        <v>129674.39503102977</v>
      </c>
      <c r="H153" s="539">
        <f t="shared" si="16"/>
        <v>0.98018245657861769</v>
      </c>
      <c r="I153" s="540">
        <f t="shared" si="19"/>
        <v>129280.03922843978</v>
      </c>
      <c r="J153" s="534">
        <f t="shared" si="20"/>
        <v>0.98015597187177661</v>
      </c>
      <c r="K153" s="538">
        <f t="shared" si="21"/>
        <v>128259.38080919179</v>
      </c>
      <c r="L153" s="539">
        <f t="shared" si="22"/>
        <v>0.98008688146888179</v>
      </c>
      <c r="M153" s="540">
        <f t="shared" si="23"/>
        <v>153028.25092727627</v>
      </c>
      <c r="N153" s="534">
        <f t="shared" si="24"/>
        <v>0.98157004050277652</v>
      </c>
      <c r="O153" s="523">
        <v>89</v>
      </c>
      <c r="P153" s="535">
        <v>1.26064</v>
      </c>
      <c r="Q153" s="523">
        <v>1.0261</v>
      </c>
      <c r="R153" s="536">
        <v>2.0539999999999998</v>
      </c>
      <c r="S153" s="523">
        <v>3.08</v>
      </c>
      <c r="T153" s="535" t="str">
        <f t="shared" si="17"/>
        <v/>
      </c>
    </row>
    <row r="154" spans="7:20" x14ac:dyDescent="0.2">
      <c r="G154" s="538">
        <f t="shared" si="18"/>
        <v>129674.39503102977</v>
      </c>
      <c r="H154" s="539">
        <f t="shared" si="16"/>
        <v>0.98018245657861769</v>
      </c>
      <c r="I154" s="540">
        <f t="shared" si="19"/>
        <v>129280.03922843978</v>
      </c>
      <c r="J154" s="534">
        <f t="shared" si="20"/>
        <v>0.98015597187177661</v>
      </c>
      <c r="K154" s="538">
        <f t="shared" si="21"/>
        <v>128259.38080919179</v>
      </c>
      <c r="L154" s="539">
        <f t="shared" si="22"/>
        <v>0.98008688146888179</v>
      </c>
      <c r="M154" s="540">
        <f t="shared" si="23"/>
        <v>153028.25092727627</v>
      </c>
      <c r="N154" s="534">
        <f t="shared" si="24"/>
        <v>0.98157004050277652</v>
      </c>
      <c r="O154" s="523">
        <v>90</v>
      </c>
      <c r="P154" s="535">
        <v>1.42031</v>
      </c>
      <c r="Q154" s="523">
        <v>1.0288999999999999</v>
      </c>
      <c r="R154" s="536">
        <v>2.3199000000000001</v>
      </c>
      <c r="S154" s="523">
        <v>3.3488000000000002</v>
      </c>
      <c r="T154" s="535" t="str">
        <f t="shared" si="17"/>
        <v/>
      </c>
    </row>
    <row r="155" spans="7:20" x14ac:dyDescent="0.2">
      <c r="G155" s="538">
        <f t="shared" si="18"/>
        <v>129674.39503102977</v>
      </c>
      <c r="H155" s="539">
        <f t="shared" si="16"/>
        <v>0.98018245657861769</v>
      </c>
      <c r="I155" s="540">
        <f t="shared" si="19"/>
        <v>129280.03922843978</v>
      </c>
      <c r="J155" s="534">
        <f t="shared" si="20"/>
        <v>0.98015597187177661</v>
      </c>
      <c r="K155" s="538">
        <f t="shared" si="21"/>
        <v>128259.38080919179</v>
      </c>
      <c r="L155" s="539">
        <f t="shared" si="22"/>
        <v>0.98008688146888179</v>
      </c>
      <c r="M155" s="540">
        <f t="shared" si="23"/>
        <v>153028.25092727627</v>
      </c>
      <c r="N155" s="534">
        <f t="shared" si="24"/>
        <v>0.98157004050277652</v>
      </c>
    </row>
    <row r="156" spans="7:20" x14ac:dyDescent="0.2">
      <c r="G156" s="538">
        <f t="shared" si="18"/>
        <v>129674.39503102977</v>
      </c>
      <c r="H156" s="539">
        <f t="shared" si="16"/>
        <v>0.98018245657861769</v>
      </c>
      <c r="I156" s="540">
        <f t="shared" si="19"/>
        <v>129280.03922843978</v>
      </c>
      <c r="J156" s="534">
        <f t="shared" si="20"/>
        <v>0.98015597187177661</v>
      </c>
      <c r="K156" s="538">
        <f t="shared" si="21"/>
        <v>128259.38080919179</v>
      </c>
      <c r="L156" s="539">
        <f t="shared" si="22"/>
        <v>0.98008688146888179</v>
      </c>
      <c r="M156" s="540">
        <f t="shared" si="23"/>
        <v>153028.25092727627</v>
      </c>
      <c r="N156" s="534">
        <f t="shared" si="24"/>
        <v>0.98157004050277652</v>
      </c>
    </row>
    <row r="157" spans="7:20" x14ac:dyDescent="0.2">
      <c r="G157" s="538">
        <f t="shared" si="18"/>
        <v>129674.39503102977</v>
      </c>
      <c r="H157" s="539">
        <f t="shared" si="16"/>
        <v>0.98018245657861769</v>
      </c>
      <c r="I157" s="540">
        <f t="shared" si="19"/>
        <v>129280.03922843978</v>
      </c>
      <c r="J157" s="534">
        <f t="shared" si="20"/>
        <v>0.98015597187177661</v>
      </c>
      <c r="K157" s="538">
        <f t="shared" si="21"/>
        <v>128259.38080919179</v>
      </c>
      <c r="L157" s="539">
        <f t="shared" si="22"/>
        <v>0.98008688146888179</v>
      </c>
      <c r="M157" s="540">
        <f t="shared" si="23"/>
        <v>153028.25092727627</v>
      </c>
      <c r="N157" s="534">
        <f t="shared" si="24"/>
        <v>0.98157004050277652</v>
      </c>
    </row>
    <row r="158" spans="7:20" x14ac:dyDescent="0.2">
      <c r="G158" s="538">
        <f t="shared" si="18"/>
        <v>129674.39503102977</v>
      </c>
      <c r="H158" s="539">
        <f t="shared" si="16"/>
        <v>0.98018245657861769</v>
      </c>
      <c r="I158" s="540">
        <f t="shared" si="19"/>
        <v>129280.03922843978</v>
      </c>
      <c r="J158" s="534">
        <f t="shared" si="20"/>
        <v>0.98015597187177661</v>
      </c>
      <c r="K158" s="538">
        <f t="shared" si="21"/>
        <v>128259.38080919179</v>
      </c>
      <c r="L158" s="539">
        <f t="shared" si="22"/>
        <v>0.98008688146888179</v>
      </c>
      <c r="M158" s="540">
        <f t="shared" si="23"/>
        <v>153028.25092727627</v>
      </c>
      <c r="N158" s="534">
        <f t="shared" si="24"/>
        <v>0.98157004050277652</v>
      </c>
    </row>
    <row r="159" spans="7:20" x14ac:dyDescent="0.2">
      <c r="G159" s="538">
        <f t="shared" si="18"/>
        <v>129674.39503102977</v>
      </c>
      <c r="H159" s="539">
        <f t="shared" si="16"/>
        <v>0.98018245657861769</v>
      </c>
      <c r="I159" s="540">
        <f t="shared" si="19"/>
        <v>129280.03922843978</v>
      </c>
      <c r="J159" s="534">
        <f t="shared" si="20"/>
        <v>0.98015597187177661</v>
      </c>
      <c r="K159" s="538">
        <f t="shared" si="21"/>
        <v>128259.38080919179</v>
      </c>
      <c r="L159" s="539">
        <f t="shared" si="22"/>
        <v>0.98008688146888179</v>
      </c>
      <c r="M159" s="540">
        <f t="shared" si="23"/>
        <v>153028.25092727627</v>
      </c>
      <c r="N159" s="534">
        <f t="shared" si="24"/>
        <v>0.98157004050277652</v>
      </c>
    </row>
    <row r="160" spans="7:20" x14ac:dyDescent="0.2">
      <c r="G160" s="538">
        <f t="shared" si="18"/>
        <v>129674.39503102977</v>
      </c>
      <c r="H160" s="539">
        <f t="shared" si="16"/>
        <v>0.98018245657861769</v>
      </c>
      <c r="I160" s="540">
        <f t="shared" si="19"/>
        <v>129280.03922843978</v>
      </c>
      <c r="J160" s="534">
        <f t="shared" si="20"/>
        <v>0.98015597187177661</v>
      </c>
      <c r="K160" s="538">
        <f t="shared" si="21"/>
        <v>128259.38080919179</v>
      </c>
      <c r="L160" s="539">
        <f t="shared" si="22"/>
        <v>0.98008688146888179</v>
      </c>
      <c r="M160" s="540">
        <f t="shared" si="23"/>
        <v>153028.25092727627</v>
      </c>
      <c r="N160" s="534">
        <f t="shared" si="24"/>
        <v>0.98157004050277652</v>
      </c>
    </row>
    <row r="161" spans="7:14" x14ac:dyDescent="0.2">
      <c r="G161" s="538">
        <f t="shared" si="18"/>
        <v>129674.39503102977</v>
      </c>
      <c r="H161" s="539">
        <f t="shared" si="16"/>
        <v>0.98018245657861769</v>
      </c>
      <c r="I161" s="540">
        <f t="shared" si="19"/>
        <v>129280.03922843978</v>
      </c>
      <c r="J161" s="534">
        <f t="shared" si="20"/>
        <v>0.98015597187177661</v>
      </c>
      <c r="K161" s="538">
        <f t="shared" si="21"/>
        <v>128259.38080919179</v>
      </c>
      <c r="L161" s="539">
        <f t="shared" si="22"/>
        <v>0.98008688146888179</v>
      </c>
      <c r="M161" s="540">
        <f t="shared" si="23"/>
        <v>153028.25092727627</v>
      </c>
      <c r="N161" s="534">
        <f t="shared" si="24"/>
        <v>0.98157004050277652</v>
      </c>
    </row>
    <row r="162" spans="7:14" x14ac:dyDescent="0.2">
      <c r="G162" s="538">
        <f t="shared" si="18"/>
        <v>129674.39503102977</v>
      </c>
      <c r="H162" s="539">
        <f t="shared" si="16"/>
        <v>0.98018245657861769</v>
      </c>
      <c r="I162" s="540">
        <f t="shared" si="19"/>
        <v>129280.03922843978</v>
      </c>
      <c r="J162" s="534">
        <f t="shared" si="20"/>
        <v>0.98015597187177661</v>
      </c>
      <c r="K162" s="538">
        <f t="shared" si="21"/>
        <v>128259.38080919179</v>
      </c>
      <c r="L162" s="539">
        <f t="shared" si="22"/>
        <v>0.98008688146888179</v>
      </c>
      <c r="M162" s="540">
        <f t="shared" si="23"/>
        <v>153028.25092727627</v>
      </c>
      <c r="N162" s="534">
        <f t="shared" si="24"/>
        <v>0.98157004050277652</v>
      </c>
    </row>
    <row r="163" spans="7:14" x14ac:dyDescent="0.2">
      <c r="G163" s="538">
        <f t="shared" si="18"/>
        <v>129674.39503102977</v>
      </c>
      <c r="H163" s="539">
        <f t="shared" si="16"/>
        <v>0.98018245657861769</v>
      </c>
      <c r="I163" s="540">
        <f t="shared" si="19"/>
        <v>129280.03922843978</v>
      </c>
      <c r="J163" s="534">
        <f t="shared" si="20"/>
        <v>0.98015597187177661</v>
      </c>
      <c r="K163" s="538">
        <f t="shared" si="21"/>
        <v>128259.38080919179</v>
      </c>
      <c r="L163" s="539">
        <f t="shared" si="22"/>
        <v>0.98008688146888179</v>
      </c>
      <c r="M163" s="540">
        <f t="shared" si="23"/>
        <v>153028.25092727627</v>
      </c>
      <c r="N163" s="534">
        <f t="shared" si="24"/>
        <v>0.98157004050277652</v>
      </c>
    </row>
    <row r="164" spans="7:14" x14ac:dyDescent="0.2">
      <c r="G164" s="538">
        <f t="shared" si="18"/>
        <v>129674.39503102977</v>
      </c>
      <c r="H164" s="539">
        <f t="shared" si="16"/>
        <v>0.98018245657861769</v>
      </c>
      <c r="I164" s="540">
        <f t="shared" si="19"/>
        <v>129280.03922843978</v>
      </c>
      <c r="J164" s="534">
        <f t="shared" si="20"/>
        <v>0.98015597187177661</v>
      </c>
      <c r="K164" s="538">
        <f t="shared" si="21"/>
        <v>128259.38080919179</v>
      </c>
      <c r="L164" s="539">
        <f t="shared" si="22"/>
        <v>0.98008688146888179</v>
      </c>
      <c r="M164" s="540">
        <f t="shared" si="23"/>
        <v>153028.25092727627</v>
      </c>
      <c r="N164" s="534">
        <f t="shared" si="24"/>
        <v>0.98157004050277652</v>
      </c>
    </row>
    <row r="165" spans="7:14" x14ac:dyDescent="0.2">
      <c r="G165" s="538">
        <f t="shared" si="18"/>
        <v>129674.39503102977</v>
      </c>
      <c r="H165" s="539">
        <f t="shared" si="16"/>
        <v>0.98018245657861769</v>
      </c>
      <c r="I165" s="540">
        <f t="shared" si="19"/>
        <v>129280.03922843978</v>
      </c>
      <c r="J165" s="534">
        <f t="shared" si="20"/>
        <v>0.98015597187177661</v>
      </c>
      <c r="K165" s="538">
        <f t="shared" si="21"/>
        <v>128259.38080919179</v>
      </c>
      <c r="L165" s="539">
        <f t="shared" si="22"/>
        <v>0.98008688146888179</v>
      </c>
      <c r="M165" s="540">
        <f t="shared" si="23"/>
        <v>153028.25092727627</v>
      </c>
      <c r="N165" s="534">
        <f t="shared" si="24"/>
        <v>0.98157004050277652</v>
      </c>
    </row>
    <row r="166" spans="7:14" x14ac:dyDescent="0.2">
      <c r="G166" s="538">
        <f t="shared" si="18"/>
        <v>129674.39503102977</v>
      </c>
      <c r="H166" s="539">
        <f t="shared" si="16"/>
        <v>0.98018245657861769</v>
      </c>
      <c r="I166" s="540">
        <f t="shared" si="19"/>
        <v>129280.03922843978</v>
      </c>
      <c r="J166" s="534">
        <f t="shared" si="20"/>
        <v>0.98015597187177661</v>
      </c>
      <c r="K166" s="538">
        <f t="shared" si="21"/>
        <v>128259.38080919179</v>
      </c>
      <c r="L166" s="539">
        <f t="shared" si="22"/>
        <v>0.98008688146888179</v>
      </c>
      <c r="M166" s="540">
        <f t="shared" si="23"/>
        <v>153028.25092727627</v>
      </c>
      <c r="N166" s="534">
        <f t="shared" si="24"/>
        <v>0.98157004050277652</v>
      </c>
    </row>
    <row r="167" spans="7:14" x14ac:dyDescent="0.2">
      <c r="G167" s="538">
        <f t="shared" si="18"/>
        <v>129674.39503102977</v>
      </c>
      <c r="H167" s="539">
        <f t="shared" si="16"/>
        <v>0.98018245657861769</v>
      </c>
      <c r="I167" s="540">
        <f t="shared" si="19"/>
        <v>129280.03922843978</v>
      </c>
      <c r="J167" s="534">
        <f t="shared" si="20"/>
        <v>0.98015597187177661</v>
      </c>
      <c r="K167" s="538">
        <f t="shared" si="21"/>
        <v>128259.38080919179</v>
      </c>
      <c r="L167" s="539">
        <f t="shared" si="22"/>
        <v>0.98008688146888179</v>
      </c>
      <c r="M167" s="540">
        <f t="shared" si="23"/>
        <v>153028.25092727627</v>
      </c>
      <c r="N167" s="534">
        <f t="shared" si="24"/>
        <v>0.98157004050277652</v>
      </c>
    </row>
    <row r="168" spans="7:14" x14ac:dyDescent="0.2">
      <c r="G168" s="538">
        <f t="shared" si="18"/>
        <v>129674.39503102977</v>
      </c>
      <c r="H168" s="539">
        <f t="shared" si="16"/>
        <v>0.98018245657861769</v>
      </c>
      <c r="I168" s="540">
        <f t="shared" si="19"/>
        <v>129280.03922843978</v>
      </c>
      <c r="J168" s="534">
        <f t="shared" si="20"/>
        <v>0.98015597187177661</v>
      </c>
      <c r="K168" s="538">
        <f t="shared" si="21"/>
        <v>128259.38080919179</v>
      </c>
      <c r="L168" s="539">
        <f t="shared" si="22"/>
        <v>0.98008688146888179</v>
      </c>
      <c r="M168" s="540">
        <f t="shared" si="23"/>
        <v>153028.25092727627</v>
      </c>
      <c r="N168" s="534">
        <f t="shared" si="24"/>
        <v>0.98157004050277652</v>
      </c>
    </row>
    <row r="169" spans="7:14" x14ac:dyDescent="0.2">
      <c r="G169" s="538">
        <f t="shared" si="18"/>
        <v>129674.39503102977</v>
      </c>
      <c r="H169" s="539">
        <f t="shared" si="16"/>
        <v>0.98018245657861769</v>
      </c>
      <c r="I169" s="540">
        <f t="shared" si="19"/>
        <v>129280.03922843978</v>
      </c>
      <c r="J169" s="534">
        <f t="shared" si="20"/>
        <v>0.98015597187177661</v>
      </c>
      <c r="K169" s="538">
        <f t="shared" si="21"/>
        <v>128259.38080919179</v>
      </c>
      <c r="L169" s="539">
        <f t="shared" si="22"/>
        <v>0.98008688146888179</v>
      </c>
      <c r="M169" s="540">
        <f t="shared" si="23"/>
        <v>153028.25092727627</v>
      </c>
      <c r="N169" s="534">
        <f t="shared" si="24"/>
        <v>0.98157004050277652</v>
      </c>
    </row>
    <row r="170" spans="7:14" x14ac:dyDescent="0.2">
      <c r="G170" s="538">
        <f t="shared" si="18"/>
        <v>129674.39503102977</v>
      </c>
      <c r="H170" s="539">
        <f t="shared" si="16"/>
        <v>0.98018245657861769</v>
      </c>
      <c r="I170" s="540">
        <f t="shared" si="19"/>
        <v>129280.03922843978</v>
      </c>
      <c r="J170" s="534">
        <f t="shared" si="20"/>
        <v>0.98015597187177661</v>
      </c>
      <c r="K170" s="538">
        <f t="shared" si="21"/>
        <v>128259.38080919179</v>
      </c>
      <c r="L170" s="539">
        <f t="shared" si="22"/>
        <v>0.98008688146888179</v>
      </c>
      <c r="M170" s="540">
        <f t="shared" si="23"/>
        <v>153028.25092727627</v>
      </c>
      <c r="N170" s="534">
        <f t="shared" si="24"/>
        <v>0.98157004050277652</v>
      </c>
    </row>
    <row r="171" spans="7:14" x14ac:dyDescent="0.2">
      <c r="G171" s="538">
        <f t="shared" si="18"/>
        <v>129674.39503102977</v>
      </c>
      <c r="H171" s="539">
        <f t="shared" si="16"/>
        <v>0.98018245657861769</v>
      </c>
      <c r="I171" s="540">
        <f t="shared" si="19"/>
        <v>129280.03922843978</v>
      </c>
      <c r="J171" s="534">
        <f t="shared" si="20"/>
        <v>0.98015597187177661</v>
      </c>
      <c r="K171" s="538">
        <f t="shared" si="21"/>
        <v>128259.38080919179</v>
      </c>
      <c r="L171" s="539">
        <f t="shared" si="22"/>
        <v>0.98008688146888179</v>
      </c>
      <c r="M171" s="540">
        <f t="shared" si="23"/>
        <v>153028.25092727627</v>
      </c>
      <c r="N171" s="534">
        <f t="shared" si="24"/>
        <v>0.98157004050277652</v>
      </c>
    </row>
    <row r="172" spans="7:14" x14ac:dyDescent="0.2">
      <c r="G172" s="538">
        <f t="shared" si="18"/>
        <v>129674.39503102977</v>
      </c>
      <c r="H172" s="539">
        <f t="shared" si="16"/>
        <v>0.98018245657861769</v>
      </c>
      <c r="I172" s="540">
        <f t="shared" si="19"/>
        <v>129280.03922843978</v>
      </c>
      <c r="J172" s="534">
        <f t="shared" si="20"/>
        <v>0.98015597187177661</v>
      </c>
      <c r="K172" s="538">
        <f t="shared" si="21"/>
        <v>128259.38080919179</v>
      </c>
      <c r="L172" s="539">
        <f t="shared" si="22"/>
        <v>0.98008688146888179</v>
      </c>
      <c r="M172" s="540">
        <f t="shared" si="23"/>
        <v>153028.25092727627</v>
      </c>
      <c r="N172" s="534">
        <f t="shared" si="24"/>
        <v>0.98157004050277652</v>
      </c>
    </row>
    <row r="173" spans="7:14" x14ac:dyDescent="0.2">
      <c r="G173" s="538">
        <f t="shared" si="18"/>
        <v>129674.39503102977</v>
      </c>
      <c r="H173" s="539">
        <f t="shared" si="16"/>
        <v>0.98018245657861769</v>
      </c>
      <c r="I173" s="540">
        <f t="shared" si="19"/>
        <v>129280.03922843978</v>
      </c>
      <c r="J173" s="534">
        <f t="shared" si="20"/>
        <v>0.98015597187177661</v>
      </c>
      <c r="K173" s="538">
        <f t="shared" si="21"/>
        <v>128259.38080919179</v>
      </c>
      <c r="L173" s="539">
        <f t="shared" si="22"/>
        <v>0.98008688146888179</v>
      </c>
      <c r="M173" s="540">
        <f t="shared" si="23"/>
        <v>153028.25092727627</v>
      </c>
      <c r="N173" s="534">
        <f t="shared" si="24"/>
        <v>0.98157004050277652</v>
      </c>
    </row>
    <row r="174" spans="7:14" x14ac:dyDescent="0.2">
      <c r="G174" s="538">
        <f t="shared" si="18"/>
        <v>129674.39503102977</v>
      </c>
      <c r="H174" s="539">
        <f t="shared" si="16"/>
        <v>0.98018245657861769</v>
      </c>
      <c r="I174" s="540">
        <f t="shared" si="19"/>
        <v>129280.03922843978</v>
      </c>
      <c r="J174" s="534">
        <f t="shared" si="20"/>
        <v>0.98015597187177661</v>
      </c>
      <c r="K174" s="538">
        <f t="shared" si="21"/>
        <v>128259.38080919179</v>
      </c>
      <c r="L174" s="539">
        <f t="shared" si="22"/>
        <v>0.98008688146888179</v>
      </c>
      <c r="M174" s="540">
        <f t="shared" si="23"/>
        <v>153028.25092727627</v>
      </c>
      <c r="N174" s="534">
        <f t="shared" si="24"/>
        <v>0.98157004050277652</v>
      </c>
    </row>
    <row r="175" spans="7:14" x14ac:dyDescent="0.2">
      <c r="G175" s="538">
        <f t="shared" si="18"/>
        <v>129674.39503102977</v>
      </c>
      <c r="H175" s="539">
        <f t="shared" si="16"/>
        <v>0.98018245657861769</v>
      </c>
      <c r="I175" s="540">
        <f t="shared" si="19"/>
        <v>129280.03922843978</v>
      </c>
      <c r="J175" s="534">
        <f t="shared" si="20"/>
        <v>0.98015597187177661</v>
      </c>
      <c r="K175" s="538">
        <f t="shared" si="21"/>
        <v>128259.38080919179</v>
      </c>
      <c r="L175" s="539">
        <f t="shared" si="22"/>
        <v>0.98008688146888179</v>
      </c>
      <c r="M175" s="540">
        <f t="shared" si="23"/>
        <v>153028.25092727627</v>
      </c>
      <c r="N175" s="534">
        <f t="shared" si="24"/>
        <v>0.98157004050277652</v>
      </c>
    </row>
    <row r="176" spans="7:14" x14ac:dyDescent="0.2">
      <c r="G176" s="538">
        <f t="shared" si="18"/>
        <v>129674.39503102977</v>
      </c>
      <c r="H176" s="539">
        <f t="shared" si="16"/>
        <v>0.98018245657861769</v>
      </c>
      <c r="I176" s="540">
        <f t="shared" si="19"/>
        <v>129280.03922843978</v>
      </c>
      <c r="J176" s="534">
        <f t="shared" si="20"/>
        <v>0.98015597187177661</v>
      </c>
      <c r="K176" s="538">
        <f t="shared" si="21"/>
        <v>128259.38080919179</v>
      </c>
      <c r="L176" s="539">
        <f t="shared" si="22"/>
        <v>0.98008688146888179</v>
      </c>
      <c r="M176" s="540">
        <f t="shared" si="23"/>
        <v>153028.25092727627</v>
      </c>
      <c r="N176" s="534">
        <f t="shared" si="24"/>
        <v>0.98157004050277652</v>
      </c>
    </row>
    <row r="177" spans="7:14" x14ac:dyDescent="0.2">
      <c r="G177" s="538">
        <f t="shared" si="18"/>
        <v>129674.39503102977</v>
      </c>
      <c r="H177" s="539">
        <f t="shared" si="16"/>
        <v>0.98018245657861769</v>
      </c>
      <c r="I177" s="540">
        <f t="shared" si="19"/>
        <v>129280.03922843978</v>
      </c>
      <c r="J177" s="534">
        <f t="shared" si="20"/>
        <v>0.98015597187177661</v>
      </c>
      <c r="K177" s="538">
        <f t="shared" si="21"/>
        <v>128259.38080919179</v>
      </c>
      <c r="L177" s="539">
        <f t="shared" si="22"/>
        <v>0.98008688146888179</v>
      </c>
      <c r="M177" s="540">
        <f t="shared" si="23"/>
        <v>153028.25092727627</v>
      </c>
      <c r="N177" s="534">
        <f t="shared" si="24"/>
        <v>0.98157004050277652</v>
      </c>
    </row>
    <row r="178" spans="7:14" x14ac:dyDescent="0.2">
      <c r="G178" s="538">
        <f t="shared" si="18"/>
        <v>129674.39503102977</v>
      </c>
      <c r="H178" s="539">
        <f t="shared" si="16"/>
        <v>0.98018245657861769</v>
      </c>
      <c r="I178" s="540">
        <f t="shared" si="19"/>
        <v>129280.03922843978</v>
      </c>
      <c r="J178" s="534">
        <f t="shared" si="20"/>
        <v>0.98015597187177661</v>
      </c>
      <c r="K178" s="538">
        <f t="shared" si="21"/>
        <v>128259.38080919179</v>
      </c>
      <c r="L178" s="539">
        <f t="shared" si="22"/>
        <v>0.98008688146888179</v>
      </c>
      <c r="M178" s="540">
        <f t="shared" si="23"/>
        <v>153028.25092727627</v>
      </c>
      <c r="N178" s="534">
        <f t="shared" si="24"/>
        <v>0.98157004050277652</v>
      </c>
    </row>
    <row r="179" spans="7:14" x14ac:dyDescent="0.2">
      <c r="G179" s="538">
        <f t="shared" si="18"/>
        <v>129674.39503102977</v>
      </c>
      <c r="H179" s="539">
        <f t="shared" si="16"/>
        <v>0.98018245657861769</v>
      </c>
      <c r="I179" s="540">
        <f t="shared" si="19"/>
        <v>129280.03922843978</v>
      </c>
      <c r="J179" s="534">
        <f t="shared" si="20"/>
        <v>0.98015597187177661</v>
      </c>
      <c r="K179" s="538">
        <f t="shared" si="21"/>
        <v>128259.38080919179</v>
      </c>
      <c r="L179" s="539">
        <f t="shared" si="22"/>
        <v>0.98008688146888179</v>
      </c>
      <c r="M179" s="540">
        <f t="shared" si="23"/>
        <v>153028.25092727627</v>
      </c>
      <c r="N179" s="534">
        <f t="shared" si="24"/>
        <v>0.98157004050277652</v>
      </c>
    </row>
    <row r="180" spans="7:14" x14ac:dyDescent="0.2">
      <c r="G180" s="538">
        <f t="shared" si="18"/>
        <v>129674.39503102977</v>
      </c>
      <c r="H180" s="539">
        <f t="shared" si="16"/>
        <v>0.98018245657861769</v>
      </c>
      <c r="I180" s="540">
        <f t="shared" si="19"/>
        <v>129280.03922843978</v>
      </c>
      <c r="J180" s="534">
        <f t="shared" si="20"/>
        <v>0.98015597187177661</v>
      </c>
      <c r="K180" s="538">
        <f t="shared" si="21"/>
        <v>128259.38080919179</v>
      </c>
      <c r="L180" s="539">
        <f t="shared" si="22"/>
        <v>0.98008688146888179</v>
      </c>
      <c r="M180" s="540">
        <f t="shared" si="23"/>
        <v>153028.25092727627</v>
      </c>
      <c r="N180" s="534">
        <f t="shared" si="24"/>
        <v>0.98157004050277652</v>
      </c>
    </row>
    <row r="181" spans="7:14" x14ac:dyDescent="0.2">
      <c r="G181" s="538">
        <f t="shared" si="18"/>
        <v>129674.39503102977</v>
      </c>
      <c r="H181" s="539">
        <f t="shared" si="16"/>
        <v>0.98018245657861769</v>
      </c>
      <c r="I181" s="540">
        <f t="shared" si="19"/>
        <v>129280.03922843978</v>
      </c>
      <c r="J181" s="534">
        <f t="shared" si="20"/>
        <v>0.98015597187177661</v>
      </c>
      <c r="K181" s="538">
        <f t="shared" si="21"/>
        <v>128259.38080919179</v>
      </c>
      <c r="L181" s="539">
        <f t="shared" si="22"/>
        <v>0.98008688146888179</v>
      </c>
      <c r="M181" s="540">
        <f t="shared" si="23"/>
        <v>153028.25092727627</v>
      </c>
      <c r="N181" s="534">
        <f t="shared" si="24"/>
        <v>0.98157004050277652</v>
      </c>
    </row>
    <row r="182" spans="7:14" x14ac:dyDescent="0.2">
      <c r="G182" s="538">
        <f t="shared" si="18"/>
        <v>129674.39503102977</v>
      </c>
      <c r="H182" s="539">
        <f t="shared" si="16"/>
        <v>0.98018245657861769</v>
      </c>
      <c r="I182" s="540">
        <f t="shared" si="19"/>
        <v>129280.03922843978</v>
      </c>
      <c r="J182" s="534">
        <f t="shared" si="20"/>
        <v>0.98015597187177661</v>
      </c>
      <c r="K182" s="538">
        <f t="shared" si="21"/>
        <v>128259.38080919179</v>
      </c>
      <c r="L182" s="539">
        <f t="shared" si="22"/>
        <v>0.98008688146888179</v>
      </c>
      <c r="M182" s="540">
        <f t="shared" si="23"/>
        <v>153028.25092727627</v>
      </c>
      <c r="N182" s="534">
        <f t="shared" si="24"/>
        <v>0.98157004050277652</v>
      </c>
    </row>
    <row r="183" spans="7:14" x14ac:dyDescent="0.2">
      <c r="G183" s="538">
        <f t="shared" si="18"/>
        <v>129674.39503102977</v>
      </c>
      <c r="H183" s="539">
        <f t="shared" si="16"/>
        <v>0.98018245657861769</v>
      </c>
      <c r="I183" s="540">
        <f t="shared" si="19"/>
        <v>129280.03922843978</v>
      </c>
      <c r="J183" s="534">
        <f t="shared" si="20"/>
        <v>0.98015597187177661</v>
      </c>
      <c r="K183" s="538">
        <f t="shared" si="21"/>
        <v>128259.38080919179</v>
      </c>
      <c r="L183" s="539">
        <f t="shared" si="22"/>
        <v>0.98008688146888179</v>
      </c>
      <c r="M183" s="540">
        <f t="shared" si="23"/>
        <v>153028.25092727627</v>
      </c>
      <c r="N183" s="534">
        <f t="shared" si="24"/>
        <v>0.98157004050277652</v>
      </c>
    </row>
    <row r="184" spans="7:14" x14ac:dyDescent="0.2">
      <c r="G184" s="538">
        <f t="shared" si="18"/>
        <v>129674.39503102977</v>
      </c>
      <c r="H184" s="539">
        <f t="shared" si="16"/>
        <v>0.98018245657861769</v>
      </c>
      <c r="I184" s="540">
        <f t="shared" si="19"/>
        <v>129280.03922843978</v>
      </c>
      <c r="J184" s="534">
        <f t="shared" si="20"/>
        <v>0.98015597187177661</v>
      </c>
      <c r="K184" s="538">
        <f t="shared" si="21"/>
        <v>128259.38080919179</v>
      </c>
      <c r="L184" s="539">
        <f t="shared" si="22"/>
        <v>0.98008688146888179</v>
      </c>
      <c r="M184" s="540">
        <f t="shared" si="23"/>
        <v>153028.25092727627</v>
      </c>
      <c r="N184" s="534">
        <f t="shared" si="24"/>
        <v>0.98157004050277652</v>
      </c>
    </row>
    <row r="185" spans="7:14" x14ac:dyDescent="0.2">
      <c r="G185" s="538">
        <f t="shared" si="18"/>
        <v>129674.39503102977</v>
      </c>
      <c r="H185" s="539">
        <f t="shared" si="16"/>
        <v>0.98018245657861769</v>
      </c>
      <c r="I185" s="540">
        <f t="shared" si="19"/>
        <v>129280.03922843978</v>
      </c>
      <c r="J185" s="534">
        <f t="shared" si="20"/>
        <v>0.98015597187177661</v>
      </c>
      <c r="K185" s="538">
        <f t="shared" si="21"/>
        <v>128259.38080919179</v>
      </c>
      <c r="L185" s="539">
        <f t="shared" si="22"/>
        <v>0.98008688146888179</v>
      </c>
      <c r="M185" s="540">
        <f t="shared" si="23"/>
        <v>153028.25092727627</v>
      </c>
      <c r="N185" s="534">
        <f t="shared" si="24"/>
        <v>0.98157004050277652</v>
      </c>
    </row>
    <row r="186" spans="7:14" x14ac:dyDescent="0.2">
      <c r="G186" s="538">
        <f t="shared" si="18"/>
        <v>129674.39503102977</v>
      </c>
      <c r="H186" s="539">
        <f t="shared" si="16"/>
        <v>0.98018245657861769</v>
      </c>
      <c r="I186" s="540">
        <f t="shared" si="19"/>
        <v>129280.03922843978</v>
      </c>
      <c r="J186" s="534">
        <f t="shared" si="20"/>
        <v>0.98015597187177661</v>
      </c>
      <c r="K186" s="538">
        <f t="shared" si="21"/>
        <v>128259.38080919179</v>
      </c>
      <c r="L186" s="539">
        <f t="shared" si="22"/>
        <v>0.98008688146888179</v>
      </c>
      <c r="M186" s="540">
        <f t="shared" si="23"/>
        <v>153028.25092727627</v>
      </c>
      <c r="N186" s="534">
        <f t="shared" si="24"/>
        <v>0.98157004050277652</v>
      </c>
    </row>
    <row r="187" spans="7:14" x14ac:dyDescent="0.2">
      <c r="G187" s="538">
        <f t="shared" si="18"/>
        <v>129674.39503102977</v>
      </c>
      <c r="H187" s="539">
        <f t="shared" si="16"/>
        <v>0.98018245657861769</v>
      </c>
      <c r="I187" s="540">
        <f t="shared" si="19"/>
        <v>129280.03922843978</v>
      </c>
      <c r="J187" s="534">
        <f t="shared" si="20"/>
        <v>0.98015597187177661</v>
      </c>
      <c r="K187" s="538">
        <f t="shared" si="21"/>
        <v>128259.38080919179</v>
      </c>
      <c r="L187" s="539">
        <f t="shared" si="22"/>
        <v>0.98008688146888179</v>
      </c>
      <c r="M187" s="540">
        <f t="shared" si="23"/>
        <v>153028.25092727627</v>
      </c>
      <c r="N187" s="534">
        <f t="shared" si="24"/>
        <v>0.98157004050277652</v>
      </c>
    </row>
    <row r="188" spans="7:14" x14ac:dyDescent="0.2">
      <c r="G188" s="538">
        <f t="shared" si="18"/>
        <v>129674.39503102977</v>
      </c>
      <c r="H188" s="539">
        <f t="shared" si="16"/>
        <v>0.98018245657861769</v>
      </c>
      <c r="I188" s="540">
        <f t="shared" si="19"/>
        <v>129280.03922843978</v>
      </c>
      <c r="J188" s="534">
        <f t="shared" si="20"/>
        <v>0.98015597187177661</v>
      </c>
      <c r="K188" s="538">
        <f t="shared" si="21"/>
        <v>128259.38080919179</v>
      </c>
      <c r="L188" s="539">
        <f t="shared" si="22"/>
        <v>0.98008688146888179</v>
      </c>
      <c r="M188" s="540">
        <f t="shared" si="23"/>
        <v>153028.25092727627</v>
      </c>
      <c r="N188" s="534">
        <f t="shared" si="24"/>
        <v>0.98157004050277652</v>
      </c>
    </row>
    <row r="189" spans="7:14" x14ac:dyDescent="0.2">
      <c r="G189" s="538">
        <f t="shared" si="18"/>
        <v>129674.39503102977</v>
      </c>
      <c r="H189" s="539">
        <f t="shared" si="16"/>
        <v>0.98018245657861769</v>
      </c>
      <c r="I189" s="540">
        <f t="shared" si="19"/>
        <v>129280.03922843978</v>
      </c>
      <c r="J189" s="534">
        <f t="shared" si="20"/>
        <v>0.98015597187177661</v>
      </c>
      <c r="K189" s="538">
        <f t="shared" si="21"/>
        <v>128259.38080919179</v>
      </c>
      <c r="L189" s="539">
        <f t="shared" si="22"/>
        <v>0.98008688146888179</v>
      </c>
      <c r="M189" s="540">
        <f t="shared" si="23"/>
        <v>153028.25092727627</v>
      </c>
      <c r="N189" s="534">
        <f t="shared" si="24"/>
        <v>0.98157004050277652</v>
      </c>
    </row>
    <row r="190" spans="7:14" x14ac:dyDescent="0.2">
      <c r="G190" s="538">
        <f t="shared" si="18"/>
        <v>129674.39503102977</v>
      </c>
      <c r="H190" s="539">
        <f t="shared" si="16"/>
        <v>0.98018245657861769</v>
      </c>
      <c r="I190" s="540">
        <f t="shared" si="19"/>
        <v>129280.03922843978</v>
      </c>
      <c r="J190" s="534">
        <f t="shared" si="20"/>
        <v>0.98015597187177661</v>
      </c>
      <c r="K190" s="538">
        <f t="shared" si="21"/>
        <v>128259.38080919179</v>
      </c>
      <c r="L190" s="539">
        <f t="shared" si="22"/>
        <v>0.98008688146888179</v>
      </c>
      <c r="M190" s="540">
        <f t="shared" si="23"/>
        <v>153028.25092727627</v>
      </c>
      <c r="N190" s="534">
        <f t="shared" si="24"/>
        <v>0.98157004050277652</v>
      </c>
    </row>
    <row r="191" spans="7:14" x14ac:dyDescent="0.2">
      <c r="G191" s="538">
        <f t="shared" si="18"/>
        <v>129674.39503102977</v>
      </c>
      <c r="H191" s="539">
        <f t="shared" si="16"/>
        <v>0.98018245657861769</v>
      </c>
      <c r="I191" s="540">
        <f t="shared" si="19"/>
        <v>129280.03922843978</v>
      </c>
      <c r="J191" s="534">
        <f t="shared" si="20"/>
        <v>0.98015597187177661</v>
      </c>
      <c r="K191" s="538">
        <f t="shared" si="21"/>
        <v>128259.38080919179</v>
      </c>
      <c r="L191" s="539">
        <f t="shared" si="22"/>
        <v>0.98008688146888179</v>
      </c>
      <c r="M191" s="540">
        <f t="shared" si="23"/>
        <v>153028.25092727627</v>
      </c>
      <c r="N191" s="534">
        <f t="shared" si="24"/>
        <v>0.98157004050277652</v>
      </c>
    </row>
    <row r="192" spans="7:14" x14ac:dyDescent="0.2">
      <c r="G192" s="538">
        <f t="shared" si="18"/>
        <v>129674.39503102977</v>
      </c>
      <c r="H192" s="539">
        <f t="shared" si="16"/>
        <v>0.98018245657861769</v>
      </c>
      <c r="I192" s="540">
        <f t="shared" si="19"/>
        <v>129280.03922843978</v>
      </c>
      <c r="J192" s="534">
        <f t="shared" si="20"/>
        <v>0.98015597187177661</v>
      </c>
      <c r="K192" s="538">
        <f t="shared" si="21"/>
        <v>128259.38080919179</v>
      </c>
      <c r="L192" s="539">
        <f t="shared" si="22"/>
        <v>0.98008688146888179</v>
      </c>
      <c r="M192" s="540">
        <f t="shared" si="23"/>
        <v>153028.25092727627</v>
      </c>
      <c r="N192" s="534">
        <f t="shared" si="24"/>
        <v>0.98157004050277652</v>
      </c>
    </row>
    <row r="193" spans="7:14" x14ac:dyDescent="0.2">
      <c r="G193" s="538">
        <f t="shared" si="18"/>
        <v>129674.39503102977</v>
      </c>
      <c r="H193" s="539">
        <f t="shared" si="16"/>
        <v>0.98018245657861769</v>
      </c>
      <c r="I193" s="540">
        <f t="shared" si="19"/>
        <v>129280.03922843978</v>
      </c>
      <c r="J193" s="534">
        <f t="shared" si="20"/>
        <v>0.98015597187177661</v>
      </c>
      <c r="K193" s="538">
        <f t="shared" si="21"/>
        <v>128259.38080919179</v>
      </c>
      <c r="L193" s="539">
        <f t="shared" si="22"/>
        <v>0.98008688146888179</v>
      </c>
      <c r="M193" s="540">
        <f t="shared" si="23"/>
        <v>153028.25092727627</v>
      </c>
      <c r="N193" s="534">
        <f t="shared" si="24"/>
        <v>0.98157004050277652</v>
      </c>
    </row>
    <row r="194" spans="7:14" x14ac:dyDescent="0.2">
      <c r="G194" s="538">
        <f t="shared" si="18"/>
        <v>129674.39503102977</v>
      </c>
      <c r="H194" s="539">
        <f t="shared" si="16"/>
        <v>0.98018245657861769</v>
      </c>
      <c r="I194" s="540">
        <f t="shared" si="19"/>
        <v>129280.03922843978</v>
      </c>
      <c r="J194" s="534">
        <f t="shared" si="20"/>
        <v>0.98015597187177661</v>
      </c>
      <c r="K194" s="538">
        <f t="shared" si="21"/>
        <v>128259.38080919179</v>
      </c>
      <c r="L194" s="539">
        <f t="shared" si="22"/>
        <v>0.98008688146888179</v>
      </c>
      <c r="M194" s="540">
        <f t="shared" si="23"/>
        <v>153028.25092727627</v>
      </c>
      <c r="N194" s="534">
        <f t="shared" si="24"/>
        <v>0.98157004050277652</v>
      </c>
    </row>
    <row r="195" spans="7:14" x14ac:dyDescent="0.2">
      <c r="G195" s="538">
        <f t="shared" si="18"/>
        <v>129674.39503102977</v>
      </c>
      <c r="H195" s="539">
        <f t="shared" ref="H195:H258" si="25">0.9986-(7.006/SQRT(G195))+134.6/G195</f>
        <v>0.98018245657861769</v>
      </c>
      <c r="I195" s="540">
        <f t="shared" si="19"/>
        <v>129280.03922843978</v>
      </c>
      <c r="J195" s="534">
        <f t="shared" si="20"/>
        <v>0.98015597187177661</v>
      </c>
      <c r="K195" s="538">
        <f t="shared" si="21"/>
        <v>128259.38080919179</v>
      </c>
      <c r="L195" s="539">
        <f t="shared" si="22"/>
        <v>0.98008688146888179</v>
      </c>
      <c r="M195" s="540">
        <f t="shared" si="23"/>
        <v>153028.25092727627</v>
      </c>
      <c r="N195" s="534">
        <f t="shared" si="24"/>
        <v>0.98157004050277652</v>
      </c>
    </row>
    <row r="196" spans="7:14" x14ac:dyDescent="0.2">
      <c r="G196" s="538">
        <f t="shared" ref="G196:G259" si="26">($C$6/(1000*$C$12*$C$16))*(H195*SQRT(2*$C$5*100*$C$16))</f>
        <v>129674.39503102977</v>
      </c>
      <c r="H196" s="539">
        <f t="shared" si="25"/>
        <v>0.98018245657861769</v>
      </c>
      <c r="I196" s="540">
        <f t="shared" ref="I196:I259" si="27">($C$7/(1000*$C$12*$C$16))*(J195*SQRT(2*$C$5*100*$C$16))</f>
        <v>129280.03922843978</v>
      </c>
      <c r="J196" s="534">
        <f t="shared" ref="J196:J259" si="28">0.9986-(7.006/SQRT(I196))+134.6/I196</f>
        <v>0.98015597187177661</v>
      </c>
      <c r="K196" s="538">
        <f t="shared" ref="K196:K259" si="29">($C$8/(1000*$C$12*$C$16))*(L195*SQRT(2*$C$5*100*$C$16))</f>
        <v>128259.38080919179</v>
      </c>
      <c r="L196" s="539">
        <f t="shared" ref="L196:L259" si="30">0.9986-(7.006/SQRT(K196))+134.6/K196</f>
        <v>0.98008688146888179</v>
      </c>
      <c r="M196" s="540">
        <f t="shared" ref="M196:M259" si="31">($C$9/(1000*$C$12*$C$16))*(N195*SQRT(2*$C$5*100*$C$16))</f>
        <v>153028.25092727627</v>
      </c>
      <c r="N196" s="534">
        <f t="shared" ref="N196:N259" si="32">0.9986-(7.006/SQRT(M196))+134.6/M196</f>
        <v>0.98157004050277652</v>
      </c>
    </row>
    <row r="197" spans="7:14" x14ac:dyDescent="0.2">
      <c r="G197" s="538">
        <f t="shared" si="26"/>
        <v>129674.39503102977</v>
      </c>
      <c r="H197" s="539">
        <f t="shared" si="25"/>
        <v>0.98018245657861769</v>
      </c>
      <c r="I197" s="540">
        <f t="shared" si="27"/>
        <v>129280.03922843978</v>
      </c>
      <c r="J197" s="534">
        <f t="shared" si="28"/>
        <v>0.98015597187177661</v>
      </c>
      <c r="K197" s="538">
        <f t="shared" si="29"/>
        <v>128259.38080919179</v>
      </c>
      <c r="L197" s="539">
        <f t="shared" si="30"/>
        <v>0.98008688146888179</v>
      </c>
      <c r="M197" s="540">
        <f t="shared" si="31"/>
        <v>153028.25092727627</v>
      </c>
      <c r="N197" s="534">
        <f t="shared" si="32"/>
        <v>0.98157004050277652</v>
      </c>
    </row>
    <row r="198" spans="7:14" x14ac:dyDescent="0.2">
      <c r="G198" s="538">
        <f t="shared" si="26"/>
        <v>129674.39503102977</v>
      </c>
      <c r="H198" s="539">
        <f t="shared" si="25"/>
        <v>0.98018245657861769</v>
      </c>
      <c r="I198" s="540">
        <f t="shared" si="27"/>
        <v>129280.03922843978</v>
      </c>
      <c r="J198" s="534">
        <f t="shared" si="28"/>
        <v>0.98015597187177661</v>
      </c>
      <c r="K198" s="538">
        <f t="shared" si="29"/>
        <v>128259.38080919179</v>
      </c>
      <c r="L198" s="539">
        <f t="shared" si="30"/>
        <v>0.98008688146888179</v>
      </c>
      <c r="M198" s="540">
        <f t="shared" si="31"/>
        <v>153028.25092727627</v>
      </c>
      <c r="N198" s="534">
        <f t="shared" si="32"/>
        <v>0.98157004050277652</v>
      </c>
    </row>
    <row r="199" spans="7:14" x14ac:dyDescent="0.2">
      <c r="G199" s="538">
        <f t="shared" si="26"/>
        <v>129674.39503102977</v>
      </c>
      <c r="H199" s="539">
        <f t="shared" si="25"/>
        <v>0.98018245657861769</v>
      </c>
      <c r="I199" s="540">
        <f t="shared" si="27"/>
        <v>129280.03922843978</v>
      </c>
      <c r="J199" s="534">
        <f t="shared" si="28"/>
        <v>0.98015597187177661</v>
      </c>
      <c r="K199" s="538">
        <f t="shared" si="29"/>
        <v>128259.38080919179</v>
      </c>
      <c r="L199" s="539">
        <f t="shared" si="30"/>
        <v>0.98008688146888179</v>
      </c>
      <c r="M199" s="540">
        <f t="shared" si="31"/>
        <v>153028.25092727627</v>
      </c>
      <c r="N199" s="534">
        <f t="shared" si="32"/>
        <v>0.98157004050277652</v>
      </c>
    </row>
    <row r="200" spans="7:14" x14ac:dyDescent="0.2">
      <c r="G200" s="538">
        <f t="shared" si="26"/>
        <v>129674.39503102977</v>
      </c>
      <c r="H200" s="539">
        <f t="shared" si="25"/>
        <v>0.98018245657861769</v>
      </c>
      <c r="I200" s="540">
        <f t="shared" si="27"/>
        <v>129280.03922843978</v>
      </c>
      <c r="J200" s="534">
        <f t="shared" si="28"/>
        <v>0.98015597187177661</v>
      </c>
      <c r="K200" s="538">
        <f t="shared" si="29"/>
        <v>128259.38080919179</v>
      </c>
      <c r="L200" s="539">
        <f t="shared" si="30"/>
        <v>0.98008688146888179</v>
      </c>
      <c r="M200" s="540">
        <f t="shared" si="31"/>
        <v>153028.25092727627</v>
      </c>
      <c r="N200" s="534">
        <f t="shared" si="32"/>
        <v>0.98157004050277652</v>
      </c>
    </row>
    <row r="201" spans="7:14" x14ac:dyDescent="0.2">
      <c r="G201" s="538">
        <f t="shared" si="26"/>
        <v>129674.39503102977</v>
      </c>
      <c r="H201" s="539">
        <f t="shared" si="25"/>
        <v>0.98018245657861769</v>
      </c>
      <c r="I201" s="540">
        <f t="shared" si="27"/>
        <v>129280.03922843978</v>
      </c>
      <c r="J201" s="534">
        <f t="shared" si="28"/>
        <v>0.98015597187177661</v>
      </c>
      <c r="K201" s="538">
        <f t="shared" si="29"/>
        <v>128259.38080919179</v>
      </c>
      <c r="L201" s="539">
        <f t="shared" si="30"/>
        <v>0.98008688146888179</v>
      </c>
      <c r="M201" s="540">
        <f t="shared" si="31"/>
        <v>153028.25092727627</v>
      </c>
      <c r="N201" s="534">
        <f t="shared" si="32"/>
        <v>0.98157004050277652</v>
      </c>
    </row>
    <row r="202" spans="7:14" x14ac:dyDescent="0.2">
      <c r="G202" s="538">
        <f t="shared" si="26"/>
        <v>129674.39503102977</v>
      </c>
      <c r="H202" s="539">
        <f t="shared" si="25"/>
        <v>0.98018245657861769</v>
      </c>
      <c r="I202" s="540">
        <f t="shared" si="27"/>
        <v>129280.03922843978</v>
      </c>
      <c r="J202" s="534">
        <f t="shared" si="28"/>
        <v>0.98015597187177661</v>
      </c>
      <c r="K202" s="538">
        <f t="shared" si="29"/>
        <v>128259.38080919179</v>
      </c>
      <c r="L202" s="539">
        <f t="shared" si="30"/>
        <v>0.98008688146888179</v>
      </c>
      <c r="M202" s="540">
        <f t="shared" si="31"/>
        <v>153028.25092727627</v>
      </c>
      <c r="N202" s="534">
        <f t="shared" si="32"/>
        <v>0.98157004050277652</v>
      </c>
    </row>
    <row r="203" spans="7:14" x14ac:dyDescent="0.2">
      <c r="G203" s="538">
        <f t="shared" si="26"/>
        <v>129674.39503102977</v>
      </c>
      <c r="H203" s="539">
        <f t="shared" si="25"/>
        <v>0.98018245657861769</v>
      </c>
      <c r="I203" s="540">
        <f t="shared" si="27"/>
        <v>129280.03922843978</v>
      </c>
      <c r="J203" s="534">
        <f t="shared" si="28"/>
        <v>0.98015597187177661</v>
      </c>
      <c r="K203" s="538">
        <f t="shared" si="29"/>
        <v>128259.38080919179</v>
      </c>
      <c r="L203" s="539">
        <f t="shared" si="30"/>
        <v>0.98008688146888179</v>
      </c>
      <c r="M203" s="540">
        <f t="shared" si="31"/>
        <v>153028.25092727627</v>
      </c>
      <c r="N203" s="534">
        <f t="shared" si="32"/>
        <v>0.98157004050277652</v>
      </c>
    </row>
    <row r="204" spans="7:14" x14ac:dyDescent="0.2">
      <c r="G204" s="538">
        <f t="shared" si="26"/>
        <v>129674.39503102977</v>
      </c>
      <c r="H204" s="539">
        <f t="shared" si="25"/>
        <v>0.98018245657861769</v>
      </c>
      <c r="I204" s="540">
        <f t="shared" si="27"/>
        <v>129280.03922843978</v>
      </c>
      <c r="J204" s="534">
        <f t="shared" si="28"/>
        <v>0.98015597187177661</v>
      </c>
      <c r="K204" s="538">
        <f t="shared" si="29"/>
        <v>128259.38080919179</v>
      </c>
      <c r="L204" s="539">
        <f t="shared" si="30"/>
        <v>0.98008688146888179</v>
      </c>
      <c r="M204" s="540">
        <f t="shared" si="31"/>
        <v>153028.25092727627</v>
      </c>
      <c r="N204" s="534">
        <f t="shared" si="32"/>
        <v>0.98157004050277652</v>
      </c>
    </row>
    <row r="205" spans="7:14" x14ac:dyDescent="0.2">
      <c r="G205" s="538">
        <f t="shared" si="26"/>
        <v>129674.39503102977</v>
      </c>
      <c r="H205" s="539">
        <f t="shared" si="25"/>
        <v>0.98018245657861769</v>
      </c>
      <c r="I205" s="540">
        <f t="shared" si="27"/>
        <v>129280.03922843978</v>
      </c>
      <c r="J205" s="534">
        <f t="shared" si="28"/>
        <v>0.98015597187177661</v>
      </c>
      <c r="K205" s="538">
        <f t="shared" si="29"/>
        <v>128259.38080919179</v>
      </c>
      <c r="L205" s="539">
        <f t="shared" si="30"/>
        <v>0.98008688146888179</v>
      </c>
      <c r="M205" s="540">
        <f t="shared" si="31"/>
        <v>153028.25092727627</v>
      </c>
      <c r="N205" s="534">
        <f t="shared" si="32"/>
        <v>0.98157004050277652</v>
      </c>
    </row>
    <row r="206" spans="7:14" x14ac:dyDescent="0.2">
      <c r="G206" s="538">
        <f t="shared" si="26"/>
        <v>129674.39503102977</v>
      </c>
      <c r="H206" s="539">
        <f t="shared" si="25"/>
        <v>0.98018245657861769</v>
      </c>
      <c r="I206" s="540">
        <f t="shared" si="27"/>
        <v>129280.03922843978</v>
      </c>
      <c r="J206" s="534">
        <f t="shared" si="28"/>
        <v>0.98015597187177661</v>
      </c>
      <c r="K206" s="538">
        <f t="shared" si="29"/>
        <v>128259.38080919179</v>
      </c>
      <c r="L206" s="539">
        <f t="shared" si="30"/>
        <v>0.98008688146888179</v>
      </c>
      <c r="M206" s="540">
        <f t="shared" si="31"/>
        <v>153028.25092727627</v>
      </c>
      <c r="N206" s="534">
        <f t="shared" si="32"/>
        <v>0.98157004050277652</v>
      </c>
    </row>
    <row r="207" spans="7:14" x14ac:dyDescent="0.2">
      <c r="G207" s="538">
        <f t="shared" si="26"/>
        <v>129674.39503102977</v>
      </c>
      <c r="H207" s="539">
        <f t="shared" si="25"/>
        <v>0.98018245657861769</v>
      </c>
      <c r="I207" s="540">
        <f t="shared" si="27"/>
        <v>129280.03922843978</v>
      </c>
      <c r="J207" s="534">
        <f t="shared" si="28"/>
        <v>0.98015597187177661</v>
      </c>
      <c r="K207" s="538">
        <f t="shared" si="29"/>
        <v>128259.38080919179</v>
      </c>
      <c r="L207" s="539">
        <f t="shared" si="30"/>
        <v>0.98008688146888179</v>
      </c>
      <c r="M207" s="540">
        <f t="shared" si="31"/>
        <v>153028.25092727627</v>
      </c>
      <c r="N207" s="534">
        <f t="shared" si="32"/>
        <v>0.98157004050277652</v>
      </c>
    </row>
    <row r="208" spans="7:14" x14ac:dyDescent="0.2">
      <c r="G208" s="538">
        <f t="shared" si="26"/>
        <v>129674.39503102977</v>
      </c>
      <c r="H208" s="539">
        <f t="shared" si="25"/>
        <v>0.98018245657861769</v>
      </c>
      <c r="I208" s="540">
        <f t="shared" si="27"/>
        <v>129280.03922843978</v>
      </c>
      <c r="J208" s="534">
        <f t="shared" si="28"/>
        <v>0.98015597187177661</v>
      </c>
      <c r="K208" s="538">
        <f t="shared" si="29"/>
        <v>128259.38080919179</v>
      </c>
      <c r="L208" s="539">
        <f t="shared" si="30"/>
        <v>0.98008688146888179</v>
      </c>
      <c r="M208" s="540">
        <f t="shared" si="31"/>
        <v>153028.25092727627</v>
      </c>
      <c r="N208" s="534">
        <f t="shared" si="32"/>
        <v>0.98157004050277652</v>
      </c>
    </row>
    <row r="209" spans="7:14" x14ac:dyDescent="0.2">
      <c r="G209" s="538">
        <f t="shared" si="26"/>
        <v>129674.39503102977</v>
      </c>
      <c r="H209" s="539">
        <f t="shared" si="25"/>
        <v>0.98018245657861769</v>
      </c>
      <c r="I209" s="540">
        <f t="shared" si="27"/>
        <v>129280.03922843978</v>
      </c>
      <c r="J209" s="534">
        <f t="shared" si="28"/>
        <v>0.98015597187177661</v>
      </c>
      <c r="K209" s="538">
        <f t="shared" si="29"/>
        <v>128259.38080919179</v>
      </c>
      <c r="L209" s="539">
        <f t="shared" si="30"/>
        <v>0.98008688146888179</v>
      </c>
      <c r="M209" s="540">
        <f t="shared" si="31"/>
        <v>153028.25092727627</v>
      </c>
      <c r="N209" s="534">
        <f t="shared" si="32"/>
        <v>0.98157004050277652</v>
      </c>
    </row>
    <row r="210" spans="7:14" x14ac:dyDescent="0.2">
      <c r="G210" s="538">
        <f t="shared" si="26"/>
        <v>129674.39503102977</v>
      </c>
      <c r="H210" s="539">
        <f t="shared" si="25"/>
        <v>0.98018245657861769</v>
      </c>
      <c r="I210" s="540">
        <f t="shared" si="27"/>
        <v>129280.03922843978</v>
      </c>
      <c r="J210" s="534">
        <f t="shared" si="28"/>
        <v>0.98015597187177661</v>
      </c>
      <c r="K210" s="538">
        <f t="shared" si="29"/>
        <v>128259.38080919179</v>
      </c>
      <c r="L210" s="539">
        <f t="shared" si="30"/>
        <v>0.98008688146888179</v>
      </c>
      <c r="M210" s="540">
        <f t="shared" si="31"/>
        <v>153028.25092727627</v>
      </c>
      <c r="N210" s="534">
        <f t="shared" si="32"/>
        <v>0.98157004050277652</v>
      </c>
    </row>
    <row r="211" spans="7:14" x14ac:dyDescent="0.2">
      <c r="G211" s="538">
        <f t="shared" si="26"/>
        <v>129674.39503102977</v>
      </c>
      <c r="H211" s="539">
        <f t="shared" si="25"/>
        <v>0.98018245657861769</v>
      </c>
      <c r="I211" s="540">
        <f t="shared" si="27"/>
        <v>129280.03922843978</v>
      </c>
      <c r="J211" s="534">
        <f t="shared" si="28"/>
        <v>0.98015597187177661</v>
      </c>
      <c r="K211" s="538">
        <f t="shared" si="29"/>
        <v>128259.38080919179</v>
      </c>
      <c r="L211" s="539">
        <f t="shared" si="30"/>
        <v>0.98008688146888179</v>
      </c>
      <c r="M211" s="540">
        <f t="shared" si="31"/>
        <v>153028.25092727627</v>
      </c>
      <c r="N211" s="534">
        <f t="shared" si="32"/>
        <v>0.98157004050277652</v>
      </c>
    </row>
    <row r="212" spans="7:14" x14ac:dyDescent="0.2">
      <c r="G212" s="538">
        <f t="shared" si="26"/>
        <v>129674.39503102977</v>
      </c>
      <c r="H212" s="539">
        <f t="shared" si="25"/>
        <v>0.98018245657861769</v>
      </c>
      <c r="I212" s="540">
        <f t="shared" si="27"/>
        <v>129280.03922843978</v>
      </c>
      <c r="J212" s="534">
        <f t="shared" si="28"/>
        <v>0.98015597187177661</v>
      </c>
      <c r="K212" s="538">
        <f t="shared" si="29"/>
        <v>128259.38080919179</v>
      </c>
      <c r="L212" s="539">
        <f t="shared" si="30"/>
        <v>0.98008688146888179</v>
      </c>
      <c r="M212" s="540">
        <f t="shared" si="31"/>
        <v>153028.25092727627</v>
      </c>
      <c r="N212" s="534">
        <f t="shared" si="32"/>
        <v>0.98157004050277652</v>
      </c>
    </row>
    <row r="213" spans="7:14" x14ac:dyDescent="0.2">
      <c r="G213" s="538">
        <f t="shared" si="26"/>
        <v>129674.39503102977</v>
      </c>
      <c r="H213" s="539">
        <f t="shared" si="25"/>
        <v>0.98018245657861769</v>
      </c>
      <c r="I213" s="540">
        <f t="shared" si="27"/>
        <v>129280.03922843978</v>
      </c>
      <c r="J213" s="534">
        <f t="shared" si="28"/>
        <v>0.98015597187177661</v>
      </c>
      <c r="K213" s="538">
        <f t="shared" si="29"/>
        <v>128259.38080919179</v>
      </c>
      <c r="L213" s="539">
        <f t="shared" si="30"/>
        <v>0.98008688146888179</v>
      </c>
      <c r="M213" s="540">
        <f t="shared" si="31"/>
        <v>153028.25092727627</v>
      </c>
      <c r="N213" s="534">
        <f t="shared" si="32"/>
        <v>0.98157004050277652</v>
      </c>
    </row>
    <row r="214" spans="7:14" x14ac:dyDescent="0.2">
      <c r="G214" s="538">
        <f t="shared" si="26"/>
        <v>129674.39503102977</v>
      </c>
      <c r="H214" s="539">
        <f t="shared" si="25"/>
        <v>0.98018245657861769</v>
      </c>
      <c r="I214" s="540">
        <f t="shared" si="27"/>
        <v>129280.03922843978</v>
      </c>
      <c r="J214" s="534">
        <f t="shared" si="28"/>
        <v>0.98015597187177661</v>
      </c>
      <c r="K214" s="538">
        <f t="shared" si="29"/>
        <v>128259.38080919179</v>
      </c>
      <c r="L214" s="539">
        <f t="shared" si="30"/>
        <v>0.98008688146888179</v>
      </c>
      <c r="M214" s="540">
        <f t="shared" si="31"/>
        <v>153028.25092727627</v>
      </c>
      <c r="N214" s="534">
        <f t="shared" si="32"/>
        <v>0.98157004050277652</v>
      </c>
    </row>
    <row r="215" spans="7:14" x14ac:dyDescent="0.2">
      <c r="G215" s="538">
        <f t="shared" si="26"/>
        <v>129674.39503102977</v>
      </c>
      <c r="H215" s="539">
        <f t="shared" si="25"/>
        <v>0.98018245657861769</v>
      </c>
      <c r="I215" s="540">
        <f t="shared" si="27"/>
        <v>129280.03922843978</v>
      </c>
      <c r="J215" s="534">
        <f t="shared" si="28"/>
        <v>0.98015597187177661</v>
      </c>
      <c r="K215" s="538">
        <f t="shared" si="29"/>
        <v>128259.38080919179</v>
      </c>
      <c r="L215" s="539">
        <f t="shared" si="30"/>
        <v>0.98008688146888179</v>
      </c>
      <c r="M215" s="540">
        <f t="shared" si="31"/>
        <v>153028.25092727627</v>
      </c>
      <c r="N215" s="534">
        <f t="shared" si="32"/>
        <v>0.98157004050277652</v>
      </c>
    </row>
    <row r="216" spans="7:14" x14ac:dyDescent="0.2">
      <c r="G216" s="538">
        <f t="shared" si="26"/>
        <v>129674.39503102977</v>
      </c>
      <c r="H216" s="539">
        <f t="shared" si="25"/>
        <v>0.98018245657861769</v>
      </c>
      <c r="I216" s="540">
        <f t="shared" si="27"/>
        <v>129280.03922843978</v>
      </c>
      <c r="J216" s="534">
        <f t="shared" si="28"/>
        <v>0.98015597187177661</v>
      </c>
      <c r="K216" s="538">
        <f t="shared" si="29"/>
        <v>128259.38080919179</v>
      </c>
      <c r="L216" s="539">
        <f t="shared" si="30"/>
        <v>0.98008688146888179</v>
      </c>
      <c r="M216" s="540">
        <f t="shared" si="31"/>
        <v>153028.25092727627</v>
      </c>
      <c r="N216" s="534">
        <f t="shared" si="32"/>
        <v>0.98157004050277652</v>
      </c>
    </row>
    <row r="217" spans="7:14" x14ac:dyDescent="0.2">
      <c r="G217" s="538">
        <f t="shared" si="26"/>
        <v>129674.39503102977</v>
      </c>
      <c r="H217" s="539">
        <f t="shared" si="25"/>
        <v>0.98018245657861769</v>
      </c>
      <c r="I217" s="540">
        <f t="shared" si="27"/>
        <v>129280.03922843978</v>
      </c>
      <c r="J217" s="534">
        <f t="shared" si="28"/>
        <v>0.98015597187177661</v>
      </c>
      <c r="K217" s="538">
        <f t="shared" si="29"/>
        <v>128259.38080919179</v>
      </c>
      <c r="L217" s="539">
        <f t="shared" si="30"/>
        <v>0.98008688146888179</v>
      </c>
      <c r="M217" s="540">
        <f t="shared" si="31"/>
        <v>153028.25092727627</v>
      </c>
      <c r="N217" s="534">
        <f t="shared" si="32"/>
        <v>0.98157004050277652</v>
      </c>
    </row>
    <row r="218" spans="7:14" x14ac:dyDescent="0.2">
      <c r="G218" s="538">
        <f t="shared" si="26"/>
        <v>129674.39503102977</v>
      </c>
      <c r="H218" s="539">
        <f t="shared" si="25"/>
        <v>0.98018245657861769</v>
      </c>
      <c r="I218" s="540">
        <f t="shared" si="27"/>
        <v>129280.03922843978</v>
      </c>
      <c r="J218" s="534">
        <f t="shared" si="28"/>
        <v>0.98015597187177661</v>
      </c>
      <c r="K218" s="538">
        <f t="shared" si="29"/>
        <v>128259.38080919179</v>
      </c>
      <c r="L218" s="539">
        <f t="shared" si="30"/>
        <v>0.98008688146888179</v>
      </c>
      <c r="M218" s="540">
        <f t="shared" si="31"/>
        <v>153028.25092727627</v>
      </c>
      <c r="N218" s="534">
        <f t="shared" si="32"/>
        <v>0.98157004050277652</v>
      </c>
    </row>
    <row r="219" spans="7:14" x14ac:dyDescent="0.2">
      <c r="G219" s="538">
        <f t="shared" si="26"/>
        <v>129674.39503102977</v>
      </c>
      <c r="H219" s="539">
        <f t="shared" si="25"/>
        <v>0.98018245657861769</v>
      </c>
      <c r="I219" s="540">
        <f t="shared" si="27"/>
        <v>129280.03922843978</v>
      </c>
      <c r="J219" s="534">
        <f t="shared" si="28"/>
        <v>0.98015597187177661</v>
      </c>
      <c r="K219" s="538">
        <f t="shared" si="29"/>
        <v>128259.38080919179</v>
      </c>
      <c r="L219" s="539">
        <f t="shared" si="30"/>
        <v>0.98008688146888179</v>
      </c>
      <c r="M219" s="540">
        <f t="shared" si="31"/>
        <v>153028.25092727627</v>
      </c>
      <c r="N219" s="534">
        <f t="shared" si="32"/>
        <v>0.98157004050277652</v>
      </c>
    </row>
    <row r="220" spans="7:14" x14ac:dyDescent="0.2">
      <c r="G220" s="538">
        <f t="shared" si="26"/>
        <v>129674.39503102977</v>
      </c>
      <c r="H220" s="539">
        <f t="shared" si="25"/>
        <v>0.98018245657861769</v>
      </c>
      <c r="I220" s="540">
        <f t="shared" si="27"/>
        <v>129280.03922843978</v>
      </c>
      <c r="J220" s="534">
        <f t="shared" si="28"/>
        <v>0.98015597187177661</v>
      </c>
      <c r="K220" s="538">
        <f t="shared" si="29"/>
        <v>128259.38080919179</v>
      </c>
      <c r="L220" s="539">
        <f t="shared" si="30"/>
        <v>0.98008688146888179</v>
      </c>
      <c r="M220" s="540">
        <f t="shared" si="31"/>
        <v>153028.25092727627</v>
      </c>
      <c r="N220" s="534">
        <f t="shared" si="32"/>
        <v>0.98157004050277652</v>
      </c>
    </row>
    <row r="221" spans="7:14" x14ac:dyDescent="0.2">
      <c r="G221" s="538">
        <f t="shared" si="26"/>
        <v>129674.39503102977</v>
      </c>
      <c r="H221" s="539">
        <f t="shared" si="25"/>
        <v>0.98018245657861769</v>
      </c>
      <c r="I221" s="540">
        <f t="shared" si="27"/>
        <v>129280.03922843978</v>
      </c>
      <c r="J221" s="534">
        <f t="shared" si="28"/>
        <v>0.98015597187177661</v>
      </c>
      <c r="K221" s="538">
        <f t="shared" si="29"/>
        <v>128259.38080919179</v>
      </c>
      <c r="L221" s="539">
        <f t="shared" si="30"/>
        <v>0.98008688146888179</v>
      </c>
      <c r="M221" s="540">
        <f t="shared" si="31"/>
        <v>153028.25092727627</v>
      </c>
      <c r="N221" s="534">
        <f t="shared" si="32"/>
        <v>0.98157004050277652</v>
      </c>
    </row>
    <row r="222" spans="7:14" x14ac:dyDescent="0.2">
      <c r="G222" s="538">
        <f t="shared" si="26"/>
        <v>129674.39503102977</v>
      </c>
      <c r="H222" s="539">
        <f t="shared" si="25"/>
        <v>0.98018245657861769</v>
      </c>
      <c r="I222" s="540">
        <f t="shared" si="27"/>
        <v>129280.03922843978</v>
      </c>
      <c r="J222" s="534">
        <f t="shared" si="28"/>
        <v>0.98015597187177661</v>
      </c>
      <c r="K222" s="538">
        <f t="shared" si="29"/>
        <v>128259.38080919179</v>
      </c>
      <c r="L222" s="539">
        <f t="shared" si="30"/>
        <v>0.98008688146888179</v>
      </c>
      <c r="M222" s="540">
        <f t="shared" si="31"/>
        <v>153028.25092727627</v>
      </c>
      <c r="N222" s="534">
        <f t="shared" si="32"/>
        <v>0.98157004050277652</v>
      </c>
    </row>
    <row r="223" spans="7:14" x14ac:dyDescent="0.2">
      <c r="G223" s="538">
        <f t="shared" si="26"/>
        <v>129674.39503102977</v>
      </c>
      <c r="H223" s="539">
        <f t="shared" si="25"/>
        <v>0.98018245657861769</v>
      </c>
      <c r="I223" s="540">
        <f t="shared" si="27"/>
        <v>129280.03922843978</v>
      </c>
      <c r="J223" s="534">
        <f t="shared" si="28"/>
        <v>0.98015597187177661</v>
      </c>
      <c r="K223" s="538">
        <f t="shared" si="29"/>
        <v>128259.38080919179</v>
      </c>
      <c r="L223" s="539">
        <f t="shared" si="30"/>
        <v>0.98008688146888179</v>
      </c>
      <c r="M223" s="540">
        <f t="shared" si="31"/>
        <v>153028.25092727627</v>
      </c>
      <c r="N223" s="534">
        <f t="shared" si="32"/>
        <v>0.98157004050277652</v>
      </c>
    </row>
    <row r="224" spans="7:14" x14ac:dyDescent="0.2">
      <c r="G224" s="538">
        <f t="shared" si="26"/>
        <v>129674.39503102977</v>
      </c>
      <c r="H224" s="539">
        <f t="shared" si="25"/>
        <v>0.98018245657861769</v>
      </c>
      <c r="I224" s="540">
        <f t="shared" si="27"/>
        <v>129280.03922843978</v>
      </c>
      <c r="J224" s="534">
        <f t="shared" si="28"/>
        <v>0.98015597187177661</v>
      </c>
      <c r="K224" s="538">
        <f t="shared" si="29"/>
        <v>128259.38080919179</v>
      </c>
      <c r="L224" s="539">
        <f t="shared" si="30"/>
        <v>0.98008688146888179</v>
      </c>
      <c r="M224" s="540">
        <f t="shared" si="31"/>
        <v>153028.25092727627</v>
      </c>
      <c r="N224" s="534">
        <f t="shared" si="32"/>
        <v>0.98157004050277652</v>
      </c>
    </row>
    <row r="225" spans="7:14" x14ac:dyDescent="0.2">
      <c r="G225" s="538">
        <f t="shared" si="26"/>
        <v>129674.39503102977</v>
      </c>
      <c r="H225" s="539">
        <f t="shared" si="25"/>
        <v>0.98018245657861769</v>
      </c>
      <c r="I225" s="540">
        <f t="shared" si="27"/>
        <v>129280.03922843978</v>
      </c>
      <c r="J225" s="534">
        <f t="shared" si="28"/>
        <v>0.98015597187177661</v>
      </c>
      <c r="K225" s="538">
        <f t="shared" si="29"/>
        <v>128259.38080919179</v>
      </c>
      <c r="L225" s="539">
        <f t="shared" si="30"/>
        <v>0.98008688146888179</v>
      </c>
      <c r="M225" s="540">
        <f t="shared" si="31"/>
        <v>153028.25092727627</v>
      </c>
      <c r="N225" s="534">
        <f t="shared" si="32"/>
        <v>0.98157004050277652</v>
      </c>
    </row>
    <row r="226" spans="7:14" x14ac:dyDescent="0.2">
      <c r="G226" s="538">
        <f t="shared" si="26"/>
        <v>129674.39503102977</v>
      </c>
      <c r="H226" s="539">
        <f t="shared" si="25"/>
        <v>0.98018245657861769</v>
      </c>
      <c r="I226" s="540">
        <f t="shared" si="27"/>
        <v>129280.03922843978</v>
      </c>
      <c r="J226" s="534">
        <f t="shared" si="28"/>
        <v>0.98015597187177661</v>
      </c>
      <c r="K226" s="538">
        <f t="shared" si="29"/>
        <v>128259.38080919179</v>
      </c>
      <c r="L226" s="539">
        <f t="shared" si="30"/>
        <v>0.98008688146888179</v>
      </c>
      <c r="M226" s="540">
        <f t="shared" si="31"/>
        <v>153028.25092727627</v>
      </c>
      <c r="N226" s="534">
        <f t="shared" si="32"/>
        <v>0.98157004050277652</v>
      </c>
    </row>
    <row r="227" spans="7:14" x14ac:dyDescent="0.2">
      <c r="G227" s="538">
        <f t="shared" si="26"/>
        <v>129674.39503102977</v>
      </c>
      <c r="H227" s="539">
        <f t="shared" si="25"/>
        <v>0.98018245657861769</v>
      </c>
      <c r="I227" s="540">
        <f t="shared" si="27"/>
        <v>129280.03922843978</v>
      </c>
      <c r="J227" s="534">
        <f t="shared" si="28"/>
        <v>0.98015597187177661</v>
      </c>
      <c r="K227" s="538">
        <f t="shared" si="29"/>
        <v>128259.38080919179</v>
      </c>
      <c r="L227" s="539">
        <f t="shared" si="30"/>
        <v>0.98008688146888179</v>
      </c>
      <c r="M227" s="540">
        <f t="shared" si="31"/>
        <v>153028.25092727627</v>
      </c>
      <c r="N227" s="534">
        <f t="shared" si="32"/>
        <v>0.98157004050277652</v>
      </c>
    </row>
    <row r="228" spans="7:14" x14ac:dyDescent="0.2">
      <c r="G228" s="538">
        <f t="shared" si="26"/>
        <v>129674.39503102977</v>
      </c>
      <c r="H228" s="539">
        <f t="shared" si="25"/>
        <v>0.98018245657861769</v>
      </c>
      <c r="I228" s="540">
        <f t="shared" si="27"/>
        <v>129280.03922843978</v>
      </c>
      <c r="J228" s="534">
        <f t="shared" si="28"/>
        <v>0.98015597187177661</v>
      </c>
      <c r="K228" s="538">
        <f t="shared" si="29"/>
        <v>128259.38080919179</v>
      </c>
      <c r="L228" s="539">
        <f t="shared" si="30"/>
        <v>0.98008688146888179</v>
      </c>
      <c r="M228" s="540">
        <f t="shared" si="31"/>
        <v>153028.25092727627</v>
      </c>
      <c r="N228" s="534">
        <f t="shared" si="32"/>
        <v>0.98157004050277652</v>
      </c>
    </row>
    <row r="229" spans="7:14" x14ac:dyDescent="0.2">
      <c r="G229" s="538">
        <f t="shared" si="26"/>
        <v>129674.39503102977</v>
      </c>
      <c r="H229" s="539">
        <f t="shared" si="25"/>
        <v>0.98018245657861769</v>
      </c>
      <c r="I229" s="540">
        <f t="shared" si="27"/>
        <v>129280.03922843978</v>
      </c>
      <c r="J229" s="534">
        <f t="shared" si="28"/>
        <v>0.98015597187177661</v>
      </c>
      <c r="K229" s="538">
        <f t="shared" si="29"/>
        <v>128259.38080919179</v>
      </c>
      <c r="L229" s="539">
        <f t="shared" si="30"/>
        <v>0.98008688146888179</v>
      </c>
      <c r="M229" s="540">
        <f t="shared" si="31"/>
        <v>153028.25092727627</v>
      </c>
      <c r="N229" s="534">
        <f t="shared" si="32"/>
        <v>0.98157004050277652</v>
      </c>
    </row>
    <row r="230" spans="7:14" x14ac:dyDescent="0.2">
      <c r="G230" s="538">
        <f t="shared" si="26"/>
        <v>129674.39503102977</v>
      </c>
      <c r="H230" s="539">
        <f t="shared" si="25"/>
        <v>0.98018245657861769</v>
      </c>
      <c r="I230" s="540">
        <f t="shared" si="27"/>
        <v>129280.03922843978</v>
      </c>
      <c r="J230" s="534">
        <f t="shared" si="28"/>
        <v>0.98015597187177661</v>
      </c>
      <c r="K230" s="538">
        <f t="shared" si="29"/>
        <v>128259.38080919179</v>
      </c>
      <c r="L230" s="539">
        <f t="shared" si="30"/>
        <v>0.98008688146888179</v>
      </c>
      <c r="M230" s="540">
        <f t="shared" si="31"/>
        <v>153028.25092727627</v>
      </c>
      <c r="N230" s="534">
        <f t="shared" si="32"/>
        <v>0.98157004050277652</v>
      </c>
    </row>
    <row r="231" spans="7:14" x14ac:dyDescent="0.2">
      <c r="G231" s="538">
        <f t="shared" si="26"/>
        <v>129674.39503102977</v>
      </c>
      <c r="H231" s="539">
        <f t="shared" si="25"/>
        <v>0.98018245657861769</v>
      </c>
      <c r="I231" s="540">
        <f t="shared" si="27"/>
        <v>129280.03922843978</v>
      </c>
      <c r="J231" s="534">
        <f t="shared" si="28"/>
        <v>0.98015597187177661</v>
      </c>
      <c r="K231" s="538">
        <f t="shared" si="29"/>
        <v>128259.38080919179</v>
      </c>
      <c r="L231" s="539">
        <f t="shared" si="30"/>
        <v>0.98008688146888179</v>
      </c>
      <c r="M231" s="540">
        <f t="shared" si="31"/>
        <v>153028.25092727627</v>
      </c>
      <c r="N231" s="534">
        <f t="shared" si="32"/>
        <v>0.98157004050277652</v>
      </c>
    </row>
    <row r="232" spans="7:14" x14ac:dyDescent="0.2">
      <c r="G232" s="538">
        <f t="shared" si="26"/>
        <v>129674.39503102977</v>
      </c>
      <c r="H232" s="539">
        <f t="shared" si="25"/>
        <v>0.98018245657861769</v>
      </c>
      <c r="I232" s="540">
        <f t="shared" si="27"/>
        <v>129280.03922843978</v>
      </c>
      <c r="J232" s="534">
        <f t="shared" si="28"/>
        <v>0.98015597187177661</v>
      </c>
      <c r="K232" s="538">
        <f t="shared" si="29"/>
        <v>128259.38080919179</v>
      </c>
      <c r="L232" s="539">
        <f t="shared" si="30"/>
        <v>0.98008688146888179</v>
      </c>
      <c r="M232" s="540">
        <f t="shared" si="31"/>
        <v>153028.25092727627</v>
      </c>
      <c r="N232" s="534">
        <f t="shared" si="32"/>
        <v>0.98157004050277652</v>
      </c>
    </row>
    <row r="233" spans="7:14" x14ac:dyDescent="0.2">
      <c r="G233" s="538">
        <f t="shared" si="26"/>
        <v>129674.39503102977</v>
      </c>
      <c r="H233" s="539">
        <f t="shared" si="25"/>
        <v>0.98018245657861769</v>
      </c>
      <c r="I233" s="540">
        <f t="shared" si="27"/>
        <v>129280.03922843978</v>
      </c>
      <c r="J233" s="534">
        <f t="shared" si="28"/>
        <v>0.98015597187177661</v>
      </c>
      <c r="K233" s="538">
        <f t="shared" si="29"/>
        <v>128259.38080919179</v>
      </c>
      <c r="L233" s="539">
        <f t="shared" si="30"/>
        <v>0.98008688146888179</v>
      </c>
      <c r="M233" s="540">
        <f t="shared" si="31"/>
        <v>153028.25092727627</v>
      </c>
      <c r="N233" s="534">
        <f t="shared" si="32"/>
        <v>0.98157004050277652</v>
      </c>
    </row>
    <row r="234" spans="7:14" x14ac:dyDescent="0.2">
      <c r="G234" s="538">
        <f t="shared" si="26"/>
        <v>129674.39503102977</v>
      </c>
      <c r="H234" s="539">
        <f t="shared" si="25"/>
        <v>0.98018245657861769</v>
      </c>
      <c r="I234" s="540">
        <f t="shared" si="27"/>
        <v>129280.03922843978</v>
      </c>
      <c r="J234" s="534">
        <f t="shared" si="28"/>
        <v>0.98015597187177661</v>
      </c>
      <c r="K234" s="538">
        <f t="shared" si="29"/>
        <v>128259.38080919179</v>
      </c>
      <c r="L234" s="539">
        <f t="shared" si="30"/>
        <v>0.98008688146888179</v>
      </c>
      <c r="M234" s="540">
        <f t="shared" si="31"/>
        <v>153028.25092727627</v>
      </c>
      <c r="N234" s="534">
        <f t="shared" si="32"/>
        <v>0.98157004050277652</v>
      </c>
    </row>
    <row r="235" spans="7:14" x14ac:dyDescent="0.2">
      <c r="G235" s="538">
        <f t="shared" si="26"/>
        <v>129674.39503102977</v>
      </c>
      <c r="H235" s="539">
        <f t="shared" si="25"/>
        <v>0.98018245657861769</v>
      </c>
      <c r="I235" s="540">
        <f t="shared" si="27"/>
        <v>129280.03922843978</v>
      </c>
      <c r="J235" s="534">
        <f t="shared" si="28"/>
        <v>0.98015597187177661</v>
      </c>
      <c r="K235" s="538">
        <f t="shared" si="29"/>
        <v>128259.38080919179</v>
      </c>
      <c r="L235" s="539">
        <f t="shared" si="30"/>
        <v>0.98008688146888179</v>
      </c>
      <c r="M235" s="540">
        <f t="shared" si="31"/>
        <v>153028.25092727627</v>
      </c>
      <c r="N235" s="534">
        <f t="shared" si="32"/>
        <v>0.98157004050277652</v>
      </c>
    </row>
    <row r="236" spans="7:14" x14ac:dyDescent="0.2">
      <c r="G236" s="538">
        <f t="shared" si="26"/>
        <v>129674.39503102977</v>
      </c>
      <c r="H236" s="539">
        <f t="shared" si="25"/>
        <v>0.98018245657861769</v>
      </c>
      <c r="I236" s="540">
        <f t="shared" si="27"/>
        <v>129280.03922843978</v>
      </c>
      <c r="J236" s="534">
        <f t="shared" si="28"/>
        <v>0.98015597187177661</v>
      </c>
      <c r="K236" s="538">
        <f t="shared" si="29"/>
        <v>128259.38080919179</v>
      </c>
      <c r="L236" s="539">
        <f t="shared" si="30"/>
        <v>0.98008688146888179</v>
      </c>
      <c r="M236" s="540">
        <f t="shared" si="31"/>
        <v>153028.25092727627</v>
      </c>
      <c r="N236" s="534">
        <f t="shared" si="32"/>
        <v>0.98157004050277652</v>
      </c>
    </row>
    <row r="237" spans="7:14" x14ac:dyDescent="0.2">
      <c r="G237" s="538">
        <f t="shared" si="26"/>
        <v>129674.39503102977</v>
      </c>
      <c r="H237" s="539">
        <f t="shared" si="25"/>
        <v>0.98018245657861769</v>
      </c>
      <c r="I237" s="540">
        <f t="shared" si="27"/>
        <v>129280.03922843978</v>
      </c>
      <c r="J237" s="534">
        <f t="shared" si="28"/>
        <v>0.98015597187177661</v>
      </c>
      <c r="K237" s="538">
        <f t="shared" si="29"/>
        <v>128259.38080919179</v>
      </c>
      <c r="L237" s="539">
        <f t="shared" si="30"/>
        <v>0.98008688146888179</v>
      </c>
      <c r="M237" s="540">
        <f t="shared" si="31"/>
        <v>153028.25092727627</v>
      </c>
      <c r="N237" s="534">
        <f t="shared" si="32"/>
        <v>0.98157004050277652</v>
      </c>
    </row>
    <row r="238" spans="7:14" x14ac:dyDescent="0.2">
      <c r="G238" s="538">
        <f t="shared" si="26"/>
        <v>129674.39503102977</v>
      </c>
      <c r="H238" s="539">
        <f t="shared" si="25"/>
        <v>0.98018245657861769</v>
      </c>
      <c r="I238" s="540">
        <f t="shared" si="27"/>
        <v>129280.03922843978</v>
      </c>
      <c r="J238" s="534">
        <f t="shared" si="28"/>
        <v>0.98015597187177661</v>
      </c>
      <c r="K238" s="538">
        <f t="shared" si="29"/>
        <v>128259.38080919179</v>
      </c>
      <c r="L238" s="539">
        <f t="shared" si="30"/>
        <v>0.98008688146888179</v>
      </c>
      <c r="M238" s="540">
        <f t="shared" si="31"/>
        <v>153028.25092727627</v>
      </c>
      <c r="N238" s="534">
        <f t="shared" si="32"/>
        <v>0.98157004050277652</v>
      </c>
    </row>
    <row r="239" spans="7:14" x14ac:dyDescent="0.2">
      <c r="G239" s="538">
        <f t="shared" si="26"/>
        <v>129674.39503102977</v>
      </c>
      <c r="H239" s="539">
        <f t="shared" si="25"/>
        <v>0.98018245657861769</v>
      </c>
      <c r="I239" s="540">
        <f t="shared" si="27"/>
        <v>129280.03922843978</v>
      </c>
      <c r="J239" s="534">
        <f t="shared" si="28"/>
        <v>0.98015597187177661</v>
      </c>
      <c r="K239" s="538">
        <f t="shared" si="29"/>
        <v>128259.38080919179</v>
      </c>
      <c r="L239" s="539">
        <f t="shared" si="30"/>
        <v>0.98008688146888179</v>
      </c>
      <c r="M239" s="540">
        <f t="shared" si="31"/>
        <v>153028.25092727627</v>
      </c>
      <c r="N239" s="534">
        <f t="shared" si="32"/>
        <v>0.98157004050277652</v>
      </c>
    </row>
    <row r="240" spans="7:14" x14ac:dyDescent="0.2">
      <c r="G240" s="538">
        <f t="shared" si="26"/>
        <v>129674.39503102977</v>
      </c>
      <c r="H240" s="539">
        <f t="shared" si="25"/>
        <v>0.98018245657861769</v>
      </c>
      <c r="I240" s="540">
        <f t="shared" si="27"/>
        <v>129280.03922843978</v>
      </c>
      <c r="J240" s="534">
        <f t="shared" si="28"/>
        <v>0.98015597187177661</v>
      </c>
      <c r="K240" s="538">
        <f t="shared" si="29"/>
        <v>128259.38080919179</v>
      </c>
      <c r="L240" s="539">
        <f t="shared" si="30"/>
        <v>0.98008688146888179</v>
      </c>
      <c r="M240" s="540">
        <f t="shared" si="31"/>
        <v>153028.25092727627</v>
      </c>
      <c r="N240" s="534">
        <f t="shared" si="32"/>
        <v>0.98157004050277652</v>
      </c>
    </row>
    <row r="241" spans="7:14" x14ac:dyDescent="0.2">
      <c r="G241" s="538">
        <f t="shared" si="26"/>
        <v>129674.39503102977</v>
      </c>
      <c r="H241" s="539">
        <f t="shared" si="25"/>
        <v>0.98018245657861769</v>
      </c>
      <c r="I241" s="540">
        <f t="shared" si="27"/>
        <v>129280.03922843978</v>
      </c>
      <c r="J241" s="534">
        <f t="shared" si="28"/>
        <v>0.98015597187177661</v>
      </c>
      <c r="K241" s="538">
        <f t="shared" si="29"/>
        <v>128259.38080919179</v>
      </c>
      <c r="L241" s="539">
        <f t="shared" si="30"/>
        <v>0.98008688146888179</v>
      </c>
      <c r="M241" s="540">
        <f t="shared" si="31"/>
        <v>153028.25092727627</v>
      </c>
      <c r="N241" s="534">
        <f t="shared" si="32"/>
        <v>0.98157004050277652</v>
      </c>
    </row>
    <row r="242" spans="7:14" x14ac:dyDescent="0.2">
      <c r="G242" s="538">
        <f t="shared" si="26"/>
        <v>129674.39503102977</v>
      </c>
      <c r="H242" s="539">
        <f t="shared" si="25"/>
        <v>0.98018245657861769</v>
      </c>
      <c r="I242" s="540">
        <f t="shared" si="27"/>
        <v>129280.03922843978</v>
      </c>
      <c r="J242" s="534">
        <f t="shared" si="28"/>
        <v>0.98015597187177661</v>
      </c>
      <c r="K242" s="538">
        <f t="shared" si="29"/>
        <v>128259.38080919179</v>
      </c>
      <c r="L242" s="539">
        <f t="shared" si="30"/>
        <v>0.98008688146888179</v>
      </c>
      <c r="M242" s="540">
        <f t="shared" si="31"/>
        <v>153028.25092727627</v>
      </c>
      <c r="N242" s="534">
        <f t="shared" si="32"/>
        <v>0.98157004050277652</v>
      </c>
    </row>
    <row r="243" spans="7:14" x14ac:dyDescent="0.2">
      <c r="G243" s="538">
        <f t="shared" si="26"/>
        <v>129674.39503102977</v>
      </c>
      <c r="H243" s="539">
        <f t="shared" si="25"/>
        <v>0.98018245657861769</v>
      </c>
      <c r="I243" s="540">
        <f t="shared" si="27"/>
        <v>129280.03922843978</v>
      </c>
      <c r="J243" s="534">
        <f t="shared" si="28"/>
        <v>0.98015597187177661</v>
      </c>
      <c r="K243" s="538">
        <f t="shared" si="29"/>
        <v>128259.38080919179</v>
      </c>
      <c r="L243" s="539">
        <f t="shared" si="30"/>
        <v>0.98008688146888179</v>
      </c>
      <c r="M243" s="540">
        <f t="shared" si="31"/>
        <v>153028.25092727627</v>
      </c>
      <c r="N243" s="534">
        <f t="shared" si="32"/>
        <v>0.98157004050277652</v>
      </c>
    </row>
    <row r="244" spans="7:14" x14ac:dyDescent="0.2">
      <c r="G244" s="538">
        <f t="shared" si="26"/>
        <v>129674.39503102977</v>
      </c>
      <c r="H244" s="539">
        <f t="shared" si="25"/>
        <v>0.98018245657861769</v>
      </c>
      <c r="I244" s="540">
        <f t="shared" si="27"/>
        <v>129280.03922843978</v>
      </c>
      <c r="J244" s="534">
        <f t="shared" si="28"/>
        <v>0.98015597187177661</v>
      </c>
      <c r="K244" s="538">
        <f t="shared" si="29"/>
        <v>128259.38080919179</v>
      </c>
      <c r="L244" s="539">
        <f t="shared" si="30"/>
        <v>0.98008688146888179</v>
      </c>
      <c r="M244" s="540">
        <f t="shared" si="31"/>
        <v>153028.25092727627</v>
      </c>
      <c r="N244" s="534">
        <f t="shared" si="32"/>
        <v>0.98157004050277652</v>
      </c>
    </row>
    <row r="245" spans="7:14" x14ac:dyDescent="0.2">
      <c r="G245" s="538">
        <f t="shared" si="26"/>
        <v>129674.39503102977</v>
      </c>
      <c r="H245" s="539">
        <f t="shared" si="25"/>
        <v>0.98018245657861769</v>
      </c>
      <c r="I245" s="540">
        <f t="shared" si="27"/>
        <v>129280.03922843978</v>
      </c>
      <c r="J245" s="534">
        <f t="shared" si="28"/>
        <v>0.98015597187177661</v>
      </c>
      <c r="K245" s="538">
        <f t="shared" si="29"/>
        <v>128259.38080919179</v>
      </c>
      <c r="L245" s="539">
        <f t="shared" si="30"/>
        <v>0.98008688146888179</v>
      </c>
      <c r="M245" s="540">
        <f t="shared" si="31"/>
        <v>153028.25092727627</v>
      </c>
      <c r="N245" s="534">
        <f t="shared" si="32"/>
        <v>0.98157004050277652</v>
      </c>
    </row>
    <row r="246" spans="7:14" x14ac:dyDescent="0.2">
      <c r="G246" s="538">
        <f t="shared" si="26"/>
        <v>129674.39503102977</v>
      </c>
      <c r="H246" s="539">
        <f t="shared" si="25"/>
        <v>0.98018245657861769</v>
      </c>
      <c r="I246" s="540">
        <f t="shared" si="27"/>
        <v>129280.03922843978</v>
      </c>
      <c r="J246" s="534">
        <f t="shared" si="28"/>
        <v>0.98015597187177661</v>
      </c>
      <c r="K246" s="538">
        <f t="shared" si="29"/>
        <v>128259.38080919179</v>
      </c>
      <c r="L246" s="539">
        <f t="shared" si="30"/>
        <v>0.98008688146888179</v>
      </c>
      <c r="M246" s="540">
        <f t="shared" si="31"/>
        <v>153028.25092727627</v>
      </c>
      <c r="N246" s="534">
        <f t="shared" si="32"/>
        <v>0.98157004050277652</v>
      </c>
    </row>
    <row r="247" spans="7:14" x14ac:dyDescent="0.2">
      <c r="G247" s="538">
        <f t="shared" si="26"/>
        <v>129674.39503102977</v>
      </c>
      <c r="H247" s="539">
        <f t="shared" si="25"/>
        <v>0.98018245657861769</v>
      </c>
      <c r="I247" s="540">
        <f t="shared" si="27"/>
        <v>129280.03922843978</v>
      </c>
      <c r="J247" s="534">
        <f t="shared" si="28"/>
        <v>0.98015597187177661</v>
      </c>
      <c r="K247" s="538">
        <f t="shared" si="29"/>
        <v>128259.38080919179</v>
      </c>
      <c r="L247" s="539">
        <f t="shared" si="30"/>
        <v>0.98008688146888179</v>
      </c>
      <c r="M247" s="540">
        <f t="shared" si="31"/>
        <v>153028.25092727627</v>
      </c>
      <c r="N247" s="534">
        <f t="shared" si="32"/>
        <v>0.98157004050277652</v>
      </c>
    </row>
    <row r="248" spans="7:14" x14ac:dyDescent="0.2">
      <c r="G248" s="538">
        <f t="shared" si="26"/>
        <v>129674.39503102977</v>
      </c>
      <c r="H248" s="539">
        <f t="shared" si="25"/>
        <v>0.98018245657861769</v>
      </c>
      <c r="I248" s="540">
        <f t="shared" si="27"/>
        <v>129280.03922843978</v>
      </c>
      <c r="J248" s="534">
        <f t="shared" si="28"/>
        <v>0.98015597187177661</v>
      </c>
      <c r="K248" s="538">
        <f t="shared" si="29"/>
        <v>128259.38080919179</v>
      </c>
      <c r="L248" s="539">
        <f t="shared" si="30"/>
        <v>0.98008688146888179</v>
      </c>
      <c r="M248" s="540">
        <f t="shared" si="31"/>
        <v>153028.25092727627</v>
      </c>
      <c r="N248" s="534">
        <f t="shared" si="32"/>
        <v>0.98157004050277652</v>
      </c>
    </row>
    <row r="249" spans="7:14" x14ac:dyDescent="0.2">
      <c r="G249" s="538">
        <f t="shared" si="26"/>
        <v>129674.39503102977</v>
      </c>
      <c r="H249" s="539">
        <f t="shared" si="25"/>
        <v>0.98018245657861769</v>
      </c>
      <c r="I249" s="540">
        <f t="shared" si="27"/>
        <v>129280.03922843978</v>
      </c>
      <c r="J249" s="534">
        <f t="shared" si="28"/>
        <v>0.98015597187177661</v>
      </c>
      <c r="K249" s="538">
        <f t="shared" si="29"/>
        <v>128259.38080919179</v>
      </c>
      <c r="L249" s="539">
        <f t="shared" si="30"/>
        <v>0.98008688146888179</v>
      </c>
      <c r="M249" s="540">
        <f t="shared" si="31"/>
        <v>153028.25092727627</v>
      </c>
      <c r="N249" s="534">
        <f t="shared" si="32"/>
        <v>0.98157004050277652</v>
      </c>
    </row>
    <row r="250" spans="7:14" x14ac:dyDescent="0.2">
      <c r="G250" s="538">
        <f t="shared" si="26"/>
        <v>129674.39503102977</v>
      </c>
      <c r="H250" s="539">
        <f t="shared" si="25"/>
        <v>0.98018245657861769</v>
      </c>
      <c r="I250" s="540">
        <f t="shared" si="27"/>
        <v>129280.03922843978</v>
      </c>
      <c r="J250" s="534">
        <f t="shared" si="28"/>
        <v>0.98015597187177661</v>
      </c>
      <c r="K250" s="538">
        <f t="shared" si="29"/>
        <v>128259.38080919179</v>
      </c>
      <c r="L250" s="539">
        <f t="shared" si="30"/>
        <v>0.98008688146888179</v>
      </c>
      <c r="M250" s="540">
        <f t="shared" si="31"/>
        <v>153028.25092727627</v>
      </c>
      <c r="N250" s="534">
        <f t="shared" si="32"/>
        <v>0.98157004050277652</v>
      </c>
    </row>
    <row r="251" spans="7:14" x14ac:dyDescent="0.2">
      <c r="G251" s="538">
        <f t="shared" si="26"/>
        <v>129674.39503102977</v>
      </c>
      <c r="H251" s="539">
        <f t="shared" si="25"/>
        <v>0.98018245657861769</v>
      </c>
      <c r="I251" s="540">
        <f t="shared" si="27"/>
        <v>129280.03922843978</v>
      </c>
      <c r="J251" s="534">
        <f t="shared" si="28"/>
        <v>0.98015597187177661</v>
      </c>
      <c r="K251" s="538">
        <f t="shared" si="29"/>
        <v>128259.38080919179</v>
      </c>
      <c r="L251" s="539">
        <f t="shared" si="30"/>
        <v>0.98008688146888179</v>
      </c>
      <c r="M251" s="540">
        <f t="shared" si="31"/>
        <v>153028.25092727627</v>
      </c>
      <c r="N251" s="534">
        <f t="shared" si="32"/>
        <v>0.98157004050277652</v>
      </c>
    </row>
    <row r="252" spans="7:14" x14ac:dyDescent="0.2">
      <c r="G252" s="538">
        <f t="shared" si="26"/>
        <v>129674.39503102977</v>
      </c>
      <c r="H252" s="539">
        <f t="shared" si="25"/>
        <v>0.98018245657861769</v>
      </c>
      <c r="I252" s="540">
        <f t="shared" si="27"/>
        <v>129280.03922843978</v>
      </c>
      <c r="J252" s="534">
        <f t="shared" si="28"/>
        <v>0.98015597187177661</v>
      </c>
      <c r="K252" s="538">
        <f t="shared" si="29"/>
        <v>128259.38080919179</v>
      </c>
      <c r="L252" s="539">
        <f t="shared" si="30"/>
        <v>0.98008688146888179</v>
      </c>
      <c r="M252" s="540">
        <f t="shared" si="31"/>
        <v>153028.25092727627</v>
      </c>
      <c r="N252" s="534">
        <f t="shared" si="32"/>
        <v>0.98157004050277652</v>
      </c>
    </row>
    <row r="253" spans="7:14" x14ac:dyDescent="0.2">
      <c r="G253" s="538">
        <f t="shared" si="26"/>
        <v>129674.39503102977</v>
      </c>
      <c r="H253" s="539">
        <f t="shared" si="25"/>
        <v>0.98018245657861769</v>
      </c>
      <c r="I253" s="540">
        <f t="shared" si="27"/>
        <v>129280.03922843978</v>
      </c>
      <c r="J253" s="534">
        <f t="shared" si="28"/>
        <v>0.98015597187177661</v>
      </c>
      <c r="K253" s="538">
        <f t="shared" si="29"/>
        <v>128259.38080919179</v>
      </c>
      <c r="L253" s="539">
        <f t="shared" si="30"/>
        <v>0.98008688146888179</v>
      </c>
      <c r="M253" s="540">
        <f t="shared" si="31"/>
        <v>153028.25092727627</v>
      </c>
      <c r="N253" s="534">
        <f t="shared" si="32"/>
        <v>0.98157004050277652</v>
      </c>
    </row>
    <row r="254" spans="7:14" x14ac:dyDescent="0.2">
      <c r="G254" s="538">
        <f t="shared" si="26"/>
        <v>129674.39503102977</v>
      </c>
      <c r="H254" s="539">
        <f t="shared" si="25"/>
        <v>0.98018245657861769</v>
      </c>
      <c r="I254" s="540">
        <f t="shared" si="27"/>
        <v>129280.03922843978</v>
      </c>
      <c r="J254" s="534">
        <f t="shared" si="28"/>
        <v>0.98015597187177661</v>
      </c>
      <c r="K254" s="538">
        <f t="shared" si="29"/>
        <v>128259.38080919179</v>
      </c>
      <c r="L254" s="539">
        <f t="shared" si="30"/>
        <v>0.98008688146888179</v>
      </c>
      <c r="M254" s="540">
        <f t="shared" si="31"/>
        <v>153028.25092727627</v>
      </c>
      <c r="N254" s="534">
        <f t="shared" si="32"/>
        <v>0.98157004050277652</v>
      </c>
    </row>
    <row r="255" spans="7:14" x14ac:dyDescent="0.2">
      <c r="G255" s="538">
        <f t="shared" si="26"/>
        <v>129674.39503102977</v>
      </c>
      <c r="H255" s="539">
        <f t="shared" si="25"/>
        <v>0.98018245657861769</v>
      </c>
      <c r="I255" s="540">
        <f t="shared" si="27"/>
        <v>129280.03922843978</v>
      </c>
      <c r="J255" s="534">
        <f t="shared" si="28"/>
        <v>0.98015597187177661</v>
      </c>
      <c r="K255" s="538">
        <f t="shared" si="29"/>
        <v>128259.38080919179</v>
      </c>
      <c r="L255" s="539">
        <f t="shared" si="30"/>
        <v>0.98008688146888179</v>
      </c>
      <c r="M255" s="540">
        <f t="shared" si="31"/>
        <v>153028.25092727627</v>
      </c>
      <c r="N255" s="534">
        <f t="shared" si="32"/>
        <v>0.98157004050277652</v>
      </c>
    </row>
    <row r="256" spans="7:14" x14ac:dyDescent="0.2">
      <c r="G256" s="538">
        <f t="shared" si="26"/>
        <v>129674.39503102977</v>
      </c>
      <c r="H256" s="539">
        <f t="shared" si="25"/>
        <v>0.98018245657861769</v>
      </c>
      <c r="I256" s="540">
        <f t="shared" si="27"/>
        <v>129280.03922843978</v>
      </c>
      <c r="J256" s="534">
        <f t="shared" si="28"/>
        <v>0.98015597187177661</v>
      </c>
      <c r="K256" s="538">
        <f t="shared" si="29"/>
        <v>128259.38080919179</v>
      </c>
      <c r="L256" s="539">
        <f t="shared" si="30"/>
        <v>0.98008688146888179</v>
      </c>
      <c r="M256" s="540">
        <f t="shared" si="31"/>
        <v>153028.25092727627</v>
      </c>
      <c r="N256" s="534">
        <f t="shared" si="32"/>
        <v>0.98157004050277652</v>
      </c>
    </row>
    <row r="257" spans="7:14" x14ac:dyDescent="0.2">
      <c r="G257" s="538">
        <f t="shared" si="26"/>
        <v>129674.39503102977</v>
      </c>
      <c r="H257" s="539">
        <f t="shared" si="25"/>
        <v>0.98018245657861769</v>
      </c>
      <c r="I257" s="540">
        <f t="shared" si="27"/>
        <v>129280.03922843978</v>
      </c>
      <c r="J257" s="534">
        <f t="shared" si="28"/>
        <v>0.98015597187177661</v>
      </c>
      <c r="K257" s="538">
        <f t="shared" si="29"/>
        <v>128259.38080919179</v>
      </c>
      <c r="L257" s="539">
        <f t="shared" si="30"/>
        <v>0.98008688146888179</v>
      </c>
      <c r="M257" s="540">
        <f t="shared" si="31"/>
        <v>153028.25092727627</v>
      </c>
      <c r="N257" s="534">
        <f t="shared" si="32"/>
        <v>0.98157004050277652</v>
      </c>
    </row>
    <row r="258" spans="7:14" x14ac:dyDescent="0.2">
      <c r="G258" s="538">
        <f t="shared" si="26"/>
        <v>129674.39503102977</v>
      </c>
      <c r="H258" s="539">
        <f t="shared" si="25"/>
        <v>0.98018245657861769</v>
      </c>
      <c r="I258" s="540">
        <f t="shared" si="27"/>
        <v>129280.03922843978</v>
      </c>
      <c r="J258" s="534">
        <f t="shared" si="28"/>
        <v>0.98015597187177661</v>
      </c>
      <c r="K258" s="538">
        <f t="shared" si="29"/>
        <v>128259.38080919179</v>
      </c>
      <c r="L258" s="539">
        <f t="shared" si="30"/>
        <v>0.98008688146888179</v>
      </c>
      <c r="M258" s="540">
        <f t="shared" si="31"/>
        <v>153028.25092727627</v>
      </c>
      <c r="N258" s="534">
        <f t="shared" si="32"/>
        <v>0.98157004050277652</v>
      </c>
    </row>
    <row r="259" spans="7:14" x14ac:dyDescent="0.2">
      <c r="G259" s="538">
        <f t="shared" si="26"/>
        <v>129674.39503102977</v>
      </c>
      <c r="H259" s="539">
        <f t="shared" ref="H259:H322" si="33">0.9986-(7.006/SQRT(G259))+134.6/G259</f>
        <v>0.98018245657861769</v>
      </c>
      <c r="I259" s="540">
        <f t="shared" si="27"/>
        <v>129280.03922843978</v>
      </c>
      <c r="J259" s="534">
        <f t="shared" si="28"/>
        <v>0.98015597187177661</v>
      </c>
      <c r="K259" s="538">
        <f t="shared" si="29"/>
        <v>128259.38080919179</v>
      </c>
      <c r="L259" s="539">
        <f t="shared" si="30"/>
        <v>0.98008688146888179</v>
      </c>
      <c r="M259" s="540">
        <f t="shared" si="31"/>
        <v>153028.25092727627</v>
      </c>
      <c r="N259" s="534">
        <f t="shared" si="32"/>
        <v>0.98157004050277652</v>
      </c>
    </row>
    <row r="260" spans="7:14" x14ac:dyDescent="0.2">
      <c r="G260" s="538">
        <f t="shared" ref="G260:G323" si="34">($C$6/(1000*$C$12*$C$16))*(H259*SQRT(2*$C$5*100*$C$16))</f>
        <v>129674.39503102977</v>
      </c>
      <c r="H260" s="539">
        <f t="shared" si="33"/>
        <v>0.98018245657861769</v>
      </c>
      <c r="I260" s="540">
        <f t="shared" ref="I260:I323" si="35">($C$7/(1000*$C$12*$C$16))*(J259*SQRT(2*$C$5*100*$C$16))</f>
        <v>129280.03922843978</v>
      </c>
      <c r="J260" s="534">
        <f t="shared" ref="J260:J323" si="36">0.9986-(7.006/SQRT(I260))+134.6/I260</f>
        <v>0.98015597187177661</v>
      </c>
      <c r="K260" s="538">
        <f t="shared" ref="K260:K323" si="37">($C$8/(1000*$C$12*$C$16))*(L259*SQRT(2*$C$5*100*$C$16))</f>
        <v>128259.38080919179</v>
      </c>
      <c r="L260" s="539">
        <f t="shared" ref="L260:L323" si="38">0.9986-(7.006/SQRT(K260))+134.6/K260</f>
        <v>0.98008688146888179</v>
      </c>
      <c r="M260" s="540">
        <f t="shared" ref="M260:M323" si="39">($C$9/(1000*$C$12*$C$16))*(N259*SQRT(2*$C$5*100*$C$16))</f>
        <v>153028.25092727627</v>
      </c>
      <c r="N260" s="534">
        <f t="shared" ref="N260:N323" si="40">0.9986-(7.006/SQRT(M260))+134.6/M260</f>
        <v>0.98157004050277652</v>
      </c>
    </row>
    <row r="261" spans="7:14" x14ac:dyDescent="0.2">
      <c r="G261" s="538">
        <f t="shared" si="34"/>
        <v>129674.39503102977</v>
      </c>
      <c r="H261" s="539">
        <f t="shared" si="33"/>
        <v>0.98018245657861769</v>
      </c>
      <c r="I261" s="540">
        <f t="shared" si="35"/>
        <v>129280.03922843978</v>
      </c>
      <c r="J261" s="534">
        <f t="shared" si="36"/>
        <v>0.98015597187177661</v>
      </c>
      <c r="K261" s="538">
        <f t="shared" si="37"/>
        <v>128259.38080919179</v>
      </c>
      <c r="L261" s="539">
        <f t="shared" si="38"/>
        <v>0.98008688146888179</v>
      </c>
      <c r="M261" s="540">
        <f t="shared" si="39"/>
        <v>153028.25092727627</v>
      </c>
      <c r="N261" s="534">
        <f t="shared" si="40"/>
        <v>0.98157004050277652</v>
      </c>
    </row>
    <row r="262" spans="7:14" x14ac:dyDescent="0.2">
      <c r="G262" s="538">
        <f t="shared" si="34"/>
        <v>129674.39503102977</v>
      </c>
      <c r="H262" s="539">
        <f t="shared" si="33"/>
        <v>0.98018245657861769</v>
      </c>
      <c r="I262" s="540">
        <f t="shared" si="35"/>
        <v>129280.03922843978</v>
      </c>
      <c r="J262" s="534">
        <f t="shared" si="36"/>
        <v>0.98015597187177661</v>
      </c>
      <c r="K262" s="538">
        <f t="shared" si="37"/>
        <v>128259.38080919179</v>
      </c>
      <c r="L262" s="539">
        <f t="shared" si="38"/>
        <v>0.98008688146888179</v>
      </c>
      <c r="M262" s="540">
        <f t="shared" si="39"/>
        <v>153028.25092727627</v>
      </c>
      <c r="N262" s="534">
        <f t="shared" si="40"/>
        <v>0.98157004050277652</v>
      </c>
    </row>
    <row r="263" spans="7:14" x14ac:dyDescent="0.2">
      <c r="G263" s="538">
        <f t="shared" si="34"/>
        <v>129674.39503102977</v>
      </c>
      <c r="H263" s="539">
        <f t="shared" si="33"/>
        <v>0.98018245657861769</v>
      </c>
      <c r="I263" s="540">
        <f t="shared" si="35"/>
        <v>129280.03922843978</v>
      </c>
      <c r="J263" s="534">
        <f t="shared" si="36"/>
        <v>0.98015597187177661</v>
      </c>
      <c r="K263" s="538">
        <f t="shared" si="37"/>
        <v>128259.38080919179</v>
      </c>
      <c r="L263" s="539">
        <f t="shared" si="38"/>
        <v>0.98008688146888179</v>
      </c>
      <c r="M263" s="540">
        <f t="shared" si="39"/>
        <v>153028.25092727627</v>
      </c>
      <c r="N263" s="534">
        <f t="shared" si="40"/>
        <v>0.98157004050277652</v>
      </c>
    </row>
    <row r="264" spans="7:14" x14ac:dyDescent="0.2">
      <c r="G264" s="538">
        <f t="shared" si="34"/>
        <v>129674.39503102977</v>
      </c>
      <c r="H264" s="539">
        <f t="shared" si="33"/>
        <v>0.98018245657861769</v>
      </c>
      <c r="I264" s="540">
        <f t="shared" si="35"/>
        <v>129280.03922843978</v>
      </c>
      <c r="J264" s="534">
        <f t="shared" si="36"/>
        <v>0.98015597187177661</v>
      </c>
      <c r="K264" s="538">
        <f t="shared" si="37"/>
        <v>128259.38080919179</v>
      </c>
      <c r="L264" s="539">
        <f t="shared" si="38"/>
        <v>0.98008688146888179</v>
      </c>
      <c r="M264" s="540">
        <f t="shared" si="39"/>
        <v>153028.25092727627</v>
      </c>
      <c r="N264" s="534">
        <f t="shared" si="40"/>
        <v>0.98157004050277652</v>
      </c>
    </row>
    <row r="265" spans="7:14" x14ac:dyDescent="0.2">
      <c r="G265" s="538">
        <f t="shared" si="34"/>
        <v>129674.39503102977</v>
      </c>
      <c r="H265" s="539">
        <f t="shared" si="33"/>
        <v>0.98018245657861769</v>
      </c>
      <c r="I265" s="540">
        <f t="shared" si="35"/>
        <v>129280.03922843978</v>
      </c>
      <c r="J265" s="534">
        <f t="shared" si="36"/>
        <v>0.98015597187177661</v>
      </c>
      <c r="K265" s="538">
        <f t="shared" si="37"/>
        <v>128259.38080919179</v>
      </c>
      <c r="L265" s="539">
        <f t="shared" si="38"/>
        <v>0.98008688146888179</v>
      </c>
      <c r="M265" s="540">
        <f t="shared" si="39"/>
        <v>153028.25092727627</v>
      </c>
      <c r="N265" s="534">
        <f t="shared" si="40"/>
        <v>0.98157004050277652</v>
      </c>
    </row>
    <row r="266" spans="7:14" x14ac:dyDescent="0.2">
      <c r="G266" s="538">
        <f t="shared" si="34"/>
        <v>129674.39503102977</v>
      </c>
      <c r="H266" s="539">
        <f t="shared" si="33"/>
        <v>0.98018245657861769</v>
      </c>
      <c r="I266" s="540">
        <f t="shared" si="35"/>
        <v>129280.03922843978</v>
      </c>
      <c r="J266" s="534">
        <f t="shared" si="36"/>
        <v>0.98015597187177661</v>
      </c>
      <c r="K266" s="538">
        <f t="shared" si="37"/>
        <v>128259.38080919179</v>
      </c>
      <c r="L266" s="539">
        <f t="shared" si="38"/>
        <v>0.98008688146888179</v>
      </c>
      <c r="M266" s="540">
        <f t="shared" si="39"/>
        <v>153028.25092727627</v>
      </c>
      <c r="N266" s="534">
        <f t="shared" si="40"/>
        <v>0.98157004050277652</v>
      </c>
    </row>
    <row r="267" spans="7:14" x14ac:dyDescent="0.2">
      <c r="G267" s="538">
        <f t="shared" si="34"/>
        <v>129674.39503102977</v>
      </c>
      <c r="H267" s="539">
        <f t="shared" si="33"/>
        <v>0.98018245657861769</v>
      </c>
      <c r="I267" s="540">
        <f t="shared" si="35"/>
        <v>129280.03922843978</v>
      </c>
      <c r="J267" s="534">
        <f t="shared" si="36"/>
        <v>0.98015597187177661</v>
      </c>
      <c r="K267" s="538">
        <f t="shared" si="37"/>
        <v>128259.38080919179</v>
      </c>
      <c r="L267" s="539">
        <f t="shared" si="38"/>
        <v>0.98008688146888179</v>
      </c>
      <c r="M267" s="540">
        <f t="shared" si="39"/>
        <v>153028.25092727627</v>
      </c>
      <c r="N267" s="534">
        <f t="shared" si="40"/>
        <v>0.98157004050277652</v>
      </c>
    </row>
    <row r="268" spans="7:14" x14ac:dyDescent="0.2">
      <c r="G268" s="538">
        <f t="shared" si="34"/>
        <v>129674.39503102977</v>
      </c>
      <c r="H268" s="539">
        <f t="shared" si="33"/>
        <v>0.98018245657861769</v>
      </c>
      <c r="I268" s="540">
        <f t="shared" si="35"/>
        <v>129280.03922843978</v>
      </c>
      <c r="J268" s="534">
        <f t="shared" si="36"/>
        <v>0.98015597187177661</v>
      </c>
      <c r="K268" s="538">
        <f t="shared" si="37"/>
        <v>128259.38080919179</v>
      </c>
      <c r="L268" s="539">
        <f t="shared" si="38"/>
        <v>0.98008688146888179</v>
      </c>
      <c r="M268" s="540">
        <f t="shared" si="39"/>
        <v>153028.25092727627</v>
      </c>
      <c r="N268" s="534">
        <f t="shared" si="40"/>
        <v>0.98157004050277652</v>
      </c>
    </row>
    <row r="269" spans="7:14" x14ac:dyDescent="0.2">
      <c r="G269" s="538">
        <f t="shared" si="34"/>
        <v>129674.39503102977</v>
      </c>
      <c r="H269" s="539">
        <f t="shared" si="33"/>
        <v>0.98018245657861769</v>
      </c>
      <c r="I269" s="540">
        <f t="shared" si="35"/>
        <v>129280.03922843978</v>
      </c>
      <c r="J269" s="534">
        <f t="shared" si="36"/>
        <v>0.98015597187177661</v>
      </c>
      <c r="K269" s="538">
        <f t="shared" si="37"/>
        <v>128259.38080919179</v>
      </c>
      <c r="L269" s="539">
        <f t="shared" si="38"/>
        <v>0.98008688146888179</v>
      </c>
      <c r="M269" s="540">
        <f t="shared" si="39"/>
        <v>153028.25092727627</v>
      </c>
      <c r="N269" s="534">
        <f t="shared" si="40"/>
        <v>0.98157004050277652</v>
      </c>
    </row>
    <row r="270" spans="7:14" x14ac:dyDescent="0.2">
      <c r="G270" s="538">
        <f t="shared" si="34"/>
        <v>129674.39503102977</v>
      </c>
      <c r="H270" s="539">
        <f t="shared" si="33"/>
        <v>0.98018245657861769</v>
      </c>
      <c r="I270" s="540">
        <f t="shared" si="35"/>
        <v>129280.03922843978</v>
      </c>
      <c r="J270" s="534">
        <f t="shared" si="36"/>
        <v>0.98015597187177661</v>
      </c>
      <c r="K270" s="538">
        <f t="shared" si="37"/>
        <v>128259.38080919179</v>
      </c>
      <c r="L270" s="539">
        <f t="shared" si="38"/>
        <v>0.98008688146888179</v>
      </c>
      <c r="M270" s="540">
        <f t="shared" si="39"/>
        <v>153028.25092727627</v>
      </c>
      <c r="N270" s="534">
        <f t="shared" si="40"/>
        <v>0.98157004050277652</v>
      </c>
    </row>
    <row r="271" spans="7:14" x14ac:dyDescent="0.2">
      <c r="G271" s="538">
        <f t="shared" si="34"/>
        <v>129674.39503102977</v>
      </c>
      <c r="H271" s="539">
        <f t="shared" si="33"/>
        <v>0.98018245657861769</v>
      </c>
      <c r="I271" s="540">
        <f t="shared" si="35"/>
        <v>129280.03922843978</v>
      </c>
      <c r="J271" s="534">
        <f t="shared" si="36"/>
        <v>0.98015597187177661</v>
      </c>
      <c r="K271" s="538">
        <f t="shared" si="37"/>
        <v>128259.38080919179</v>
      </c>
      <c r="L271" s="539">
        <f t="shared" si="38"/>
        <v>0.98008688146888179</v>
      </c>
      <c r="M271" s="540">
        <f t="shared" si="39"/>
        <v>153028.25092727627</v>
      </c>
      <c r="N271" s="534">
        <f t="shared" si="40"/>
        <v>0.98157004050277652</v>
      </c>
    </row>
    <row r="272" spans="7:14" x14ac:dyDescent="0.2">
      <c r="G272" s="538">
        <f t="shared" si="34"/>
        <v>129674.39503102977</v>
      </c>
      <c r="H272" s="539">
        <f t="shared" si="33"/>
        <v>0.98018245657861769</v>
      </c>
      <c r="I272" s="540">
        <f t="shared" si="35"/>
        <v>129280.03922843978</v>
      </c>
      <c r="J272" s="534">
        <f t="shared" si="36"/>
        <v>0.98015597187177661</v>
      </c>
      <c r="K272" s="538">
        <f t="shared" si="37"/>
        <v>128259.38080919179</v>
      </c>
      <c r="L272" s="539">
        <f t="shared" si="38"/>
        <v>0.98008688146888179</v>
      </c>
      <c r="M272" s="540">
        <f t="shared" si="39"/>
        <v>153028.25092727627</v>
      </c>
      <c r="N272" s="534">
        <f t="shared" si="40"/>
        <v>0.98157004050277652</v>
      </c>
    </row>
    <row r="273" spans="7:14" x14ac:dyDescent="0.2">
      <c r="G273" s="538">
        <f t="shared" si="34"/>
        <v>129674.39503102977</v>
      </c>
      <c r="H273" s="539">
        <f t="shared" si="33"/>
        <v>0.98018245657861769</v>
      </c>
      <c r="I273" s="540">
        <f t="shared" si="35"/>
        <v>129280.03922843978</v>
      </c>
      <c r="J273" s="534">
        <f t="shared" si="36"/>
        <v>0.98015597187177661</v>
      </c>
      <c r="K273" s="538">
        <f t="shared" si="37"/>
        <v>128259.38080919179</v>
      </c>
      <c r="L273" s="539">
        <f t="shared" si="38"/>
        <v>0.98008688146888179</v>
      </c>
      <c r="M273" s="540">
        <f t="shared" si="39"/>
        <v>153028.25092727627</v>
      </c>
      <c r="N273" s="534">
        <f t="shared" si="40"/>
        <v>0.98157004050277652</v>
      </c>
    </row>
    <row r="274" spans="7:14" x14ac:dyDescent="0.2">
      <c r="G274" s="538">
        <f t="shared" si="34"/>
        <v>129674.39503102977</v>
      </c>
      <c r="H274" s="539">
        <f t="shared" si="33"/>
        <v>0.98018245657861769</v>
      </c>
      <c r="I274" s="540">
        <f t="shared" si="35"/>
        <v>129280.03922843978</v>
      </c>
      <c r="J274" s="534">
        <f t="shared" si="36"/>
        <v>0.98015597187177661</v>
      </c>
      <c r="K274" s="538">
        <f t="shared" si="37"/>
        <v>128259.38080919179</v>
      </c>
      <c r="L274" s="539">
        <f t="shared" si="38"/>
        <v>0.98008688146888179</v>
      </c>
      <c r="M274" s="540">
        <f t="shared" si="39"/>
        <v>153028.25092727627</v>
      </c>
      <c r="N274" s="534">
        <f t="shared" si="40"/>
        <v>0.98157004050277652</v>
      </c>
    </row>
    <row r="275" spans="7:14" x14ac:dyDescent="0.2">
      <c r="G275" s="538">
        <f t="shared" si="34"/>
        <v>129674.39503102977</v>
      </c>
      <c r="H275" s="539">
        <f t="shared" si="33"/>
        <v>0.98018245657861769</v>
      </c>
      <c r="I275" s="540">
        <f t="shared" si="35"/>
        <v>129280.03922843978</v>
      </c>
      <c r="J275" s="534">
        <f t="shared" si="36"/>
        <v>0.98015597187177661</v>
      </c>
      <c r="K275" s="538">
        <f t="shared" si="37"/>
        <v>128259.38080919179</v>
      </c>
      <c r="L275" s="539">
        <f t="shared" si="38"/>
        <v>0.98008688146888179</v>
      </c>
      <c r="M275" s="540">
        <f t="shared" si="39"/>
        <v>153028.25092727627</v>
      </c>
      <c r="N275" s="534">
        <f t="shared" si="40"/>
        <v>0.98157004050277652</v>
      </c>
    </row>
    <row r="276" spans="7:14" x14ac:dyDescent="0.2">
      <c r="G276" s="538">
        <f t="shared" si="34"/>
        <v>129674.39503102977</v>
      </c>
      <c r="H276" s="539">
        <f t="shared" si="33"/>
        <v>0.98018245657861769</v>
      </c>
      <c r="I276" s="540">
        <f t="shared" si="35"/>
        <v>129280.03922843978</v>
      </c>
      <c r="J276" s="534">
        <f t="shared" si="36"/>
        <v>0.98015597187177661</v>
      </c>
      <c r="K276" s="538">
        <f t="shared" si="37"/>
        <v>128259.38080919179</v>
      </c>
      <c r="L276" s="539">
        <f t="shared" si="38"/>
        <v>0.98008688146888179</v>
      </c>
      <c r="M276" s="540">
        <f t="shared" si="39"/>
        <v>153028.25092727627</v>
      </c>
      <c r="N276" s="534">
        <f t="shared" si="40"/>
        <v>0.98157004050277652</v>
      </c>
    </row>
    <row r="277" spans="7:14" x14ac:dyDescent="0.2">
      <c r="G277" s="538">
        <f t="shared" si="34"/>
        <v>129674.39503102977</v>
      </c>
      <c r="H277" s="539">
        <f t="shared" si="33"/>
        <v>0.98018245657861769</v>
      </c>
      <c r="I277" s="540">
        <f t="shared" si="35"/>
        <v>129280.03922843978</v>
      </c>
      <c r="J277" s="534">
        <f t="shared" si="36"/>
        <v>0.98015597187177661</v>
      </c>
      <c r="K277" s="538">
        <f t="shared" si="37"/>
        <v>128259.38080919179</v>
      </c>
      <c r="L277" s="539">
        <f t="shared" si="38"/>
        <v>0.98008688146888179</v>
      </c>
      <c r="M277" s="540">
        <f t="shared" si="39"/>
        <v>153028.25092727627</v>
      </c>
      <c r="N277" s="534">
        <f t="shared" si="40"/>
        <v>0.98157004050277652</v>
      </c>
    </row>
    <row r="278" spans="7:14" x14ac:dyDescent="0.2">
      <c r="G278" s="538">
        <f t="shared" si="34"/>
        <v>129674.39503102977</v>
      </c>
      <c r="H278" s="539">
        <f t="shared" si="33"/>
        <v>0.98018245657861769</v>
      </c>
      <c r="I278" s="540">
        <f t="shared" si="35"/>
        <v>129280.03922843978</v>
      </c>
      <c r="J278" s="534">
        <f t="shared" si="36"/>
        <v>0.98015597187177661</v>
      </c>
      <c r="K278" s="538">
        <f t="shared" si="37"/>
        <v>128259.38080919179</v>
      </c>
      <c r="L278" s="539">
        <f t="shared" si="38"/>
        <v>0.98008688146888179</v>
      </c>
      <c r="M278" s="540">
        <f t="shared" si="39"/>
        <v>153028.25092727627</v>
      </c>
      <c r="N278" s="534">
        <f t="shared" si="40"/>
        <v>0.98157004050277652</v>
      </c>
    </row>
    <row r="279" spans="7:14" x14ac:dyDescent="0.2">
      <c r="G279" s="538">
        <f t="shared" si="34"/>
        <v>129674.39503102977</v>
      </c>
      <c r="H279" s="539">
        <f t="shared" si="33"/>
        <v>0.98018245657861769</v>
      </c>
      <c r="I279" s="540">
        <f t="shared" si="35"/>
        <v>129280.03922843978</v>
      </c>
      <c r="J279" s="534">
        <f t="shared" si="36"/>
        <v>0.98015597187177661</v>
      </c>
      <c r="K279" s="538">
        <f t="shared" si="37"/>
        <v>128259.38080919179</v>
      </c>
      <c r="L279" s="539">
        <f t="shared" si="38"/>
        <v>0.98008688146888179</v>
      </c>
      <c r="M279" s="540">
        <f t="shared" si="39"/>
        <v>153028.25092727627</v>
      </c>
      <c r="N279" s="534">
        <f t="shared" si="40"/>
        <v>0.98157004050277652</v>
      </c>
    </row>
    <row r="280" spans="7:14" x14ac:dyDescent="0.2">
      <c r="G280" s="538">
        <f t="shared" si="34"/>
        <v>129674.39503102977</v>
      </c>
      <c r="H280" s="539">
        <f t="shared" si="33"/>
        <v>0.98018245657861769</v>
      </c>
      <c r="I280" s="540">
        <f t="shared" si="35"/>
        <v>129280.03922843978</v>
      </c>
      <c r="J280" s="534">
        <f t="shared" si="36"/>
        <v>0.98015597187177661</v>
      </c>
      <c r="K280" s="538">
        <f t="shared" si="37"/>
        <v>128259.38080919179</v>
      </c>
      <c r="L280" s="539">
        <f t="shared" si="38"/>
        <v>0.98008688146888179</v>
      </c>
      <c r="M280" s="540">
        <f t="shared" si="39"/>
        <v>153028.25092727627</v>
      </c>
      <c r="N280" s="534">
        <f t="shared" si="40"/>
        <v>0.98157004050277652</v>
      </c>
    </row>
    <row r="281" spans="7:14" x14ac:dyDescent="0.2">
      <c r="G281" s="538">
        <f t="shared" si="34"/>
        <v>129674.39503102977</v>
      </c>
      <c r="H281" s="539">
        <f t="shared" si="33"/>
        <v>0.98018245657861769</v>
      </c>
      <c r="I281" s="540">
        <f t="shared" si="35"/>
        <v>129280.03922843978</v>
      </c>
      <c r="J281" s="534">
        <f t="shared" si="36"/>
        <v>0.98015597187177661</v>
      </c>
      <c r="K281" s="538">
        <f t="shared" si="37"/>
        <v>128259.38080919179</v>
      </c>
      <c r="L281" s="539">
        <f t="shared" si="38"/>
        <v>0.98008688146888179</v>
      </c>
      <c r="M281" s="540">
        <f t="shared" si="39"/>
        <v>153028.25092727627</v>
      </c>
      <c r="N281" s="534">
        <f t="shared" si="40"/>
        <v>0.98157004050277652</v>
      </c>
    </row>
    <row r="282" spans="7:14" x14ac:dyDescent="0.2">
      <c r="G282" s="538">
        <f t="shared" si="34"/>
        <v>129674.39503102977</v>
      </c>
      <c r="H282" s="539">
        <f t="shared" si="33"/>
        <v>0.98018245657861769</v>
      </c>
      <c r="I282" s="540">
        <f t="shared" si="35"/>
        <v>129280.03922843978</v>
      </c>
      <c r="J282" s="534">
        <f t="shared" si="36"/>
        <v>0.98015597187177661</v>
      </c>
      <c r="K282" s="538">
        <f t="shared" si="37"/>
        <v>128259.38080919179</v>
      </c>
      <c r="L282" s="539">
        <f t="shared" si="38"/>
        <v>0.98008688146888179</v>
      </c>
      <c r="M282" s="540">
        <f t="shared" si="39"/>
        <v>153028.25092727627</v>
      </c>
      <c r="N282" s="534">
        <f t="shared" si="40"/>
        <v>0.98157004050277652</v>
      </c>
    </row>
    <row r="283" spans="7:14" x14ac:dyDescent="0.2">
      <c r="G283" s="538">
        <f t="shared" si="34"/>
        <v>129674.39503102977</v>
      </c>
      <c r="H283" s="539">
        <f t="shared" si="33"/>
        <v>0.98018245657861769</v>
      </c>
      <c r="I283" s="540">
        <f t="shared" si="35"/>
        <v>129280.03922843978</v>
      </c>
      <c r="J283" s="534">
        <f t="shared" si="36"/>
        <v>0.98015597187177661</v>
      </c>
      <c r="K283" s="538">
        <f t="shared" si="37"/>
        <v>128259.38080919179</v>
      </c>
      <c r="L283" s="539">
        <f t="shared" si="38"/>
        <v>0.98008688146888179</v>
      </c>
      <c r="M283" s="540">
        <f t="shared" si="39"/>
        <v>153028.25092727627</v>
      </c>
      <c r="N283" s="534">
        <f t="shared" si="40"/>
        <v>0.98157004050277652</v>
      </c>
    </row>
    <row r="284" spans="7:14" x14ac:dyDescent="0.2">
      <c r="G284" s="538">
        <f t="shared" si="34"/>
        <v>129674.39503102977</v>
      </c>
      <c r="H284" s="539">
        <f t="shared" si="33"/>
        <v>0.98018245657861769</v>
      </c>
      <c r="I284" s="540">
        <f t="shared" si="35"/>
        <v>129280.03922843978</v>
      </c>
      <c r="J284" s="534">
        <f t="shared" si="36"/>
        <v>0.98015597187177661</v>
      </c>
      <c r="K284" s="538">
        <f t="shared" si="37"/>
        <v>128259.38080919179</v>
      </c>
      <c r="L284" s="539">
        <f t="shared" si="38"/>
        <v>0.98008688146888179</v>
      </c>
      <c r="M284" s="540">
        <f t="shared" si="39"/>
        <v>153028.25092727627</v>
      </c>
      <c r="N284" s="534">
        <f t="shared" si="40"/>
        <v>0.98157004050277652</v>
      </c>
    </row>
    <row r="285" spans="7:14" x14ac:dyDescent="0.2">
      <c r="G285" s="538">
        <f t="shared" si="34"/>
        <v>129674.39503102977</v>
      </c>
      <c r="H285" s="539">
        <f t="shared" si="33"/>
        <v>0.98018245657861769</v>
      </c>
      <c r="I285" s="540">
        <f t="shared" si="35"/>
        <v>129280.03922843978</v>
      </c>
      <c r="J285" s="534">
        <f t="shared" si="36"/>
        <v>0.98015597187177661</v>
      </c>
      <c r="K285" s="538">
        <f t="shared" si="37"/>
        <v>128259.38080919179</v>
      </c>
      <c r="L285" s="539">
        <f t="shared" si="38"/>
        <v>0.98008688146888179</v>
      </c>
      <c r="M285" s="540">
        <f t="shared" si="39"/>
        <v>153028.25092727627</v>
      </c>
      <c r="N285" s="534">
        <f t="shared" si="40"/>
        <v>0.98157004050277652</v>
      </c>
    </row>
    <row r="286" spans="7:14" x14ac:dyDescent="0.2">
      <c r="G286" s="538">
        <f t="shared" si="34"/>
        <v>129674.39503102977</v>
      </c>
      <c r="H286" s="539">
        <f t="shared" si="33"/>
        <v>0.98018245657861769</v>
      </c>
      <c r="I286" s="540">
        <f t="shared" si="35"/>
        <v>129280.03922843978</v>
      </c>
      <c r="J286" s="534">
        <f t="shared" si="36"/>
        <v>0.98015597187177661</v>
      </c>
      <c r="K286" s="538">
        <f t="shared" si="37"/>
        <v>128259.38080919179</v>
      </c>
      <c r="L286" s="539">
        <f t="shared" si="38"/>
        <v>0.98008688146888179</v>
      </c>
      <c r="M286" s="540">
        <f t="shared" si="39"/>
        <v>153028.25092727627</v>
      </c>
      <c r="N286" s="534">
        <f t="shared" si="40"/>
        <v>0.98157004050277652</v>
      </c>
    </row>
    <row r="287" spans="7:14" x14ac:dyDescent="0.2">
      <c r="G287" s="538">
        <f t="shared" si="34"/>
        <v>129674.39503102977</v>
      </c>
      <c r="H287" s="539">
        <f t="shared" si="33"/>
        <v>0.98018245657861769</v>
      </c>
      <c r="I287" s="540">
        <f t="shared" si="35"/>
        <v>129280.03922843978</v>
      </c>
      <c r="J287" s="534">
        <f t="shared" si="36"/>
        <v>0.98015597187177661</v>
      </c>
      <c r="K287" s="538">
        <f t="shared" si="37"/>
        <v>128259.38080919179</v>
      </c>
      <c r="L287" s="539">
        <f t="shared" si="38"/>
        <v>0.98008688146888179</v>
      </c>
      <c r="M287" s="540">
        <f t="shared" si="39"/>
        <v>153028.25092727627</v>
      </c>
      <c r="N287" s="534">
        <f t="shared" si="40"/>
        <v>0.98157004050277652</v>
      </c>
    </row>
    <row r="288" spans="7:14" x14ac:dyDescent="0.2">
      <c r="G288" s="538">
        <f t="shared" si="34"/>
        <v>129674.39503102977</v>
      </c>
      <c r="H288" s="539">
        <f t="shared" si="33"/>
        <v>0.98018245657861769</v>
      </c>
      <c r="I288" s="540">
        <f t="shared" si="35"/>
        <v>129280.03922843978</v>
      </c>
      <c r="J288" s="534">
        <f t="shared" si="36"/>
        <v>0.98015597187177661</v>
      </c>
      <c r="K288" s="538">
        <f t="shared" si="37"/>
        <v>128259.38080919179</v>
      </c>
      <c r="L288" s="539">
        <f t="shared" si="38"/>
        <v>0.98008688146888179</v>
      </c>
      <c r="M288" s="540">
        <f t="shared" si="39"/>
        <v>153028.25092727627</v>
      </c>
      <c r="N288" s="534">
        <f t="shared" si="40"/>
        <v>0.98157004050277652</v>
      </c>
    </row>
    <row r="289" spans="7:14" x14ac:dyDescent="0.2">
      <c r="G289" s="538">
        <f t="shared" si="34"/>
        <v>129674.39503102977</v>
      </c>
      <c r="H289" s="539">
        <f t="shared" si="33"/>
        <v>0.98018245657861769</v>
      </c>
      <c r="I289" s="540">
        <f t="shared" si="35"/>
        <v>129280.03922843978</v>
      </c>
      <c r="J289" s="534">
        <f t="shared" si="36"/>
        <v>0.98015597187177661</v>
      </c>
      <c r="K289" s="538">
        <f t="shared" si="37"/>
        <v>128259.38080919179</v>
      </c>
      <c r="L289" s="539">
        <f t="shared" si="38"/>
        <v>0.98008688146888179</v>
      </c>
      <c r="M289" s="540">
        <f t="shared" si="39"/>
        <v>153028.25092727627</v>
      </c>
      <c r="N289" s="534">
        <f t="shared" si="40"/>
        <v>0.98157004050277652</v>
      </c>
    </row>
    <row r="290" spans="7:14" x14ac:dyDescent="0.2">
      <c r="G290" s="538">
        <f t="shared" si="34"/>
        <v>129674.39503102977</v>
      </c>
      <c r="H290" s="539">
        <f t="shared" si="33"/>
        <v>0.98018245657861769</v>
      </c>
      <c r="I290" s="540">
        <f t="shared" si="35"/>
        <v>129280.03922843978</v>
      </c>
      <c r="J290" s="534">
        <f t="shared" si="36"/>
        <v>0.98015597187177661</v>
      </c>
      <c r="K290" s="538">
        <f t="shared" si="37"/>
        <v>128259.38080919179</v>
      </c>
      <c r="L290" s="539">
        <f t="shared" si="38"/>
        <v>0.98008688146888179</v>
      </c>
      <c r="M290" s="540">
        <f t="shared" si="39"/>
        <v>153028.25092727627</v>
      </c>
      <c r="N290" s="534">
        <f t="shared" si="40"/>
        <v>0.98157004050277652</v>
      </c>
    </row>
    <row r="291" spans="7:14" x14ac:dyDescent="0.2">
      <c r="G291" s="538">
        <f t="shared" si="34"/>
        <v>129674.39503102977</v>
      </c>
      <c r="H291" s="539">
        <f t="shared" si="33"/>
        <v>0.98018245657861769</v>
      </c>
      <c r="I291" s="540">
        <f t="shared" si="35"/>
        <v>129280.03922843978</v>
      </c>
      <c r="J291" s="534">
        <f t="shared" si="36"/>
        <v>0.98015597187177661</v>
      </c>
      <c r="K291" s="538">
        <f t="shared" si="37"/>
        <v>128259.38080919179</v>
      </c>
      <c r="L291" s="539">
        <f t="shared" si="38"/>
        <v>0.98008688146888179</v>
      </c>
      <c r="M291" s="540">
        <f t="shared" si="39"/>
        <v>153028.25092727627</v>
      </c>
      <c r="N291" s="534">
        <f t="shared" si="40"/>
        <v>0.98157004050277652</v>
      </c>
    </row>
    <row r="292" spans="7:14" x14ac:dyDescent="0.2">
      <c r="G292" s="538">
        <f t="shared" si="34"/>
        <v>129674.39503102977</v>
      </c>
      <c r="H292" s="539">
        <f t="shared" si="33"/>
        <v>0.98018245657861769</v>
      </c>
      <c r="I292" s="540">
        <f t="shared" si="35"/>
        <v>129280.03922843978</v>
      </c>
      <c r="J292" s="534">
        <f t="shared" si="36"/>
        <v>0.98015597187177661</v>
      </c>
      <c r="K292" s="538">
        <f t="shared" si="37"/>
        <v>128259.38080919179</v>
      </c>
      <c r="L292" s="539">
        <f t="shared" si="38"/>
        <v>0.98008688146888179</v>
      </c>
      <c r="M292" s="540">
        <f t="shared" si="39"/>
        <v>153028.25092727627</v>
      </c>
      <c r="N292" s="534">
        <f t="shared" si="40"/>
        <v>0.98157004050277652</v>
      </c>
    </row>
    <row r="293" spans="7:14" x14ac:dyDescent="0.2">
      <c r="G293" s="538">
        <f t="shared" si="34"/>
        <v>129674.39503102977</v>
      </c>
      <c r="H293" s="539">
        <f t="shared" si="33"/>
        <v>0.98018245657861769</v>
      </c>
      <c r="I293" s="540">
        <f t="shared" si="35"/>
        <v>129280.03922843978</v>
      </c>
      <c r="J293" s="534">
        <f t="shared" si="36"/>
        <v>0.98015597187177661</v>
      </c>
      <c r="K293" s="538">
        <f t="shared" si="37"/>
        <v>128259.38080919179</v>
      </c>
      <c r="L293" s="539">
        <f t="shared" si="38"/>
        <v>0.98008688146888179</v>
      </c>
      <c r="M293" s="540">
        <f t="shared" si="39"/>
        <v>153028.25092727627</v>
      </c>
      <c r="N293" s="534">
        <f t="shared" si="40"/>
        <v>0.98157004050277652</v>
      </c>
    </row>
    <row r="294" spans="7:14" x14ac:dyDescent="0.2">
      <c r="G294" s="538">
        <f t="shared" si="34"/>
        <v>129674.39503102977</v>
      </c>
      <c r="H294" s="539">
        <f t="shared" si="33"/>
        <v>0.98018245657861769</v>
      </c>
      <c r="I294" s="540">
        <f t="shared" si="35"/>
        <v>129280.03922843978</v>
      </c>
      <c r="J294" s="534">
        <f t="shared" si="36"/>
        <v>0.98015597187177661</v>
      </c>
      <c r="K294" s="538">
        <f t="shared" si="37"/>
        <v>128259.38080919179</v>
      </c>
      <c r="L294" s="539">
        <f t="shared" si="38"/>
        <v>0.98008688146888179</v>
      </c>
      <c r="M294" s="540">
        <f t="shared" si="39"/>
        <v>153028.25092727627</v>
      </c>
      <c r="N294" s="534">
        <f t="shared" si="40"/>
        <v>0.98157004050277652</v>
      </c>
    </row>
    <row r="295" spans="7:14" x14ac:dyDescent="0.2">
      <c r="G295" s="538">
        <f t="shared" si="34"/>
        <v>129674.39503102977</v>
      </c>
      <c r="H295" s="539">
        <f t="shared" si="33"/>
        <v>0.98018245657861769</v>
      </c>
      <c r="I295" s="540">
        <f t="shared" si="35"/>
        <v>129280.03922843978</v>
      </c>
      <c r="J295" s="534">
        <f t="shared" si="36"/>
        <v>0.98015597187177661</v>
      </c>
      <c r="K295" s="538">
        <f t="shared" si="37"/>
        <v>128259.38080919179</v>
      </c>
      <c r="L295" s="539">
        <f t="shared" si="38"/>
        <v>0.98008688146888179</v>
      </c>
      <c r="M295" s="540">
        <f t="shared" si="39"/>
        <v>153028.25092727627</v>
      </c>
      <c r="N295" s="534">
        <f t="shared" si="40"/>
        <v>0.98157004050277652</v>
      </c>
    </row>
    <row r="296" spans="7:14" x14ac:dyDescent="0.2">
      <c r="G296" s="538">
        <f t="shared" si="34"/>
        <v>129674.39503102977</v>
      </c>
      <c r="H296" s="539">
        <f t="shared" si="33"/>
        <v>0.98018245657861769</v>
      </c>
      <c r="I296" s="540">
        <f t="shared" si="35"/>
        <v>129280.03922843978</v>
      </c>
      <c r="J296" s="534">
        <f t="shared" si="36"/>
        <v>0.98015597187177661</v>
      </c>
      <c r="K296" s="538">
        <f t="shared" si="37"/>
        <v>128259.38080919179</v>
      </c>
      <c r="L296" s="539">
        <f t="shared" si="38"/>
        <v>0.98008688146888179</v>
      </c>
      <c r="M296" s="540">
        <f t="shared" si="39"/>
        <v>153028.25092727627</v>
      </c>
      <c r="N296" s="534">
        <f t="shared" si="40"/>
        <v>0.98157004050277652</v>
      </c>
    </row>
    <row r="297" spans="7:14" x14ac:dyDescent="0.2">
      <c r="G297" s="538">
        <f t="shared" si="34"/>
        <v>129674.39503102977</v>
      </c>
      <c r="H297" s="539">
        <f t="shared" si="33"/>
        <v>0.98018245657861769</v>
      </c>
      <c r="I297" s="540">
        <f t="shared" si="35"/>
        <v>129280.03922843978</v>
      </c>
      <c r="J297" s="534">
        <f t="shared" si="36"/>
        <v>0.98015597187177661</v>
      </c>
      <c r="K297" s="538">
        <f t="shared" si="37"/>
        <v>128259.38080919179</v>
      </c>
      <c r="L297" s="539">
        <f t="shared" si="38"/>
        <v>0.98008688146888179</v>
      </c>
      <c r="M297" s="540">
        <f t="shared" si="39"/>
        <v>153028.25092727627</v>
      </c>
      <c r="N297" s="534">
        <f t="shared" si="40"/>
        <v>0.98157004050277652</v>
      </c>
    </row>
    <row r="298" spans="7:14" x14ac:dyDescent="0.2">
      <c r="G298" s="538">
        <f t="shared" si="34"/>
        <v>129674.39503102977</v>
      </c>
      <c r="H298" s="539">
        <f t="shared" si="33"/>
        <v>0.98018245657861769</v>
      </c>
      <c r="I298" s="540">
        <f t="shared" si="35"/>
        <v>129280.03922843978</v>
      </c>
      <c r="J298" s="534">
        <f t="shared" si="36"/>
        <v>0.98015597187177661</v>
      </c>
      <c r="K298" s="538">
        <f t="shared" si="37"/>
        <v>128259.38080919179</v>
      </c>
      <c r="L298" s="539">
        <f t="shared" si="38"/>
        <v>0.98008688146888179</v>
      </c>
      <c r="M298" s="540">
        <f t="shared" si="39"/>
        <v>153028.25092727627</v>
      </c>
      <c r="N298" s="534">
        <f t="shared" si="40"/>
        <v>0.98157004050277652</v>
      </c>
    </row>
    <row r="299" spans="7:14" x14ac:dyDescent="0.2">
      <c r="G299" s="538">
        <f t="shared" si="34"/>
        <v>129674.39503102977</v>
      </c>
      <c r="H299" s="539">
        <f t="shared" si="33"/>
        <v>0.98018245657861769</v>
      </c>
      <c r="I299" s="540">
        <f t="shared" si="35"/>
        <v>129280.03922843978</v>
      </c>
      <c r="J299" s="534">
        <f t="shared" si="36"/>
        <v>0.98015597187177661</v>
      </c>
      <c r="K299" s="538">
        <f t="shared" si="37"/>
        <v>128259.38080919179</v>
      </c>
      <c r="L299" s="539">
        <f t="shared" si="38"/>
        <v>0.98008688146888179</v>
      </c>
      <c r="M299" s="540">
        <f t="shared" si="39"/>
        <v>153028.25092727627</v>
      </c>
      <c r="N299" s="534">
        <f t="shared" si="40"/>
        <v>0.98157004050277652</v>
      </c>
    </row>
    <row r="300" spans="7:14" x14ac:dyDescent="0.2">
      <c r="G300" s="538">
        <f t="shared" si="34"/>
        <v>129674.39503102977</v>
      </c>
      <c r="H300" s="539">
        <f t="shared" si="33"/>
        <v>0.98018245657861769</v>
      </c>
      <c r="I300" s="540">
        <f t="shared" si="35"/>
        <v>129280.03922843978</v>
      </c>
      <c r="J300" s="534">
        <f t="shared" si="36"/>
        <v>0.98015597187177661</v>
      </c>
      <c r="K300" s="538">
        <f t="shared" si="37"/>
        <v>128259.38080919179</v>
      </c>
      <c r="L300" s="539">
        <f t="shared" si="38"/>
        <v>0.98008688146888179</v>
      </c>
      <c r="M300" s="540">
        <f t="shared" si="39"/>
        <v>153028.25092727627</v>
      </c>
      <c r="N300" s="534">
        <f t="shared" si="40"/>
        <v>0.98157004050277652</v>
      </c>
    </row>
    <row r="301" spans="7:14" x14ac:dyDescent="0.2">
      <c r="G301" s="538">
        <f t="shared" si="34"/>
        <v>129674.39503102977</v>
      </c>
      <c r="H301" s="539">
        <f t="shared" si="33"/>
        <v>0.98018245657861769</v>
      </c>
      <c r="I301" s="540">
        <f t="shared" si="35"/>
        <v>129280.03922843978</v>
      </c>
      <c r="J301" s="534">
        <f t="shared" si="36"/>
        <v>0.98015597187177661</v>
      </c>
      <c r="K301" s="538">
        <f t="shared" si="37"/>
        <v>128259.38080919179</v>
      </c>
      <c r="L301" s="539">
        <f t="shared" si="38"/>
        <v>0.98008688146888179</v>
      </c>
      <c r="M301" s="540">
        <f t="shared" si="39"/>
        <v>153028.25092727627</v>
      </c>
      <c r="N301" s="534">
        <f t="shared" si="40"/>
        <v>0.98157004050277652</v>
      </c>
    </row>
    <row r="302" spans="7:14" x14ac:dyDescent="0.2">
      <c r="G302" s="538">
        <f t="shared" si="34"/>
        <v>129674.39503102977</v>
      </c>
      <c r="H302" s="539">
        <f t="shared" si="33"/>
        <v>0.98018245657861769</v>
      </c>
      <c r="I302" s="540">
        <f t="shared" si="35"/>
        <v>129280.03922843978</v>
      </c>
      <c r="J302" s="534">
        <f t="shared" si="36"/>
        <v>0.98015597187177661</v>
      </c>
      <c r="K302" s="538">
        <f t="shared" si="37"/>
        <v>128259.38080919179</v>
      </c>
      <c r="L302" s="539">
        <f t="shared" si="38"/>
        <v>0.98008688146888179</v>
      </c>
      <c r="M302" s="540">
        <f t="shared" si="39"/>
        <v>153028.25092727627</v>
      </c>
      <c r="N302" s="534">
        <f t="shared" si="40"/>
        <v>0.98157004050277652</v>
      </c>
    </row>
    <row r="303" spans="7:14" x14ac:dyDescent="0.2">
      <c r="G303" s="538">
        <f t="shared" si="34"/>
        <v>129674.39503102977</v>
      </c>
      <c r="H303" s="539">
        <f t="shared" si="33"/>
        <v>0.98018245657861769</v>
      </c>
      <c r="I303" s="540">
        <f t="shared" si="35"/>
        <v>129280.03922843978</v>
      </c>
      <c r="J303" s="534">
        <f t="shared" si="36"/>
        <v>0.98015597187177661</v>
      </c>
      <c r="K303" s="538">
        <f t="shared" si="37"/>
        <v>128259.38080919179</v>
      </c>
      <c r="L303" s="539">
        <f t="shared" si="38"/>
        <v>0.98008688146888179</v>
      </c>
      <c r="M303" s="540">
        <f t="shared" si="39"/>
        <v>153028.25092727627</v>
      </c>
      <c r="N303" s="534">
        <f t="shared" si="40"/>
        <v>0.98157004050277652</v>
      </c>
    </row>
    <row r="304" spans="7:14" x14ac:dyDescent="0.2">
      <c r="G304" s="538">
        <f t="shared" si="34"/>
        <v>129674.39503102977</v>
      </c>
      <c r="H304" s="539">
        <f t="shared" si="33"/>
        <v>0.98018245657861769</v>
      </c>
      <c r="I304" s="540">
        <f t="shared" si="35"/>
        <v>129280.03922843978</v>
      </c>
      <c r="J304" s="534">
        <f t="shared" si="36"/>
        <v>0.98015597187177661</v>
      </c>
      <c r="K304" s="538">
        <f t="shared" si="37"/>
        <v>128259.38080919179</v>
      </c>
      <c r="L304" s="539">
        <f t="shared" si="38"/>
        <v>0.98008688146888179</v>
      </c>
      <c r="M304" s="540">
        <f t="shared" si="39"/>
        <v>153028.25092727627</v>
      </c>
      <c r="N304" s="534">
        <f t="shared" si="40"/>
        <v>0.98157004050277652</v>
      </c>
    </row>
    <row r="305" spans="7:14" x14ac:dyDescent="0.2">
      <c r="G305" s="538">
        <f t="shared" si="34"/>
        <v>129674.39503102977</v>
      </c>
      <c r="H305" s="539">
        <f t="shared" si="33"/>
        <v>0.98018245657861769</v>
      </c>
      <c r="I305" s="540">
        <f t="shared" si="35"/>
        <v>129280.03922843978</v>
      </c>
      <c r="J305" s="534">
        <f t="shared" si="36"/>
        <v>0.98015597187177661</v>
      </c>
      <c r="K305" s="538">
        <f t="shared" si="37"/>
        <v>128259.38080919179</v>
      </c>
      <c r="L305" s="539">
        <f t="shared" si="38"/>
        <v>0.98008688146888179</v>
      </c>
      <c r="M305" s="540">
        <f t="shared" si="39"/>
        <v>153028.25092727627</v>
      </c>
      <c r="N305" s="534">
        <f t="shared" si="40"/>
        <v>0.98157004050277652</v>
      </c>
    </row>
    <row r="306" spans="7:14" x14ac:dyDescent="0.2">
      <c r="G306" s="538">
        <f t="shared" si="34"/>
        <v>129674.39503102977</v>
      </c>
      <c r="H306" s="539">
        <f t="shared" si="33"/>
        <v>0.98018245657861769</v>
      </c>
      <c r="I306" s="540">
        <f t="shared" si="35"/>
        <v>129280.03922843978</v>
      </c>
      <c r="J306" s="534">
        <f t="shared" si="36"/>
        <v>0.98015597187177661</v>
      </c>
      <c r="K306" s="538">
        <f t="shared" si="37"/>
        <v>128259.38080919179</v>
      </c>
      <c r="L306" s="539">
        <f t="shared" si="38"/>
        <v>0.98008688146888179</v>
      </c>
      <c r="M306" s="540">
        <f t="shared" si="39"/>
        <v>153028.25092727627</v>
      </c>
      <c r="N306" s="534">
        <f t="shared" si="40"/>
        <v>0.98157004050277652</v>
      </c>
    </row>
    <row r="307" spans="7:14" x14ac:dyDescent="0.2">
      <c r="G307" s="538">
        <f t="shared" si="34"/>
        <v>129674.39503102977</v>
      </c>
      <c r="H307" s="539">
        <f t="shared" si="33"/>
        <v>0.98018245657861769</v>
      </c>
      <c r="I307" s="540">
        <f t="shared" si="35"/>
        <v>129280.03922843978</v>
      </c>
      <c r="J307" s="534">
        <f t="shared" si="36"/>
        <v>0.98015597187177661</v>
      </c>
      <c r="K307" s="538">
        <f t="shared" si="37"/>
        <v>128259.38080919179</v>
      </c>
      <c r="L307" s="539">
        <f t="shared" si="38"/>
        <v>0.98008688146888179</v>
      </c>
      <c r="M307" s="540">
        <f t="shared" si="39"/>
        <v>153028.25092727627</v>
      </c>
      <c r="N307" s="534">
        <f t="shared" si="40"/>
        <v>0.98157004050277652</v>
      </c>
    </row>
    <row r="308" spans="7:14" x14ac:dyDescent="0.2">
      <c r="G308" s="538">
        <f t="shared" si="34"/>
        <v>129674.39503102977</v>
      </c>
      <c r="H308" s="539">
        <f t="shared" si="33"/>
        <v>0.98018245657861769</v>
      </c>
      <c r="I308" s="540">
        <f t="shared" si="35"/>
        <v>129280.03922843978</v>
      </c>
      <c r="J308" s="534">
        <f t="shared" si="36"/>
        <v>0.98015597187177661</v>
      </c>
      <c r="K308" s="538">
        <f t="shared" si="37"/>
        <v>128259.38080919179</v>
      </c>
      <c r="L308" s="539">
        <f t="shared" si="38"/>
        <v>0.98008688146888179</v>
      </c>
      <c r="M308" s="540">
        <f t="shared" si="39"/>
        <v>153028.25092727627</v>
      </c>
      <c r="N308" s="534">
        <f t="shared" si="40"/>
        <v>0.98157004050277652</v>
      </c>
    </row>
    <row r="309" spans="7:14" x14ac:dyDescent="0.2">
      <c r="G309" s="538">
        <f t="shared" si="34"/>
        <v>129674.39503102977</v>
      </c>
      <c r="H309" s="539">
        <f t="shared" si="33"/>
        <v>0.98018245657861769</v>
      </c>
      <c r="I309" s="540">
        <f t="shared" si="35"/>
        <v>129280.03922843978</v>
      </c>
      <c r="J309" s="534">
        <f t="shared" si="36"/>
        <v>0.98015597187177661</v>
      </c>
      <c r="K309" s="538">
        <f t="shared" si="37"/>
        <v>128259.38080919179</v>
      </c>
      <c r="L309" s="539">
        <f t="shared" si="38"/>
        <v>0.98008688146888179</v>
      </c>
      <c r="M309" s="540">
        <f t="shared" si="39"/>
        <v>153028.25092727627</v>
      </c>
      <c r="N309" s="534">
        <f t="shared" si="40"/>
        <v>0.98157004050277652</v>
      </c>
    </row>
    <row r="310" spans="7:14" x14ac:dyDescent="0.2">
      <c r="G310" s="538">
        <f t="shared" si="34"/>
        <v>129674.39503102977</v>
      </c>
      <c r="H310" s="539">
        <f t="shared" si="33"/>
        <v>0.98018245657861769</v>
      </c>
      <c r="I310" s="540">
        <f t="shared" si="35"/>
        <v>129280.03922843978</v>
      </c>
      <c r="J310" s="534">
        <f t="shared" si="36"/>
        <v>0.98015597187177661</v>
      </c>
      <c r="K310" s="538">
        <f t="shared" si="37"/>
        <v>128259.38080919179</v>
      </c>
      <c r="L310" s="539">
        <f t="shared" si="38"/>
        <v>0.98008688146888179</v>
      </c>
      <c r="M310" s="540">
        <f t="shared" si="39"/>
        <v>153028.25092727627</v>
      </c>
      <c r="N310" s="534">
        <f t="shared" si="40"/>
        <v>0.98157004050277652</v>
      </c>
    </row>
    <row r="311" spans="7:14" x14ac:dyDescent="0.2">
      <c r="G311" s="538">
        <f t="shared" si="34"/>
        <v>129674.39503102977</v>
      </c>
      <c r="H311" s="539">
        <f t="shared" si="33"/>
        <v>0.98018245657861769</v>
      </c>
      <c r="I311" s="540">
        <f t="shared" si="35"/>
        <v>129280.03922843978</v>
      </c>
      <c r="J311" s="534">
        <f t="shared" si="36"/>
        <v>0.98015597187177661</v>
      </c>
      <c r="K311" s="538">
        <f t="shared" si="37"/>
        <v>128259.38080919179</v>
      </c>
      <c r="L311" s="539">
        <f t="shared" si="38"/>
        <v>0.98008688146888179</v>
      </c>
      <c r="M311" s="540">
        <f t="shared" si="39"/>
        <v>153028.25092727627</v>
      </c>
      <c r="N311" s="534">
        <f t="shared" si="40"/>
        <v>0.98157004050277652</v>
      </c>
    </row>
    <row r="312" spans="7:14" x14ac:dyDescent="0.2">
      <c r="G312" s="538">
        <f t="shared" si="34"/>
        <v>129674.39503102977</v>
      </c>
      <c r="H312" s="539">
        <f t="shared" si="33"/>
        <v>0.98018245657861769</v>
      </c>
      <c r="I312" s="540">
        <f t="shared" si="35"/>
        <v>129280.03922843978</v>
      </c>
      <c r="J312" s="534">
        <f t="shared" si="36"/>
        <v>0.98015597187177661</v>
      </c>
      <c r="K312" s="538">
        <f t="shared" si="37"/>
        <v>128259.38080919179</v>
      </c>
      <c r="L312" s="539">
        <f t="shared" si="38"/>
        <v>0.98008688146888179</v>
      </c>
      <c r="M312" s="540">
        <f t="shared" si="39"/>
        <v>153028.25092727627</v>
      </c>
      <c r="N312" s="534">
        <f t="shared" si="40"/>
        <v>0.98157004050277652</v>
      </c>
    </row>
    <row r="313" spans="7:14" x14ac:dyDescent="0.2">
      <c r="G313" s="538">
        <f t="shared" si="34"/>
        <v>129674.39503102977</v>
      </c>
      <c r="H313" s="539">
        <f t="shared" si="33"/>
        <v>0.98018245657861769</v>
      </c>
      <c r="I313" s="540">
        <f t="shared" si="35"/>
        <v>129280.03922843978</v>
      </c>
      <c r="J313" s="534">
        <f t="shared" si="36"/>
        <v>0.98015597187177661</v>
      </c>
      <c r="K313" s="538">
        <f t="shared" si="37"/>
        <v>128259.38080919179</v>
      </c>
      <c r="L313" s="539">
        <f t="shared" si="38"/>
        <v>0.98008688146888179</v>
      </c>
      <c r="M313" s="540">
        <f t="shared" si="39"/>
        <v>153028.25092727627</v>
      </c>
      <c r="N313" s="534">
        <f t="shared" si="40"/>
        <v>0.98157004050277652</v>
      </c>
    </row>
    <row r="314" spans="7:14" x14ac:dyDescent="0.2">
      <c r="G314" s="538">
        <f t="shared" si="34"/>
        <v>129674.39503102977</v>
      </c>
      <c r="H314" s="539">
        <f t="shared" si="33"/>
        <v>0.98018245657861769</v>
      </c>
      <c r="I314" s="540">
        <f t="shared" si="35"/>
        <v>129280.03922843978</v>
      </c>
      <c r="J314" s="534">
        <f t="shared" si="36"/>
        <v>0.98015597187177661</v>
      </c>
      <c r="K314" s="538">
        <f t="shared" si="37"/>
        <v>128259.38080919179</v>
      </c>
      <c r="L314" s="539">
        <f t="shared" si="38"/>
        <v>0.98008688146888179</v>
      </c>
      <c r="M314" s="540">
        <f t="shared" si="39"/>
        <v>153028.25092727627</v>
      </c>
      <c r="N314" s="534">
        <f t="shared" si="40"/>
        <v>0.98157004050277652</v>
      </c>
    </row>
    <row r="315" spans="7:14" x14ac:dyDescent="0.2">
      <c r="G315" s="538">
        <f t="shared" si="34"/>
        <v>129674.39503102977</v>
      </c>
      <c r="H315" s="539">
        <f t="shared" si="33"/>
        <v>0.98018245657861769</v>
      </c>
      <c r="I315" s="540">
        <f t="shared" si="35"/>
        <v>129280.03922843978</v>
      </c>
      <c r="J315" s="534">
        <f t="shared" si="36"/>
        <v>0.98015597187177661</v>
      </c>
      <c r="K315" s="538">
        <f t="shared" si="37"/>
        <v>128259.38080919179</v>
      </c>
      <c r="L315" s="539">
        <f t="shared" si="38"/>
        <v>0.98008688146888179</v>
      </c>
      <c r="M315" s="540">
        <f t="shared" si="39"/>
        <v>153028.25092727627</v>
      </c>
      <c r="N315" s="534">
        <f t="shared" si="40"/>
        <v>0.98157004050277652</v>
      </c>
    </row>
    <row r="316" spans="7:14" x14ac:dyDescent="0.2">
      <c r="G316" s="538">
        <f t="shared" si="34"/>
        <v>129674.39503102977</v>
      </c>
      <c r="H316" s="539">
        <f t="shared" si="33"/>
        <v>0.98018245657861769</v>
      </c>
      <c r="I316" s="540">
        <f t="shared" si="35"/>
        <v>129280.03922843978</v>
      </c>
      <c r="J316" s="534">
        <f t="shared" si="36"/>
        <v>0.98015597187177661</v>
      </c>
      <c r="K316" s="538">
        <f t="shared" si="37"/>
        <v>128259.38080919179</v>
      </c>
      <c r="L316" s="539">
        <f t="shared" si="38"/>
        <v>0.98008688146888179</v>
      </c>
      <c r="M316" s="540">
        <f t="shared" si="39"/>
        <v>153028.25092727627</v>
      </c>
      <c r="N316" s="534">
        <f t="shared" si="40"/>
        <v>0.98157004050277652</v>
      </c>
    </row>
    <row r="317" spans="7:14" x14ac:dyDescent="0.2">
      <c r="G317" s="538">
        <f t="shared" si="34"/>
        <v>129674.39503102977</v>
      </c>
      <c r="H317" s="539">
        <f t="shared" si="33"/>
        <v>0.98018245657861769</v>
      </c>
      <c r="I317" s="540">
        <f t="shared" si="35"/>
        <v>129280.03922843978</v>
      </c>
      <c r="J317" s="534">
        <f t="shared" si="36"/>
        <v>0.98015597187177661</v>
      </c>
      <c r="K317" s="538">
        <f t="shared" si="37"/>
        <v>128259.38080919179</v>
      </c>
      <c r="L317" s="539">
        <f t="shared" si="38"/>
        <v>0.98008688146888179</v>
      </c>
      <c r="M317" s="540">
        <f t="shared" si="39"/>
        <v>153028.25092727627</v>
      </c>
      <c r="N317" s="534">
        <f t="shared" si="40"/>
        <v>0.98157004050277652</v>
      </c>
    </row>
    <row r="318" spans="7:14" x14ac:dyDescent="0.2">
      <c r="G318" s="538">
        <f t="shared" si="34"/>
        <v>129674.39503102977</v>
      </c>
      <c r="H318" s="539">
        <f t="shared" si="33"/>
        <v>0.98018245657861769</v>
      </c>
      <c r="I318" s="540">
        <f t="shared" si="35"/>
        <v>129280.03922843978</v>
      </c>
      <c r="J318" s="534">
        <f t="shared" si="36"/>
        <v>0.98015597187177661</v>
      </c>
      <c r="K318" s="538">
        <f t="shared" si="37"/>
        <v>128259.38080919179</v>
      </c>
      <c r="L318" s="539">
        <f t="shared" si="38"/>
        <v>0.98008688146888179</v>
      </c>
      <c r="M318" s="540">
        <f t="shared" si="39"/>
        <v>153028.25092727627</v>
      </c>
      <c r="N318" s="534">
        <f t="shared" si="40"/>
        <v>0.98157004050277652</v>
      </c>
    </row>
    <row r="319" spans="7:14" x14ac:dyDescent="0.2">
      <c r="G319" s="538">
        <f t="shared" si="34"/>
        <v>129674.39503102977</v>
      </c>
      <c r="H319" s="539">
        <f t="shared" si="33"/>
        <v>0.98018245657861769</v>
      </c>
      <c r="I319" s="540">
        <f t="shared" si="35"/>
        <v>129280.03922843978</v>
      </c>
      <c r="J319" s="534">
        <f t="shared" si="36"/>
        <v>0.98015597187177661</v>
      </c>
      <c r="K319" s="538">
        <f t="shared" si="37"/>
        <v>128259.38080919179</v>
      </c>
      <c r="L319" s="539">
        <f t="shared" si="38"/>
        <v>0.98008688146888179</v>
      </c>
      <c r="M319" s="540">
        <f t="shared" si="39"/>
        <v>153028.25092727627</v>
      </c>
      <c r="N319" s="534">
        <f t="shared" si="40"/>
        <v>0.98157004050277652</v>
      </c>
    </row>
    <row r="320" spans="7:14" x14ac:dyDescent="0.2">
      <c r="G320" s="538">
        <f t="shared" si="34"/>
        <v>129674.39503102977</v>
      </c>
      <c r="H320" s="539">
        <f t="shared" si="33"/>
        <v>0.98018245657861769</v>
      </c>
      <c r="I320" s="540">
        <f t="shared" si="35"/>
        <v>129280.03922843978</v>
      </c>
      <c r="J320" s="534">
        <f t="shared" si="36"/>
        <v>0.98015597187177661</v>
      </c>
      <c r="K320" s="538">
        <f t="shared" si="37"/>
        <v>128259.38080919179</v>
      </c>
      <c r="L320" s="539">
        <f t="shared" si="38"/>
        <v>0.98008688146888179</v>
      </c>
      <c r="M320" s="540">
        <f t="shared" si="39"/>
        <v>153028.25092727627</v>
      </c>
      <c r="N320" s="534">
        <f t="shared" si="40"/>
        <v>0.98157004050277652</v>
      </c>
    </row>
    <row r="321" spans="7:14" x14ac:dyDescent="0.2">
      <c r="G321" s="538">
        <f t="shared" si="34"/>
        <v>129674.39503102977</v>
      </c>
      <c r="H321" s="539">
        <f t="shared" si="33"/>
        <v>0.98018245657861769</v>
      </c>
      <c r="I321" s="540">
        <f t="shared" si="35"/>
        <v>129280.03922843978</v>
      </c>
      <c r="J321" s="534">
        <f t="shared" si="36"/>
        <v>0.98015597187177661</v>
      </c>
      <c r="K321" s="538">
        <f t="shared" si="37"/>
        <v>128259.38080919179</v>
      </c>
      <c r="L321" s="539">
        <f t="shared" si="38"/>
        <v>0.98008688146888179</v>
      </c>
      <c r="M321" s="540">
        <f t="shared" si="39"/>
        <v>153028.25092727627</v>
      </c>
      <c r="N321" s="534">
        <f t="shared" si="40"/>
        <v>0.98157004050277652</v>
      </c>
    </row>
    <row r="322" spans="7:14" x14ac:dyDescent="0.2">
      <c r="G322" s="538">
        <f t="shared" si="34"/>
        <v>129674.39503102977</v>
      </c>
      <c r="H322" s="539">
        <f t="shared" si="33"/>
        <v>0.98018245657861769</v>
      </c>
      <c r="I322" s="540">
        <f t="shared" si="35"/>
        <v>129280.03922843978</v>
      </c>
      <c r="J322" s="534">
        <f t="shared" si="36"/>
        <v>0.98015597187177661</v>
      </c>
      <c r="K322" s="538">
        <f t="shared" si="37"/>
        <v>128259.38080919179</v>
      </c>
      <c r="L322" s="539">
        <f t="shared" si="38"/>
        <v>0.98008688146888179</v>
      </c>
      <c r="M322" s="540">
        <f t="shared" si="39"/>
        <v>153028.25092727627</v>
      </c>
      <c r="N322" s="534">
        <f t="shared" si="40"/>
        <v>0.98157004050277652</v>
      </c>
    </row>
    <row r="323" spans="7:14" x14ac:dyDescent="0.2">
      <c r="G323" s="538">
        <f t="shared" si="34"/>
        <v>129674.39503102977</v>
      </c>
      <c r="H323" s="539">
        <f t="shared" ref="H323:H386" si="41">0.9986-(7.006/SQRT(G323))+134.6/G323</f>
        <v>0.98018245657861769</v>
      </c>
      <c r="I323" s="540">
        <f t="shared" si="35"/>
        <v>129280.03922843978</v>
      </c>
      <c r="J323" s="534">
        <f t="shared" si="36"/>
        <v>0.98015597187177661</v>
      </c>
      <c r="K323" s="538">
        <f t="shared" si="37"/>
        <v>128259.38080919179</v>
      </c>
      <c r="L323" s="539">
        <f t="shared" si="38"/>
        <v>0.98008688146888179</v>
      </c>
      <c r="M323" s="540">
        <f t="shared" si="39"/>
        <v>153028.25092727627</v>
      </c>
      <c r="N323" s="534">
        <f t="shared" si="40"/>
        <v>0.98157004050277652</v>
      </c>
    </row>
    <row r="324" spans="7:14" x14ac:dyDescent="0.2">
      <c r="G324" s="538">
        <f t="shared" ref="G324:G387" si="42">($C$6/(1000*$C$12*$C$16))*(H323*SQRT(2*$C$5*100*$C$16))</f>
        <v>129674.39503102977</v>
      </c>
      <c r="H324" s="539">
        <f t="shared" si="41"/>
        <v>0.98018245657861769</v>
      </c>
      <c r="I324" s="540">
        <f t="shared" ref="I324:I387" si="43">($C$7/(1000*$C$12*$C$16))*(J323*SQRT(2*$C$5*100*$C$16))</f>
        <v>129280.03922843978</v>
      </c>
      <c r="J324" s="534">
        <f t="shared" ref="J324:J387" si="44">0.9986-(7.006/SQRT(I324))+134.6/I324</f>
        <v>0.98015597187177661</v>
      </c>
      <c r="K324" s="538">
        <f t="shared" ref="K324:K387" si="45">($C$8/(1000*$C$12*$C$16))*(L323*SQRT(2*$C$5*100*$C$16))</f>
        <v>128259.38080919179</v>
      </c>
      <c r="L324" s="539">
        <f t="shared" ref="L324:L387" si="46">0.9986-(7.006/SQRT(K324))+134.6/K324</f>
        <v>0.98008688146888179</v>
      </c>
      <c r="M324" s="540">
        <f t="shared" ref="M324:M387" si="47">($C$9/(1000*$C$12*$C$16))*(N323*SQRT(2*$C$5*100*$C$16))</f>
        <v>153028.25092727627</v>
      </c>
      <c r="N324" s="534">
        <f t="shared" ref="N324:N387" si="48">0.9986-(7.006/SQRT(M324))+134.6/M324</f>
        <v>0.98157004050277652</v>
      </c>
    </row>
    <row r="325" spans="7:14" x14ac:dyDescent="0.2">
      <c r="G325" s="538">
        <f t="shared" si="42"/>
        <v>129674.39503102977</v>
      </c>
      <c r="H325" s="539">
        <f t="shared" si="41"/>
        <v>0.98018245657861769</v>
      </c>
      <c r="I325" s="540">
        <f t="shared" si="43"/>
        <v>129280.03922843978</v>
      </c>
      <c r="J325" s="534">
        <f t="shared" si="44"/>
        <v>0.98015597187177661</v>
      </c>
      <c r="K325" s="538">
        <f t="shared" si="45"/>
        <v>128259.38080919179</v>
      </c>
      <c r="L325" s="539">
        <f t="shared" si="46"/>
        <v>0.98008688146888179</v>
      </c>
      <c r="M325" s="540">
        <f t="shared" si="47"/>
        <v>153028.25092727627</v>
      </c>
      <c r="N325" s="534">
        <f t="shared" si="48"/>
        <v>0.98157004050277652</v>
      </c>
    </row>
    <row r="326" spans="7:14" x14ac:dyDescent="0.2">
      <c r="G326" s="538">
        <f t="shared" si="42"/>
        <v>129674.39503102977</v>
      </c>
      <c r="H326" s="539">
        <f t="shared" si="41"/>
        <v>0.98018245657861769</v>
      </c>
      <c r="I326" s="540">
        <f t="shared" si="43"/>
        <v>129280.03922843978</v>
      </c>
      <c r="J326" s="534">
        <f t="shared" si="44"/>
        <v>0.98015597187177661</v>
      </c>
      <c r="K326" s="538">
        <f t="shared" si="45"/>
        <v>128259.38080919179</v>
      </c>
      <c r="L326" s="539">
        <f t="shared" si="46"/>
        <v>0.98008688146888179</v>
      </c>
      <c r="M326" s="540">
        <f t="shared" si="47"/>
        <v>153028.25092727627</v>
      </c>
      <c r="N326" s="534">
        <f t="shared" si="48"/>
        <v>0.98157004050277652</v>
      </c>
    </row>
    <row r="327" spans="7:14" x14ac:dyDescent="0.2">
      <c r="G327" s="538">
        <f t="shared" si="42"/>
        <v>129674.39503102977</v>
      </c>
      <c r="H327" s="539">
        <f t="shared" si="41"/>
        <v>0.98018245657861769</v>
      </c>
      <c r="I327" s="540">
        <f t="shared" si="43"/>
        <v>129280.03922843978</v>
      </c>
      <c r="J327" s="534">
        <f t="shared" si="44"/>
        <v>0.98015597187177661</v>
      </c>
      <c r="K327" s="538">
        <f t="shared" si="45"/>
        <v>128259.38080919179</v>
      </c>
      <c r="L327" s="539">
        <f t="shared" si="46"/>
        <v>0.98008688146888179</v>
      </c>
      <c r="M327" s="540">
        <f t="shared" si="47"/>
        <v>153028.25092727627</v>
      </c>
      <c r="N327" s="534">
        <f t="shared" si="48"/>
        <v>0.98157004050277652</v>
      </c>
    </row>
    <row r="328" spans="7:14" x14ac:dyDescent="0.2">
      <c r="G328" s="538">
        <f t="shared" si="42"/>
        <v>129674.39503102977</v>
      </c>
      <c r="H328" s="539">
        <f t="shared" si="41"/>
        <v>0.98018245657861769</v>
      </c>
      <c r="I328" s="540">
        <f t="shared" si="43"/>
        <v>129280.03922843978</v>
      </c>
      <c r="J328" s="534">
        <f t="shared" si="44"/>
        <v>0.98015597187177661</v>
      </c>
      <c r="K328" s="538">
        <f t="shared" si="45"/>
        <v>128259.38080919179</v>
      </c>
      <c r="L328" s="539">
        <f t="shared" si="46"/>
        <v>0.98008688146888179</v>
      </c>
      <c r="M328" s="540">
        <f t="shared" si="47"/>
        <v>153028.25092727627</v>
      </c>
      <c r="N328" s="534">
        <f t="shared" si="48"/>
        <v>0.98157004050277652</v>
      </c>
    </row>
    <row r="329" spans="7:14" x14ac:dyDescent="0.2">
      <c r="G329" s="538">
        <f t="shared" si="42"/>
        <v>129674.39503102977</v>
      </c>
      <c r="H329" s="539">
        <f t="shared" si="41"/>
        <v>0.98018245657861769</v>
      </c>
      <c r="I329" s="540">
        <f t="shared" si="43"/>
        <v>129280.03922843978</v>
      </c>
      <c r="J329" s="534">
        <f t="shared" si="44"/>
        <v>0.98015597187177661</v>
      </c>
      <c r="K329" s="538">
        <f t="shared" si="45"/>
        <v>128259.38080919179</v>
      </c>
      <c r="L329" s="539">
        <f t="shared" si="46"/>
        <v>0.98008688146888179</v>
      </c>
      <c r="M329" s="540">
        <f t="shared" si="47"/>
        <v>153028.25092727627</v>
      </c>
      <c r="N329" s="534">
        <f t="shared" si="48"/>
        <v>0.98157004050277652</v>
      </c>
    </row>
    <row r="330" spans="7:14" x14ac:dyDescent="0.2">
      <c r="G330" s="538">
        <f t="shared" si="42"/>
        <v>129674.39503102977</v>
      </c>
      <c r="H330" s="539">
        <f t="shared" si="41"/>
        <v>0.98018245657861769</v>
      </c>
      <c r="I330" s="540">
        <f t="shared" si="43"/>
        <v>129280.03922843978</v>
      </c>
      <c r="J330" s="534">
        <f t="shared" si="44"/>
        <v>0.98015597187177661</v>
      </c>
      <c r="K330" s="538">
        <f t="shared" si="45"/>
        <v>128259.38080919179</v>
      </c>
      <c r="L330" s="539">
        <f t="shared" si="46"/>
        <v>0.98008688146888179</v>
      </c>
      <c r="M330" s="540">
        <f t="shared" si="47"/>
        <v>153028.25092727627</v>
      </c>
      <c r="N330" s="534">
        <f t="shared" si="48"/>
        <v>0.98157004050277652</v>
      </c>
    </row>
    <row r="331" spans="7:14" x14ac:dyDescent="0.2">
      <c r="G331" s="538">
        <f t="shared" si="42"/>
        <v>129674.39503102977</v>
      </c>
      <c r="H331" s="539">
        <f t="shared" si="41"/>
        <v>0.98018245657861769</v>
      </c>
      <c r="I331" s="540">
        <f t="shared" si="43"/>
        <v>129280.03922843978</v>
      </c>
      <c r="J331" s="534">
        <f t="shared" si="44"/>
        <v>0.98015597187177661</v>
      </c>
      <c r="K331" s="538">
        <f t="shared" si="45"/>
        <v>128259.38080919179</v>
      </c>
      <c r="L331" s="539">
        <f t="shared" si="46"/>
        <v>0.98008688146888179</v>
      </c>
      <c r="M331" s="540">
        <f t="shared" si="47"/>
        <v>153028.25092727627</v>
      </c>
      <c r="N331" s="534">
        <f t="shared" si="48"/>
        <v>0.98157004050277652</v>
      </c>
    </row>
    <row r="332" spans="7:14" x14ac:dyDescent="0.2">
      <c r="G332" s="538">
        <f t="shared" si="42"/>
        <v>129674.39503102977</v>
      </c>
      <c r="H332" s="539">
        <f t="shared" si="41"/>
        <v>0.98018245657861769</v>
      </c>
      <c r="I332" s="540">
        <f t="shared" si="43"/>
        <v>129280.03922843978</v>
      </c>
      <c r="J332" s="534">
        <f t="shared" si="44"/>
        <v>0.98015597187177661</v>
      </c>
      <c r="K332" s="538">
        <f t="shared" si="45"/>
        <v>128259.38080919179</v>
      </c>
      <c r="L332" s="539">
        <f t="shared" si="46"/>
        <v>0.98008688146888179</v>
      </c>
      <c r="M332" s="540">
        <f t="shared" si="47"/>
        <v>153028.25092727627</v>
      </c>
      <c r="N332" s="534">
        <f t="shared" si="48"/>
        <v>0.98157004050277652</v>
      </c>
    </row>
    <row r="333" spans="7:14" x14ac:dyDescent="0.2">
      <c r="G333" s="538">
        <f t="shared" si="42"/>
        <v>129674.39503102977</v>
      </c>
      <c r="H333" s="539">
        <f t="shared" si="41"/>
        <v>0.98018245657861769</v>
      </c>
      <c r="I333" s="540">
        <f t="shared" si="43"/>
        <v>129280.03922843978</v>
      </c>
      <c r="J333" s="534">
        <f t="shared" si="44"/>
        <v>0.98015597187177661</v>
      </c>
      <c r="K333" s="538">
        <f t="shared" si="45"/>
        <v>128259.38080919179</v>
      </c>
      <c r="L333" s="539">
        <f t="shared" si="46"/>
        <v>0.98008688146888179</v>
      </c>
      <c r="M333" s="540">
        <f t="shared" si="47"/>
        <v>153028.25092727627</v>
      </c>
      <c r="N333" s="534">
        <f t="shared" si="48"/>
        <v>0.98157004050277652</v>
      </c>
    </row>
    <row r="334" spans="7:14" x14ac:dyDescent="0.2">
      <c r="G334" s="538">
        <f t="shared" si="42"/>
        <v>129674.39503102977</v>
      </c>
      <c r="H334" s="539">
        <f t="shared" si="41"/>
        <v>0.98018245657861769</v>
      </c>
      <c r="I334" s="540">
        <f t="shared" si="43"/>
        <v>129280.03922843978</v>
      </c>
      <c r="J334" s="534">
        <f t="shared" si="44"/>
        <v>0.98015597187177661</v>
      </c>
      <c r="K334" s="538">
        <f t="shared" si="45"/>
        <v>128259.38080919179</v>
      </c>
      <c r="L334" s="539">
        <f t="shared" si="46"/>
        <v>0.98008688146888179</v>
      </c>
      <c r="M334" s="540">
        <f t="shared" si="47"/>
        <v>153028.25092727627</v>
      </c>
      <c r="N334" s="534">
        <f t="shared" si="48"/>
        <v>0.98157004050277652</v>
      </c>
    </row>
    <row r="335" spans="7:14" x14ac:dyDescent="0.2">
      <c r="G335" s="538">
        <f t="shared" si="42"/>
        <v>129674.39503102977</v>
      </c>
      <c r="H335" s="539">
        <f t="shared" si="41"/>
        <v>0.98018245657861769</v>
      </c>
      <c r="I335" s="540">
        <f t="shared" si="43"/>
        <v>129280.03922843978</v>
      </c>
      <c r="J335" s="534">
        <f t="shared" si="44"/>
        <v>0.98015597187177661</v>
      </c>
      <c r="K335" s="538">
        <f t="shared" si="45"/>
        <v>128259.38080919179</v>
      </c>
      <c r="L335" s="539">
        <f t="shared" si="46"/>
        <v>0.98008688146888179</v>
      </c>
      <c r="M335" s="540">
        <f t="shared" si="47"/>
        <v>153028.25092727627</v>
      </c>
      <c r="N335" s="534">
        <f t="shared" si="48"/>
        <v>0.98157004050277652</v>
      </c>
    </row>
    <row r="336" spans="7:14" x14ac:dyDescent="0.2">
      <c r="G336" s="538">
        <f t="shared" si="42"/>
        <v>129674.39503102977</v>
      </c>
      <c r="H336" s="539">
        <f t="shared" si="41"/>
        <v>0.98018245657861769</v>
      </c>
      <c r="I336" s="540">
        <f t="shared" si="43"/>
        <v>129280.03922843978</v>
      </c>
      <c r="J336" s="534">
        <f t="shared" si="44"/>
        <v>0.98015597187177661</v>
      </c>
      <c r="K336" s="538">
        <f t="shared" si="45"/>
        <v>128259.38080919179</v>
      </c>
      <c r="L336" s="539">
        <f t="shared" si="46"/>
        <v>0.98008688146888179</v>
      </c>
      <c r="M336" s="540">
        <f t="shared" si="47"/>
        <v>153028.25092727627</v>
      </c>
      <c r="N336" s="534">
        <f t="shared" si="48"/>
        <v>0.98157004050277652</v>
      </c>
    </row>
    <row r="337" spans="7:14" x14ac:dyDescent="0.2">
      <c r="G337" s="538">
        <f t="shared" si="42"/>
        <v>129674.39503102977</v>
      </c>
      <c r="H337" s="539">
        <f t="shared" si="41"/>
        <v>0.98018245657861769</v>
      </c>
      <c r="I337" s="540">
        <f t="shared" si="43"/>
        <v>129280.03922843978</v>
      </c>
      <c r="J337" s="534">
        <f t="shared" si="44"/>
        <v>0.98015597187177661</v>
      </c>
      <c r="K337" s="538">
        <f t="shared" si="45"/>
        <v>128259.38080919179</v>
      </c>
      <c r="L337" s="539">
        <f t="shared" si="46"/>
        <v>0.98008688146888179</v>
      </c>
      <c r="M337" s="540">
        <f t="shared" si="47"/>
        <v>153028.25092727627</v>
      </c>
      <c r="N337" s="534">
        <f t="shared" si="48"/>
        <v>0.98157004050277652</v>
      </c>
    </row>
    <row r="338" spans="7:14" x14ac:dyDescent="0.2">
      <c r="G338" s="538">
        <f t="shared" si="42"/>
        <v>129674.39503102977</v>
      </c>
      <c r="H338" s="539">
        <f t="shared" si="41"/>
        <v>0.98018245657861769</v>
      </c>
      <c r="I338" s="540">
        <f t="shared" si="43"/>
        <v>129280.03922843978</v>
      </c>
      <c r="J338" s="534">
        <f t="shared" si="44"/>
        <v>0.98015597187177661</v>
      </c>
      <c r="K338" s="538">
        <f t="shared" si="45"/>
        <v>128259.38080919179</v>
      </c>
      <c r="L338" s="539">
        <f t="shared" si="46"/>
        <v>0.98008688146888179</v>
      </c>
      <c r="M338" s="540">
        <f t="shared" si="47"/>
        <v>153028.25092727627</v>
      </c>
      <c r="N338" s="534">
        <f t="shared" si="48"/>
        <v>0.98157004050277652</v>
      </c>
    </row>
    <row r="339" spans="7:14" x14ac:dyDescent="0.2">
      <c r="G339" s="538">
        <f t="shared" si="42"/>
        <v>129674.39503102977</v>
      </c>
      <c r="H339" s="539">
        <f t="shared" si="41"/>
        <v>0.98018245657861769</v>
      </c>
      <c r="I339" s="540">
        <f t="shared" si="43"/>
        <v>129280.03922843978</v>
      </c>
      <c r="J339" s="534">
        <f t="shared" si="44"/>
        <v>0.98015597187177661</v>
      </c>
      <c r="K339" s="538">
        <f t="shared" si="45"/>
        <v>128259.38080919179</v>
      </c>
      <c r="L339" s="539">
        <f t="shared" si="46"/>
        <v>0.98008688146888179</v>
      </c>
      <c r="M339" s="540">
        <f t="shared" si="47"/>
        <v>153028.25092727627</v>
      </c>
      <c r="N339" s="534">
        <f t="shared" si="48"/>
        <v>0.98157004050277652</v>
      </c>
    </row>
    <row r="340" spans="7:14" x14ac:dyDescent="0.2">
      <c r="G340" s="538">
        <f t="shared" si="42"/>
        <v>129674.39503102977</v>
      </c>
      <c r="H340" s="539">
        <f t="shared" si="41"/>
        <v>0.98018245657861769</v>
      </c>
      <c r="I340" s="540">
        <f t="shared" si="43"/>
        <v>129280.03922843978</v>
      </c>
      <c r="J340" s="534">
        <f t="shared" si="44"/>
        <v>0.98015597187177661</v>
      </c>
      <c r="K340" s="538">
        <f t="shared" si="45"/>
        <v>128259.38080919179</v>
      </c>
      <c r="L340" s="539">
        <f t="shared" si="46"/>
        <v>0.98008688146888179</v>
      </c>
      <c r="M340" s="540">
        <f t="shared" si="47"/>
        <v>153028.25092727627</v>
      </c>
      <c r="N340" s="534">
        <f t="shared" si="48"/>
        <v>0.98157004050277652</v>
      </c>
    </row>
    <row r="341" spans="7:14" x14ac:dyDescent="0.2">
      <c r="G341" s="538">
        <f t="shared" si="42"/>
        <v>129674.39503102977</v>
      </c>
      <c r="H341" s="539">
        <f t="shared" si="41"/>
        <v>0.98018245657861769</v>
      </c>
      <c r="I341" s="540">
        <f t="shared" si="43"/>
        <v>129280.03922843978</v>
      </c>
      <c r="J341" s="534">
        <f t="shared" si="44"/>
        <v>0.98015597187177661</v>
      </c>
      <c r="K341" s="538">
        <f t="shared" si="45"/>
        <v>128259.38080919179</v>
      </c>
      <c r="L341" s="539">
        <f t="shared" si="46"/>
        <v>0.98008688146888179</v>
      </c>
      <c r="M341" s="540">
        <f t="shared" si="47"/>
        <v>153028.25092727627</v>
      </c>
      <c r="N341" s="534">
        <f t="shared" si="48"/>
        <v>0.98157004050277652</v>
      </c>
    </row>
    <row r="342" spans="7:14" x14ac:dyDescent="0.2">
      <c r="G342" s="538">
        <f t="shared" si="42"/>
        <v>129674.39503102977</v>
      </c>
      <c r="H342" s="539">
        <f t="shared" si="41"/>
        <v>0.98018245657861769</v>
      </c>
      <c r="I342" s="540">
        <f t="shared" si="43"/>
        <v>129280.03922843978</v>
      </c>
      <c r="J342" s="534">
        <f t="shared" si="44"/>
        <v>0.98015597187177661</v>
      </c>
      <c r="K342" s="538">
        <f t="shared" si="45"/>
        <v>128259.38080919179</v>
      </c>
      <c r="L342" s="539">
        <f t="shared" si="46"/>
        <v>0.98008688146888179</v>
      </c>
      <c r="M342" s="540">
        <f t="shared" si="47"/>
        <v>153028.25092727627</v>
      </c>
      <c r="N342" s="534">
        <f t="shared" si="48"/>
        <v>0.98157004050277652</v>
      </c>
    </row>
    <row r="343" spans="7:14" x14ac:dyDescent="0.2">
      <c r="G343" s="538">
        <f t="shared" si="42"/>
        <v>129674.39503102977</v>
      </c>
      <c r="H343" s="539">
        <f t="shared" si="41"/>
        <v>0.98018245657861769</v>
      </c>
      <c r="I343" s="540">
        <f t="shared" si="43"/>
        <v>129280.03922843978</v>
      </c>
      <c r="J343" s="534">
        <f t="shared" si="44"/>
        <v>0.98015597187177661</v>
      </c>
      <c r="K343" s="538">
        <f t="shared" si="45"/>
        <v>128259.38080919179</v>
      </c>
      <c r="L343" s="539">
        <f t="shared" si="46"/>
        <v>0.98008688146888179</v>
      </c>
      <c r="M343" s="540">
        <f t="shared" si="47"/>
        <v>153028.25092727627</v>
      </c>
      <c r="N343" s="534">
        <f t="shared" si="48"/>
        <v>0.98157004050277652</v>
      </c>
    </row>
    <row r="344" spans="7:14" x14ac:dyDescent="0.2">
      <c r="G344" s="538">
        <f t="shared" si="42"/>
        <v>129674.39503102977</v>
      </c>
      <c r="H344" s="539">
        <f t="shared" si="41"/>
        <v>0.98018245657861769</v>
      </c>
      <c r="I344" s="540">
        <f t="shared" si="43"/>
        <v>129280.03922843978</v>
      </c>
      <c r="J344" s="534">
        <f t="shared" si="44"/>
        <v>0.98015597187177661</v>
      </c>
      <c r="K344" s="538">
        <f t="shared" si="45"/>
        <v>128259.38080919179</v>
      </c>
      <c r="L344" s="539">
        <f t="shared" si="46"/>
        <v>0.98008688146888179</v>
      </c>
      <c r="M344" s="540">
        <f t="shared" si="47"/>
        <v>153028.25092727627</v>
      </c>
      <c r="N344" s="534">
        <f t="shared" si="48"/>
        <v>0.98157004050277652</v>
      </c>
    </row>
    <row r="345" spans="7:14" x14ac:dyDescent="0.2">
      <c r="G345" s="538">
        <f t="shared" si="42"/>
        <v>129674.39503102977</v>
      </c>
      <c r="H345" s="539">
        <f t="shared" si="41"/>
        <v>0.98018245657861769</v>
      </c>
      <c r="I345" s="540">
        <f t="shared" si="43"/>
        <v>129280.03922843978</v>
      </c>
      <c r="J345" s="534">
        <f t="shared" si="44"/>
        <v>0.98015597187177661</v>
      </c>
      <c r="K345" s="538">
        <f t="shared" si="45"/>
        <v>128259.38080919179</v>
      </c>
      <c r="L345" s="539">
        <f t="shared" si="46"/>
        <v>0.98008688146888179</v>
      </c>
      <c r="M345" s="540">
        <f t="shared" si="47"/>
        <v>153028.25092727627</v>
      </c>
      <c r="N345" s="534">
        <f t="shared" si="48"/>
        <v>0.98157004050277652</v>
      </c>
    </row>
    <row r="346" spans="7:14" x14ac:dyDescent="0.2">
      <c r="G346" s="538">
        <f t="shared" si="42"/>
        <v>129674.39503102977</v>
      </c>
      <c r="H346" s="539">
        <f t="shared" si="41"/>
        <v>0.98018245657861769</v>
      </c>
      <c r="I346" s="540">
        <f t="shared" si="43"/>
        <v>129280.03922843978</v>
      </c>
      <c r="J346" s="534">
        <f t="shared" si="44"/>
        <v>0.98015597187177661</v>
      </c>
      <c r="K346" s="538">
        <f t="shared" si="45"/>
        <v>128259.38080919179</v>
      </c>
      <c r="L346" s="539">
        <f t="shared" si="46"/>
        <v>0.98008688146888179</v>
      </c>
      <c r="M346" s="540">
        <f t="shared" si="47"/>
        <v>153028.25092727627</v>
      </c>
      <c r="N346" s="534">
        <f t="shared" si="48"/>
        <v>0.98157004050277652</v>
      </c>
    </row>
    <row r="347" spans="7:14" x14ac:dyDescent="0.2">
      <c r="G347" s="538">
        <f t="shared" si="42"/>
        <v>129674.39503102977</v>
      </c>
      <c r="H347" s="539">
        <f t="shared" si="41"/>
        <v>0.98018245657861769</v>
      </c>
      <c r="I347" s="540">
        <f t="shared" si="43"/>
        <v>129280.03922843978</v>
      </c>
      <c r="J347" s="534">
        <f t="shared" si="44"/>
        <v>0.98015597187177661</v>
      </c>
      <c r="K347" s="538">
        <f t="shared" si="45"/>
        <v>128259.38080919179</v>
      </c>
      <c r="L347" s="539">
        <f t="shared" si="46"/>
        <v>0.98008688146888179</v>
      </c>
      <c r="M347" s="540">
        <f t="shared" si="47"/>
        <v>153028.25092727627</v>
      </c>
      <c r="N347" s="534">
        <f t="shared" si="48"/>
        <v>0.98157004050277652</v>
      </c>
    </row>
    <row r="348" spans="7:14" x14ac:dyDescent="0.2">
      <c r="G348" s="538">
        <f t="shared" si="42"/>
        <v>129674.39503102977</v>
      </c>
      <c r="H348" s="539">
        <f t="shared" si="41"/>
        <v>0.98018245657861769</v>
      </c>
      <c r="I348" s="540">
        <f t="shared" si="43"/>
        <v>129280.03922843978</v>
      </c>
      <c r="J348" s="534">
        <f t="shared" si="44"/>
        <v>0.98015597187177661</v>
      </c>
      <c r="K348" s="538">
        <f t="shared" si="45"/>
        <v>128259.38080919179</v>
      </c>
      <c r="L348" s="539">
        <f t="shared" si="46"/>
        <v>0.98008688146888179</v>
      </c>
      <c r="M348" s="540">
        <f t="shared" si="47"/>
        <v>153028.25092727627</v>
      </c>
      <c r="N348" s="534">
        <f t="shared" si="48"/>
        <v>0.98157004050277652</v>
      </c>
    </row>
    <row r="349" spans="7:14" x14ac:dyDescent="0.2">
      <c r="G349" s="538">
        <f t="shared" si="42"/>
        <v>129674.39503102977</v>
      </c>
      <c r="H349" s="539">
        <f t="shared" si="41"/>
        <v>0.98018245657861769</v>
      </c>
      <c r="I349" s="540">
        <f t="shared" si="43"/>
        <v>129280.03922843978</v>
      </c>
      <c r="J349" s="534">
        <f t="shared" si="44"/>
        <v>0.98015597187177661</v>
      </c>
      <c r="K349" s="538">
        <f t="shared" si="45"/>
        <v>128259.38080919179</v>
      </c>
      <c r="L349" s="539">
        <f t="shared" si="46"/>
        <v>0.98008688146888179</v>
      </c>
      <c r="M349" s="540">
        <f t="shared" si="47"/>
        <v>153028.25092727627</v>
      </c>
      <c r="N349" s="534">
        <f t="shared" si="48"/>
        <v>0.98157004050277652</v>
      </c>
    </row>
    <row r="350" spans="7:14" x14ac:dyDescent="0.2">
      <c r="G350" s="538">
        <f t="shared" si="42"/>
        <v>129674.39503102977</v>
      </c>
      <c r="H350" s="539">
        <f t="shared" si="41"/>
        <v>0.98018245657861769</v>
      </c>
      <c r="I350" s="540">
        <f t="shared" si="43"/>
        <v>129280.03922843978</v>
      </c>
      <c r="J350" s="534">
        <f t="shared" si="44"/>
        <v>0.98015597187177661</v>
      </c>
      <c r="K350" s="538">
        <f t="shared" si="45"/>
        <v>128259.38080919179</v>
      </c>
      <c r="L350" s="539">
        <f t="shared" si="46"/>
        <v>0.98008688146888179</v>
      </c>
      <c r="M350" s="540">
        <f t="shared" si="47"/>
        <v>153028.25092727627</v>
      </c>
      <c r="N350" s="534">
        <f t="shared" si="48"/>
        <v>0.98157004050277652</v>
      </c>
    </row>
    <row r="351" spans="7:14" x14ac:dyDescent="0.2">
      <c r="G351" s="538">
        <f t="shared" si="42"/>
        <v>129674.39503102977</v>
      </c>
      <c r="H351" s="539">
        <f t="shared" si="41"/>
        <v>0.98018245657861769</v>
      </c>
      <c r="I351" s="540">
        <f t="shared" si="43"/>
        <v>129280.03922843978</v>
      </c>
      <c r="J351" s="534">
        <f t="shared" si="44"/>
        <v>0.98015597187177661</v>
      </c>
      <c r="K351" s="538">
        <f t="shared" si="45"/>
        <v>128259.38080919179</v>
      </c>
      <c r="L351" s="539">
        <f t="shared" si="46"/>
        <v>0.98008688146888179</v>
      </c>
      <c r="M351" s="540">
        <f t="shared" si="47"/>
        <v>153028.25092727627</v>
      </c>
      <c r="N351" s="534">
        <f t="shared" si="48"/>
        <v>0.98157004050277652</v>
      </c>
    </row>
    <row r="352" spans="7:14" x14ac:dyDescent="0.2">
      <c r="G352" s="538">
        <f t="shared" si="42"/>
        <v>129674.39503102977</v>
      </c>
      <c r="H352" s="539">
        <f t="shared" si="41"/>
        <v>0.98018245657861769</v>
      </c>
      <c r="I352" s="540">
        <f t="shared" si="43"/>
        <v>129280.03922843978</v>
      </c>
      <c r="J352" s="534">
        <f t="shared" si="44"/>
        <v>0.98015597187177661</v>
      </c>
      <c r="K352" s="538">
        <f t="shared" si="45"/>
        <v>128259.38080919179</v>
      </c>
      <c r="L352" s="539">
        <f t="shared" si="46"/>
        <v>0.98008688146888179</v>
      </c>
      <c r="M352" s="540">
        <f t="shared" si="47"/>
        <v>153028.25092727627</v>
      </c>
      <c r="N352" s="534">
        <f t="shared" si="48"/>
        <v>0.98157004050277652</v>
      </c>
    </row>
    <row r="353" spans="7:14" x14ac:dyDescent="0.2">
      <c r="G353" s="538">
        <f t="shared" si="42"/>
        <v>129674.39503102977</v>
      </c>
      <c r="H353" s="539">
        <f t="shared" si="41"/>
        <v>0.98018245657861769</v>
      </c>
      <c r="I353" s="540">
        <f t="shared" si="43"/>
        <v>129280.03922843978</v>
      </c>
      <c r="J353" s="534">
        <f t="shared" si="44"/>
        <v>0.98015597187177661</v>
      </c>
      <c r="K353" s="538">
        <f t="shared" si="45"/>
        <v>128259.38080919179</v>
      </c>
      <c r="L353" s="539">
        <f t="shared" si="46"/>
        <v>0.98008688146888179</v>
      </c>
      <c r="M353" s="540">
        <f t="shared" si="47"/>
        <v>153028.25092727627</v>
      </c>
      <c r="N353" s="534">
        <f t="shared" si="48"/>
        <v>0.98157004050277652</v>
      </c>
    </row>
    <row r="354" spans="7:14" x14ac:dyDescent="0.2">
      <c r="G354" s="538">
        <f t="shared" si="42"/>
        <v>129674.39503102977</v>
      </c>
      <c r="H354" s="539">
        <f t="shared" si="41"/>
        <v>0.98018245657861769</v>
      </c>
      <c r="I354" s="540">
        <f t="shared" si="43"/>
        <v>129280.03922843978</v>
      </c>
      <c r="J354" s="534">
        <f t="shared" si="44"/>
        <v>0.98015597187177661</v>
      </c>
      <c r="K354" s="538">
        <f t="shared" si="45"/>
        <v>128259.38080919179</v>
      </c>
      <c r="L354" s="539">
        <f t="shared" si="46"/>
        <v>0.98008688146888179</v>
      </c>
      <c r="M354" s="540">
        <f t="shared" si="47"/>
        <v>153028.25092727627</v>
      </c>
      <c r="N354" s="534">
        <f t="shared" si="48"/>
        <v>0.98157004050277652</v>
      </c>
    </row>
    <row r="355" spans="7:14" x14ac:dyDescent="0.2">
      <c r="G355" s="538">
        <f t="shared" si="42"/>
        <v>129674.39503102977</v>
      </c>
      <c r="H355" s="539">
        <f t="shared" si="41"/>
        <v>0.98018245657861769</v>
      </c>
      <c r="I355" s="540">
        <f t="shared" si="43"/>
        <v>129280.03922843978</v>
      </c>
      <c r="J355" s="534">
        <f t="shared" si="44"/>
        <v>0.98015597187177661</v>
      </c>
      <c r="K355" s="538">
        <f t="shared" si="45"/>
        <v>128259.38080919179</v>
      </c>
      <c r="L355" s="539">
        <f t="shared" si="46"/>
        <v>0.98008688146888179</v>
      </c>
      <c r="M355" s="540">
        <f t="shared" si="47"/>
        <v>153028.25092727627</v>
      </c>
      <c r="N355" s="534">
        <f t="shared" si="48"/>
        <v>0.98157004050277652</v>
      </c>
    </row>
    <row r="356" spans="7:14" x14ac:dyDescent="0.2">
      <c r="G356" s="538">
        <f t="shared" si="42"/>
        <v>129674.39503102977</v>
      </c>
      <c r="H356" s="539">
        <f t="shared" si="41"/>
        <v>0.98018245657861769</v>
      </c>
      <c r="I356" s="540">
        <f t="shared" si="43"/>
        <v>129280.03922843978</v>
      </c>
      <c r="J356" s="534">
        <f t="shared" si="44"/>
        <v>0.98015597187177661</v>
      </c>
      <c r="K356" s="538">
        <f t="shared" si="45"/>
        <v>128259.38080919179</v>
      </c>
      <c r="L356" s="539">
        <f t="shared" si="46"/>
        <v>0.98008688146888179</v>
      </c>
      <c r="M356" s="540">
        <f t="shared" si="47"/>
        <v>153028.25092727627</v>
      </c>
      <c r="N356" s="534">
        <f t="shared" si="48"/>
        <v>0.98157004050277652</v>
      </c>
    </row>
    <row r="357" spans="7:14" x14ac:dyDescent="0.2">
      <c r="G357" s="538">
        <f t="shared" si="42"/>
        <v>129674.39503102977</v>
      </c>
      <c r="H357" s="539">
        <f t="shared" si="41"/>
        <v>0.98018245657861769</v>
      </c>
      <c r="I357" s="540">
        <f t="shared" si="43"/>
        <v>129280.03922843978</v>
      </c>
      <c r="J357" s="534">
        <f t="shared" si="44"/>
        <v>0.98015597187177661</v>
      </c>
      <c r="K357" s="538">
        <f t="shared" si="45"/>
        <v>128259.38080919179</v>
      </c>
      <c r="L357" s="539">
        <f t="shared" si="46"/>
        <v>0.98008688146888179</v>
      </c>
      <c r="M357" s="540">
        <f t="shared" si="47"/>
        <v>153028.25092727627</v>
      </c>
      <c r="N357" s="534">
        <f t="shared" si="48"/>
        <v>0.98157004050277652</v>
      </c>
    </row>
    <row r="358" spans="7:14" x14ac:dyDescent="0.2">
      <c r="G358" s="538">
        <f t="shared" si="42"/>
        <v>129674.39503102977</v>
      </c>
      <c r="H358" s="539">
        <f t="shared" si="41"/>
        <v>0.98018245657861769</v>
      </c>
      <c r="I358" s="540">
        <f t="shared" si="43"/>
        <v>129280.03922843978</v>
      </c>
      <c r="J358" s="534">
        <f t="shared" si="44"/>
        <v>0.98015597187177661</v>
      </c>
      <c r="K358" s="538">
        <f t="shared" si="45"/>
        <v>128259.38080919179</v>
      </c>
      <c r="L358" s="539">
        <f t="shared" si="46"/>
        <v>0.98008688146888179</v>
      </c>
      <c r="M358" s="540">
        <f t="shared" si="47"/>
        <v>153028.25092727627</v>
      </c>
      <c r="N358" s="534">
        <f t="shared" si="48"/>
        <v>0.98157004050277652</v>
      </c>
    </row>
    <row r="359" spans="7:14" x14ac:dyDescent="0.2">
      <c r="G359" s="538">
        <f t="shared" si="42"/>
        <v>129674.39503102977</v>
      </c>
      <c r="H359" s="539">
        <f t="shared" si="41"/>
        <v>0.98018245657861769</v>
      </c>
      <c r="I359" s="540">
        <f t="shared" si="43"/>
        <v>129280.03922843978</v>
      </c>
      <c r="J359" s="534">
        <f t="shared" si="44"/>
        <v>0.98015597187177661</v>
      </c>
      <c r="K359" s="538">
        <f t="shared" si="45"/>
        <v>128259.38080919179</v>
      </c>
      <c r="L359" s="539">
        <f t="shared" si="46"/>
        <v>0.98008688146888179</v>
      </c>
      <c r="M359" s="540">
        <f t="shared" si="47"/>
        <v>153028.25092727627</v>
      </c>
      <c r="N359" s="534">
        <f t="shared" si="48"/>
        <v>0.98157004050277652</v>
      </c>
    </row>
    <row r="360" spans="7:14" x14ac:dyDescent="0.2">
      <c r="G360" s="538">
        <f t="shared" si="42"/>
        <v>129674.39503102977</v>
      </c>
      <c r="H360" s="539">
        <f t="shared" si="41"/>
        <v>0.98018245657861769</v>
      </c>
      <c r="I360" s="540">
        <f t="shared" si="43"/>
        <v>129280.03922843978</v>
      </c>
      <c r="J360" s="534">
        <f t="shared" si="44"/>
        <v>0.98015597187177661</v>
      </c>
      <c r="K360" s="538">
        <f t="shared" si="45"/>
        <v>128259.38080919179</v>
      </c>
      <c r="L360" s="539">
        <f t="shared" si="46"/>
        <v>0.98008688146888179</v>
      </c>
      <c r="M360" s="540">
        <f t="shared" si="47"/>
        <v>153028.25092727627</v>
      </c>
      <c r="N360" s="534">
        <f t="shared" si="48"/>
        <v>0.98157004050277652</v>
      </c>
    </row>
    <row r="361" spans="7:14" x14ac:dyDescent="0.2">
      <c r="G361" s="538">
        <f t="shared" si="42"/>
        <v>129674.39503102977</v>
      </c>
      <c r="H361" s="539">
        <f t="shared" si="41"/>
        <v>0.98018245657861769</v>
      </c>
      <c r="I361" s="540">
        <f t="shared" si="43"/>
        <v>129280.03922843978</v>
      </c>
      <c r="J361" s="534">
        <f t="shared" si="44"/>
        <v>0.98015597187177661</v>
      </c>
      <c r="K361" s="538">
        <f t="shared" si="45"/>
        <v>128259.38080919179</v>
      </c>
      <c r="L361" s="539">
        <f t="shared" si="46"/>
        <v>0.98008688146888179</v>
      </c>
      <c r="M361" s="540">
        <f t="shared" si="47"/>
        <v>153028.25092727627</v>
      </c>
      <c r="N361" s="534">
        <f t="shared" si="48"/>
        <v>0.98157004050277652</v>
      </c>
    </row>
    <row r="362" spans="7:14" x14ac:dyDescent="0.2">
      <c r="G362" s="538">
        <f t="shared" si="42"/>
        <v>129674.39503102977</v>
      </c>
      <c r="H362" s="539">
        <f t="shared" si="41"/>
        <v>0.98018245657861769</v>
      </c>
      <c r="I362" s="540">
        <f t="shared" si="43"/>
        <v>129280.03922843978</v>
      </c>
      <c r="J362" s="534">
        <f t="shared" si="44"/>
        <v>0.98015597187177661</v>
      </c>
      <c r="K362" s="538">
        <f t="shared" si="45"/>
        <v>128259.38080919179</v>
      </c>
      <c r="L362" s="539">
        <f t="shared" si="46"/>
        <v>0.98008688146888179</v>
      </c>
      <c r="M362" s="540">
        <f t="shared" si="47"/>
        <v>153028.25092727627</v>
      </c>
      <c r="N362" s="534">
        <f t="shared" si="48"/>
        <v>0.98157004050277652</v>
      </c>
    </row>
    <row r="363" spans="7:14" x14ac:dyDescent="0.2">
      <c r="G363" s="538">
        <f t="shared" si="42"/>
        <v>129674.39503102977</v>
      </c>
      <c r="H363" s="539">
        <f t="shared" si="41"/>
        <v>0.98018245657861769</v>
      </c>
      <c r="I363" s="540">
        <f t="shared" si="43"/>
        <v>129280.03922843978</v>
      </c>
      <c r="J363" s="534">
        <f t="shared" si="44"/>
        <v>0.98015597187177661</v>
      </c>
      <c r="K363" s="538">
        <f t="shared" si="45"/>
        <v>128259.38080919179</v>
      </c>
      <c r="L363" s="539">
        <f t="shared" si="46"/>
        <v>0.98008688146888179</v>
      </c>
      <c r="M363" s="540">
        <f t="shared" si="47"/>
        <v>153028.25092727627</v>
      </c>
      <c r="N363" s="534">
        <f t="shared" si="48"/>
        <v>0.98157004050277652</v>
      </c>
    </row>
    <row r="364" spans="7:14" x14ac:dyDescent="0.2">
      <c r="G364" s="538">
        <f t="shared" si="42"/>
        <v>129674.39503102977</v>
      </c>
      <c r="H364" s="539">
        <f t="shared" si="41"/>
        <v>0.98018245657861769</v>
      </c>
      <c r="I364" s="540">
        <f t="shared" si="43"/>
        <v>129280.03922843978</v>
      </c>
      <c r="J364" s="534">
        <f t="shared" si="44"/>
        <v>0.98015597187177661</v>
      </c>
      <c r="K364" s="538">
        <f t="shared" si="45"/>
        <v>128259.38080919179</v>
      </c>
      <c r="L364" s="539">
        <f t="shared" si="46"/>
        <v>0.98008688146888179</v>
      </c>
      <c r="M364" s="540">
        <f t="shared" si="47"/>
        <v>153028.25092727627</v>
      </c>
      <c r="N364" s="534">
        <f t="shared" si="48"/>
        <v>0.98157004050277652</v>
      </c>
    </row>
    <row r="365" spans="7:14" x14ac:dyDescent="0.2">
      <c r="G365" s="538">
        <f t="shared" si="42"/>
        <v>129674.39503102977</v>
      </c>
      <c r="H365" s="539">
        <f t="shared" si="41"/>
        <v>0.98018245657861769</v>
      </c>
      <c r="I365" s="540">
        <f t="shared" si="43"/>
        <v>129280.03922843978</v>
      </c>
      <c r="J365" s="534">
        <f t="shared" si="44"/>
        <v>0.98015597187177661</v>
      </c>
      <c r="K365" s="538">
        <f t="shared" si="45"/>
        <v>128259.38080919179</v>
      </c>
      <c r="L365" s="539">
        <f t="shared" si="46"/>
        <v>0.98008688146888179</v>
      </c>
      <c r="M365" s="540">
        <f t="shared" si="47"/>
        <v>153028.25092727627</v>
      </c>
      <c r="N365" s="534">
        <f t="shared" si="48"/>
        <v>0.98157004050277652</v>
      </c>
    </row>
    <row r="366" spans="7:14" x14ac:dyDescent="0.2">
      <c r="G366" s="538">
        <f t="shared" si="42"/>
        <v>129674.39503102977</v>
      </c>
      <c r="H366" s="539">
        <f t="shared" si="41"/>
        <v>0.98018245657861769</v>
      </c>
      <c r="I366" s="540">
        <f t="shared" si="43"/>
        <v>129280.03922843978</v>
      </c>
      <c r="J366" s="534">
        <f t="shared" si="44"/>
        <v>0.98015597187177661</v>
      </c>
      <c r="K366" s="538">
        <f t="shared" si="45"/>
        <v>128259.38080919179</v>
      </c>
      <c r="L366" s="539">
        <f t="shared" si="46"/>
        <v>0.98008688146888179</v>
      </c>
      <c r="M366" s="540">
        <f t="shared" si="47"/>
        <v>153028.25092727627</v>
      </c>
      <c r="N366" s="534">
        <f t="shared" si="48"/>
        <v>0.98157004050277652</v>
      </c>
    </row>
    <row r="367" spans="7:14" x14ac:dyDescent="0.2">
      <c r="G367" s="538">
        <f t="shared" si="42"/>
        <v>129674.39503102977</v>
      </c>
      <c r="H367" s="539">
        <f t="shared" si="41"/>
        <v>0.98018245657861769</v>
      </c>
      <c r="I367" s="540">
        <f t="shared" si="43"/>
        <v>129280.03922843978</v>
      </c>
      <c r="J367" s="534">
        <f t="shared" si="44"/>
        <v>0.98015597187177661</v>
      </c>
      <c r="K367" s="538">
        <f t="shared" si="45"/>
        <v>128259.38080919179</v>
      </c>
      <c r="L367" s="539">
        <f t="shared" si="46"/>
        <v>0.98008688146888179</v>
      </c>
      <c r="M367" s="540">
        <f t="shared" si="47"/>
        <v>153028.25092727627</v>
      </c>
      <c r="N367" s="534">
        <f t="shared" si="48"/>
        <v>0.98157004050277652</v>
      </c>
    </row>
    <row r="368" spans="7:14" x14ac:dyDescent="0.2">
      <c r="G368" s="538">
        <f t="shared" si="42"/>
        <v>129674.39503102977</v>
      </c>
      <c r="H368" s="539">
        <f t="shared" si="41"/>
        <v>0.98018245657861769</v>
      </c>
      <c r="I368" s="540">
        <f t="shared" si="43"/>
        <v>129280.03922843978</v>
      </c>
      <c r="J368" s="534">
        <f t="shared" si="44"/>
        <v>0.98015597187177661</v>
      </c>
      <c r="K368" s="538">
        <f t="shared" si="45"/>
        <v>128259.38080919179</v>
      </c>
      <c r="L368" s="539">
        <f t="shared" si="46"/>
        <v>0.98008688146888179</v>
      </c>
      <c r="M368" s="540">
        <f t="shared" si="47"/>
        <v>153028.25092727627</v>
      </c>
      <c r="N368" s="534">
        <f t="shared" si="48"/>
        <v>0.98157004050277652</v>
      </c>
    </row>
    <row r="369" spans="7:14" x14ac:dyDescent="0.2">
      <c r="G369" s="538">
        <f t="shared" si="42"/>
        <v>129674.39503102977</v>
      </c>
      <c r="H369" s="539">
        <f t="shared" si="41"/>
        <v>0.98018245657861769</v>
      </c>
      <c r="I369" s="540">
        <f t="shared" si="43"/>
        <v>129280.03922843978</v>
      </c>
      <c r="J369" s="534">
        <f t="shared" si="44"/>
        <v>0.98015597187177661</v>
      </c>
      <c r="K369" s="538">
        <f t="shared" si="45"/>
        <v>128259.38080919179</v>
      </c>
      <c r="L369" s="539">
        <f t="shared" si="46"/>
        <v>0.98008688146888179</v>
      </c>
      <c r="M369" s="540">
        <f t="shared" si="47"/>
        <v>153028.25092727627</v>
      </c>
      <c r="N369" s="534">
        <f t="shared" si="48"/>
        <v>0.98157004050277652</v>
      </c>
    </row>
    <row r="370" spans="7:14" x14ac:dyDescent="0.2">
      <c r="G370" s="538">
        <f t="shared" si="42"/>
        <v>129674.39503102977</v>
      </c>
      <c r="H370" s="539">
        <f t="shared" si="41"/>
        <v>0.98018245657861769</v>
      </c>
      <c r="I370" s="540">
        <f t="shared" si="43"/>
        <v>129280.03922843978</v>
      </c>
      <c r="J370" s="534">
        <f t="shared" si="44"/>
        <v>0.98015597187177661</v>
      </c>
      <c r="K370" s="538">
        <f t="shared" si="45"/>
        <v>128259.38080919179</v>
      </c>
      <c r="L370" s="539">
        <f t="shared" si="46"/>
        <v>0.98008688146888179</v>
      </c>
      <c r="M370" s="540">
        <f t="shared" si="47"/>
        <v>153028.25092727627</v>
      </c>
      <c r="N370" s="534">
        <f t="shared" si="48"/>
        <v>0.98157004050277652</v>
      </c>
    </row>
    <row r="371" spans="7:14" x14ac:dyDescent="0.2">
      <c r="G371" s="538">
        <f t="shared" si="42"/>
        <v>129674.39503102977</v>
      </c>
      <c r="H371" s="539">
        <f t="shared" si="41"/>
        <v>0.98018245657861769</v>
      </c>
      <c r="I371" s="540">
        <f t="shared" si="43"/>
        <v>129280.03922843978</v>
      </c>
      <c r="J371" s="534">
        <f t="shared" si="44"/>
        <v>0.98015597187177661</v>
      </c>
      <c r="K371" s="538">
        <f t="shared" si="45"/>
        <v>128259.38080919179</v>
      </c>
      <c r="L371" s="539">
        <f t="shared" si="46"/>
        <v>0.98008688146888179</v>
      </c>
      <c r="M371" s="540">
        <f t="shared" si="47"/>
        <v>153028.25092727627</v>
      </c>
      <c r="N371" s="534">
        <f t="shared" si="48"/>
        <v>0.98157004050277652</v>
      </c>
    </row>
    <row r="372" spans="7:14" x14ac:dyDescent="0.2">
      <c r="G372" s="538">
        <f t="shared" si="42"/>
        <v>129674.39503102977</v>
      </c>
      <c r="H372" s="539">
        <f t="shared" si="41"/>
        <v>0.98018245657861769</v>
      </c>
      <c r="I372" s="540">
        <f t="shared" si="43"/>
        <v>129280.03922843978</v>
      </c>
      <c r="J372" s="534">
        <f t="shared" si="44"/>
        <v>0.98015597187177661</v>
      </c>
      <c r="K372" s="538">
        <f t="shared" si="45"/>
        <v>128259.38080919179</v>
      </c>
      <c r="L372" s="539">
        <f t="shared" si="46"/>
        <v>0.98008688146888179</v>
      </c>
      <c r="M372" s="540">
        <f t="shared" si="47"/>
        <v>153028.25092727627</v>
      </c>
      <c r="N372" s="534">
        <f t="shared" si="48"/>
        <v>0.98157004050277652</v>
      </c>
    </row>
    <row r="373" spans="7:14" x14ac:dyDescent="0.2">
      <c r="G373" s="538">
        <f t="shared" si="42"/>
        <v>129674.39503102977</v>
      </c>
      <c r="H373" s="539">
        <f t="shared" si="41"/>
        <v>0.98018245657861769</v>
      </c>
      <c r="I373" s="540">
        <f t="shared" si="43"/>
        <v>129280.03922843978</v>
      </c>
      <c r="J373" s="534">
        <f t="shared" si="44"/>
        <v>0.98015597187177661</v>
      </c>
      <c r="K373" s="538">
        <f t="shared" si="45"/>
        <v>128259.38080919179</v>
      </c>
      <c r="L373" s="539">
        <f t="shared" si="46"/>
        <v>0.98008688146888179</v>
      </c>
      <c r="M373" s="540">
        <f t="shared" si="47"/>
        <v>153028.25092727627</v>
      </c>
      <c r="N373" s="534">
        <f t="shared" si="48"/>
        <v>0.98157004050277652</v>
      </c>
    </row>
    <row r="374" spans="7:14" x14ac:dyDescent="0.2">
      <c r="G374" s="538">
        <f t="shared" si="42"/>
        <v>129674.39503102977</v>
      </c>
      <c r="H374" s="539">
        <f t="shared" si="41"/>
        <v>0.98018245657861769</v>
      </c>
      <c r="I374" s="540">
        <f t="shared" si="43"/>
        <v>129280.03922843978</v>
      </c>
      <c r="J374" s="534">
        <f t="shared" si="44"/>
        <v>0.98015597187177661</v>
      </c>
      <c r="K374" s="538">
        <f t="shared" si="45"/>
        <v>128259.38080919179</v>
      </c>
      <c r="L374" s="539">
        <f t="shared" si="46"/>
        <v>0.98008688146888179</v>
      </c>
      <c r="M374" s="540">
        <f t="shared" si="47"/>
        <v>153028.25092727627</v>
      </c>
      <c r="N374" s="534">
        <f t="shared" si="48"/>
        <v>0.98157004050277652</v>
      </c>
    </row>
    <row r="375" spans="7:14" x14ac:dyDescent="0.2">
      <c r="G375" s="538">
        <f t="shared" si="42"/>
        <v>129674.39503102977</v>
      </c>
      <c r="H375" s="539">
        <f t="shared" si="41"/>
        <v>0.98018245657861769</v>
      </c>
      <c r="I375" s="540">
        <f t="shared" si="43"/>
        <v>129280.03922843978</v>
      </c>
      <c r="J375" s="534">
        <f t="shared" si="44"/>
        <v>0.98015597187177661</v>
      </c>
      <c r="K375" s="538">
        <f t="shared" si="45"/>
        <v>128259.38080919179</v>
      </c>
      <c r="L375" s="539">
        <f t="shared" si="46"/>
        <v>0.98008688146888179</v>
      </c>
      <c r="M375" s="540">
        <f t="shared" si="47"/>
        <v>153028.25092727627</v>
      </c>
      <c r="N375" s="534">
        <f t="shared" si="48"/>
        <v>0.98157004050277652</v>
      </c>
    </row>
    <row r="376" spans="7:14" x14ac:dyDescent="0.2">
      <c r="G376" s="538">
        <f t="shared" si="42"/>
        <v>129674.39503102977</v>
      </c>
      <c r="H376" s="539">
        <f t="shared" si="41"/>
        <v>0.98018245657861769</v>
      </c>
      <c r="I376" s="540">
        <f t="shared" si="43"/>
        <v>129280.03922843978</v>
      </c>
      <c r="J376" s="534">
        <f t="shared" si="44"/>
        <v>0.98015597187177661</v>
      </c>
      <c r="K376" s="538">
        <f t="shared" si="45"/>
        <v>128259.38080919179</v>
      </c>
      <c r="L376" s="539">
        <f t="shared" si="46"/>
        <v>0.98008688146888179</v>
      </c>
      <c r="M376" s="540">
        <f t="shared" si="47"/>
        <v>153028.25092727627</v>
      </c>
      <c r="N376" s="534">
        <f t="shared" si="48"/>
        <v>0.98157004050277652</v>
      </c>
    </row>
    <row r="377" spans="7:14" x14ac:dyDescent="0.2">
      <c r="G377" s="538">
        <f t="shared" si="42"/>
        <v>129674.39503102977</v>
      </c>
      <c r="H377" s="539">
        <f t="shared" si="41"/>
        <v>0.98018245657861769</v>
      </c>
      <c r="I377" s="540">
        <f t="shared" si="43"/>
        <v>129280.03922843978</v>
      </c>
      <c r="J377" s="534">
        <f t="shared" si="44"/>
        <v>0.98015597187177661</v>
      </c>
      <c r="K377" s="538">
        <f t="shared" si="45"/>
        <v>128259.38080919179</v>
      </c>
      <c r="L377" s="539">
        <f t="shared" si="46"/>
        <v>0.98008688146888179</v>
      </c>
      <c r="M377" s="540">
        <f t="shared" si="47"/>
        <v>153028.25092727627</v>
      </c>
      <c r="N377" s="534">
        <f t="shared" si="48"/>
        <v>0.98157004050277652</v>
      </c>
    </row>
    <row r="378" spans="7:14" x14ac:dyDescent="0.2">
      <c r="G378" s="538">
        <f t="shared" si="42"/>
        <v>129674.39503102977</v>
      </c>
      <c r="H378" s="539">
        <f t="shared" si="41"/>
        <v>0.98018245657861769</v>
      </c>
      <c r="I378" s="540">
        <f t="shared" si="43"/>
        <v>129280.03922843978</v>
      </c>
      <c r="J378" s="534">
        <f t="shared" si="44"/>
        <v>0.98015597187177661</v>
      </c>
      <c r="K378" s="538">
        <f t="shared" si="45"/>
        <v>128259.38080919179</v>
      </c>
      <c r="L378" s="539">
        <f t="shared" si="46"/>
        <v>0.98008688146888179</v>
      </c>
      <c r="M378" s="540">
        <f t="shared" si="47"/>
        <v>153028.25092727627</v>
      </c>
      <c r="N378" s="534">
        <f t="shared" si="48"/>
        <v>0.98157004050277652</v>
      </c>
    </row>
    <row r="379" spans="7:14" x14ac:dyDescent="0.2">
      <c r="G379" s="538">
        <f t="shared" si="42"/>
        <v>129674.39503102977</v>
      </c>
      <c r="H379" s="539">
        <f t="shared" si="41"/>
        <v>0.98018245657861769</v>
      </c>
      <c r="I379" s="540">
        <f t="shared" si="43"/>
        <v>129280.03922843978</v>
      </c>
      <c r="J379" s="534">
        <f t="shared" si="44"/>
        <v>0.98015597187177661</v>
      </c>
      <c r="K379" s="538">
        <f t="shared" si="45"/>
        <v>128259.38080919179</v>
      </c>
      <c r="L379" s="539">
        <f t="shared" si="46"/>
        <v>0.98008688146888179</v>
      </c>
      <c r="M379" s="540">
        <f t="shared" si="47"/>
        <v>153028.25092727627</v>
      </c>
      <c r="N379" s="534">
        <f t="shared" si="48"/>
        <v>0.98157004050277652</v>
      </c>
    </row>
    <row r="380" spans="7:14" x14ac:dyDescent="0.2">
      <c r="G380" s="538">
        <f t="shared" si="42"/>
        <v>129674.39503102977</v>
      </c>
      <c r="H380" s="539">
        <f t="shared" si="41"/>
        <v>0.98018245657861769</v>
      </c>
      <c r="I380" s="540">
        <f t="shared" si="43"/>
        <v>129280.03922843978</v>
      </c>
      <c r="J380" s="534">
        <f t="shared" si="44"/>
        <v>0.98015597187177661</v>
      </c>
      <c r="K380" s="538">
        <f t="shared" si="45"/>
        <v>128259.38080919179</v>
      </c>
      <c r="L380" s="539">
        <f t="shared" si="46"/>
        <v>0.98008688146888179</v>
      </c>
      <c r="M380" s="540">
        <f t="shared" si="47"/>
        <v>153028.25092727627</v>
      </c>
      <c r="N380" s="534">
        <f t="shared" si="48"/>
        <v>0.98157004050277652</v>
      </c>
    </row>
    <row r="381" spans="7:14" x14ac:dyDescent="0.2">
      <c r="G381" s="538">
        <f t="shared" si="42"/>
        <v>129674.39503102977</v>
      </c>
      <c r="H381" s="539">
        <f t="shared" si="41"/>
        <v>0.98018245657861769</v>
      </c>
      <c r="I381" s="540">
        <f t="shared" si="43"/>
        <v>129280.03922843978</v>
      </c>
      <c r="J381" s="534">
        <f t="shared" si="44"/>
        <v>0.98015597187177661</v>
      </c>
      <c r="K381" s="538">
        <f t="shared" si="45"/>
        <v>128259.38080919179</v>
      </c>
      <c r="L381" s="539">
        <f t="shared" si="46"/>
        <v>0.98008688146888179</v>
      </c>
      <c r="M381" s="540">
        <f t="shared" si="47"/>
        <v>153028.25092727627</v>
      </c>
      <c r="N381" s="534">
        <f t="shared" si="48"/>
        <v>0.98157004050277652</v>
      </c>
    </row>
    <row r="382" spans="7:14" x14ac:dyDescent="0.2">
      <c r="G382" s="538">
        <f t="shared" si="42"/>
        <v>129674.39503102977</v>
      </c>
      <c r="H382" s="539">
        <f t="shared" si="41"/>
        <v>0.98018245657861769</v>
      </c>
      <c r="I382" s="540">
        <f t="shared" si="43"/>
        <v>129280.03922843978</v>
      </c>
      <c r="J382" s="534">
        <f t="shared" si="44"/>
        <v>0.98015597187177661</v>
      </c>
      <c r="K382" s="538">
        <f t="shared" si="45"/>
        <v>128259.38080919179</v>
      </c>
      <c r="L382" s="539">
        <f t="shared" si="46"/>
        <v>0.98008688146888179</v>
      </c>
      <c r="M382" s="540">
        <f t="shared" si="47"/>
        <v>153028.25092727627</v>
      </c>
      <c r="N382" s="534">
        <f t="shared" si="48"/>
        <v>0.98157004050277652</v>
      </c>
    </row>
    <row r="383" spans="7:14" x14ac:dyDescent="0.2">
      <c r="G383" s="538">
        <f t="shared" si="42"/>
        <v>129674.39503102977</v>
      </c>
      <c r="H383" s="539">
        <f t="shared" si="41"/>
        <v>0.98018245657861769</v>
      </c>
      <c r="I383" s="540">
        <f t="shared" si="43"/>
        <v>129280.03922843978</v>
      </c>
      <c r="J383" s="534">
        <f t="shared" si="44"/>
        <v>0.98015597187177661</v>
      </c>
      <c r="K383" s="538">
        <f t="shared" si="45"/>
        <v>128259.38080919179</v>
      </c>
      <c r="L383" s="539">
        <f t="shared" si="46"/>
        <v>0.98008688146888179</v>
      </c>
      <c r="M383" s="540">
        <f t="shared" si="47"/>
        <v>153028.25092727627</v>
      </c>
      <c r="N383" s="534">
        <f t="shared" si="48"/>
        <v>0.98157004050277652</v>
      </c>
    </row>
    <row r="384" spans="7:14" x14ac:dyDescent="0.2">
      <c r="G384" s="538">
        <f t="shared" si="42"/>
        <v>129674.39503102977</v>
      </c>
      <c r="H384" s="539">
        <f t="shared" si="41"/>
        <v>0.98018245657861769</v>
      </c>
      <c r="I384" s="540">
        <f t="shared" si="43"/>
        <v>129280.03922843978</v>
      </c>
      <c r="J384" s="534">
        <f t="shared" si="44"/>
        <v>0.98015597187177661</v>
      </c>
      <c r="K384" s="538">
        <f t="shared" si="45"/>
        <v>128259.38080919179</v>
      </c>
      <c r="L384" s="539">
        <f t="shared" si="46"/>
        <v>0.98008688146888179</v>
      </c>
      <c r="M384" s="540">
        <f t="shared" si="47"/>
        <v>153028.25092727627</v>
      </c>
      <c r="N384" s="534">
        <f t="shared" si="48"/>
        <v>0.98157004050277652</v>
      </c>
    </row>
    <row r="385" spans="7:14" x14ac:dyDescent="0.2">
      <c r="G385" s="538">
        <f t="shared" si="42"/>
        <v>129674.39503102977</v>
      </c>
      <c r="H385" s="539">
        <f t="shared" si="41"/>
        <v>0.98018245657861769</v>
      </c>
      <c r="I385" s="540">
        <f t="shared" si="43"/>
        <v>129280.03922843978</v>
      </c>
      <c r="J385" s="534">
        <f t="shared" si="44"/>
        <v>0.98015597187177661</v>
      </c>
      <c r="K385" s="538">
        <f t="shared" si="45"/>
        <v>128259.38080919179</v>
      </c>
      <c r="L385" s="539">
        <f t="shared" si="46"/>
        <v>0.98008688146888179</v>
      </c>
      <c r="M385" s="540">
        <f t="shared" si="47"/>
        <v>153028.25092727627</v>
      </c>
      <c r="N385" s="534">
        <f t="shared" si="48"/>
        <v>0.98157004050277652</v>
      </c>
    </row>
    <row r="386" spans="7:14" x14ac:dyDescent="0.2">
      <c r="G386" s="538">
        <f t="shared" si="42"/>
        <v>129674.39503102977</v>
      </c>
      <c r="H386" s="539">
        <f t="shared" si="41"/>
        <v>0.98018245657861769</v>
      </c>
      <c r="I386" s="540">
        <f t="shared" si="43"/>
        <v>129280.03922843978</v>
      </c>
      <c r="J386" s="534">
        <f t="shared" si="44"/>
        <v>0.98015597187177661</v>
      </c>
      <c r="K386" s="538">
        <f t="shared" si="45"/>
        <v>128259.38080919179</v>
      </c>
      <c r="L386" s="539">
        <f t="shared" si="46"/>
        <v>0.98008688146888179</v>
      </c>
      <c r="M386" s="540">
        <f t="shared" si="47"/>
        <v>153028.25092727627</v>
      </c>
      <c r="N386" s="534">
        <f t="shared" si="48"/>
        <v>0.98157004050277652</v>
      </c>
    </row>
    <row r="387" spans="7:14" x14ac:dyDescent="0.2">
      <c r="G387" s="538">
        <f t="shared" si="42"/>
        <v>129674.39503102977</v>
      </c>
      <c r="H387" s="539">
        <f t="shared" ref="H387:H450" si="49">0.9986-(7.006/SQRT(G387))+134.6/G387</f>
        <v>0.98018245657861769</v>
      </c>
      <c r="I387" s="540">
        <f t="shared" si="43"/>
        <v>129280.03922843978</v>
      </c>
      <c r="J387" s="534">
        <f t="shared" si="44"/>
        <v>0.98015597187177661</v>
      </c>
      <c r="K387" s="538">
        <f t="shared" si="45"/>
        <v>128259.38080919179</v>
      </c>
      <c r="L387" s="539">
        <f t="shared" si="46"/>
        <v>0.98008688146888179</v>
      </c>
      <c r="M387" s="540">
        <f t="shared" si="47"/>
        <v>153028.25092727627</v>
      </c>
      <c r="N387" s="534">
        <f t="shared" si="48"/>
        <v>0.98157004050277652</v>
      </c>
    </row>
    <row r="388" spans="7:14" x14ac:dyDescent="0.2">
      <c r="G388" s="538">
        <f t="shared" ref="G388:G451" si="50">($C$6/(1000*$C$12*$C$16))*(H387*SQRT(2*$C$5*100*$C$16))</f>
        <v>129674.39503102977</v>
      </c>
      <c r="H388" s="539">
        <f t="shared" si="49"/>
        <v>0.98018245657861769</v>
      </c>
      <c r="I388" s="540">
        <f t="shared" ref="I388:I451" si="51">($C$7/(1000*$C$12*$C$16))*(J387*SQRT(2*$C$5*100*$C$16))</f>
        <v>129280.03922843978</v>
      </c>
      <c r="J388" s="534">
        <f t="shared" ref="J388:J451" si="52">0.9986-(7.006/SQRT(I388))+134.6/I388</f>
        <v>0.98015597187177661</v>
      </c>
      <c r="K388" s="538">
        <f t="shared" ref="K388:K451" si="53">($C$8/(1000*$C$12*$C$16))*(L387*SQRT(2*$C$5*100*$C$16))</f>
        <v>128259.38080919179</v>
      </c>
      <c r="L388" s="539">
        <f t="shared" ref="L388:L451" si="54">0.9986-(7.006/SQRT(K388))+134.6/K388</f>
        <v>0.98008688146888179</v>
      </c>
      <c r="M388" s="540">
        <f t="shared" ref="M388:M451" si="55">($C$9/(1000*$C$12*$C$16))*(N387*SQRT(2*$C$5*100*$C$16))</f>
        <v>153028.25092727627</v>
      </c>
      <c r="N388" s="534">
        <f t="shared" ref="N388:N451" si="56">0.9986-(7.006/SQRT(M388))+134.6/M388</f>
        <v>0.98157004050277652</v>
      </c>
    </row>
    <row r="389" spans="7:14" x14ac:dyDescent="0.2">
      <c r="G389" s="538">
        <f t="shared" si="50"/>
        <v>129674.39503102977</v>
      </c>
      <c r="H389" s="539">
        <f t="shared" si="49"/>
        <v>0.98018245657861769</v>
      </c>
      <c r="I389" s="540">
        <f t="shared" si="51"/>
        <v>129280.03922843978</v>
      </c>
      <c r="J389" s="534">
        <f t="shared" si="52"/>
        <v>0.98015597187177661</v>
      </c>
      <c r="K389" s="538">
        <f t="shared" si="53"/>
        <v>128259.38080919179</v>
      </c>
      <c r="L389" s="539">
        <f t="shared" si="54"/>
        <v>0.98008688146888179</v>
      </c>
      <c r="M389" s="540">
        <f t="shared" si="55"/>
        <v>153028.25092727627</v>
      </c>
      <c r="N389" s="534">
        <f t="shared" si="56"/>
        <v>0.98157004050277652</v>
      </c>
    </row>
    <row r="390" spans="7:14" x14ac:dyDescent="0.2">
      <c r="G390" s="538">
        <f t="shared" si="50"/>
        <v>129674.39503102977</v>
      </c>
      <c r="H390" s="539">
        <f t="shared" si="49"/>
        <v>0.98018245657861769</v>
      </c>
      <c r="I390" s="540">
        <f t="shared" si="51"/>
        <v>129280.03922843978</v>
      </c>
      <c r="J390" s="534">
        <f t="shared" si="52"/>
        <v>0.98015597187177661</v>
      </c>
      <c r="K390" s="538">
        <f t="shared" si="53"/>
        <v>128259.38080919179</v>
      </c>
      <c r="L390" s="539">
        <f t="shared" si="54"/>
        <v>0.98008688146888179</v>
      </c>
      <c r="M390" s="540">
        <f t="shared" si="55"/>
        <v>153028.25092727627</v>
      </c>
      <c r="N390" s="534">
        <f t="shared" si="56"/>
        <v>0.98157004050277652</v>
      </c>
    </row>
    <row r="391" spans="7:14" x14ac:dyDescent="0.2">
      <c r="G391" s="538">
        <f t="shared" si="50"/>
        <v>129674.39503102977</v>
      </c>
      <c r="H391" s="539">
        <f t="shared" si="49"/>
        <v>0.98018245657861769</v>
      </c>
      <c r="I391" s="540">
        <f t="shared" si="51"/>
        <v>129280.03922843978</v>
      </c>
      <c r="J391" s="534">
        <f t="shared" si="52"/>
        <v>0.98015597187177661</v>
      </c>
      <c r="K391" s="538">
        <f t="shared" si="53"/>
        <v>128259.38080919179</v>
      </c>
      <c r="L391" s="539">
        <f t="shared" si="54"/>
        <v>0.98008688146888179</v>
      </c>
      <c r="M391" s="540">
        <f t="shared" si="55"/>
        <v>153028.25092727627</v>
      </c>
      <c r="N391" s="534">
        <f t="shared" si="56"/>
        <v>0.98157004050277652</v>
      </c>
    </row>
    <row r="392" spans="7:14" x14ac:dyDescent="0.2">
      <c r="G392" s="538">
        <f t="shared" si="50"/>
        <v>129674.39503102977</v>
      </c>
      <c r="H392" s="539">
        <f t="shared" si="49"/>
        <v>0.98018245657861769</v>
      </c>
      <c r="I392" s="540">
        <f t="shared" si="51"/>
        <v>129280.03922843978</v>
      </c>
      <c r="J392" s="534">
        <f t="shared" si="52"/>
        <v>0.98015597187177661</v>
      </c>
      <c r="K392" s="538">
        <f t="shared" si="53"/>
        <v>128259.38080919179</v>
      </c>
      <c r="L392" s="539">
        <f t="shared" si="54"/>
        <v>0.98008688146888179</v>
      </c>
      <c r="M392" s="540">
        <f t="shared" si="55"/>
        <v>153028.25092727627</v>
      </c>
      <c r="N392" s="534">
        <f t="shared" si="56"/>
        <v>0.98157004050277652</v>
      </c>
    </row>
    <row r="393" spans="7:14" x14ac:dyDescent="0.2">
      <c r="G393" s="538">
        <f t="shared" si="50"/>
        <v>129674.39503102977</v>
      </c>
      <c r="H393" s="539">
        <f t="shared" si="49"/>
        <v>0.98018245657861769</v>
      </c>
      <c r="I393" s="540">
        <f t="shared" si="51"/>
        <v>129280.03922843978</v>
      </c>
      <c r="J393" s="534">
        <f t="shared" si="52"/>
        <v>0.98015597187177661</v>
      </c>
      <c r="K393" s="538">
        <f t="shared" si="53"/>
        <v>128259.38080919179</v>
      </c>
      <c r="L393" s="539">
        <f t="shared" si="54"/>
        <v>0.98008688146888179</v>
      </c>
      <c r="M393" s="540">
        <f t="shared" si="55"/>
        <v>153028.25092727627</v>
      </c>
      <c r="N393" s="534">
        <f t="shared" si="56"/>
        <v>0.98157004050277652</v>
      </c>
    </row>
    <row r="394" spans="7:14" x14ac:dyDescent="0.2">
      <c r="G394" s="538">
        <f t="shared" si="50"/>
        <v>129674.39503102977</v>
      </c>
      <c r="H394" s="539">
        <f t="shared" si="49"/>
        <v>0.98018245657861769</v>
      </c>
      <c r="I394" s="540">
        <f t="shared" si="51"/>
        <v>129280.03922843978</v>
      </c>
      <c r="J394" s="534">
        <f t="shared" si="52"/>
        <v>0.98015597187177661</v>
      </c>
      <c r="K394" s="538">
        <f t="shared" si="53"/>
        <v>128259.38080919179</v>
      </c>
      <c r="L394" s="539">
        <f t="shared" si="54"/>
        <v>0.98008688146888179</v>
      </c>
      <c r="M394" s="540">
        <f t="shared" si="55"/>
        <v>153028.25092727627</v>
      </c>
      <c r="N394" s="534">
        <f t="shared" si="56"/>
        <v>0.98157004050277652</v>
      </c>
    </row>
    <row r="395" spans="7:14" x14ac:dyDescent="0.2">
      <c r="G395" s="538">
        <f t="shared" si="50"/>
        <v>129674.39503102977</v>
      </c>
      <c r="H395" s="539">
        <f t="shared" si="49"/>
        <v>0.98018245657861769</v>
      </c>
      <c r="I395" s="540">
        <f t="shared" si="51"/>
        <v>129280.03922843978</v>
      </c>
      <c r="J395" s="534">
        <f t="shared" si="52"/>
        <v>0.98015597187177661</v>
      </c>
      <c r="K395" s="538">
        <f t="shared" si="53"/>
        <v>128259.38080919179</v>
      </c>
      <c r="L395" s="539">
        <f t="shared" si="54"/>
        <v>0.98008688146888179</v>
      </c>
      <c r="M395" s="540">
        <f t="shared" si="55"/>
        <v>153028.25092727627</v>
      </c>
      <c r="N395" s="534">
        <f t="shared" si="56"/>
        <v>0.98157004050277652</v>
      </c>
    </row>
    <row r="396" spans="7:14" x14ac:dyDescent="0.2">
      <c r="G396" s="538">
        <f t="shared" si="50"/>
        <v>129674.39503102977</v>
      </c>
      <c r="H396" s="539">
        <f t="shared" si="49"/>
        <v>0.98018245657861769</v>
      </c>
      <c r="I396" s="540">
        <f t="shared" si="51"/>
        <v>129280.03922843978</v>
      </c>
      <c r="J396" s="534">
        <f t="shared" si="52"/>
        <v>0.98015597187177661</v>
      </c>
      <c r="K396" s="538">
        <f t="shared" si="53"/>
        <v>128259.38080919179</v>
      </c>
      <c r="L396" s="539">
        <f t="shared" si="54"/>
        <v>0.98008688146888179</v>
      </c>
      <c r="M396" s="540">
        <f t="shared" si="55"/>
        <v>153028.25092727627</v>
      </c>
      <c r="N396" s="534">
        <f t="shared" si="56"/>
        <v>0.98157004050277652</v>
      </c>
    </row>
    <row r="397" spans="7:14" x14ac:dyDescent="0.2">
      <c r="G397" s="538">
        <f t="shared" si="50"/>
        <v>129674.39503102977</v>
      </c>
      <c r="H397" s="539">
        <f t="shared" si="49"/>
        <v>0.98018245657861769</v>
      </c>
      <c r="I397" s="540">
        <f t="shared" si="51"/>
        <v>129280.03922843978</v>
      </c>
      <c r="J397" s="534">
        <f t="shared" si="52"/>
        <v>0.98015597187177661</v>
      </c>
      <c r="K397" s="538">
        <f t="shared" si="53"/>
        <v>128259.38080919179</v>
      </c>
      <c r="L397" s="539">
        <f t="shared" si="54"/>
        <v>0.98008688146888179</v>
      </c>
      <c r="M397" s="540">
        <f t="shared" si="55"/>
        <v>153028.25092727627</v>
      </c>
      <c r="N397" s="534">
        <f t="shared" si="56"/>
        <v>0.98157004050277652</v>
      </c>
    </row>
    <row r="398" spans="7:14" x14ac:dyDescent="0.2">
      <c r="G398" s="538">
        <f t="shared" si="50"/>
        <v>129674.39503102977</v>
      </c>
      <c r="H398" s="539">
        <f t="shared" si="49"/>
        <v>0.98018245657861769</v>
      </c>
      <c r="I398" s="540">
        <f t="shared" si="51"/>
        <v>129280.03922843978</v>
      </c>
      <c r="J398" s="534">
        <f t="shared" si="52"/>
        <v>0.98015597187177661</v>
      </c>
      <c r="K398" s="538">
        <f t="shared" si="53"/>
        <v>128259.38080919179</v>
      </c>
      <c r="L398" s="539">
        <f t="shared" si="54"/>
        <v>0.98008688146888179</v>
      </c>
      <c r="M398" s="540">
        <f t="shared" si="55"/>
        <v>153028.25092727627</v>
      </c>
      <c r="N398" s="534">
        <f t="shared" si="56"/>
        <v>0.98157004050277652</v>
      </c>
    </row>
    <row r="399" spans="7:14" x14ac:dyDescent="0.2">
      <c r="G399" s="538">
        <f t="shared" si="50"/>
        <v>129674.39503102977</v>
      </c>
      <c r="H399" s="539">
        <f t="shared" si="49"/>
        <v>0.98018245657861769</v>
      </c>
      <c r="I399" s="540">
        <f t="shared" si="51"/>
        <v>129280.03922843978</v>
      </c>
      <c r="J399" s="534">
        <f t="shared" si="52"/>
        <v>0.98015597187177661</v>
      </c>
      <c r="K399" s="538">
        <f t="shared" si="53"/>
        <v>128259.38080919179</v>
      </c>
      <c r="L399" s="539">
        <f t="shared" si="54"/>
        <v>0.98008688146888179</v>
      </c>
      <c r="M399" s="540">
        <f t="shared" si="55"/>
        <v>153028.25092727627</v>
      </c>
      <c r="N399" s="534">
        <f t="shared" si="56"/>
        <v>0.98157004050277652</v>
      </c>
    </row>
    <row r="400" spans="7:14" x14ac:dyDescent="0.2">
      <c r="G400" s="538">
        <f t="shared" si="50"/>
        <v>129674.39503102977</v>
      </c>
      <c r="H400" s="539">
        <f t="shared" si="49"/>
        <v>0.98018245657861769</v>
      </c>
      <c r="I400" s="540">
        <f t="shared" si="51"/>
        <v>129280.03922843978</v>
      </c>
      <c r="J400" s="534">
        <f t="shared" si="52"/>
        <v>0.98015597187177661</v>
      </c>
      <c r="K400" s="538">
        <f t="shared" si="53"/>
        <v>128259.38080919179</v>
      </c>
      <c r="L400" s="539">
        <f t="shared" si="54"/>
        <v>0.98008688146888179</v>
      </c>
      <c r="M400" s="540">
        <f t="shared" si="55"/>
        <v>153028.25092727627</v>
      </c>
      <c r="N400" s="534">
        <f t="shared" si="56"/>
        <v>0.98157004050277652</v>
      </c>
    </row>
    <row r="401" spans="7:14" x14ac:dyDescent="0.2">
      <c r="G401" s="538">
        <f t="shared" si="50"/>
        <v>129674.39503102977</v>
      </c>
      <c r="H401" s="539">
        <f t="shared" si="49"/>
        <v>0.98018245657861769</v>
      </c>
      <c r="I401" s="540">
        <f t="shared" si="51"/>
        <v>129280.03922843978</v>
      </c>
      <c r="J401" s="534">
        <f t="shared" si="52"/>
        <v>0.98015597187177661</v>
      </c>
      <c r="K401" s="538">
        <f t="shared" si="53"/>
        <v>128259.38080919179</v>
      </c>
      <c r="L401" s="539">
        <f t="shared" si="54"/>
        <v>0.98008688146888179</v>
      </c>
      <c r="M401" s="540">
        <f t="shared" si="55"/>
        <v>153028.25092727627</v>
      </c>
      <c r="N401" s="534">
        <f t="shared" si="56"/>
        <v>0.98157004050277652</v>
      </c>
    </row>
    <row r="402" spans="7:14" x14ac:dyDescent="0.2">
      <c r="G402" s="538">
        <f t="shared" si="50"/>
        <v>129674.39503102977</v>
      </c>
      <c r="H402" s="539">
        <f t="shared" si="49"/>
        <v>0.98018245657861769</v>
      </c>
      <c r="I402" s="540">
        <f t="shared" si="51"/>
        <v>129280.03922843978</v>
      </c>
      <c r="J402" s="534">
        <f t="shared" si="52"/>
        <v>0.98015597187177661</v>
      </c>
      <c r="K402" s="538">
        <f t="shared" si="53"/>
        <v>128259.38080919179</v>
      </c>
      <c r="L402" s="539">
        <f t="shared" si="54"/>
        <v>0.98008688146888179</v>
      </c>
      <c r="M402" s="540">
        <f t="shared" si="55"/>
        <v>153028.25092727627</v>
      </c>
      <c r="N402" s="534">
        <f t="shared" si="56"/>
        <v>0.98157004050277652</v>
      </c>
    </row>
    <row r="403" spans="7:14" x14ac:dyDescent="0.2">
      <c r="G403" s="538">
        <f t="shared" si="50"/>
        <v>129674.39503102977</v>
      </c>
      <c r="H403" s="539">
        <f t="shared" si="49"/>
        <v>0.98018245657861769</v>
      </c>
      <c r="I403" s="540">
        <f t="shared" si="51"/>
        <v>129280.03922843978</v>
      </c>
      <c r="J403" s="534">
        <f t="shared" si="52"/>
        <v>0.98015597187177661</v>
      </c>
      <c r="K403" s="538">
        <f t="shared" si="53"/>
        <v>128259.38080919179</v>
      </c>
      <c r="L403" s="539">
        <f t="shared" si="54"/>
        <v>0.98008688146888179</v>
      </c>
      <c r="M403" s="540">
        <f t="shared" si="55"/>
        <v>153028.25092727627</v>
      </c>
      <c r="N403" s="534">
        <f t="shared" si="56"/>
        <v>0.98157004050277652</v>
      </c>
    </row>
    <row r="404" spans="7:14" x14ac:dyDescent="0.2">
      <c r="G404" s="538">
        <f t="shared" si="50"/>
        <v>129674.39503102977</v>
      </c>
      <c r="H404" s="539">
        <f t="shared" si="49"/>
        <v>0.98018245657861769</v>
      </c>
      <c r="I404" s="540">
        <f t="shared" si="51"/>
        <v>129280.03922843978</v>
      </c>
      <c r="J404" s="534">
        <f t="shared" si="52"/>
        <v>0.98015597187177661</v>
      </c>
      <c r="K404" s="538">
        <f t="shared" si="53"/>
        <v>128259.38080919179</v>
      </c>
      <c r="L404" s="539">
        <f t="shared" si="54"/>
        <v>0.98008688146888179</v>
      </c>
      <c r="M404" s="540">
        <f t="shared" si="55"/>
        <v>153028.25092727627</v>
      </c>
      <c r="N404" s="534">
        <f t="shared" si="56"/>
        <v>0.98157004050277652</v>
      </c>
    </row>
    <row r="405" spans="7:14" x14ac:dyDescent="0.2">
      <c r="G405" s="538">
        <f t="shared" si="50"/>
        <v>129674.39503102977</v>
      </c>
      <c r="H405" s="539">
        <f t="shared" si="49"/>
        <v>0.98018245657861769</v>
      </c>
      <c r="I405" s="540">
        <f t="shared" si="51"/>
        <v>129280.03922843978</v>
      </c>
      <c r="J405" s="534">
        <f t="shared" si="52"/>
        <v>0.98015597187177661</v>
      </c>
      <c r="K405" s="538">
        <f t="shared" si="53"/>
        <v>128259.38080919179</v>
      </c>
      <c r="L405" s="539">
        <f t="shared" si="54"/>
        <v>0.98008688146888179</v>
      </c>
      <c r="M405" s="540">
        <f t="shared" si="55"/>
        <v>153028.25092727627</v>
      </c>
      <c r="N405" s="534">
        <f t="shared" si="56"/>
        <v>0.98157004050277652</v>
      </c>
    </row>
    <row r="406" spans="7:14" x14ac:dyDescent="0.2">
      <c r="G406" s="538">
        <f t="shared" si="50"/>
        <v>129674.39503102977</v>
      </c>
      <c r="H406" s="539">
        <f t="shared" si="49"/>
        <v>0.98018245657861769</v>
      </c>
      <c r="I406" s="540">
        <f t="shared" si="51"/>
        <v>129280.03922843978</v>
      </c>
      <c r="J406" s="534">
        <f t="shared" si="52"/>
        <v>0.98015597187177661</v>
      </c>
      <c r="K406" s="538">
        <f t="shared" si="53"/>
        <v>128259.38080919179</v>
      </c>
      <c r="L406" s="539">
        <f t="shared" si="54"/>
        <v>0.98008688146888179</v>
      </c>
      <c r="M406" s="540">
        <f t="shared" si="55"/>
        <v>153028.25092727627</v>
      </c>
      <c r="N406" s="534">
        <f t="shared" si="56"/>
        <v>0.98157004050277652</v>
      </c>
    </row>
    <row r="407" spans="7:14" x14ac:dyDescent="0.2">
      <c r="G407" s="538">
        <f t="shared" si="50"/>
        <v>129674.39503102977</v>
      </c>
      <c r="H407" s="539">
        <f t="shared" si="49"/>
        <v>0.98018245657861769</v>
      </c>
      <c r="I407" s="540">
        <f t="shared" si="51"/>
        <v>129280.03922843978</v>
      </c>
      <c r="J407" s="534">
        <f t="shared" si="52"/>
        <v>0.98015597187177661</v>
      </c>
      <c r="K407" s="538">
        <f t="shared" si="53"/>
        <v>128259.38080919179</v>
      </c>
      <c r="L407" s="539">
        <f t="shared" si="54"/>
        <v>0.98008688146888179</v>
      </c>
      <c r="M407" s="540">
        <f t="shared" si="55"/>
        <v>153028.25092727627</v>
      </c>
      <c r="N407" s="534">
        <f t="shared" si="56"/>
        <v>0.98157004050277652</v>
      </c>
    </row>
    <row r="408" spans="7:14" x14ac:dyDescent="0.2">
      <c r="G408" s="538">
        <f t="shared" si="50"/>
        <v>129674.39503102977</v>
      </c>
      <c r="H408" s="539">
        <f t="shared" si="49"/>
        <v>0.98018245657861769</v>
      </c>
      <c r="I408" s="540">
        <f t="shared" si="51"/>
        <v>129280.03922843978</v>
      </c>
      <c r="J408" s="534">
        <f t="shared" si="52"/>
        <v>0.98015597187177661</v>
      </c>
      <c r="K408" s="538">
        <f t="shared" si="53"/>
        <v>128259.38080919179</v>
      </c>
      <c r="L408" s="539">
        <f t="shared" si="54"/>
        <v>0.98008688146888179</v>
      </c>
      <c r="M408" s="540">
        <f t="shared" si="55"/>
        <v>153028.25092727627</v>
      </c>
      <c r="N408" s="534">
        <f t="shared" si="56"/>
        <v>0.98157004050277652</v>
      </c>
    </row>
    <row r="409" spans="7:14" x14ac:dyDescent="0.2">
      <c r="G409" s="538">
        <f t="shared" si="50"/>
        <v>129674.39503102977</v>
      </c>
      <c r="H409" s="539">
        <f t="shared" si="49"/>
        <v>0.98018245657861769</v>
      </c>
      <c r="I409" s="540">
        <f t="shared" si="51"/>
        <v>129280.03922843978</v>
      </c>
      <c r="J409" s="534">
        <f t="shared" si="52"/>
        <v>0.98015597187177661</v>
      </c>
      <c r="K409" s="538">
        <f t="shared" si="53"/>
        <v>128259.38080919179</v>
      </c>
      <c r="L409" s="539">
        <f t="shared" si="54"/>
        <v>0.98008688146888179</v>
      </c>
      <c r="M409" s="540">
        <f t="shared" si="55"/>
        <v>153028.25092727627</v>
      </c>
      <c r="N409" s="534">
        <f t="shared" si="56"/>
        <v>0.98157004050277652</v>
      </c>
    </row>
    <row r="410" spans="7:14" x14ac:dyDescent="0.2">
      <c r="G410" s="538">
        <f t="shared" si="50"/>
        <v>129674.39503102977</v>
      </c>
      <c r="H410" s="539">
        <f t="shared" si="49"/>
        <v>0.98018245657861769</v>
      </c>
      <c r="I410" s="540">
        <f t="shared" si="51"/>
        <v>129280.03922843978</v>
      </c>
      <c r="J410" s="534">
        <f t="shared" si="52"/>
        <v>0.98015597187177661</v>
      </c>
      <c r="K410" s="538">
        <f t="shared" si="53"/>
        <v>128259.38080919179</v>
      </c>
      <c r="L410" s="539">
        <f t="shared" si="54"/>
        <v>0.98008688146888179</v>
      </c>
      <c r="M410" s="540">
        <f t="shared" si="55"/>
        <v>153028.25092727627</v>
      </c>
      <c r="N410" s="534">
        <f t="shared" si="56"/>
        <v>0.98157004050277652</v>
      </c>
    </row>
    <row r="411" spans="7:14" x14ac:dyDescent="0.2">
      <c r="G411" s="538">
        <f t="shared" si="50"/>
        <v>129674.39503102977</v>
      </c>
      <c r="H411" s="539">
        <f t="shared" si="49"/>
        <v>0.98018245657861769</v>
      </c>
      <c r="I411" s="540">
        <f t="shared" si="51"/>
        <v>129280.03922843978</v>
      </c>
      <c r="J411" s="534">
        <f t="shared" si="52"/>
        <v>0.98015597187177661</v>
      </c>
      <c r="K411" s="538">
        <f t="shared" si="53"/>
        <v>128259.38080919179</v>
      </c>
      <c r="L411" s="539">
        <f t="shared" si="54"/>
        <v>0.98008688146888179</v>
      </c>
      <c r="M411" s="540">
        <f t="shared" si="55"/>
        <v>153028.25092727627</v>
      </c>
      <c r="N411" s="534">
        <f t="shared" si="56"/>
        <v>0.98157004050277652</v>
      </c>
    </row>
    <row r="412" spans="7:14" x14ac:dyDescent="0.2">
      <c r="G412" s="538">
        <f t="shared" si="50"/>
        <v>129674.39503102977</v>
      </c>
      <c r="H412" s="539">
        <f t="shared" si="49"/>
        <v>0.98018245657861769</v>
      </c>
      <c r="I412" s="540">
        <f t="shared" si="51"/>
        <v>129280.03922843978</v>
      </c>
      <c r="J412" s="534">
        <f t="shared" si="52"/>
        <v>0.98015597187177661</v>
      </c>
      <c r="K412" s="538">
        <f t="shared" si="53"/>
        <v>128259.38080919179</v>
      </c>
      <c r="L412" s="539">
        <f t="shared" si="54"/>
        <v>0.98008688146888179</v>
      </c>
      <c r="M412" s="540">
        <f t="shared" si="55"/>
        <v>153028.25092727627</v>
      </c>
      <c r="N412" s="534">
        <f t="shared" si="56"/>
        <v>0.98157004050277652</v>
      </c>
    </row>
    <row r="413" spans="7:14" x14ac:dyDescent="0.2">
      <c r="G413" s="538">
        <f t="shared" si="50"/>
        <v>129674.39503102977</v>
      </c>
      <c r="H413" s="539">
        <f t="shared" si="49"/>
        <v>0.98018245657861769</v>
      </c>
      <c r="I413" s="540">
        <f t="shared" si="51"/>
        <v>129280.03922843978</v>
      </c>
      <c r="J413" s="534">
        <f t="shared" si="52"/>
        <v>0.98015597187177661</v>
      </c>
      <c r="K413" s="538">
        <f t="shared" si="53"/>
        <v>128259.38080919179</v>
      </c>
      <c r="L413" s="539">
        <f t="shared" si="54"/>
        <v>0.98008688146888179</v>
      </c>
      <c r="M413" s="540">
        <f t="shared" si="55"/>
        <v>153028.25092727627</v>
      </c>
      <c r="N413" s="534">
        <f t="shared" si="56"/>
        <v>0.98157004050277652</v>
      </c>
    </row>
    <row r="414" spans="7:14" x14ac:dyDescent="0.2">
      <c r="G414" s="538">
        <f t="shared" si="50"/>
        <v>129674.39503102977</v>
      </c>
      <c r="H414" s="539">
        <f t="shared" si="49"/>
        <v>0.98018245657861769</v>
      </c>
      <c r="I414" s="540">
        <f t="shared" si="51"/>
        <v>129280.03922843978</v>
      </c>
      <c r="J414" s="534">
        <f t="shared" si="52"/>
        <v>0.98015597187177661</v>
      </c>
      <c r="K414" s="538">
        <f t="shared" si="53"/>
        <v>128259.38080919179</v>
      </c>
      <c r="L414" s="539">
        <f t="shared" si="54"/>
        <v>0.98008688146888179</v>
      </c>
      <c r="M414" s="540">
        <f t="shared" si="55"/>
        <v>153028.25092727627</v>
      </c>
      <c r="N414" s="534">
        <f t="shared" si="56"/>
        <v>0.98157004050277652</v>
      </c>
    </row>
    <row r="415" spans="7:14" x14ac:dyDescent="0.2">
      <c r="G415" s="538">
        <f t="shared" si="50"/>
        <v>129674.39503102977</v>
      </c>
      <c r="H415" s="539">
        <f t="shared" si="49"/>
        <v>0.98018245657861769</v>
      </c>
      <c r="I415" s="540">
        <f t="shared" si="51"/>
        <v>129280.03922843978</v>
      </c>
      <c r="J415" s="534">
        <f t="shared" si="52"/>
        <v>0.98015597187177661</v>
      </c>
      <c r="K415" s="538">
        <f t="shared" si="53"/>
        <v>128259.38080919179</v>
      </c>
      <c r="L415" s="539">
        <f t="shared" si="54"/>
        <v>0.98008688146888179</v>
      </c>
      <c r="M415" s="540">
        <f t="shared" si="55"/>
        <v>153028.25092727627</v>
      </c>
      <c r="N415" s="534">
        <f t="shared" si="56"/>
        <v>0.98157004050277652</v>
      </c>
    </row>
    <row r="416" spans="7:14" x14ac:dyDescent="0.2">
      <c r="G416" s="538">
        <f t="shared" si="50"/>
        <v>129674.39503102977</v>
      </c>
      <c r="H416" s="539">
        <f t="shared" si="49"/>
        <v>0.98018245657861769</v>
      </c>
      <c r="I416" s="540">
        <f t="shared" si="51"/>
        <v>129280.03922843978</v>
      </c>
      <c r="J416" s="534">
        <f t="shared" si="52"/>
        <v>0.98015597187177661</v>
      </c>
      <c r="K416" s="538">
        <f t="shared" si="53"/>
        <v>128259.38080919179</v>
      </c>
      <c r="L416" s="539">
        <f t="shared" si="54"/>
        <v>0.98008688146888179</v>
      </c>
      <c r="M416" s="540">
        <f t="shared" si="55"/>
        <v>153028.25092727627</v>
      </c>
      <c r="N416" s="534">
        <f t="shared" si="56"/>
        <v>0.98157004050277652</v>
      </c>
    </row>
    <row r="417" spans="7:14" x14ac:dyDescent="0.2">
      <c r="G417" s="538">
        <f t="shared" si="50"/>
        <v>129674.39503102977</v>
      </c>
      <c r="H417" s="539">
        <f t="shared" si="49"/>
        <v>0.98018245657861769</v>
      </c>
      <c r="I417" s="540">
        <f t="shared" si="51"/>
        <v>129280.03922843978</v>
      </c>
      <c r="J417" s="534">
        <f t="shared" si="52"/>
        <v>0.98015597187177661</v>
      </c>
      <c r="K417" s="538">
        <f t="shared" si="53"/>
        <v>128259.38080919179</v>
      </c>
      <c r="L417" s="539">
        <f t="shared" si="54"/>
        <v>0.98008688146888179</v>
      </c>
      <c r="M417" s="540">
        <f t="shared" si="55"/>
        <v>153028.25092727627</v>
      </c>
      <c r="N417" s="534">
        <f t="shared" si="56"/>
        <v>0.98157004050277652</v>
      </c>
    </row>
    <row r="418" spans="7:14" x14ac:dyDescent="0.2">
      <c r="G418" s="538">
        <f t="shared" si="50"/>
        <v>129674.39503102977</v>
      </c>
      <c r="H418" s="539">
        <f t="shared" si="49"/>
        <v>0.98018245657861769</v>
      </c>
      <c r="I418" s="540">
        <f t="shared" si="51"/>
        <v>129280.03922843978</v>
      </c>
      <c r="J418" s="534">
        <f t="shared" si="52"/>
        <v>0.98015597187177661</v>
      </c>
      <c r="K418" s="538">
        <f t="shared" si="53"/>
        <v>128259.38080919179</v>
      </c>
      <c r="L418" s="539">
        <f t="shared" si="54"/>
        <v>0.98008688146888179</v>
      </c>
      <c r="M418" s="540">
        <f t="shared" si="55"/>
        <v>153028.25092727627</v>
      </c>
      <c r="N418" s="534">
        <f t="shared" si="56"/>
        <v>0.98157004050277652</v>
      </c>
    </row>
    <row r="419" spans="7:14" x14ac:dyDescent="0.2">
      <c r="G419" s="538">
        <f t="shared" si="50"/>
        <v>129674.39503102977</v>
      </c>
      <c r="H419" s="539">
        <f t="shared" si="49"/>
        <v>0.98018245657861769</v>
      </c>
      <c r="I419" s="540">
        <f t="shared" si="51"/>
        <v>129280.03922843978</v>
      </c>
      <c r="J419" s="534">
        <f t="shared" si="52"/>
        <v>0.98015597187177661</v>
      </c>
      <c r="K419" s="538">
        <f t="shared" si="53"/>
        <v>128259.38080919179</v>
      </c>
      <c r="L419" s="539">
        <f t="shared" si="54"/>
        <v>0.98008688146888179</v>
      </c>
      <c r="M419" s="540">
        <f t="shared" si="55"/>
        <v>153028.25092727627</v>
      </c>
      <c r="N419" s="534">
        <f t="shared" si="56"/>
        <v>0.98157004050277652</v>
      </c>
    </row>
    <row r="420" spans="7:14" x14ac:dyDescent="0.2">
      <c r="G420" s="538">
        <f t="shared" si="50"/>
        <v>129674.39503102977</v>
      </c>
      <c r="H420" s="539">
        <f t="shared" si="49"/>
        <v>0.98018245657861769</v>
      </c>
      <c r="I420" s="540">
        <f t="shared" si="51"/>
        <v>129280.03922843978</v>
      </c>
      <c r="J420" s="534">
        <f t="shared" si="52"/>
        <v>0.98015597187177661</v>
      </c>
      <c r="K420" s="538">
        <f t="shared" si="53"/>
        <v>128259.38080919179</v>
      </c>
      <c r="L420" s="539">
        <f t="shared" si="54"/>
        <v>0.98008688146888179</v>
      </c>
      <c r="M420" s="540">
        <f t="shared" si="55"/>
        <v>153028.25092727627</v>
      </c>
      <c r="N420" s="534">
        <f t="shared" si="56"/>
        <v>0.98157004050277652</v>
      </c>
    </row>
    <row r="421" spans="7:14" x14ac:dyDescent="0.2">
      <c r="G421" s="538">
        <f t="shared" si="50"/>
        <v>129674.39503102977</v>
      </c>
      <c r="H421" s="539">
        <f t="shared" si="49"/>
        <v>0.98018245657861769</v>
      </c>
      <c r="I421" s="540">
        <f t="shared" si="51"/>
        <v>129280.03922843978</v>
      </c>
      <c r="J421" s="534">
        <f t="shared" si="52"/>
        <v>0.98015597187177661</v>
      </c>
      <c r="K421" s="538">
        <f t="shared" si="53"/>
        <v>128259.38080919179</v>
      </c>
      <c r="L421" s="539">
        <f t="shared" si="54"/>
        <v>0.98008688146888179</v>
      </c>
      <c r="M421" s="540">
        <f t="shared" si="55"/>
        <v>153028.25092727627</v>
      </c>
      <c r="N421" s="534">
        <f t="shared" si="56"/>
        <v>0.98157004050277652</v>
      </c>
    </row>
    <row r="422" spans="7:14" x14ac:dyDescent="0.2">
      <c r="G422" s="538">
        <f t="shared" si="50"/>
        <v>129674.39503102977</v>
      </c>
      <c r="H422" s="539">
        <f t="shared" si="49"/>
        <v>0.98018245657861769</v>
      </c>
      <c r="I422" s="540">
        <f t="shared" si="51"/>
        <v>129280.03922843978</v>
      </c>
      <c r="J422" s="534">
        <f t="shared" si="52"/>
        <v>0.98015597187177661</v>
      </c>
      <c r="K422" s="538">
        <f t="shared" si="53"/>
        <v>128259.38080919179</v>
      </c>
      <c r="L422" s="539">
        <f t="shared" si="54"/>
        <v>0.98008688146888179</v>
      </c>
      <c r="M422" s="540">
        <f t="shared" si="55"/>
        <v>153028.25092727627</v>
      </c>
      <c r="N422" s="534">
        <f t="shared" si="56"/>
        <v>0.98157004050277652</v>
      </c>
    </row>
    <row r="423" spans="7:14" x14ac:dyDescent="0.2">
      <c r="G423" s="538">
        <f t="shared" si="50"/>
        <v>129674.39503102977</v>
      </c>
      <c r="H423" s="539">
        <f t="shared" si="49"/>
        <v>0.98018245657861769</v>
      </c>
      <c r="I423" s="540">
        <f t="shared" si="51"/>
        <v>129280.03922843978</v>
      </c>
      <c r="J423" s="534">
        <f t="shared" si="52"/>
        <v>0.98015597187177661</v>
      </c>
      <c r="K423" s="538">
        <f t="shared" si="53"/>
        <v>128259.38080919179</v>
      </c>
      <c r="L423" s="539">
        <f t="shared" si="54"/>
        <v>0.98008688146888179</v>
      </c>
      <c r="M423" s="540">
        <f t="shared" si="55"/>
        <v>153028.25092727627</v>
      </c>
      <c r="N423" s="534">
        <f t="shared" si="56"/>
        <v>0.98157004050277652</v>
      </c>
    </row>
    <row r="424" spans="7:14" x14ac:dyDescent="0.2">
      <c r="G424" s="538">
        <f t="shared" si="50"/>
        <v>129674.39503102977</v>
      </c>
      <c r="H424" s="539">
        <f t="shared" si="49"/>
        <v>0.98018245657861769</v>
      </c>
      <c r="I424" s="540">
        <f t="shared" si="51"/>
        <v>129280.03922843978</v>
      </c>
      <c r="J424" s="534">
        <f t="shared" si="52"/>
        <v>0.98015597187177661</v>
      </c>
      <c r="K424" s="538">
        <f t="shared" si="53"/>
        <v>128259.38080919179</v>
      </c>
      <c r="L424" s="539">
        <f t="shared" si="54"/>
        <v>0.98008688146888179</v>
      </c>
      <c r="M424" s="540">
        <f t="shared" si="55"/>
        <v>153028.25092727627</v>
      </c>
      <c r="N424" s="534">
        <f t="shared" si="56"/>
        <v>0.98157004050277652</v>
      </c>
    </row>
    <row r="425" spans="7:14" x14ac:dyDescent="0.2">
      <c r="G425" s="538">
        <f t="shared" si="50"/>
        <v>129674.39503102977</v>
      </c>
      <c r="H425" s="539">
        <f t="shared" si="49"/>
        <v>0.98018245657861769</v>
      </c>
      <c r="I425" s="540">
        <f t="shared" si="51"/>
        <v>129280.03922843978</v>
      </c>
      <c r="J425" s="534">
        <f t="shared" si="52"/>
        <v>0.98015597187177661</v>
      </c>
      <c r="K425" s="538">
        <f t="shared" si="53"/>
        <v>128259.38080919179</v>
      </c>
      <c r="L425" s="539">
        <f t="shared" si="54"/>
        <v>0.98008688146888179</v>
      </c>
      <c r="M425" s="540">
        <f t="shared" si="55"/>
        <v>153028.25092727627</v>
      </c>
      <c r="N425" s="534">
        <f t="shared" si="56"/>
        <v>0.98157004050277652</v>
      </c>
    </row>
    <row r="426" spans="7:14" x14ac:dyDescent="0.2">
      <c r="G426" s="538">
        <f t="shared" si="50"/>
        <v>129674.39503102977</v>
      </c>
      <c r="H426" s="539">
        <f t="shared" si="49"/>
        <v>0.98018245657861769</v>
      </c>
      <c r="I426" s="540">
        <f t="shared" si="51"/>
        <v>129280.03922843978</v>
      </c>
      <c r="J426" s="534">
        <f t="shared" si="52"/>
        <v>0.98015597187177661</v>
      </c>
      <c r="K426" s="538">
        <f t="shared" si="53"/>
        <v>128259.38080919179</v>
      </c>
      <c r="L426" s="539">
        <f t="shared" si="54"/>
        <v>0.98008688146888179</v>
      </c>
      <c r="M426" s="540">
        <f t="shared" si="55"/>
        <v>153028.25092727627</v>
      </c>
      <c r="N426" s="534">
        <f t="shared" si="56"/>
        <v>0.98157004050277652</v>
      </c>
    </row>
    <row r="427" spans="7:14" x14ac:dyDescent="0.2">
      <c r="G427" s="538">
        <f t="shared" si="50"/>
        <v>129674.39503102977</v>
      </c>
      <c r="H427" s="539">
        <f t="shared" si="49"/>
        <v>0.98018245657861769</v>
      </c>
      <c r="I427" s="540">
        <f t="shared" si="51"/>
        <v>129280.03922843978</v>
      </c>
      <c r="J427" s="534">
        <f t="shared" si="52"/>
        <v>0.98015597187177661</v>
      </c>
      <c r="K427" s="538">
        <f t="shared" si="53"/>
        <v>128259.38080919179</v>
      </c>
      <c r="L427" s="539">
        <f t="shared" si="54"/>
        <v>0.98008688146888179</v>
      </c>
      <c r="M427" s="540">
        <f t="shared" si="55"/>
        <v>153028.25092727627</v>
      </c>
      <c r="N427" s="534">
        <f t="shared" si="56"/>
        <v>0.98157004050277652</v>
      </c>
    </row>
    <row r="428" spans="7:14" x14ac:dyDescent="0.2">
      <c r="G428" s="538">
        <f t="shared" si="50"/>
        <v>129674.39503102977</v>
      </c>
      <c r="H428" s="539">
        <f t="shared" si="49"/>
        <v>0.98018245657861769</v>
      </c>
      <c r="I428" s="540">
        <f t="shared" si="51"/>
        <v>129280.03922843978</v>
      </c>
      <c r="J428" s="534">
        <f t="shared" si="52"/>
        <v>0.98015597187177661</v>
      </c>
      <c r="K428" s="538">
        <f t="shared" si="53"/>
        <v>128259.38080919179</v>
      </c>
      <c r="L428" s="539">
        <f t="shared" si="54"/>
        <v>0.98008688146888179</v>
      </c>
      <c r="M428" s="540">
        <f t="shared" si="55"/>
        <v>153028.25092727627</v>
      </c>
      <c r="N428" s="534">
        <f t="shared" si="56"/>
        <v>0.98157004050277652</v>
      </c>
    </row>
    <row r="429" spans="7:14" x14ac:dyDescent="0.2">
      <c r="G429" s="538">
        <f t="shared" si="50"/>
        <v>129674.39503102977</v>
      </c>
      <c r="H429" s="539">
        <f t="shared" si="49"/>
        <v>0.98018245657861769</v>
      </c>
      <c r="I429" s="540">
        <f t="shared" si="51"/>
        <v>129280.03922843978</v>
      </c>
      <c r="J429" s="534">
        <f t="shared" si="52"/>
        <v>0.98015597187177661</v>
      </c>
      <c r="K429" s="538">
        <f t="shared" si="53"/>
        <v>128259.38080919179</v>
      </c>
      <c r="L429" s="539">
        <f t="shared" si="54"/>
        <v>0.98008688146888179</v>
      </c>
      <c r="M429" s="540">
        <f t="shared" si="55"/>
        <v>153028.25092727627</v>
      </c>
      <c r="N429" s="534">
        <f t="shared" si="56"/>
        <v>0.98157004050277652</v>
      </c>
    </row>
    <row r="430" spans="7:14" x14ac:dyDescent="0.2">
      <c r="G430" s="538">
        <f t="shared" si="50"/>
        <v>129674.39503102977</v>
      </c>
      <c r="H430" s="539">
        <f t="shared" si="49"/>
        <v>0.98018245657861769</v>
      </c>
      <c r="I430" s="540">
        <f t="shared" si="51"/>
        <v>129280.03922843978</v>
      </c>
      <c r="J430" s="534">
        <f t="shared" si="52"/>
        <v>0.98015597187177661</v>
      </c>
      <c r="K430" s="538">
        <f t="shared" si="53"/>
        <v>128259.38080919179</v>
      </c>
      <c r="L430" s="539">
        <f t="shared" si="54"/>
        <v>0.98008688146888179</v>
      </c>
      <c r="M430" s="540">
        <f t="shared" si="55"/>
        <v>153028.25092727627</v>
      </c>
      <c r="N430" s="534">
        <f t="shared" si="56"/>
        <v>0.98157004050277652</v>
      </c>
    </row>
    <row r="431" spans="7:14" x14ac:dyDescent="0.2">
      <c r="G431" s="538">
        <f t="shared" si="50"/>
        <v>129674.39503102977</v>
      </c>
      <c r="H431" s="539">
        <f t="shared" si="49"/>
        <v>0.98018245657861769</v>
      </c>
      <c r="I431" s="540">
        <f t="shared" si="51"/>
        <v>129280.03922843978</v>
      </c>
      <c r="J431" s="534">
        <f t="shared" si="52"/>
        <v>0.98015597187177661</v>
      </c>
      <c r="K431" s="538">
        <f t="shared" si="53"/>
        <v>128259.38080919179</v>
      </c>
      <c r="L431" s="539">
        <f t="shared" si="54"/>
        <v>0.98008688146888179</v>
      </c>
      <c r="M431" s="540">
        <f t="shared" si="55"/>
        <v>153028.25092727627</v>
      </c>
      <c r="N431" s="534">
        <f t="shared" si="56"/>
        <v>0.98157004050277652</v>
      </c>
    </row>
    <row r="432" spans="7:14" x14ac:dyDescent="0.2">
      <c r="G432" s="538">
        <f t="shared" si="50"/>
        <v>129674.39503102977</v>
      </c>
      <c r="H432" s="539">
        <f t="shared" si="49"/>
        <v>0.98018245657861769</v>
      </c>
      <c r="I432" s="540">
        <f t="shared" si="51"/>
        <v>129280.03922843978</v>
      </c>
      <c r="J432" s="534">
        <f t="shared" si="52"/>
        <v>0.98015597187177661</v>
      </c>
      <c r="K432" s="538">
        <f t="shared" si="53"/>
        <v>128259.38080919179</v>
      </c>
      <c r="L432" s="539">
        <f t="shared" si="54"/>
        <v>0.98008688146888179</v>
      </c>
      <c r="M432" s="540">
        <f t="shared" si="55"/>
        <v>153028.25092727627</v>
      </c>
      <c r="N432" s="534">
        <f t="shared" si="56"/>
        <v>0.98157004050277652</v>
      </c>
    </row>
    <row r="433" spans="7:14" x14ac:dyDescent="0.2">
      <c r="G433" s="538">
        <f t="shared" si="50"/>
        <v>129674.39503102977</v>
      </c>
      <c r="H433" s="539">
        <f t="shared" si="49"/>
        <v>0.98018245657861769</v>
      </c>
      <c r="I433" s="540">
        <f t="shared" si="51"/>
        <v>129280.03922843978</v>
      </c>
      <c r="J433" s="534">
        <f t="shared" si="52"/>
        <v>0.98015597187177661</v>
      </c>
      <c r="K433" s="538">
        <f t="shared" si="53"/>
        <v>128259.38080919179</v>
      </c>
      <c r="L433" s="539">
        <f t="shared" si="54"/>
        <v>0.98008688146888179</v>
      </c>
      <c r="M433" s="540">
        <f t="shared" si="55"/>
        <v>153028.25092727627</v>
      </c>
      <c r="N433" s="534">
        <f t="shared" si="56"/>
        <v>0.98157004050277652</v>
      </c>
    </row>
    <row r="434" spans="7:14" x14ac:dyDescent="0.2">
      <c r="G434" s="538">
        <f t="shared" si="50"/>
        <v>129674.39503102977</v>
      </c>
      <c r="H434" s="539">
        <f t="shared" si="49"/>
        <v>0.98018245657861769</v>
      </c>
      <c r="I434" s="540">
        <f t="shared" si="51"/>
        <v>129280.03922843978</v>
      </c>
      <c r="J434" s="534">
        <f t="shared" si="52"/>
        <v>0.98015597187177661</v>
      </c>
      <c r="K434" s="538">
        <f t="shared" si="53"/>
        <v>128259.38080919179</v>
      </c>
      <c r="L434" s="539">
        <f t="shared" si="54"/>
        <v>0.98008688146888179</v>
      </c>
      <c r="M434" s="540">
        <f t="shared" si="55"/>
        <v>153028.25092727627</v>
      </c>
      <c r="N434" s="534">
        <f t="shared" si="56"/>
        <v>0.98157004050277652</v>
      </c>
    </row>
    <row r="435" spans="7:14" x14ac:dyDescent="0.2">
      <c r="G435" s="538">
        <f t="shared" si="50"/>
        <v>129674.39503102977</v>
      </c>
      <c r="H435" s="539">
        <f t="shared" si="49"/>
        <v>0.98018245657861769</v>
      </c>
      <c r="I435" s="540">
        <f t="shared" si="51"/>
        <v>129280.03922843978</v>
      </c>
      <c r="J435" s="534">
        <f t="shared" si="52"/>
        <v>0.98015597187177661</v>
      </c>
      <c r="K435" s="538">
        <f t="shared" si="53"/>
        <v>128259.38080919179</v>
      </c>
      <c r="L435" s="539">
        <f t="shared" si="54"/>
        <v>0.98008688146888179</v>
      </c>
      <c r="M435" s="540">
        <f t="shared" si="55"/>
        <v>153028.25092727627</v>
      </c>
      <c r="N435" s="534">
        <f t="shared" si="56"/>
        <v>0.98157004050277652</v>
      </c>
    </row>
    <row r="436" spans="7:14" x14ac:dyDescent="0.2">
      <c r="G436" s="538">
        <f t="shared" si="50"/>
        <v>129674.39503102977</v>
      </c>
      <c r="H436" s="539">
        <f t="shared" si="49"/>
        <v>0.98018245657861769</v>
      </c>
      <c r="I436" s="540">
        <f t="shared" si="51"/>
        <v>129280.03922843978</v>
      </c>
      <c r="J436" s="534">
        <f t="shared" si="52"/>
        <v>0.98015597187177661</v>
      </c>
      <c r="K436" s="538">
        <f t="shared" si="53"/>
        <v>128259.38080919179</v>
      </c>
      <c r="L436" s="539">
        <f t="shared" si="54"/>
        <v>0.98008688146888179</v>
      </c>
      <c r="M436" s="540">
        <f t="shared" si="55"/>
        <v>153028.25092727627</v>
      </c>
      <c r="N436" s="534">
        <f t="shared" si="56"/>
        <v>0.98157004050277652</v>
      </c>
    </row>
    <row r="437" spans="7:14" x14ac:dyDescent="0.2">
      <c r="G437" s="538">
        <f t="shared" si="50"/>
        <v>129674.39503102977</v>
      </c>
      <c r="H437" s="539">
        <f t="shared" si="49"/>
        <v>0.98018245657861769</v>
      </c>
      <c r="I437" s="540">
        <f t="shared" si="51"/>
        <v>129280.03922843978</v>
      </c>
      <c r="J437" s="534">
        <f t="shared" si="52"/>
        <v>0.98015597187177661</v>
      </c>
      <c r="K437" s="538">
        <f t="shared" si="53"/>
        <v>128259.38080919179</v>
      </c>
      <c r="L437" s="539">
        <f t="shared" si="54"/>
        <v>0.98008688146888179</v>
      </c>
      <c r="M437" s="540">
        <f t="shared" si="55"/>
        <v>153028.25092727627</v>
      </c>
      <c r="N437" s="534">
        <f t="shared" si="56"/>
        <v>0.98157004050277652</v>
      </c>
    </row>
    <row r="438" spans="7:14" x14ac:dyDescent="0.2">
      <c r="G438" s="538">
        <f t="shared" si="50"/>
        <v>129674.39503102977</v>
      </c>
      <c r="H438" s="539">
        <f t="shared" si="49"/>
        <v>0.98018245657861769</v>
      </c>
      <c r="I438" s="540">
        <f t="shared" si="51"/>
        <v>129280.03922843978</v>
      </c>
      <c r="J438" s="534">
        <f t="shared" si="52"/>
        <v>0.98015597187177661</v>
      </c>
      <c r="K438" s="538">
        <f t="shared" si="53"/>
        <v>128259.38080919179</v>
      </c>
      <c r="L438" s="539">
        <f t="shared" si="54"/>
        <v>0.98008688146888179</v>
      </c>
      <c r="M438" s="540">
        <f t="shared" si="55"/>
        <v>153028.25092727627</v>
      </c>
      <c r="N438" s="534">
        <f t="shared" si="56"/>
        <v>0.98157004050277652</v>
      </c>
    </row>
    <row r="439" spans="7:14" x14ac:dyDescent="0.2">
      <c r="G439" s="538">
        <f t="shared" si="50"/>
        <v>129674.39503102977</v>
      </c>
      <c r="H439" s="539">
        <f t="shared" si="49"/>
        <v>0.98018245657861769</v>
      </c>
      <c r="I439" s="540">
        <f t="shared" si="51"/>
        <v>129280.03922843978</v>
      </c>
      <c r="J439" s="534">
        <f t="shared" si="52"/>
        <v>0.98015597187177661</v>
      </c>
      <c r="K439" s="538">
        <f t="shared" si="53"/>
        <v>128259.38080919179</v>
      </c>
      <c r="L439" s="539">
        <f t="shared" si="54"/>
        <v>0.98008688146888179</v>
      </c>
      <c r="M439" s="540">
        <f t="shared" si="55"/>
        <v>153028.25092727627</v>
      </c>
      <c r="N439" s="534">
        <f t="shared" si="56"/>
        <v>0.98157004050277652</v>
      </c>
    </row>
    <row r="440" spans="7:14" x14ac:dyDescent="0.2">
      <c r="G440" s="538">
        <f t="shared" si="50"/>
        <v>129674.39503102977</v>
      </c>
      <c r="H440" s="539">
        <f t="shared" si="49"/>
        <v>0.98018245657861769</v>
      </c>
      <c r="I440" s="540">
        <f t="shared" si="51"/>
        <v>129280.03922843978</v>
      </c>
      <c r="J440" s="534">
        <f t="shared" si="52"/>
        <v>0.98015597187177661</v>
      </c>
      <c r="K440" s="538">
        <f t="shared" si="53"/>
        <v>128259.38080919179</v>
      </c>
      <c r="L440" s="539">
        <f t="shared" si="54"/>
        <v>0.98008688146888179</v>
      </c>
      <c r="M440" s="540">
        <f t="shared" si="55"/>
        <v>153028.25092727627</v>
      </c>
      <c r="N440" s="534">
        <f t="shared" si="56"/>
        <v>0.98157004050277652</v>
      </c>
    </row>
    <row r="441" spans="7:14" x14ac:dyDescent="0.2">
      <c r="G441" s="538">
        <f t="shared" si="50"/>
        <v>129674.39503102977</v>
      </c>
      <c r="H441" s="539">
        <f t="shared" si="49"/>
        <v>0.98018245657861769</v>
      </c>
      <c r="I441" s="540">
        <f t="shared" si="51"/>
        <v>129280.03922843978</v>
      </c>
      <c r="J441" s="534">
        <f t="shared" si="52"/>
        <v>0.98015597187177661</v>
      </c>
      <c r="K441" s="538">
        <f t="shared" si="53"/>
        <v>128259.38080919179</v>
      </c>
      <c r="L441" s="539">
        <f t="shared" si="54"/>
        <v>0.98008688146888179</v>
      </c>
      <c r="M441" s="540">
        <f t="shared" si="55"/>
        <v>153028.25092727627</v>
      </c>
      <c r="N441" s="534">
        <f t="shared" si="56"/>
        <v>0.98157004050277652</v>
      </c>
    </row>
    <row r="442" spans="7:14" x14ac:dyDescent="0.2">
      <c r="G442" s="538">
        <f t="shared" si="50"/>
        <v>129674.39503102977</v>
      </c>
      <c r="H442" s="539">
        <f t="shared" si="49"/>
        <v>0.98018245657861769</v>
      </c>
      <c r="I442" s="540">
        <f t="shared" si="51"/>
        <v>129280.03922843978</v>
      </c>
      <c r="J442" s="534">
        <f t="shared" si="52"/>
        <v>0.98015597187177661</v>
      </c>
      <c r="K442" s="538">
        <f t="shared" si="53"/>
        <v>128259.38080919179</v>
      </c>
      <c r="L442" s="539">
        <f t="shared" si="54"/>
        <v>0.98008688146888179</v>
      </c>
      <c r="M442" s="540">
        <f t="shared" si="55"/>
        <v>153028.25092727627</v>
      </c>
      <c r="N442" s="534">
        <f t="shared" si="56"/>
        <v>0.98157004050277652</v>
      </c>
    </row>
    <row r="443" spans="7:14" x14ac:dyDescent="0.2">
      <c r="G443" s="538">
        <f t="shared" si="50"/>
        <v>129674.39503102977</v>
      </c>
      <c r="H443" s="539">
        <f t="shared" si="49"/>
        <v>0.98018245657861769</v>
      </c>
      <c r="I443" s="540">
        <f t="shared" si="51"/>
        <v>129280.03922843978</v>
      </c>
      <c r="J443" s="534">
        <f t="shared" si="52"/>
        <v>0.98015597187177661</v>
      </c>
      <c r="K443" s="538">
        <f t="shared" si="53"/>
        <v>128259.38080919179</v>
      </c>
      <c r="L443" s="539">
        <f t="shared" si="54"/>
        <v>0.98008688146888179</v>
      </c>
      <c r="M443" s="540">
        <f t="shared" si="55"/>
        <v>153028.25092727627</v>
      </c>
      <c r="N443" s="534">
        <f t="shared" si="56"/>
        <v>0.98157004050277652</v>
      </c>
    </row>
    <row r="444" spans="7:14" x14ac:dyDescent="0.2">
      <c r="G444" s="538">
        <f t="shared" si="50"/>
        <v>129674.39503102977</v>
      </c>
      <c r="H444" s="539">
        <f t="shared" si="49"/>
        <v>0.98018245657861769</v>
      </c>
      <c r="I444" s="540">
        <f t="shared" si="51"/>
        <v>129280.03922843978</v>
      </c>
      <c r="J444" s="534">
        <f t="shared" si="52"/>
        <v>0.98015597187177661</v>
      </c>
      <c r="K444" s="538">
        <f t="shared" si="53"/>
        <v>128259.38080919179</v>
      </c>
      <c r="L444" s="539">
        <f t="shared" si="54"/>
        <v>0.98008688146888179</v>
      </c>
      <c r="M444" s="540">
        <f t="shared" si="55"/>
        <v>153028.25092727627</v>
      </c>
      <c r="N444" s="534">
        <f t="shared" si="56"/>
        <v>0.98157004050277652</v>
      </c>
    </row>
    <row r="445" spans="7:14" x14ac:dyDescent="0.2">
      <c r="G445" s="538">
        <f t="shared" si="50"/>
        <v>129674.39503102977</v>
      </c>
      <c r="H445" s="539">
        <f t="shared" si="49"/>
        <v>0.98018245657861769</v>
      </c>
      <c r="I445" s="540">
        <f t="shared" si="51"/>
        <v>129280.03922843978</v>
      </c>
      <c r="J445" s="534">
        <f t="shared" si="52"/>
        <v>0.98015597187177661</v>
      </c>
      <c r="K445" s="538">
        <f t="shared" si="53"/>
        <v>128259.38080919179</v>
      </c>
      <c r="L445" s="539">
        <f t="shared" si="54"/>
        <v>0.98008688146888179</v>
      </c>
      <c r="M445" s="540">
        <f t="shared" si="55"/>
        <v>153028.25092727627</v>
      </c>
      <c r="N445" s="534">
        <f t="shared" si="56"/>
        <v>0.98157004050277652</v>
      </c>
    </row>
    <row r="446" spans="7:14" x14ac:dyDescent="0.2">
      <c r="G446" s="538">
        <f t="shared" si="50"/>
        <v>129674.39503102977</v>
      </c>
      <c r="H446" s="539">
        <f t="shared" si="49"/>
        <v>0.98018245657861769</v>
      </c>
      <c r="I446" s="540">
        <f t="shared" si="51"/>
        <v>129280.03922843978</v>
      </c>
      <c r="J446" s="534">
        <f t="shared" si="52"/>
        <v>0.98015597187177661</v>
      </c>
      <c r="K446" s="538">
        <f t="shared" si="53"/>
        <v>128259.38080919179</v>
      </c>
      <c r="L446" s="539">
        <f t="shared" si="54"/>
        <v>0.98008688146888179</v>
      </c>
      <c r="M446" s="540">
        <f t="shared" si="55"/>
        <v>153028.25092727627</v>
      </c>
      <c r="N446" s="534">
        <f t="shared" si="56"/>
        <v>0.98157004050277652</v>
      </c>
    </row>
    <row r="447" spans="7:14" x14ac:dyDescent="0.2">
      <c r="G447" s="538">
        <f t="shared" si="50"/>
        <v>129674.39503102977</v>
      </c>
      <c r="H447" s="539">
        <f t="shared" si="49"/>
        <v>0.98018245657861769</v>
      </c>
      <c r="I447" s="540">
        <f t="shared" si="51"/>
        <v>129280.03922843978</v>
      </c>
      <c r="J447" s="534">
        <f t="shared" si="52"/>
        <v>0.98015597187177661</v>
      </c>
      <c r="K447" s="538">
        <f t="shared" si="53"/>
        <v>128259.38080919179</v>
      </c>
      <c r="L447" s="539">
        <f t="shared" si="54"/>
        <v>0.98008688146888179</v>
      </c>
      <c r="M447" s="540">
        <f t="shared" si="55"/>
        <v>153028.25092727627</v>
      </c>
      <c r="N447" s="534">
        <f t="shared" si="56"/>
        <v>0.98157004050277652</v>
      </c>
    </row>
    <row r="448" spans="7:14" x14ac:dyDescent="0.2">
      <c r="G448" s="538">
        <f t="shared" si="50"/>
        <v>129674.39503102977</v>
      </c>
      <c r="H448" s="539">
        <f t="shared" si="49"/>
        <v>0.98018245657861769</v>
      </c>
      <c r="I448" s="540">
        <f t="shared" si="51"/>
        <v>129280.03922843978</v>
      </c>
      <c r="J448" s="534">
        <f t="shared" si="52"/>
        <v>0.98015597187177661</v>
      </c>
      <c r="K448" s="538">
        <f t="shared" si="53"/>
        <v>128259.38080919179</v>
      </c>
      <c r="L448" s="539">
        <f t="shared" si="54"/>
        <v>0.98008688146888179</v>
      </c>
      <c r="M448" s="540">
        <f t="shared" si="55"/>
        <v>153028.25092727627</v>
      </c>
      <c r="N448" s="534">
        <f t="shared" si="56"/>
        <v>0.98157004050277652</v>
      </c>
    </row>
    <row r="449" spans="7:14" x14ac:dyDescent="0.2">
      <c r="G449" s="538">
        <f t="shared" si="50"/>
        <v>129674.39503102977</v>
      </c>
      <c r="H449" s="539">
        <f t="shared" si="49"/>
        <v>0.98018245657861769</v>
      </c>
      <c r="I449" s="540">
        <f t="shared" si="51"/>
        <v>129280.03922843978</v>
      </c>
      <c r="J449" s="534">
        <f t="shared" si="52"/>
        <v>0.98015597187177661</v>
      </c>
      <c r="K449" s="538">
        <f t="shared" si="53"/>
        <v>128259.38080919179</v>
      </c>
      <c r="L449" s="539">
        <f t="shared" si="54"/>
        <v>0.98008688146888179</v>
      </c>
      <c r="M449" s="540">
        <f t="shared" si="55"/>
        <v>153028.25092727627</v>
      </c>
      <c r="N449" s="534">
        <f t="shared" si="56"/>
        <v>0.98157004050277652</v>
      </c>
    </row>
    <row r="450" spans="7:14" x14ac:dyDescent="0.2">
      <c r="G450" s="538">
        <f t="shared" si="50"/>
        <v>129674.39503102977</v>
      </c>
      <c r="H450" s="539">
        <f t="shared" si="49"/>
        <v>0.98018245657861769</v>
      </c>
      <c r="I450" s="540">
        <f t="shared" si="51"/>
        <v>129280.03922843978</v>
      </c>
      <c r="J450" s="534">
        <f t="shared" si="52"/>
        <v>0.98015597187177661</v>
      </c>
      <c r="K450" s="538">
        <f t="shared" si="53"/>
        <v>128259.38080919179</v>
      </c>
      <c r="L450" s="539">
        <f t="shared" si="54"/>
        <v>0.98008688146888179</v>
      </c>
      <c r="M450" s="540">
        <f t="shared" si="55"/>
        <v>153028.25092727627</v>
      </c>
      <c r="N450" s="534">
        <f t="shared" si="56"/>
        <v>0.98157004050277652</v>
      </c>
    </row>
    <row r="451" spans="7:14" x14ac:dyDescent="0.2">
      <c r="G451" s="538">
        <f t="shared" si="50"/>
        <v>129674.39503102977</v>
      </c>
      <c r="H451" s="539">
        <f t="shared" ref="H451:H514" si="57">0.9986-(7.006/SQRT(G451))+134.6/G451</f>
        <v>0.98018245657861769</v>
      </c>
      <c r="I451" s="540">
        <f t="shared" si="51"/>
        <v>129280.03922843978</v>
      </c>
      <c r="J451" s="534">
        <f t="shared" si="52"/>
        <v>0.98015597187177661</v>
      </c>
      <c r="K451" s="538">
        <f t="shared" si="53"/>
        <v>128259.38080919179</v>
      </c>
      <c r="L451" s="539">
        <f t="shared" si="54"/>
        <v>0.98008688146888179</v>
      </c>
      <c r="M451" s="540">
        <f t="shared" si="55"/>
        <v>153028.25092727627</v>
      </c>
      <c r="N451" s="534">
        <f t="shared" si="56"/>
        <v>0.98157004050277652</v>
      </c>
    </row>
    <row r="452" spans="7:14" x14ac:dyDescent="0.2">
      <c r="G452" s="538">
        <f t="shared" ref="G452:G515" si="58">($C$6/(1000*$C$12*$C$16))*(H451*SQRT(2*$C$5*100*$C$16))</f>
        <v>129674.39503102977</v>
      </c>
      <c r="H452" s="539">
        <f t="shared" si="57"/>
        <v>0.98018245657861769</v>
      </c>
      <c r="I452" s="540">
        <f t="shared" ref="I452:I515" si="59">($C$7/(1000*$C$12*$C$16))*(J451*SQRT(2*$C$5*100*$C$16))</f>
        <v>129280.03922843978</v>
      </c>
      <c r="J452" s="534">
        <f t="shared" ref="J452:J515" si="60">0.9986-(7.006/SQRT(I452))+134.6/I452</f>
        <v>0.98015597187177661</v>
      </c>
      <c r="K452" s="538">
        <f t="shared" ref="K452:K515" si="61">($C$8/(1000*$C$12*$C$16))*(L451*SQRT(2*$C$5*100*$C$16))</f>
        <v>128259.38080919179</v>
      </c>
      <c r="L452" s="539">
        <f t="shared" ref="L452:L515" si="62">0.9986-(7.006/SQRT(K452))+134.6/K452</f>
        <v>0.98008688146888179</v>
      </c>
      <c r="M452" s="540">
        <f t="shared" ref="M452:M515" si="63">($C$9/(1000*$C$12*$C$16))*(N451*SQRT(2*$C$5*100*$C$16))</f>
        <v>153028.25092727627</v>
      </c>
      <c r="N452" s="534">
        <f t="shared" ref="N452:N515" si="64">0.9986-(7.006/SQRT(M452))+134.6/M452</f>
        <v>0.98157004050277652</v>
      </c>
    </row>
    <row r="453" spans="7:14" x14ac:dyDescent="0.2">
      <c r="G453" s="538">
        <f t="shared" si="58"/>
        <v>129674.39503102977</v>
      </c>
      <c r="H453" s="539">
        <f t="shared" si="57"/>
        <v>0.98018245657861769</v>
      </c>
      <c r="I453" s="540">
        <f t="shared" si="59"/>
        <v>129280.03922843978</v>
      </c>
      <c r="J453" s="534">
        <f t="shared" si="60"/>
        <v>0.98015597187177661</v>
      </c>
      <c r="K453" s="538">
        <f t="shared" si="61"/>
        <v>128259.38080919179</v>
      </c>
      <c r="L453" s="539">
        <f t="shared" si="62"/>
        <v>0.98008688146888179</v>
      </c>
      <c r="M453" s="540">
        <f t="shared" si="63"/>
        <v>153028.25092727627</v>
      </c>
      <c r="N453" s="534">
        <f t="shared" si="64"/>
        <v>0.98157004050277652</v>
      </c>
    </row>
    <row r="454" spans="7:14" x14ac:dyDescent="0.2">
      <c r="G454" s="538">
        <f t="shared" si="58"/>
        <v>129674.39503102977</v>
      </c>
      <c r="H454" s="539">
        <f t="shared" si="57"/>
        <v>0.98018245657861769</v>
      </c>
      <c r="I454" s="540">
        <f t="shared" si="59"/>
        <v>129280.03922843978</v>
      </c>
      <c r="J454" s="534">
        <f t="shared" si="60"/>
        <v>0.98015597187177661</v>
      </c>
      <c r="K454" s="538">
        <f t="shared" si="61"/>
        <v>128259.38080919179</v>
      </c>
      <c r="L454" s="539">
        <f t="shared" si="62"/>
        <v>0.98008688146888179</v>
      </c>
      <c r="M454" s="540">
        <f t="shared" si="63"/>
        <v>153028.25092727627</v>
      </c>
      <c r="N454" s="534">
        <f t="shared" si="64"/>
        <v>0.98157004050277652</v>
      </c>
    </row>
    <row r="455" spans="7:14" x14ac:dyDescent="0.2">
      <c r="G455" s="538">
        <f t="shared" si="58"/>
        <v>129674.39503102977</v>
      </c>
      <c r="H455" s="539">
        <f t="shared" si="57"/>
        <v>0.98018245657861769</v>
      </c>
      <c r="I455" s="540">
        <f t="shared" si="59"/>
        <v>129280.03922843978</v>
      </c>
      <c r="J455" s="534">
        <f t="shared" si="60"/>
        <v>0.98015597187177661</v>
      </c>
      <c r="K455" s="538">
        <f t="shared" si="61"/>
        <v>128259.38080919179</v>
      </c>
      <c r="L455" s="539">
        <f t="shared" si="62"/>
        <v>0.98008688146888179</v>
      </c>
      <c r="M455" s="540">
        <f t="shared" si="63"/>
        <v>153028.25092727627</v>
      </c>
      <c r="N455" s="534">
        <f t="shared" si="64"/>
        <v>0.98157004050277652</v>
      </c>
    </row>
    <row r="456" spans="7:14" x14ac:dyDescent="0.2">
      <c r="G456" s="538">
        <f t="shared" si="58"/>
        <v>129674.39503102977</v>
      </c>
      <c r="H456" s="539">
        <f t="shared" si="57"/>
        <v>0.98018245657861769</v>
      </c>
      <c r="I456" s="540">
        <f t="shared" si="59"/>
        <v>129280.03922843978</v>
      </c>
      <c r="J456" s="534">
        <f t="shared" si="60"/>
        <v>0.98015597187177661</v>
      </c>
      <c r="K456" s="538">
        <f t="shared" si="61"/>
        <v>128259.38080919179</v>
      </c>
      <c r="L456" s="539">
        <f t="shared" si="62"/>
        <v>0.98008688146888179</v>
      </c>
      <c r="M456" s="540">
        <f t="shared" si="63"/>
        <v>153028.25092727627</v>
      </c>
      <c r="N456" s="534">
        <f t="shared" si="64"/>
        <v>0.98157004050277652</v>
      </c>
    </row>
    <row r="457" spans="7:14" x14ac:dyDescent="0.2">
      <c r="G457" s="538">
        <f t="shared" si="58"/>
        <v>129674.39503102977</v>
      </c>
      <c r="H457" s="539">
        <f t="shared" si="57"/>
        <v>0.98018245657861769</v>
      </c>
      <c r="I457" s="540">
        <f t="shared" si="59"/>
        <v>129280.03922843978</v>
      </c>
      <c r="J457" s="534">
        <f t="shared" si="60"/>
        <v>0.98015597187177661</v>
      </c>
      <c r="K457" s="538">
        <f t="shared" si="61"/>
        <v>128259.38080919179</v>
      </c>
      <c r="L457" s="539">
        <f t="shared" si="62"/>
        <v>0.98008688146888179</v>
      </c>
      <c r="M457" s="540">
        <f t="shared" si="63"/>
        <v>153028.25092727627</v>
      </c>
      <c r="N457" s="534">
        <f t="shared" si="64"/>
        <v>0.98157004050277652</v>
      </c>
    </row>
    <row r="458" spans="7:14" x14ac:dyDescent="0.2">
      <c r="G458" s="538">
        <f t="shared" si="58"/>
        <v>129674.39503102977</v>
      </c>
      <c r="H458" s="539">
        <f t="shared" si="57"/>
        <v>0.98018245657861769</v>
      </c>
      <c r="I458" s="540">
        <f t="shared" si="59"/>
        <v>129280.03922843978</v>
      </c>
      <c r="J458" s="534">
        <f t="shared" si="60"/>
        <v>0.98015597187177661</v>
      </c>
      <c r="K458" s="538">
        <f t="shared" si="61"/>
        <v>128259.38080919179</v>
      </c>
      <c r="L458" s="539">
        <f t="shared" si="62"/>
        <v>0.98008688146888179</v>
      </c>
      <c r="M458" s="540">
        <f t="shared" si="63"/>
        <v>153028.25092727627</v>
      </c>
      <c r="N458" s="534">
        <f t="shared" si="64"/>
        <v>0.98157004050277652</v>
      </c>
    </row>
    <row r="459" spans="7:14" x14ac:dyDescent="0.2">
      <c r="G459" s="538">
        <f t="shared" si="58"/>
        <v>129674.39503102977</v>
      </c>
      <c r="H459" s="539">
        <f t="shared" si="57"/>
        <v>0.98018245657861769</v>
      </c>
      <c r="I459" s="540">
        <f t="shared" si="59"/>
        <v>129280.03922843978</v>
      </c>
      <c r="J459" s="534">
        <f t="shared" si="60"/>
        <v>0.98015597187177661</v>
      </c>
      <c r="K459" s="538">
        <f t="shared" si="61"/>
        <v>128259.38080919179</v>
      </c>
      <c r="L459" s="539">
        <f t="shared" si="62"/>
        <v>0.98008688146888179</v>
      </c>
      <c r="M459" s="540">
        <f t="shared" si="63"/>
        <v>153028.25092727627</v>
      </c>
      <c r="N459" s="534">
        <f t="shared" si="64"/>
        <v>0.98157004050277652</v>
      </c>
    </row>
    <row r="460" spans="7:14" x14ac:dyDescent="0.2">
      <c r="G460" s="538">
        <f t="shared" si="58"/>
        <v>129674.39503102977</v>
      </c>
      <c r="H460" s="539">
        <f t="shared" si="57"/>
        <v>0.98018245657861769</v>
      </c>
      <c r="I460" s="540">
        <f t="shared" si="59"/>
        <v>129280.03922843978</v>
      </c>
      <c r="J460" s="534">
        <f t="shared" si="60"/>
        <v>0.98015597187177661</v>
      </c>
      <c r="K460" s="538">
        <f t="shared" si="61"/>
        <v>128259.38080919179</v>
      </c>
      <c r="L460" s="539">
        <f t="shared" si="62"/>
        <v>0.98008688146888179</v>
      </c>
      <c r="M460" s="540">
        <f t="shared" si="63"/>
        <v>153028.25092727627</v>
      </c>
      <c r="N460" s="534">
        <f t="shared" si="64"/>
        <v>0.98157004050277652</v>
      </c>
    </row>
    <row r="461" spans="7:14" x14ac:dyDescent="0.2">
      <c r="G461" s="538">
        <f t="shared" si="58"/>
        <v>129674.39503102977</v>
      </c>
      <c r="H461" s="539">
        <f t="shared" si="57"/>
        <v>0.98018245657861769</v>
      </c>
      <c r="I461" s="540">
        <f t="shared" si="59"/>
        <v>129280.03922843978</v>
      </c>
      <c r="J461" s="534">
        <f t="shared" si="60"/>
        <v>0.98015597187177661</v>
      </c>
      <c r="K461" s="538">
        <f t="shared" si="61"/>
        <v>128259.38080919179</v>
      </c>
      <c r="L461" s="539">
        <f t="shared" si="62"/>
        <v>0.98008688146888179</v>
      </c>
      <c r="M461" s="540">
        <f t="shared" si="63"/>
        <v>153028.25092727627</v>
      </c>
      <c r="N461" s="534">
        <f t="shared" si="64"/>
        <v>0.98157004050277652</v>
      </c>
    </row>
    <row r="462" spans="7:14" x14ac:dyDescent="0.2">
      <c r="G462" s="538">
        <f t="shared" si="58"/>
        <v>129674.39503102977</v>
      </c>
      <c r="H462" s="539">
        <f t="shared" si="57"/>
        <v>0.98018245657861769</v>
      </c>
      <c r="I462" s="540">
        <f t="shared" si="59"/>
        <v>129280.03922843978</v>
      </c>
      <c r="J462" s="534">
        <f t="shared" si="60"/>
        <v>0.98015597187177661</v>
      </c>
      <c r="K462" s="538">
        <f t="shared" si="61"/>
        <v>128259.38080919179</v>
      </c>
      <c r="L462" s="539">
        <f t="shared" si="62"/>
        <v>0.98008688146888179</v>
      </c>
      <c r="M462" s="540">
        <f t="shared" si="63"/>
        <v>153028.25092727627</v>
      </c>
      <c r="N462" s="534">
        <f t="shared" si="64"/>
        <v>0.98157004050277652</v>
      </c>
    </row>
    <row r="463" spans="7:14" x14ac:dyDescent="0.2">
      <c r="G463" s="538">
        <f t="shared" si="58"/>
        <v>129674.39503102977</v>
      </c>
      <c r="H463" s="539">
        <f t="shared" si="57"/>
        <v>0.98018245657861769</v>
      </c>
      <c r="I463" s="540">
        <f t="shared" si="59"/>
        <v>129280.03922843978</v>
      </c>
      <c r="J463" s="534">
        <f t="shared" si="60"/>
        <v>0.98015597187177661</v>
      </c>
      <c r="K463" s="538">
        <f t="shared" si="61"/>
        <v>128259.38080919179</v>
      </c>
      <c r="L463" s="539">
        <f t="shared" si="62"/>
        <v>0.98008688146888179</v>
      </c>
      <c r="M463" s="540">
        <f t="shared" si="63"/>
        <v>153028.25092727627</v>
      </c>
      <c r="N463" s="534">
        <f t="shared" si="64"/>
        <v>0.98157004050277652</v>
      </c>
    </row>
    <row r="464" spans="7:14" x14ac:dyDescent="0.2">
      <c r="G464" s="538">
        <f t="shared" si="58"/>
        <v>129674.39503102977</v>
      </c>
      <c r="H464" s="539">
        <f t="shared" si="57"/>
        <v>0.98018245657861769</v>
      </c>
      <c r="I464" s="540">
        <f t="shared" si="59"/>
        <v>129280.03922843978</v>
      </c>
      <c r="J464" s="534">
        <f t="shared" si="60"/>
        <v>0.98015597187177661</v>
      </c>
      <c r="K464" s="538">
        <f t="shared" si="61"/>
        <v>128259.38080919179</v>
      </c>
      <c r="L464" s="539">
        <f t="shared" si="62"/>
        <v>0.98008688146888179</v>
      </c>
      <c r="M464" s="540">
        <f t="shared" si="63"/>
        <v>153028.25092727627</v>
      </c>
      <c r="N464" s="534">
        <f t="shared" si="64"/>
        <v>0.98157004050277652</v>
      </c>
    </row>
    <row r="465" spans="7:14" x14ac:dyDescent="0.2">
      <c r="G465" s="538">
        <f t="shared" si="58"/>
        <v>129674.39503102977</v>
      </c>
      <c r="H465" s="539">
        <f t="shared" si="57"/>
        <v>0.98018245657861769</v>
      </c>
      <c r="I465" s="540">
        <f t="shared" si="59"/>
        <v>129280.03922843978</v>
      </c>
      <c r="J465" s="534">
        <f t="shared" si="60"/>
        <v>0.98015597187177661</v>
      </c>
      <c r="K465" s="538">
        <f t="shared" si="61"/>
        <v>128259.38080919179</v>
      </c>
      <c r="L465" s="539">
        <f t="shared" si="62"/>
        <v>0.98008688146888179</v>
      </c>
      <c r="M465" s="540">
        <f t="shared" si="63"/>
        <v>153028.25092727627</v>
      </c>
      <c r="N465" s="534">
        <f t="shared" si="64"/>
        <v>0.98157004050277652</v>
      </c>
    </row>
    <row r="466" spans="7:14" x14ac:dyDescent="0.2">
      <c r="G466" s="538">
        <f t="shared" si="58"/>
        <v>129674.39503102977</v>
      </c>
      <c r="H466" s="539">
        <f t="shared" si="57"/>
        <v>0.98018245657861769</v>
      </c>
      <c r="I466" s="540">
        <f t="shared" si="59"/>
        <v>129280.03922843978</v>
      </c>
      <c r="J466" s="534">
        <f t="shared" si="60"/>
        <v>0.98015597187177661</v>
      </c>
      <c r="K466" s="538">
        <f t="shared" si="61"/>
        <v>128259.38080919179</v>
      </c>
      <c r="L466" s="539">
        <f t="shared" si="62"/>
        <v>0.98008688146888179</v>
      </c>
      <c r="M466" s="540">
        <f t="shared" si="63"/>
        <v>153028.25092727627</v>
      </c>
      <c r="N466" s="534">
        <f t="shared" si="64"/>
        <v>0.98157004050277652</v>
      </c>
    </row>
    <row r="467" spans="7:14" x14ac:dyDescent="0.2">
      <c r="G467" s="538">
        <f t="shared" si="58"/>
        <v>129674.39503102977</v>
      </c>
      <c r="H467" s="539">
        <f t="shared" si="57"/>
        <v>0.98018245657861769</v>
      </c>
      <c r="I467" s="540">
        <f t="shared" si="59"/>
        <v>129280.03922843978</v>
      </c>
      <c r="J467" s="534">
        <f t="shared" si="60"/>
        <v>0.98015597187177661</v>
      </c>
      <c r="K467" s="538">
        <f t="shared" si="61"/>
        <v>128259.38080919179</v>
      </c>
      <c r="L467" s="539">
        <f t="shared" si="62"/>
        <v>0.98008688146888179</v>
      </c>
      <c r="M467" s="540">
        <f t="shared" si="63"/>
        <v>153028.25092727627</v>
      </c>
      <c r="N467" s="534">
        <f t="shared" si="64"/>
        <v>0.98157004050277652</v>
      </c>
    </row>
    <row r="468" spans="7:14" x14ac:dyDescent="0.2">
      <c r="G468" s="538">
        <f t="shared" si="58"/>
        <v>129674.39503102977</v>
      </c>
      <c r="H468" s="539">
        <f t="shared" si="57"/>
        <v>0.98018245657861769</v>
      </c>
      <c r="I468" s="540">
        <f t="shared" si="59"/>
        <v>129280.03922843978</v>
      </c>
      <c r="J468" s="534">
        <f t="shared" si="60"/>
        <v>0.98015597187177661</v>
      </c>
      <c r="K468" s="538">
        <f t="shared" si="61"/>
        <v>128259.38080919179</v>
      </c>
      <c r="L468" s="539">
        <f t="shared" si="62"/>
        <v>0.98008688146888179</v>
      </c>
      <c r="M468" s="540">
        <f t="shared" si="63"/>
        <v>153028.25092727627</v>
      </c>
      <c r="N468" s="534">
        <f t="shared" si="64"/>
        <v>0.98157004050277652</v>
      </c>
    </row>
    <row r="469" spans="7:14" x14ac:dyDescent="0.2">
      <c r="G469" s="538">
        <f t="shared" si="58"/>
        <v>129674.39503102977</v>
      </c>
      <c r="H469" s="539">
        <f t="shared" si="57"/>
        <v>0.98018245657861769</v>
      </c>
      <c r="I469" s="540">
        <f t="shared" si="59"/>
        <v>129280.03922843978</v>
      </c>
      <c r="J469" s="534">
        <f t="shared" si="60"/>
        <v>0.98015597187177661</v>
      </c>
      <c r="K469" s="538">
        <f t="shared" si="61"/>
        <v>128259.38080919179</v>
      </c>
      <c r="L469" s="539">
        <f t="shared" si="62"/>
        <v>0.98008688146888179</v>
      </c>
      <c r="M469" s="540">
        <f t="shared" si="63"/>
        <v>153028.25092727627</v>
      </c>
      <c r="N469" s="534">
        <f t="shared" si="64"/>
        <v>0.98157004050277652</v>
      </c>
    </row>
    <row r="470" spans="7:14" x14ac:dyDescent="0.2">
      <c r="G470" s="538">
        <f t="shared" si="58"/>
        <v>129674.39503102977</v>
      </c>
      <c r="H470" s="539">
        <f t="shared" si="57"/>
        <v>0.98018245657861769</v>
      </c>
      <c r="I470" s="540">
        <f t="shared" si="59"/>
        <v>129280.03922843978</v>
      </c>
      <c r="J470" s="534">
        <f t="shared" si="60"/>
        <v>0.98015597187177661</v>
      </c>
      <c r="K470" s="538">
        <f t="shared" si="61"/>
        <v>128259.38080919179</v>
      </c>
      <c r="L470" s="539">
        <f t="shared" si="62"/>
        <v>0.98008688146888179</v>
      </c>
      <c r="M470" s="540">
        <f t="shared" si="63"/>
        <v>153028.25092727627</v>
      </c>
      <c r="N470" s="534">
        <f t="shared" si="64"/>
        <v>0.98157004050277652</v>
      </c>
    </row>
    <row r="471" spans="7:14" x14ac:dyDescent="0.2">
      <c r="G471" s="538">
        <f t="shared" si="58"/>
        <v>129674.39503102977</v>
      </c>
      <c r="H471" s="539">
        <f t="shared" si="57"/>
        <v>0.98018245657861769</v>
      </c>
      <c r="I471" s="540">
        <f t="shared" si="59"/>
        <v>129280.03922843978</v>
      </c>
      <c r="J471" s="534">
        <f t="shared" si="60"/>
        <v>0.98015597187177661</v>
      </c>
      <c r="K471" s="538">
        <f t="shared" si="61"/>
        <v>128259.38080919179</v>
      </c>
      <c r="L471" s="539">
        <f t="shared" si="62"/>
        <v>0.98008688146888179</v>
      </c>
      <c r="M471" s="540">
        <f t="shared" si="63"/>
        <v>153028.25092727627</v>
      </c>
      <c r="N471" s="534">
        <f t="shared" si="64"/>
        <v>0.98157004050277652</v>
      </c>
    </row>
    <row r="472" spans="7:14" x14ac:dyDescent="0.2">
      <c r="G472" s="538">
        <f t="shared" si="58"/>
        <v>129674.39503102977</v>
      </c>
      <c r="H472" s="539">
        <f t="shared" si="57"/>
        <v>0.98018245657861769</v>
      </c>
      <c r="I472" s="540">
        <f t="shared" si="59"/>
        <v>129280.03922843978</v>
      </c>
      <c r="J472" s="534">
        <f t="shared" si="60"/>
        <v>0.98015597187177661</v>
      </c>
      <c r="K472" s="538">
        <f t="shared" si="61"/>
        <v>128259.38080919179</v>
      </c>
      <c r="L472" s="539">
        <f t="shared" si="62"/>
        <v>0.98008688146888179</v>
      </c>
      <c r="M472" s="540">
        <f t="shared" si="63"/>
        <v>153028.25092727627</v>
      </c>
      <c r="N472" s="534">
        <f t="shared" si="64"/>
        <v>0.98157004050277652</v>
      </c>
    </row>
    <row r="473" spans="7:14" x14ac:dyDescent="0.2">
      <c r="G473" s="538">
        <f t="shared" si="58"/>
        <v>129674.39503102977</v>
      </c>
      <c r="H473" s="539">
        <f t="shared" si="57"/>
        <v>0.98018245657861769</v>
      </c>
      <c r="I473" s="540">
        <f t="shared" si="59"/>
        <v>129280.03922843978</v>
      </c>
      <c r="J473" s="534">
        <f t="shared" si="60"/>
        <v>0.98015597187177661</v>
      </c>
      <c r="K473" s="538">
        <f t="shared" si="61"/>
        <v>128259.38080919179</v>
      </c>
      <c r="L473" s="539">
        <f t="shared" si="62"/>
        <v>0.98008688146888179</v>
      </c>
      <c r="M473" s="540">
        <f t="shared" si="63"/>
        <v>153028.25092727627</v>
      </c>
      <c r="N473" s="534">
        <f t="shared" si="64"/>
        <v>0.98157004050277652</v>
      </c>
    </row>
    <row r="474" spans="7:14" x14ac:dyDescent="0.2">
      <c r="G474" s="538">
        <f t="shared" si="58"/>
        <v>129674.39503102977</v>
      </c>
      <c r="H474" s="539">
        <f t="shared" si="57"/>
        <v>0.98018245657861769</v>
      </c>
      <c r="I474" s="540">
        <f t="shared" si="59"/>
        <v>129280.03922843978</v>
      </c>
      <c r="J474" s="534">
        <f t="shared" si="60"/>
        <v>0.98015597187177661</v>
      </c>
      <c r="K474" s="538">
        <f t="shared" si="61"/>
        <v>128259.38080919179</v>
      </c>
      <c r="L474" s="539">
        <f t="shared" si="62"/>
        <v>0.98008688146888179</v>
      </c>
      <c r="M474" s="540">
        <f t="shared" si="63"/>
        <v>153028.25092727627</v>
      </c>
      <c r="N474" s="534">
        <f t="shared" si="64"/>
        <v>0.98157004050277652</v>
      </c>
    </row>
    <row r="475" spans="7:14" x14ac:dyDescent="0.2">
      <c r="G475" s="538">
        <f t="shared" si="58"/>
        <v>129674.39503102977</v>
      </c>
      <c r="H475" s="539">
        <f t="shared" si="57"/>
        <v>0.98018245657861769</v>
      </c>
      <c r="I475" s="540">
        <f t="shared" si="59"/>
        <v>129280.03922843978</v>
      </c>
      <c r="J475" s="534">
        <f t="shared" si="60"/>
        <v>0.98015597187177661</v>
      </c>
      <c r="K475" s="538">
        <f t="shared" si="61"/>
        <v>128259.38080919179</v>
      </c>
      <c r="L475" s="539">
        <f t="shared" si="62"/>
        <v>0.98008688146888179</v>
      </c>
      <c r="M475" s="540">
        <f t="shared" si="63"/>
        <v>153028.25092727627</v>
      </c>
      <c r="N475" s="534">
        <f t="shared" si="64"/>
        <v>0.98157004050277652</v>
      </c>
    </row>
    <row r="476" spans="7:14" x14ac:dyDescent="0.2">
      <c r="G476" s="538">
        <f t="shared" si="58"/>
        <v>129674.39503102977</v>
      </c>
      <c r="H476" s="539">
        <f t="shared" si="57"/>
        <v>0.98018245657861769</v>
      </c>
      <c r="I476" s="540">
        <f t="shared" si="59"/>
        <v>129280.03922843978</v>
      </c>
      <c r="J476" s="534">
        <f t="shared" si="60"/>
        <v>0.98015597187177661</v>
      </c>
      <c r="K476" s="538">
        <f t="shared" si="61"/>
        <v>128259.38080919179</v>
      </c>
      <c r="L476" s="539">
        <f t="shared" si="62"/>
        <v>0.98008688146888179</v>
      </c>
      <c r="M476" s="540">
        <f t="shared" si="63"/>
        <v>153028.25092727627</v>
      </c>
      <c r="N476" s="534">
        <f t="shared" si="64"/>
        <v>0.98157004050277652</v>
      </c>
    </row>
    <row r="477" spans="7:14" x14ac:dyDescent="0.2">
      <c r="G477" s="538">
        <f t="shared" si="58"/>
        <v>129674.39503102977</v>
      </c>
      <c r="H477" s="539">
        <f t="shared" si="57"/>
        <v>0.98018245657861769</v>
      </c>
      <c r="I477" s="540">
        <f t="shared" si="59"/>
        <v>129280.03922843978</v>
      </c>
      <c r="J477" s="534">
        <f t="shared" si="60"/>
        <v>0.98015597187177661</v>
      </c>
      <c r="K477" s="538">
        <f t="shared" si="61"/>
        <v>128259.38080919179</v>
      </c>
      <c r="L477" s="539">
        <f t="shared" si="62"/>
        <v>0.98008688146888179</v>
      </c>
      <c r="M477" s="540">
        <f t="shared" si="63"/>
        <v>153028.25092727627</v>
      </c>
      <c r="N477" s="534">
        <f t="shared" si="64"/>
        <v>0.98157004050277652</v>
      </c>
    </row>
    <row r="478" spans="7:14" x14ac:dyDescent="0.2">
      <c r="G478" s="538">
        <f t="shared" si="58"/>
        <v>129674.39503102977</v>
      </c>
      <c r="H478" s="539">
        <f t="shared" si="57"/>
        <v>0.98018245657861769</v>
      </c>
      <c r="I478" s="540">
        <f t="shared" si="59"/>
        <v>129280.03922843978</v>
      </c>
      <c r="J478" s="534">
        <f t="shared" si="60"/>
        <v>0.98015597187177661</v>
      </c>
      <c r="K478" s="538">
        <f t="shared" si="61"/>
        <v>128259.38080919179</v>
      </c>
      <c r="L478" s="539">
        <f t="shared" si="62"/>
        <v>0.98008688146888179</v>
      </c>
      <c r="M478" s="540">
        <f t="shared" si="63"/>
        <v>153028.25092727627</v>
      </c>
      <c r="N478" s="534">
        <f t="shared" si="64"/>
        <v>0.98157004050277652</v>
      </c>
    </row>
    <row r="479" spans="7:14" x14ac:dyDescent="0.2">
      <c r="G479" s="538">
        <f t="shared" si="58"/>
        <v>129674.39503102977</v>
      </c>
      <c r="H479" s="539">
        <f t="shared" si="57"/>
        <v>0.98018245657861769</v>
      </c>
      <c r="I479" s="540">
        <f t="shared" si="59"/>
        <v>129280.03922843978</v>
      </c>
      <c r="J479" s="534">
        <f t="shared" si="60"/>
        <v>0.98015597187177661</v>
      </c>
      <c r="K479" s="538">
        <f t="shared" si="61"/>
        <v>128259.38080919179</v>
      </c>
      <c r="L479" s="539">
        <f t="shared" si="62"/>
        <v>0.98008688146888179</v>
      </c>
      <c r="M479" s="540">
        <f t="shared" si="63"/>
        <v>153028.25092727627</v>
      </c>
      <c r="N479" s="534">
        <f t="shared" si="64"/>
        <v>0.98157004050277652</v>
      </c>
    </row>
    <row r="480" spans="7:14" x14ac:dyDescent="0.2">
      <c r="G480" s="538">
        <f t="shared" si="58"/>
        <v>129674.39503102977</v>
      </c>
      <c r="H480" s="539">
        <f t="shared" si="57"/>
        <v>0.98018245657861769</v>
      </c>
      <c r="I480" s="540">
        <f t="shared" si="59"/>
        <v>129280.03922843978</v>
      </c>
      <c r="J480" s="534">
        <f t="shared" si="60"/>
        <v>0.98015597187177661</v>
      </c>
      <c r="K480" s="538">
        <f t="shared" si="61"/>
        <v>128259.38080919179</v>
      </c>
      <c r="L480" s="539">
        <f t="shared" si="62"/>
        <v>0.98008688146888179</v>
      </c>
      <c r="M480" s="540">
        <f t="shared" si="63"/>
        <v>153028.25092727627</v>
      </c>
      <c r="N480" s="534">
        <f t="shared" si="64"/>
        <v>0.98157004050277652</v>
      </c>
    </row>
    <row r="481" spans="7:14" x14ac:dyDescent="0.2">
      <c r="G481" s="538">
        <f t="shared" si="58"/>
        <v>129674.39503102977</v>
      </c>
      <c r="H481" s="539">
        <f t="shared" si="57"/>
        <v>0.98018245657861769</v>
      </c>
      <c r="I481" s="540">
        <f t="shared" si="59"/>
        <v>129280.03922843978</v>
      </c>
      <c r="J481" s="534">
        <f t="shared" si="60"/>
        <v>0.98015597187177661</v>
      </c>
      <c r="K481" s="538">
        <f t="shared" si="61"/>
        <v>128259.38080919179</v>
      </c>
      <c r="L481" s="539">
        <f t="shared" si="62"/>
        <v>0.98008688146888179</v>
      </c>
      <c r="M481" s="540">
        <f t="shared" si="63"/>
        <v>153028.25092727627</v>
      </c>
      <c r="N481" s="534">
        <f t="shared" si="64"/>
        <v>0.98157004050277652</v>
      </c>
    </row>
    <row r="482" spans="7:14" x14ac:dyDescent="0.2">
      <c r="G482" s="538">
        <f t="shared" si="58"/>
        <v>129674.39503102977</v>
      </c>
      <c r="H482" s="539">
        <f t="shared" si="57"/>
        <v>0.98018245657861769</v>
      </c>
      <c r="I482" s="540">
        <f t="shared" si="59"/>
        <v>129280.03922843978</v>
      </c>
      <c r="J482" s="534">
        <f t="shared" si="60"/>
        <v>0.98015597187177661</v>
      </c>
      <c r="K482" s="538">
        <f t="shared" si="61"/>
        <v>128259.38080919179</v>
      </c>
      <c r="L482" s="539">
        <f t="shared" si="62"/>
        <v>0.98008688146888179</v>
      </c>
      <c r="M482" s="540">
        <f t="shared" si="63"/>
        <v>153028.25092727627</v>
      </c>
      <c r="N482" s="534">
        <f t="shared" si="64"/>
        <v>0.98157004050277652</v>
      </c>
    </row>
    <row r="483" spans="7:14" x14ac:dyDescent="0.2">
      <c r="G483" s="538">
        <f t="shared" si="58"/>
        <v>129674.39503102977</v>
      </c>
      <c r="H483" s="539">
        <f t="shared" si="57"/>
        <v>0.98018245657861769</v>
      </c>
      <c r="I483" s="540">
        <f t="shared" si="59"/>
        <v>129280.03922843978</v>
      </c>
      <c r="J483" s="534">
        <f t="shared" si="60"/>
        <v>0.98015597187177661</v>
      </c>
      <c r="K483" s="538">
        <f t="shared" si="61"/>
        <v>128259.38080919179</v>
      </c>
      <c r="L483" s="539">
        <f t="shared" si="62"/>
        <v>0.98008688146888179</v>
      </c>
      <c r="M483" s="540">
        <f t="shared" si="63"/>
        <v>153028.25092727627</v>
      </c>
      <c r="N483" s="534">
        <f t="shared" si="64"/>
        <v>0.98157004050277652</v>
      </c>
    </row>
    <row r="484" spans="7:14" x14ac:dyDescent="0.2">
      <c r="G484" s="538">
        <f t="shared" si="58"/>
        <v>129674.39503102977</v>
      </c>
      <c r="H484" s="539">
        <f t="shared" si="57"/>
        <v>0.98018245657861769</v>
      </c>
      <c r="I484" s="540">
        <f t="shared" si="59"/>
        <v>129280.03922843978</v>
      </c>
      <c r="J484" s="534">
        <f t="shared" si="60"/>
        <v>0.98015597187177661</v>
      </c>
      <c r="K484" s="538">
        <f t="shared" si="61"/>
        <v>128259.38080919179</v>
      </c>
      <c r="L484" s="539">
        <f t="shared" si="62"/>
        <v>0.98008688146888179</v>
      </c>
      <c r="M484" s="540">
        <f t="shared" si="63"/>
        <v>153028.25092727627</v>
      </c>
      <c r="N484" s="534">
        <f t="shared" si="64"/>
        <v>0.98157004050277652</v>
      </c>
    </row>
    <row r="485" spans="7:14" x14ac:dyDescent="0.2">
      <c r="G485" s="538">
        <f t="shared" si="58"/>
        <v>129674.39503102977</v>
      </c>
      <c r="H485" s="539">
        <f t="shared" si="57"/>
        <v>0.98018245657861769</v>
      </c>
      <c r="I485" s="540">
        <f t="shared" si="59"/>
        <v>129280.03922843978</v>
      </c>
      <c r="J485" s="534">
        <f t="shared" si="60"/>
        <v>0.98015597187177661</v>
      </c>
      <c r="K485" s="538">
        <f t="shared" si="61"/>
        <v>128259.38080919179</v>
      </c>
      <c r="L485" s="539">
        <f t="shared" si="62"/>
        <v>0.98008688146888179</v>
      </c>
      <c r="M485" s="540">
        <f t="shared" si="63"/>
        <v>153028.25092727627</v>
      </c>
      <c r="N485" s="534">
        <f t="shared" si="64"/>
        <v>0.98157004050277652</v>
      </c>
    </row>
    <row r="486" spans="7:14" x14ac:dyDescent="0.2">
      <c r="G486" s="538">
        <f t="shared" si="58"/>
        <v>129674.39503102977</v>
      </c>
      <c r="H486" s="539">
        <f t="shared" si="57"/>
        <v>0.98018245657861769</v>
      </c>
      <c r="I486" s="540">
        <f t="shared" si="59"/>
        <v>129280.03922843978</v>
      </c>
      <c r="J486" s="534">
        <f t="shared" si="60"/>
        <v>0.98015597187177661</v>
      </c>
      <c r="K486" s="538">
        <f t="shared" si="61"/>
        <v>128259.38080919179</v>
      </c>
      <c r="L486" s="539">
        <f t="shared" si="62"/>
        <v>0.98008688146888179</v>
      </c>
      <c r="M486" s="540">
        <f t="shared" si="63"/>
        <v>153028.25092727627</v>
      </c>
      <c r="N486" s="534">
        <f t="shared" si="64"/>
        <v>0.98157004050277652</v>
      </c>
    </row>
    <row r="487" spans="7:14" x14ac:dyDescent="0.2">
      <c r="G487" s="538">
        <f t="shared" si="58"/>
        <v>129674.39503102977</v>
      </c>
      <c r="H487" s="539">
        <f t="shared" si="57"/>
        <v>0.98018245657861769</v>
      </c>
      <c r="I487" s="540">
        <f t="shared" si="59"/>
        <v>129280.03922843978</v>
      </c>
      <c r="J487" s="534">
        <f t="shared" si="60"/>
        <v>0.98015597187177661</v>
      </c>
      <c r="K487" s="538">
        <f t="shared" si="61"/>
        <v>128259.38080919179</v>
      </c>
      <c r="L487" s="539">
        <f t="shared" si="62"/>
        <v>0.98008688146888179</v>
      </c>
      <c r="M487" s="540">
        <f t="shared" si="63"/>
        <v>153028.25092727627</v>
      </c>
      <c r="N487" s="534">
        <f t="shared" si="64"/>
        <v>0.98157004050277652</v>
      </c>
    </row>
    <row r="488" spans="7:14" x14ac:dyDescent="0.2">
      <c r="G488" s="538">
        <f t="shared" si="58"/>
        <v>129674.39503102977</v>
      </c>
      <c r="H488" s="539">
        <f t="shared" si="57"/>
        <v>0.98018245657861769</v>
      </c>
      <c r="I488" s="540">
        <f t="shared" si="59"/>
        <v>129280.03922843978</v>
      </c>
      <c r="J488" s="534">
        <f t="shared" si="60"/>
        <v>0.98015597187177661</v>
      </c>
      <c r="K488" s="538">
        <f t="shared" si="61"/>
        <v>128259.38080919179</v>
      </c>
      <c r="L488" s="539">
        <f t="shared" si="62"/>
        <v>0.98008688146888179</v>
      </c>
      <c r="M488" s="540">
        <f t="shared" si="63"/>
        <v>153028.25092727627</v>
      </c>
      <c r="N488" s="534">
        <f t="shared" si="64"/>
        <v>0.98157004050277652</v>
      </c>
    </row>
    <row r="489" spans="7:14" x14ac:dyDescent="0.2">
      <c r="G489" s="538">
        <f t="shared" si="58"/>
        <v>129674.39503102977</v>
      </c>
      <c r="H489" s="539">
        <f t="shared" si="57"/>
        <v>0.98018245657861769</v>
      </c>
      <c r="I489" s="540">
        <f t="shared" si="59"/>
        <v>129280.03922843978</v>
      </c>
      <c r="J489" s="534">
        <f t="shared" si="60"/>
        <v>0.98015597187177661</v>
      </c>
      <c r="K489" s="538">
        <f t="shared" si="61"/>
        <v>128259.38080919179</v>
      </c>
      <c r="L489" s="539">
        <f t="shared" si="62"/>
        <v>0.98008688146888179</v>
      </c>
      <c r="M489" s="540">
        <f t="shared" si="63"/>
        <v>153028.25092727627</v>
      </c>
      <c r="N489" s="534">
        <f t="shared" si="64"/>
        <v>0.98157004050277652</v>
      </c>
    </row>
    <row r="490" spans="7:14" x14ac:dyDescent="0.2">
      <c r="G490" s="538">
        <f t="shared" si="58"/>
        <v>129674.39503102977</v>
      </c>
      <c r="H490" s="539">
        <f t="shared" si="57"/>
        <v>0.98018245657861769</v>
      </c>
      <c r="I490" s="540">
        <f t="shared" si="59"/>
        <v>129280.03922843978</v>
      </c>
      <c r="J490" s="534">
        <f t="shared" si="60"/>
        <v>0.98015597187177661</v>
      </c>
      <c r="K490" s="538">
        <f t="shared" si="61"/>
        <v>128259.38080919179</v>
      </c>
      <c r="L490" s="539">
        <f t="shared" si="62"/>
        <v>0.98008688146888179</v>
      </c>
      <c r="M490" s="540">
        <f t="shared" si="63"/>
        <v>153028.25092727627</v>
      </c>
      <c r="N490" s="534">
        <f t="shared" si="64"/>
        <v>0.98157004050277652</v>
      </c>
    </row>
    <row r="491" spans="7:14" x14ac:dyDescent="0.2">
      <c r="G491" s="538">
        <f t="shared" si="58"/>
        <v>129674.39503102977</v>
      </c>
      <c r="H491" s="539">
        <f t="shared" si="57"/>
        <v>0.98018245657861769</v>
      </c>
      <c r="I491" s="540">
        <f t="shared" si="59"/>
        <v>129280.03922843978</v>
      </c>
      <c r="J491" s="534">
        <f t="shared" si="60"/>
        <v>0.98015597187177661</v>
      </c>
      <c r="K491" s="538">
        <f t="shared" si="61"/>
        <v>128259.38080919179</v>
      </c>
      <c r="L491" s="539">
        <f t="shared" si="62"/>
        <v>0.98008688146888179</v>
      </c>
      <c r="M491" s="540">
        <f t="shared" si="63"/>
        <v>153028.25092727627</v>
      </c>
      <c r="N491" s="534">
        <f t="shared" si="64"/>
        <v>0.98157004050277652</v>
      </c>
    </row>
    <row r="492" spans="7:14" x14ac:dyDescent="0.2">
      <c r="G492" s="538">
        <f t="shared" si="58"/>
        <v>129674.39503102977</v>
      </c>
      <c r="H492" s="539">
        <f t="shared" si="57"/>
        <v>0.98018245657861769</v>
      </c>
      <c r="I492" s="540">
        <f t="shared" si="59"/>
        <v>129280.03922843978</v>
      </c>
      <c r="J492" s="534">
        <f t="shared" si="60"/>
        <v>0.98015597187177661</v>
      </c>
      <c r="K492" s="538">
        <f t="shared" si="61"/>
        <v>128259.38080919179</v>
      </c>
      <c r="L492" s="539">
        <f t="shared" si="62"/>
        <v>0.98008688146888179</v>
      </c>
      <c r="M492" s="540">
        <f t="shared" si="63"/>
        <v>153028.25092727627</v>
      </c>
      <c r="N492" s="534">
        <f t="shared" si="64"/>
        <v>0.98157004050277652</v>
      </c>
    </row>
    <row r="493" spans="7:14" x14ac:dyDescent="0.2">
      <c r="G493" s="538">
        <f t="shared" si="58"/>
        <v>129674.39503102977</v>
      </c>
      <c r="H493" s="539">
        <f t="shared" si="57"/>
        <v>0.98018245657861769</v>
      </c>
      <c r="I493" s="540">
        <f t="shared" si="59"/>
        <v>129280.03922843978</v>
      </c>
      <c r="J493" s="534">
        <f t="shared" si="60"/>
        <v>0.98015597187177661</v>
      </c>
      <c r="K493" s="538">
        <f t="shared" si="61"/>
        <v>128259.38080919179</v>
      </c>
      <c r="L493" s="539">
        <f t="shared" si="62"/>
        <v>0.98008688146888179</v>
      </c>
      <c r="M493" s="540">
        <f t="shared" si="63"/>
        <v>153028.25092727627</v>
      </c>
      <c r="N493" s="534">
        <f t="shared" si="64"/>
        <v>0.98157004050277652</v>
      </c>
    </row>
    <row r="494" spans="7:14" x14ac:dyDescent="0.2">
      <c r="G494" s="538">
        <f t="shared" si="58"/>
        <v>129674.39503102977</v>
      </c>
      <c r="H494" s="539">
        <f t="shared" si="57"/>
        <v>0.98018245657861769</v>
      </c>
      <c r="I494" s="540">
        <f t="shared" si="59"/>
        <v>129280.03922843978</v>
      </c>
      <c r="J494" s="534">
        <f t="shared" si="60"/>
        <v>0.98015597187177661</v>
      </c>
      <c r="K494" s="538">
        <f t="shared" si="61"/>
        <v>128259.38080919179</v>
      </c>
      <c r="L494" s="539">
        <f t="shared" si="62"/>
        <v>0.98008688146888179</v>
      </c>
      <c r="M494" s="540">
        <f t="shared" si="63"/>
        <v>153028.25092727627</v>
      </c>
      <c r="N494" s="534">
        <f t="shared" si="64"/>
        <v>0.98157004050277652</v>
      </c>
    </row>
    <row r="495" spans="7:14" x14ac:dyDescent="0.2">
      <c r="G495" s="538">
        <f t="shared" si="58"/>
        <v>129674.39503102977</v>
      </c>
      <c r="H495" s="539">
        <f t="shared" si="57"/>
        <v>0.98018245657861769</v>
      </c>
      <c r="I495" s="540">
        <f t="shared" si="59"/>
        <v>129280.03922843978</v>
      </c>
      <c r="J495" s="534">
        <f t="shared" si="60"/>
        <v>0.98015597187177661</v>
      </c>
      <c r="K495" s="538">
        <f t="shared" si="61"/>
        <v>128259.38080919179</v>
      </c>
      <c r="L495" s="539">
        <f t="shared" si="62"/>
        <v>0.98008688146888179</v>
      </c>
      <c r="M495" s="540">
        <f t="shared" si="63"/>
        <v>153028.25092727627</v>
      </c>
      <c r="N495" s="534">
        <f t="shared" si="64"/>
        <v>0.98157004050277652</v>
      </c>
    </row>
    <row r="496" spans="7:14" x14ac:dyDescent="0.2">
      <c r="G496" s="538">
        <f t="shared" si="58"/>
        <v>129674.39503102977</v>
      </c>
      <c r="H496" s="539">
        <f t="shared" si="57"/>
        <v>0.98018245657861769</v>
      </c>
      <c r="I496" s="540">
        <f t="shared" si="59"/>
        <v>129280.03922843978</v>
      </c>
      <c r="J496" s="534">
        <f t="shared" si="60"/>
        <v>0.98015597187177661</v>
      </c>
      <c r="K496" s="538">
        <f t="shared" si="61"/>
        <v>128259.38080919179</v>
      </c>
      <c r="L496" s="539">
        <f t="shared" si="62"/>
        <v>0.98008688146888179</v>
      </c>
      <c r="M496" s="540">
        <f t="shared" si="63"/>
        <v>153028.25092727627</v>
      </c>
      <c r="N496" s="534">
        <f t="shared" si="64"/>
        <v>0.98157004050277652</v>
      </c>
    </row>
    <row r="497" spans="7:14" x14ac:dyDescent="0.2">
      <c r="G497" s="538">
        <f t="shared" si="58"/>
        <v>129674.39503102977</v>
      </c>
      <c r="H497" s="539">
        <f t="shared" si="57"/>
        <v>0.98018245657861769</v>
      </c>
      <c r="I497" s="540">
        <f t="shared" si="59"/>
        <v>129280.03922843978</v>
      </c>
      <c r="J497" s="534">
        <f t="shared" si="60"/>
        <v>0.98015597187177661</v>
      </c>
      <c r="K497" s="538">
        <f t="shared" si="61"/>
        <v>128259.38080919179</v>
      </c>
      <c r="L497" s="539">
        <f t="shared" si="62"/>
        <v>0.98008688146888179</v>
      </c>
      <c r="M497" s="540">
        <f t="shared" si="63"/>
        <v>153028.25092727627</v>
      </c>
      <c r="N497" s="534">
        <f t="shared" si="64"/>
        <v>0.98157004050277652</v>
      </c>
    </row>
    <row r="498" spans="7:14" x14ac:dyDescent="0.2">
      <c r="G498" s="538">
        <f t="shared" si="58"/>
        <v>129674.39503102977</v>
      </c>
      <c r="H498" s="539">
        <f t="shared" si="57"/>
        <v>0.98018245657861769</v>
      </c>
      <c r="I498" s="540">
        <f t="shared" si="59"/>
        <v>129280.03922843978</v>
      </c>
      <c r="J498" s="534">
        <f t="shared" si="60"/>
        <v>0.98015597187177661</v>
      </c>
      <c r="K498" s="538">
        <f t="shared" si="61"/>
        <v>128259.38080919179</v>
      </c>
      <c r="L498" s="539">
        <f t="shared" si="62"/>
        <v>0.98008688146888179</v>
      </c>
      <c r="M498" s="540">
        <f t="shared" si="63"/>
        <v>153028.25092727627</v>
      </c>
      <c r="N498" s="534">
        <f t="shared" si="64"/>
        <v>0.98157004050277652</v>
      </c>
    </row>
    <row r="499" spans="7:14" x14ac:dyDescent="0.2">
      <c r="G499" s="538">
        <f t="shared" si="58"/>
        <v>129674.39503102977</v>
      </c>
      <c r="H499" s="539">
        <f t="shared" si="57"/>
        <v>0.98018245657861769</v>
      </c>
      <c r="I499" s="540">
        <f t="shared" si="59"/>
        <v>129280.03922843978</v>
      </c>
      <c r="J499" s="534">
        <f t="shared" si="60"/>
        <v>0.98015597187177661</v>
      </c>
      <c r="K499" s="538">
        <f t="shared" si="61"/>
        <v>128259.38080919179</v>
      </c>
      <c r="L499" s="539">
        <f t="shared" si="62"/>
        <v>0.98008688146888179</v>
      </c>
      <c r="M499" s="540">
        <f t="shared" si="63"/>
        <v>153028.25092727627</v>
      </c>
      <c r="N499" s="534">
        <f t="shared" si="64"/>
        <v>0.98157004050277652</v>
      </c>
    </row>
    <row r="500" spans="7:14" x14ac:dyDescent="0.2">
      <c r="G500" s="538">
        <f t="shared" si="58"/>
        <v>129674.39503102977</v>
      </c>
      <c r="H500" s="539">
        <f t="shared" si="57"/>
        <v>0.98018245657861769</v>
      </c>
      <c r="I500" s="540">
        <f t="shared" si="59"/>
        <v>129280.03922843978</v>
      </c>
      <c r="J500" s="534">
        <f t="shared" si="60"/>
        <v>0.98015597187177661</v>
      </c>
      <c r="K500" s="538">
        <f t="shared" si="61"/>
        <v>128259.38080919179</v>
      </c>
      <c r="L500" s="539">
        <f t="shared" si="62"/>
        <v>0.98008688146888179</v>
      </c>
      <c r="M500" s="540">
        <f t="shared" si="63"/>
        <v>153028.25092727627</v>
      </c>
      <c r="N500" s="534">
        <f t="shared" si="64"/>
        <v>0.98157004050277652</v>
      </c>
    </row>
    <row r="501" spans="7:14" x14ac:dyDescent="0.2">
      <c r="G501" s="538">
        <f t="shared" si="58"/>
        <v>129674.39503102977</v>
      </c>
      <c r="H501" s="539">
        <f t="shared" si="57"/>
        <v>0.98018245657861769</v>
      </c>
      <c r="I501" s="540">
        <f t="shared" si="59"/>
        <v>129280.03922843978</v>
      </c>
      <c r="J501" s="534">
        <f t="shared" si="60"/>
        <v>0.98015597187177661</v>
      </c>
      <c r="K501" s="538">
        <f t="shared" si="61"/>
        <v>128259.38080919179</v>
      </c>
      <c r="L501" s="539">
        <f t="shared" si="62"/>
        <v>0.98008688146888179</v>
      </c>
      <c r="M501" s="540">
        <f t="shared" si="63"/>
        <v>153028.25092727627</v>
      </c>
      <c r="N501" s="534">
        <f t="shared" si="64"/>
        <v>0.98157004050277652</v>
      </c>
    </row>
    <row r="502" spans="7:14" x14ac:dyDescent="0.2">
      <c r="G502" s="538">
        <f t="shared" si="58"/>
        <v>129674.39503102977</v>
      </c>
      <c r="H502" s="539">
        <f t="shared" si="57"/>
        <v>0.98018245657861769</v>
      </c>
      <c r="I502" s="540">
        <f t="shared" si="59"/>
        <v>129280.03922843978</v>
      </c>
      <c r="J502" s="534">
        <f t="shared" si="60"/>
        <v>0.98015597187177661</v>
      </c>
      <c r="K502" s="538">
        <f t="shared" si="61"/>
        <v>128259.38080919179</v>
      </c>
      <c r="L502" s="539">
        <f t="shared" si="62"/>
        <v>0.98008688146888179</v>
      </c>
      <c r="M502" s="540">
        <f t="shared" si="63"/>
        <v>153028.25092727627</v>
      </c>
      <c r="N502" s="534">
        <f t="shared" si="64"/>
        <v>0.98157004050277652</v>
      </c>
    </row>
    <row r="503" spans="7:14" x14ac:dyDescent="0.2">
      <c r="G503" s="538">
        <f t="shared" si="58"/>
        <v>129674.39503102977</v>
      </c>
      <c r="H503" s="539">
        <f t="shared" si="57"/>
        <v>0.98018245657861769</v>
      </c>
      <c r="I503" s="540">
        <f t="shared" si="59"/>
        <v>129280.03922843978</v>
      </c>
      <c r="J503" s="534">
        <f t="shared" si="60"/>
        <v>0.98015597187177661</v>
      </c>
      <c r="K503" s="538">
        <f t="shared" si="61"/>
        <v>128259.38080919179</v>
      </c>
      <c r="L503" s="539">
        <f t="shared" si="62"/>
        <v>0.98008688146888179</v>
      </c>
      <c r="M503" s="540">
        <f t="shared" si="63"/>
        <v>153028.25092727627</v>
      </c>
      <c r="N503" s="534">
        <f t="shared" si="64"/>
        <v>0.98157004050277652</v>
      </c>
    </row>
    <row r="504" spans="7:14" x14ac:dyDescent="0.2">
      <c r="G504" s="538">
        <f t="shared" si="58"/>
        <v>129674.39503102977</v>
      </c>
      <c r="H504" s="539">
        <f t="shared" si="57"/>
        <v>0.98018245657861769</v>
      </c>
      <c r="I504" s="540">
        <f t="shared" si="59"/>
        <v>129280.03922843978</v>
      </c>
      <c r="J504" s="534">
        <f t="shared" si="60"/>
        <v>0.98015597187177661</v>
      </c>
      <c r="K504" s="538">
        <f t="shared" si="61"/>
        <v>128259.38080919179</v>
      </c>
      <c r="L504" s="539">
        <f t="shared" si="62"/>
        <v>0.98008688146888179</v>
      </c>
      <c r="M504" s="540">
        <f t="shared" si="63"/>
        <v>153028.25092727627</v>
      </c>
      <c r="N504" s="534">
        <f t="shared" si="64"/>
        <v>0.98157004050277652</v>
      </c>
    </row>
    <row r="505" spans="7:14" x14ac:dyDescent="0.2">
      <c r="G505" s="538">
        <f t="shared" si="58"/>
        <v>129674.39503102977</v>
      </c>
      <c r="H505" s="539">
        <f t="shared" si="57"/>
        <v>0.98018245657861769</v>
      </c>
      <c r="I505" s="540">
        <f t="shared" si="59"/>
        <v>129280.03922843978</v>
      </c>
      <c r="J505" s="534">
        <f t="shared" si="60"/>
        <v>0.98015597187177661</v>
      </c>
      <c r="K505" s="538">
        <f t="shared" si="61"/>
        <v>128259.38080919179</v>
      </c>
      <c r="L505" s="539">
        <f t="shared" si="62"/>
        <v>0.98008688146888179</v>
      </c>
      <c r="M505" s="540">
        <f t="shared" si="63"/>
        <v>153028.25092727627</v>
      </c>
      <c r="N505" s="534">
        <f t="shared" si="64"/>
        <v>0.98157004050277652</v>
      </c>
    </row>
    <row r="506" spans="7:14" x14ac:dyDescent="0.2">
      <c r="G506" s="538">
        <f t="shared" si="58"/>
        <v>129674.39503102977</v>
      </c>
      <c r="H506" s="539">
        <f t="shared" si="57"/>
        <v>0.98018245657861769</v>
      </c>
      <c r="I506" s="540">
        <f t="shared" si="59"/>
        <v>129280.03922843978</v>
      </c>
      <c r="J506" s="534">
        <f t="shared" si="60"/>
        <v>0.98015597187177661</v>
      </c>
      <c r="K506" s="538">
        <f t="shared" si="61"/>
        <v>128259.38080919179</v>
      </c>
      <c r="L506" s="539">
        <f t="shared" si="62"/>
        <v>0.98008688146888179</v>
      </c>
      <c r="M506" s="540">
        <f t="shared" si="63"/>
        <v>153028.25092727627</v>
      </c>
      <c r="N506" s="534">
        <f t="shared" si="64"/>
        <v>0.98157004050277652</v>
      </c>
    </row>
    <row r="507" spans="7:14" x14ac:dyDescent="0.2">
      <c r="G507" s="538">
        <f t="shared" si="58"/>
        <v>129674.39503102977</v>
      </c>
      <c r="H507" s="539">
        <f t="shared" si="57"/>
        <v>0.98018245657861769</v>
      </c>
      <c r="I507" s="540">
        <f t="shared" si="59"/>
        <v>129280.03922843978</v>
      </c>
      <c r="J507" s="534">
        <f t="shared" si="60"/>
        <v>0.98015597187177661</v>
      </c>
      <c r="K507" s="538">
        <f t="shared" si="61"/>
        <v>128259.38080919179</v>
      </c>
      <c r="L507" s="539">
        <f t="shared" si="62"/>
        <v>0.98008688146888179</v>
      </c>
      <c r="M507" s="540">
        <f t="shared" si="63"/>
        <v>153028.25092727627</v>
      </c>
      <c r="N507" s="534">
        <f t="shared" si="64"/>
        <v>0.98157004050277652</v>
      </c>
    </row>
    <row r="508" spans="7:14" x14ac:dyDescent="0.2">
      <c r="G508" s="538">
        <f t="shared" si="58"/>
        <v>129674.39503102977</v>
      </c>
      <c r="H508" s="539">
        <f t="shared" si="57"/>
        <v>0.98018245657861769</v>
      </c>
      <c r="I508" s="540">
        <f t="shared" si="59"/>
        <v>129280.03922843978</v>
      </c>
      <c r="J508" s="534">
        <f t="shared" si="60"/>
        <v>0.98015597187177661</v>
      </c>
      <c r="K508" s="538">
        <f t="shared" si="61"/>
        <v>128259.38080919179</v>
      </c>
      <c r="L508" s="539">
        <f t="shared" si="62"/>
        <v>0.98008688146888179</v>
      </c>
      <c r="M508" s="540">
        <f t="shared" si="63"/>
        <v>153028.25092727627</v>
      </c>
      <c r="N508" s="534">
        <f t="shared" si="64"/>
        <v>0.98157004050277652</v>
      </c>
    </row>
    <row r="509" spans="7:14" x14ac:dyDescent="0.2">
      <c r="G509" s="538">
        <f t="shared" si="58"/>
        <v>129674.39503102977</v>
      </c>
      <c r="H509" s="539">
        <f t="shared" si="57"/>
        <v>0.98018245657861769</v>
      </c>
      <c r="I509" s="540">
        <f t="shared" si="59"/>
        <v>129280.03922843978</v>
      </c>
      <c r="J509" s="534">
        <f t="shared" si="60"/>
        <v>0.98015597187177661</v>
      </c>
      <c r="K509" s="538">
        <f t="shared" si="61"/>
        <v>128259.38080919179</v>
      </c>
      <c r="L509" s="539">
        <f t="shared" si="62"/>
        <v>0.98008688146888179</v>
      </c>
      <c r="M509" s="540">
        <f t="shared" si="63"/>
        <v>153028.25092727627</v>
      </c>
      <c r="N509" s="534">
        <f t="shared" si="64"/>
        <v>0.98157004050277652</v>
      </c>
    </row>
    <row r="510" spans="7:14" x14ac:dyDescent="0.2">
      <c r="G510" s="538">
        <f t="shared" si="58"/>
        <v>129674.39503102977</v>
      </c>
      <c r="H510" s="539">
        <f t="shared" si="57"/>
        <v>0.98018245657861769</v>
      </c>
      <c r="I510" s="540">
        <f t="shared" si="59"/>
        <v>129280.03922843978</v>
      </c>
      <c r="J510" s="534">
        <f t="shared" si="60"/>
        <v>0.98015597187177661</v>
      </c>
      <c r="K510" s="538">
        <f t="shared" si="61"/>
        <v>128259.38080919179</v>
      </c>
      <c r="L510" s="539">
        <f t="shared" si="62"/>
        <v>0.98008688146888179</v>
      </c>
      <c r="M510" s="540">
        <f t="shared" si="63"/>
        <v>153028.25092727627</v>
      </c>
      <c r="N510" s="534">
        <f t="shared" si="64"/>
        <v>0.98157004050277652</v>
      </c>
    </row>
    <row r="511" spans="7:14" x14ac:dyDescent="0.2">
      <c r="G511" s="538">
        <f t="shared" si="58"/>
        <v>129674.39503102977</v>
      </c>
      <c r="H511" s="539">
        <f t="shared" si="57"/>
        <v>0.98018245657861769</v>
      </c>
      <c r="I511" s="540">
        <f t="shared" si="59"/>
        <v>129280.03922843978</v>
      </c>
      <c r="J511" s="534">
        <f t="shared" si="60"/>
        <v>0.98015597187177661</v>
      </c>
      <c r="K511" s="538">
        <f t="shared" si="61"/>
        <v>128259.38080919179</v>
      </c>
      <c r="L511" s="539">
        <f t="shared" si="62"/>
        <v>0.98008688146888179</v>
      </c>
      <c r="M511" s="540">
        <f t="shared" si="63"/>
        <v>153028.25092727627</v>
      </c>
      <c r="N511" s="534">
        <f t="shared" si="64"/>
        <v>0.98157004050277652</v>
      </c>
    </row>
    <row r="512" spans="7:14" x14ac:dyDescent="0.2">
      <c r="G512" s="538">
        <f t="shared" si="58"/>
        <v>129674.39503102977</v>
      </c>
      <c r="H512" s="539">
        <f t="shared" si="57"/>
        <v>0.98018245657861769</v>
      </c>
      <c r="I512" s="540">
        <f t="shared" si="59"/>
        <v>129280.03922843978</v>
      </c>
      <c r="J512" s="534">
        <f t="shared" si="60"/>
        <v>0.98015597187177661</v>
      </c>
      <c r="K512" s="538">
        <f t="shared" si="61"/>
        <v>128259.38080919179</v>
      </c>
      <c r="L512" s="539">
        <f t="shared" si="62"/>
        <v>0.98008688146888179</v>
      </c>
      <c r="M512" s="540">
        <f t="shared" si="63"/>
        <v>153028.25092727627</v>
      </c>
      <c r="N512" s="534">
        <f t="shared" si="64"/>
        <v>0.98157004050277652</v>
      </c>
    </row>
    <row r="513" spans="7:14" x14ac:dyDescent="0.2">
      <c r="G513" s="538">
        <f t="shared" si="58"/>
        <v>129674.39503102977</v>
      </c>
      <c r="H513" s="539">
        <f t="shared" si="57"/>
        <v>0.98018245657861769</v>
      </c>
      <c r="I513" s="540">
        <f t="shared" si="59"/>
        <v>129280.03922843978</v>
      </c>
      <c r="J513" s="534">
        <f t="shared" si="60"/>
        <v>0.98015597187177661</v>
      </c>
      <c r="K513" s="538">
        <f t="shared" si="61"/>
        <v>128259.38080919179</v>
      </c>
      <c r="L513" s="539">
        <f t="shared" si="62"/>
        <v>0.98008688146888179</v>
      </c>
      <c r="M513" s="540">
        <f t="shared" si="63"/>
        <v>153028.25092727627</v>
      </c>
      <c r="N513" s="534">
        <f t="shared" si="64"/>
        <v>0.98157004050277652</v>
      </c>
    </row>
    <row r="514" spans="7:14" x14ac:dyDescent="0.2">
      <c r="G514" s="538">
        <f t="shared" si="58"/>
        <v>129674.39503102977</v>
      </c>
      <c r="H514" s="539">
        <f t="shared" si="57"/>
        <v>0.98018245657861769</v>
      </c>
      <c r="I514" s="540">
        <f t="shared" si="59"/>
        <v>129280.03922843978</v>
      </c>
      <c r="J514" s="534">
        <f t="shared" si="60"/>
        <v>0.98015597187177661</v>
      </c>
      <c r="K514" s="538">
        <f t="shared" si="61"/>
        <v>128259.38080919179</v>
      </c>
      <c r="L514" s="539">
        <f t="shared" si="62"/>
        <v>0.98008688146888179</v>
      </c>
      <c r="M514" s="540">
        <f t="shared" si="63"/>
        <v>153028.25092727627</v>
      </c>
      <c r="N514" s="534">
        <f t="shared" si="64"/>
        <v>0.98157004050277652</v>
      </c>
    </row>
    <row r="515" spans="7:14" x14ac:dyDescent="0.2">
      <c r="G515" s="538">
        <f t="shared" si="58"/>
        <v>129674.39503102977</v>
      </c>
      <c r="H515" s="539">
        <f t="shared" ref="H515:H578" si="65">0.9986-(7.006/SQRT(G515))+134.6/G515</f>
        <v>0.98018245657861769</v>
      </c>
      <c r="I515" s="540">
        <f t="shared" si="59"/>
        <v>129280.03922843978</v>
      </c>
      <c r="J515" s="534">
        <f t="shared" si="60"/>
        <v>0.98015597187177661</v>
      </c>
      <c r="K515" s="538">
        <f t="shared" si="61"/>
        <v>128259.38080919179</v>
      </c>
      <c r="L515" s="539">
        <f t="shared" si="62"/>
        <v>0.98008688146888179</v>
      </c>
      <c r="M515" s="540">
        <f t="shared" si="63"/>
        <v>153028.25092727627</v>
      </c>
      <c r="N515" s="534">
        <f t="shared" si="64"/>
        <v>0.98157004050277652</v>
      </c>
    </row>
    <row r="516" spans="7:14" x14ac:dyDescent="0.2">
      <c r="G516" s="538">
        <f t="shared" ref="G516:G579" si="66">($C$6/(1000*$C$12*$C$16))*(H515*SQRT(2*$C$5*100*$C$16))</f>
        <v>129674.39503102977</v>
      </c>
      <c r="H516" s="539">
        <f t="shared" si="65"/>
        <v>0.98018245657861769</v>
      </c>
      <c r="I516" s="540">
        <f t="shared" ref="I516:I579" si="67">($C$7/(1000*$C$12*$C$16))*(J515*SQRT(2*$C$5*100*$C$16))</f>
        <v>129280.03922843978</v>
      </c>
      <c r="J516" s="534">
        <f t="shared" ref="J516:J579" si="68">0.9986-(7.006/SQRT(I516))+134.6/I516</f>
        <v>0.98015597187177661</v>
      </c>
      <c r="K516" s="538">
        <f t="shared" ref="K516:K579" si="69">($C$8/(1000*$C$12*$C$16))*(L515*SQRT(2*$C$5*100*$C$16))</f>
        <v>128259.38080919179</v>
      </c>
      <c r="L516" s="539">
        <f t="shared" ref="L516:L579" si="70">0.9986-(7.006/SQRT(K516))+134.6/K516</f>
        <v>0.98008688146888179</v>
      </c>
      <c r="M516" s="540">
        <f t="shared" ref="M516:M579" si="71">($C$9/(1000*$C$12*$C$16))*(N515*SQRT(2*$C$5*100*$C$16))</f>
        <v>153028.25092727627</v>
      </c>
      <c r="N516" s="534">
        <f t="shared" ref="N516:N579" si="72">0.9986-(7.006/SQRT(M516))+134.6/M516</f>
        <v>0.98157004050277652</v>
      </c>
    </row>
    <row r="517" spans="7:14" x14ac:dyDescent="0.2">
      <c r="G517" s="538">
        <f t="shared" si="66"/>
        <v>129674.39503102977</v>
      </c>
      <c r="H517" s="539">
        <f t="shared" si="65"/>
        <v>0.98018245657861769</v>
      </c>
      <c r="I517" s="540">
        <f t="shared" si="67"/>
        <v>129280.03922843978</v>
      </c>
      <c r="J517" s="534">
        <f t="shared" si="68"/>
        <v>0.98015597187177661</v>
      </c>
      <c r="K517" s="538">
        <f t="shared" si="69"/>
        <v>128259.38080919179</v>
      </c>
      <c r="L517" s="539">
        <f t="shared" si="70"/>
        <v>0.98008688146888179</v>
      </c>
      <c r="M517" s="540">
        <f t="shared" si="71"/>
        <v>153028.25092727627</v>
      </c>
      <c r="N517" s="534">
        <f t="shared" si="72"/>
        <v>0.98157004050277652</v>
      </c>
    </row>
    <row r="518" spans="7:14" x14ac:dyDescent="0.2">
      <c r="G518" s="538">
        <f t="shared" si="66"/>
        <v>129674.39503102977</v>
      </c>
      <c r="H518" s="539">
        <f t="shared" si="65"/>
        <v>0.98018245657861769</v>
      </c>
      <c r="I518" s="540">
        <f t="shared" si="67"/>
        <v>129280.03922843978</v>
      </c>
      <c r="J518" s="534">
        <f t="shared" si="68"/>
        <v>0.98015597187177661</v>
      </c>
      <c r="K518" s="538">
        <f t="shared" si="69"/>
        <v>128259.38080919179</v>
      </c>
      <c r="L518" s="539">
        <f t="shared" si="70"/>
        <v>0.98008688146888179</v>
      </c>
      <c r="M518" s="540">
        <f t="shared" si="71"/>
        <v>153028.25092727627</v>
      </c>
      <c r="N518" s="534">
        <f t="shared" si="72"/>
        <v>0.98157004050277652</v>
      </c>
    </row>
    <row r="519" spans="7:14" x14ac:dyDescent="0.2">
      <c r="G519" s="538">
        <f t="shared" si="66"/>
        <v>129674.39503102977</v>
      </c>
      <c r="H519" s="539">
        <f t="shared" si="65"/>
        <v>0.98018245657861769</v>
      </c>
      <c r="I519" s="540">
        <f t="shared" si="67"/>
        <v>129280.03922843978</v>
      </c>
      <c r="J519" s="534">
        <f t="shared" si="68"/>
        <v>0.98015597187177661</v>
      </c>
      <c r="K519" s="538">
        <f t="shared" si="69"/>
        <v>128259.38080919179</v>
      </c>
      <c r="L519" s="539">
        <f t="shared" si="70"/>
        <v>0.98008688146888179</v>
      </c>
      <c r="M519" s="540">
        <f t="shared" si="71"/>
        <v>153028.25092727627</v>
      </c>
      <c r="N519" s="534">
        <f t="shared" si="72"/>
        <v>0.98157004050277652</v>
      </c>
    </row>
    <row r="520" spans="7:14" x14ac:dyDescent="0.2">
      <c r="G520" s="538">
        <f t="shared" si="66"/>
        <v>129674.39503102977</v>
      </c>
      <c r="H520" s="539">
        <f t="shared" si="65"/>
        <v>0.98018245657861769</v>
      </c>
      <c r="I520" s="540">
        <f t="shared" si="67"/>
        <v>129280.03922843978</v>
      </c>
      <c r="J520" s="534">
        <f t="shared" si="68"/>
        <v>0.98015597187177661</v>
      </c>
      <c r="K520" s="538">
        <f t="shared" si="69"/>
        <v>128259.38080919179</v>
      </c>
      <c r="L520" s="539">
        <f t="shared" si="70"/>
        <v>0.98008688146888179</v>
      </c>
      <c r="M520" s="540">
        <f t="shared" si="71"/>
        <v>153028.25092727627</v>
      </c>
      <c r="N520" s="534">
        <f t="shared" si="72"/>
        <v>0.98157004050277652</v>
      </c>
    </row>
    <row r="521" spans="7:14" x14ac:dyDescent="0.2">
      <c r="G521" s="538">
        <f t="shared" si="66"/>
        <v>129674.39503102977</v>
      </c>
      <c r="H521" s="539">
        <f t="shared" si="65"/>
        <v>0.98018245657861769</v>
      </c>
      <c r="I521" s="540">
        <f t="shared" si="67"/>
        <v>129280.03922843978</v>
      </c>
      <c r="J521" s="534">
        <f t="shared" si="68"/>
        <v>0.98015597187177661</v>
      </c>
      <c r="K521" s="538">
        <f t="shared" si="69"/>
        <v>128259.38080919179</v>
      </c>
      <c r="L521" s="539">
        <f t="shared" si="70"/>
        <v>0.98008688146888179</v>
      </c>
      <c r="M521" s="540">
        <f t="shared" si="71"/>
        <v>153028.25092727627</v>
      </c>
      <c r="N521" s="534">
        <f t="shared" si="72"/>
        <v>0.98157004050277652</v>
      </c>
    </row>
    <row r="522" spans="7:14" x14ac:dyDescent="0.2">
      <c r="G522" s="538">
        <f t="shared" si="66"/>
        <v>129674.39503102977</v>
      </c>
      <c r="H522" s="539">
        <f t="shared" si="65"/>
        <v>0.98018245657861769</v>
      </c>
      <c r="I522" s="540">
        <f t="shared" si="67"/>
        <v>129280.03922843978</v>
      </c>
      <c r="J522" s="534">
        <f t="shared" si="68"/>
        <v>0.98015597187177661</v>
      </c>
      <c r="K522" s="538">
        <f t="shared" si="69"/>
        <v>128259.38080919179</v>
      </c>
      <c r="L522" s="539">
        <f t="shared" si="70"/>
        <v>0.98008688146888179</v>
      </c>
      <c r="M522" s="540">
        <f t="shared" si="71"/>
        <v>153028.25092727627</v>
      </c>
      <c r="N522" s="534">
        <f t="shared" si="72"/>
        <v>0.98157004050277652</v>
      </c>
    </row>
    <row r="523" spans="7:14" x14ac:dyDescent="0.2">
      <c r="G523" s="538">
        <f t="shared" si="66"/>
        <v>129674.39503102977</v>
      </c>
      <c r="H523" s="539">
        <f t="shared" si="65"/>
        <v>0.98018245657861769</v>
      </c>
      <c r="I523" s="540">
        <f t="shared" si="67"/>
        <v>129280.03922843978</v>
      </c>
      <c r="J523" s="534">
        <f t="shared" si="68"/>
        <v>0.98015597187177661</v>
      </c>
      <c r="K523" s="538">
        <f t="shared" si="69"/>
        <v>128259.38080919179</v>
      </c>
      <c r="L523" s="539">
        <f t="shared" si="70"/>
        <v>0.98008688146888179</v>
      </c>
      <c r="M523" s="540">
        <f t="shared" si="71"/>
        <v>153028.25092727627</v>
      </c>
      <c r="N523" s="534">
        <f t="shared" si="72"/>
        <v>0.98157004050277652</v>
      </c>
    </row>
    <row r="524" spans="7:14" x14ac:dyDescent="0.2">
      <c r="G524" s="538">
        <f t="shared" si="66"/>
        <v>129674.39503102977</v>
      </c>
      <c r="H524" s="539">
        <f t="shared" si="65"/>
        <v>0.98018245657861769</v>
      </c>
      <c r="I524" s="540">
        <f t="shared" si="67"/>
        <v>129280.03922843978</v>
      </c>
      <c r="J524" s="534">
        <f t="shared" si="68"/>
        <v>0.98015597187177661</v>
      </c>
      <c r="K524" s="538">
        <f t="shared" si="69"/>
        <v>128259.38080919179</v>
      </c>
      <c r="L524" s="539">
        <f t="shared" si="70"/>
        <v>0.98008688146888179</v>
      </c>
      <c r="M524" s="540">
        <f t="shared" si="71"/>
        <v>153028.25092727627</v>
      </c>
      <c r="N524" s="534">
        <f t="shared" si="72"/>
        <v>0.98157004050277652</v>
      </c>
    </row>
    <row r="525" spans="7:14" x14ac:dyDescent="0.2">
      <c r="G525" s="538">
        <f t="shared" si="66"/>
        <v>129674.39503102977</v>
      </c>
      <c r="H525" s="539">
        <f t="shared" si="65"/>
        <v>0.98018245657861769</v>
      </c>
      <c r="I525" s="540">
        <f t="shared" si="67"/>
        <v>129280.03922843978</v>
      </c>
      <c r="J525" s="534">
        <f t="shared" si="68"/>
        <v>0.98015597187177661</v>
      </c>
      <c r="K525" s="538">
        <f t="shared" si="69"/>
        <v>128259.38080919179</v>
      </c>
      <c r="L525" s="539">
        <f t="shared" si="70"/>
        <v>0.98008688146888179</v>
      </c>
      <c r="M525" s="540">
        <f t="shared" si="71"/>
        <v>153028.25092727627</v>
      </c>
      <c r="N525" s="534">
        <f t="shared" si="72"/>
        <v>0.98157004050277652</v>
      </c>
    </row>
    <row r="526" spans="7:14" x14ac:dyDescent="0.2">
      <c r="G526" s="538">
        <f t="shared" si="66"/>
        <v>129674.39503102977</v>
      </c>
      <c r="H526" s="539">
        <f t="shared" si="65"/>
        <v>0.98018245657861769</v>
      </c>
      <c r="I526" s="540">
        <f t="shared" si="67"/>
        <v>129280.03922843978</v>
      </c>
      <c r="J526" s="534">
        <f t="shared" si="68"/>
        <v>0.98015597187177661</v>
      </c>
      <c r="K526" s="538">
        <f t="shared" si="69"/>
        <v>128259.38080919179</v>
      </c>
      <c r="L526" s="539">
        <f t="shared" si="70"/>
        <v>0.98008688146888179</v>
      </c>
      <c r="M526" s="540">
        <f t="shared" si="71"/>
        <v>153028.25092727627</v>
      </c>
      <c r="N526" s="534">
        <f t="shared" si="72"/>
        <v>0.98157004050277652</v>
      </c>
    </row>
    <row r="527" spans="7:14" x14ac:dyDescent="0.2">
      <c r="G527" s="538">
        <f t="shared" si="66"/>
        <v>129674.39503102977</v>
      </c>
      <c r="H527" s="539">
        <f t="shared" si="65"/>
        <v>0.98018245657861769</v>
      </c>
      <c r="I527" s="540">
        <f t="shared" si="67"/>
        <v>129280.03922843978</v>
      </c>
      <c r="J527" s="534">
        <f t="shared" si="68"/>
        <v>0.98015597187177661</v>
      </c>
      <c r="K527" s="538">
        <f t="shared" si="69"/>
        <v>128259.38080919179</v>
      </c>
      <c r="L527" s="539">
        <f t="shared" si="70"/>
        <v>0.98008688146888179</v>
      </c>
      <c r="M527" s="540">
        <f t="shared" si="71"/>
        <v>153028.25092727627</v>
      </c>
      <c r="N527" s="534">
        <f t="shared" si="72"/>
        <v>0.98157004050277652</v>
      </c>
    </row>
    <row r="528" spans="7:14" x14ac:dyDescent="0.2">
      <c r="G528" s="538">
        <f t="shared" si="66"/>
        <v>129674.39503102977</v>
      </c>
      <c r="H528" s="539">
        <f t="shared" si="65"/>
        <v>0.98018245657861769</v>
      </c>
      <c r="I528" s="540">
        <f t="shared" si="67"/>
        <v>129280.03922843978</v>
      </c>
      <c r="J528" s="534">
        <f t="shared" si="68"/>
        <v>0.98015597187177661</v>
      </c>
      <c r="K528" s="538">
        <f t="shared" si="69"/>
        <v>128259.38080919179</v>
      </c>
      <c r="L528" s="539">
        <f t="shared" si="70"/>
        <v>0.98008688146888179</v>
      </c>
      <c r="M528" s="540">
        <f t="shared" si="71"/>
        <v>153028.25092727627</v>
      </c>
      <c r="N528" s="534">
        <f t="shared" si="72"/>
        <v>0.98157004050277652</v>
      </c>
    </row>
    <row r="529" spans="7:14" x14ac:dyDescent="0.2">
      <c r="G529" s="538">
        <f t="shared" si="66"/>
        <v>129674.39503102977</v>
      </c>
      <c r="H529" s="539">
        <f t="shared" si="65"/>
        <v>0.98018245657861769</v>
      </c>
      <c r="I529" s="540">
        <f t="shared" si="67"/>
        <v>129280.03922843978</v>
      </c>
      <c r="J529" s="534">
        <f t="shared" si="68"/>
        <v>0.98015597187177661</v>
      </c>
      <c r="K529" s="538">
        <f t="shared" si="69"/>
        <v>128259.38080919179</v>
      </c>
      <c r="L529" s="539">
        <f t="shared" si="70"/>
        <v>0.98008688146888179</v>
      </c>
      <c r="M529" s="540">
        <f t="shared" si="71"/>
        <v>153028.25092727627</v>
      </c>
      <c r="N529" s="534">
        <f t="shared" si="72"/>
        <v>0.98157004050277652</v>
      </c>
    </row>
    <row r="530" spans="7:14" x14ac:dyDescent="0.2">
      <c r="G530" s="538">
        <f t="shared" si="66"/>
        <v>129674.39503102977</v>
      </c>
      <c r="H530" s="539">
        <f t="shared" si="65"/>
        <v>0.98018245657861769</v>
      </c>
      <c r="I530" s="540">
        <f t="shared" si="67"/>
        <v>129280.03922843978</v>
      </c>
      <c r="J530" s="534">
        <f t="shared" si="68"/>
        <v>0.98015597187177661</v>
      </c>
      <c r="K530" s="538">
        <f t="shared" si="69"/>
        <v>128259.38080919179</v>
      </c>
      <c r="L530" s="539">
        <f t="shared" si="70"/>
        <v>0.98008688146888179</v>
      </c>
      <c r="M530" s="540">
        <f t="shared" si="71"/>
        <v>153028.25092727627</v>
      </c>
      <c r="N530" s="534">
        <f t="shared" si="72"/>
        <v>0.98157004050277652</v>
      </c>
    </row>
    <row r="531" spans="7:14" x14ac:dyDescent="0.2">
      <c r="G531" s="538">
        <f t="shared" si="66"/>
        <v>129674.39503102977</v>
      </c>
      <c r="H531" s="539">
        <f t="shared" si="65"/>
        <v>0.98018245657861769</v>
      </c>
      <c r="I531" s="540">
        <f t="shared" si="67"/>
        <v>129280.03922843978</v>
      </c>
      <c r="J531" s="534">
        <f t="shared" si="68"/>
        <v>0.98015597187177661</v>
      </c>
      <c r="K531" s="538">
        <f t="shared" si="69"/>
        <v>128259.38080919179</v>
      </c>
      <c r="L531" s="539">
        <f t="shared" si="70"/>
        <v>0.98008688146888179</v>
      </c>
      <c r="M531" s="540">
        <f t="shared" si="71"/>
        <v>153028.25092727627</v>
      </c>
      <c r="N531" s="534">
        <f t="shared" si="72"/>
        <v>0.98157004050277652</v>
      </c>
    </row>
    <row r="532" spans="7:14" x14ac:dyDescent="0.2">
      <c r="G532" s="538">
        <f t="shared" si="66"/>
        <v>129674.39503102977</v>
      </c>
      <c r="H532" s="539">
        <f t="shared" si="65"/>
        <v>0.98018245657861769</v>
      </c>
      <c r="I532" s="540">
        <f t="shared" si="67"/>
        <v>129280.03922843978</v>
      </c>
      <c r="J532" s="534">
        <f t="shared" si="68"/>
        <v>0.98015597187177661</v>
      </c>
      <c r="K532" s="538">
        <f t="shared" si="69"/>
        <v>128259.38080919179</v>
      </c>
      <c r="L532" s="539">
        <f t="shared" si="70"/>
        <v>0.98008688146888179</v>
      </c>
      <c r="M532" s="540">
        <f t="shared" si="71"/>
        <v>153028.25092727627</v>
      </c>
      <c r="N532" s="534">
        <f t="shared" si="72"/>
        <v>0.98157004050277652</v>
      </c>
    </row>
    <row r="533" spans="7:14" x14ac:dyDescent="0.2">
      <c r="G533" s="538">
        <f t="shared" si="66"/>
        <v>129674.39503102977</v>
      </c>
      <c r="H533" s="539">
        <f t="shared" si="65"/>
        <v>0.98018245657861769</v>
      </c>
      <c r="I533" s="540">
        <f t="shared" si="67"/>
        <v>129280.03922843978</v>
      </c>
      <c r="J533" s="534">
        <f t="shared" si="68"/>
        <v>0.98015597187177661</v>
      </c>
      <c r="K533" s="538">
        <f t="shared" si="69"/>
        <v>128259.38080919179</v>
      </c>
      <c r="L533" s="539">
        <f t="shared" si="70"/>
        <v>0.98008688146888179</v>
      </c>
      <c r="M533" s="540">
        <f t="shared" si="71"/>
        <v>153028.25092727627</v>
      </c>
      <c r="N533" s="534">
        <f t="shared" si="72"/>
        <v>0.98157004050277652</v>
      </c>
    </row>
    <row r="534" spans="7:14" x14ac:dyDescent="0.2">
      <c r="G534" s="538">
        <f t="shared" si="66"/>
        <v>129674.39503102977</v>
      </c>
      <c r="H534" s="539">
        <f t="shared" si="65"/>
        <v>0.98018245657861769</v>
      </c>
      <c r="I534" s="540">
        <f t="shared" si="67"/>
        <v>129280.03922843978</v>
      </c>
      <c r="J534" s="534">
        <f t="shared" si="68"/>
        <v>0.98015597187177661</v>
      </c>
      <c r="K534" s="538">
        <f t="shared" si="69"/>
        <v>128259.38080919179</v>
      </c>
      <c r="L534" s="539">
        <f t="shared" si="70"/>
        <v>0.98008688146888179</v>
      </c>
      <c r="M534" s="540">
        <f t="shared" si="71"/>
        <v>153028.25092727627</v>
      </c>
      <c r="N534" s="534">
        <f t="shared" si="72"/>
        <v>0.98157004050277652</v>
      </c>
    </row>
    <row r="535" spans="7:14" x14ac:dyDescent="0.2">
      <c r="G535" s="538">
        <f t="shared" si="66"/>
        <v>129674.39503102977</v>
      </c>
      <c r="H535" s="539">
        <f t="shared" si="65"/>
        <v>0.98018245657861769</v>
      </c>
      <c r="I535" s="540">
        <f t="shared" si="67"/>
        <v>129280.03922843978</v>
      </c>
      <c r="J535" s="534">
        <f t="shared" si="68"/>
        <v>0.98015597187177661</v>
      </c>
      <c r="K535" s="538">
        <f t="shared" si="69"/>
        <v>128259.38080919179</v>
      </c>
      <c r="L535" s="539">
        <f t="shared" si="70"/>
        <v>0.98008688146888179</v>
      </c>
      <c r="M535" s="540">
        <f t="shared" si="71"/>
        <v>153028.25092727627</v>
      </c>
      <c r="N535" s="534">
        <f t="shared" si="72"/>
        <v>0.98157004050277652</v>
      </c>
    </row>
    <row r="536" spans="7:14" x14ac:dyDescent="0.2">
      <c r="G536" s="538">
        <f t="shared" si="66"/>
        <v>129674.39503102977</v>
      </c>
      <c r="H536" s="539">
        <f t="shared" si="65"/>
        <v>0.98018245657861769</v>
      </c>
      <c r="I536" s="540">
        <f t="shared" si="67"/>
        <v>129280.03922843978</v>
      </c>
      <c r="J536" s="534">
        <f t="shared" si="68"/>
        <v>0.98015597187177661</v>
      </c>
      <c r="K536" s="538">
        <f t="shared" si="69"/>
        <v>128259.38080919179</v>
      </c>
      <c r="L536" s="539">
        <f t="shared" si="70"/>
        <v>0.98008688146888179</v>
      </c>
      <c r="M536" s="540">
        <f t="shared" si="71"/>
        <v>153028.25092727627</v>
      </c>
      <c r="N536" s="534">
        <f t="shared" si="72"/>
        <v>0.98157004050277652</v>
      </c>
    </row>
    <row r="537" spans="7:14" x14ac:dyDescent="0.2">
      <c r="G537" s="538">
        <f t="shared" si="66"/>
        <v>129674.39503102977</v>
      </c>
      <c r="H537" s="539">
        <f t="shared" si="65"/>
        <v>0.98018245657861769</v>
      </c>
      <c r="I537" s="540">
        <f t="shared" si="67"/>
        <v>129280.03922843978</v>
      </c>
      <c r="J537" s="534">
        <f t="shared" si="68"/>
        <v>0.98015597187177661</v>
      </c>
      <c r="K537" s="538">
        <f t="shared" si="69"/>
        <v>128259.38080919179</v>
      </c>
      <c r="L537" s="539">
        <f t="shared" si="70"/>
        <v>0.98008688146888179</v>
      </c>
      <c r="M537" s="540">
        <f t="shared" si="71"/>
        <v>153028.25092727627</v>
      </c>
      <c r="N537" s="534">
        <f t="shared" si="72"/>
        <v>0.98157004050277652</v>
      </c>
    </row>
    <row r="538" spans="7:14" x14ac:dyDescent="0.2">
      <c r="G538" s="538">
        <f t="shared" si="66"/>
        <v>129674.39503102977</v>
      </c>
      <c r="H538" s="539">
        <f t="shared" si="65"/>
        <v>0.98018245657861769</v>
      </c>
      <c r="I538" s="540">
        <f t="shared" si="67"/>
        <v>129280.03922843978</v>
      </c>
      <c r="J538" s="534">
        <f t="shared" si="68"/>
        <v>0.98015597187177661</v>
      </c>
      <c r="K538" s="538">
        <f t="shared" si="69"/>
        <v>128259.38080919179</v>
      </c>
      <c r="L538" s="539">
        <f t="shared" si="70"/>
        <v>0.98008688146888179</v>
      </c>
      <c r="M538" s="540">
        <f t="shared" si="71"/>
        <v>153028.25092727627</v>
      </c>
      <c r="N538" s="534">
        <f t="shared" si="72"/>
        <v>0.98157004050277652</v>
      </c>
    </row>
    <row r="539" spans="7:14" x14ac:dyDescent="0.2">
      <c r="G539" s="538">
        <f t="shared" si="66"/>
        <v>129674.39503102977</v>
      </c>
      <c r="H539" s="539">
        <f t="shared" si="65"/>
        <v>0.98018245657861769</v>
      </c>
      <c r="I539" s="540">
        <f t="shared" si="67"/>
        <v>129280.03922843978</v>
      </c>
      <c r="J539" s="534">
        <f t="shared" si="68"/>
        <v>0.98015597187177661</v>
      </c>
      <c r="K539" s="538">
        <f t="shared" si="69"/>
        <v>128259.38080919179</v>
      </c>
      <c r="L539" s="539">
        <f t="shared" si="70"/>
        <v>0.98008688146888179</v>
      </c>
      <c r="M539" s="540">
        <f t="shared" si="71"/>
        <v>153028.25092727627</v>
      </c>
      <c r="N539" s="534">
        <f t="shared" si="72"/>
        <v>0.98157004050277652</v>
      </c>
    </row>
    <row r="540" spans="7:14" x14ac:dyDescent="0.2">
      <c r="G540" s="538">
        <f t="shared" si="66"/>
        <v>129674.39503102977</v>
      </c>
      <c r="H540" s="539">
        <f t="shared" si="65"/>
        <v>0.98018245657861769</v>
      </c>
      <c r="I540" s="540">
        <f t="shared" si="67"/>
        <v>129280.03922843978</v>
      </c>
      <c r="J540" s="534">
        <f t="shared" si="68"/>
        <v>0.98015597187177661</v>
      </c>
      <c r="K540" s="538">
        <f t="shared" si="69"/>
        <v>128259.38080919179</v>
      </c>
      <c r="L540" s="539">
        <f t="shared" si="70"/>
        <v>0.98008688146888179</v>
      </c>
      <c r="M540" s="540">
        <f t="shared" si="71"/>
        <v>153028.25092727627</v>
      </c>
      <c r="N540" s="534">
        <f t="shared" si="72"/>
        <v>0.98157004050277652</v>
      </c>
    </row>
    <row r="541" spans="7:14" x14ac:dyDescent="0.2">
      <c r="G541" s="538">
        <f t="shared" si="66"/>
        <v>129674.39503102977</v>
      </c>
      <c r="H541" s="539">
        <f t="shared" si="65"/>
        <v>0.98018245657861769</v>
      </c>
      <c r="I541" s="540">
        <f t="shared" si="67"/>
        <v>129280.03922843978</v>
      </c>
      <c r="J541" s="534">
        <f t="shared" si="68"/>
        <v>0.98015597187177661</v>
      </c>
      <c r="K541" s="538">
        <f t="shared" si="69"/>
        <v>128259.38080919179</v>
      </c>
      <c r="L541" s="539">
        <f t="shared" si="70"/>
        <v>0.98008688146888179</v>
      </c>
      <c r="M541" s="540">
        <f t="shared" si="71"/>
        <v>153028.25092727627</v>
      </c>
      <c r="N541" s="534">
        <f t="shared" si="72"/>
        <v>0.98157004050277652</v>
      </c>
    </row>
    <row r="542" spans="7:14" x14ac:dyDescent="0.2">
      <c r="G542" s="538">
        <f t="shared" si="66"/>
        <v>129674.39503102977</v>
      </c>
      <c r="H542" s="539">
        <f t="shared" si="65"/>
        <v>0.98018245657861769</v>
      </c>
      <c r="I542" s="540">
        <f t="shared" si="67"/>
        <v>129280.03922843978</v>
      </c>
      <c r="J542" s="534">
        <f t="shared" si="68"/>
        <v>0.98015597187177661</v>
      </c>
      <c r="K542" s="538">
        <f t="shared" si="69"/>
        <v>128259.38080919179</v>
      </c>
      <c r="L542" s="539">
        <f t="shared" si="70"/>
        <v>0.98008688146888179</v>
      </c>
      <c r="M542" s="540">
        <f t="shared" si="71"/>
        <v>153028.25092727627</v>
      </c>
      <c r="N542" s="534">
        <f t="shared" si="72"/>
        <v>0.98157004050277652</v>
      </c>
    </row>
    <row r="543" spans="7:14" x14ac:dyDescent="0.2">
      <c r="G543" s="538">
        <f t="shared" si="66"/>
        <v>129674.39503102977</v>
      </c>
      <c r="H543" s="539">
        <f t="shared" si="65"/>
        <v>0.98018245657861769</v>
      </c>
      <c r="I543" s="540">
        <f t="shared" si="67"/>
        <v>129280.03922843978</v>
      </c>
      <c r="J543" s="534">
        <f t="shared" si="68"/>
        <v>0.98015597187177661</v>
      </c>
      <c r="K543" s="538">
        <f t="shared" si="69"/>
        <v>128259.38080919179</v>
      </c>
      <c r="L543" s="539">
        <f t="shared" si="70"/>
        <v>0.98008688146888179</v>
      </c>
      <c r="M543" s="540">
        <f t="shared" si="71"/>
        <v>153028.25092727627</v>
      </c>
      <c r="N543" s="534">
        <f t="shared" si="72"/>
        <v>0.98157004050277652</v>
      </c>
    </row>
    <row r="544" spans="7:14" x14ac:dyDescent="0.2">
      <c r="G544" s="538">
        <f t="shared" si="66"/>
        <v>129674.39503102977</v>
      </c>
      <c r="H544" s="539">
        <f t="shared" si="65"/>
        <v>0.98018245657861769</v>
      </c>
      <c r="I544" s="540">
        <f t="shared" si="67"/>
        <v>129280.03922843978</v>
      </c>
      <c r="J544" s="534">
        <f t="shared" si="68"/>
        <v>0.98015597187177661</v>
      </c>
      <c r="K544" s="538">
        <f t="shared" si="69"/>
        <v>128259.38080919179</v>
      </c>
      <c r="L544" s="539">
        <f t="shared" si="70"/>
        <v>0.98008688146888179</v>
      </c>
      <c r="M544" s="540">
        <f t="shared" si="71"/>
        <v>153028.25092727627</v>
      </c>
      <c r="N544" s="534">
        <f t="shared" si="72"/>
        <v>0.98157004050277652</v>
      </c>
    </row>
    <row r="545" spans="7:14" x14ac:dyDescent="0.2">
      <c r="G545" s="538">
        <f t="shared" si="66"/>
        <v>129674.39503102977</v>
      </c>
      <c r="H545" s="539">
        <f t="shared" si="65"/>
        <v>0.98018245657861769</v>
      </c>
      <c r="I545" s="540">
        <f t="shared" si="67"/>
        <v>129280.03922843978</v>
      </c>
      <c r="J545" s="534">
        <f t="shared" si="68"/>
        <v>0.98015597187177661</v>
      </c>
      <c r="K545" s="538">
        <f t="shared" si="69"/>
        <v>128259.38080919179</v>
      </c>
      <c r="L545" s="539">
        <f t="shared" si="70"/>
        <v>0.98008688146888179</v>
      </c>
      <c r="M545" s="540">
        <f t="shared" si="71"/>
        <v>153028.25092727627</v>
      </c>
      <c r="N545" s="534">
        <f t="shared" si="72"/>
        <v>0.98157004050277652</v>
      </c>
    </row>
    <row r="546" spans="7:14" x14ac:dyDescent="0.2">
      <c r="G546" s="538">
        <f t="shared" si="66"/>
        <v>129674.39503102977</v>
      </c>
      <c r="H546" s="539">
        <f t="shared" si="65"/>
        <v>0.98018245657861769</v>
      </c>
      <c r="I546" s="540">
        <f t="shared" si="67"/>
        <v>129280.03922843978</v>
      </c>
      <c r="J546" s="534">
        <f t="shared" si="68"/>
        <v>0.98015597187177661</v>
      </c>
      <c r="K546" s="538">
        <f t="shared" si="69"/>
        <v>128259.38080919179</v>
      </c>
      <c r="L546" s="539">
        <f t="shared" si="70"/>
        <v>0.98008688146888179</v>
      </c>
      <c r="M546" s="540">
        <f t="shared" si="71"/>
        <v>153028.25092727627</v>
      </c>
      <c r="N546" s="534">
        <f t="shared" si="72"/>
        <v>0.98157004050277652</v>
      </c>
    </row>
    <row r="547" spans="7:14" x14ac:dyDescent="0.2">
      <c r="G547" s="538">
        <f t="shared" si="66"/>
        <v>129674.39503102977</v>
      </c>
      <c r="H547" s="539">
        <f t="shared" si="65"/>
        <v>0.98018245657861769</v>
      </c>
      <c r="I547" s="540">
        <f t="shared" si="67"/>
        <v>129280.03922843978</v>
      </c>
      <c r="J547" s="534">
        <f t="shared" si="68"/>
        <v>0.98015597187177661</v>
      </c>
      <c r="K547" s="538">
        <f t="shared" si="69"/>
        <v>128259.38080919179</v>
      </c>
      <c r="L547" s="539">
        <f t="shared" si="70"/>
        <v>0.98008688146888179</v>
      </c>
      <c r="M547" s="540">
        <f t="shared" si="71"/>
        <v>153028.25092727627</v>
      </c>
      <c r="N547" s="534">
        <f t="shared" si="72"/>
        <v>0.98157004050277652</v>
      </c>
    </row>
    <row r="548" spans="7:14" x14ac:dyDescent="0.2">
      <c r="G548" s="538">
        <f t="shared" si="66"/>
        <v>129674.39503102977</v>
      </c>
      <c r="H548" s="539">
        <f t="shared" si="65"/>
        <v>0.98018245657861769</v>
      </c>
      <c r="I548" s="540">
        <f t="shared" si="67"/>
        <v>129280.03922843978</v>
      </c>
      <c r="J548" s="534">
        <f t="shared" si="68"/>
        <v>0.98015597187177661</v>
      </c>
      <c r="K548" s="538">
        <f t="shared" si="69"/>
        <v>128259.38080919179</v>
      </c>
      <c r="L548" s="539">
        <f t="shared" si="70"/>
        <v>0.98008688146888179</v>
      </c>
      <c r="M548" s="540">
        <f t="shared" si="71"/>
        <v>153028.25092727627</v>
      </c>
      <c r="N548" s="534">
        <f t="shared" si="72"/>
        <v>0.98157004050277652</v>
      </c>
    </row>
    <row r="549" spans="7:14" x14ac:dyDescent="0.2">
      <c r="G549" s="538">
        <f t="shared" si="66"/>
        <v>129674.39503102977</v>
      </c>
      <c r="H549" s="539">
        <f t="shared" si="65"/>
        <v>0.98018245657861769</v>
      </c>
      <c r="I549" s="540">
        <f t="shared" si="67"/>
        <v>129280.03922843978</v>
      </c>
      <c r="J549" s="534">
        <f t="shared" si="68"/>
        <v>0.98015597187177661</v>
      </c>
      <c r="K549" s="538">
        <f t="shared" si="69"/>
        <v>128259.38080919179</v>
      </c>
      <c r="L549" s="539">
        <f t="shared" si="70"/>
        <v>0.98008688146888179</v>
      </c>
      <c r="M549" s="540">
        <f t="shared" si="71"/>
        <v>153028.25092727627</v>
      </c>
      <c r="N549" s="534">
        <f t="shared" si="72"/>
        <v>0.98157004050277652</v>
      </c>
    </row>
    <row r="550" spans="7:14" x14ac:dyDescent="0.2">
      <c r="G550" s="538">
        <f t="shared" si="66"/>
        <v>129674.39503102977</v>
      </c>
      <c r="H550" s="539">
        <f t="shared" si="65"/>
        <v>0.98018245657861769</v>
      </c>
      <c r="I550" s="540">
        <f t="shared" si="67"/>
        <v>129280.03922843978</v>
      </c>
      <c r="J550" s="534">
        <f t="shared" si="68"/>
        <v>0.98015597187177661</v>
      </c>
      <c r="K550" s="538">
        <f t="shared" si="69"/>
        <v>128259.38080919179</v>
      </c>
      <c r="L550" s="539">
        <f t="shared" si="70"/>
        <v>0.98008688146888179</v>
      </c>
      <c r="M550" s="540">
        <f t="shared" si="71"/>
        <v>153028.25092727627</v>
      </c>
      <c r="N550" s="534">
        <f t="shared" si="72"/>
        <v>0.98157004050277652</v>
      </c>
    </row>
    <row r="551" spans="7:14" x14ac:dyDescent="0.2">
      <c r="G551" s="538">
        <f t="shared" si="66"/>
        <v>129674.39503102977</v>
      </c>
      <c r="H551" s="539">
        <f t="shared" si="65"/>
        <v>0.98018245657861769</v>
      </c>
      <c r="I551" s="540">
        <f t="shared" si="67"/>
        <v>129280.03922843978</v>
      </c>
      <c r="J551" s="534">
        <f t="shared" si="68"/>
        <v>0.98015597187177661</v>
      </c>
      <c r="K551" s="538">
        <f t="shared" si="69"/>
        <v>128259.38080919179</v>
      </c>
      <c r="L551" s="539">
        <f t="shared" si="70"/>
        <v>0.98008688146888179</v>
      </c>
      <c r="M551" s="540">
        <f t="shared" si="71"/>
        <v>153028.25092727627</v>
      </c>
      <c r="N551" s="534">
        <f t="shared" si="72"/>
        <v>0.98157004050277652</v>
      </c>
    </row>
    <row r="552" spans="7:14" x14ac:dyDescent="0.2">
      <c r="G552" s="538">
        <f t="shared" si="66"/>
        <v>129674.39503102977</v>
      </c>
      <c r="H552" s="539">
        <f t="shared" si="65"/>
        <v>0.98018245657861769</v>
      </c>
      <c r="I552" s="540">
        <f t="shared" si="67"/>
        <v>129280.03922843978</v>
      </c>
      <c r="J552" s="534">
        <f t="shared" si="68"/>
        <v>0.98015597187177661</v>
      </c>
      <c r="K552" s="538">
        <f t="shared" si="69"/>
        <v>128259.38080919179</v>
      </c>
      <c r="L552" s="539">
        <f t="shared" si="70"/>
        <v>0.98008688146888179</v>
      </c>
      <c r="M552" s="540">
        <f t="shared" si="71"/>
        <v>153028.25092727627</v>
      </c>
      <c r="N552" s="534">
        <f t="shared" si="72"/>
        <v>0.98157004050277652</v>
      </c>
    </row>
    <row r="553" spans="7:14" x14ac:dyDescent="0.2">
      <c r="G553" s="538">
        <f t="shared" si="66"/>
        <v>129674.39503102977</v>
      </c>
      <c r="H553" s="539">
        <f t="shared" si="65"/>
        <v>0.98018245657861769</v>
      </c>
      <c r="I553" s="540">
        <f t="shared" si="67"/>
        <v>129280.03922843978</v>
      </c>
      <c r="J553" s="534">
        <f t="shared" si="68"/>
        <v>0.98015597187177661</v>
      </c>
      <c r="K553" s="538">
        <f t="shared" si="69"/>
        <v>128259.38080919179</v>
      </c>
      <c r="L553" s="539">
        <f t="shared" si="70"/>
        <v>0.98008688146888179</v>
      </c>
      <c r="M553" s="540">
        <f t="shared" si="71"/>
        <v>153028.25092727627</v>
      </c>
      <c r="N553" s="534">
        <f t="shared" si="72"/>
        <v>0.98157004050277652</v>
      </c>
    </row>
    <row r="554" spans="7:14" x14ac:dyDescent="0.2">
      <c r="G554" s="538">
        <f t="shared" si="66"/>
        <v>129674.39503102977</v>
      </c>
      <c r="H554" s="539">
        <f t="shared" si="65"/>
        <v>0.98018245657861769</v>
      </c>
      <c r="I554" s="540">
        <f t="shared" si="67"/>
        <v>129280.03922843978</v>
      </c>
      <c r="J554" s="534">
        <f t="shared" si="68"/>
        <v>0.98015597187177661</v>
      </c>
      <c r="K554" s="538">
        <f t="shared" si="69"/>
        <v>128259.38080919179</v>
      </c>
      <c r="L554" s="539">
        <f t="shared" si="70"/>
        <v>0.98008688146888179</v>
      </c>
      <c r="M554" s="540">
        <f t="shared" si="71"/>
        <v>153028.25092727627</v>
      </c>
      <c r="N554" s="534">
        <f t="shared" si="72"/>
        <v>0.98157004050277652</v>
      </c>
    </row>
    <row r="555" spans="7:14" x14ac:dyDescent="0.2">
      <c r="G555" s="538">
        <f t="shared" si="66"/>
        <v>129674.39503102977</v>
      </c>
      <c r="H555" s="539">
        <f t="shared" si="65"/>
        <v>0.98018245657861769</v>
      </c>
      <c r="I555" s="540">
        <f t="shared" si="67"/>
        <v>129280.03922843978</v>
      </c>
      <c r="J555" s="534">
        <f t="shared" si="68"/>
        <v>0.98015597187177661</v>
      </c>
      <c r="K555" s="538">
        <f t="shared" si="69"/>
        <v>128259.38080919179</v>
      </c>
      <c r="L555" s="539">
        <f t="shared" si="70"/>
        <v>0.98008688146888179</v>
      </c>
      <c r="M555" s="540">
        <f t="shared" si="71"/>
        <v>153028.25092727627</v>
      </c>
      <c r="N555" s="534">
        <f t="shared" si="72"/>
        <v>0.98157004050277652</v>
      </c>
    </row>
    <row r="556" spans="7:14" x14ac:dyDescent="0.2">
      <c r="G556" s="538">
        <f t="shared" si="66"/>
        <v>129674.39503102977</v>
      </c>
      <c r="H556" s="539">
        <f t="shared" si="65"/>
        <v>0.98018245657861769</v>
      </c>
      <c r="I556" s="540">
        <f t="shared" si="67"/>
        <v>129280.03922843978</v>
      </c>
      <c r="J556" s="534">
        <f t="shared" si="68"/>
        <v>0.98015597187177661</v>
      </c>
      <c r="K556" s="538">
        <f t="shared" si="69"/>
        <v>128259.38080919179</v>
      </c>
      <c r="L556" s="539">
        <f t="shared" si="70"/>
        <v>0.98008688146888179</v>
      </c>
      <c r="M556" s="540">
        <f t="shared" si="71"/>
        <v>153028.25092727627</v>
      </c>
      <c r="N556" s="534">
        <f t="shared" si="72"/>
        <v>0.98157004050277652</v>
      </c>
    </row>
    <row r="557" spans="7:14" x14ac:dyDescent="0.2">
      <c r="G557" s="538">
        <f t="shared" si="66"/>
        <v>129674.39503102977</v>
      </c>
      <c r="H557" s="539">
        <f t="shared" si="65"/>
        <v>0.98018245657861769</v>
      </c>
      <c r="I557" s="540">
        <f t="shared" si="67"/>
        <v>129280.03922843978</v>
      </c>
      <c r="J557" s="534">
        <f t="shared" si="68"/>
        <v>0.98015597187177661</v>
      </c>
      <c r="K557" s="538">
        <f t="shared" si="69"/>
        <v>128259.38080919179</v>
      </c>
      <c r="L557" s="539">
        <f t="shared" si="70"/>
        <v>0.98008688146888179</v>
      </c>
      <c r="M557" s="540">
        <f t="shared" si="71"/>
        <v>153028.25092727627</v>
      </c>
      <c r="N557" s="534">
        <f t="shared" si="72"/>
        <v>0.98157004050277652</v>
      </c>
    </row>
    <row r="558" spans="7:14" x14ac:dyDescent="0.2">
      <c r="G558" s="538">
        <f t="shared" si="66"/>
        <v>129674.39503102977</v>
      </c>
      <c r="H558" s="539">
        <f t="shared" si="65"/>
        <v>0.98018245657861769</v>
      </c>
      <c r="I558" s="540">
        <f t="shared" si="67"/>
        <v>129280.03922843978</v>
      </c>
      <c r="J558" s="534">
        <f t="shared" si="68"/>
        <v>0.98015597187177661</v>
      </c>
      <c r="K558" s="538">
        <f t="shared" si="69"/>
        <v>128259.38080919179</v>
      </c>
      <c r="L558" s="539">
        <f t="shared" si="70"/>
        <v>0.98008688146888179</v>
      </c>
      <c r="M558" s="540">
        <f t="shared" si="71"/>
        <v>153028.25092727627</v>
      </c>
      <c r="N558" s="534">
        <f t="shared" si="72"/>
        <v>0.98157004050277652</v>
      </c>
    </row>
    <row r="559" spans="7:14" x14ac:dyDescent="0.2">
      <c r="G559" s="538">
        <f t="shared" si="66"/>
        <v>129674.39503102977</v>
      </c>
      <c r="H559" s="539">
        <f t="shared" si="65"/>
        <v>0.98018245657861769</v>
      </c>
      <c r="I559" s="540">
        <f t="shared" si="67"/>
        <v>129280.03922843978</v>
      </c>
      <c r="J559" s="534">
        <f t="shared" si="68"/>
        <v>0.98015597187177661</v>
      </c>
      <c r="K559" s="538">
        <f t="shared" si="69"/>
        <v>128259.38080919179</v>
      </c>
      <c r="L559" s="539">
        <f t="shared" si="70"/>
        <v>0.98008688146888179</v>
      </c>
      <c r="M559" s="540">
        <f t="shared" si="71"/>
        <v>153028.25092727627</v>
      </c>
      <c r="N559" s="534">
        <f t="shared" si="72"/>
        <v>0.98157004050277652</v>
      </c>
    </row>
    <row r="560" spans="7:14" x14ac:dyDescent="0.2">
      <c r="G560" s="538">
        <f t="shared" si="66"/>
        <v>129674.39503102977</v>
      </c>
      <c r="H560" s="539">
        <f t="shared" si="65"/>
        <v>0.98018245657861769</v>
      </c>
      <c r="I560" s="540">
        <f t="shared" si="67"/>
        <v>129280.03922843978</v>
      </c>
      <c r="J560" s="534">
        <f t="shared" si="68"/>
        <v>0.98015597187177661</v>
      </c>
      <c r="K560" s="538">
        <f t="shared" si="69"/>
        <v>128259.38080919179</v>
      </c>
      <c r="L560" s="539">
        <f t="shared" si="70"/>
        <v>0.98008688146888179</v>
      </c>
      <c r="M560" s="540">
        <f t="shared" si="71"/>
        <v>153028.25092727627</v>
      </c>
      <c r="N560" s="534">
        <f t="shared" si="72"/>
        <v>0.98157004050277652</v>
      </c>
    </row>
    <row r="561" spans="7:14" x14ac:dyDescent="0.2">
      <c r="G561" s="538">
        <f t="shared" si="66"/>
        <v>129674.39503102977</v>
      </c>
      <c r="H561" s="539">
        <f t="shared" si="65"/>
        <v>0.98018245657861769</v>
      </c>
      <c r="I561" s="540">
        <f t="shared" si="67"/>
        <v>129280.03922843978</v>
      </c>
      <c r="J561" s="534">
        <f t="shared" si="68"/>
        <v>0.98015597187177661</v>
      </c>
      <c r="K561" s="538">
        <f t="shared" si="69"/>
        <v>128259.38080919179</v>
      </c>
      <c r="L561" s="539">
        <f t="shared" si="70"/>
        <v>0.98008688146888179</v>
      </c>
      <c r="M561" s="540">
        <f t="shared" si="71"/>
        <v>153028.25092727627</v>
      </c>
      <c r="N561" s="534">
        <f t="shared" si="72"/>
        <v>0.98157004050277652</v>
      </c>
    </row>
    <row r="562" spans="7:14" x14ac:dyDescent="0.2">
      <c r="G562" s="538">
        <f t="shared" si="66"/>
        <v>129674.39503102977</v>
      </c>
      <c r="H562" s="539">
        <f t="shared" si="65"/>
        <v>0.98018245657861769</v>
      </c>
      <c r="I562" s="540">
        <f t="shared" si="67"/>
        <v>129280.03922843978</v>
      </c>
      <c r="J562" s="534">
        <f t="shared" si="68"/>
        <v>0.98015597187177661</v>
      </c>
      <c r="K562" s="538">
        <f t="shared" si="69"/>
        <v>128259.38080919179</v>
      </c>
      <c r="L562" s="539">
        <f t="shared" si="70"/>
        <v>0.98008688146888179</v>
      </c>
      <c r="M562" s="540">
        <f t="shared" si="71"/>
        <v>153028.25092727627</v>
      </c>
      <c r="N562" s="534">
        <f t="shared" si="72"/>
        <v>0.98157004050277652</v>
      </c>
    </row>
    <row r="563" spans="7:14" x14ac:dyDescent="0.2">
      <c r="G563" s="538">
        <f t="shared" si="66"/>
        <v>129674.39503102977</v>
      </c>
      <c r="H563" s="539">
        <f t="shared" si="65"/>
        <v>0.98018245657861769</v>
      </c>
      <c r="I563" s="540">
        <f t="shared" si="67"/>
        <v>129280.03922843978</v>
      </c>
      <c r="J563" s="534">
        <f t="shared" si="68"/>
        <v>0.98015597187177661</v>
      </c>
      <c r="K563" s="538">
        <f t="shared" si="69"/>
        <v>128259.38080919179</v>
      </c>
      <c r="L563" s="539">
        <f t="shared" si="70"/>
        <v>0.98008688146888179</v>
      </c>
      <c r="M563" s="540">
        <f t="shared" si="71"/>
        <v>153028.25092727627</v>
      </c>
      <c r="N563" s="534">
        <f t="shared" si="72"/>
        <v>0.98157004050277652</v>
      </c>
    </row>
    <row r="564" spans="7:14" x14ac:dyDescent="0.2">
      <c r="G564" s="538">
        <f t="shared" si="66"/>
        <v>129674.39503102977</v>
      </c>
      <c r="H564" s="539">
        <f t="shared" si="65"/>
        <v>0.98018245657861769</v>
      </c>
      <c r="I564" s="540">
        <f t="shared" si="67"/>
        <v>129280.03922843978</v>
      </c>
      <c r="J564" s="534">
        <f t="shared" si="68"/>
        <v>0.98015597187177661</v>
      </c>
      <c r="K564" s="538">
        <f t="shared" si="69"/>
        <v>128259.38080919179</v>
      </c>
      <c r="L564" s="539">
        <f t="shared" si="70"/>
        <v>0.98008688146888179</v>
      </c>
      <c r="M564" s="540">
        <f t="shared" si="71"/>
        <v>153028.25092727627</v>
      </c>
      <c r="N564" s="534">
        <f t="shared" si="72"/>
        <v>0.98157004050277652</v>
      </c>
    </row>
    <row r="565" spans="7:14" x14ac:dyDescent="0.2">
      <c r="G565" s="538">
        <f t="shared" si="66"/>
        <v>129674.39503102977</v>
      </c>
      <c r="H565" s="539">
        <f t="shared" si="65"/>
        <v>0.98018245657861769</v>
      </c>
      <c r="I565" s="540">
        <f t="shared" si="67"/>
        <v>129280.03922843978</v>
      </c>
      <c r="J565" s="534">
        <f t="shared" si="68"/>
        <v>0.98015597187177661</v>
      </c>
      <c r="K565" s="538">
        <f t="shared" si="69"/>
        <v>128259.38080919179</v>
      </c>
      <c r="L565" s="539">
        <f t="shared" si="70"/>
        <v>0.98008688146888179</v>
      </c>
      <c r="M565" s="540">
        <f t="shared" si="71"/>
        <v>153028.25092727627</v>
      </c>
      <c r="N565" s="534">
        <f t="shared" si="72"/>
        <v>0.98157004050277652</v>
      </c>
    </row>
    <row r="566" spans="7:14" x14ac:dyDescent="0.2">
      <c r="G566" s="538">
        <f t="shared" si="66"/>
        <v>129674.39503102977</v>
      </c>
      <c r="H566" s="539">
        <f t="shared" si="65"/>
        <v>0.98018245657861769</v>
      </c>
      <c r="I566" s="540">
        <f t="shared" si="67"/>
        <v>129280.03922843978</v>
      </c>
      <c r="J566" s="534">
        <f t="shared" si="68"/>
        <v>0.98015597187177661</v>
      </c>
      <c r="K566" s="538">
        <f t="shared" si="69"/>
        <v>128259.38080919179</v>
      </c>
      <c r="L566" s="539">
        <f t="shared" si="70"/>
        <v>0.98008688146888179</v>
      </c>
      <c r="M566" s="540">
        <f t="shared" si="71"/>
        <v>153028.25092727627</v>
      </c>
      <c r="N566" s="534">
        <f t="shared" si="72"/>
        <v>0.98157004050277652</v>
      </c>
    </row>
    <row r="567" spans="7:14" x14ac:dyDescent="0.2">
      <c r="G567" s="538">
        <f t="shared" si="66"/>
        <v>129674.39503102977</v>
      </c>
      <c r="H567" s="539">
        <f t="shared" si="65"/>
        <v>0.98018245657861769</v>
      </c>
      <c r="I567" s="540">
        <f t="shared" si="67"/>
        <v>129280.03922843978</v>
      </c>
      <c r="J567" s="534">
        <f t="shared" si="68"/>
        <v>0.98015597187177661</v>
      </c>
      <c r="K567" s="538">
        <f t="shared" si="69"/>
        <v>128259.38080919179</v>
      </c>
      <c r="L567" s="539">
        <f t="shared" si="70"/>
        <v>0.98008688146888179</v>
      </c>
      <c r="M567" s="540">
        <f t="shared" si="71"/>
        <v>153028.25092727627</v>
      </c>
      <c r="N567" s="534">
        <f t="shared" si="72"/>
        <v>0.98157004050277652</v>
      </c>
    </row>
    <row r="568" spans="7:14" x14ac:dyDescent="0.2">
      <c r="G568" s="538">
        <f t="shared" si="66"/>
        <v>129674.39503102977</v>
      </c>
      <c r="H568" s="539">
        <f t="shared" si="65"/>
        <v>0.98018245657861769</v>
      </c>
      <c r="I568" s="540">
        <f t="shared" si="67"/>
        <v>129280.03922843978</v>
      </c>
      <c r="J568" s="534">
        <f t="shared" si="68"/>
        <v>0.98015597187177661</v>
      </c>
      <c r="K568" s="538">
        <f t="shared" si="69"/>
        <v>128259.38080919179</v>
      </c>
      <c r="L568" s="539">
        <f t="shared" si="70"/>
        <v>0.98008688146888179</v>
      </c>
      <c r="M568" s="540">
        <f t="shared" si="71"/>
        <v>153028.25092727627</v>
      </c>
      <c r="N568" s="534">
        <f t="shared" si="72"/>
        <v>0.98157004050277652</v>
      </c>
    </row>
    <row r="569" spans="7:14" x14ac:dyDescent="0.2">
      <c r="G569" s="538">
        <f t="shared" si="66"/>
        <v>129674.39503102977</v>
      </c>
      <c r="H569" s="539">
        <f t="shared" si="65"/>
        <v>0.98018245657861769</v>
      </c>
      <c r="I569" s="540">
        <f t="shared" si="67"/>
        <v>129280.03922843978</v>
      </c>
      <c r="J569" s="534">
        <f t="shared" si="68"/>
        <v>0.98015597187177661</v>
      </c>
      <c r="K569" s="538">
        <f t="shared" si="69"/>
        <v>128259.38080919179</v>
      </c>
      <c r="L569" s="539">
        <f t="shared" si="70"/>
        <v>0.98008688146888179</v>
      </c>
      <c r="M569" s="540">
        <f t="shared" si="71"/>
        <v>153028.25092727627</v>
      </c>
      <c r="N569" s="534">
        <f t="shared" si="72"/>
        <v>0.98157004050277652</v>
      </c>
    </row>
    <row r="570" spans="7:14" x14ac:dyDescent="0.2">
      <c r="G570" s="538">
        <f t="shared" si="66"/>
        <v>129674.39503102977</v>
      </c>
      <c r="H570" s="539">
        <f t="shared" si="65"/>
        <v>0.98018245657861769</v>
      </c>
      <c r="I570" s="540">
        <f t="shared" si="67"/>
        <v>129280.03922843978</v>
      </c>
      <c r="J570" s="534">
        <f t="shared" si="68"/>
        <v>0.98015597187177661</v>
      </c>
      <c r="K570" s="538">
        <f t="shared" si="69"/>
        <v>128259.38080919179</v>
      </c>
      <c r="L570" s="539">
        <f t="shared" si="70"/>
        <v>0.98008688146888179</v>
      </c>
      <c r="M570" s="540">
        <f t="shared" si="71"/>
        <v>153028.25092727627</v>
      </c>
      <c r="N570" s="534">
        <f t="shared" si="72"/>
        <v>0.98157004050277652</v>
      </c>
    </row>
    <row r="571" spans="7:14" x14ac:dyDescent="0.2">
      <c r="G571" s="538">
        <f t="shared" si="66"/>
        <v>129674.39503102977</v>
      </c>
      <c r="H571" s="539">
        <f t="shared" si="65"/>
        <v>0.98018245657861769</v>
      </c>
      <c r="I571" s="540">
        <f t="shared" si="67"/>
        <v>129280.03922843978</v>
      </c>
      <c r="J571" s="534">
        <f t="shared" si="68"/>
        <v>0.98015597187177661</v>
      </c>
      <c r="K571" s="538">
        <f t="shared" si="69"/>
        <v>128259.38080919179</v>
      </c>
      <c r="L571" s="539">
        <f t="shared" si="70"/>
        <v>0.98008688146888179</v>
      </c>
      <c r="M571" s="540">
        <f t="shared" si="71"/>
        <v>153028.25092727627</v>
      </c>
      <c r="N571" s="534">
        <f t="shared" si="72"/>
        <v>0.98157004050277652</v>
      </c>
    </row>
    <row r="572" spans="7:14" x14ac:dyDescent="0.2">
      <c r="G572" s="538">
        <f t="shared" si="66"/>
        <v>129674.39503102977</v>
      </c>
      <c r="H572" s="539">
        <f t="shared" si="65"/>
        <v>0.98018245657861769</v>
      </c>
      <c r="I572" s="540">
        <f t="shared" si="67"/>
        <v>129280.03922843978</v>
      </c>
      <c r="J572" s="534">
        <f t="shared" si="68"/>
        <v>0.98015597187177661</v>
      </c>
      <c r="K572" s="538">
        <f t="shared" si="69"/>
        <v>128259.38080919179</v>
      </c>
      <c r="L572" s="539">
        <f t="shared" si="70"/>
        <v>0.98008688146888179</v>
      </c>
      <c r="M572" s="540">
        <f t="shared" si="71"/>
        <v>153028.25092727627</v>
      </c>
      <c r="N572" s="534">
        <f t="shared" si="72"/>
        <v>0.98157004050277652</v>
      </c>
    </row>
    <row r="573" spans="7:14" x14ac:dyDescent="0.2">
      <c r="G573" s="538">
        <f t="shared" si="66"/>
        <v>129674.39503102977</v>
      </c>
      <c r="H573" s="539">
        <f t="shared" si="65"/>
        <v>0.98018245657861769</v>
      </c>
      <c r="I573" s="540">
        <f t="shared" si="67"/>
        <v>129280.03922843978</v>
      </c>
      <c r="J573" s="534">
        <f t="shared" si="68"/>
        <v>0.98015597187177661</v>
      </c>
      <c r="K573" s="538">
        <f t="shared" si="69"/>
        <v>128259.38080919179</v>
      </c>
      <c r="L573" s="539">
        <f t="shared" si="70"/>
        <v>0.98008688146888179</v>
      </c>
      <c r="M573" s="540">
        <f t="shared" si="71"/>
        <v>153028.25092727627</v>
      </c>
      <c r="N573" s="534">
        <f t="shared" si="72"/>
        <v>0.98157004050277652</v>
      </c>
    </row>
    <row r="574" spans="7:14" x14ac:dyDescent="0.2">
      <c r="G574" s="538">
        <f t="shared" si="66"/>
        <v>129674.39503102977</v>
      </c>
      <c r="H574" s="539">
        <f t="shared" si="65"/>
        <v>0.98018245657861769</v>
      </c>
      <c r="I574" s="540">
        <f t="shared" si="67"/>
        <v>129280.03922843978</v>
      </c>
      <c r="J574" s="534">
        <f t="shared" si="68"/>
        <v>0.98015597187177661</v>
      </c>
      <c r="K574" s="538">
        <f t="shared" si="69"/>
        <v>128259.38080919179</v>
      </c>
      <c r="L574" s="539">
        <f t="shared" si="70"/>
        <v>0.98008688146888179</v>
      </c>
      <c r="M574" s="540">
        <f t="shared" si="71"/>
        <v>153028.25092727627</v>
      </c>
      <c r="N574" s="534">
        <f t="shared" si="72"/>
        <v>0.98157004050277652</v>
      </c>
    </row>
    <row r="575" spans="7:14" x14ac:dyDescent="0.2">
      <c r="G575" s="538">
        <f t="shared" si="66"/>
        <v>129674.39503102977</v>
      </c>
      <c r="H575" s="539">
        <f t="shared" si="65"/>
        <v>0.98018245657861769</v>
      </c>
      <c r="I575" s="540">
        <f t="shared" si="67"/>
        <v>129280.03922843978</v>
      </c>
      <c r="J575" s="534">
        <f t="shared" si="68"/>
        <v>0.98015597187177661</v>
      </c>
      <c r="K575" s="538">
        <f t="shared" si="69"/>
        <v>128259.38080919179</v>
      </c>
      <c r="L575" s="539">
        <f t="shared" si="70"/>
        <v>0.98008688146888179</v>
      </c>
      <c r="M575" s="540">
        <f t="shared" si="71"/>
        <v>153028.25092727627</v>
      </c>
      <c r="N575" s="534">
        <f t="shared" si="72"/>
        <v>0.98157004050277652</v>
      </c>
    </row>
    <row r="576" spans="7:14" x14ac:dyDescent="0.2">
      <c r="G576" s="538">
        <f t="shared" si="66"/>
        <v>129674.39503102977</v>
      </c>
      <c r="H576" s="539">
        <f t="shared" si="65"/>
        <v>0.98018245657861769</v>
      </c>
      <c r="I576" s="540">
        <f t="shared" si="67"/>
        <v>129280.03922843978</v>
      </c>
      <c r="J576" s="534">
        <f t="shared" si="68"/>
        <v>0.98015597187177661</v>
      </c>
      <c r="K576" s="538">
        <f t="shared" si="69"/>
        <v>128259.38080919179</v>
      </c>
      <c r="L576" s="539">
        <f t="shared" si="70"/>
        <v>0.98008688146888179</v>
      </c>
      <c r="M576" s="540">
        <f t="shared" si="71"/>
        <v>153028.25092727627</v>
      </c>
      <c r="N576" s="534">
        <f t="shared" si="72"/>
        <v>0.98157004050277652</v>
      </c>
    </row>
    <row r="577" spans="7:14" x14ac:dyDescent="0.2">
      <c r="G577" s="538">
        <f t="shared" si="66"/>
        <v>129674.39503102977</v>
      </c>
      <c r="H577" s="539">
        <f t="shared" si="65"/>
        <v>0.98018245657861769</v>
      </c>
      <c r="I577" s="540">
        <f t="shared" si="67"/>
        <v>129280.03922843978</v>
      </c>
      <c r="J577" s="534">
        <f t="shared" si="68"/>
        <v>0.98015597187177661</v>
      </c>
      <c r="K577" s="538">
        <f t="shared" si="69"/>
        <v>128259.38080919179</v>
      </c>
      <c r="L577" s="539">
        <f t="shared" si="70"/>
        <v>0.98008688146888179</v>
      </c>
      <c r="M577" s="540">
        <f t="shared" si="71"/>
        <v>153028.25092727627</v>
      </c>
      <c r="N577" s="534">
        <f t="shared" si="72"/>
        <v>0.98157004050277652</v>
      </c>
    </row>
    <row r="578" spans="7:14" x14ac:dyDescent="0.2">
      <c r="G578" s="538">
        <f t="shared" si="66"/>
        <v>129674.39503102977</v>
      </c>
      <c r="H578" s="539">
        <f t="shared" si="65"/>
        <v>0.98018245657861769</v>
      </c>
      <c r="I578" s="540">
        <f t="shared" si="67"/>
        <v>129280.03922843978</v>
      </c>
      <c r="J578" s="534">
        <f t="shared" si="68"/>
        <v>0.98015597187177661</v>
      </c>
      <c r="K578" s="538">
        <f t="shared" si="69"/>
        <v>128259.38080919179</v>
      </c>
      <c r="L578" s="539">
        <f t="shared" si="70"/>
        <v>0.98008688146888179</v>
      </c>
      <c r="M578" s="540">
        <f t="shared" si="71"/>
        <v>153028.25092727627</v>
      </c>
      <c r="N578" s="534">
        <f t="shared" si="72"/>
        <v>0.98157004050277652</v>
      </c>
    </row>
    <row r="579" spans="7:14" x14ac:dyDescent="0.2">
      <c r="G579" s="538">
        <f t="shared" si="66"/>
        <v>129674.39503102977</v>
      </c>
      <c r="H579" s="539">
        <f t="shared" ref="H579:H642" si="73">0.9986-(7.006/SQRT(G579))+134.6/G579</f>
        <v>0.98018245657861769</v>
      </c>
      <c r="I579" s="540">
        <f t="shared" si="67"/>
        <v>129280.03922843978</v>
      </c>
      <c r="J579" s="534">
        <f t="shared" si="68"/>
        <v>0.98015597187177661</v>
      </c>
      <c r="K579" s="538">
        <f t="shared" si="69"/>
        <v>128259.38080919179</v>
      </c>
      <c r="L579" s="539">
        <f t="shared" si="70"/>
        <v>0.98008688146888179</v>
      </c>
      <c r="M579" s="540">
        <f t="shared" si="71"/>
        <v>153028.25092727627</v>
      </c>
      <c r="N579" s="534">
        <f t="shared" si="72"/>
        <v>0.98157004050277652</v>
      </c>
    </row>
    <row r="580" spans="7:14" x14ac:dyDescent="0.2">
      <c r="G580" s="538">
        <f t="shared" ref="G580:G643" si="74">($C$6/(1000*$C$12*$C$16))*(H579*SQRT(2*$C$5*100*$C$16))</f>
        <v>129674.39503102977</v>
      </c>
      <c r="H580" s="539">
        <f t="shared" si="73"/>
        <v>0.98018245657861769</v>
      </c>
      <c r="I580" s="540">
        <f t="shared" ref="I580:I643" si="75">($C$7/(1000*$C$12*$C$16))*(J579*SQRT(2*$C$5*100*$C$16))</f>
        <v>129280.03922843978</v>
      </c>
      <c r="J580" s="534">
        <f t="shared" ref="J580:J643" si="76">0.9986-(7.006/SQRT(I580))+134.6/I580</f>
        <v>0.98015597187177661</v>
      </c>
      <c r="K580" s="538">
        <f t="shared" ref="K580:K643" si="77">($C$8/(1000*$C$12*$C$16))*(L579*SQRT(2*$C$5*100*$C$16))</f>
        <v>128259.38080919179</v>
      </c>
      <c r="L580" s="539">
        <f t="shared" ref="L580:L643" si="78">0.9986-(7.006/SQRT(K580))+134.6/K580</f>
        <v>0.98008688146888179</v>
      </c>
      <c r="M580" s="540">
        <f t="shared" ref="M580:M643" si="79">($C$9/(1000*$C$12*$C$16))*(N579*SQRT(2*$C$5*100*$C$16))</f>
        <v>153028.25092727627</v>
      </c>
      <c r="N580" s="534">
        <f t="shared" ref="N580:N643" si="80">0.9986-(7.006/SQRT(M580))+134.6/M580</f>
        <v>0.98157004050277652</v>
      </c>
    </row>
    <row r="581" spans="7:14" x14ac:dyDescent="0.2">
      <c r="G581" s="538">
        <f t="shared" si="74"/>
        <v>129674.39503102977</v>
      </c>
      <c r="H581" s="539">
        <f t="shared" si="73"/>
        <v>0.98018245657861769</v>
      </c>
      <c r="I581" s="540">
        <f t="shared" si="75"/>
        <v>129280.03922843978</v>
      </c>
      <c r="J581" s="534">
        <f t="shared" si="76"/>
        <v>0.98015597187177661</v>
      </c>
      <c r="K581" s="538">
        <f t="shared" si="77"/>
        <v>128259.38080919179</v>
      </c>
      <c r="L581" s="539">
        <f t="shared" si="78"/>
        <v>0.98008688146888179</v>
      </c>
      <c r="M581" s="540">
        <f t="shared" si="79"/>
        <v>153028.25092727627</v>
      </c>
      <c r="N581" s="534">
        <f t="shared" si="80"/>
        <v>0.98157004050277652</v>
      </c>
    </row>
    <row r="582" spans="7:14" x14ac:dyDescent="0.2">
      <c r="G582" s="538">
        <f t="shared" si="74"/>
        <v>129674.39503102977</v>
      </c>
      <c r="H582" s="539">
        <f t="shared" si="73"/>
        <v>0.98018245657861769</v>
      </c>
      <c r="I582" s="540">
        <f t="shared" si="75"/>
        <v>129280.03922843978</v>
      </c>
      <c r="J582" s="534">
        <f t="shared" si="76"/>
        <v>0.98015597187177661</v>
      </c>
      <c r="K582" s="538">
        <f t="shared" si="77"/>
        <v>128259.38080919179</v>
      </c>
      <c r="L582" s="539">
        <f t="shared" si="78"/>
        <v>0.98008688146888179</v>
      </c>
      <c r="M582" s="540">
        <f t="shared" si="79"/>
        <v>153028.25092727627</v>
      </c>
      <c r="N582" s="534">
        <f t="shared" si="80"/>
        <v>0.98157004050277652</v>
      </c>
    </row>
    <row r="583" spans="7:14" x14ac:dyDescent="0.2">
      <c r="G583" s="538">
        <f t="shared" si="74"/>
        <v>129674.39503102977</v>
      </c>
      <c r="H583" s="539">
        <f t="shared" si="73"/>
        <v>0.98018245657861769</v>
      </c>
      <c r="I583" s="540">
        <f t="shared" si="75"/>
        <v>129280.03922843978</v>
      </c>
      <c r="J583" s="534">
        <f t="shared" si="76"/>
        <v>0.98015597187177661</v>
      </c>
      <c r="K583" s="538">
        <f t="shared" si="77"/>
        <v>128259.38080919179</v>
      </c>
      <c r="L583" s="539">
        <f t="shared" si="78"/>
        <v>0.98008688146888179</v>
      </c>
      <c r="M583" s="540">
        <f t="shared" si="79"/>
        <v>153028.25092727627</v>
      </c>
      <c r="N583" s="534">
        <f t="shared" si="80"/>
        <v>0.98157004050277652</v>
      </c>
    </row>
    <row r="584" spans="7:14" x14ac:dyDescent="0.2">
      <c r="G584" s="538">
        <f t="shared" si="74"/>
        <v>129674.39503102977</v>
      </c>
      <c r="H584" s="539">
        <f t="shared" si="73"/>
        <v>0.98018245657861769</v>
      </c>
      <c r="I584" s="540">
        <f t="shared" si="75"/>
        <v>129280.03922843978</v>
      </c>
      <c r="J584" s="534">
        <f t="shared" si="76"/>
        <v>0.98015597187177661</v>
      </c>
      <c r="K584" s="538">
        <f t="shared" si="77"/>
        <v>128259.38080919179</v>
      </c>
      <c r="L584" s="539">
        <f t="shared" si="78"/>
        <v>0.98008688146888179</v>
      </c>
      <c r="M584" s="540">
        <f t="shared" si="79"/>
        <v>153028.25092727627</v>
      </c>
      <c r="N584" s="534">
        <f t="shared" si="80"/>
        <v>0.98157004050277652</v>
      </c>
    </row>
    <row r="585" spans="7:14" x14ac:dyDescent="0.2">
      <c r="G585" s="538">
        <f t="shared" si="74"/>
        <v>129674.39503102977</v>
      </c>
      <c r="H585" s="539">
        <f t="shared" si="73"/>
        <v>0.98018245657861769</v>
      </c>
      <c r="I585" s="540">
        <f t="shared" si="75"/>
        <v>129280.03922843978</v>
      </c>
      <c r="J585" s="534">
        <f t="shared" si="76"/>
        <v>0.98015597187177661</v>
      </c>
      <c r="K585" s="538">
        <f t="shared" si="77"/>
        <v>128259.38080919179</v>
      </c>
      <c r="L585" s="539">
        <f t="shared" si="78"/>
        <v>0.98008688146888179</v>
      </c>
      <c r="M585" s="540">
        <f t="shared" si="79"/>
        <v>153028.25092727627</v>
      </c>
      <c r="N585" s="534">
        <f t="shared" si="80"/>
        <v>0.98157004050277652</v>
      </c>
    </row>
    <row r="586" spans="7:14" x14ac:dyDescent="0.2">
      <c r="G586" s="538">
        <f t="shared" si="74"/>
        <v>129674.39503102977</v>
      </c>
      <c r="H586" s="539">
        <f t="shared" si="73"/>
        <v>0.98018245657861769</v>
      </c>
      <c r="I586" s="540">
        <f t="shared" si="75"/>
        <v>129280.03922843978</v>
      </c>
      <c r="J586" s="534">
        <f t="shared" si="76"/>
        <v>0.98015597187177661</v>
      </c>
      <c r="K586" s="538">
        <f t="shared" si="77"/>
        <v>128259.38080919179</v>
      </c>
      <c r="L586" s="539">
        <f t="shared" si="78"/>
        <v>0.98008688146888179</v>
      </c>
      <c r="M586" s="540">
        <f t="shared" si="79"/>
        <v>153028.25092727627</v>
      </c>
      <c r="N586" s="534">
        <f t="shared" si="80"/>
        <v>0.98157004050277652</v>
      </c>
    </row>
    <row r="587" spans="7:14" x14ac:dyDescent="0.2">
      <c r="G587" s="538">
        <f t="shared" si="74"/>
        <v>129674.39503102977</v>
      </c>
      <c r="H587" s="539">
        <f t="shared" si="73"/>
        <v>0.98018245657861769</v>
      </c>
      <c r="I587" s="540">
        <f t="shared" si="75"/>
        <v>129280.03922843978</v>
      </c>
      <c r="J587" s="534">
        <f t="shared" si="76"/>
        <v>0.98015597187177661</v>
      </c>
      <c r="K587" s="538">
        <f t="shared" si="77"/>
        <v>128259.38080919179</v>
      </c>
      <c r="L587" s="539">
        <f t="shared" si="78"/>
        <v>0.98008688146888179</v>
      </c>
      <c r="M587" s="540">
        <f t="shared" si="79"/>
        <v>153028.25092727627</v>
      </c>
      <c r="N587" s="534">
        <f t="shared" si="80"/>
        <v>0.98157004050277652</v>
      </c>
    </row>
    <row r="588" spans="7:14" x14ac:dyDescent="0.2">
      <c r="G588" s="538">
        <f t="shared" si="74"/>
        <v>129674.39503102977</v>
      </c>
      <c r="H588" s="539">
        <f t="shared" si="73"/>
        <v>0.98018245657861769</v>
      </c>
      <c r="I588" s="540">
        <f t="shared" si="75"/>
        <v>129280.03922843978</v>
      </c>
      <c r="J588" s="534">
        <f t="shared" si="76"/>
        <v>0.98015597187177661</v>
      </c>
      <c r="K588" s="538">
        <f t="shared" si="77"/>
        <v>128259.38080919179</v>
      </c>
      <c r="L588" s="539">
        <f t="shared" si="78"/>
        <v>0.98008688146888179</v>
      </c>
      <c r="M588" s="540">
        <f t="shared" si="79"/>
        <v>153028.25092727627</v>
      </c>
      <c r="N588" s="534">
        <f t="shared" si="80"/>
        <v>0.98157004050277652</v>
      </c>
    </row>
    <row r="589" spans="7:14" x14ac:dyDescent="0.2">
      <c r="G589" s="538">
        <f t="shared" si="74"/>
        <v>129674.39503102977</v>
      </c>
      <c r="H589" s="539">
        <f t="shared" si="73"/>
        <v>0.98018245657861769</v>
      </c>
      <c r="I589" s="540">
        <f t="shared" si="75"/>
        <v>129280.03922843978</v>
      </c>
      <c r="J589" s="534">
        <f t="shared" si="76"/>
        <v>0.98015597187177661</v>
      </c>
      <c r="K589" s="538">
        <f t="shared" si="77"/>
        <v>128259.38080919179</v>
      </c>
      <c r="L589" s="539">
        <f t="shared" si="78"/>
        <v>0.98008688146888179</v>
      </c>
      <c r="M589" s="540">
        <f t="shared" si="79"/>
        <v>153028.25092727627</v>
      </c>
      <c r="N589" s="534">
        <f t="shared" si="80"/>
        <v>0.98157004050277652</v>
      </c>
    </row>
    <row r="590" spans="7:14" x14ac:dyDescent="0.2">
      <c r="G590" s="538">
        <f t="shared" si="74"/>
        <v>129674.39503102977</v>
      </c>
      <c r="H590" s="539">
        <f t="shared" si="73"/>
        <v>0.98018245657861769</v>
      </c>
      <c r="I590" s="540">
        <f t="shared" si="75"/>
        <v>129280.03922843978</v>
      </c>
      <c r="J590" s="534">
        <f t="shared" si="76"/>
        <v>0.98015597187177661</v>
      </c>
      <c r="K590" s="538">
        <f t="shared" si="77"/>
        <v>128259.38080919179</v>
      </c>
      <c r="L590" s="539">
        <f t="shared" si="78"/>
        <v>0.98008688146888179</v>
      </c>
      <c r="M590" s="540">
        <f t="shared" si="79"/>
        <v>153028.25092727627</v>
      </c>
      <c r="N590" s="534">
        <f t="shared" si="80"/>
        <v>0.98157004050277652</v>
      </c>
    </row>
    <row r="591" spans="7:14" x14ac:dyDescent="0.2">
      <c r="G591" s="538">
        <f t="shared" si="74"/>
        <v>129674.39503102977</v>
      </c>
      <c r="H591" s="539">
        <f t="shared" si="73"/>
        <v>0.98018245657861769</v>
      </c>
      <c r="I591" s="540">
        <f t="shared" si="75"/>
        <v>129280.03922843978</v>
      </c>
      <c r="J591" s="534">
        <f t="shared" si="76"/>
        <v>0.98015597187177661</v>
      </c>
      <c r="K591" s="538">
        <f t="shared" si="77"/>
        <v>128259.38080919179</v>
      </c>
      <c r="L591" s="539">
        <f t="shared" si="78"/>
        <v>0.98008688146888179</v>
      </c>
      <c r="M591" s="540">
        <f t="shared" si="79"/>
        <v>153028.25092727627</v>
      </c>
      <c r="N591" s="534">
        <f t="shared" si="80"/>
        <v>0.98157004050277652</v>
      </c>
    </row>
    <row r="592" spans="7:14" x14ac:dyDescent="0.2">
      <c r="G592" s="538">
        <f t="shared" si="74"/>
        <v>129674.39503102977</v>
      </c>
      <c r="H592" s="539">
        <f t="shared" si="73"/>
        <v>0.98018245657861769</v>
      </c>
      <c r="I592" s="540">
        <f t="shared" si="75"/>
        <v>129280.03922843978</v>
      </c>
      <c r="J592" s="534">
        <f t="shared" si="76"/>
        <v>0.98015597187177661</v>
      </c>
      <c r="K592" s="538">
        <f t="shared" si="77"/>
        <v>128259.38080919179</v>
      </c>
      <c r="L592" s="539">
        <f t="shared" si="78"/>
        <v>0.98008688146888179</v>
      </c>
      <c r="M592" s="540">
        <f t="shared" si="79"/>
        <v>153028.25092727627</v>
      </c>
      <c r="N592" s="534">
        <f t="shared" si="80"/>
        <v>0.98157004050277652</v>
      </c>
    </row>
    <row r="593" spans="7:14" x14ac:dyDescent="0.2">
      <c r="G593" s="538">
        <f t="shared" si="74"/>
        <v>129674.39503102977</v>
      </c>
      <c r="H593" s="539">
        <f t="shared" si="73"/>
        <v>0.98018245657861769</v>
      </c>
      <c r="I593" s="540">
        <f t="shared" si="75"/>
        <v>129280.03922843978</v>
      </c>
      <c r="J593" s="534">
        <f t="shared" si="76"/>
        <v>0.98015597187177661</v>
      </c>
      <c r="K593" s="538">
        <f t="shared" si="77"/>
        <v>128259.38080919179</v>
      </c>
      <c r="L593" s="539">
        <f t="shared" si="78"/>
        <v>0.98008688146888179</v>
      </c>
      <c r="M593" s="540">
        <f t="shared" si="79"/>
        <v>153028.25092727627</v>
      </c>
      <c r="N593" s="534">
        <f t="shared" si="80"/>
        <v>0.98157004050277652</v>
      </c>
    </row>
    <row r="594" spans="7:14" x14ac:dyDescent="0.2">
      <c r="G594" s="538">
        <f t="shared" si="74"/>
        <v>129674.39503102977</v>
      </c>
      <c r="H594" s="539">
        <f t="shared" si="73"/>
        <v>0.98018245657861769</v>
      </c>
      <c r="I594" s="540">
        <f t="shared" si="75"/>
        <v>129280.03922843978</v>
      </c>
      <c r="J594" s="534">
        <f t="shared" si="76"/>
        <v>0.98015597187177661</v>
      </c>
      <c r="K594" s="538">
        <f t="shared" si="77"/>
        <v>128259.38080919179</v>
      </c>
      <c r="L594" s="539">
        <f t="shared" si="78"/>
        <v>0.98008688146888179</v>
      </c>
      <c r="M594" s="540">
        <f t="shared" si="79"/>
        <v>153028.25092727627</v>
      </c>
      <c r="N594" s="534">
        <f t="shared" si="80"/>
        <v>0.98157004050277652</v>
      </c>
    </row>
    <row r="595" spans="7:14" x14ac:dyDescent="0.2">
      <c r="G595" s="538">
        <f t="shared" si="74"/>
        <v>129674.39503102977</v>
      </c>
      <c r="H595" s="539">
        <f t="shared" si="73"/>
        <v>0.98018245657861769</v>
      </c>
      <c r="I595" s="540">
        <f t="shared" si="75"/>
        <v>129280.03922843978</v>
      </c>
      <c r="J595" s="534">
        <f t="shared" si="76"/>
        <v>0.98015597187177661</v>
      </c>
      <c r="K595" s="538">
        <f t="shared" si="77"/>
        <v>128259.38080919179</v>
      </c>
      <c r="L595" s="539">
        <f t="shared" si="78"/>
        <v>0.98008688146888179</v>
      </c>
      <c r="M595" s="540">
        <f t="shared" si="79"/>
        <v>153028.25092727627</v>
      </c>
      <c r="N595" s="534">
        <f t="shared" si="80"/>
        <v>0.98157004050277652</v>
      </c>
    </row>
    <row r="596" spans="7:14" x14ac:dyDescent="0.2">
      <c r="G596" s="538">
        <f t="shared" si="74"/>
        <v>129674.39503102977</v>
      </c>
      <c r="H596" s="539">
        <f t="shared" si="73"/>
        <v>0.98018245657861769</v>
      </c>
      <c r="I596" s="540">
        <f t="shared" si="75"/>
        <v>129280.03922843978</v>
      </c>
      <c r="J596" s="534">
        <f t="shared" si="76"/>
        <v>0.98015597187177661</v>
      </c>
      <c r="K596" s="538">
        <f t="shared" si="77"/>
        <v>128259.38080919179</v>
      </c>
      <c r="L596" s="539">
        <f t="shared" si="78"/>
        <v>0.98008688146888179</v>
      </c>
      <c r="M596" s="540">
        <f t="shared" si="79"/>
        <v>153028.25092727627</v>
      </c>
      <c r="N596" s="534">
        <f t="shared" si="80"/>
        <v>0.98157004050277652</v>
      </c>
    </row>
    <row r="597" spans="7:14" x14ac:dyDescent="0.2">
      <c r="G597" s="538">
        <f t="shared" si="74"/>
        <v>129674.39503102977</v>
      </c>
      <c r="H597" s="539">
        <f t="shared" si="73"/>
        <v>0.98018245657861769</v>
      </c>
      <c r="I597" s="540">
        <f t="shared" si="75"/>
        <v>129280.03922843978</v>
      </c>
      <c r="J597" s="534">
        <f t="shared" si="76"/>
        <v>0.98015597187177661</v>
      </c>
      <c r="K597" s="538">
        <f t="shared" si="77"/>
        <v>128259.38080919179</v>
      </c>
      <c r="L597" s="539">
        <f t="shared" si="78"/>
        <v>0.98008688146888179</v>
      </c>
      <c r="M597" s="540">
        <f t="shared" si="79"/>
        <v>153028.25092727627</v>
      </c>
      <c r="N597" s="534">
        <f t="shared" si="80"/>
        <v>0.98157004050277652</v>
      </c>
    </row>
    <row r="598" spans="7:14" x14ac:dyDescent="0.2">
      <c r="G598" s="538">
        <f t="shared" si="74"/>
        <v>129674.39503102977</v>
      </c>
      <c r="H598" s="539">
        <f t="shared" si="73"/>
        <v>0.98018245657861769</v>
      </c>
      <c r="I598" s="540">
        <f t="shared" si="75"/>
        <v>129280.03922843978</v>
      </c>
      <c r="J598" s="534">
        <f t="shared" si="76"/>
        <v>0.98015597187177661</v>
      </c>
      <c r="K598" s="538">
        <f t="shared" si="77"/>
        <v>128259.38080919179</v>
      </c>
      <c r="L598" s="539">
        <f t="shared" si="78"/>
        <v>0.98008688146888179</v>
      </c>
      <c r="M598" s="540">
        <f t="shared" si="79"/>
        <v>153028.25092727627</v>
      </c>
      <c r="N598" s="534">
        <f t="shared" si="80"/>
        <v>0.98157004050277652</v>
      </c>
    </row>
    <row r="599" spans="7:14" x14ac:dyDescent="0.2">
      <c r="G599" s="538">
        <f t="shared" si="74"/>
        <v>129674.39503102977</v>
      </c>
      <c r="H599" s="539">
        <f t="shared" si="73"/>
        <v>0.98018245657861769</v>
      </c>
      <c r="I599" s="540">
        <f t="shared" si="75"/>
        <v>129280.03922843978</v>
      </c>
      <c r="J599" s="534">
        <f t="shared" si="76"/>
        <v>0.98015597187177661</v>
      </c>
      <c r="K599" s="538">
        <f t="shared" si="77"/>
        <v>128259.38080919179</v>
      </c>
      <c r="L599" s="539">
        <f t="shared" si="78"/>
        <v>0.98008688146888179</v>
      </c>
      <c r="M599" s="540">
        <f t="shared" si="79"/>
        <v>153028.25092727627</v>
      </c>
      <c r="N599" s="534">
        <f t="shared" si="80"/>
        <v>0.98157004050277652</v>
      </c>
    </row>
    <row r="600" spans="7:14" x14ac:dyDescent="0.2">
      <c r="G600" s="538">
        <f t="shared" si="74"/>
        <v>129674.39503102977</v>
      </c>
      <c r="H600" s="539">
        <f t="shared" si="73"/>
        <v>0.98018245657861769</v>
      </c>
      <c r="I600" s="540">
        <f t="shared" si="75"/>
        <v>129280.03922843978</v>
      </c>
      <c r="J600" s="534">
        <f t="shared" si="76"/>
        <v>0.98015597187177661</v>
      </c>
      <c r="K600" s="538">
        <f t="shared" si="77"/>
        <v>128259.38080919179</v>
      </c>
      <c r="L600" s="539">
        <f t="shared" si="78"/>
        <v>0.98008688146888179</v>
      </c>
      <c r="M600" s="540">
        <f t="shared" si="79"/>
        <v>153028.25092727627</v>
      </c>
      <c r="N600" s="534">
        <f t="shared" si="80"/>
        <v>0.98157004050277652</v>
      </c>
    </row>
    <row r="601" spans="7:14" x14ac:dyDescent="0.2">
      <c r="G601" s="538">
        <f t="shared" si="74"/>
        <v>129674.39503102977</v>
      </c>
      <c r="H601" s="539">
        <f t="shared" si="73"/>
        <v>0.98018245657861769</v>
      </c>
      <c r="I601" s="540">
        <f t="shared" si="75"/>
        <v>129280.03922843978</v>
      </c>
      <c r="J601" s="534">
        <f t="shared" si="76"/>
        <v>0.98015597187177661</v>
      </c>
      <c r="K601" s="538">
        <f t="shared" si="77"/>
        <v>128259.38080919179</v>
      </c>
      <c r="L601" s="539">
        <f t="shared" si="78"/>
        <v>0.98008688146888179</v>
      </c>
      <c r="M601" s="540">
        <f t="shared" si="79"/>
        <v>153028.25092727627</v>
      </c>
      <c r="N601" s="534">
        <f t="shared" si="80"/>
        <v>0.98157004050277652</v>
      </c>
    </row>
    <row r="602" spans="7:14" x14ac:dyDescent="0.2">
      <c r="G602" s="538">
        <f t="shared" si="74"/>
        <v>129674.39503102977</v>
      </c>
      <c r="H602" s="539">
        <f t="shared" si="73"/>
        <v>0.98018245657861769</v>
      </c>
      <c r="I602" s="540">
        <f t="shared" si="75"/>
        <v>129280.03922843978</v>
      </c>
      <c r="J602" s="534">
        <f t="shared" si="76"/>
        <v>0.98015597187177661</v>
      </c>
      <c r="K602" s="538">
        <f t="shared" si="77"/>
        <v>128259.38080919179</v>
      </c>
      <c r="L602" s="539">
        <f t="shared" si="78"/>
        <v>0.98008688146888179</v>
      </c>
      <c r="M602" s="540">
        <f t="shared" si="79"/>
        <v>153028.25092727627</v>
      </c>
      <c r="N602" s="534">
        <f t="shared" si="80"/>
        <v>0.98157004050277652</v>
      </c>
    </row>
    <row r="603" spans="7:14" x14ac:dyDescent="0.2">
      <c r="G603" s="538">
        <f t="shared" si="74"/>
        <v>129674.39503102977</v>
      </c>
      <c r="H603" s="539">
        <f t="shared" si="73"/>
        <v>0.98018245657861769</v>
      </c>
      <c r="I603" s="540">
        <f t="shared" si="75"/>
        <v>129280.03922843978</v>
      </c>
      <c r="J603" s="534">
        <f t="shared" si="76"/>
        <v>0.98015597187177661</v>
      </c>
      <c r="K603" s="538">
        <f t="shared" si="77"/>
        <v>128259.38080919179</v>
      </c>
      <c r="L603" s="539">
        <f t="shared" si="78"/>
        <v>0.98008688146888179</v>
      </c>
      <c r="M603" s="540">
        <f t="shared" si="79"/>
        <v>153028.25092727627</v>
      </c>
      <c r="N603" s="534">
        <f t="shared" si="80"/>
        <v>0.98157004050277652</v>
      </c>
    </row>
    <row r="604" spans="7:14" x14ac:dyDescent="0.2">
      <c r="G604" s="538">
        <f t="shared" si="74"/>
        <v>129674.39503102977</v>
      </c>
      <c r="H604" s="539">
        <f t="shared" si="73"/>
        <v>0.98018245657861769</v>
      </c>
      <c r="I604" s="540">
        <f t="shared" si="75"/>
        <v>129280.03922843978</v>
      </c>
      <c r="J604" s="534">
        <f t="shared" si="76"/>
        <v>0.98015597187177661</v>
      </c>
      <c r="K604" s="538">
        <f t="shared" si="77"/>
        <v>128259.38080919179</v>
      </c>
      <c r="L604" s="539">
        <f t="shared" si="78"/>
        <v>0.98008688146888179</v>
      </c>
      <c r="M604" s="540">
        <f t="shared" si="79"/>
        <v>153028.25092727627</v>
      </c>
      <c r="N604" s="534">
        <f t="shared" si="80"/>
        <v>0.98157004050277652</v>
      </c>
    </row>
    <row r="605" spans="7:14" x14ac:dyDescent="0.2">
      <c r="G605" s="538">
        <f t="shared" si="74"/>
        <v>129674.39503102977</v>
      </c>
      <c r="H605" s="539">
        <f t="shared" si="73"/>
        <v>0.98018245657861769</v>
      </c>
      <c r="I605" s="540">
        <f t="shared" si="75"/>
        <v>129280.03922843978</v>
      </c>
      <c r="J605" s="534">
        <f t="shared" si="76"/>
        <v>0.98015597187177661</v>
      </c>
      <c r="K605" s="538">
        <f t="shared" si="77"/>
        <v>128259.38080919179</v>
      </c>
      <c r="L605" s="539">
        <f t="shared" si="78"/>
        <v>0.98008688146888179</v>
      </c>
      <c r="M605" s="540">
        <f t="shared" si="79"/>
        <v>153028.25092727627</v>
      </c>
      <c r="N605" s="534">
        <f t="shared" si="80"/>
        <v>0.98157004050277652</v>
      </c>
    </row>
    <row r="606" spans="7:14" x14ac:dyDescent="0.2">
      <c r="G606" s="538">
        <f t="shared" si="74"/>
        <v>129674.39503102977</v>
      </c>
      <c r="H606" s="539">
        <f t="shared" si="73"/>
        <v>0.98018245657861769</v>
      </c>
      <c r="I606" s="540">
        <f t="shared" si="75"/>
        <v>129280.03922843978</v>
      </c>
      <c r="J606" s="534">
        <f t="shared" si="76"/>
        <v>0.98015597187177661</v>
      </c>
      <c r="K606" s="538">
        <f t="shared" si="77"/>
        <v>128259.38080919179</v>
      </c>
      <c r="L606" s="539">
        <f t="shared" si="78"/>
        <v>0.98008688146888179</v>
      </c>
      <c r="M606" s="540">
        <f t="shared" si="79"/>
        <v>153028.25092727627</v>
      </c>
      <c r="N606" s="534">
        <f t="shared" si="80"/>
        <v>0.98157004050277652</v>
      </c>
    </row>
    <row r="607" spans="7:14" x14ac:dyDescent="0.2">
      <c r="G607" s="538">
        <f t="shared" si="74"/>
        <v>129674.39503102977</v>
      </c>
      <c r="H607" s="539">
        <f t="shared" si="73"/>
        <v>0.98018245657861769</v>
      </c>
      <c r="I607" s="540">
        <f t="shared" si="75"/>
        <v>129280.03922843978</v>
      </c>
      <c r="J607" s="534">
        <f t="shared" si="76"/>
        <v>0.98015597187177661</v>
      </c>
      <c r="K607" s="538">
        <f t="shared" si="77"/>
        <v>128259.38080919179</v>
      </c>
      <c r="L607" s="539">
        <f t="shared" si="78"/>
        <v>0.98008688146888179</v>
      </c>
      <c r="M607" s="540">
        <f t="shared" si="79"/>
        <v>153028.25092727627</v>
      </c>
      <c r="N607" s="534">
        <f t="shared" si="80"/>
        <v>0.98157004050277652</v>
      </c>
    </row>
    <row r="608" spans="7:14" x14ac:dyDescent="0.2">
      <c r="G608" s="538">
        <f t="shared" si="74"/>
        <v>129674.39503102977</v>
      </c>
      <c r="H608" s="539">
        <f t="shared" si="73"/>
        <v>0.98018245657861769</v>
      </c>
      <c r="I608" s="540">
        <f t="shared" si="75"/>
        <v>129280.03922843978</v>
      </c>
      <c r="J608" s="534">
        <f t="shared" si="76"/>
        <v>0.98015597187177661</v>
      </c>
      <c r="K608" s="538">
        <f t="shared" si="77"/>
        <v>128259.38080919179</v>
      </c>
      <c r="L608" s="539">
        <f t="shared" si="78"/>
        <v>0.98008688146888179</v>
      </c>
      <c r="M608" s="540">
        <f t="shared" si="79"/>
        <v>153028.25092727627</v>
      </c>
      <c r="N608" s="534">
        <f t="shared" si="80"/>
        <v>0.98157004050277652</v>
      </c>
    </row>
    <row r="609" spans="7:14" x14ac:dyDescent="0.2">
      <c r="G609" s="538">
        <f t="shared" si="74"/>
        <v>129674.39503102977</v>
      </c>
      <c r="H609" s="539">
        <f t="shared" si="73"/>
        <v>0.98018245657861769</v>
      </c>
      <c r="I609" s="540">
        <f t="shared" si="75"/>
        <v>129280.03922843978</v>
      </c>
      <c r="J609" s="534">
        <f t="shared" si="76"/>
        <v>0.98015597187177661</v>
      </c>
      <c r="K609" s="538">
        <f t="shared" si="77"/>
        <v>128259.38080919179</v>
      </c>
      <c r="L609" s="539">
        <f t="shared" si="78"/>
        <v>0.98008688146888179</v>
      </c>
      <c r="M609" s="540">
        <f t="shared" si="79"/>
        <v>153028.25092727627</v>
      </c>
      <c r="N609" s="534">
        <f t="shared" si="80"/>
        <v>0.98157004050277652</v>
      </c>
    </row>
    <row r="610" spans="7:14" x14ac:dyDescent="0.2">
      <c r="G610" s="538">
        <f t="shared" si="74"/>
        <v>129674.39503102977</v>
      </c>
      <c r="H610" s="539">
        <f t="shared" si="73"/>
        <v>0.98018245657861769</v>
      </c>
      <c r="I610" s="540">
        <f t="shared" si="75"/>
        <v>129280.03922843978</v>
      </c>
      <c r="J610" s="534">
        <f t="shared" si="76"/>
        <v>0.98015597187177661</v>
      </c>
      <c r="K610" s="538">
        <f t="shared" si="77"/>
        <v>128259.38080919179</v>
      </c>
      <c r="L610" s="539">
        <f t="shared" si="78"/>
        <v>0.98008688146888179</v>
      </c>
      <c r="M610" s="540">
        <f t="shared" si="79"/>
        <v>153028.25092727627</v>
      </c>
      <c r="N610" s="534">
        <f t="shared" si="80"/>
        <v>0.98157004050277652</v>
      </c>
    </row>
    <row r="611" spans="7:14" x14ac:dyDescent="0.2">
      <c r="G611" s="538">
        <f t="shared" si="74"/>
        <v>129674.39503102977</v>
      </c>
      <c r="H611" s="539">
        <f t="shared" si="73"/>
        <v>0.98018245657861769</v>
      </c>
      <c r="I611" s="540">
        <f t="shared" si="75"/>
        <v>129280.03922843978</v>
      </c>
      <c r="J611" s="534">
        <f t="shared" si="76"/>
        <v>0.98015597187177661</v>
      </c>
      <c r="K611" s="538">
        <f t="shared" si="77"/>
        <v>128259.38080919179</v>
      </c>
      <c r="L611" s="539">
        <f t="shared" si="78"/>
        <v>0.98008688146888179</v>
      </c>
      <c r="M611" s="540">
        <f t="shared" si="79"/>
        <v>153028.25092727627</v>
      </c>
      <c r="N611" s="534">
        <f t="shared" si="80"/>
        <v>0.98157004050277652</v>
      </c>
    </row>
    <row r="612" spans="7:14" x14ac:dyDescent="0.2">
      <c r="G612" s="538">
        <f t="shared" si="74"/>
        <v>129674.39503102977</v>
      </c>
      <c r="H612" s="539">
        <f t="shared" si="73"/>
        <v>0.98018245657861769</v>
      </c>
      <c r="I612" s="540">
        <f t="shared" si="75"/>
        <v>129280.03922843978</v>
      </c>
      <c r="J612" s="534">
        <f t="shared" si="76"/>
        <v>0.98015597187177661</v>
      </c>
      <c r="K612" s="538">
        <f t="shared" si="77"/>
        <v>128259.38080919179</v>
      </c>
      <c r="L612" s="539">
        <f t="shared" si="78"/>
        <v>0.98008688146888179</v>
      </c>
      <c r="M612" s="540">
        <f t="shared" si="79"/>
        <v>153028.25092727627</v>
      </c>
      <c r="N612" s="534">
        <f t="shared" si="80"/>
        <v>0.98157004050277652</v>
      </c>
    </row>
    <row r="613" spans="7:14" x14ac:dyDescent="0.2">
      <c r="G613" s="538">
        <f t="shared" si="74"/>
        <v>129674.39503102977</v>
      </c>
      <c r="H613" s="539">
        <f t="shared" si="73"/>
        <v>0.98018245657861769</v>
      </c>
      <c r="I613" s="540">
        <f t="shared" si="75"/>
        <v>129280.03922843978</v>
      </c>
      <c r="J613" s="534">
        <f t="shared" si="76"/>
        <v>0.98015597187177661</v>
      </c>
      <c r="K613" s="538">
        <f t="shared" si="77"/>
        <v>128259.38080919179</v>
      </c>
      <c r="L613" s="539">
        <f t="shared" si="78"/>
        <v>0.98008688146888179</v>
      </c>
      <c r="M613" s="540">
        <f t="shared" si="79"/>
        <v>153028.25092727627</v>
      </c>
      <c r="N613" s="534">
        <f t="shared" si="80"/>
        <v>0.98157004050277652</v>
      </c>
    </row>
    <row r="614" spans="7:14" x14ac:dyDescent="0.2">
      <c r="G614" s="538">
        <f t="shared" si="74"/>
        <v>129674.39503102977</v>
      </c>
      <c r="H614" s="539">
        <f t="shared" si="73"/>
        <v>0.98018245657861769</v>
      </c>
      <c r="I614" s="540">
        <f t="shared" si="75"/>
        <v>129280.03922843978</v>
      </c>
      <c r="J614" s="534">
        <f t="shared" si="76"/>
        <v>0.98015597187177661</v>
      </c>
      <c r="K614" s="538">
        <f t="shared" si="77"/>
        <v>128259.38080919179</v>
      </c>
      <c r="L614" s="539">
        <f t="shared" si="78"/>
        <v>0.98008688146888179</v>
      </c>
      <c r="M614" s="540">
        <f t="shared" si="79"/>
        <v>153028.25092727627</v>
      </c>
      <c r="N614" s="534">
        <f t="shared" si="80"/>
        <v>0.98157004050277652</v>
      </c>
    </row>
    <row r="615" spans="7:14" x14ac:dyDescent="0.2">
      <c r="G615" s="538">
        <f t="shared" si="74"/>
        <v>129674.39503102977</v>
      </c>
      <c r="H615" s="539">
        <f t="shared" si="73"/>
        <v>0.98018245657861769</v>
      </c>
      <c r="I615" s="540">
        <f t="shared" si="75"/>
        <v>129280.03922843978</v>
      </c>
      <c r="J615" s="534">
        <f t="shared" si="76"/>
        <v>0.98015597187177661</v>
      </c>
      <c r="K615" s="538">
        <f t="shared" si="77"/>
        <v>128259.38080919179</v>
      </c>
      <c r="L615" s="539">
        <f t="shared" si="78"/>
        <v>0.98008688146888179</v>
      </c>
      <c r="M615" s="540">
        <f t="shared" si="79"/>
        <v>153028.25092727627</v>
      </c>
      <c r="N615" s="534">
        <f t="shared" si="80"/>
        <v>0.98157004050277652</v>
      </c>
    </row>
    <row r="616" spans="7:14" x14ac:dyDescent="0.2">
      <c r="G616" s="538">
        <f t="shared" si="74"/>
        <v>129674.39503102977</v>
      </c>
      <c r="H616" s="539">
        <f t="shared" si="73"/>
        <v>0.98018245657861769</v>
      </c>
      <c r="I616" s="540">
        <f t="shared" si="75"/>
        <v>129280.03922843978</v>
      </c>
      <c r="J616" s="534">
        <f t="shared" si="76"/>
        <v>0.98015597187177661</v>
      </c>
      <c r="K616" s="538">
        <f t="shared" si="77"/>
        <v>128259.38080919179</v>
      </c>
      <c r="L616" s="539">
        <f t="shared" si="78"/>
        <v>0.98008688146888179</v>
      </c>
      <c r="M616" s="540">
        <f t="shared" si="79"/>
        <v>153028.25092727627</v>
      </c>
      <c r="N616" s="534">
        <f t="shared" si="80"/>
        <v>0.98157004050277652</v>
      </c>
    </row>
    <row r="617" spans="7:14" x14ac:dyDescent="0.2">
      <c r="G617" s="538">
        <f t="shared" si="74"/>
        <v>129674.39503102977</v>
      </c>
      <c r="H617" s="539">
        <f t="shared" si="73"/>
        <v>0.98018245657861769</v>
      </c>
      <c r="I617" s="540">
        <f t="shared" si="75"/>
        <v>129280.03922843978</v>
      </c>
      <c r="J617" s="534">
        <f t="shared" si="76"/>
        <v>0.98015597187177661</v>
      </c>
      <c r="K617" s="538">
        <f t="shared" si="77"/>
        <v>128259.38080919179</v>
      </c>
      <c r="L617" s="539">
        <f t="shared" si="78"/>
        <v>0.98008688146888179</v>
      </c>
      <c r="M617" s="540">
        <f t="shared" si="79"/>
        <v>153028.25092727627</v>
      </c>
      <c r="N617" s="534">
        <f t="shared" si="80"/>
        <v>0.98157004050277652</v>
      </c>
    </row>
    <row r="618" spans="7:14" x14ac:dyDescent="0.2">
      <c r="G618" s="538">
        <f t="shared" si="74"/>
        <v>129674.39503102977</v>
      </c>
      <c r="H618" s="539">
        <f t="shared" si="73"/>
        <v>0.98018245657861769</v>
      </c>
      <c r="I618" s="540">
        <f t="shared" si="75"/>
        <v>129280.03922843978</v>
      </c>
      <c r="J618" s="534">
        <f t="shared" si="76"/>
        <v>0.98015597187177661</v>
      </c>
      <c r="K618" s="538">
        <f t="shared" si="77"/>
        <v>128259.38080919179</v>
      </c>
      <c r="L618" s="539">
        <f t="shared" si="78"/>
        <v>0.98008688146888179</v>
      </c>
      <c r="M618" s="540">
        <f t="shared" si="79"/>
        <v>153028.25092727627</v>
      </c>
      <c r="N618" s="534">
        <f t="shared" si="80"/>
        <v>0.98157004050277652</v>
      </c>
    </row>
    <row r="619" spans="7:14" x14ac:dyDescent="0.2">
      <c r="G619" s="538">
        <f t="shared" si="74"/>
        <v>129674.39503102977</v>
      </c>
      <c r="H619" s="539">
        <f t="shared" si="73"/>
        <v>0.98018245657861769</v>
      </c>
      <c r="I619" s="540">
        <f t="shared" si="75"/>
        <v>129280.03922843978</v>
      </c>
      <c r="J619" s="534">
        <f t="shared" si="76"/>
        <v>0.98015597187177661</v>
      </c>
      <c r="K619" s="538">
        <f t="shared" si="77"/>
        <v>128259.38080919179</v>
      </c>
      <c r="L619" s="539">
        <f t="shared" si="78"/>
        <v>0.98008688146888179</v>
      </c>
      <c r="M619" s="540">
        <f t="shared" si="79"/>
        <v>153028.25092727627</v>
      </c>
      <c r="N619" s="534">
        <f t="shared" si="80"/>
        <v>0.98157004050277652</v>
      </c>
    </row>
    <row r="620" spans="7:14" x14ac:dyDescent="0.2">
      <c r="G620" s="538">
        <f t="shared" si="74"/>
        <v>129674.39503102977</v>
      </c>
      <c r="H620" s="539">
        <f t="shared" si="73"/>
        <v>0.98018245657861769</v>
      </c>
      <c r="I620" s="540">
        <f t="shared" si="75"/>
        <v>129280.03922843978</v>
      </c>
      <c r="J620" s="534">
        <f t="shared" si="76"/>
        <v>0.98015597187177661</v>
      </c>
      <c r="K620" s="538">
        <f t="shared" si="77"/>
        <v>128259.38080919179</v>
      </c>
      <c r="L620" s="539">
        <f t="shared" si="78"/>
        <v>0.98008688146888179</v>
      </c>
      <c r="M620" s="540">
        <f t="shared" si="79"/>
        <v>153028.25092727627</v>
      </c>
      <c r="N620" s="534">
        <f t="shared" si="80"/>
        <v>0.98157004050277652</v>
      </c>
    </row>
    <row r="621" spans="7:14" x14ac:dyDescent="0.2">
      <c r="G621" s="538">
        <f t="shared" si="74"/>
        <v>129674.39503102977</v>
      </c>
      <c r="H621" s="539">
        <f t="shared" si="73"/>
        <v>0.98018245657861769</v>
      </c>
      <c r="I621" s="540">
        <f t="shared" si="75"/>
        <v>129280.03922843978</v>
      </c>
      <c r="J621" s="534">
        <f t="shared" si="76"/>
        <v>0.98015597187177661</v>
      </c>
      <c r="K621" s="538">
        <f t="shared" si="77"/>
        <v>128259.38080919179</v>
      </c>
      <c r="L621" s="539">
        <f t="shared" si="78"/>
        <v>0.98008688146888179</v>
      </c>
      <c r="M621" s="540">
        <f t="shared" si="79"/>
        <v>153028.25092727627</v>
      </c>
      <c r="N621" s="534">
        <f t="shared" si="80"/>
        <v>0.98157004050277652</v>
      </c>
    </row>
    <row r="622" spans="7:14" x14ac:dyDescent="0.2">
      <c r="G622" s="538">
        <f t="shared" si="74"/>
        <v>129674.39503102977</v>
      </c>
      <c r="H622" s="539">
        <f t="shared" si="73"/>
        <v>0.98018245657861769</v>
      </c>
      <c r="I622" s="540">
        <f t="shared" si="75"/>
        <v>129280.03922843978</v>
      </c>
      <c r="J622" s="534">
        <f t="shared" si="76"/>
        <v>0.98015597187177661</v>
      </c>
      <c r="K622" s="538">
        <f t="shared" si="77"/>
        <v>128259.38080919179</v>
      </c>
      <c r="L622" s="539">
        <f t="shared" si="78"/>
        <v>0.98008688146888179</v>
      </c>
      <c r="M622" s="540">
        <f t="shared" si="79"/>
        <v>153028.25092727627</v>
      </c>
      <c r="N622" s="534">
        <f t="shared" si="80"/>
        <v>0.98157004050277652</v>
      </c>
    </row>
    <row r="623" spans="7:14" x14ac:dyDescent="0.2">
      <c r="G623" s="538">
        <f t="shared" si="74"/>
        <v>129674.39503102977</v>
      </c>
      <c r="H623" s="539">
        <f t="shared" si="73"/>
        <v>0.98018245657861769</v>
      </c>
      <c r="I623" s="540">
        <f t="shared" si="75"/>
        <v>129280.03922843978</v>
      </c>
      <c r="J623" s="534">
        <f t="shared" si="76"/>
        <v>0.98015597187177661</v>
      </c>
      <c r="K623" s="538">
        <f t="shared" si="77"/>
        <v>128259.38080919179</v>
      </c>
      <c r="L623" s="539">
        <f t="shared" si="78"/>
        <v>0.98008688146888179</v>
      </c>
      <c r="M623" s="540">
        <f t="shared" si="79"/>
        <v>153028.25092727627</v>
      </c>
      <c r="N623" s="534">
        <f t="shared" si="80"/>
        <v>0.98157004050277652</v>
      </c>
    </row>
    <row r="624" spans="7:14" x14ac:dyDescent="0.2">
      <c r="G624" s="538">
        <f t="shared" si="74"/>
        <v>129674.39503102977</v>
      </c>
      <c r="H624" s="539">
        <f t="shared" si="73"/>
        <v>0.98018245657861769</v>
      </c>
      <c r="I624" s="540">
        <f t="shared" si="75"/>
        <v>129280.03922843978</v>
      </c>
      <c r="J624" s="534">
        <f t="shared" si="76"/>
        <v>0.98015597187177661</v>
      </c>
      <c r="K624" s="538">
        <f t="shared" si="77"/>
        <v>128259.38080919179</v>
      </c>
      <c r="L624" s="539">
        <f t="shared" si="78"/>
        <v>0.98008688146888179</v>
      </c>
      <c r="M624" s="540">
        <f t="shared" si="79"/>
        <v>153028.25092727627</v>
      </c>
      <c r="N624" s="534">
        <f t="shared" si="80"/>
        <v>0.98157004050277652</v>
      </c>
    </row>
    <row r="625" spans="7:14" x14ac:dyDescent="0.2">
      <c r="G625" s="538">
        <f t="shared" si="74"/>
        <v>129674.39503102977</v>
      </c>
      <c r="H625" s="539">
        <f t="shared" si="73"/>
        <v>0.98018245657861769</v>
      </c>
      <c r="I625" s="540">
        <f t="shared" si="75"/>
        <v>129280.03922843978</v>
      </c>
      <c r="J625" s="534">
        <f t="shared" si="76"/>
        <v>0.98015597187177661</v>
      </c>
      <c r="K625" s="538">
        <f t="shared" si="77"/>
        <v>128259.38080919179</v>
      </c>
      <c r="L625" s="539">
        <f t="shared" si="78"/>
        <v>0.98008688146888179</v>
      </c>
      <c r="M625" s="540">
        <f t="shared" si="79"/>
        <v>153028.25092727627</v>
      </c>
      <c r="N625" s="534">
        <f t="shared" si="80"/>
        <v>0.98157004050277652</v>
      </c>
    </row>
    <row r="626" spans="7:14" x14ac:dyDescent="0.2">
      <c r="G626" s="538">
        <f t="shared" si="74"/>
        <v>129674.39503102977</v>
      </c>
      <c r="H626" s="539">
        <f t="shared" si="73"/>
        <v>0.98018245657861769</v>
      </c>
      <c r="I626" s="540">
        <f t="shared" si="75"/>
        <v>129280.03922843978</v>
      </c>
      <c r="J626" s="534">
        <f t="shared" si="76"/>
        <v>0.98015597187177661</v>
      </c>
      <c r="K626" s="538">
        <f t="shared" si="77"/>
        <v>128259.38080919179</v>
      </c>
      <c r="L626" s="539">
        <f t="shared" si="78"/>
        <v>0.98008688146888179</v>
      </c>
      <c r="M626" s="540">
        <f t="shared" si="79"/>
        <v>153028.25092727627</v>
      </c>
      <c r="N626" s="534">
        <f t="shared" si="80"/>
        <v>0.98157004050277652</v>
      </c>
    </row>
    <row r="627" spans="7:14" x14ac:dyDescent="0.2">
      <c r="G627" s="538">
        <f t="shared" si="74"/>
        <v>129674.39503102977</v>
      </c>
      <c r="H627" s="539">
        <f t="shared" si="73"/>
        <v>0.98018245657861769</v>
      </c>
      <c r="I627" s="540">
        <f t="shared" si="75"/>
        <v>129280.03922843978</v>
      </c>
      <c r="J627" s="534">
        <f t="shared" si="76"/>
        <v>0.98015597187177661</v>
      </c>
      <c r="K627" s="538">
        <f t="shared" si="77"/>
        <v>128259.38080919179</v>
      </c>
      <c r="L627" s="539">
        <f t="shared" si="78"/>
        <v>0.98008688146888179</v>
      </c>
      <c r="M627" s="540">
        <f t="shared" si="79"/>
        <v>153028.25092727627</v>
      </c>
      <c r="N627" s="534">
        <f t="shared" si="80"/>
        <v>0.98157004050277652</v>
      </c>
    </row>
    <row r="628" spans="7:14" x14ac:dyDescent="0.2">
      <c r="G628" s="538">
        <f t="shared" si="74"/>
        <v>129674.39503102977</v>
      </c>
      <c r="H628" s="539">
        <f t="shared" si="73"/>
        <v>0.98018245657861769</v>
      </c>
      <c r="I628" s="540">
        <f t="shared" si="75"/>
        <v>129280.03922843978</v>
      </c>
      <c r="J628" s="534">
        <f t="shared" si="76"/>
        <v>0.98015597187177661</v>
      </c>
      <c r="K628" s="538">
        <f t="shared" si="77"/>
        <v>128259.38080919179</v>
      </c>
      <c r="L628" s="539">
        <f t="shared" si="78"/>
        <v>0.98008688146888179</v>
      </c>
      <c r="M628" s="540">
        <f t="shared" si="79"/>
        <v>153028.25092727627</v>
      </c>
      <c r="N628" s="534">
        <f t="shared" si="80"/>
        <v>0.98157004050277652</v>
      </c>
    </row>
    <row r="629" spans="7:14" x14ac:dyDescent="0.2">
      <c r="G629" s="538">
        <f t="shared" si="74"/>
        <v>129674.39503102977</v>
      </c>
      <c r="H629" s="539">
        <f t="shared" si="73"/>
        <v>0.98018245657861769</v>
      </c>
      <c r="I629" s="540">
        <f t="shared" si="75"/>
        <v>129280.03922843978</v>
      </c>
      <c r="J629" s="534">
        <f t="shared" si="76"/>
        <v>0.98015597187177661</v>
      </c>
      <c r="K629" s="538">
        <f t="shared" si="77"/>
        <v>128259.38080919179</v>
      </c>
      <c r="L629" s="539">
        <f t="shared" si="78"/>
        <v>0.98008688146888179</v>
      </c>
      <c r="M629" s="540">
        <f t="shared" si="79"/>
        <v>153028.25092727627</v>
      </c>
      <c r="N629" s="534">
        <f t="shared" si="80"/>
        <v>0.98157004050277652</v>
      </c>
    </row>
    <row r="630" spans="7:14" x14ac:dyDescent="0.2">
      <c r="G630" s="538">
        <f t="shared" si="74"/>
        <v>129674.39503102977</v>
      </c>
      <c r="H630" s="539">
        <f t="shared" si="73"/>
        <v>0.98018245657861769</v>
      </c>
      <c r="I630" s="540">
        <f t="shared" si="75"/>
        <v>129280.03922843978</v>
      </c>
      <c r="J630" s="534">
        <f t="shared" si="76"/>
        <v>0.98015597187177661</v>
      </c>
      <c r="K630" s="538">
        <f t="shared" si="77"/>
        <v>128259.38080919179</v>
      </c>
      <c r="L630" s="539">
        <f t="shared" si="78"/>
        <v>0.98008688146888179</v>
      </c>
      <c r="M630" s="540">
        <f t="shared" si="79"/>
        <v>153028.25092727627</v>
      </c>
      <c r="N630" s="534">
        <f t="shared" si="80"/>
        <v>0.98157004050277652</v>
      </c>
    </row>
    <row r="631" spans="7:14" x14ac:dyDescent="0.2">
      <c r="G631" s="538">
        <f t="shared" si="74"/>
        <v>129674.39503102977</v>
      </c>
      <c r="H631" s="539">
        <f t="shared" si="73"/>
        <v>0.98018245657861769</v>
      </c>
      <c r="I631" s="540">
        <f t="shared" si="75"/>
        <v>129280.03922843978</v>
      </c>
      <c r="J631" s="534">
        <f t="shared" si="76"/>
        <v>0.98015597187177661</v>
      </c>
      <c r="K631" s="538">
        <f t="shared" si="77"/>
        <v>128259.38080919179</v>
      </c>
      <c r="L631" s="539">
        <f t="shared" si="78"/>
        <v>0.98008688146888179</v>
      </c>
      <c r="M631" s="540">
        <f t="shared" si="79"/>
        <v>153028.25092727627</v>
      </c>
      <c r="N631" s="534">
        <f t="shared" si="80"/>
        <v>0.98157004050277652</v>
      </c>
    </row>
    <row r="632" spans="7:14" x14ac:dyDescent="0.2">
      <c r="G632" s="538">
        <f t="shared" si="74"/>
        <v>129674.39503102977</v>
      </c>
      <c r="H632" s="539">
        <f t="shared" si="73"/>
        <v>0.98018245657861769</v>
      </c>
      <c r="I632" s="540">
        <f t="shared" si="75"/>
        <v>129280.03922843978</v>
      </c>
      <c r="J632" s="534">
        <f t="shared" si="76"/>
        <v>0.98015597187177661</v>
      </c>
      <c r="K632" s="538">
        <f t="shared" si="77"/>
        <v>128259.38080919179</v>
      </c>
      <c r="L632" s="539">
        <f t="shared" si="78"/>
        <v>0.98008688146888179</v>
      </c>
      <c r="M632" s="540">
        <f t="shared" si="79"/>
        <v>153028.25092727627</v>
      </c>
      <c r="N632" s="534">
        <f t="shared" si="80"/>
        <v>0.98157004050277652</v>
      </c>
    </row>
    <row r="633" spans="7:14" x14ac:dyDescent="0.2">
      <c r="G633" s="538">
        <f t="shared" si="74"/>
        <v>129674.39503102977</v>
      </c>
      <c r="H633" s="539">
        <f t="shared" si="73"/>
        <v>0.98018245657861769</v>
      </c>
      <c r="I633" s="540">
        <f t="shared" si="75"/>
        <v>129280.03922843978</v>
      </c>
      <c r="J633" s="534">
        <f t="shared" si="76"/>
        <v>0.98015597187177661</v>
      </c>
      <c r="K633" s="538">
        <f t="shared" si="77"/>
        <v>128259.38080919179</v>
      </c>
      <c r="L633" s="539">
        <f t="shared" si="78"/>
        <v>0.98008688146888179</v>
      </c>
      <c r="M633" s="540">
        <f t="shared" si="79"/>
        <v>153028.25092727627</v>
      </c>
      <c r="N633" s="534">
        <f t="shared" si="80"/>
        <v>0.98157004050277652</v>
      </c>
    </row>
    <row r="634" spans="7:14" x14ac:dyDescent="0.2">
      <c r="G634" s="538">
        <f t="shared" si="74"/>
        <v>129674.39503102977</v>
      </c>
      <c r="H634" s="539">
        <f t="shared" si="73"/>
        <v>0.98018245657861769</v>
      </c>
      <c r="I634" s="540">
        <f t="shared" si="75"/>
        <v>129280.03922843978</v>
      </c>
      <c r="J634" s="534">
        <f t="shared" si="76"/>
        <v>0.98015597187177661</v>
      </c>
      <c r="K634" s="538">
        <f t="shared" si="77"/>
        <v>128259.38080919179</v>
      </c>
      <c r="L634" s="539">
        <f t="shared" si="78"/>
        <v>0.98008688146888179</v>
      </c>
      <c r="M634" s="540">
        <f t="shared" si="79"/>
        <v>153028.25092727627</v>
      </c>
      <c r="N634" s="534">
        <f t="shared" si="80"/>
        <v>0.98157004050277652</v>
      </c>
    </row>
    <row r="635" spans="7:14" x14ac:dyDescent="0.2">
      <c r="G635" s="538">
        <f t="shared" si="74"/>
        <v>129674.39503102977</v>
      </c>
      <c r="H635" s="539">
        <f t="shared" si="73"/>
        <v>0.98018245657861769</v>
      </c>
      <c r="I635" s="540">
        <f t="shared" si="75"/>
        <v>129280.03922843978</v>
      </c>
      <c r="J635" s="534">
        <f t="shared" si="76"/>
        <v>0.98015597187177661</v>
      </c>
      <c r="K635" s="538">
        <f t="shared" si="77"/>
        <v>128259.38080919179</v>
      </c>
      <c r="L635" s="539">
        <f t="shared" si="78"/>
        <v>0.98008688146888179</v>
      </c>
      <c r="M635" s="540">
        <f t="shared" si="79"/>
        <v>153028.25092727627</v>
      </c>
      <c r="N635" s="534">
        <f t="shared" si="80"/>
        <v>0.98157004050277652</v>
      </c>
    </row>
    <row r="636" spans="7:14" x14ac:dyDescent="0.2">
      <c r="G636" s="538">
        <f t="shared" si="74"/>
        <v>129674.39503102977</v>
      </c>
      <c r="H636" s="539">
        <f t="shared" si="73"/>
        <v>0.98018245657861769</v>
      </c>
      <c r="I636" s="540">
        <f t="shared" si="75"/>
        <v>129280.03922843978</v>
      </c>
      <c r="J636" s="534">
        <f t="shared" si="76"/>
        <v>0.98015597187177661</v>
      </c>
      <c r="K636" s="538">
        <f t="shared" si="77"/>
        <v>128259.38080919179</v>
      </c>
      <c r="L636" s="539">
        <f t="shared" si="78"/>
        <v>0.98008688146888179</v>
      </c>
      <c r="M636" s="540">
        <f t="shared" si="79"/>
        <v>153028.25092727627</v>
      </c>
      <c r="N636" s="534">
        <f t="shared" si="80"/>
        <v>0.98157004050277652</v>
      </c>
    </row>
    <row r="637" spans="7:14" x14ac:dyDescent="0.2">
      <c r="G637" s="538">
        <f t="shared" si="74"/>
        <v>129674.39503102977</v>
      </c>
      <c r="H637" s="539">
        <f t="shared" si="73"/>
        <v>0.98018245657861769</v>
      </c>
      <c r="I637" s="540">
        <f t="shared" si="75"/>
        <v>129280.03922843978</v>
      </c>
      <c r="J637" s="534">
        <f t="shared" si="76"/>
        <v>0.98015597187177661</v>
      </c>
      <c r="K637" s="538">
        <f t="shared" si="77"/>
        <v>128259.38080919179</v>
      </c>
      <c r="L637" s="539">
        <f t="shared" si="78"/>
        <v>0.98008688146888179</v>
      </c>
      <c r="M637" s="540">
        <f t="shared" si="79"/>
        <v>153028.25092727627</v>
      </c>
      <c r="N637" s="534">
        <f t="shared" si="80"/>
        <v>0.98157004050277652</v>
      </c>
    </row>
    <row r="638" spans="7:14" x14ac:dyDescent="0.2">
      <c r="G638" s="538">
        <f t="shared" si="74"/>
        <v>129674.39503102977</v>
      </c>
      <c r="H638" s="539">
        <f t="shared" si="73"/>
        <v>0.98018245657861769</v>
      </c>
      <c r="I638" s="540">
        <f t="shared" si="75"/>
        <v>129280.03922843978</v>
      </c>
      <c r="J638" s="534">
        <f t="shared" si="76"/>
        <v>0.98015597187177661</v>
      </c>
      <c r="K638" s="538">
        <f t="shared" si="77"/>
        <v>128259.38080919179</v>
      </c>
      <c r="L638" s="539">
        <f t="shared" si="78"/>
        <v>0.98008688146888179</v>
      </c>
      <c r="M638" s="540">
        <f t="shared" si="79"/>
        <v>153028.25092727627</v>
      </c>
      <c r="N638" s="534">
        <f t="shared" si="80"/>
        <v>0.98157004050277652</v>
      </c>
    </row>
    <row r="639" spans="7:14" x14ac:dyDescent="0.2">
      <c r="G639" s="538">
        <f t="shared" si="74"/>
        <v>129674.39503102977</v>
      </c>
      <c r="H639" s="539">
        <f t="shared" si="73"/>
        <v>0.98018245657861769</v>
      </c>
      <c r="I639" s="540">
        <f t="shared" si="75"/>
        <v>129280.03922843978</v>
      </c>
      <c r="J639" s="534">
        <f t="shared" si="76"/>
        <v>0.98015597187177661</v>
      </c>
      <c r="K639" s="538">
        <f t="shared" si="77"/>
        <v>128259.38080919179</v>
      </c>
      <c r="L639" s="539">
        <f t="shared" si="78"/>
        <v>0.98008688146888179</v>
      </c>
      <c r="M639" s="540">
        <f t="shared" si="79"/>
        <v>153028.25092727627</v>
      </c>
      <c r="N639" s="534">
        <f t="shared" si="80"/>
        <v>0.98157004050277652</v>
      </c>
    </row>
    <row r="640" spans="7:14" x14ac:dyDescent="0.2">
      <c r="G640" s="538">
        <f t="shared" si="74"/>
        <v>129674.39503102977</v>
      </c>
      <c r="H640" s="539">
        <f t="shared" si="73"/>
        <v>0.98018245657861769</v>
      </c>
      <c r="I640" s="540">
        <f t="shared" si="75"/>
        <v>129280.03922843978</v>
      </c>
      <c r="J640" s="534">
        <f t="shared" si="76"/>
        <v>0.98015597187177661</v>
      </c>
      <c r="K640" s="538">
        <f t="shared" si="77"/>
        <v>128259.38080919179</v>
      </c>
      <c r="L640" s="539">
        <f t="shared" si="78"/>
        <v>0.98008688146888179</v>
      </c>
      <c r="M640" s="540">
        <f t="shared" si="79"/>
        <v>153028.25092727627</v>
      </c>
      <c r="N640" s="534">
        <f t="shared" si="80"/>
        <v>0.98157004050277652</v>
      </c>
    </row>
    <row r="641" spans="7:14" x14ac:dyDescent="0.2">
      <c r="G641" s="538">
        <f t="shared" si="74"/>
        <v>129674.39503102977</v>
      </c>
      <c r="H641" s="539">
        <f t="shared" si="73"/>
        <v>0.98018245657861769</v>
      </c>
      <c r="I641" s="540">
        <f t="shared" si="75"/>
        <v>129280.03922843978</v>
      </c>
      <c r="J641" s="534">
        <f t="shared" si="76"/>
        <v>0.98015597187177661</v>
      </c>
      <c r="K641" s="538">
        <f t="shared" si="77"/>
        <v>128259.38080919179</v>
      </c>
      <c r="L641" s="539">
        <f t="shared" si="78"/>
        <v>0.98008688146888179</v>
      </c>
      <c r="M641" s="540">
        <f t="shared" si="79"/>
        <v>153028.25092727627</v>
      </c>
      <c r="N641" s="534">
        <f t="shared" si="80"/>
        <v>0.98157004050277652</v>
      </c>
    </row>
    <row r="642" spans="7:14" x14ac:dyDescent="0.2">
      <c r="G642" s="538">
        <f t="shared" si="74"/>
        <v>129674.39503102977</v>
      </c>
      <c r="H642" s="539">
        <f t="shared" si="73"/>
        <v>0.98018245657861769</v>
      </c>
      <c r="I642" s="540">
        <f t="shared" si="75"/>
        <v>129280.03922843978</v>
      </c>
      <c r="J642" s="534">
        <f t="shared" si="76"/>
        <v>0.98015597187177661</v>
      </c>
      <c r="K642" s="538">
        <f t="shared" si="77"/>
        <v>128259.38080919179</v>
      </c>
      <c r="L642" s="539">
        <f t="shared" si="78"/>
        <v>0.98008688146888179</v>
      </c>
      <c r="M642" s="540">
        <f t="shared" si="79"/>
        <v>153028.25092727627</v>
      </c>
      <c r="N642" s="534">
        <f t="shared" si="80"/>
        <v>0.98157004050277652</v>
      </c>
    </row>
    <row r="643" spans="7:14" x14ac:dyDescent="0.2">
      <c r="G643" s="538">
        <f t="shared" si="74"/>
        <v>129674.39503102977</v>
      </c>
      <c r="H643" s="539">
        <f t="shared" ref="H643:H706" si="81">0.9986-(7.006/SQRT(G643))+134.6/G643</f>
        <v>0.98018245657861769</v>
      </c>
      <c r="I643" s="540">
        <f t="shared" si="75"/>
        <v>129280.03922843978</v>
      </c>
      <c r="J643" s="534">
        <f t="shared" si="76"/>
        <v>0.98015597187177661</v>
      </c>
      <c r="K643" s="538">
        <f t="shared" si="77"/>
        <v>128259.38080919179</v>
      </c>
      <c r="L643" s="539">
        <f t="shared" si="78"/>
        <v>0.98008688146888179</v>
      </c>
      <c r="M643" s="540">
        <f t="shared" si="79"/>
        <v>153028.25092727627</v>
      </c>
      <c r="N643" s="534">
        <f t="shared" si="80"/>
        <v>0.98157004050277652</v>
      </c>
    </row>
    <row r="644" spans="7:14" x14ac:dyDescent="0.2">
      <c r="G644" s="538">
        <f t="shared" ref="G644:G707" si="82">($C$6/(1000*$C$12*$C$16))*(H643*SQRT(2*$C$5*100*$C$16))</f>
        <v>129674.39503102977</v>
      </c>
      <c r="H644" s="539">
        <f t="shared" si="81"/>
        <v>0.98018245657861769</v>
      </c>
      <c r="I644" s="540">
        <f t="shared" ref="I644:I707" si="83">($C$7/(1000*$C$12*$C$16))*(J643*SQRT(2*$C$5*100*$C$16))</f>
        <v>129280.03922843978</v>
      </c>
      <c r="J644" s="534">
        <f t="shared" ref="J644:J707" si="84">0.9986-(7.006/SQRT(I644))+134.6/I644</f>
        <v>0.98015597187177661</v>
      </c>
      <c r="K644" s="538">
        <f t="shared" ref="K644:K707" si="85">($C$8/(1000*$C$12*$C$16))*(L643*SQRT(2*$C$5*100*$C$16))</f>
        <v>128259.38080919179</v>
      </c>
      <c r="L644" s="539">
        <f t="shared" ref="L644:L707" si="86">0.9986-(7.006/SQRT(K644))+134.6/K644</f>
        <v>0.98008688146888179</v>
      </c>
      <c r="M644" s="540">
        <f t="shared" ref="M644:M707" si="87">($C$9/(1000*$C$12*$C$16))*(N643*SQRT(2*$C$5*100*$C$16))</f>
        <v>153028.25092727627</v>
      </c>
      <c r="N644" s="534">
        <f t="shared" ref="N644:N707" si="88">0.9986-(7.006/SQRT(M644))+134.6/M644</f>
        <v>0.98157004050277652</v>
      </c>
    </row>
    <row r="645" spans="7:14" x14ac:dyDescent="0.2">
      <c r="G645" s="538">
        <f t="shared" si="82"/>
        <v>129674.39503102977</v>
      </c>
      <c r="H645" s="539">
        <f t="shared" si="81"/>
        <v>0.98018245657861769</v>
      </c>
      <c r="I645" s="540">
        <f t="shared" si="83"/>
        <v>129280.03922843978</v>
      </c>
      <c r="J645" s="534">
        <f t="shared" si="84"/>
        <v>0.98015597187177661</v>
      </c>
      <c r="K645" s="538">
        <f t="shared" si="85"/>
        <v>128259.38080919179</v>
      </c>
      <c r="L645" s="539">
        <f t="shared" si="86"/>
        <v>0.98008688146888179</v>
      </c>
      <c r="M645" s="540">
        <f t="shared" si="87"/>
        <v>153028.25092727627</v>
      </c>
      <c r="N645" s="534">
        <f t="shared" si="88"/>
        <v>0.98157004050277652</v>
      </c>
    </row>
    <row r="646" spans="7:14" x14ac:dyDescent="0.2">
      <c r="G646" s="538">
        <f t="shared" si="82"/>
        <v>129674.39503102977</v>
      </c>
      <c r="H646" s="539">
        <f t="shared" si="81"/>
        <v>0.98018245657861769</v>
      </c>
      <c r="I646" s="540">
        <f t="shared" si="83"/>
        <v>129280.03922843978</v>
      </c>
      <c r="J646" s="534">
        <f t="shared" si="84"/>
        <v>0.98015597187177661</v>
      </c>
      <c r="K646" s="538">
        <f t="shared" si="85"/>
        <v>128259.38080919179</v>
      </c>
      <c r="L646" s="539">
        <f t="shared" si="86"/>
        <v>0.98008688146888179</v>
      </c>
      <c r="M646" s="540">
        <f t="shared" si="87"/>
        <v>153028.25092727627</v>
      </c>
      <c r="N646" s="534">
        <f t="shared" si="88"/>
        <v>0.98157004050277652</v>
      </c>
    </row>
    <row r="647" spans="7:14" x14ac:dyDescent="0.2">
      <c r="G647" s="538">
        <f t="shared" si="82"/>
        <v>129674.39503102977</v>
      </c>
      <c r="H647" s="539">
        <f t="shared" si="81"/>
        <v>0.98018245657861769</v>
      </c>
      <c r="I647" s="540">
        <f t="shared" si="83"/>
        <v>129280.03922843978</v>
      </c>
      <c r="J647" s="534">
        <f t="shared" si="84"/>
        <v>0.98015597187177661</v>
      </c>
      <c r="K647" s="538">
        <f t="shared" si="85"/>
        <v>128259.38080919179</v>
      </c>
      <c r="L647" s="539">
        <f t="shared" si="86"/>
        <v>0.98008688146888179</v>
      </c>
      <c r="M647" s="540">
        <f t="shared" si="87"/>
        <v>153028.25092727627</v>
      </c>
      <c r="N647" s="534">
        <f t="shared" si="88"/>
        <v>0.98157004050277652</v>
      </c>
    </row>
    <row r="648" spans="7:14" x14ac:dyDescent="0.2">
      <c r="G648" s="538">
        <f t="shared" si="82"/>
        <v>129674.39503102977</v>
      </c>
      <c r="H648" s="539">
        <f t="shared" si="81"/>
        <v>0.98018245657861769</v>
      </c>
      <c r="I648" s="540">
        <f t="shared" si="83"/>
        <v>129280.03922843978</v>
      </c>
      <c r="J648" s="534">
        <f t="shared" si="84"/>
        <v>0.98015597187177661</v>
      </c>
      <c r="K648" s="538">
        <f t="shared" si="85"/>
        <v>128259.38080919179</v>
      </c>
      <c r="L648" s="539">
        <f t="shared" si="86"/>
        <v>0.98008688146888179</v>
      </c>
      <c r="M648" s="540">
        <f t="shared" si="87"/>
        <v>153028.25092727627</v>
      </c>
      <c r="N648" s="534">
        <f t="shared" si="88"/>
        <v>0.98157004050277652</v>
      </c>
    </row>
    <row r="649" spans="7:14" x14ac:dyDescent="0.2">
      <c r="G649" s="538">
        <f t="shared" si="82"/>
        <v>129674.39503102977</v>
      </c>
      <c r="H649" s="539">
        <f t="shared" si="81"/>
        <v>0.98018245657861769</v>
      </c>
      <c r="I649" s="540">
        <f t="shared" si="83"/>
        <v>129280.03922843978</v>
      </c>
      <c r="J649" s="534">
        <f t="shared" si="84"/>
        <v>0.98015597187177661</v>
      </c>
      <c r="K649" s="538">
        <f t="shared" si="85"/>
        <v>128259.38080919179</v>
      </c>
      <c r="L649" s="539">
        <f t="shared" si="86"/>
        <v>0.98008688146888179</v>
      </c>
      <c r="M649" s="540">
        <f t="shared" si="87"/>
        <v>153028.25092727627</v>
      </c>
      <c r="N649" s="534">
        <f t="shared" si="88"/>
        <v>0.98157004050277652</v>
      </c>
    </row>
    <row r="650" spans="7:14" x14ac:dyDescent="0.2">
      <c r="G650" s="538">
        <f t="shared" si="82"/>
        <v>129674.39503102977</v>
      </c>
      <c r="H650" s="539">
        <f t="shared" si="81"/>
        <v>0.98018245657861769</v>
      </c>
      <c r="I650" s="540">
        <f t="shared" si="83"/>
        <v>129280.03922843978</v>
      </c>
      <c r="J650" s="534">
        <f t="shared" si="84"/>
        <v>0.98015597187177661</v>
      </c>
      <c r="K650" s="538">
        <f t="shared" si="85"/>
        <v>128259.38080919179</v>
      </c>
      <c r="L650" s="539">
        <f t="shared" si="86"/>
        <v>0.98008688146888179</v>
      </c>
      <c r="M650" s="540">
        <f t="shared" si="87"/>
        <v>153028.25092727627</v>
      </c>
      <c r="N650" s="534">
        <f t="shared" si="88"/>
        <v>0.98157004050277652</v>
      </c>
    </row>
    <row r="651" spans="7:14" x14ac:dyDescent="0.2">
      <c r="G651" s="538">
        <f t="shared" si="82"/>
        <v>129674.39503102977</v>
      </c>
      <c r="H651" s="539">
        <f t="shared" si="81"/>
        <v>0.98018245657861769</v>
      </c>
      <c r="I651" s="540">
        <f t="shared" si="83"/>
        <v>129280.03922843978</v>
      </c>
      <c r="J651" s="534">
        <f t="shared" si="84"/>
        <v>0.98015597187177661</v>
      </c>
      <c r="K651" s="538">
        <f t="shared" si="85"/>
        <v>128259.38080919179</v>
      </c>
      <c r="L651" s="539">
        <f t="shared" si="86"/>
        <v>0.98008688146888179</v>
      </c>
      <c r="M651" s="540">
        <f t="shared" si="87"/>
        <v>153028.25092727627</v>
      </c>
      <c r="N651" s="534">
        <f t="shared" si="88"/>
        <v>0.98157004050277652</v>
      </c>
    </row>
    <row r="652" spans="7:14" x14ac:dyDescent="0.2">
      <c r="G652" s="538">
        <f t="shared" si="82"/>
        <v>129674.39503102977</v>
      </c>
      <c r="H652" s="539">
        <f t="shared" si="81"/>
        <v>0.98018245657861769</v>
      </c>
      <c r="I652" s="540">
        <f t="shared" si="83"/>
        <v>129280.03922843978</v>
      </c>
      <c r="J652" s="534">
        <f t="shared" si="84"/>
        <v>0.98015597187177661</v>
      </c>
      <c r="K652" s="538">
        <f t="shared" si="85"/>
        <v>128259.38080919179</v>
      </c>
      <c r="L652" s="539">
        <f t="shared" si="86"/>
        <v>0.98008688146888179</v>
      </c>
      <c r="M652" s="540">
        <f t="shared" si="87"/>
        <v>153028.25092727627</v>
      </c>
      <c r="N652" s="534">
        <f t="shared" si="88"/>
        <v>0.98157004050277652</v>
      </c>
    </row>
    <row r="653" spans="7:14" x14ac:dyDescent="0.2">
      <c r="G653" s="538">
        <f t="shared" si="82"/>
        <v>129674.39503102977</v>
      </c>
      <c r="H653" s="539">
        <f t="shared" si="81"/>
        <v>0.98018245657861769</v>
      </c>
      <c r="I653" s="540">
        <f t="shared" si="83"/>
        <v>129280.03922843978</v>
      </c>
      <c r="J653" s="534">
        <f t="shared" si="84"/>
        <v>0.98015597187177661</v>
      </c>
      <c r="K653" s="538">
        <f t="shared" si="85"/>
        <v>128259.38080919179</v>
      </c>
      <c r="L653" s="539">
        <f t="shared" si="86"/>
        <v>0.98008688146888179</v>
      </c>
      <c r="M653" s="540">
        <f t="shared" si="87"/>
        <v>153028.25092727627</v>
      </c>
      <c r="N653" s="534">
        <f t="shared" si="88"/>
        <v>0.98157004050277652</v>
      </c>
    </row>
    <row r="654" spans="7:14" x14ac:dyDescent="0.2">
      <c r="G654" s="538">
        <f t="shared" si="82"/>
        <v>129674.39503102977</v>
      </c>
      <c r="H654" s="539">
        <f t="shared" si="81"/>
        <v>0.98018245657861769</v>
      </c>
      <c r="I654" s="540">
        <f t="shared" si="83"/>
        <v>129280.03922843978</v>
      </c>
      <c r="J654" s="534">
        <f t="shared" si="84"/>
        <v>0.98015597187177661</v>
      </c>
      <c r="K654" s="538">
        <f t="shared" si="85"/>
        <v>128259.38080919179</v>
      </c>
      <c r="L654" s="539">
        <f t="shared" si="86"/>
        <v>0.98008688146888179</v>
      </c>
      <c r="M654" s="540">
        <f t="shared" si="87"/>
        <v>153028.25092727627</v>
      </c>
      <c r="N654" s="534">
        <f t="shared" si="88"/>
        <v>0.98157004050277652</v>
      </c>
    </row>
    <row r="655" spans="7:14" x14ac:dyDescent="0.2">
      <c r="G655" s="538">
        <f t="shared" si="82"/>
        <v>129674.39503102977</v>
      </c>
      <c r="H655" s="539">
        <f t="shared" si="81"/>
        <v>0.98018245657861769</v>
      </c>
      <c r="I655" s="540">
        <f t="shared" si="83"/>
        <v>129280.03922843978</v>
      </c>
      <c r="J655" s="534">
        <f t="shared" si="84"/>
        <v>0.98015597187177661</v>
      </c>
      <c r="K655" s="538">
        <f t="shared" si="85"/>
        <v>128259.38080919179</v>
      </c>
      <c r="L655" s="539">
        <f t="shared" si="86"/>
        <v>0.98008688146888179</v>
      </c>
      <c r="M655" s="540">
        <f t="shared" si="87"/>
        <v>153028.25092727627</v>
      </c>
      <c r="N655" s="534">
        <f t="shared" si="88"/>
        <v>0.98157004050277652</v>
      </c>
    </row>
    <row r="656" spans="7:14" x14ac:dyDescent="0.2">
      <c r="G656" s="538">
        <f t="shared" si="82"/>
        <v>129674.39503102977</v>
      </c>
      <c r="H656" s="539">
        <f t="shared" si="81"/>
        <v>0.98018245657861769</v>
      </c>
      <c r="I656" s="540">
        <f t="shared" si="83"/>
        <v>129280.03922843978</v>
      </c>
      <c r="J656" s="534">
        <f t="shared" si="84"/>
        <v>0.98015597187177661</v>
      </c>
      <c r="K656" s="538">
        <f t="shared" si="85"/>
        <v>128259.38080919179</v>
      </c>
      <c r="L656" s="539">
        <f t="shared" si="86"/>
        <v>0.98008688146888179</v>
      </c>
      <c r="M656" s="540">
        <f t="shared" si="87"/>
        <v>153028.25092727627</v>
      </c>
      <c r="N656" s="534">
        <f t="shared" si="88"/>
        <v>0.98157004050277652</v>
      </c>
    </row>
    <row r="657" spans="7:14" x14ac:dyDescent="0.2">
      <c r="G657" s="538">
        <f t="shared" si="82"/>
        <v>129674.39503102977</v>
      </c>
      <c r="H657" s="539">
        <f t="shared" si="81"/>
        <v>0.98018245657861769</v>
      </c>
      <c r="I657" s="540">
        <f t="shared" si="83"/>
        <v>129280.03922843978</v>
      </c>
      <c r="J657" s="534">
        <f t="shared" si="84"/>
        <v>0.98015597187177661</v>
      </c>
      <c r="K657" s="538">
        <f t="shared" si="85"/>
        <v>128259.38080919179</v>
      </c>
      <c r="L657" s="539">
        <f t="shared" si="86"/>
        <v>0.98008688146888179</v>
      </c>
      <c r="M657" s="540">
        <f t="shared" si="87"/>
        <v>153028.25092727627</v>
      </c>
      <c r="N657" s="534">
        <f t="shared" si="88"/>
        <v>0.98157004050277652</v>
      </c>
    </row>
    <row r="658" spans="7:14" x14ac:dyDescent="0.2">
      <c r="G658" s="538">
        <f t="shared" si="82"/>
        <v>129674.39503102977</v>
      </c>
      <c r="H658" s="539">
        <f t="shared" si="81"/>
        <v>0.98018245657861769</v>
      </c>
      <c r="I658" s="540">
        <f t="shared" si="83"/>
        <v>129280.03922843978</v>
      </c>
      <c r="J658" s="534">
        <f t="shared" si="84"/>
        <v>0.98015597187177661</v>
      </c>
      <c r="K658" s="538">
        <f t="shared" si="85"/>
        <v>128259.38080919179</v>
      </c>
      <c r="L658" s="539">
        <f t="shared" si="86"/>
        <v>0.98008688146888179</v>
      </c>
      <c r="M658" s="540">
        <f t="shared" si="87"/>
        <v>153028.25092727627</v>
      </c>
      <c r="N658" s="534">
        <f t="shared" si="88"/>
        <v>0.98157004050277652</v>
      </c>
    </row>
    <row r="659" spans="7:14" x14ac:dyDescent="0.2">
      <c r="G659" s="538">
        <f t="shared" si="82"/>
        <v>129674.39503102977</v>
      </c>
      <c r="H659" s="539">
        <f t="shared" si="81"/>
        <v>0.98018245657861769</v>
      </c>
      <c r="I659" s="540">
        <f t="shared" si="83"/>
        <v>129280.03922843978</v>
      </c>
      <c r="J659" s="534">
        <f t="shared" si="84"/>
        <v>0.98015597187177661</v>
      </c>
      <c r="K659" s="538">
        <f t="shared" si="85"/>
        <v>128259.38080919179</v>
      </c>
      <c r="L659" s="539">
        <f t="shared" si="86"/>
        <v>0.98008688146888179</v>
      </c>
      <c r="M659" s="540">
        <f t="shared" si="87"/>
        <v>153028.25092727627</v>
      </c>
      <c r="N659" s="534">
        <f t="shared" si="88"/>
        <v>0.98157004050277652</v>
      </c>
    </row>
    <row r="660" spans="7:14" x14ac:dyDescent="0.2">
      <c r="G660" s="538">
        <f t="shared" si="82"/>
        <v>129674.39503102977</v>
      </c>
      <c r="H660" s="539">
        <f t="shared" si="81"/>
        <v>0.98018245657861769</v>
      </c>
      <c r="I660" s="540">
        <f t="shared" si="83"/>
        <v>129280.03922843978</v>
      </c>
      <c r="J660" s="534">
        <f t="shared" si="84"/>
        <v>0.98015597187177661</v>
      </c>
      <c r="K660" s="538">
        <f t="shared" si="85"/>
        <v>128259.38080919179</v>
      </c>
      <c r="L660" s="539">
        <f t="shared" si="86"/>
        <v>0.98008688146888179</v>
      </c>
      <c r="M660" s="540">
        <f t="shared" si="87"/>
        <v>153028.25092727627</v>
      </c>
      <c r="N660" s="534">
        <f t="shared" si="88"/>
        <v>0.98157004050277652</v>
      </c>
    </row>
    <row r="661" spans="7:14" x14ac:dyDescent="0.2">
      <c r="G661" s="538">
        <f t="shared" si="82"/>
        <v>129674.39503102977</v>
      </c>
      <c r="H661" s="539">
        <f t="shared" si="81"/>
        <v>0.98018245657861769</v>
      </c>
      <c r="I661" s="540">
        <f t="shared" si="83"/>
        <v>129280.03922843978</v>
      </c>
      <c r="J661" s="534">
        <f t="shared" si="84"/>
        <v>0.98015597187177661</v>
      </c>
      <c r="K661" s="538">
        <f t="shared" si="85"/>
        <v>128259.38080919179</v>
      </c>
      <c r="L661" s="539">
        <f t="shared" si="86"/>
        <v>0.98008688146888179</v>
      </c>
      <c r="M661" s="540">
        <f t="shared" si="87"/>
        <v>153028.25092727627</v>
      </c>
      <c r="N661" s="534">
        <f t="shared" si="88"/>
        <v>0.98157004050277652</v>
      </c>
    </row>
    <row r="662" spans="7:14" x14ac:dyDescent="0.2">
      <c r="G662" s="538">
        <f t="shared" si="82"/>
        <v>129674.39503102977</v>
      </c>
      <c r="H662" s="539">
        <f t="shared" si="81"/>
        <v>0.98018245657861769</v>
      </c>
      <c r="I662" s="540">
        <f t="shared" si="83"/>
        <v>129280.03922843978</v>
      </c>
      <c r="J662" s="534">
        <f t="shared" si="84"/>
        <v>0.98015597187177661</v>
      </c>
      <c r="K662" s="538">
        <f t="shared" si="85"/>
        <v>128259.38080919179</v>
      </c>
      <c r="L662" s="539">
        <f t="shared" si="86"/>
        <v>0.98008688146888179</v>
      </c>
      <c r="M662" s="540">
        <f t="shared" si="87"/>
        <v>153028.25092727627</v>
      </c>
      <c r="N662" s="534">
        <f t="shared" si="88"/>
        <v>0.98157004050277652</v>
      </c>
    </row>
    <row r="663" spans="7:14" x14ac:dyDescent="0.2">
      <c r="G663" s="538">
        <f t="shared" si="82"/>
        <v>129674.39503102977</v>
      </c>
      <c r="H663" s="539">
        <f t="shared" si="81"/>
        <v>0.98018245657861769</v>
      </c>
      <c r="I663" s="540">
        <f t="shared" si="83"/>
        <v>129280.03922843978</v>
      </c>
      <c r="J663" s="534">
        <f t="shared" si="84"/>
        <v>0.98015597187177661</v>
      </c>
      <c r="K663" s="538">
        <f t="shared" si="85"/>
        <v>128259.38080919179</v>
      </c>
      <c r="L663" s="539">
        <f t="shared" si="86"/>
        <v>0.98008688146888179</v>
      </c>
      <c r="M663" s="540">
        <f t="shared" si="87"/>
        <v>153028.25092727627</v>
      </c>
      <c r="N663" s="534">
        <f t="shared" si="88"/>
        <v>0.98157004050277652</v>
      </c>
    </row>
    <row r="664" spans="7:14" x14ac:dyDescent="0.2">
      <c r="G664" s="538">
        <f t="shared" si="82"/>
        <v>129674.39503102977</v>
      </c>
      <c r="H664" s="539">
        <f t="shared" si="81"/>
        <v>0.98018245657861769</v>
      </c>
      <c r="I664" s="540">
        <f t="shared" si="83"/>
        <v>129280.03922843978</v>
      </c>
      <c r="J664" s="534">
        <f t="shared" si="84"/>
        <v>0.98015597187177661</v>
      </c>
      <c r="K664" s="538">
        <f t="shared" si="85"/>
        <v>128259.38080919179</v>
      </c>
      <c r="L664" s="539">
        <f t="shared" si="86"/>
        <v>0.98008688146888179</v>
      </c>
      <c r="M664" s="540">
        <f t="shared" si="87"/>
        <v>153028.25092727627</v>
      </c>
      <c r="N664" s="534">
        <f t="shared" si="88"/>
        <v>0.98157004050277652</v>
      </c>
    </row>
    <row r="665" spans="7:14" x14ac:dyDescent="0.2">
      <c r="G665" s="538">
        <f t="shared" si="82"/>
        <v>129674.39503102977</v>
      </c>
      <c r="H665" s="539">
        <f t="shared" si="81"/>
        <v>0.98018245657861769</v>
      </c>
      <c r="I665" s="540">
        <f t="shared" si="83"/>
        <v>129280.03922843978</v>
      </c>
      <c r="J665" s="534">
        <f t="shared" si="84"/>
        <v>0.98015597187177661</v>
      </c>
      <c r="K665" s="538">
        <f t="shared" si="85"/>
        <v>128259.38080919179</v>
      </c>
      <c r="L665" s="539">
        <f t="shared" si="86"/>
        <v>0.98008688146888179</v>
      </c>
      <c r="M665" s="540">
        <f t="shared" si="87"/>
        <v>153028.25092727627</v>
      </c>
      <c r="N665" s="534">
        <f t="shared" si="88"/>
        <v>0.98157004050277652</v>
      </c>
    </row>
    <row r="666" spans="7:14" x14ac:dyDescent="0.2">
      <c r="G666" s="538">
        <f t="shared" si="82"/>
        <v>129674.39503102977</v>
      </c>
      <c r="H666" s="539">
        <f t="shared" si="81"/>
        <v>0.98018245657861769</v>
      </c>
      <c r="I666" s="540">
        <f t="shared" si="83"/>
        <v>129280.03922843978</v>
      </c>
      <c r="J666" s="534">
        <f t="shared" si="84"/>
        <v>0.98015597187177661</v>
      </c>
      <c r="K666" s="538">
        <f t="shared" si="85"/>
        <v>128259.38080919179</v>
      </c>
      <c r="L666" s="539">
        <f t="shared" si="86"/>
        <v>0.98008688146888179</v>
      </c>
      <c r="M666" s="540">
        <f t="shared" si="87"/>
        <v>153028.25092727627</v>
      </c>
      <c r="N666" s="534">
        <f t="shared" si="88"/>
        <v>0.98157004050277652</v>
      </c>
    </row>
    <row r="667" spans="7:14" x14ac:dyDescent="0.2">
      <c r="G667" s="538">
        <f t="shared" si="82"/>
        <v>129674.39503102977</v>
      </c>
      <c r="H667" s="539">
        <f t="shared" si="81"/>
        <v>0.98018245657861769</v>
      </c>
      <c r="I667" s="540">
        <f t="shared" si="83"/>
        <v>129280.03922843978</v>
      </c>
      <c r="J667" s="534">
        <f t="shared" si="84"/>
        <v>0.98015597187177661</v>
      </c>
      <c r="K667" s="538">
        <f t="shared" si="85"/>
        <v>128259.38080919179</v>
      </c>
      <c r="L667" s="539">
        <f t="shared" si="86"/>
        <v>0.98008688146888179</v>
      </c>
      <c r="M667" s="540">
        <f t="shared" si="87"/>
        <v>153028.25092727627</v>
      </c>
      <c r="N667" s="534">
        <f t="shared" si="88"/>
        <v>0.98157004050277652</v>
      </c>
    </row>
    <row r="668" spans="7:14" x14ac:dyDescent="0.2">
      <c r="G668" s="538">
        <f t="shared" si="82"/>
        <v>129674.39503102977</v>
      </c>
      <c r="H668" s="539">
        <f t="shared" si="81"/>
        <v>0.98018245657861769</v>
      </c>
      <c r="I668" s="540">
        <f t="shared" si="83"/>
        <v>129280.03922843978</v>
      </c>
      <c r="J668" s="534">
        <f t="shared" si="84"/>
        <v>0.98015597187177661</v>
      </c>
      <c r="K668" s="538">
        <f t="shared" si="85"/>
        <v>128259.38080919179</v>
      </c>
      <c r="L668" s="539">
        <f t="shared" si="86"/>
        <v>0.98008688146888179</v>
      </c>
      <c r="M668" s="540">
        <f t="shared" si="87"/>
        <v>153028.25092727627</v>
      </c>
      <c r="N668" s="534">
        <f t="shared" si="88"/>
        <v>0.98157004050277652</v>
      </c>
    </row>
    <row r="669" spans="7:14" x14ac:dyDescent="0.2">
      <c r="G669" s="538">
        <f t="shared" si="82"/>
        <v>129674.39503102977</v>
      </c>
      <c r="H669" s="539">
        <f t="shared" si="81"/>
        <v>0.98018245657861769</v>
      </c>
      <c r="I669" s="540">
        <f t="shared" si="83"/>
        <v>129280.03922843978</v>
      </c>
      <c r="J669" s="534">
        <f t="shared" si="84"/>
        <v>0.98015597187177661</v>
      </c>
      <c r="K669" s="538">
        <f t="shared" si="85"/>
        <v>128259.38080919179</v>
      </c>
      <c r="L669" s="539">
        <f t="shared" si="86"/>
        <v>0.98008688146888179</v>
      </c>
      <c r="M669" s="540">
        <f t="shared" si="87"/>
        <v>153028.25092727627</v>
      </c>
      <c r="N669" s="534">
        <f t="shared" si="88"/>
        <v>0.98157004050277652</v>
      </c>
    </row>
    <row r="670" spans="7:14" x14ac:dyDescent="0.2">
      <c r="G670" s="538">
        <f t="shared" si="82"/>
        <v>129674.39503102977</v>
      </c>
      <c r="H670" s="539">
        <f t="shared" si="81"/>
        <v>0.98018245657861769</v>
      </c>
      <c r="I670" s="540">
        <f t="shared" si="83"/>
        <v>129280.03922843978</v>
      </c>
      <c r="J670" s="534">
        <f t="shared" si="84"/>
        <v>0.98015597187177661</v>
      </c>
      <c r="K670" s="538">
        <f t="shared" si="85"/>
        <v>128259.38080919179</v>
      </c>
      <c r="L670" s="539">
        <f t="shared" si="86"/>
        <v>0.98008688146888179</v>
      </c>
      <c r="M670" s="540">
        <f t="shared" si="87"/>
        <v>153028.25092727627</v>
      </c>
      <c r="N670" s="534">
        <f t="shared" si="88"/>
        <v>0.98157004050277652</v>
      </c>
    </row>
    <row r="671" spans="7:14" x14ac:dyDescent="0.2">
      <c r="G671" s="538">
        <f t="shared" si="82"/>
        <v>129674.39503102977</v>
      </c>
      <c r="H671" s="539">
        <f t="shared" si="81"/>
        <v>0.98018245657861769</v>
      </c>
      <c r="I671" s="540">
        <f t="shared" si="83"/>
        <v>129280.03922843978</v>
      </c>
      <c r="J671" s="534">
        <f t="shared" si="84"/>
        <v>0.98015597187177661</v>
      </c>
      <c r="K671" s="538">
        <f t="shared" si="85"/>
        <v>128259.38080919179</v>
      </c>
      <c r="L671" s="539">
        <f t="shared" si="86"/>
        <v>0.98008688146888179</v>
      </c>
      <c r="M671" s="540">
        <f t="shared" si="87"/>
        <v>153028.25092727627</v>
      </c>
      <c r="N671" s="534">
        <f t="shared" si="88"/>
        <v>0.98157004050277652</v>
      </c>
    </row>
    <row r="672" spans="7:14" x14ac:dyDescent="0.2">
      <c r="G672" s="538">
        <f t="shared" si="82"/>
        <v>129674.39503102977</v>
      </c>
      <c r="H672" s="539">
        <f t="shared" si="81"/>
        <v>0.98018245657861769</v>
      </c>
      <c r="I672" s="540">
        <f t="shared" si="83"/>
        <v>129280.03922843978</v>
      </c>
      <c r="J672" s="534">
        <f t="shared" si="84"/>
        <v>0.98015597187177661</v>
      </c>
      <c r="K672" s="538">
        <f t="shared" si="85"/>
        <v>128259.38080919179</v>
      </c>
      <c r="L672" s="539">
        <f t="shared" si="86"/>
        <v>0.98008688146888179</v>
      </c>
      <c r="M672" s="540">
        <f t="shared" si="87"/>
        <v>153028.25092727627</v>
      </c>
      <c r="N672" s="534">
        <f t="shared" si="88"/>
        <v>0.98157004050277652</v>
      </c>
    </row>
    <row r="673" spans="7:14" x14ac:dyDescent="0.2">
      <c r="G673" s="538">
        <f t="shared" si="82"/>
        <v>129674.39503102977</v>
      </c>
      <c r="H673" s="539">
        <f t="shared" si="81"/>
        <v>0.98018245657861769</v>
      </c>
      <c r="I673" s="540">
        <f t="shared" si="83"/>
        <v>129280.03922843978</v>
      </c>
      <c r="J673" s="534">
        <f t="shared" si="84"/>
        <v>0.98015597187177661</v>
      </c>
      <c r="K673" s="538">
        <f t="shared" si="85"/>
        <v>128259.38080919179</v>
      </c>
      <c r="L673" s="539">
        <f t="shared" si="86"/>
        <v>0.98008688146888179</v>
      </c>
      <c r="M673" s="540">
        <f t="shared" si="87"/>
        <v>153028.25092727627</v>
      </c>
      <c r="N673" s="534">
        <f t="shared" si="88"/>
        <v>0.98157004050277652</v>
      </c>
    </row>
    <row r="674" spans="7:14" x14ac:dyDescent="0.2">
      <c r="G674" s="538">
        <f t="shared" si="82"/>
        <v>129674.39503102977</v>
      </c>
      <c r="H674" s="539">
        <f t="shared" si="81"/>
        <v>0.98018245657861769</v>
      </c>
      <c r="I674" s="540">
        <f t="shared" si="83"/>
        <v>129280.03922843978</v>
      </c>
      <c r="J674" s="534">
        <f t="shared" si="84"/>
        <v>0.98015597187177661</v>
      </c>
      <c r="K674" s="538">
        <f t="shared" si="85"/>
        <v>128259.38080919179</v>
      </c>
      <c r="L674" s="539">
        <f t="shared" si="86"/>
        <v>0.98008688146888179</v>
      </c>
      <c r="M674" s="540">
        <f t="shared" si="87"/>
        <v>153028.25092727627</v>
      </c>
      <c r="N674" s="534">
        <f t="shared" si="88"/>
        <v>0.98157004050277652</v>
      </c>
    </row>
    <row r="675" spans="7:14" x14ac:dyDescent="0.2">
      <c r="G675" s="538">
        <f t="shared" si="82"/>
        <v>129674.39503102977</v>
      </c>
      <c r="H675" s="539">
        <f t="shared" si="81"/>
        <v>0.98018245657861769</v>
      </c>
      <c r="I675" s="540">
        <f t="shared" si="83"/>
        <v>129280.03922843978</v>
      </c>
      <c r="J675" s="534">
        <f t="shared" si="84"/>
        <v>0.98015597187177661</v>
      </c>
      <c r="K675" s="538">
        <f t="shared" si="85"/>
        <v>128259.38080919179</v>
      </c>
      <c r="L675" s="539">
        <f t="shared" si="86"/>
        <v>0.98008688146888179</v>
      </c>
      <c r="M675" s="540">
        <f t="shared" si="87"/>
        <v>153028.25092727627</v>
      </c>
      <c r="N675" s="534">
        <f t="shared" si="88"/>
        <v>0.98157004050277652</v>
      </c>
    </row>
    <row r="676" spans="7:14" x14ac:dyDescent="0.2">
      <c r="G676" s="538">
        <f t="shared" si="82"/>
        <v>129674.39503102977</v>
      </c>
      <c r="H676" s="539">
        <f t="shared" si="81"/>
        <v>0.98018245657861769</v>
      </c>
      <c r="I676" s="540">
        <f t="shared" si="83"/>
        <v>129280.03922843978</v>
      </c>
      <c r="J676" s="534">
        <f t="shared" si="84"/>
        <v>0.98015597187177661</v>
      </c>
      <c r="K676" s="538">
        <f t="shared" si="85"/>
        <v>128259.38080919179</v>
      </c>
      <c r="L676" s="539">
        <f t="shared" si="86"/>
        <v>0.98008688146888179</v>
      </c>
      <c r="M676" s="540">
        <f t="shared" si="87"/>
        <v>153028.25092727627</v>
      </c>
      <c r="N676" s="534">
        <f t="shared" si="88"/>
        <v>0.98157004050277652</v>
      </c>
    </row>
    <row r="677" spans="7:14" x14ac:dyDescent="0.2">
      <c r="G677" s="538">
        <f t="shared" si="82"/>
        <v>129674.39503102977</v>
      </c>
      <c r="H677" s="539">
        <f t="shared" si="81"/>
        <v>0.98018245657861769</v>
      </c>
      <c r="I677" s="540">
        <f t="shared" si="83"/>
        <v>129280.03922843978</v>
      </c>
      <c r="J677" s="534">
        <f t="shared" si="84"/>
        <v>0.98015597187177661</v>
      </c>
      <c r="K677" s="538">
        <f t="shared" si="85"/>
        <v>128259.38080919179</v>
      </c>
      <c r="L677" s="539">
        <f t="shared" si="86"/>
        <v>0.98008688146888179</v>
      </c>
      <c r="M677" s="540">
        <f t="shared" si="87"/>
        <v>153028.25092727627</v>
      </c>
      <c r="N677" s="534">
        <f t="shared" si="88"/>
        <v>0.98157004050277652</v>
      </c>
    </row>
    <row r="678" spans="7:14" x14ac:dyDescent="0.2">
      <c r="G678" s="538">
        <f t="shared" si="82"/>
        <v>129674.39503102977</v>
      </c>
      <c r="H678" s="539">
        <f t="shared" si="81"/>
        <v>0.98018245657861769</v>
      </c>
      <c r="I678" s="540">
        <f t="shared" si="83"/>
        <v>129280.03922843978</v>
      </c>
      <c r="J678" s="534">
        <f t="shared" si="84"/>
        <v>0.98015597187177661</v>
      </c>
      <c r="K678" s="538">
        <f t="shared" si="85"/>
        <v>128259.38080919179</v>
      </c>
      <c r="L678" s="539">
        <f t="shared" si="86"/>
        <v>0.98008688146888179</v>
      </c>
      <c r="M678" s="540">
        <f t="shared" si="87"/>
        <v>153028.25092727627</v>
      </c>
      <c r="N678" s="534">
        <f t="shared" si="88"/>
        <v>0.98157004050277652</v>
      </c>
    </row>
    <row r="679" spans="7:14" x14ac:dyDescent="0.2">
      <c r="G679" s="538">
        <f t="shared" si="82"/>
        <v>129674.39503102977</v>
      </c>
      <c r="H679" s="539">
        <f t="shared" si="81"/>
        <v>0.98018245657861769</v>
      </c>
      <c r="I679" s="540">
        <f t="shared" si="83"/>
        <v>129280.03922843978</v>
      </c>
      <c r="J679" s="534">
        <f t="shared" si="84"/>
        <v>0.98015597187177661</v>
      </c>
      <c r="K679" s="538">
        <f t="shared" si="85"/>
        <v>128259.38080919179</v>
      </c>
      <c r="L679" s="539">
        <f t="shared" si="86"/>
        <v>0.98008688146888179</v>
      </c>
      <c r="M679" s="540">
        <f t="shared" si="87"/>
        <v>153028.25092727627</v>
      </c>
      <c r="N679" s="534">
        <f t="shared" si="88"/>
        <v>0.98157004050277652</v>
      </c>
    </row>
    <row r="680" spans="7:14" x14ac:dyDescent="0.2">
      <c r="G680" s="538">
        <f t="shared" si="82"/>
        <v>129674.39503102977</v>
      </c>
      <c r="H680" s="539">
        <f t="shared" si="81"/>
        <v>0.98018245657861769</v>
      </c>
      <c r="I680" s="540">
        <f t="shared" si="83"/>
        <v>129280.03922843978</v>
      </c>
      <c r="J680" s="534">
        <f t="shared" si="84"/>
        <v>0.98015597187177661</v>
      </c>
      <c r="K680" s="538">
        <f t="shared" si="85"/>
        <v>128259.38080919179</v>
      </c>
      <c r="L680" s="539">
        <f t="shared" si="86"/>
        <v>0.98008688146888179</v>
      </c>
      <c r="M680" s="540">
        <f t="shared" si="87"/>
        <v>153028.25092727627</v>
      </c>
      <c r="N680" s="534">
        <f t="shared" si="88"/>
        <v>0.98157004050277652</v>
      </c>
    </row>
    <row r="681" spans="7:14" x14ac:dyDescent="0.2">
      <c r="G681" s="538">
        <f t="shared" si="82"/>
        <v>129674.39503102977</v>
      </c>
      <c r="H681" s="539">
        <f t="shared" si="81"/>
        <v>0.98018245657861769</v>
      </c>
      <c r="I681" s="540">
        <f t="shared" si="83"/>
        <v>129280.03922843978</v>
      </c>
      <c r="J681" s="534">
        <f t="shared" si="84"/>
        <v>0.98015597187177661</v>
      </c>
      <c r="K681" s="538">
        <f t="shared" si="85"/>
        <v>128259.38080919179</v>
      </c>
      <c r="L681" s="539">
        <f t="shared" si="86"/>
        <v>0.98008688146888179</v>
      </c>
      <c r="M681" s="540">
        <f t="shared" si="87"/>
        <v>153028.25092727627</v>
      </c>
      <c r="N681" s="534">
        <f t="shared" si="88"/>
        <v>0.98157004050277652</v>
      </c>
    </row>
    <row r="682" spans="7:14" x14ac:dyDescent="0.2">
      <c r="G682" s="538">
        <f t="shared" si="82"/>
        <v>129674.39503102977</v>
      </c>
      <c r="H682" s="539">
        <f t="shared" si="81"/>
        <v>0.98018245657861769</v>
      </c>
      <c r="I682" s="540">
        <f t="shared" si="83"/>
        <v>129280.03922843978</v>
      </c>
      <c r="J682" s="534">
        <f t="shared" si="84"/>
        <v>0.98015597187177661</v>
      </c>
      <c r="K682" s="538">
        <f t="shared" si="85"/>
        <v>128259.38080919179</v>
      </c>
      <c r="L682" s="539">
        <f t="shared" si="86"/>
        <v>0.98008688146888179</v>
      </c>
      <c r="M682" s="540">
        <f t="shared" si="87"/>
        <v>153028.25092727627</v>
      </c>
      <c r="N682" s="534">
        <f t="shared" si="88"/>
        <v>0.98157004050277652</v>
      </c>
    </row>
    <row r="683" spans="7:14" x14ac:dyDescent="0.2">
      <c r="G683" s="538">
        <f t="shared" si="82"/>
        <v>129674.39503102977</v>
      </c>
      <c r="H683" s="539">
        <f t="shared" si="81"/>
        <v>0.98018245657861769</v>
      </c>
      <c r="I683" s="540">
        <f t="shared" si="83"/>
        <v>129280.03922843978</v>
      </c>
      <c r="J683" s="534">
        <f t="shared" si="84"/>
        <v>0.98015597187177661</v>
      </c>
      <c r="K683" s="538">
        <f t="shared" si="85"/>
        <v>128259.38080919179</v>
      </c>
      <c r="L683" s="539">
        <f t="shared" si="86"/>
        <v>0.98008688146888179</v>
      </c>
      <c r="M683" s="540">
        <f t="shared" si="87"/>
        <v>153028.25092727627</v>
      </c>
      <c r="N683" s="534">
        <f t="shared" si="88"/>
        <v>0.98157004050277652</v>
      </c>
    </row>
    <row r="684" spans="7:14" x14ac:dyDescent="0.2">
      <c r="G684" s="538">
        <f t="shared" si="82"/>
        <v>129674.39503102977</v>
      </c>
      <c r="H684" s="539">
        <f t="shared" si="81"/>
        <v>0.98018245657861769</v>
      </c>
      <c r="I684" s="540">
        <f t="shared" si="83"/>
        <v>129280.03922843978</v>
      </c>
      <c r="J684" s="534">
        <f t="shared" si="84"/>
        <v>0.98015597187177661</v>
      </c>
      <c r="K684" s="538">
        <f t="shared" si="85"/>
        <v>128259.38080919179</v>
      </c>
      <c r="L684" s="539">
        <f t="shared" si="86"/>
        <v>0.98008688146888179</v>
      </c>
      <c r="M684" s="540">
        <f t="shared" si="87"/>
        <v>153028.25092727627</v>
      </c>
      <c r="N684" s="534">
        <f t="shared" si="88"/>
        <v>0.98157004050277652</v>
      </c>
    </row>
    <row r="685" spans="7:14" x14ac:dyDescent="0.2">
      <c r="G685" s="538">
        <f t="shared" si="82"/>
        <v>129674.39503102977</v>
      </c>
      <c r="H685" s="539">
        <f t="shared" si="81"/>
        <v>0.98018245657861769</v>
      </c>
      <c r="I685" s="540">
        <f t="shared" si="83"/>
        <v>129280.03922843978</v>
      </c>
      <c r="J685" s="534">
        <f t="shared" si="84"/>
        <v>0.98015597187177661</v>
      </c>
      <c r="K685" s="538">
        <f t="shared" si="85"/>
        <v>128259.38080919179</v>
      </c>
      <c r="L685" s="539">
        <f t="shared" si="86"/>
        <v>0.98008688146888179</v>
      </c>
      <c r="M685" s="540">
        <f t="shared" si="87"/>
        <v>153028.25092727627</v>
      </c>
      <c r="N685" s="534">
        <f t="shared" si="88"/>
        <v>0.98157004050277652</v>
      </c>
    </row>
    <row r="686" spans="7:14" x14ac:dyDescent="0.2">
      <c r="G686" s="538">
        <f t="shared" si="82"/>
        <v>129674.39503102977</v>
      </c>
      <c r="H686" s="539">
        <f t="shared" si="81"/>
        <v>0.98018245657861769</v>
      </c>
      <c r="I686" s="540">
        <f t="shared" si="83"/>
        <v>129280.03922843978</v>
      </c>
      <c r="J686" s="534">
        <f t="shared" si="84"/>
        <v>0.98015597187177661</v>
      </c>
      <c r="K686" s="538">
        <f t="shared" si="85"/>
        <v>128259.38080919179</v>
      </c>
      <c r="L686" s="539">
        <f t="shared" si="86"/>
        <v>0.98008688146888179</v>
      </c>
      <c r="M686" s="540">
        <f t="shared" si="87"/>
        <v>153028.25092727627</v>
      </c>
      <c r="N686" s="534">
        <f t="shared" si="88"/>
        <v>0.98157004050277652</v>
      </c>
    </row>
    <row r="687" spans="7:14" x14ac:dyDescent="0.2">
      <c r="G687" s="538">
        <f t="shared" si="82"/>
        <v>129674.39503102977</v>
      </c>
      <c r="H687" s="539">
        <f t="shared" si="81"/>
        <v>0.98018245657861769</v>
      </c>
      <c r="I687" s="540">
        <f t="shared" si="83"/>
        <v>129280.03922843978</v>
      </c>
      <c r="J687" s="534">
        <f t="shared" si="84"/>
        <v>0.98015597187177661</v>
      </c>
      <c r="K687" s="538">
        <f t="shared" si="85"/>
        <v>128259.38080919179</v>
      </c>
      <c r="L687" s="539">
        <f t="shared" si="86"/>
        <v>0.98008688146888179</v>
      </c>
      <c r="M687" s="540">
        <f t="shared" si="87"/>
        <v>153028.25092727627</v>
      </c>
      <c r="N687" s="534">
        <f t="shared" si="88"/>
        <v>0.98157004050277652</v>
      </c>
    </row>
    <row r="688" spans="7:14" x14ac:dyDescent="0.2">
      <c r="G688" s="538">
        <f t="shared" si="82"/>
        <v>129674.39503102977</v>
      </c>
      <c r="H688" s="539">
        <f t="shared" si="81"/>
        <v>0.98018245657861769</v>
      </c>
      <c r="I688" s="540">
        <f t="shared" si="83"/>
        <v>129280.03922843978</v>
      </c>
      <c r="J688" s="534">
        <f t="shared" si="84"/>
        <v>0.98015597187177661</v>
      </c>
      <c r="K688" s="538">
        <f t="shared" si="85"/>
        <v>128259.38080919179</v>
      </c>
      <c r="L688" s="539">
        <f t="shared" si="86"/>
        <v>0.98008688146888179</v>
      </c>
      <c r="M688" s="540">
        <f t="shared" si="87"/>
        <v>153028.25092727627</v>
      </c>
      <c r="N688" s="534">
        <f t="shared" si="88"/>
        <v>0.98157004050277652</v>
      </c>
    </row>
    <row r="689" spans="7:14" x14ac:dyDescent="0.2">
      <c r="G689" s="538">
        <f t="shared" si="82"/>
        <v>129674.39503102977</v>
      </c>
      <c r="H689" s="539">
        <f t="shared" si="81"/>
        <v>0.98018245657861769</v>
      </c>
      <c r="I689" s="540">
        <f t="shared" si="83"/>
        <v>129280.03922843978</v>
      </c>
      <c r="J689" s="534">
        <f t="shared" si="84"/>
        <v>0.98015597187177661</v>
      </c>
      <c r="K689" s="538">
        <f t="shared" si="85"/>
        <v>128259.38080919179</v>
      </c>
      <c r="L689" s="539">
        <f t="shared" si="86"/>
        <v>0.98008688146888179</v>
      </c>
      <c r="M689" s="540">
        <f t="shared" si="87"/>
        <v>153028.25092727627</v>
      </c>
      <c r="N689" s="534">
        <f t="shared" si="88"/>
        <v>0.98157004050277652</v>
      </c>
    </row>
    <row r="690" spans="7:14" x14ac:dyDescent="0.2">
      <c r="G690" s="538">
        <f t="shared" si="82"/>
        <v>129674.39503102977</v>
      </c>
      <c r="H690" s="539">
        <f t="shared" si="81"/>
        <v>0.98018245657861769</v>
      </c>
      <c r="I690" s="540">
        <f t="shared" si="83"/>
        <v>129280.03922843978</v>
      </c>
      <c r="J690" s="534">
        <f t="shared" si="84"/>
        <v>0.98015597187177661</v>
      </c>
      <c r="K690" s="538">
        <f t="shared" si="85"/>
        <v>128259.38080919179</v>
      </c>
      <c r="L690" s="539">
        <f t="shared" si="86"/>
        <v>0.98008688146888179</v>
      </c>
      <c r="M690" s="540">
        <f t="shared" si="87"/>
        <v>153028.25092727627</v>
      </c>
      <c r="N690" s="534">
        <f t="shared" si="88"/>
        <v>0.98157004050277652</v>
      </c>
    </row>
    <row r="691" spans="7:14" x14ac:dyDescent="0.2">
      <c r="G691" s="538">
        <f t="shared" si="82"/>
        <v>129674.39503102977</v>
      </c>
      <c r="H691" s="539">
        <f t="shared" si="81"/>
        <v>0.98018245657861769</v>
      </c>
      <c r="I691" s="540">
        <f t="shared" si="83"/>
        <v>129280.03922843978</v>
      </c>
      <c r="J691" s="534">
        <f t="shared" si="84"/>
        <v>0.98015597187177661</v>
      </c>
      <c r="K691" s="538">
        <f t="shared" si="85"/>
        <v>128259.38080919179</v>
      </c>
      <c r="L691" s="539">
        <f t="shared" si="86"/>
        <v>0.98008688146888179</v>
      </c>
      <c r="M691" s="540">
        <f t="shared" si="87"/>
        <v>153028.25092727627</v>
      </c>
      <c r="N691" s="534">
        <f t="shared" si="88"/>
        <v>0.98157004050277652</v>
      </c>
    </row>
    <row r="692" spans="7:14" x14ac:dyDescent="0.2">
      <c r="G692" s="538">
        <f t="shared" si="82"/>
        <v>129674.39503102977</v>
      </c>
      <c r="H692" s="539">
        <f t="shared" si="81"/>
        <v>0.98018245657861769</v>
      </c>
      <c r="I692" s="540">
        <f t="shared" si="83"/>
        <v>129280.03922843978</v>
      </c>
      <c r="J692" s="534">
        <f t="shared" si="84"/>
        <v>0.98015597187177661</v>
      </c>
      <c r="K692" s="538">
        <f t="shared" si="85"/>
        <v>128259.38080919179</v>
      </c>
      <c r="L692" s="539">
        <f t="shared" si="86"/>
        <v>0.98008688146888179</v>
      </c>
      <c r="M692" s="540">
        <f t="shared" si="87"/>
        <v>153028.25092727627</v>
      </c>
      <c r="N692" s="534">
        <f t="shared" si="88"/>
        <v>0.98157004050277652</v>
      </c>
    </row>
    <row r="693" spans="7:14" x14ac:dyDescent="0.2">
      <c r="G693" s="538">
        <f t="shared" si="82"/>
        <v>129674.39503102977</v>
      </c>
      <c r="H693" s="539">
        <f t="shared" si="81"/>
        <v>0.98018245657861769</v>
      </c>
      <c r="I693" s="540">
        <f t="shared" si="83"/>
        <v>129280.03922843978</v>
      </c>
      <c r="J693" s="534">
        <f t="shared" si="84"/>
        <v>0.98015597187177661</v>
      </c>
      <c r="K693" s="538">
        <f t="shared" si="85"/>
        <v>128259.38080919179</v>
      </c>
      <c r="L693" s="539">
        <f t="shared" si="86"/>
        <v>0.98008688146888179</v>
      </c>
      <c r="M693" s="540">
        <f t="shared" si="87"/>
        <v>153028.25092727627</v>
      </c>
      <c r="N693" s="534">
        <f t="shared" si="88"/>
        <v>0.98157004050277652</v>
      </c>
    </row>
    <row r="694" spans="7:14" x14ac:dyDescent="0.2">
      <c r="G694" s="538">
        <f t="shared" si="82"/>
        <v>129674.39503102977</v>
      </c>
      <c r="H694" s="539">
        <f t="shared" si="81"/>
        <v>0.98018245657861769</v>
      </c>
      <c r="I694" s="540">
        <f t="shared" si="83"/>
        <v>129280.03922843978</v>
      </c>
      <c r="J694" s="534">
        <f t="shared" si="84"/>
        <v>0.98015597187177661</v>
      </c>
      <c r="K694" s="538">
        <f t="shared" si="85"/>
        <v>128259.38080919179</v>
      </c>
      <c r="L694" s="539">
        <f t="shared" si="86"/>
        <v>0.98008688146888179</v>
      </c>
      <c r="M694" s="540">
        <f t="shared" si="87"/>
        <v>153028.25092727627</v>
      </c>
      <c r="N694" s="534">
        <f t="shared" si="88"/>
        <v>0.98157004050277652</v>
      </c>
    </row>
    <row r="695" spans="7:14" x14ac:dyDescent="0.2">
      <c r="G695" s="538">
        <f t="shared" si="82"/>
        <v>129674.39503102977</v>
      </c>
      <c r="H695" s="539">
        <f t="shared" si="81"/>
        <v>0.98018245657861769</v>
      </c>
      <c r="I695" s="540">
        <f t="shared" si="83"/>
        <v>129280.03922843978</v>
      </c>
      <c r="J695" s="534">
        <f t="shared" si="84"/>
        <v>0.98015597187177661</v>
      </c>
      <c r="K695" s="538">
        <f t="shared" si="85"/>
        <v>128259.38080919179</v>
      </c>
      <c r="L695" s="539">
        <f t="shared" si="86"/>
        <v>0.98008688146888179</v>
      </c>
      <c r="M695" s="540">
        <f t="shared" si="87"/>
        <v>153028.25092727627</v>
      </c>
      <c r="N695" s="534">
        <f t="shared" si="88"/>
        <v>0.98157004050277652</v>
      </c>
    </row>
    <row r="696" spans="7:14" x14ac:dyDescent="0.2">
      <c r="G696" s="538">
        <f t="shared" si="82"/>
        <v>129674.39503102977</v>
      </c>
      <c r="H696" s="539">
        <f t="shared" si="81"/>
        <v>0.98018245657861769</v>
      </c>
      <c r="I696" s="540">
        <f t="shared" si="83"/>
        <v>129280.03922843978</v>
      </c>
      <c r="J696" s="534">
        <f t="shared" si="84"/>
        <v>0.98015597187177661</v>
      </c>
      <c r="K696" s="538">
        <f t="shared" si="85"/>
        <v>128259.38080919179</v>
      </c>
      <c r="L696" s="539">
        <f t="shared" si="86"/>
        <v>0.98008688146888179</v>
      </c>
      <c r="M696" s="540">
        <f t="shared" si="87"/>
        <v>153028.25092727627</v>
      </c>
      <c r="N696" s="534">
        <f t="shared" si="88"/>
        <v>0.98157004050277652</v>
      </c>
    </row>
    <row r="697" spans="7:14" x14ac:dyDescent="0.2">
      <c r="G697" s="538">
        <f t="shared" si="82"/>
        <v>129674.39503102977</v>
      </c>
      <c r="H697" s="539">
        <f t="shared" si="81"/>
        <v>0.98018245657861769</v>
      </c>
      <c r="I697" s="540">
        <f t="shared" si="83"/>
        <v>129280.03922843978</v>
      </c>
      <c r="J697" s="534">
        <f t="shared" si="84"/>
        <v>0.98015597187177661</v>
      </c>
      <c r="K697" s="538">
        <f t="shared" si="85"/>
        <v>128259.38080919179</v>
      </c>
      <c r="L697" s="539">
        <f t="shared" si="86"/>
        <v>0.98008688146888179</v>
      </c>
      <c r="M697" s="540">
        <f t="shared" si="87"/>
        <v>153028.25092727627</v>
      </c>
      <c r="N697" s="534">
        <f t="shared" si="88"/>
        <v>0.98157004050277652</v>
      </c>
    </row>
    <row r="698" spans="7:14" x14ac:dyDescent="0.2">
      <c r="G698" s="538">
        <f t="shared" si="82"/>
        <v>129674.39503102977</v>
      </c>
      <c r="H698" s="539">
        <f t="shared" si="81"/>
        <v>0.98018245657861769</v>
      </c>
      <c r="I698" s="540">
        <f t="shared" si="83"/>
        <v>129280.03922843978</v>
      </c>
      <c r="J698" s="534">
        <f t="shared" si="84"/>
        <v>0.98015597187177661</v>
      </c>
      <c r="K698" s="538">
        <f t="shared" si="85"/>
        <v>128259.38080919179</v>
      </c>
      <c r="L698" s="539">
        <f t="shared" si="86"/>
        <v>0.98008688146888179</v>
      </c>
      <c r="M698" s="540">
        <f t="shared" si="87"/>
        <v>153028.25092727627</v>
      </c>
      <c r="N698" s="534">
        <f t="shared" si="88"/>
        <v>0.98157004050277652</v>
      </c>
    </row>
    <row r="699" spans="7:14" x14ac:dyDescent="0.2">
      <c r="G699" s="538">
        <f t="shared" si="82"/>
        <v>129674.39503102977</v>
      </c>
      <c r="H699" s="539">
        <f t="shared" si="81"/>
        <v>0.98018245657861769</v>
      </c>
      <c r="I699" s="540">
        <f t="shared" si="83"/>
        <v>129280.03922843978</v>
      </c>
      <c r="J699" s="534">
        <f t="shared" si="84"/>
        <v>0.98015597187177661</v>
      </c>
      <c r="K699" s="538">
        <f t="shared" si="85"/>
        <v>128259.38080919179</v>
      </c>
      <c r="L699" s="539">
        <f t="shared" si="86"/>
        <v>0.98008688146888179</v>
      </c>
      <c r="M699" s="540">
        <f t="shared" si="87"/>
        <v>153028.25092727627</v>
      </c>
      <c r="N699" s="534">
        <f t="shared" si="88"/>
        <v>0.98157004050277652</v>
      </c>
    </row>
    <row r="700" spans="7:14" x14ac:dyDescent="0.2">
      <c r="G700" s="538">
        <f t="shared" si="82"/>
        <v>129674.39503102977</v>
      </c>
      <c r="H700" s="539">
        <f t="shared" si="81"/>
        <v>0.98018245657861769</v>
      </c>
      <c r="I700" s="540">
        <f t="shared" si="83"/>
        <v>129280.03922843978</v>
      </c>
      <c r="J700" s="534">
        <f t="shared" si="84"/>
        <v>0.98015597187177661</v>
      </c>
      <c r="K700" s="538">
        <f t="shared" si="85"/>
        <v>128259.38080919179</v>
      </c>
      <c r="L700" s="539">
        <f t="shared" si="86"/>
        <v>0.98008688146888179</v>
      </c>
      <c r="M700" s="540">
        <f t="shared" si="87"/>
        <v>153028.25092727627</v>
      </c>
      <c r="N700" s="534">
        <f t="shared" si="88"/>
        <v>0.98157004050277652</v>
      </c>
    </row>
    <row r="701" spans="7:14" x14ac:dyDescent="0.2">
      <c r="G701" s="538">
        <f t="shared" si="82"/>
        <v>129674.39503102977</v>
      </c>
      <c r="H701" s="539">
        <f t="shared" si="81"/>
        <v>0.98018245657861769</v>
      </c>
      <c r="I701" s="540">
        <f t="shared" si="83"/>
        <v>129280.03922843978</v>
      </c>
      <c r="J701" s="534">
        <f t="shared" si="84"/>
        <v>0.98015597187177661</v>
      </c>
      <c r="K701" s="538">
        <f t="shared" si="85"/>
        <v>128259.38080919179</v>
      </c>
      <c r="L701" s="539">
        <f t="shared" si="86"/>
        <v>0.98008688146888179</v>
      </c>
      <c r="M701" s="540">
        <f t="shared" si="87"/>
        <v>153028.25092727627</v>
      </c>
      <c r="N701" s="534">
        <f t="shared" si="88"/>
        <v>0.98157004050277652</v>
      </c>
    </row>
    <row r="702" spans="7:14" x14ac:dyDescent="0.2">
      <c r="G702" s="538">
        <f t="shared" si="82"/>
        <v>129674.39503102977</v>
      </c>
      <c r="H702" s="539">
        <f t="shared" si="81"/>
        <v>0.98018245657861769</v>
      </c>
      <c r="I702" s="540">
        <f t="shared" si="83"/>
        <v>129280.03922843978</v>
      </c>
      <c r="J702" s="534">
        <f t="shared" si="84"/>
        <v>0.98015597187177661</v>
      </c>
      <c r="K702" s="538">
        <f t="shared" si="85"/>
        <v>128259.38080919179</v>
      </c>
      <c r="L702" s="539">
        <f t="shared" si="86"/>
        <v>0.98008688146888179</v>
      </c>
      <c r="M702" s="540">
        <f t="shared" si="87"/>
        <v>153028.25092727627</v>
      </c>
      <c r="N702" s="534">
        <f t="shared" si="88"/>
        <v>0.98157004050277652</v>
      </c>
    </row>
    <row r="703" spans="7:14" x14ac:dyDescent="0.2">
      <c r="G703" s="538">
        <f t="shared" si="82"/>
        <v>129674.39503102977</v>
      </c>
      <c r="H703" s="539">
        <f t="shared" si="81"/>
        <v>0.98018245657861769</v>
      </c>
      <c r="I703" s="540">
        <f t="shared" si="83"/>
        <v>129280.03922843978</v>
      </c>
      <c r="J703" s="534">
        <f t="shared" si="84"/>
        <v>0.98015597187177661</v>
      </c>
      <c r="K703" s="538">
        <f t="shared" si="85"/>
        <v>128259.38080919179</v>
      </c>
      <c r="L703" s="539">
        <f t="shared" si="86"/>
        <v>0.98008688146888179</v>
      </c>
      <c r="M703" s="540">
        <f t="shared" si="87"/>
        <v>153028.25092727627</v>
      </c>
      <c r="N703" s="534">
        <f t="shared" si="88"/>
        <v>0.98157004050277652</v>
      </c>
    </row>
    <row r="704" spans="7:14" x14ac:dyDescent="0.2">
      <c r="G704" s="538">
        <f t="shared" si="82"/>
        <v>129674.39503102977</v>
      </c>
      <c r="H704" s="539">
        <f t="shared" si="81"/>
        <v>0.98018245657861769</v>
      </c>
      <c r="I704" s="540">
        <f t="shared" si="83"/>
        <v>129280.03922843978</v>
      </c>
      <c r="J704" s="534">
        <f t="shared" si="84"/>
        <v>0.98015597187177661</v>
      </c>
      <c r="K704" s="538">
        <f t="shared" si="85"/>
        <v>128259.38080919179</v>
      </c>
      <c r="L704" s="539">
        <f t="shared" si="86"/>
        <v>0.98008688146888179</v>
      </c>
      <c r="M704" s="540">
        <f t="shared" si="87"/>
        <v>153028.25092727627</v>
      </c>
      <c r="N704" s="534">
        <f t="shared" si="88"/>
        <v>0.98157004050277652</v>
      </c>
    </row>
    <row r="705" spans="7:14" x14ac:dyDescent="0.2">
      <c r="G705" s="538">
        <f t="shared" si="82"/>
        <v>129674.39503102977</v>
      </c>
      <c r="H705" s="539">
        <f t="shared" si="81"/>
        <v>0.98018245657861769</v>
      </c>
      <c r="I705" s="540">
        <f t="shared" si="83"/>
        <v>129280.03922843978</v>
      </c>
      <c r="J705" s="534">
        <f t="shared" si="84"/>
        <v>0.98015597187177661</v>
      </c>
      <c r="K705" s="538">
        <f t="shared" si="85"/>
        <v>128259.38080919179</v>
      </c>
      <c r="L705" s="539">
        <f t="shared" si="86"/>
        <v>0.98008688146888179</v>
      </c>
      <c r="M705" s="540">
        <f t="shared" si="87"/>
        <v>153028.25092727627</v>
      </c>
      <c r="N705" s="534">
        <f t="shared" si="88"/>
        <v>0.98157004050277652</v>
      </c>
    </row>
    <row r="706" spans="7:14" x14ac:dyDescent="0.2">
      <c r="G706" s="538">
        <f t="shared" si="82"/>
        <v>129674.39503102977</v>
      </c>
      <c r="H706" s="539">
        <f t="shared" si="81"/>
        <v>0.98018245657861769</v>
      </c>
      <c r="I706" s="540">
        <f t="shared" si="83"/>
        <v>129280.03922843978</v>
      </c>
      <c r="J706" s="534">
        <f t="shared" si="84"/>
        <v>0.98015597187177661</v>
      </c>
      <c r="K706" s="538">
        <f t="shared" si="85"/>
        <v>128259.38080919179</v>
      </c>
      <c r="L706" s="539">
        <f t="shared" si="86"/>
        <v>0.98008688146888179</v>
      </c>
      <c r="M706" s="540">
        <f t="shared" si="87"/>
        <v>153028.25092727627</v>
      </c>
      <c r="N706" s="534">
        <f t="shared" si="88"/>
        <v>0.98157004050277652</v>
      </c>
    </row>
    <row r="707" spans="7:14" x14ac:dyDescent="0.2">
      <c r="G707" s="538">
        <f t="shared" si="82"/>
        <v>129674.39503102977</v>
      </c>
      <c r="H707" s="539">
        <f t="shared" ref="H707:H770" si="89">0.9986-(7.006/SQRT(G707))+134.6/G707</f>
        <v>0.98018245657861769</v>
      </c>
      <c r="I707" s="540">
        <f t="shared" si="83"/>
        <v>129280.03922843978</v>
      </c>
      <c r="J707" s="534">
        <f t="shared" si="84"/>
        <v>0.98015597187177661</v>
      </c>
      <c r="K707" s="538">
        <f t="shared" si="85"/>
        <v>128259.38080919179</v>
      </c>
      <c r="L707" s="539">
        <f t="shared" si="86"/>
        <v>0.98008688146888179</v>
      </c>
      <c r="M707" s="540">
        <f t="shared" si="87"/>
        <v>153028.25092727627</v>
      </c>
      <c r="N707" s="534">
        <f t="shared" si="88"/>
        <v>0.98157004050277652</v>
      </c>
    </row>
    <row r="708" spans="7:14" x14ac:dyDescent="0.2">
      <c r="G708" s="538">
        <f t="shared" ref="G708:G771" si="90">($C$6/(1000*$C$12*$C$16))*(H707*SQRT(2*$C$5*100*$C$16))</f>
        <v>129674.39503102977</v>
      </c>
      <c r="H708" s="539">
        <f t="shared" si="89"/>
        <v>0.98018245657861769</v>
      </c>
      <c r="I708" s="540">
        <f t="shared" ref="I708:I771" si="91">($C$7/(1000*$C$12*$C$16))*(J707*SQRT(2*$C$5*100*$C$16))</f>
        <v>129280.03922843978</v>
      </c>
      <c r="J708" s="534">
        <f t="shared" ref="J708:J771" si="92">0.9986-(7.006/SQRT(I708))+134.6/I708</f>
        <v>0.98015597187177661</v>
      </c>
      <c r="K708" s="538">
        <f t="shared" ref="K708:K771" si="93">($C$8/(1000*$C$12*$C$16))*(L707*SQRT(2*$C$5*100*$C$16))</f>
        <v>128259.38080919179</v>
      </c>
      <c r="L708" s="539">
        <f t="shared" ref="L708:L771" si="94">0.9986-(7.006/SQRT(K708))+134.6/K708</f>
        <v>0.98008688146888179</v>
      </c>
      <c r="M708" s="540">
        <f t="shared" ref="M708:M771" si="95">($C$9/(1000*$C$12*$C$16))*(N707*SQRT(2*$C$5*100*$C$16))</f>
        <v>153028.25092727627</v>
      </c>
      <c r="N708" s="534">
        <f t="shared" ref="N708:N771" si="96">0.9986-(7.006/SQRT(M708))+134.6/M708</f>
        <v>0.98157004050277652</v>
      </c>
    </row>
    <row r="709" spans="7:14" x14ac:dyDescent="0.2">
      <c r="G709" s="538">
        <f t="shared" si="90"/>
        <v>129674.39503102977</v>
      </c>
      <c r="H709" s="539">
        <f t="shared" si="89"/>
        <v>0.98018245657861769</v>
      </c>
      <c r="I709" s="540">
        <f t="shared" si="91"/>
        <v>129280.03922843978</v>
      </c>
      <c r="J709" s="534">
        <f t="shared" si="92"/>
        <v>0.98015597187177661</v>
      </c>
      <c r="K709" s="538">
        <f t="shared" si="93"/>
        <v>128259.38080919179</v>
      </c>
      <c r="L709" s="539">
        <f t="shared" si="94"/>
        <v>0.98008688146888179</v>
      </c>
      <c r="M709" s="540">
        <f t="shared" si="95"/>
        <v>153028.25092727627</v>
      </c>
      <c r="N709" s="534">
        <f t="shared" si="96"/>
        <v>0.98157004050277652</v>
      </c>
    </row>
    <row r="710" spans="7:14" x14ac:dyDescent="0.2">
      <c r="G710" s="538">
        <f t="shared" si="90"/>
        <v>129674.39503102977</v>
      </c>
      <c r="H710" s="539">
        <f t="shared" si="89"/>
        <v>0.98018245657861769</v>
      </c>
      <c r="I710" s="540">
        <f t="shared" si="91"/>
        <v>129280.03922843978</v>
      </c>
      <c r="J710" s="534">
        <f t="shared" si="92"/>
        <v>0.98015597187177661</v>
      </c>
      <c r="K710" s="538">
        <f t="shared" si="93"/>
        <v>128259.38080919179</v>
      </c>
      <c r="L710" s="539">
        <f t="shared" si="94"/>
        <v>0.98008688146888179</v>
      </c>
      <c r="M710" s="540">
        <f t="shared" si="95"/>
        <v>153028.25092727627</v>
      </c>
      <c r="N710" s="534">
        <f t="shared" si="96"/>
        <v>0.98157004050277652</v>
      </c>
    </row>
    <row r="711" spans="7:14" x14ac:dyDescent="0.2">
      <c r="G711" s="538">
        <f t="shared" si="90"/>
        <v>129674.39503102977</v>
      </c>
      <c r="H711" s="539">
        <f t="shared" si="89"/>
        <v>0.98018245657861769</v>
      </c>
      <c r="I711" s="540">
        <f t="shared" si="91"/>
        <v>129280.03922843978</v>
      </c>
      <c r="J711" s="534">
        <f t="shared" si="92"/>
        <v>0.98015597187177661</v>
      </c>
      <c r="K711" s="538">
        <f t="shared" si="93"/>
        <v>128259.38080919179</v>
      </c>
      <c r="L711" s="539">
        <f t="shared" si="94"/>
        <v>0.98008688146888179</v>
      </c>
      <c r="M711" s="540">
        <f t="shared" si="95"/>
        <v>153028.25092727627</v>
      </c>
      <c r="N711" s="534">
        <f t="shared" si="96"/>
        <v>0.98157004050277652</v>
      </c>
    </row>
    <row r="712" spans="7:14" x14ac:dyDescent="0.2">
      <c r="G712" s="538">
        <f t="shared" si="90"/>
        <v>129674.39503102977</v>
      </c>
      <c r="H712" s="539">
        <f t="shared" si="89"/>
        <v>0.98018245657861769</v>
      </c>
      <c r="I712" s="540">
        <f t="shared" si="91"/>
        <v>129280.03922843978</v>
      </c>
      <c r="J712" s="534">
        <f t="shared" si="92"/>
        <v>0.98015597187177661</v>
      </c>
      <c r="K712" s="538">
        <f t="shared" si="93"/>
        <v>128259.38080919179</v>
      </c>
      <c r="L712" s="539">
        <f t="shared" si="94"/>
        <v>0.98008688146888179</v>
      </c>
      <c r="M712" s="540">
        <f t="shared" si="95"/>
        <v>153028.25092727627</v>
      </c>
      <c r="N712" s="534">
        <f t="shared" si="96"/>
        <v>0.98157004050277652</v>
      </c>
    </row>
    <row r="713" spans="7:14" x14ac:dyDescent="0.2">
      <c r="G713" s="538">
        <f t="shared" si="90"/>
        <v>129674.39503102977</v>
      </c>
      <c r="H713" s="539">
        <f t="shared" si="89"/>
        <v>0.98018245657861769</v>
      </c>
      <c r="I713" s="540">
        <f t="shared" si="91"/>
        <v>129280.03922843978</v>
      </c>
      <c r="J713" s="534">
        <f t="shared" si="92"/>
        <v>0.98015597187177661</v>
      </c>
      <c r="K713" s="538">
        <f t="shared" si="93"/>
        <v>128259.38080919179</v>
      </c>
      <c r="L713" s="539">
        <f t="shared" si="94"/>
        <v>0.98008688146888179</v>
      </c>
      <c r="M713" s="540">
        <f t="shared" si="95"/>
        <v>153028.25092727627</v>
      </c>
      <c r="N713" s="534">
        <f t="shared" si="96"/>
        <v>0.98157004050277652</v>
      </c>
    </row>
    <row r="714" spans="7:14" x14ac:dyDescent="0.2">
      <c r="G714" s="538">
        <f t="shared" si="90"/>
        <v>129674.39503102977</v>
      </c>
      <c r="H714" s="539">
        <f t="shared" si="89"/>
        <v>0.98018245657861769</v>
      </c>
      <c r="I714" s="540">
        <f t="shared" si="91"/>
        <v>129280.03922843978</v>
      </c>
      <c r="J714" s="534">
        <f t="shared" si="92"/>
        <v>0.98015597187177661</v>
      </c>
      <c r="K714" s="538">
        <f t="shared" si="93"/>
        <v>128259.38080919179</v>
      </c>
      <c r="L714" s="539">
        <f t="shared" si="94"/>
        <v>0.98008688146888179</v>
      </c>
      <c r="M714" s="540">
        <f t="shared" si="95"/>
        <v>153028.25092727627</v>
      </c>
      <c r="N714" s="534">
        <f t="shared" si="96"/>
        <v>0.98157004050277652</v>
      </c>
    </row>
    <row r="715" spans="7:14" x14ac:dyDescent="0.2">
      <c r="G715" s="538">
        <f t="shared" si="90"/>
        <v>129674.39503102977</v>
      </c>
      <c r="H715" s="539">
        <f t="shared" si="89"/>
        <v>0.98018245657861769</v>
      </c>
      <c r="I715" s="540">
        <f t="shared" si="91"/>
        <v>129280.03922843978</v>
      </c>
      <c r="J715" s="534">
        <f t="shared" si="92"/>
        <v>0.98015597187177661</v>
      </c>
      <c r="K715" s="538">
        <f t="shared" si="93"/>
        <v>128259.38080919179</v>
      </c>
      <c r="L715" s="539">
        <f t="shared" si="94"/>
        <v>0.98008688146888179</v>
      </c>
      <c r="M715" s="540">
        <f t="shared" si="95"/>
        <v>153028.25092727627</v>
      </c>
      <c r="N715" s="534">
        <f t="shared" si="96"/>
        <v>0.98157004050277652</v>
      </c>
    </row>
    <row r="716" spans="7:14" x14ac:dyDescent="0.2">
      <c r="G716" s="538">
        <f t="shared" si="90"/>
        <v>129674.39503102977</v>
      </c>
      <c r="H716" s="539">
        <f t="shared" si="89"/>
        <v>0.98018245657861769</v>
      </c>
      <c r="I716" s="540">
        <f t="shared" si="91"/>
        <v>129280.03922843978</v>
      </c>
      <c r="J716" s="534">
        <f t="shared" si="92"/>
        <v>0.98015597187177661</v>
      </c>
      <c r="K716" s="538">
        <f t="shared" si="93"/>
        <v>128259.38080919179</v>
      </c>
      <c r="L716" s="539">
        <f t="shared" si="94"/>
        <v>0.98008688146888179</v>
      </c>
      <c r="M716" s="540">
        <f t="shared" si="95"/>
        <v>153028.25092727627</v>
      </c>
      <c r="N716" s="534">
        <f t="shared" si="96"/>
        <v>0.98157004050277652</v>
      </c>
    </row>
    <row r="717" spans="7:14" x14ac:dyDescent="0.2">
      <c r="G717" s="538">
        <f t="shared" si="90"/>
        <v>129674.39503102977</v>
      </c>
      <c r="H717" s="539">
        <f t="shared" si="89"/>
        <v>0.98018245657861769</v>
      </c>
      <c r="I717" s="540">
        <f t="shared" si="91"/>
        <v>129280.03922843978</v>
      </c>
      <c r="J717" s="534">
        <f t="shared" si="92"/>
        <v>0.98015597187177661</v>
      </c>
      <c r="K717" s="538">
        <f t="shared" si="93"/>
        <v>128259.38080919179</v>
      </c>
      <c r="L717" s="539">
        <f t="shared" si="94"/>
        <v>0.98008688146888179</v>
      </c>
      <c r="M717" s="540">
        <f t="shared" si="95"/>
        <v>153028.25092727627</v>
      </c>
      <c r="N717" s="534">
        <f t="shared" si="96"/>
        <v>0.98157004050277652</v>
      </c>
    </row>
    <row r="718" spans="7:14" x14ac:dyDescent="0.2">
      <c r="G718" s="538">
        <f t="shared" si="90"/>
        <v>129674.39503102977</v>
      </c>
      <c r="H718" s="539">
        <f t="shared" si="89"/>
        <v>0.98018245657861769</v>
      </c>
      <c r="I718" s="540">
        <f t="shared" si="91"/>
        <v>129280.03922843978</v>
      </c>
      <c r="J718" s="534">
        <f t="shared" si="92"/>
        <v>0.98015597187177661</v>
      </c>
      <c r="K718" s="538">
        <f t="shared" si="93"/>
        <v>128259.38080919179</v>
      </c>
      <c r="L718" s="539">
        <f t="shared" si="94"/>
        <v>0.98008688146888179</v>
      </c>
      <c r="M718" s="540">
        <f t="shared" si="95"/>
        <v>153028.25092727627</v>
      </c>
      <c r="N718" s="534">
        <f t="shared" si="96"/>
        <v>0.98157004050277652</v>
      </c>
    </row>
    <row r="719" spans="7:14" x14ac:dyDescent="0.2">
      <c r="G719" s="538">
        <f t="shared" si="90"/>
        <v>129674.39503102977</v>
      </c>
      <c r="H719" s="539">
        <f t="shared" si="89"/>
        <v>0.98018245657861769</v>
      </c>
      <c r="I719" s="540">
        <f t="shared" si="91"/>
        <v>129280.03922843978</v>
      </c>
      <c r="J719" s="534">
        <f t="shared" si="92"/>
        <v>0.98015597187177661</v>
      </c>
      <c r="K719" s="538">
        <f t="shared" si="93"/>
        <v>128259.38080919179</v>
      </c>
      <c r="L719" s="539">
        <f t="shared" si="94"/>
        <v>0.98008688146888179</v>
      </c>
      <c r="M719" s="540">
        <f t="shared" si="95"/>
        <v>153028.25092727627</v>
      </c>
      <c r="N719" s="534">
        <f t="shared" si="96"/>
        <v>0.98157004050277652</v>
      </c>
    </row>
    <row r="720" spans="7:14" x14ac:dyDescent="0.2">
      <c r="G720" s="538">
        <f t="shared" si="90"/>
        <v>129674.39503102977</v>
      </c>
      <c r="H720" s="539">
        <f t="shared" si="89"/>
        <v>0.98018245657861769</v>
      </c>
      <c r="I720" s="540">
        <f t="shared" si="91"/>
        <v>129280.03922843978</v>
      </c>
      <c r="J720" s="534">
        <f t="shared" si="92"/>
        <v>0.98015597187177661</v>
      </c>
      <c r="K720" s="538">
        <f t="shared" si="93"/>
        <v>128259.38080919179</v>
      </c>
      <c r="L720" s="539">
        <f t="shared" si="94"/>
        <v>0.98008688146888179</v>
      </c>
      <c r="M720" s="540">
        <f t="shared" si="95"/>
        <v>153028.25092727627</v>
      </c>
      <c r="N720" s="534">
        <f t="shared" si="96"/>
        <v>0.98157004050277652</v>
      </c>
    </row>
    <row r="721" spans="7:14" x14ac:dyDescent="0.2">
      <c r="G721" s="538">
        <f t="shared" si="90"/>
        <v>129674.39503102977</v>
      </c>
      <c r="H721" s="539">
        <f t="shared" si="89"/>
        <v>0.98018245657861769</v>
      </c>
      <c r="I721" s="540">
        <f t="shared" si="91"/>
        <v>129280.03922843978</v>
      </c>
      <c r="J721" s="534">
        <f t="shared" si="92"/>
        <v>0.98015597187177661</v>
      </c>
      <c r="K721" s="538">
        <f t="shared" si="93"/>
        <v>128259.38080919179</v>
      </c>
      <c r="L721" s="539">
        <f t="shared" si="94"/>
        <v>0.98008688146888179</v>
      </c>
      <c r="M721" s="540">
        <f t="shared" si="95"/>
        <v>153028.25092727627</v>
      </c>
      <c r="N721" s="534">
        <f t="shared" si="96"/>
        <v>0.98157004050277652</v>
      </c>
    </row>
    <row r="722" spans="7:14" x14ac:dyDescent="0.2">
      <c r="G722" s="538">
        <f t="shared" si="90"/>
        <v>129674.39503102977</v>
      </c>
      <c r="H722" s="539">
        <f t="shared" si="89"/>
        <v>0.98018245657861769</v>
      </c>
      <c r="I722" s="540">
        <f t="shared" si="91"/>
        <v>129280.03922843978</v>
      </c>
      <c r="J722" s="534">
        <f t="shared" si="92"/>
        <v>0.98015597187177661</v>
      </c>
      <c r="K722" s="538">
        <f t="shared" si="93"/>
        <v>128259.38080919179</v>
      </c>
      <c r="L722" s="539">
        <f t="shared" si="94"/>
        <v>0.98008688146888179</v>
      </c>
      <c r="M722" s="540">
        <f t="shared" si="95"/>
        <v>153028.25092727627</v>
      </c>
      <c r="N722" s="534">
        <f t="shared" si="96"/>
        <v>0.98157004050277652</v>
      </c>
    </row>
    <row r="723" spans="7:14" x14ac:dyDescent="0.2">
      <c r="G723" s="538">
        <f t="shared" si="90"/>
        <v>129674.39503102977</v>
      </c>
      <c r="H723" s="539">
        <f t="shared" si="89"/>
        <v>0.98018245657861769</v>
      </c>
      <c r="I723" s="540">
        <f t="shared" si="91"/>
        <v>129280.03922843978</v>
      </c>
      <c r="J723" s="534">
        <f t="shared" si="92"/>
        <v>0.98015597187177661</v>
      </c>
      <c r="K723" s="538">
        <f t="shared" si="93"/>
        <v>128259.38080919179</v>
      </c>
      <c r="L723" s="539">
        <f t="shared" si="94"/>
        <v>0.98008688146888179</v>
      </c>
      <c r="M723" s="540">
        <f t="shared" si="95"/>
        <v>153028.25092727627</v>
      </c>
      <c r="N723" s="534">
        <f t="shared" si="96"/>
        <v>0.98157004050277652</v>
      </c>
    </row>
    <row r="724" spans="7:14" x14ac:dyDescent="0.2">
      <c r="G724" s="538">
        <f t="shared" si="90"/>
        <v>129674.39503102977</v>
      </c>
      <c r="H724" s="539">
        <f t="shared" si="89"/>
        <v>0.98018245657861769</v>
      </c>
      <c r="I724" s="540">
        <f t="shared" si="91"/>
        <v>129280.03922843978</v>
      </c>
      <c r="J724" s="534">
        <f t="shared" si="92"/>
        <v>0.98015597187177661</v>
      </c>
      <c r="K724" s="538">
        <f t="shared" si="93"/>
        <v>128259.38080919179</v>
      </c>
      <c r="L724" s="539">
        <f t="shared" si="94"/>
        <v>0.98008688146888179</v>
      </c>
      <c r="M724" s="540">
        <f t="shared" si="95"/>
        <v>153028.25092727627</v>
      </c>
      <c r="N724" s="534">
        <f t="shared" si="96"/>
        <v>0.98157004050277652</v>
      </c>
    </row>
    <row r="725" spans="7:14" x14ac:dyDescent="0.2">
      <c r="G725" s="538">
        <f t="shared" si="90"/>
        <v>129674.39503102977</v>
      </c>
      <c r="H725" s="539">
        <f t="shared" si="89"/>
        <v>0.98018245657861769</v>
      </c>
      <c r="I725" s="540">
        <f t="shared" si="91"/>
        <v>129280.03922843978</v>
      </c>
      <c r="J725" s="534">
        <f t="shared" si="92"/>
        <v>0.98015597187177661</v>
      </c>
      <c r="K725" s="538">
        <f t="shared" si="93"/>
        <v>128259.38080919179</v>
      </c>
      <c r="L725" s="539">
        <f t="shared" si="94"/>
        <v>0.98008688146888179</v>
      </c>
      <c r="M725" s="540">
        <f t="shared" si="95"/>
        <v>153028.25092727627</v>
      </c>
      <c r="N725" s="534">
        <f t="shared" si="96"/>
        <v>0.98157004050277652</v>
      </c>
    </row>
    <row r="726" spans="7:14" x14ac:dyDescent="0.2">
      <c r="G726" s="538">
        <f t="shared" si="90"/>
        <v>129674.39503102977</v>
      </c>
      <c r="H726" s="539">
        <f t="shared" si="89"/>
        <v>0.98018245657861769</v>
      </c>
      <c r="I726" s="540">
        <f t="shared" si="91"/>
        <v>129280.03922843978</v>
      </c>
      <c r="J726" s="534">
        <f t="shared" si="92"/>
        <v>0.98015597187177661</v>
      </c>
      <c r="K726" s="538">
        <f t="shared" si="93"/>
        <v>128259.38080919179</v>
      </c>
      <c r="L726" s="539">
        <f t="shared" si="94"/>
        <v>0.98008688146888179</v>
      </c>
      <c r="M726" s="540">
        <f t="shared" si="95"/>
        <v>153028.25092727627</v>
      </c>
      <c r="N726" s="534">
        <f t="shared" si="96"/>
        <v>0.98157004050277652</v>
      </c>
    </row>
    <row r="727" spans="7:14" x14ac:dyDescent="0.2">
      <c r="G727" s="538">
        <f t="shared" si="90"/>
        <v>129674.39503102977</v>
      </c>
      <c r="H727" s="539">
        <f t="shared" si="89"/>
        <v>0.98018245657861769</v>
      </c>
      <c r="I727" s="540">
        <f t="shared" si="91"/>
        <v>129280.03922843978</v>
      </c>
      <c r="J727" s="534">
        <f t="shared" si="92"/>
        <v>0.98015597187177661</v>
      </c>
      <c r="K727" s="538">
        <f t="shared" si="93"/>
        <v>128259.38080919179</v>
      </c>
      <c r="L727" s="539">
        <f t="shared" si="94"/>
        <v>0.98008688146888179</v>
      </c>
      <c r="M727" s="540">
        <f t="shared" si="95"/>
        <v>153028.25092727627</v>
      </c>
      <c r="N727" s="534">
        <f t="shared" si="96"/>
        <v>0.98157004050277652</v>
      </c>
    </row>
    <row r="728" spans="7:14" x14ac:dyDescent="0.2">
      <c r="G728" s="538">
        <f t="shared" si="90"/>
        <v>129674.39503102977</v>
      </c>
      <c r="H728" s="539">
        <f t="shared" si="89"/>
        <v>0.98018245657861769</v>
      </c>
      <c r="I728" s="540">
        <f t="shared" si="91"/>
        <v>129280.03922843978</v>
      </c>
      <c r="J728" s="534">
        <f t="shared" si="92"/>
        <v>0.98015597187177661</v>
      </c>
      <c r="K728" s="538">
        <f t="shared" si="93"/>
        <v>128259.38080919179</v>
      </c>
      <c r="L728" s="539">
        <f t="shared" si="94"/>
        <v>0.98008688146888179</v>
      </c>
      <c r="M728" s="540">
        <f t="shared" si="95"/>
        <v>153028.25092727627</v>
      </c>
      <c r="N728" s="534">
        <f t="shared" si="96"/>
        <v>0.98157004050277652</v>
      </c>
    </row>
    <row r="729" spans="7:14" x14ac:dyDescent="0.2">
      <c r="G729" s="538">
        <f t="shared" si="90"/>
        <v>129674.39503102977</v>
      </c>
      <c r="H729" s="539">
        <f t="shared" si="89"/>
        <v>0.98018245657861769</v>
      </c>
      <c r="I729" s="540">
        <f t="shared" si="91"/>
        <v>129280.03922843978</v>
      </c>
      <c r="J729" s="534">
        <f t="shared" si="92"/>
        <v>0.98015597187177661</v>
      </c>
      <c r="K729" s="538">
        <f t="shared" si="93"/>
        <v>128259.38080919179</v>
      </c>
      <c r="L729" s="539">
        <f t="shared" si="94"/>
        <v>0.98008688146888179</v>
      </c>
      <c r="M729" s="540">
        <f t="shared" si="95"/>
        <v>153028.25092727627</v>
      </c>
      <c r="N729" s="534">
        <f t="shared" si="96"/>
        <v>0.98157004050277652</v>
      </c>
    </row>
    <row r="730" spans="7:14" x14ac:dyDescent="0.2">
      <c r="G730" s="538">
        <f t="shared" si="90"/>
        <v>129674.39503102977</v>
      </c>
      <c r="H730" s="539">
        <f t="shared" si="89"/>
        <v>0.98018245657861769</v>
      </c>
      <c r="I730" s="540">
        <f t="shared" si="91"/>
        <v>129280.03922843978</v>
      </c>
      <c r="J730" s="534">
        <f t="shared" si="92"/>
        <v>0.98015597187177661</v>
      </c>
      <c r="K730" s="538">
        <f t="shared" si="93"/>
        <v>128259.38080919179</v>
      </c>
      <c r="L730" s="539">
        <f t="shared" si="94"/>
        <v>0.98008688146888179</v>
      </c>
      <c r="M730" s="540">
        <f t="shared" si="95"/>
        <v>153028.25092727627</v>
      </c>
      <c r="N730" s="534">
        <f t="shared" si="96"/>
        <v>0.98157004050277652</v>
      </c>
    </row>
    <row r="731" spans="7:14" x14ac:dyDescent="0.2">
      <c r="G731" s="538">
        <f t="shared" si="90"/>
        <v>129674.39503102977</v>
      </c>
      <c r="H731" s="539">
        <f t="shared" si="89"/>
        <v>0.98018245657861769</v>
      </c>
      <c r="I731" s="540">
        <f t="shared" si="91"/>
        <v>129280.03922843978</v>
      </c>
      <c r="J731" s="534">
        <f t="shared" si="92"/>
        <v>0.98015597187177661</v>
      </c>
      <c r="K731" s="538">
        <f t="shared" si="93"/>
        <v>128259.38080919179</v>
      </c>
      <c r="L731" s="539">
        <f t="shared" si="94"/>
        <v>0.98008688146888179</v>
      </c>
      <c r="M731" s="540">
        <f t="shared" si="95"/>
        <v>153028.25092727627</v>
      </c>
      <c r="N731" s="534">
        <f t="shared" si="96"/>
        <v>0.98157004050277652</v>
      </c>
    </row>
    <row r="732" spans="7:14" x14ac:dyDescent="0.2">
      <c r="G732" s="538">
        <f t="shared" si="90"/>
        <v>129674.39503102977</v>
      </c>
      <c r="H732" s="539">
        <f t="shared" si="89"/>
        <v>0.98018245657861769</v>
      </c>
      <c r="I732" s="540">
        <f t="shared" si="91"/>
        <v>129280.03922843978</v>
      </c>
      <c r="J732" s="534">
        <f t="shared" si="92"/>
        <v>0.98015597187177661</v>
      </c>
      <c r="K732" s="538">
        <f t="shared" si="93"/>
        <v>128259.38080919179</v>
      </c>
      <c r="L732" s="539">
        <f t="shared" si="94"/>
        <v>0.98008688146888179</v>
      </c>
      <c r="M732" s="540">
        <f t="shared" si="95"/>
        <v>153028.25092727627</v>
      </c>
      <c r="N732" s="534">
        <f t="shared" si="96"/>
        <v>0.98157004050277652</v>
      </c>
    </row>
    <row r="733" spans="7:14" x14ac:dyDescent="0.2">
      <c r="G733" s="538">
        <f t="shared" si="90"/>
        <v>129674.39503102977</v>
      </c>
      <c r="H733" s="539">
        <f t="shared" si="89"/>
        <v>0.98018245657861769</v>
      </c>
      <c r="I733" s="540">
        <f t="shared" si="91"/>
        <v>129280.03922843978</v>
      </c>
      <c r="J733" s="534">
        <f t="shared" si="92"/>
        <v>0.98015597187177661</v>
      </c>
      <c r="K733" s="538">
        <f t="shared" si="93"/>
        <v>128259.38080919179</v>
      </c>
      <c r="L733" s="539">
        <f t="shared" si="94"/>
        <v>0.98008688146888179</v>
      </c>
      <c r="M733" s="540">
        <f t="shared" si="95"/>
        <v>153028.25092727627</v>
      </c>
      <c r="N733" s="534">
        <f t="shared" si="96"/>
        <v>0.98157004050277652</v>
      </c>
    </row>
    <row r="734" spans="7:14" x14ac:dyDescent="0.2">
      <c r="G734" s="538">
        <f t="shared" si="90"/>
        <v>129674.39503102977</v>
      </c>
      <c r="H734" s="539">
        <f t="shared" si="89"/>
        <v>0.98018245657861769</v>
      </c>
      <c r="I734" s="540">
        <f t="shared" si="91"/>
        <v>129280.03922843978</v>
      </c>
      <c r="J734" s="534">
        <f t="shared" si="92"/>
        <v>0.98015597187177661</v>
      </c>
      <c r="K734" s="538">
        <f t="shared" si="93"/>
        <v>128259.38080919179</v>
      </c>
      <c r="L734" s="539">
        <f t="shared" si="94"/>
        <v>0.98008688146888179</v>
      </c>
      <c r="M734" s="540">
        <f t="shared" si="95"/>
        <v>153028.25092727627</v>
      </c>
      <c r="N734" s="534">
        <f t="shared" si="96"/>
        <v>0.98157004050277652</v>
      </c>
    </row>
    <row r="735" spans="7:14" x14ac:dyDescent="0.2">
      <c r="G735" s="538">
        <f t="shared" si="90"/>
        <v>129674.39503102977</v>
      </c>
      <c r="H735" s="539">
        <f t="shared" si="89"/>
        <v>0.98018245657861769</v>
      </c>
      <c r="I735" s="540">
        <f t="shared" si="91"/>
        <v>129280.03922843978</v>
      </c>
      <c r="J735" s="534">
        <f t="shared" si="92"/>
        <v>0.98015597187177661</v>
      </c>
      <c r="K735" s="538">
        <f t="shared" si="93"/>
        <v>128259.38080919179</v>
      </c>
      <c r="L735" s="539">
        <f t="shared" si="94"/>
        <v>0.98008688146888179</v>
      </c>
      <c r="M735" s="540">
        <f t="shared" si="95"/>
        <v>153028.25092727627</v>
      </c>
      <c r="N735" s="534">
        <f t="shared" si="96"/>
        <v>0.98157004050277652</v>
      </c>
    </row>
    <row r="736" spans="7:14" x14ac:dyDescent="0.2">
      <c r="G736" s="538">
        <f t="shared" si="90"/>
        <v>129674.39503102977</v>
      </c>
      <c r="H736" s="539">
        <f t="shared" si="89"/>
        <v>0.98018245657861769</v>
      </c>
      <c r="I736" s="540">
        <f t="shared" si="91"/>
        <v>129280.03922843978</v>
      </c>
      <c r="J736" s="534">
        <f t="shared" si="92"/>
        <v>0.98015597187177661</v>
      </c>
      <c r="K736" s="538">
        <f t="shared" si="93"/>
        <v>128259.38080919179</v>
      </c>
      <c r="L736" s="539">
        <f t="shared" si="94"/>
        <v>0.98008688146888179</v>
      </c>
      <c r="M736" s="540">
        <f t="shared" si="95"/>
        <v>153028.25092727627</v>
      </c>
      <c r="N736" s="534">
        <f t="shared" si="96"/>
        <v>0.98157004050277652</v>
      </c>
    </row>
    <row r="737" spans="7:14" x14ac:dyDescent="0.2">
      <c r="G737" s="538">
        <f t="shared" si="90"/>
        <v>129674.39503102977</v>
      </c>
      <c r="H737" s="539">
        <f t="shared" si="89"/>
        <v>0.98018245657861769</v>
      </c>
      <c r="I737" s="540">
        <f t="shared" si="91"/>
        <v>129280.03922843978</v>
      </c>
      <c r="J737" s="534">
        <f t="shared" si="92"/>
        <v>0.98015597187177661</v>
      </c>
      <c r="K737" s="538">
        <f t="shared" si="93"/>
        <v>128259.38080919179</v>
      </c>
      <c r="L737" s="539">
        <f t="shared" si="94"/>
        <v>0.98008688146888179</v>
      </c>
      <c r="M737" s="540">
        <f t="shared" si="95"/>
        <v>153028.25092727627</v>
      </c>
      <c r="N737" s="534">
        <f t="shared" si="96"/>
        <v>0.98157004050277652</v>
      </c>
    </row>
    <row r="738" spans="7:14" x14ac:dyDescent="0.2">
      <c r="G738" s="538">
        <f t="shared" si="90"/>
        <v>129674.39503102977</v>
      </c>
      <c r="H738" s="539">
        <f t="shared" si="89"/>
        <v>0.98018245657861769</v>
      </c>
      <c r="I738" s="540">
        <f t="shared" si="91"/>
        <v>129280.03922843978</v>
      </c>
      <c r="J738" s="534">
        <f t="shared" si="92"/>
        <v>0.98015597187177661</v>
      </c>
      <c r="K738" s="538">
        <f t="shared" si="93"/>
        <v>128259.38080919179</v>
      </c>
      <c r="L738" s="539">
        <f t="shared" si="94"/>
        <v>0.98008688146888179</v>
      </c>
      <c r="M738" s="540">
        <f t="shared" si="95"/>
        <v>153028.25092727627</v>
      </c>
      <c r="N738" s="534">
        <f t="shared" si="96"/>
        <v>0.98157004050277652</v>
      </c>
    </row>
    <row r="739" spans="7:14" x14ac:dyDescent="0.2">
      <c r="G739" s="538">
        <f t="shared" si="90"/>
        <v>129674.39503102977</v>
      </c>
      <c r="H739" s="539">
        <f t="shared" si="89"/>
        <v>0.98018245657861769</v>
      </c>
      <c r="I739" s="540">
        <f t="shared" si="91"/>
        <v>129280.03922843978</v>
      </c>
      <c r="J739" s="534">
        <f t="shared" si="92"/>
        <v>0.98015597187177661</v>
      </c>
      <c r="K739" s="538">
        <f t="shared" si="93"/>
        <v>128259.38080919179</v>
      </c>
      <c r="L739" s="539">
        <f t="shared" si="94"/>
        <v>0.98008688146888179</v>
      </c>
      <c r="M739" s="540">
        <f t="shared" si="95"/>
        <v>153028.25092727627</v>
      </c>
      <c r="N739" s="534">
        <f t="shared" si="96"/>
        <v>0.98157004050277652</v>
      </c>
    </row>
    <row r="740" spans="7:14" x14ac:dyDescent="0.2">
      <c r="G740" s="538">
        <f t="shared" si="90"/>
        <v>129674.39503102977</v>
      </c>
      <c r="H740" s="539">
        <f t="shared" si="89"/>
        <v>0.98018245657861769</v>
      </c>
      <c r="I740" s="540">
        <f t="shared" si="91"/>
        <v>129280.03922843978</v>
      </c>
      <c r="J740" s="534">
        <f t="shared" si="92"/>
        <v>0.98015597187177661</v>
      </c>
      <c r="K740" s="538">
        <f t="shared" si="93"/>
        <v>128259.38080919179</v>
      </c>
      <c r="L740" s="539">
        <f t="shared" si="94"/>
        <v>0.98008688146888179</v>
      </c>
      <c r="M740" s="540">
        <f t="shared" si="95"/>
        <v>153028.25092727627</v>
      </c>
      <c r="N740" s="534">
        <f t="shared" si="96"/>
        <v>0.98157004050277652</v>
      </c>
    </row>
    <row r="741" spans="7:14" x14ac:dyDescent="0.2">
      <c r="G741" s="538">
        <f t="shared" si="90"/>
        <v>129674.39503102977</v>
      </c>
      <c r="H741" s="539">
        <f t="shared" si="89"/>
        <v>0.98018245657861769</v>
      </c>
      <c r="I741" s="540">
        <f t="shared" si="91"/>
        <v>129280.03922843978</v>
      </c>
      <c r="J741" s="534">
        <f t="shared" si="92"/>
        <v>0.98015597187177661</v>
      </c>
      <c r="K741" s="538">
        <f t="shared" si="93"/>
        <v>128259.38080919179</v>
      </c>
      <c r="L741" s="539">
        <f t="shared" si="94"/>
        <v>0.98008688146888179</v>
      </c>
      <c r="M741" s="540">
        <f t="shared" si="95"/>
        <v>153028.25092727627</v>
      </c>
      <c r="N741" s="534">
        <f t="shared" si="96"/>
        <v>0.98157004050277652</v>
      </c>
    </row>
    <row r="742" spans="7:14" x14ac:dyDescent="0.2">
      <c r="G742" s="538">
        <f t="shared" si="90"/>
        <v>129674.39503102977</v>
      </c>
      <c r="H742" s="539">
        <f t="shared" si="89"/>
        <v>0.98018245657861769</v>
      </c>
      <c r="I742" s="540">
        <f t="shared" si="91"/>
        <v>129280.03922843978</v>
      </c>
      <c r="J742" s="534">
        <f t="shared" si="92"/>
        <v>0.98015597187177661</v>
      </c>
      <c r="K742" s="538">
        <f t="shared" si="93"/>
        <v>128259.38080919179</v>
      </c>
      <c r="L742" s="539">
        <f t="shared" si="94"/>
        <v>0.98008688146888179</v>
      </c>
      <c r="M742" s="540">
        <f t="shared" si="95"/>
        <v>153028.25092727627</v>
      </c>
      <c r="N742" s="534">
        <f t="shared" si="96"/>
        <v>0.98157004050277652</v>
      </c>
    </row>
    <row r="743" spans="7:14" x14ac:dyDescent="0.2">
      <c r="G743" s="538">
        <f t="shared" si="90"/>
        <v>129674.39503102977</v>
      </c>
      <c r="H743" s="539">
        <f t="shared" si="89"/>
        <v>0.98018245657861769</v>
      </c>
      <c r="I743" s="540">
        <f t="shared" si="91"/>
        <v>129280.03922843978</v>
      </c>
      <c r="J743" s="534">
        <f t="shared" si="92"/>
        <v>0.98015597187177661</v>
      </c>
      <c r="K743" s="538">
        <f t="shared" si="93"/>
        <v>128259.38080919179</v>
      </c>
      <c r="L743" s="539">
        <f t="shared" si="94"/>
        <v>0.98008688146888179</v>
      </c>
      <c r="M743" s="540">
        <f t="shared" si="95"/>
        <v>153028.25092727627</v>
      </c>
      <c r="N743" s="534">
        <f t="shared" si="96"/>
        <v>0.98157004050277652</v>
      </c>
    </row>
    <row r="744" spans="7:14" x14ac:dyDescent="0.2">
      <c r="G744" s="538">
        <f t="shared" si="90"/>
        <v>129674.39503102977</v>
      </c>
      <c r="H744" s="539">
        <f t="shared" si="89"/>
        <v>0.98018245657861769</v>
      </c>
      <c r="I744" s="540">
        <f t="shared" si="91"/>
        <v>129280.03922843978</v>
      </c>
      <c r="J744" s="534">
        <f t="shared" si="92"/>
        <v>0.98015597187177661</v>
      </c>
      <c r="K744" s="538">
        <f t="shared" si="93"/>
        <v>128259.38080919179</v>
      </c>
      <c r="L744" s="539">
        <f t="shared" si="94"/>
        <v>0.98008688146888179</v>
      </c>
      <c r="M744" s="540">
        <f t="shared" si="95"/>
        <v>153028.25092727627</v>
      </c>
      <c r="N744" s="534">
        <f t="shared" si="96"/>
        <v>0.98157004050277652</v>
      </c>
    </row>
    <row r="745" spans="7:14" x14ac:dyDescent="0.2">
      <c r="G745" s="538">
        <f t="shared" si="90"/>
        <v>129674.39503102977</v>
      </c>
      <c r="H745" s="539">
        <f t="shared" si="89"/>
        <v>0.98018245657861769</v>
      </c>
      <c r="I745" s="540">
        <f t="shared" si="91"/>
        <v>129280.03922843978</v>
      </c>
      <c r="J745" s="534">
        <f t="shared" si="92"/>
        <v>0.98015597187177661</v>
      </c>
      <c r="K745" s="538">
        <f t="shared" si="93"/>
        <v>128259.38080919179</v>
      </c>
      <c r="L745" s="539">
        <f t="shared" si="94"/>
        <v>0.98008688146888179</v>
      </c>
      <c r="M745" s="540">
        <f t="shared" si="95"/>
        <v>153028.25092727627</v>
      </c>
      <c r="N745" s="534">
        <f t="shared" si="96"/>
        <v>0.98157004050277652</v>
      </c>
    </row>
    <row r="746" spans="7:14" x14ac:dyDescent="0.2">
      <c r="G746" s="538">
        <f t="shared" si="90"/>
        <v>129674.39503102977</v>
      </c>
      <c r="H746" s="539">
        <f t="shared" si="89"/>
        <v>0.98018245657861769</v>
      </c>
      <c r="I746" s="540">
        <f t="shared" si="91"/>
        <v>129280.03922843978</v>
      </c>
      <c r="J746" s="534">
        <f t="shared" si="92"/>
        <v>0.98015597187177661</v>
      </c>
      <c r="K746" s="538">
        <f t="shared" si="93"/>
        <v>128259.38080919179</v>
      </c>
      <c r="L746" s="539">
        <f t="shared" si="94"/>
        <v>0.98008688146888179</v>
      </c>
      <c r="M746" s="540">
        <f t="shared" si="95"/>
        <v>153028.25092727627</v>
      </c>
      <c r="N746" s="534">
        <f t="shared" si="96"/>
        <v>0.98157004050277652</v>
      </c>
    </row>
    <row r="747" spans="7:14" x14ac:dyDescent="0.2">
      <c r="G747" s="538">
        <f t="shared" si="90"/>
        <v>129674.39503102977</v>
      </c>
      <c r="H747" s="539">
        <f t="shared" si="89"/>
        <v>0.98018245657861769</v>
      </c>
      <c r="I747" s="540">
        <f t="shared" si="91"/>
        <v>129280.03922843978</v>
      </c>
      <c r="J747" s="534">
        <f t="shared" si="92"/>
        <v>0.98015597187177661</v>
      </c>
      <c r="K747" s="538">
        <f t="shared" si="93"/>
        <v>128259.38080919179</v>
      </c>
      <c r="L747" s="539">
        <f t="shared" si="94"/>
        <v>0.98008688146888179</v>
      </c>
      <c r="M747" s="540">
        <f t="shared" si="95"/>
        <v>153028.25092727627</v>
      </c>
      <c r="N747" s="534">
        <f t="shared" si="96"/>
        <v>0.98157004050277652</v>
      </c>
    </row>
    <row r="748" spans="7:14" x14ac:dyDescent="0.2">
      <c r="G748" s="538">
        <f t="shared" si="90"/>
        <v>129674.39503102977</v>
      </c>
      <c r="H748" s="539">
        <f t="shared" si="89"/>
        <v>0.98018245657861769</v>
      </c>
      <c r="I748" s="540">
        <f t="shared" si="91"/>
        <v>129280.03922843978</v>
      </c>
      <c r="J748" s="534">
        <f t="shared" si="92"/>
        <v>0.98015597187177661</v>
      </c>
      <c r="K748" s="538">
        <f t="shared" si="93"/>
        <v>128259.38080919179</v>
      </c>
      <c r="L748" s="539">
        <f t="shared" si="94"/>
        <v>0.98008688146888179</v>
      </c>
      <c r="M748" s="540">
        <f t="shared" si="95"/>
        <v>153028.25092727627</v>
      </c>
      <c r="N748" s="534">
        <f t="shared" si="96"/>
        <v>0.98157004050277652</v>
      </c>
    </row>
    <row r="749" spans="7:14" x14ac:dyDescent="0.2">
      <c r="G749" s="538">
        <f t="shared" si="90"/>
        <v>129674.39503102977</v>
      </c>
      <c r="H749" s="539">
        <f t="shared" si="89"/>
        <v>0.98018245657861769</v>
      </c>
      <c r="I749" s="540">
        <f t="shared" si="91"/>
        <v>129280.03922843978</v>
      </c>
      <c r="J749" s="534">
        <f t="shared" si="92"/>
        <v>0.98015597187177661</v>
      </c>
      <c r="K749" s="538">
        <f t="shared" si="93"/>
        <v>128259.38080919179</v>
      </c>
      <c r="L749" s="539">
        <f t="shared" si="94"/>
        <v>0.98008688146888179</v>
      </c>
      <c r="M749" s="540">
        <f t="shared" si="95"/>
        <v>153028.25092727627</v>
      </c>
      <c r="N749" s="534">
        <f t="shared" si="96"/>
        <v>0.98157004050277652</v>
      </c>
    </row>
    <row r="750" spans="7:14" x14ac:dyDescent="0.2">
      <c r="G750" s="538">
        <f t="shared" si="90"/>
        <v>129674.39503102977</v>
      </c>
      <c r="H750" s="539">
        <f t="shared" si="89"/>
        <v>0.98018245657861769</v>
      </c>
      <c r="I750" s="540">
        <f t="shared" si="91"/>
        <v>129280.03922843978</v>
      </c>
      <c r="J750" s="534">
        <f t="shared" si="92"/>
        <v>0.98015597187177661</v>
      </c>
      <c r="K750" s="538">
        <f t="shared" si="93"/>
        <v>128259.38080919179</v>
      </c>
      <c r="L750" s="539">
        <f t="shared" si="94"/>
        <v>0.98008688146888179</v>
      </c>
      <c r="M750" s="540">
        <f t="shared" si="95"/>
        <v>153028.25092727627</v>
      </c>
      <c r="N750" s="534">
        <f t="shared" si="96"/>
        <v>0.98157004050277652</v>
      </c>
    </row>
    <row r="751" spans="7:14" x14ac:dyDescent="0.2">
      <c r="G751" s="538">
        <f t="shared" si="90"/>
        <v>129674.39503102977</v>
      </c>
      <c r="H751" s="539">
        <f t="shared" si="89"/>
        <v>0.98018245657861769</v>
      </c>
      <c r="I751" s="540">
        <f t="shared" si="91"/>
        <v>129280.03922843978</v>
      </c>
      <c r="J751" s="534">
        <f t="shared" si="92"/>
        <v>0.98015597187177661</v>
      </c>
      <c r="K751" s="538">
        <f t="shared" si="93"/>
        <v>128259.38080919179</v>
      </c>
      <c r="L751" s="539">
        <f t="shared" si="94"/>
        <v>0.98008688146888179</v>
      </c>
      <c r="M751" s="540">
        <f t="shared" si="95"/>
        <v>153028.25092727627</v>
      </c>
      <c r="N751" s="534">
        <f t="shared" si="96"/>
        <v>0.98157004050277652</v>
      </c>
    </row>
    <row r="752" spans="7:14" x14ac:dyDescent="0.2">
      <c r="G752" s="538">
        <f t="shared" si="90"/>
        <v>129674.39503102977</v>
      </c>
      <c r="H752" s="539">
        <f t="shared" si="89"/>
        <v>0.98018245657861769</v>
      </c>
      <c r="I752" s="540">
        <f t="shared" si="91"/>
        <v>129280.03922843978</v>
      </c>
      <c r="J752" s="534">
        <f t="shared" si="92"/>
        <v>0.98015597187177661</v>
      </c>
      <c r="K752" s="538">
        <f t="shared" si="93"/>
        <v>128259.38080919179</v>
      </c>
      <c r="L752" s="539">
        <f t="shared" si="94"/>
        <v>0.98008688146888179</v>
      </c>
      <c r="M752" s="540">
        <f t="shared" si="95"/>
        <v>153028.25092727627</v>
      </c>
      <c r="N752" s="534">
        <f t="shared" si="96"/>
        <v>0.98157004050277652</v>
      </c>
    </row>
    <row r="753" spans="7:14" x14ac:dyDescent="0.2">
      <c r="G753" s="538">
        <f t="shared" si="90"/>
        <v>129674.39503102977</v>
      </c>
      <c r="H753" s="539">
        <f t="shared" si="89"/>
        <v>0.98018245657861769</v>
      </c>
      <c r="I753" s="540">
        <f t="shared" si="91"/>
        <v>129280.03922843978</v>
      </c>
      <c r="J753" s="534">
        <f t="shared" si="92"/>
        <v>0.98015597187177661</v>
      </c>
      <c r="K753" s="538">
        <f t="shared" si="93"/>
        <v>128259.38080919179</v>
      </c>
      <c r="L753" s="539">
        <f t="shared" si="94"/>
        <v>0.98008688146888179</v>
      </c>
      <c r="M753" s="540">
        <f t="shared" si="95"/>
        <v>153028.25092727627</v>
      </c>
      <c r="N753" s="534">
        <f t="shared" si="96"/>
        <v>0.98157004050277652</v>
      </c>
    </row>
    <row r="754" spans="7:14" x14ac:dyDescent="0.2">
      <c r="G754" s="538">
        <f t="shared" si="90"/>
        <v>129674.39503102977</v>
      </c>
      <c r="H754" s="539">
        <f t="shared" si="89"/>
        <v>0.98018245657861769</v>
      </c>
      <c r="I754" s="540">
        <f t="shared" si="91"/>
        <v>129280.03922843978</v>
      </c>
      <c r="J754" s="534">
        <f t="shared" si="92"/>
        <v>0.98015597187177661</v>
      </c>
      <c r="K754" s="538">
        <f t="shared" si="93"/>
        <v>128259.38080919179</v>
      </c>
      <c r="L754" s="539">
        <f t="shared" si="94"/>
        <v>0.98008688146888179</v>
      </c>
      <c r="M754" s="540">
        <f t="shared" si="95"/>
        <v>153028.25092727627</v>
      </c>
      <c r="N754" s="534">
        <f t="shared" si="96"/>
        <v>0.98157004050277652</v>
      </c>
    </row>
    <row r="755" spans="7:14" x14ac:dyDescent="0.2">
      <c r="G755" s="538">
        <f t="shared" si="90"/>
        <v>129674.39503102977</v>
      </c>
      <c r="H755" s="539">
        <f t="shared" si="89"/>
        <v>0.98018245657861769</v>
      </c>
      <c r="I755" s="540">
        <f t="shared" si="91"/>
        <v>129280.03922843978</v>
      </c>
      <c r="J755" s="534">
        <f t="shared" si="92"/>
        <v>0.98015597187177661</v>
      </c>
      <c r="K755" s="538">
        <f t="shared" si="93"/>
        <v>128259.38080919179</v>
      </c>
      <c r="L755" s="539">
        <f t="shared" si="94"/>
        <v>0.98008688146888179</v>
      </c>
      <c r="M755" s="540">
        <f t="shared" si="95"/>
        <v>153028.25092727627</v>
      </c>
      <c r="N755" s="534">
        <f t="shared" si="96"/>
        <v>0.98157004050277652</v>
      </c>
    </row>
    <row r="756" spans="7:14" x14ac:dyDescent="0.2">
      <c r="G756" s="538">
        <f t="shared" si="90"/>
        <v>129674.39503102977</v>
      </c>
      <c r="H756" s="539">
        <f t="shared" si="89"/>
        <v>0.98018245657861769</v>
      </c>
      <c r="I756" s="540">
        <f t="shared" si="91"/>
        <v>129280.03922843978</v>
      </c>
      <c r="J756" s="534">
        <f t="shared" si="92"/>
        <v>0.98015597187177661</v>
      </c>
      <c r="K756" s="538">
        <f t="shared" si="93"/>
        <v>128259.38080919179</v>
      </c>
      <c r="L756" s="539">
        <f t="shared" si="94"/>
        <v>0.98008688146888179</v>
      </c>
      <c r="M756" s="540">
        <f t="shared" si="95"/>
        <v>153028.25092727627</v>
      </c>
      <c r="N756" s="534">
        <f t="shared" si="96"/>
        <v>0.98157004050277652</v>
      </c>
    </row>
    <row r="757" spans="7:14" x14ac:dyDescent="0.2">
      <c r="G757" s="538">
        <f t="shared" si="90"/>
        <v>129674.39503102977</v>
      </c>
      <c r="H757" s="539">
        <f t="shared" si="89"/>
        <v>0.98018245657861769</v>
      </c>
      <c r="I757" s="540">
        <f t="shared" si="91"/>
        <v>129280.03922843978</v>
      </c>
      <c r="J757" s="534">
        <f t="shared" si="92"/>
        <v>0.98015597187177661</v>
      </c>
      <c r="K757" s="538">
        <f t="shared" si="93"/>
        <v>128259.38080919179</v>
      </c>
      <c r="L757" s="539">
        <f t="shared" si="94"/>
        <v>0.98008688146888179</v>
      </c>
      <c r="M757" s="540">
        <f t="shared" si="95"/>
        <v>153028.25092727627</v>
      </c>
      <c r="N757" s="534">
        <f t="shared" si="96"/>
        <v>0.98157004050277652</v>
      </c>
    </row>
    <row r="758" spans="7:14" x14ac:dyDescent="0.2">
      <c r="G758" s="538">
        <f t="shared" si="90"/>
        <v>129674.39503102977</v>
      </c>
      <c r="H758" s="539">
        <f t="shared" si="89"/>
        <v>0.98018245657861769</v>
      </c>
      <c r="I758" s="540">
        <f t="shared" si="91"/>
        <v>129280.03922843978</v>
      </c>
      <c r="J758" s="534">
        <f t="shared" si="92"/>
        <v>0.98015597187177661</v>
      </c>
      <c r="K758" s="538">
        <f t="shared" si="93"/>
        <v>128259.38080919179</v>
      </c>
      <c r="L758" s="539">
        <f t="shared" si="94"/>
        <v>0.98008688146888179</v>
      </c>
      <c r="M758" s="540">
        <f t="shared" si="95"/>
        <v>153028.25092727627</v>
      </c>
      <c r="N758" s="534">
        <f t="shared" si="96"/>
        <v>0.98157004050277652</v>
      </c>
    </row>
    <row r="759" spans="7:14" x14ac:dyDescent="0.2">
      <c r="G759" s="538">
        <f t="shared" si="90"/>
        <v>129674.39503102977</v>
      </c>
      <c r="H759" s="539">
        <f t="shared" si="89"/>
        <v>0.98018245657861769</v>
      </c>
      <c r="I759" s="540">
        <f t="shared" si="91"/>
        <v>129280.03922843978</v>
      </c>
      <c r="J759" s="534">
        <f t="shared" si="92"/>
        <v>0.98015597187177661</v>
      </c>
      <c r="K759" s="538">
        <f t="shared" si="93"/>
        <v>128259.38080919179</v>
      </c>
      <c r="L759" s="539">
        <f t="shared" si="94"/>
        <v>0.98008688146888179</v>
      </c>
      <c r="M759" s="540">
        <f t="shared" si="95"/>
        <v>153028.25092727627</v>
      </c>
      <c r="N759" s="534">
        <f t="shared" si="96"/>
        <v>0.98157004050277652</v>
      </c>
    </row>
    <row r="760" spans="7:14" x14ac:dyDescent="0.2">
      <c r="G760" s="538">
        <f t="shared" si="90"/>
        <v>129674.39503102977</v>
      </c>
      <c r="H760" s="539">
        <f t="shared" si="89"/>
        <v>0.98018245657861769</v>
      </c>
      <c r="I760" s="540">
        <f t="shared" si="91"/>
        <v>129280.03922843978</v>
      </c>
      <c r="J760" s="534">
        <f t="shared" si="92"/>
        <v>0.98015597187177661</v>
      </c>
      <c r="K760" s="538">
        <f t="shared" si="93"/>
        <v>128259.38080919179</v>
      </c>
      <c r="L760" s="539">
        <f t="shared" si="94"/>
        <v>0.98008688146888179</v>
      </c>
      <c r="M760" s="540">
        <f t="shared" si="95"/>
        <v>153028.25092727627</v>
      </c>
      <c r="N760" s="534">
        <f t="shared" si="96"/>
        <v>0.98157004050277652</v>
      </c>
    </row>
    <row r="761" spans="7:14" x14ac:dyDescent="0.2">
      <c r="G761" s="538">
        <f t="shared" si="90"/>
        <v>129674.39503102977</v>
      </c>
      <c r="H761" s="539">
        <f t="shared" si="89"/>
        <v>0.98018245657861769</v>
      </c>
      <c r="I761" s="540">
        <f t="shared" si="91"/>
        <v>129280.03922843978</v>
      </c>
      <c r="J761" s="534">
        <f t="shared" si="92"/>
        <v>0.98015597187177661</v>
      </c>
      <c r="K761" s="538">
        <f t="shared" si="93"/>
        <v>128259.38080919179</v>
      </c>
      <c r="L761" s="539">
        <f t="shared" si="94"/>
        <v>0.98008688146888179</v>
      </c>
      <c r="M761" s="540">
        <f t="shared" si="95"/>
        <v>153028.25092727627</v>
      </c>
      <c r="N761" s="534">
        <f t="shared" si="96"/>
        <v>0.98157004050277652</v>
      </c>
    </row>
    <row r="762" spans="7:14" x14ac:dyDescent="0.2">
      <c r="G762" s="538">
        <f t="shared" si="90"/>
        <v>129674.39503102977</v>
      </c>
      <c r="H762" s="539">
        <f t="shared" si="89"/>
        <v>0.98018245657861769</v>
      </c>
      <c r="I762" s="540">
        <f t="shared" si="91"/>
        <v>129280.03922843978</v>
      </c>
      <c r="J762" s="534">
        <f t="shared" si="92"/>
        <v>0.98015597187177661</v>
      </c>
      <c r="K762" s="538">
        <f t="shared" si="93"/>
        <v>128259.38080919179</v>
      </c>
      <c r="L762" s="539">
        <f t="shared" si="94"/>
        <v>0.98008688146888179</v>
      </c>
      <c r="M762" s="540">
        <f t="shared" si="95"/>
        <v>153028.25092727627</v>
      </c>
      <c r="N762" s="534">
        <f t="shared" si="96"/>
        <v>0.98157004050277652</v>
      </c>
    </row>
    <row r="763" spans="7:14" x14ac:dyDescent="0.2">
      <c r="G763" s="538">
        <f t="shared" si="90"/>
        <v>129674.39503102977</v>
      </c>
      <c r="H763" s="539">
        <f t="shared" si="89"/>
        <v>0.98018245657861769</v>
      </c>
      <c r="I763" s="540">
        <f t="shared" si="91"/>
        <v>129280.03922843978</v>
      </c>
      <c r="J763" s="534">
        <f t="shared" si="92"/>
        <v>0.98015597187177661</v>
      </c>
      <c r="K763" s="538">
        <f t="shared" si="93"/>
        <v>128259.38080919179</v>
      </c>
      <c r="L763" s="539">
        <f t="shared" si="94"/>
        <v>0.98008688146888179</v>
      </c>
      <c r="M763" s="540">
        <f t="shared" si="95"/>
        <v>153028.25092727627</v>
      </c>
      <c r="N763" s="534">
        <f t="shared" si="96"/>
        <v>0.98157004050277652</v>
      </c>
    </row>
    <row r="764" spans="7:14" x14ac:dyDescent="0.2">
      <c r="G764" s="538">
        <f t="shared" si="90"/>
        <v>129674.39503102977</v>
      </c>
      <c r="H764" s="539">
        <f t="shared" si="89"/>
        <v>0.98018245657861769</v>
      </c>
      <c r="I764" s="540">
        <f t="shared" si="91"/>
        <v>129280.03922843978</v>
      </c>
      <c r="J764" s="534">
        <f t="shared" si="92"/>
        <v>0.98015597187177661</v>
      </c>
      <c r="K764" s="538">
        <f t="shared" si="93"/>
        <v>128259.38080919179</v>
      </c>
      <c r="L764" s="539">
        <f t="shared" si="94"/>
        <v>0.98008688146888179</v>
      </c>
      <c r="M764" s="540">
        <f t="shared" si="95"/>
        <v>153028.25092727627</v>
      </c>
      <c r="N764" s="534">
        <f t="shared" si="96"/>
        <v>0.98157004050277652</v>
      </c>
    </row>
    <row r="765" spans="7:14" x14ac:dyDescent="0.2">
      <c r="G765" s="538">
        <f t="shared" si="90"/>
        <v>129674.39503102977</v>
      </c>
      <c r="H765" s="539">
        <f t="shared" si="89"/>
        <v>0.98018245657861769</v>
      </c>
      <c r="I765" s="540">
        <f t="shared" si="91"/>
        <v>129280.03922843978</v>
      </c>
      <c r="J765" s="534">
        <f t="shared" si="92"/>
        <v>0.98015597187177661</v>
      </c>
      <c r="K765" s="538">
        <f t="shared" si="93"/>
        <v>128259.38080919179</v>
      </c>
      <c r="L765" s="539">
        <f t="shared" si="94"/>
        <v>0.98008688146888179</v>
      </c>
      <c r="M765" s="540">
        <f t="shared" si="95"/>
        <v>153028.25092727627</v>
      </c>
      <c r="N765" s="534">
        <f t="shared" si="96"/>
        <v>0.98157004050277652</v>
      </c>
    </row>
    <row r="766" spans="7:14" x14ac:dyDescent="0.2">
      <c r="G766" s="538">
        <f t="shared" si="90"/>
        <v>129674.39503102977</v>
      </c>
      <c r="H766" s="539">
        <f t="shared" si="89"/>
        <v>0.98018245657861769</v>
      </c>
      <c r="I766" s="540">
        <f t="shared" si="91"/>
        <v>129280.03922843978</v>
      </c>
      <c r="J766" s="534">
        <f t="shared" si="92"/>
        <v>0.98015597187177661</v>
      </c>
      <c r="K766" s="538">
        <f t="shared" si="93"/>
        <v>128259.38080919179</v>
      </c>
      <c r="L766" s="539">
        <f t="shared" si="94"/>
        <v>0.98008688146888179</v>
      </c>
      <c r="M766" s="540">
        <f t="shared" si="95"/>
        <v>153028.25092727627</v>
      </c>
      <c r="N766" s="534">
        <f t="shared" si="96"/>
        <v>0.98157004050277652</v>
      </c>
    </row>
    <row r="767" spans="7:14" x14ac:dyDescent="0.2">
      <c r="G767" s="538">
        <f t="shared" si="90"/>
        <v>129674.39503102977</v>
      </c>
      <c r="H767" s="539">
        <f t="shared" si="89"/>
        <v>0.98018245657861769</v>
      </c>
      <c r="I767" s="540">
        <f t="shared" si="91"/>
        <v>129280.03922843978</v>
      </c>
      <c r="J767" s="534">
        <f t="shared" si="92"/>
        <v>0.98015597187177661</v>
      </c>
      <c r="K767" s="538">
        <f t="shared" si="93"/>
        <v>128259.38080919179</v>
      </c>
      <c r="L767" s="539">
        <f t="shared" si="94"/>
        <v>0.98008688146888179</v>
      </c>
      <c r="M767" s="540">
        <f t="shared" si="95"/>
        <v>153028.25092727627</v>
      </c>
      <c r="N767" s="534">
        <f t="shared" si="96"/>
        <v>0.98157004050277652</v>
      </c>
    </row>
    <row r="768" spans="7:14" x14ac:dyDescent="0.2">
      <c r="G768" s="538">
        <f t="shared" si="90"/>
        <v>129674.39503102977</v>
      </c>
      <c r="H768" s="539">
        <f t="shared" si="89"/>
        <v>0.98018245657861769</v>
      </c>
      <c r="I768" s="540">
        <f t="shared" si="91"/>
        <v>129280.03922843978</v>
      </c>
      <c r="J768" s="534">
        <f t="shared" si="92"/>
        <v>0.98015597187177661</v>
      </c>
      <c r="K768" s="538">
        <f t="shared" si="93"/>
        <v>128259.38080919179</v>
      </c>
      <c r="L768" s="539">
        <f t="shared" si="94"/>
        <v>0.98008688146888179</v>
      </c>
      <c r="M768" s="540">
        <f t="shared" si="95"/>
        <v>153028.25092727627</v>
      </c>
      <c r="N768" s="534">
        <f t="shared" si="96"/>
        <v>0.98157004050277652</v>
      </c>
    </row>
    <row r="769" spans="7:14" x14ac:dyDescent="0.2">
      <c r="G769" s="538">
        <f t="shared" si="90"/>
        <v>129674.39503102977</v>
      </c>
      <c r="H769" s="539">
        <f t="shared" si="89"/>
        <v>0.98018245657861769</v>
      </c>
      <c r="I769" s="540">
        <f t="shared" si="91"/>
        <v>129280.03922843978</v>
      </c>
      <c r="J769" s="534">
        <f t="shared" si="92"/>
        <v>0.98015597187177661</v>
      </c>
      <c r="K769" s="538">
        <f t="shared" si="93"/>
        <v>128259.38080919179</v>
      </c>
      <c r="L769" s="539">
        <f t="shared" si="94"/>
        <v>0.98008688146888179</v>
      </c>
      <c r="M769" s="540">
        <f t="shared" si="95"/>
        <v>153028.25092727627</v>
      </c>
      <c r="N769" s="534">
        <f t="shared" si="96"/>
        <v>0.98157004050277652</v>
      </c>
    </row>
    <row r="770" spans="7:14" x14ac:dyDescent="0.2">
      <c r="G770" s="538">
        <f t="shared" si="90"/>
        <v>129674.39503102977</v>
      </c>
      <c r="H770" s="539">
        <f t="shared" si="89"/>
        <v>0.98018245657861769</v>
      </c>
      <c r="I770" s="540">
        <f t="shared" si="91"/>
        <v>129280.03922843978</v>
      </c>
      <c r="J770" s="534">
        <f t="shared" si="92"/>
        <v>0.98015597187177661</v>
      </c>
      <c r="K770" s="538">
        <f t="shared" si="93"/>
        <v>128259.38080919179</v>
      </c>
      <c r="L770" s="539">
        <f t="shared" si="94"/>
        <v>0.98008688146888179</v>
      </c>
      <c r="M770" s="540">
        <f t="shared" si="95"/>
        <v>153028.25092727627</v>
      </c>
      <c r="N770" s="534">
        <f t="shared" si="96"/>
        <v>0.98157004050277652</v>
      </c>
    </row>
    <row r="771" spans="7:14" x14ac:dyDescent="0.2">
      <c r="G771" s="538">
        <f t="shared" si="90"/>
        <v>129674.39503102977</v>
      </c>
      <c r="H771" s="539">
        <f t="shared" ref="H771:H834" si="97">0.9986-(7.006/SQRT(G771))+134.6/G771</f>
        <v>0.98018245657861769</v>
      </c>
      <c r="I771" s="540">
        <f t="shared" si="91"/>
        <v>129280.03922843978</v>
      </c>
      <c r="J771" s="534">
        <f t="shared" si="92"/>
        <v>0.98015597187177661</v>
      </c>
      <c r="K771" s="538">
        <f t="shared" si="93"/>
        <v>128259.38080919179</v>
      </c>
      <c r="L771" s="539">
        <f t="shared" si="94"/>
        <v>0.98008688146888179</v>
      </c>
      <c r="M771" s="540">
        <f t="shared" si="95"/>
        <v>153028.25092727627</v>
      </c>
      <c r="N771" s="534">
        <f t="shared" si="96"/>
        <v>0.98157004050277652</v>
      </c>
    </row>
    <row r="772" spans="7:14" x14ac:dyDescent="0.2">
      <c r="G772" s="538">
        <f t="shared" ref="G772:G835" si="98">($C$6/(1000*$C$12*$C$16))*(H771*SQRT(2*$C$5*100*$C$16))</f>
        <v>129674.39503102977</v>
      </c>
      <c r="H772" s="539">
        <f t="shared" si="97"/>
        <v>0.98018245657861769</v>
      </c>
      <c r="I772" s="540">
        <f t="shared" ref="I772:I835" si="99">($C$7/(1000*$C$12*$C$16))*(J771*SQRT(2*$C$5*100*$C$16))</f>
        <v>129280.03922843978</v>
      </c>
      <c r="J772" s="534">
        <f t="shared" ref="J772:J835" si="100">0.9986-(7.006/SQRT(I772))+134.6/I772</f>
        <v>0.98015597187177661</v>
      </c>
      <c r="K772" s="538">
        <f t="shared" ref="K772:K835" si="101">($C$8/(1000*$C$12*$C$16))*(L771*SQRT(2*$C$5*100*$C$16))</f>
        <v>128259.38080919179</v>
      </c>
      <c r="L772" s="539">
        <f t="shared" ref="L772:L835" si="102">0.9986-(7.006/SQRT(K772))+134.6/K772</f>
        <v>0.98008688146888179</v>
      </c>
      <c r="M772" s="540">
        <f t="shared" ref="M772:M835" si="103">($C$9/(1000*$C$12*$C$16))*(N771*SQRT(2*$C$5*100*$C$16))</f>
        <v>153028.25092727627</v>
      </c>
      <c r="N772" s="534">
        <f t="shared" ref="N772:N835" si="104">0.9986-(7.006/SQRT(M772))+134.6/M772</f>
        <v>0.98157004050277652</v>
      </c>
    </row>
    <row r="773" spans="7:14" x14ac:dyDescent="0.2">
      <c r="G773" s="538">
        <f t="shared" si="98"/>
        <v>129674.39503102977</v>
      </c>
      <c r="H773" s="539">
        <f t="shared" si="97"/>
        <v>0.98018245657861769</v>
      </c>
      <c r="I773" s="540">
        <f t="shared" si="99"/>
        <v>129280.03922843978</v>
      </c>
      <c r="J773" s="534">
        <f t="shared" si="100"/>
        <v>0.98015597187177661</v>
      </c>
      <c r="K773" s="538">
        <f t="shared" si="101"/>
        <v>128259.38080919179</v>
      </c>
      <c r="L773" s="539">
        <f t="shared" si="102"/>
        <v>0.98008688146888179</v>
      </c>
      <c r="M773" s="540">
        <f t="shared" si="103"/>
        <v>153028.25092727627</v>
      </c>
      <c r="N773" s="534">
        <f t="shared" si="104"/>
        <v>0.98157004050277652</v>
      </c>
    </row>
    <row r="774" spans="7:14" x14ac:dyDescent="0.2">
      <c r="G774" s="538">
        <f t="shared" si="98"/>
        <v>129674.39503102977</v>
      </c>
      <c r="H774" s="539">
        <f t="shared" si="97"/>
        <v>0.98018245657861769</v>
      </c>
      <c r="I774" s="540">
        <f t="shared" si="99"/>
        <v>129280.03922843978</v>
      </c>
      <c r="J774" s="534">
        <f t="shared" si="100"/>
        <v>0.98015597187177661</v>
      </c>
      <c r="K774" s="538">
        <f t="shared" si="101"/>
        <v>128259.38080919179</v>
      </c>
      <c r="L774" s="539">
        <f t="shared" si="102"/>
        <v>0.98008688146888179</v>
      </c>
      <c r="M774" s="540">
        <f t="shared" si="103"/>
        <v>153028.25092727627</v>
      </c>
      <c r="N774" s="534">
        <f t="shared" si="104"/>
        <v>0.98157004050277652</v>
      </c>
    </row>
    <row r="775" spans="7:14" x14ac:dyDescent="0.2">
      <c r="G775" s="538">
        <f t="shared" si="98"/>
        <v>129674.39503102977</v>
      </c>
      <c r="H775" s="539">
        <f t="shared" si="97"/>
        <v>0.98018245657861769</v>
      </c>
      <c r="I775" s="540">
        <f t="shared" si="99"/>
        <v>129280.03922843978</v>
      </c>
      <c r="J775" s="534">
        <f t="shared" si="100"/>
        <v>0.98015597187177661</v>
      </c>
      <c r="K775" s="538">
        <f t="shared" si="101"/>
        <v>128259.38080919179</v>
      </c>
      <c r="L775" s="539">
        <f t="shared" si="102"/>
        <v>0.98008688146888179</v>
      </c>
      <c r="M775" s="540">
        <f t="shared" si="103"/>
        <v>153028.25092727627</v>
      </c>
      <c r="N775" s="534">
        <f t="shared" si="104"/>
        <v>0.98157004050277652</v>
      </c>
    </row>
    <row r="776" spans="7:14" x14ac:dyDescent="0.2">
      <c r="G776" s="538">
        <f t="shared" si="98"/>
        <v>129674.39503102977</v>
      </c>
      <c r="H776" s="539">
        <f t="shared" si="97"/>
        <v>0.98018245657861769</v>
      </c>
      <c r="I776" s="540">
        <f t="shared" si="99"/>
        <v>129280.03922843978</v>
      </c>
      <c r="J776" s="534">
        <f t="shared" si="100"/>
        <v>0.98015597187177661</v>
      </c>
      <c r="K776" s="538">
        <f t="shared" si="101"/>
        <v>128259.38080919179</v>
      </c>
      <c r="L776" s="539">
        <f t="shared" si="102"/>
        <v>0.98008688146888179</v>
      </c>
      <c r="M776" s="540">
        <f t="shared" si="103"/>
        <v>153028.25092727627</v>
      </c>
      <c r="N776" s="534">
        <f t="shared" si="104"/>
        <v>0.98157004050277652</v>
      </c>
    </row>
    <row r="777" spans="7:14" x14ac:dyDescent="0.2">
      <c r="G777" s="538">
        <f t="shared" si="98"/>
        <v>129674.39503102977</v>
      </c>
      <c r="H777" s="539">
        <f t="shared" si="97"/>
        <v>0.98018245657861769</v>
      </c>
      <c r="I777" s="540">
        <f t="shared" si="99"/>
        <v>129280.03922843978</v>
      </c>
      <c r="J777" s="534">
        <f t="shared" si="100"/>
        <v>0.98015597187177661</v>
      </c>
      <c r="K777" s="538">
        <f t="shared" si="101"/>
        <v>128259.38080919179</v>
      </c>
      <c r="L777" s="539">
        <f t="shared" si="102"/>
        <v>0.98008688146888179</v>
      </c>
      <c r="M777" s="540">
        <f t="shared" si="103"/>
        <v>153028.25092727627</v>
      </c>
      <c r="N777" s="534">
        <f t="shared" si="104"/>
        <v>0.98157004050277652</v>
      </c>
    </row>
    <row r="778" spans="7:14" x14ac:dyDescent="0.2">
      <c r="G778" s="538">
        <f t="shared" si="98"/>
        <v>129674.39503102977</v>
      </c>
      <c r="H778" s="539">
        <f t="shared" si="97"/>
        <v>0.98018245657861769</v>
      </c>
      <c r="I778" s="540">
        <f t="shared" si="99"/>
        <v>129280.03922843978</v>
      </c>
      <c r="J778" s="534">
        <f t="shared" si="100"/>
        <v>0.98015597187177661</v>
      </c>
      <c r="K778" s="538">
        <f t="shared" si="101"/>
        <v>128259.38080919179</v>
      </c>
      <c r="L778" s="539">
        <f t="shared" si="102"/>
        <v>0.98008688146888179</v>
      </c>
      <c r="M778" s="540">
        <f t="shared" si="103"/>
        <v>153028.25092727627</v>
      </c>
      <c r="N778" s="534">
        <f t="shared" si="104"/>
        <v>0.98157004050277652</v>
      </c>
    </row>
    <row r="779" spans="7:14" x14ac:dyDescent="0.2">
      <c r="G779" s="538">
        <f t="shared" si="98"/>
        <v>129674.39503102977</v>
      </c>
      <c r="H779" s="539">
        <f t="shared" si="97"/>
        <v>0.98018245657861769</v>
      </c>
      <c r="I779" s="540">
        <f t="shared" si="99"/>
        <v>129280.03922843978</v>
      </c>
      <c r="J779" s="534">
        <f t="shared" si="100"/>
        <v>0.98015597187177661</v>
      </c>
      <c r="K779" s="538">
        <f t="shared" si="101"/>
        <v>128259.38080919179</v>
      </c>
      <c r="L779" s="539">
        <f t="shared" si="102"/>
        <v>0.98008688146888179</v>
      </c>
      <c r="M779" s="540">
        <f t="shared" si="103"/>
        <v>153028.25092727627</v>
      </c>
      <c r="N779" s="534">
        <f t="shared" si="104"/>
        <v>0.98157004050277652</v>
      </c>
    </row>
    <row r="780" spans="7:14" x14ac:dyDescent="0.2">
      <c r="G780" s="538">
        <f t="shared" si="98"/>
        <v>129674.39503102977</v>
      </c>
      <c r="H780" s="539">
        <f t="shared" si="97"/>
        <v>0.98018245657861769</v>
      </c>
      <c r="I780" s="540">
        <f t="shared" si="99"/>
        <v>129280.03922843978</v>
      </c>
      <c r="J780" s="534">
        <f t="shared" si="100"/>
        <v>0.98015597187177661</v>
      </c>
      <c r="K780" s="538">
        <f t="shared" si="101"/>
        <v>128259.38080919179</v>
      </c>
      <c r="L780" s="539">
        <f t="shared" si="102"/>
        <v>0.98008688146888179</v>
      </c>
      <c r="M780" s="540">
        <f t="shared" si="103"/>
        <v>153028.25092727627</v>
      </c>
      <c r="N780" s="534">
        <f t="shared" si="104"/>
        <v>0.98157004050277652</v>
      </c>
    </row>
    <row r="781" spans="7:14" x14ac:dyDescent="0.2">
      <c r="G781" s="538">
        <f t="shared" si="98"/>
        <v>129674.39503102977</v>
      </c>
      <c r="H781" s="539">
        <f t="shared" si="97"/>
        <v>0.98018245657861769</v>
      </c>
      <c r="I781" s="540">
        <f t="shared" si="99"/>
        <v>129280.03922843978</v>
      </c>
      <c r="J781" s="534">
        <f t="shared" si="100"/>
        <v>0.98015597187177661</v>
      </c>
      <c r="K781" s="538">
        <f t="shared" si="101"/>
        <v>128259.38080919179</v>
      </c>
      <c r="L781" s="539">
        <f t="shared" si="102"/>
        <v>0.98008688146888179</v>
      </c>
      <c r="M781" s="540">
        <f t="shared" si="103"/>
        <v>153028.25092727627</v>
      </c>
      <c r="N781" s="534">
        <f t="shared" si="104"/>
        <v>0.98157004050277652</v>
      </c>
    </row>
    <row r="782" spans="7:14" x14ac:dyDescent="0.2">
      <c r="G782" s="538">
        <f t="shared" si="98"/>
        <v>129674.39503102977</v>
      </c>
      <c r="H782" s="539">
        <f t="shared" si="97"/>
        <v>0.98018245657861769</v>
      </c>
      <c r="I782" s="540">
        <f t="shared" si="99"/>
        <v>129280.03922843978</v>
      </c>
      <c r="J782" s="534">
        <f t="shared" si="100"/>
        <v>0.98015597187177661</v>
      </c>
      <c r="K782" s="538">
        <f t="shared" si="101"/>
        <v>128259.38080919179</v>
      </c>
      <c r="L782" s="539">
        <f t="shared" si="102"/>
        <v>0.98008688146888179</v>
      </c>
      <c r="M782" s="540">
        <f t="shared" si="103"/>
        <v>153028.25092727627</v>
      </c>
      <c r="N782" s="534">
        <f t="shared" si="104"/>
        <v>0.98157004050277652</v>
      </c>
    </row>
    <row r="783" spans="7:14" x14ac:dyDescent="0.2">
      <c r="G783" s="538">
        <f t="shared" si="98"/>
        <v>129674.39503102977</v>
      </c>
      <c r="H783" s="539">
        <f t="shared" si="97"/>
        <v>0.98018245657861769</v>
      </c>
      <c r="I783" s="540">
        <f t="shared" si="99"/>
        <v>129280.03922843978</v>
      </c>
      <c r="J783" s="534">
        <f t="shared" si="100"/>
        <v>0.98015597187177661</v>
      </c>
      <c r="K783" s="538">
        <f t="shared" si="101"/>
        <v>128259.38080919179</v>
      </c>
      <c r="L783" s="539">
        <f t="shared" si="102"/>
        <v>0.98008688146888179</v>
      </c>
      <c r="M783" s="540">
        <f t="shared" si="103"/>
        <v>153028.25092727627</v>
      </c>
      <c r="N783" s="534">
        <f t="shared" si="104"/>
        <v>0.98157004050277652</v>
      </c>
    </row>
    <row r="784" spans="7:14" x14ac:dyDescent="0.2">
      <c r="G784" s="538">
        <f t="shared" si="98"/>
        <v>129674.39503102977</v>
      </c>
      <c r="H784" s="539">
        <f t="shared" si="97"/>
        <v>0.98018245657861769</v>
      </c>
      <c r="I784" s="540">
        <f t="shared" si="99"/>
        <v>129280.03922843978</v>
      </c>
      <c r="J784" s="534">
        <f t="shared" si="100"/>
        <v>0.98015597187177661</v>
      </c>
      <c r="K784" s="538">
        <f t="shared" si="101"/>
        <v>128259.38080919179</v>
      </c>
      <c r="L784" s="539">
        <f t="shared" si="102"/>
        <v>0.98008688146888179</v>
      </c>
      <c r="M784" s="540">
        <f t="shared" si="103"/>
        <v>153028.25092727627</v>
      </c>
      <c r="N784" s="534">
        <f t="shared" si="104"/>
        <v>0.98157004050277652</v>
      </c>
    </row>
    <row r="785" spans="7:14" x14ac:dyDescent="0.2">
      <c r="G785" s="538">
        <f t="shared" si="98"/>
        <v>129674.39503102977</v>
      </c>
      <c r="H785" s="539">
        <f t="shared" si="97"/>
        <v>0.98018245657861769</v>
      </c>
      <c r="I785" s="540">
        <f t="shared" si="99"/>
        <v>129280.03922843978</v>
      </c>
      <c r="J785" s="534">
        <f t="shared" si="100"/>
        <v>0.98015597187177661</v>
      </c>
      <c r="K785" s="538">
        <f t="shared" si="101"/>
        <v>128259.38080919179</v>
      </c>
      <c r="L785" s="539">
        <f t="shared" si="102"/>
        <v>0.98008688146888179</v>
      </c>
      <c r="M785" s="540">
        <f t="shared" si="103"/>
        <v>153028.25092727627</v>
      </c>
      <c r="N785" s="534">
        <f t="shared" si="104"/>
        <v>0.98157004050277652</v>
      </c>
    </row>
    <row r="786" spans="7:14" x14ac:dyDescent="0.2">
      <c r="G786" s="538">
        <f t="shared" si="98"/>
        <v>129674.39503102977</v>
      </c>
      <c r="H786" s="539">
        <f t="shared" si="97"/>
        <v>0.98018245657861769</v>
      </c>
      <c r="I786" s="540">
        <f t="shared" si="99"/>
        <v>129280.03922843978</v>
      </c>
      <c r="J786" s="534">
        <f t="shared" si="100"/>
        <v>0.98015597187177661</v>
      </c>
      <c r="K786" s="538">
        <f t="shared" si="101"/>
        <v>128259.38080919179</v>
      </c>
      <c r="L786" s="539">
        <f t="shared" si="102"/>
        <v>0.98008688146888179</v>
      </c>
      <c r="M786" s="540">
        <f t="shared" si="103"/>
        <v>153028.25092727627</v>
      </c>
      <c r="N786" s="534">
        <f t="shared" si="104"/>
        <v>0.98157004050277652</v>
      </c>
    </row>
    <row r="787" spans="7:14" x14ac:dyDescent="0.2">
      <c r="G787" s="538">
        <f t="shared" si="98"/>
        <v>129674.39503102977</v>
      </c>
      <c r="H787" s="539">
        <f t="shared" si="97"/>
        <v>0.98018245657861769</v>
      </c>
      <c r="I787" s="540">
        <f t="shared" si="99"/>
        <v>129280.03922843978</v>
      </c>
      <c r="J787" s="534">
        <f t="shared" si="100"/>
        <v>0.98015597187177661</v>
      </c>
      <c r="K787" s="538">
        <f t="shared" si="101"/>
        <v>128259.38080919179</v>
      </c>
      <c r="L787" s="539">
        <f t="shared" si="102"/>
        <v>0.98008688146888179</v>
      </c>
      <c r="M787" s="540">
        <f t="shared" si="103"/>
        <v>153028.25092727627</v>
      </c>
      <c r="N787" s="534">
        <f t="shared" si="104"/>
        <v>0.98157004050277652</v>
      </c>
    </row>
    <row r="788" spans="7:14" x14ac:dyDescent="0.2">
      <c r="G788" s="538">
        <f t="shared" si="98"/>
        <v>129674.39503102977</v>
      </c>
      <c r="H788" s="539">
        <f t="shared" si="97"/>
        <v>0.98018245657861769</v>
      </c>
      <c r="I788" s="540">
        <f t="shared" si="99"/>
        <v>129280.03922843978</v>
      </c>
      <c r="J788" s="534">
        <f t="shared" si="100"/>
        <v>0.98015597187177661</v>
      </c>
      <c r="K788" s="538">
        <f t="shared" si="101"/>
        <v>128259.38080919179</v>
      </c>
      <c r="L788" s="539">
        <f t="shared" si="102"/>
        <v>0.98008688146888179</v>
      </c>
      <c r="M788" s="540">
        <f t="shared" si="103"/>
        <v>153028.25092727627</v>
      </c>
      <c r="N788" s="534">
        <f t="shared" si="104"/>
        <v>0.98157004050277652</v>
      </c>
    </row>
    <row r="789" spans="7:14" x14ac:dyDescent="0.2">
      <c r="G789" s="538">
        <f t="shared" si="98"/>
        <v>129674.39503102977</v>
      </c>
      <c r="H789" s="539">
        <f t="shared" si="97"/>
        <v>0.98018245657861769</v>
      </c>
      <c r="I789" s="540">
        <f t="shared" si="99"/>
        <v>129280.03922843978</v>
      </c>
      <c r="J789" s="534">
        <f t="shared" si="100"/>
        <v>0.98015597187177661</v>
      </c>
      <c r="K789" s="538">
        <f t="shared" si="101"/>
        <v>128259.38080919179</v>
      </c>
      <c r="L789" s="539">
        <f t="shared" si="102"/>
        <v>0.98008688146888179</v>
      </c>
      <c r="M789" s="540">
        <f t="shared" si="103"/>
        <v>153028.25092727627</v>
      </c>
      <c r="N789" s="534">
        <f t="shared" si="104"/>
        <v>0.98157004050277652</v>
      </c>
    </row>
    <row r="790" spans="7:14" x14ac:dyDescent="0.2">
      <c r="G790" s="538">
        <f t="shared" si="98"/>
        <v>129674.39503102977</v>
      </c>
      <c r="H790" s="539">
        <f t="shared" si="97"/>
        <v>0.98018245657861769</v>
      </c>
      <c r="I790" s="540">
        <f t="shared" si="99"/>
        <v>129280.03922843978</v>
      </c>
      <c r="J790" s="534">
        <f t="shared" si="100"/>
        <v>0.98015597187177661</v>
      </c>
      <c r="K790" s="538">
        <f t="shared" si="101"/>
        <v>128259.38080919179</v>
      </c>
      <c r="L790" s="539">
        <f t="shared" si="102"/>
        <v>0.98008688146888179</v>
      </c>
      <c r="M790" s="540">
        <f t="shared" si="103"/>
        <v>153028.25092727627</v>
      </c>
      <c r="N790" s="534">
        <f t="shared" si="104"/>
        <v>0.98157004050277652</v>
      </c>
    </row>
    <row r="791" spans="7:14" x14ac:dyDescent="0.2">
      <c r="G791" s="538">
        <f t="shared" si="98"/>
        <v>129674.39503102977</v>
      </c>
      <c r="H791" s="539">
        <f t="shared" si="97"/>
        <v>0.98018245657861769</v>
      </c>
      <c r="I791" s="540">
        <f t="shared" si="99"/>
        <v>129280.03922843978</v>
      </c>
      <c r="J791" s="534">
        <f t="shared" si="100"/>
        <v>0.98015597187177661</v>
      </c>
      <c r="K791" s="538">
        <f t="shared" si="101"/>
        <v>128259.38080919179</v>
      </c>
      <c r="L791" s="539">
        <f t="shared" si="102"/>
        <v>0.98008688146888179</v>
      </c>
      <c r="M791" s="540">
        <f t="shared" si="103"/>
        <v>153028.25092727627</v>
      </c>
      <c r="N791" s="534">
        <f t="shared" si="104"/>
        <v>0.98157004050277652</v>
      </c>
    </row>
    <row r="792" spans="7:14" x14ac:dyDescent="0.2">
      <c r="G792" s="538">
        <f t="shared" si="98"/>
        <v>129674.39503102977</v>
      </c>
      <c r="H792" s="539">
        <f t="shared" si="97"/>
        <v>0.98018245657861769</v>
      </c>
      <c r="I792" s="540">
        <f t="shared" si="99"/>
        <v>129280.03922843978</v>
      </c>
      <c r="J792" s="534">
        <f t="shared" si="100"/>
        <v>0.98015597187177661</v>
      </c>
      <c r="K792" s="538">
        <f t="shared" si="101"/>
        <v>128259.38080919179</v>
      </c>
      <c r="L792" s="539">
        <f t="shared" si="102"/>
        <v>0.98008688146888179</v>
      </c>
      <c r="M792" s="540">
        <f t="shared" si="103"/>
        <v>153028.25092727627</v>
      </c>
      <c r="N792" s="534">
        <f t="shared" si="104"/>
        <v>0.98157004050277652</v>
      </c>
    </row>
    <row r="793" spans="7:14" x14ac:dyDescent="0.2">
      <c r="G793" s="538">
        <f t="shared" si="98"/>
        <v>129674.39503102977</v>
      </c>
      <c r="H793" s="539">
        <f t="shared" si="97"/>
        <v>0.98018245657861769</v>
      </c>
      <c r="I793" s="540">
        <f t="shared" si="99"/>
        <v>129280.03922843978</v>
      </c>
      <c r="J793" s="534">
        <f t="shared" si="100"/>
        <v>0.98015597187177661</v>
      </c>
      <c r="K793" s="538">
        <f t="shared" si="101"/>
        <v>128259.38080919179</v>
      </c>
      <c r="L793" s="539">
        <f t="shared" si="102"/>
        <v>0.98008688146888179</v>
      </c>
      <c r="M793" s="540">
        <f t="shared" si="103"/>
        <v>153028.25092727627</v>
      </c>
      <c r="N793" s="534">
        <f t="shared" si="104"/>
        <v>0.98157004050277652</v>
      </c>
    </row>
    <row r="794" spans="7:14" x14ac:dyDescent="0.2">
      <c r="G794" s="538">
        <f t="shared" si="98"/>
        <v>129674.39503102977</v>
      </c>
      <c r="H794" s="539">
        <f t="shared" si="97"/>
        <v>0.98018245657861769</v>
      </c>
      <c r="I794" s="540">
        <f t="shared" si="99"/>
        <v>129280.03922843978</v>
      </c>
      <c r="J794" s="534">
        <f t="shared" si="100"/>
        <v>0.98015597187177661</v>
      </c>
      <c r="K794" s="538">
        <f t="shared" si="101"/>
        <v>128259.38080919179</v>
      </c>
      <c r="L794" s="539">
        <f t="shared" si="102"/>
        <v>0.98008688146888179</v>
      </c>
      <c r="M794" s="540">
        <f t="shared" si="103"/>
        <v>153028.25092727627</v>
      </c>
      <c r="N794" s="534">
        <f t="shared" si="104"/>
        <v>0.98157004050277652</v>
      </c>
    </row>
    <row r="795" spans="7:14" x14ac:dyDescent="0.2">
      <c r="G795" s="538">
        <f t="shared" si="98"/>
        <v>129674.39503102977</v>
      </c>
      <c r="H795" s="539">
        <f t="shared" si="97"/>
        <v>0.98018245657861769</v>
      </c>
      <c r="I795" s="540">
        <f t="shared" si="99"/>
        <v>129280.03922843978</v>
      </c>
      <c r="J795" s="534">
        <f t="shared" si="100"/>
        <v>0.98015597187177661</v>
      </c>
      <c r="K795" s="538">
        <f t="shared" si="101"/>
        <v>128259.38080919179</v>
      </c>
      <c r="L795" s="539">
        <f t="shared" si="102"/>
        <v>0.98008688146888179</v>
      </c>
      <c r="M795" s="540">
        <f t="shared" si="103"/>
        <v>153028.25092727627</v>
      </c>
      <c r="N795" s="534">
        <f t="shared" si="104"/>
        <v>0.98157004050277652</v>
      </c>
    </row>
    <row r="796" spans="7:14" x14ac:dyDescent="0.2">
      <c r="G796" s="538">
        <f t="shared" si="98"/>
        <v>129674.39503102977</v>
      </c>
      <c r="H796" s="539">
        <f t="shared" si="97"/>
        <v>0.98018245657861769</v>
      </c>
      <c r="I796" s="540">
        <f t="shared" si="99"/>
        <v>129280.03922843978</v>
      </c>
      <c r="J796" s="534">
        <f t="shared" si="100"/>
        <v>0.98015597187177661</v>
      </c>
      <c r="K796" s="538">
        <f t="shared" si="101"/>
        <v>128259.38080919179</v>
      </c>
      <c r="L796" s="539">
        <f t="shared" si="102"/>
        <v>0.98008688146888179</v>
      </c>
      <c r="M796" s="540">
        <f t="shared" si="103"/>
        <v>153028.25092727627</v>
      </c>
      <c r="N796" s="534">
        <f t="shared" si="104"/>
        <v>0.98157004050277652</v>
      </c>
    </row>
    <row r="797" spans="7:14" x14ac:dyDescent="0.2">
      <c r="G797" s="538">
        <f t="shared" si="98"/>
        <v>129674.39503102977</v>
      </c>
      <c r="H797" s="539">
        <f t="shared" si="97"/>
        <v>0.98018245657861769</v>
      </c>
      <c r="I797" s="540">
        <f t="shared" si="99"/>
        <v>129280.03922843978</v>
      </c>
      <c r="J797" s="534">
        <f t="shared" si="100"/>
        <v>0.98015597187177661</v>
      </c>
      <c r="K797" s="538">
        <f t="shared" si="101"/>
        <v>128259.38080919179</v>
      </c>
      <c r="L797" s="539">
        <f t="shared" si="102"/>
        <v>0.98008688146888179</v>
      </c>
      <c r="M797" s="540">
        <f t="shared" si="103"/>
        <v>153028.25092727627</v>
      </c>
      <c r="N797" s="534">
        <f t="shared" si="104"/>
        <v>0.98157004050277652</v>
      </c>
    </row>
    <row r="798" spans="7:14" x14ac:dyDescent="0.2">
      <c r="G798" s="538">
        <f t="shared" si="98"/>
        <v>129674.39503102977</v>
      </c>
      <c r="H798" s="539">
        <f t="shared" si="97"/>
        <v>0.98018245657861769</v>
      </c>
      <c r="I798" s="540">
        <f t="shared" si="99"/>
        <v>129280.03922843978</v>
      </c>
      <c r="J798" s="534">
        <f t="shared" si="100"/>
        <v>0.98015597187177661</v>
      </c>
      <c r="K798" s="538">
        <f t="shared" si="101"/>
        <v>128259.38080919179</v>
      </c>
      <c r="L798" s="539">
        <f t="shared" si="102"/>
        <v>0.98008688146888179</v>
      </c>
      <c r="M798" s="540">
        <f t="shared" si="103"/>
        <v>153028.25092727627</v>
      </c>
      <c r="N798" s="534">
        <f t="shared" si="104"/>
        <v>0.98157004050277652</v>
      </c>
    </row>
    <row r="799" spans="7:14" x14ac:dyDescent="0.2">
      <c r="G799" s="538">
        <f t="shared" si="98"/>
        <v>129674.39503102977</v>
      </c>
      <c r="H799" s="539">
        <f t="shared" si="97"/>
        <v>0.98018245657861769</v>
      </c>
      <c r="I799" s="540">
        <f t="shared" si="99"/>
        <v>129280.03922843978</v>
      </c>
      <c r="J799" s="534">
        <f t="shared" si="100"/>
        <v>0.98015597187177661</v>
      </c>
      <c r="K799" s="538">
        <f t="shared" si="101"/>
        <v>128259.38080919179</v>
      </c>
      <c r="L799" s="539">
        <f t="shared" si="102"/>
        <v>0.98008688146888179</v>
      </c>
      <c r="M799" s="540">
        <f t="shared" si="103"/>
        <v>153028.25092727627</v>
      </c>
      <c r="N799" s="534">
        <f t="shared" si="104"/>
        <v>0.98157004050277652</v>
      </c>
    </row>
    <row r="800" spans="7:14" x14ac:dyDescent="0.2">
      <c r="G800" s="538">
        <f t="shared" si="98"/>
        <v>129674.39503102977</v>
      </c>
      <c r="H800" s="539">
        <f t="shared" si="97"/>
        <v>0.98018245657861769</v>
      </c>
      <c r="I800" s="540">
        <f t="shared" si="99"/>
        <v>129280.03922843978</v>
      </c>
      <c r="J800" s="534">
        <f t="shared" si="100"/>
        <v>0.98015597187177661</v>
      </c>
      <c r="K800" s="538">
        <f t="shared" si="101"/>
        <v>128259.38080919179</v>
      </c>
      <c r="L800" s="539">
        <f t="shared" si="102"/>
        <v>0.98008688146888179</v>
      </c>
      <c r="M800" s="540">
        <f t="shared" si="103"/>
        <v>153028.25092727627</v>
      </c>
      <c r="N800" s="534">
        <f t="shared" si="104"/>
        <v>0.98157004050277652</v>
      </c>
    </row>
    <row r="801" spans="7:14" x14ac:dyDescent="0.2">
      <c r="G801" s="538">
        <f t="shared" si="98"/>
        <v>129674.39503102977</v>
      </c>
      <c r="H801" s="539">
        <f t="shared" si="97"/>
        <v>0.98018245657861769</v>
      </c>
      <c r="I801" s="540">
        <f t="shared" si="99"/>
        <v>129280.03922843978</v>
      </c>
      <c r="J801" s="534">
        <f t="shared" si="100"/>
        <v>0.98015597187177661</v>
      </c>
      <c r="K801" s="538">
        <f t="shared" si="101"/>
        <v>128259.38080919179</v>
      </c>
      <c r="L801" s="539">
        <f t="shared" si="102"/>
        <v>0.98008688146888179</v>
      </c>
      <c r="M801" s="540">
        <f t="shared" si="103"/>
        <v>153028.25092727627</v>
      </c>
      <c r="N801" s="534">
        <f t="shared" si="104"/>
        <v>0.98157004050277652</v>
      </c>
    </row>
    <row r="802" spans="7:14" x14ac:dyDescent="0.2">
      <c r="G802" s="538">
        <f t="shared" si="98"/>
        <v>129674.39503102977</v>
      </c>
      <c r="H802" s="539">
        <f t="shared" si="97"/>
        <v>0.98018245657861769</v>
      </c>
      <c r="I802" s="540">
        <f t="shared" si="99"/>
        <v>129280.03922843978</v>
      </c>
      <c r="J802" s="534">
        <f t="shared" si="100"/>
        <v>0.98015597187177661</v>
      </c>
      <c r="K802" s="538">
        <f t="shared" si="101"/>
        <v>128259.38080919179</v>
      </c>
      <c r="L802" s="539">
        <f t="shared" si="102"/>
        <v>0.98008688146888179</v>
      </c>
      <c r="M802" s="540">
        <f t="shared" si="103"/>
        <v>153028.25092727627</v>
      </c>
      <c r="N802" s="534">
        <f t="shared" si="104"/>
        <v>0.98157004050277652</v>
      </c>
    </row>
    <row r="803" spans="7:14" x14ac:dyDescent="0.2">
      <c r="G803" s="538">
        <f t="shared" si="98"/>
        <v>129674.39503102977</v>
      </c>
      <c r="H803" s="539">
        <f t="shared" si="97"/>
        <v>0.98018245657861769</v>
      </c>
      <c r="I803" s="540">
        <f t="shared" si="99"/>
        <v>129280.03922843978</v>
      </c>
      <c r="J803" s="534">
        <f t="shared" si="100"/>
        <v>0.98015597187177661</v>
      </c>
      <c r="K803" s="538">
        <f t="shared" si="101"/>
        <v>128259.38080919179</v>
      </c>
      <c r="L803" s="539">
        <f t="shared" si="102"/>
        <v>0.98008688146888179</v>
      </c>
      <c r="M803" s="540">
        <f t="shared" si="103"/>
        <v>153028.25092727627</v>
      </c>
      <c r="N803" s="534">
        <f t="shared" si="104"/>
        <v>0.98157004050277652</v>
      </c>
    </row>
    <row r="804" spans="7:14" x14ac:dyDescent="0.2">
      <c r="G804" s="538">
        <f t="shared" si="98"/>
        <v>129674.39503102977</v>
      </c>
      <c r="H804" s="539">
        <f t="shared" si="97"/>
        <v>0.98018245657861769</v>
      </c>
      <c r="I804" s="540">
        <f t="shared" si="99"/>
        <v>129280.03922843978</v>
      </c>
      <c r="J804" s="534">
        <f t="shared" si="100"/>
        <v>0.98015597187177661</v>
      </c>
      <c r="K804" s="538">
        <f t="shared" si="101"/>
        <v>128259.38080919179</v>
      </c>
      <c r="L804" s="539">
        <f t="shared" si="102"/>
        <v>0.98008688146888179</v>
      </c>
      <c r="M804" s="540">
        <f t="shared" si="103"/>
        <v>153028.25092727627</v>
      </c>
      <c r="N804" s="534">
        <f t="shared" si="104"/>
        <v>0.98157004050277652</v>
      </c>
    </row>
    <row r="805" spans="7:14" x14ac:dyDescent="0.2">
      <c r="G805" s="538">
        <f t="shared" si="98"/>
        <v>129674.39503102977</v>
      </c>
      <c r="H805" s="539">
        <f t="shared" si="97"/>
        <v>0.98018245657861769</v>
      </c>
      <c r="I805" s="540">
        <f t="shared" si="99"/>
        <v>129280.03922843978</v>
      </c>
      <c r="J805" s="534">
        <f t="shared" si="100"/>
        <v>0.98015597187177661</v>
      </c>
      <c r="K805" s="538">
        <f t="shared" si="101"/>
        <v>128259.38080919179</v>
      </c>
      <c r="L805" s="539">
        <f t="shared" si="102"/>
        <v>0.98008688146888179</v>
      </c>
      <c r="M805" s="540">
        <f t="shared" si="103"/>
        <v>153028.25092727627</v>
      </c>
      <c r="N805" s="534">
        <f t="shared" si="104"/>
        <v>0.98157004050277652</v>
      </c>
    </row>
    <row r="806" spans="7:14" x14ac:dyDescent="0.2">
      <c r="G806" s="538">
        <f t="shared" si="98"/>
        <v>129674.39503102977</v>
      </c>
      <c r="H806" s="539">
        <f t="shared" si="97"/>
        <v>0.98018245657861769</v>
      </c>
      <c r="I806" s="540">
        <f t="shared" si="99"/>
        <v>129280.03922843978</v>
      </c>
      <c r="J806" s="534">
        <f t="shared" si="100"/>
        <v>0.98015597187177661</v>
      </c>
      <c r="K806" s="538">
        <f t="shared" si="101"/>
        <v>128259.38080919179</v>
      </c>
      <c r="L806" s="539">
        <f t="shared" si="102"/>
        <v>0.98008688146888179</v>
      </c>
      <c r="M806" s="540">
        <f t="shared" si="103"/>
        <v>153028.25092727627</v>
      </c>
      <c r="N806" s="534">
        <f t="shared" si="104"/>
        <v>0.98157004050277652</v>
      </c>
    </row>
    <row r="807" spans="7:14" x14ac:dyDescent="0.2">
      <c r="G807" s="538">
        <f t="shared" si="98"/>
        <v>129674.39503102977</v>
      </c>
      <c r="H807" s="539">
        <f t="shared" si="97"/>
        <v>0.98018245657861769</v>
      </c>
      <c r="I807" s="540">
        <f t="shared" si="99"/>
        <v>129280.03922843978</v>
      </c>
      <c r="J807" s="534">
        <f t="shared" si="100"/>
        <v>0.98015597187177661</v>
      </c>
      <c r="K807" s="538">
        <f t="shared" si="101"/>
        <v>128259.38080919179</v>
      </c>
      <c r="L807" s="539">
        <f t="shared" si="102"/>
        <v>0.98008688146888179</v>
      </c>
      <c r="M807" s="540">
        <f t="shared" si="103"/>
        <v>153028.25092727627</v>
      </c>
      <c r="N807" s="534">
        <f t="shared" si="104"/>
        <v>0.98157004050277652</v>
      </c>
    </row>
    <row r="808" spans="7:14" x14ac:dyDescent="0.2">
      <c r="G808" s="538">
        <f t="shared" si="98"/>
        <v>129674.39503102977</v>
      </c>
      <c r="H808" s="539">
        <f t="shared" si="97"/>
        <v>0.98018245657861769</v>
      </c>
      <c r="I808" s="540">
        <f t="shared" si="99"/>
        <v>129280.03922843978</v>
      </c>
      <c r="J808" s="534">
        <f t="shared" si="100"/>
        <v>0.98015597187177661</v>
      </c>
      <c r="K808" s="538">
        <f t="shared" si="101"/>
        <v>128259.38080919179</v>
      </c>
      <c r="L808" s="539">
        <f t="shared" si="102"/>
        <v>0.98008688146888179</v>
      </c>
      <c r="M808" s="540">
        <f t="shared" si="103"/>
        <v>153028.25092727627</v>
      </c>
      <c r="N808" s="534">
        <f t="shared" si="104"/>
        <v>0.98157004050277652</v>
      </c>
    </row>
    <row r="809" spans="7:14" x14ac:dyDescent="0.2">
      <c r="G809" s="538">
        <f t="shared" si="98"/>
        <v>129674.39503102977</v>
      </c>
      <c r="H809" s="539">
        <f t="shared" si="97"/>
        <v>0.98018245657861769</v>
      </c>
      <c r="I809" s="540">
        <f t="shared" si="99"/>
        <v>129280.03922843978</v>
      </c>
      <c r="J809" s="534">
        <f t="shared" si="100"/>
        <v>0.98015597187177661</v>
      </c>
      <c r="K809" s="538">
        <f t="shared" si="101"/>
        <v>128259.38080919179</v>
      </c>
      <c r="L809" s="539">
        <f t="shared" si="102"/>
        <v>0.98008688146888179</v>
      </c>
      <c r="M809" s="540">
        <f t="shared" si="103"/>
        <v>153028.25092727627</v>
      </c>
      <c r="N809" s="534">
        <f t="shared" si="104"/>
        <v>0.98157004050277652</v>
      </c>
    </row>
    <row r="810" spans="7:14" x14ac:dyDescent="0.2">
      <c r="G810" s="538">
        <f t="shared" si="98"/>
        <v>129674.39503102977</v>
      </c>
      <c r="H810" s="539">
        <f t="shared" si="97"/>
        <v>0.98018245657861769</v>
      </c>
      <c r="I810" s="540">
        <f t="shared" si="99"/>
        <v>129280.03922843978</v>
      </c>
      <c r="J810" s="534">
        <f t="shared" si="100"/>
        <v>0.98015597187177661</v>
      </c>
      <c r="K810" s="538">
        <f t="shared" si="101"/>
        <v>128259.38080919179</v>
      </c>
      <c r="L810" s="539">
        <f t="shared" si="102"/>
        <v>0.98008688146888179</v>
      </c>
      <c r="M810" s="540">
        <f t="shared" si="103"/>
        <v>153028.25092727627</v>
      </c>
      <c r="N810" s="534">
        <f t="shared" si="104"/>
        <v>0.98157004050277652</v>
      </c>
    </row>
    <row r="811" spans="7:14" x14ac:dyDescent="0.2">
      <c r="G811" s="538">
        <f t="shared" si="98"/>
        <v>129674.39503102977</v>
      </c>
      <c r="H811" s="539">
        <f t="shared" si="97"/>
        <v>0.98018245657861769</v>
      </c>
      <c r="I811" s="540">
        <f t="shared" si="99"/>
        <v>129280.03922843978</v>
      </c>
      <c r="J811" s="534">
        <f t="shared" si="100"/>
        <v>0.98015597187177661</v>
      </c>
      <c r="K811" s="538">
        <f t="shared" si="101"/>
        <v>128259.38080919179</v>
      </c>
      <c r="L811" s="539">
        <f t="shared" si="102"/>
        <v>0.98008688146888179</v>
      </c>
      <c r="M811" s="540">
        <f t="shared" si="103"/>
        <v>153028.25092727627</v>
      </c>
      <c r="N811" s="534">
        <f t="shared" si="104"/>
        <v>0.98157004050277652</v>
      </c>
    </row>
    <row r="812" spans="7:14" x14ac:dyDescent="0.2">
      <c r="G812" s="538">
        <f t="shared" si="98"/>
        <v>129674.39503102977</v>
      </c>
      <c r="H812" s="539">
        <f t="shared" si="97"/>
        <v>0.98018245657861769</v>
      </c>
      <c r="I812" s="540">
        <f t="shared" si="99"/>
        <v>129280.03922843978</v>
      </c>
      <c r="J812" s="534">
        <f t="shared" si="100"/>
        <v>0.98015597187177661</v>
      </c>
      <c r="K812" s="538">
        <f t="shared" si="101"/>
        <v>128259.38080919179</v>
      </c>
      <c r="L812" s="539">
        <f t="shared" si="102"/>
        <v>0.98008688146888179</v>
      </c>
      <c r="M812" s="540">
        <f t="shared" si="103"/>
        <v>153028.25092727627</v>
      </c>
      <c r="N812" s="534">
        <f t="shared" si="104"/>
        <v>0.98157004050277652</v>
      </c>
    </row>
    <row r="813" spans="7:14" x14ac:dyDescent="0.2">
      <c r="G813" s="538">
        <f t="shared" si="98"/>
        <v>129674.39503102977</v>
      </c>
      <c r="H813" s="539">
        <f t="shared" si="97"/>
        <v>0.98018245657861769</v>
      </c>
      <c r="I813" s="540">
        <f t="shared" si="99"/>
        <v>129280.03922843978</v>
      </c>
      <c r="J813" s="534">
        <f t="shared" si="100"/>
        <v>0.98015597187177661</v>
      </c>
      <c r="K813" s="538">
        <f t="shared" si="101"/>
        <v>128259.38080919179</v>
      </c>
      <c r="L813" s="539">
        <f t="shared" si="102"/>
        <v>0.98008688146888179</v>
      </c>
      <c r="M813" s="540">
        <f t="shared" si="103"/>
        <v>153028.25092727627</v>
      </c>
      <c r="N813" s="534">
        <f t="shared" si="104"/>
        <v>0.98157004050277652</v>
      </c>
    </row>
    <row r="814" spans="7:14" x14ac:dyDescent="0.2">
      <c r="G814" s="538">
        <f t="shared" si="98"/>
        <v>129674.39503102977</v>
      </c>
      <c r="H814" s="539">
        <f t="shared" si="97"/>
        <v>0.98018245657861769</v>
      </c>
      <c r="I814" s="540">
        <f t="shared" si="99"/>
        <v>129280.03922843978</v>
      </c>
      <c r="J814" s="534">
        <f t="shared" si="100"/>
        <v>0.98015597187177661</v>
      </c>
      <c r="K814" s="538">
        <f t="shared" si="101"/>
        <v>128259.38080919179</v>
      </c>
      <c r="L814" s="539">
        <f t="shared" si="102"/>
        <v>0.98008688146888179</v>
      </c>
      <c r="M814" s="540">
        <f t="shared" si="103"/>
        <v>153028.25092727627</v>
      </c>
      <c r="N814" s="534">
        <f t="shared" si="104"/>
        <v>0.98157004050277652</v>
      </c>
    </row>
    <row r="815" spans="7:14" x14ac:dyDescent="0.2">
      <c r="G815" s="538">
        <f t="shared" si="98"/>
        <v>129674.39503102977</v>
      </c>
      <c r="H815" s="539">
        <f t="shared" si="97"/>
        <v>0.98018245657861769</v>
      </c>
      <c r="I815" s="540">
        <f t="shared" si="99"/>
        <v>129280.03922843978</v>
      </c>
      <c r="J815" s="534">
        <f t="shared" si="100"/>
        <v>0.98015597187177661</v>
      </c>
      <c r="K815" s="538">
        <f t="shared" si="101"/>
        <v>128259.38080919179</v>
      </c>
      <c r="L815" s="539">
        <f t="shared" si="102"/>
        <v>0.98008688146888179</v>
      </c>
      <c r="M815" s="540">
        <f t="shared" si="103"/>
        <v>153028.25092727627</v>
      </c>
      <c r="N815" s="534">
        <f t="shared" si="104"/>
        <v>0.98157004050277652</v>
      </c>
    </row>
    <row r="816" spans="7:14" x14ac:dyDescent="0.2">
      <c r="G816" s="538">
        <f t="shared" si="98"/>
        <v>129674.39503102977</v>
      </c>
      <c r="H816" s="539">
        <f t="shared" si="97"/>
        <v>0.98018245657861769</v>
      </c>
      <c r="I816" s="540">
        <f t="shared" si="99"/>
        <v>129280.03922843978</v>
      </c>
      <c r="J816" s="534">
        <f t="shared" si="100"/>
        <v>0.98015597187177661</v>
      </c>
      <c r="K816" s="538">
        <f t="shared" si="101"/>
        <v>128259.38080919179</v>
      </c>
      <c r="L816" s="539">
        <f t="shared" si="102"/>
        <v>0.98008688146888179</v>
      </c>
      <c r="M816" s="540">
        <f t="shared" si="103"/>
        <v>153028.25092727627</v>
      </c>
      <c r="N816" s="534">
        <f t="shared" si="104"/>
        <v>0.98157004050277652</v>
      </c>
    </row>
    <row r="817" spans="7:14" x14ac:dyDescent="0.2">
      <c r="G817" s="538">
        <f t="shared" si="98"/>
        <v>129674.39503102977</v>
      </c>
      <c r="H817" s="539">
        <f t="shared" si="97"/>
        <v>0.98018245657861769</v>
      </c>
      <c r="I817" s="540">
        <f t="shared" si="99"/>
        <v>129280.03922843978</v>
      </c>
      <c r="J817" s="534">
        <f t="shared" si="100"/>
        <v>0.98015597187177661</v>
      </c>
      <c r="K817" s="538">
        <f t="shared" si="101"/>
        <v>128259.38080919179</v>
      </c>
      <c r="L817" s="539">
        <f t="shared" si="102"/>
        <v>0.98008688146888179</v>
      </c>
      <c r="M817" s="540">
        <f t="shared" si="103"/>
        <v>153028.25092727627</v>
      </c>
      <c r="N817" s="534">
        <f t="shared" si="104"/>
        <v>0.98157004050277652</v>
      </c>
    </row>
    <row r="818" spans="7:14" x14ac:dyDescent="0.2">
      <c r="G818" s="538">
        <f t="shared" si="98"/>
        <v>129674.39503102977</v>
      </c>
      <c r="H818" s="539">
        <f t="shared" si="97"/>
        <v>0.98018245657861769</v>
      </c>
      <c r="I818" s="540">
        <f t="shared" si="99"/>
        <v>129280.03922843978</v>
      </c>
      <c r="J818" s="534">
        <f t="shared" si="100"/>
        <v>0.98015597187177661</v>
      </c>
      <c r="K818" s="538">
        <f t="shared" si="101"/>
        <v>128259.38080919179</v>
      </c>
      <c r="L818" s="539">
        <f t="shared" si="102"/>
        <v>0.98008688146888179</v>
      </c>
      <c r="M818" s="540">
        <f t="shared" si="103"/>
        <v>153028.25092727627</v>
      </c>
      <c r="N818" s="534">
        <f t="shared" si="104"/>
        <v>0.98157004050277652</v>
      </c>
    </row>
    <row r="819" spans="7:14" x14ac:dyDescent="0.2">
      <c r="G819" s="538">
        <f t="shared" si="98"/>
        <v>129674.39503102977</v>
      </c>
      <c r="H819" s="539">
        <f t="shared" si="97"/>
        <v>0.98018245657861769</v>
      </c>
      <c r="I819" s="540">
        <f t="shared" si="99"/>
        <v>129280.03922843978</v>
      </c>
      <c r="J819" s="534">
        <f t="shared" si="100"/>
        <v>0.98015597187177661</v>
      </c>
      <c r="K819" s="538">
        <f t="shared" si="101"/>
        <v>128259.38080919179</v>
      </c>
      <c r="L819" s="539">
        <f t="shared" si="102"/>
        <v>0.98008688146888179</v>
      </c>
      <c r="M819" s="540">
        <f t="shared" si="103"/>
        <v>153028.25092727627</v>
      </c>
      <c r="N819" s="534">
        <f t="shared" si="104"/>
        <v>0.98157004050277652</v>
      </c>
    </row>
    <row r="820" spans="7:14" x14ac:dyDescent="0.2">
      <c r="G820" s="538">
        <f t="shared" si="98"/>
        <v>129674.39503102977</v>
      </c>
      <c r="H820" s="539">
        <f t="shared" si="97"/>
        <v>0.98018245657861769</v>
      </c>
      <c r="I820" s="540">
        <f t="shared" si="99"/>
        <v>129280.03922843978</v>
      </c>
      <c r="J820" s="534">
        <f t="shared" si="100"/>
        <v>0.98015597187177661</v>
      </c>
      <c r="K820" s="538">
        <f t="shared" si="101"/>
        <v>128259.38080919179</v>
      </c>
      <c r="L820" s="539">
        <f t="shared" si="102"/>
        <v>0.98008688146888179</v>
      </c>
      <c r="M820" s="540">
        <f t="shared" si="103"/>
        <v>153028.25092727627</v>
      </c>
      <c r="N820" s="534">
        <f t="shared" si="104"/>
        <v>0.98157004050277652</v>
      </c>
    </row>
    <row r="821" spans="7:14" x14ac:dyDescent="0.2">
      <c r="G821" s="538">
        <f t="shared" si="98"/>
        <v>129674.39503102977</v>
      </c>
      <c r="H821" s="539">
        <f t="shared" si="97"/>
        <v>0.98018245657861769</v>
      </c>
      <c r="I821" s="540">
        <f t="shared" si="99"/>
        <v>129280.03922843978</v>
      </c>
      <c r="J821" s="534">
        <f t="shared" si="100"/>
        <v>0.98015597187177661</v>
      </c>
      <c r="K821" s="538">
        <f t="shared" si="101"/>
        <v>128259.38080919179</v>
      </c>
      <c r="L821" s="539">
        <f t="shared" si="102"/>
        <v>0.98008688146888179</v>
      </c>
      <c r="M821" s="540">
        <f t="shared" si="103"/>
        <v>153028.25092727627</v>
      </c>
      <c r="N821" s="534">
        <f t="shared" si="104"/>
        <v>0.98157004050277652</v>
      </c>
    </row>
    <row r="822" spans="7:14" x14ac:dyDescent="0.2">
      <c r="G822" s="538">
        <f t="shared" si="98"/>
        <v>129674.39503102977</v>
      </c>
      <c r="H822" s="539">
        <f t="shared" si="97"/>
        <v>0.98018245657861769</v>
      </c>
      <c r="I822" s="540">
        <f t="shared" si="99"/>
        <v>129280.03922843978</v>
      </c>
      <c r="J822" s="534">
        <f t="shared" si="100"/>
        <v>0.98015597187177661</v>
      </c>
      <c r="K822" s="538">
        <f t="shared" si="101"/>
        <v>128259.38080919179</v>
      </c>
      <c r="L822" s="539">
        <f t="shared" si="102"/>
        <v>0.98008688146888179</v>
      </c>
      <c r="M822" s="540">
        <f t="shared" si="103"/>
        <v>153028.25092727627</v>
      </c>
      <c r="N822" s="534">
        <f t="shared" si="104"/>
        <v>0.98157004050277652</v>
      </c>
    </row>
    <row r="823" spans="7:14" x14ac:dyDescent="0.2">
      <c r="G823" s="538">
        <f t="shared" si="98"/>
        <v>129674.39503102977</v>
      </c>
      <c r="H823" s="539">
        <f t="shared" si="97"/>
        <v>0.98018245657861769</v>
      </c>
      <c r="I823" s="540">
        <f t="shared" si="99"/>
        <v>129280.03922843978</v>
      </c>
      <c r="J823" s="534">
        <f t="shared" si="100"/>
        <v>0.98015597187177661</v>
      </c>
      <c r="K823" s="538">
        <f t="shared" si="101"/>
        <v>128259.38080919179</v>
      </c>
      <c r="L823" s="539">
        <f t="shared" si="102"/>
        <v>0.98008688146888179</v>
      </c>
      <c r="M823" s="540">
        <f t="shared" si="103"/>
        <v>153028.25092727627</v>
      </c>
      <c r="N823" s="534">
        <f t="shared" si="104"/>
        <v>0.98157004050277652</v>
      </c>
    </row>
    <row r="824" spans="7:14" x14ac:dyDescent="0.2">
      <c r="G824" s="538">
        <f t="shared" si="98"/>
        <v>129674.39503102977</v>
      </c>
      <c r="H824" s="539">
        <f t="shared" si="97"/>
        <v>0.98018245657861769</v>
      </c>
      <c r="I824" s="540">
        <f t="shared" si="99"/>
        <v>129280.03922843978</v>
      </c>
      <c r="J824" s="534">
        <f t="shared" si="100"/>
        <v>0.98015597187177661</v>
      </c>
      <c r="K824" s="538">
        <f t="shared" si="101"/>
        <v>128259.38080919179</v>
      </c>
      <c r="L824" s="539">
        <f t="shared" si="102"/>
        <v>0.98008688146888179</v>
      </c>
      <c r="M824" s="540">
        <f t="shared" si="103"/>
        <v>153028.25092727627</v>
      </c>
      <c r="N824" s="534">
        <f t="shared" si="104"/>
        <v>0.98157004050277652</v>
      </c>
    </row>
    <row r="825" spans="7:14" x14ac:dyDescent="0.2">
      <c r="G825" s="538">
        <f t="shared" si="98"/>
        <v>129674.39503102977</v>
      </c>
      <c r="H825" s="539">
        <f t="shared" si="97"/>
        <v>0.98018245657861769</v>
      </c>
      <c r="I825" s="540">
        <f t="shared" si="99"/>
        <v>129280.03922843978</v>
      </c>
      <c r="J825" s="534">
        <f t="shared" si="100"/>
        <v>0.98015597187177661</v>
      </c>
      <c r="K825" s="538">
        <f t="shared" si="101"/>
        <v>128259.38080919179</v>
      </c>
      <c r="L825" s="539">
        <f t="shared" si="102"/>
        <v>0.98008688146888179</v>
      </c>
      <c r="M825" s="540">
        <f t="shared" si="103"/>
        <v>153028.25092727627</v>
      </c>
      <c r="N825" s="534">
        <f t="shared" si="104"/>
        <v>0.98157004050277652</v>
      </c>
    </row>
    <row r="826" spans="7:14" x14ac:dyDescent="0.2">
      <c r="G826" s="538">
        <f t="shared" si="98"/>
        <v>129674.39503102977</v>
      </c>
      <c r="H826" s="539">
        <f t="shared" si="97"/>
        <v>0.98018245657861769</v>
      </c>
      <c r="I826" s="540">
        <f t="shared" si="99"/>
        <v>129280.03922843978</v>
      </c>
      <c r="J826" s="534">
        <f t="shared" si="100"/>
        <v>0.98015597187177661</v>
      </c>
      <c r="K826" s="538">
        <f t="shared" si="101"/>
        <v>128259.38080919179</v>
      </c>
      <c r="L826" s="539">
        <f t="shared" si="102"/>
        <v>0.98008688146888179</v>
      </c>
      <c r="M826" s="540">
        <f t="shared" si="103"/>
        <v>153028.25092727627</v>
      </c>
      <c r="N826" s="534">
        <f t="shared" si="104"/>
        <v>0.98157004050277652</v>
      </c>
    </row>
    <row r="827" spans="7:14" x14ac:dyDescent="0.2">
      <c r="G827" s="538">
        <f t="shared" si="98"/>
        <v>129674.39503102977</v>
      </c>
      <c r="H827" s="539">
        <f t="shared" si="97"/>
        <v>0.98018245657861769</v>
      </c>
      <c r="I827" s="540">
        <f t="shared" si="99"/>
        <v>129280.03922843978</v>
      </c>
      <c r="J827" s="534">
        <f t="shared" si="100"/>
        <v>0.98015597187177661</v>
      </c>
      <c r="K827" s="538">
        <f t="shared" si="101"/>
        <v>128259.38080919179</v>
      </c>
      <c r="L827" s="539">
        <f t="shared" si="102"/>
        <v>0.98008688146888179</v>
      </c>
      <c r="M827" s="540">
        <f t="shared" si="103"/>
        <v>153028.25092727627</v>
      </c>
      <c r="N827" s="534">
        <f t="shared" si="104"/>
        <v>0.98157004050277652</v>
      </c>
    </row>
    <row r="828" spans="7:14" x14ac:dyDescent="0.2">
      <c r="G828" s="538">
        <f t="shared" si="98"/>
        <v>129674.39503102977</v>
      </c>
      <c r="H828" s="539">
        <f t="shared" si="97"/>
        <v>0.98018245657861769</v>
      </c>
      <c r="I828" s="540">
        <f t="shared" si="99"/>
        <v>129280.03922843978</v>
      </c>
      <c r="J828" s="534">
        <f t="shared" si="100"/>
        <v>0.98015597187177661</v>
      </c>
      <c r="K828" s="538">
        <f t="shared" si="101"/>
        <v>128259.38080919179</v>
      </c>
      <c r="L828" s="539">
        <f t="shared" si="102"/>
        <v>0.98008688146888179</v>
      </c>
      <c r="M828" s="540">
        <f t="shared" si="103"/>
        <v>153028.25092727627</v>
      </c>
      <c r="N828" s="534">
        <f t="shared" si="104"/>
        <v>0.98157004050277652</v>
      </c>
    </row>
    <row r="829" spans="7:14" x14ac:dyDescent="0.2">
      <c r="G829" s="538">
        <f t="shared" si="98"/>
        <v>129674.39503102977</v>
      </c>
      <c r="H829" s="539">
        <f t="shared" si="97"/>
        <v>0.98018245657861769</v>
      </c>
      <c r="I829" s="540">
        <f t="shared" si="99"/>
        <v>129280.03922843978</v>
      </c>
      <c r="J829" s="534">
        <f t="shared" si="100"/>
        <v>0.98015597187177661</v>
      </c>
      <c r="K829" s="538">
        <f t="shared" si="101"/>
        <v>128259.38080919179</v>
      </c>
      <c r="L829" s="539">
        <f t="shared" si="102"/>
        <v>0.98008688146888179</v>
      </c>
      <c r="M829" s="540">
        <f t="shared" si="103"/>
        <v>153028.25092727627</v>
      </c>
      <c r="N829" s="534">
        <f t="shared" si="104"/>
        <v>0.98157004050277652</v>
      </c>
    </row>
    <row r="830" spans="7:14" x14ac:dyDescent="0.2">
      <c r="G830" s="538">
        <f t="shared" si="98"/>
        <v>129674.39503102977</v>
      </c>
      <c r="H830" s="539">
        <f t="shared" si="97"/>
        <v>0.98018245657861769</v>
      </c>
      <c r="I830" s="540">
        <f t="shared" si="99"/>
        <v>129280.03922843978</v>
      </c>
      <c r="J830" s="534">
        <f t="shared" si="100"/>
        <v>0.98015597187177661</v>
      </c>
      <c r="K830" s="538">
        <f t="shared" si="101"/>
        <v>128259.38080919179</v>
      </c>
      <c r="L830" s="539">
        <f t="shared" si="102"/>
        <v>0.98008688146888179</v>
      </c>
      <c r="M830" s="540">
        <f t="shared" si="103"/>
        <v>153028.25092727627</v>
      </c>
      <c r="N830" s="534">
        <f t="shared" si="104"/>
        <v>0.98157004050277652</v>
      </c>
    </row>
    <row r="831" spans="7:14" x14ac:dyDescent="0.2">
      <c r="G831" s="538">
        <f t="shared" si="98"/>
        <v>129674.39503102977</v>
      </c>
      <c r="H831" s="539">
        <f t="shared" si="97"/>
        <v>0.98018245657861769</v>
      </c>
      <c r="I831" s="540">
        <f t="shared" si="99"/>
        <v>129280.03922843978</v>
      </c>
      <c r="J831" s="534">
        <f t="shared" si="100"/>
        <v>0.98015597187177661</v>
      </c>
      <c r="K831" s="538">
        <f t="shared" si="101"/>
        <v>128259.38080919179</v>
      </c>
      <c r="L831" s="539">
        <f t="shared" si="102"/>
        <v>0.98008688146888179</v>
      </c>
      <c r="M831" s="540">
        <f t="shared" si="103"/>
        <v>153028.25092727627</v>
      </c>
      <c r="N831" s="534">
        <f t="shared" si="104"/>
        <v>0.98157004050277652</v>
      </c>
    </row>
    <row r="832" spans="7:14" x14ac:dyDescent="0.2">
      <c r="G832" s="538">
        <f t="shared" si="98"/>
        <v>129674.39503102977</v>
      </c>
      <c r="H832" s="539">
        <f t="shared" si="97"/>
        <v>0.98018245657861769</v>
      </c>
      <c r="I832" s="540">
        <f t="shared" si="99"/>
        <v>129280.03922843978</v>
      </c>
      <c r="J832" s="534">
        <f t="shared" si="100"/>
        <v>0.98015597187177661</v>
      </c>
      <c r="K832" s="538">
        <f t="shared" si="101"/>
        <v>128259.38080919179</v>
      </c>
      <c r="L832" s="539">
        <f t="shared" si="102"/>
        <v>0.98008688146888179</v>
      </c>
      <c r="M832" s="540">
        <f t="shared" si="103"/>
        <v>153028.25092727627</v>
      </c>
      <c r="N832" s="534">
        <f t="shared" si="104"/>
        <v>0.98157004050277652</v>
      </c>
    </row>
    <row r="833" spans="7:14" x14ac:dyDescent="0.2">
      <c r="G833" s="538">
        <f t="shared" si="98"/>
        <v>129674.39503102977</v>
      </c>
      <c r="H833" s="539">
        <f t="shared" si="97"/>
        <v>0.98018245657861769</v>
      </c>
      <c r="I833" s="540">
        <f t="shared" si="99"/>
        <v>129280.03922843978</v>
      </c>
      <c r="J833" s="534">
        <f t="shared" si="100"/>
        <v>0.98015597187177661</v>
      </c>
      <c r="K833" s="538">
        <f t="shared" si="101"/>
        <v>128259.38080919179</v>
      </c>
      <c r="L833" s="539">
        <f t="shared" si="102"/>
        <v>0.98008688146888179</v>
      </c>
      <c r="M833" s="540">
        <f t="shared" si="103"/>
        <v>153028.25092727627</v>
      </c>
      <c r="N833" s="534">
        <f t="shared" si="104"/>
        <v>0.98157004050277652</v>
      </c>
    </row>
    <row r="834" spans="7:14" x14ac:dyDescent="0.2">
      <c r="G834" s="538">
        <f t="shared" si="98"/>
        <v>129674.39503102977</v>
      </c>
      <c r="H834" s="539">
        <f t="shared" si="97"/>
        <v>0.98018245657861769</v>
      </c>
      <c r="I834" s="540">
        <f t="shared" si="99"/>
        <v>129280.03922843978</v>
      </c>
      <c r="J834" s="534">
        <f t="shared" si="100"/>
        <v>0.98015597187177661</v>
      </c>
      <c r="K834" s="538">
        <f t="shared" si="101"/>
        <v>128259.38080919179</v>
      </c>
      <c r="L834" s="539">
        <f t="shared" si="102"/>
        <v>0.98008688146888179</v>
      </c>
      <c r="M834" s="540">
        <f t="shared" si="103"/>
        <v>153028.25092727627</v>
      </c>
      <c r="N834" s="534">
        <f t="shared" si="104"/>
        <v>0.98157004050277652</v>
      </c>
    </row>
    <row r="835" spans="7:14" x14ac:dyDescent="0.2">
      <c r="G835" s="538">
        <f t="shared" si="98"/>
        <v>129674.39503102977</v>
      </c>
      <c r="H835" s="539">
        <f t="shared" ref="H835:H898" si="105">0.9986-(7.006/SQRT(G835))+134.6/G835</f>
        <v>0.98018245657861769</v>
      </c>
      <c r="I835" s="540">
        <f t="shared" si="99"/>
        <v>129280.03922843978</v>
      </c>
      <c r="J835" s="534">
        <f t="shared" si="100"/>
        <v>0.98015597187177661</v>
      </c>
      <c r="K835" s="538">
        <f t="shared" si="101"/>
        <v>128259.38080919179</v>
      </c>
      <c r="L835" s="539">
        <f t="shared" si="102"/>
        <v>0.98008688146888179</v>
      </c>
      <c r="M835" s="540">
        <f t="shared" si="103"/>
        <v>153028.25092727627</v>
      </c>
      <c r="N835" s="534">
        <f t="shared" si="104"/>
        <v>0.98157004050277652</v>
      </c>
    </row>
    <row r="836" spans="7:14" x14ac:dyDescent="0.2">
      <c r="G836" s="538">
        <f t="shared" ref="G836:G899" si="106">($C$6/(1000*$C$12*$C$16))*(H835*SQRT(2*$C$5*100*$C$16))</f>
        <v>129674.39503102977</v>
      </c>
      <c r="H836" s="539">
        <f t="shared" si="105"/>
        <v>0.98018245657861769</v>
      </c>
      <c r="I836" s="540">
        <f t="shared" ref="I836:I899" si="107">($C$7/(1000*$C$12*$C$16))*(J835*SQRT(2*$C$5*100*$C$16))</f>
        <v>129280.03922843978</v>
      </c>
      <c r="J836" s="534">
        <f t="shared" ref="J836:J899" si="108">0.9986-(7.006/SQRT(I836))+134.6/I836</f>
        <v>0.98015597187177661</v>
      </c>
      <c r="K836" s="538">
        <f t="shared" ref="K836:K899" si="109">($C$8/(1000*$C$12*$C$16))*(L835*SQRT(2*$C$5*100*$C$16))</f>
        <v>128259.38080919179</v>
      </c>
      <c r="L836" s="539">
        <f t="shared" ref="L836:L899" si="110">0.9986-(7.006/SQRT(K836))+134.6/K836</f>
        <v>0.98008688146888179</v>
      </c>
      <c r="M836" s="540">
        <f t="shared" ref="M836:M899" si="111">($C$9/(1000*$C$12*$C$16))*(N835*SQRT(2*$C$5*100*$C$16))</f>
        <v>153028.25092727627</v>
      </c>
      <c r="N836" s="534">
        <f t="shared" ref="N836:N899" si="112">0.9986-(7.006/SQRT(M836))+134.6/M836</f>
        <v>0.98157004050277652</v>
      </c>
    </row>
    <row r="837" spans="7:14" x14ac:dyDescent="0.2">
      <c r="G837" s="538">
        <f t="shared" si="106"/>
        <v>129674.39503102977</v>
      </c>
      <c r="H837" s="539">
        <f t="shared" si="105"/>
        <v>0.98018245657861769</v>
      </c>
      <c r="I837" s="540">
        <f t="shared" si="107"/>
        <v>129280.03922843978</v>
      </c>
      <c r="J837" s="534">
        <f t="shared" si="108"/>
        <v>0.98015597187177661</v>
      </c>
      <c r="K837" s="538">
        <f t="shared" si="109"/>
        <v>128259.38080919179</v>
      </c>
      <c r="L837" s="539">
        <f t="shared" si="110"/>
        <v>0.98008688146888179</v>
      </c>
      <c r="M837" s="540">
        <f t="shared" si="111"/>
        <v>153028.25092727627</v>
      </c>
      <c r="N837" s="534">
        <f t="shared" si="112"/>
        <v>0.98157004050277652</v>
      </c>
    </row>
    <row r="838" spans="7:14" x14ac:dyDescent="0.2">
      <c r="G838" s="538">
        <f t="shared" si="106"/>
        <v>129674.39503102977</v>
      </c>
      <c r="H838" s="539">
        <f t="shared" si="105"/>
        <v>0.98018245657861769</v>
      </c>
      <c r="I838" s="540">
        <f t="shared" si="107"/>
        <v>129280.03922843978</v>
      </c>
      <c r="J838" s="534">
        <f t="shared" si="108"/>
        <v>0.98015597187177661</v>
      </c>
      <c r="K838" s="538">
        <f t="shared" si="109"/>
        <v>128259.38080919179</v>
      </c>
      <c r="L838" s="539">
        <f t="shared" si="110"/>
        <v>0.98008688146888179</v>
      </c>
      <c r="M838" s="540">
        <f t="shared" si="111"/>
        <v>153028.25092727627</v>
      </c>
      <c r="N838" s="534">
        <f t="shared" si="112"/>
        <v>0.98157004050277652</v>
      </c>
    </row>
    <row r="839" spans="7:14" x14ac:dyDescent="0.2">
      <c r="G839" s="538">
        <f t="shared" si="106"/>
        <v>129674.39503102977</v>
      </c>
      <c r="H839" s="539">
        <f t="shared" si="105"/>
        <v>0.98018245657861769</v>
      </c>
      <c r="I839" s="540">
        <f t="shared" si="107"/>
        <v>129280.03922843978</v>
      </c>
      <c r="J839" s="534">
        <f t="shared" si="108"/>
        <v>0.98015597187177661</v>
      </c>
      <c r="K839" s="538">
        <f t="shared" si="109"/>
        <v>128259.38080919179</v>
      </c>
      <c r="L839" s="539">
        <f t="shared" si="110"/>
        <v>0.98008688146888179</v>
      </c>
      <c r="M839" s="540">
        <f t="shared" si="111"/>
        <v>153028.25092727627</v>
      </c>
      <c r="N839" s="534">
        <f t="shared" si="112"/>
        <v>0.98157004050277652</v>
      </c>
    </row>
    <row r="840" spans="7:14" x14ac:dyDescent="0.2">
      <c r="G840" s="538">
        <f t="shared" si="106"/>
        <v>129674.39503102977</v>
      </c>
      <c r="H840" s="539">
        <f t="shared" si="105"/>
        <v>0.98018245657861769</v>
      </c>
      <c r="I840" s="540">
        <f t="shared" si="107"/>
        <v>129280.03922843978</v>
      </c>
      <c r="J840" s="534">
        <f t="shared" si="108"/>
        <v>0.98015597187177661</v>
      </c>
      <c r="K840" s="538">
        <f t="shared" si="109"/>
        <v>128259.38080919179</v>
      </c>
      <c r="L840" s="539">
        <f t="shared" si="110"/>
        <v>0.98008688146888179</v>
      </c>
      <c r="M840" s="540">
        <f t="shared" si="111"/>
        <v>153028.25092727627</v>
      </c>
      <c r="N840" s="534">
        <f t="shared" si="112"/>
        <v>0.98157004050277652</v>
      </c>
    </row>
    <row r="841" spans="7:14" x14ac:dyDescent="0.2">
      <c r="G841" s="538">
        <f t="shared" si="106"/>
        <v>129674.39503102977</v>
      </c>
      <c r="H841" s="539">
        <f t="shared" si="105"/>
        <v>0.98018245657861769</v>
      </c>
      <c r="I841" s="540">
        <f t="shared" si="107"/>
        <v>129280.03922843978</v>
      </c>
      <c r="J841" s="534">
        <f t="shared" si="108"/>
        <v>0.98015597187177661</v>
      </c>
      <c r="K841" s="538">
        <f t="shared" si="109"/>
        <v>128259.38080919179</v>
      </c>
      <c r="L841" s="539">
        <f t="shared" si="110"/>
        <v>0.98008688146888179</v>
      </c>
      <c r="M841" s="540">
        <f t="shared" si="111"/>
        <v>153028.25092727627</v>
      </c>
      <c r="N841" s="534">
        <f t="shared" si="112"/>
        <v>0.98157004050277652</v>
      </c>
    </row>
    <row r="842" spans="7:14" x14ac:dyDescent="0.2">
      <c r="G842" s="538">
        <f t="shared" si="106"/>
        <v>129674.39503102977</v>
      </c>
      <c r="H842" s="539">
        <f t="shared" si="105"/>
        <v>0.98018245657861769</v>
      </c>
      <c r="I842" s="540">
        <f t="shared" si="107"/>
        <v>129280.03922843978</v>
      </c>
      <c r="J842" s="534">
        <f t="shared" si="108"/>
        <v>0.98015597187177661</v>
      </c>
      <c r="K842" s="538">
        <f t="shared" si="109"/>
        <v>128259.38080919179</v>
      </c>
      <c r="L842" s="539">
        <f t="shared" si="110"/>
        <v>0.98008688146888179</v>
      </c>
      <c r="M842" s="540">
        <f t="shared" si="111"/>
        <v>153028.25092727627</v>
      </c>
      <c r="N842" s="534">
        <f t="shared" si="112"/>
        <v>0.98157004050277652</v>
      </c>
    </row>
    <row r="843" spans="7:14" x14ac:dyDescent="0.2">
      <c r="G843" s="538">
        <f t="shared" si="106"/>
        <v>129674.39503102977</v>
      </c>
      <c r="H843" s="539">
        <f t="shared" si="105"/>
        <v>0.98018245657861769</v>
      </c>
      <c r="I843" s="540">
        <f t="shared" si="107"/>
        <v>129280.03922843978</v>
      </c>
      <c r="J843" s="534">
        <f t="shared" si="108"/>
        <v>0.98015597187177661</v>
      </c>
      <c r="K843" s="538">
        <f t="shared" si="109"/>
        <v>128259.38080919179</v>
      </c>
      <c r="L843" s="539">
        <f t="shared" si="110"/>
        <v>0.98008688146888179</v>
      </c>
      <c r="M843" s="540">
        <f t="shared" si="111"/>
        <v>153028.25092727627</v>
      </c>
      <c r="N843" s="534">
        <f t="shared" si="112"/>
        <v>0.98157004050277652</v>
      </c>
    </row>
    <row r="844" spans="7:14" x14ac:dyDescent="0.2">
      <c r="G844" s="538">
        <f t="shared" si="106"/>
        <v>129674.39503102977</v>
      </c>
      <c r="H844" s="539">
        <f t="shared" si="105"/>
        <v>0.98018245657861769</v>
      </c>
      <c r="I844" s="540">
        <f t="shared" si="107"/>
        <v>129280.03922843978</v>
      </c>
      <c r="J844" s="534">
        <f t="shared" si="108"/>
        <v>0.98015597187177661</v>
      </c>
      <c r="K844" s="538">
        <f t="shared" si="109"/>
        <v>128259.38080919179</v>
      </c>
      <c r="L844" s="539">
        <f t="shared" si="110"/>
        <v>0.98008688146888179</v>
      </c>
      <c r="M844" s="540">
        <f t="shared" si="111"/>
        <v>153028.25092727627</v>
      </c>
      <c r="N844" s="534">
        <f t="shared" si="112"/>
        <v>0.98157004050277652</v>
      </c>
    </row>
    <row r="845" spans="7:14" x14ac:dyDescent="0.2">
      <c r="G845" s="538">
        <f t="shared" si="106"/>
        <v>129674.39503102977</v>
      </c>
      <c r="H845" s="539">
        <f t="shared" si="105"/>
        <v>0.98018245657861769</v>
      </c>
      <c r="I845" s="540">
        <f t="shared" si="107"/>
        <v>129280.03922843978</v>
      </c>
      <c r="J845" s="534">
        <f t="shared" si="108"/>
        <v>0.98015597187177661</v>
      </c>
      <c r="K845" s="538">
        <f t="shared" si="109"/>
        <v>128259.38080919179</v>
      </c>
      <c r="L845" s="539">
        <f t="shared" si="110"/>
        <v>0.98008688146888179</v>
      </c>
      <c r="M845" s="540">
        <f t="shared" si="111"/>
        <v>153028.25092727627</v>
      </c>
      <c r="N845" s="534">
        <f t="shared" si="112"/>
        <v>0.98157004050277652</v>
      </c>
    </row>
    <row r="846" spans="7:14" x14ac:dyDescent="0.2">
      <c r="G846" s="538">
        <f t="shared" si="106"/>
        <v>129674.39503102977</v>
      </c>
      <c r="H846" s="539">
        <f t="shared" si="105"/>
        <v>0.98018245657861769</v>
      </c>
      <c r="I846" s="540">
        <f t="shared" si="107"/>
        <v>129280.03922843978</v>
      </c>
      <c r="J846" s="534">
        <f t="shared" si="108"/>
        <v>0.98015597187177661</v>
      </c>
      <c r="K846" s="538">
        <f t="shared" si="109"/>
        <v>128259.38080919179</v>
      </c>
      <c r="L846" s="539">
        <f t="shared" si="110"/>
        <v>0.98008688146888179</v>
      </c>
      <c r="M846" s="540">
        <f t="shared" si="111"/>
        <v>153028.25092727627</v>
      </c>
      <c r="N846" s="534">
        <f t="shared" si="112"/>
        <v>0.98157004050277652</v>
      </c>
    </row>
    <row r="847" spans="7:14" x14ac:dyDescent="0.2">
      <c r="G847" s="538">
        <f t="shared" si="106"/>
        <v>129674.39503102977</v>
      </c>
      <c r="H847" s="539">
        <f t="shared" si="105"/>
        <v>0.98018245657861769</v>
      </c>
      <c r="I847" s="540">
        <f t="shared" si="107"/>
        <v>129280.03922843978</v>
      </c>
      <c r="J847" s="534">
        <f t="shared" si="108"/>
        <v>0.98015597187177661</v>
      </c>
      <c r="K847" s="538">
        <f t="shared" si="109"/>
        <v>128259.38080919179</v>
      </c>
      <c r="L847" s="539">
        <f t="shared" si="110"/>
        <v>0.98008688146888179</v>
      </c>
      <c r="M847" s="540">
        <f t="shared" si="111"/>
        <v>153028.25092727627</v>
      </c>
      <c r="N847" s="534">
        <f t="shared" si="112"/>
        <v>0.98157004050277652</v>
      </c>
    </row>
    <row r="848" spans="7:14" x14ac:dyDescent="0.2">
      <c r="G848" s="538">
        <f t="shared" si="106"/>
        <v>129674.39503102977</v>
      </c>
      <c r="H848" s="539">
        <f t="shared" si="105"/>
        <v>0.98018245657861769</v>
      </c>
      <c r="I848" s="540">
        <f t="shared" si="107"/>
        <v>129280.03922843978</v>
      </c>
      <c r="J848" s="534">
        <f t="shared" si="108"/>
        <v>0.98015597187177661</v>
      </c>
      <c r="K848" s="538">
        <f t="shared" si="109"/>
        <v>128259.38080919179</v>
      </c>
      <c r="L848" s="539">
        <f t="shared" si="110"/>
        <v>0.98008688146888179</v>
      </c>
      <c r="M848" s="540">
        <f t="shared" si="111"/>
        <v>153028.25092727627</v>
      </c>
      <c r="N848" s="534">
        <f t="shared" si="112"/>
        <v>0.98157004050277652</v>
      </c>
    </row>
    <row r="849" spans="7:14" x14ac:dyDescent="0.2">
      <c r="G849" s="538">
        <f t="shared" si="106"/>
        <v>129674.39503102977</v>
      </c>
      <c r="H849" s="539">
        <f t="shared" si="105"/>
        <v>0.98018245657861769</v>
      </c>
      <c r="I849" s="540">
        <f t="shared" si="107"/>
        <v>129280.03922843978</v>
      </c>
      <c r="J849" s="534">
        <f t="shared" si="108"/>
        <v>0.98015597187177661</v>
      </c>
      <c r="K849" s="538">
        <f t="shared" si="109"/>
        <v>128259.38080919179</v>
      </c>
      <c r="L849" s="539">
        <f t="shared" si="110"/>
        <v>0.98008688146888179</v>
      </c>
      <c r="M849" s="540">
        <f t="shared" si="111"/>
        <v>153028.25092727627</v>
      </c>
      <c r="N849" s="534">
        <f t="shared" si="112"/>
        <v>0.98157004050277652</v>
      </c>
    </row>
    <row r="850" spans="7:14" x14ac:dyDescent="0.2">
      <c r="G850" s="538">
        <f t="shared" si="106"/>
        <v>129674.39503102977</v>
      </c>
      <c r="H850" s="539">
        <f t="shared" si="105"/>
        <v>0.98018245657861769</v>
      </c>
      <c r="I850" s="540">
        <f t="shared" si="107"/>
        <v>129280.03922843978</v>
      </c>
      <c r="J850" s="534">
        <f t="shared" si="108"/>
        <v>0.98015597187177661</v>
      </c>
      <c r="K850" s="538">
        <f t="shared" si="109"/>
        <v>128259.38080919179</v>
      </c>
      <c r="L850" s="539">
        <f t="shared" si="110"/>
        <v>0.98008688146888179</v>
      </c>
      <c r="M850" s="540">
        <f t="shared" si="111"/>
        <v>153028.25092727627</v>
      </c>
      <c r="N850" s="534">
        <f t="shared" si="112"/>
        <v>0.98157004050277652</v>
      </c>
    </row>
    <row r="851" spans="7:14" x14ac:dyDescent="0.2">
      <c r="G851" s="538">
        <f t="shared" si="106"/>
        <v>129674.39503102977</v>
      </c>
      <c r="H851" s="539">
        <f t="shared" si="105"/>
        <v>0.98018245657861769</v>
      </c>
      <c r="I851" s="540">
        <f t="shared" si="107"/>
        <v>129280.03922843978</v>
      </c>
      <c r="J851" s="534">
        <f t="shared" si="108"/>
        <v>0.98015597187177661</v>
      </c>
      <c r="K851" s="538">
        <f t="shared" si="109"/>
        <v>128259.38080919179</v>
      </c>
      <c r="L851" s="539">
        <f t="shared" si="110"/>
        <v>0.98008688146888179</v>
      </c>
      <c r="M851" s="540">
        <f t="shared" si="111"/>
        <v>153028.25092727627</v>
      </c>
      <c r="N851" s="534">
        <f t="shared" si="112"/>
        <v>0.98157004050277652</v>
      </c>
    </row>
    <row r="852" spans="7:14" x14ac:dyDescent="0.2">
      <c r="G852" s="538">
        <f t="shared" si="106"/>
        <v>129674.39503102977</v>
      </c>
      <c r="H852" s="539">
        <f t="shared" si="105"/>
        <v>0.98018245657861769</v>
      </c>
      <c r="I852" s="540">
        <f t="shared" si="107"/>
        <v>129280.03922843978</v>
      </c>
      <c r="J852" s="534">
        <f t="shared" si="108"/>
        <v>0.98015597187177661</v>
      </c>
      <c r="K852" s="538">
        <f t="shared" si="109"/>
        <v>128259.38080919179</v>
      </c>
      <c r="L852" s="539">
        <f t="shared" si="110"/>
        <v>0.98008688146888179</v>
      </c>
      <c r="M852" s="540">
        <f t="shared" si="111"/>
        <v>153028.25092727627</v>
      </c>
      <c r="N852" s="534">
        <f t="shared" si="112"/>
        <v>0.98157004050277652</v>
      </c>
    </row>
    <row r="853" spans="7:14" x14ac:dyDescent="0.2">
      <c r="G853" s="538">
        <f t="shared" si="106"/>
        <v>129674.39503102977</v>
      </c>
      <c r="H853" s="539">
        <f t="shared" si="105"/>
        <v>0.98018245657861769</v>
      </c>
      <c r="I853" s="540">
        <f t="shared" si="107"/>
        <v>129280.03922843978</v>
      </c>
      <c r="J853" s="534">
        <f t="shared" si="108"/>
        <v>0.98015597187177661</v>
      </c>
      <c r="K853" s="538">
        <f t="shared" si="109"/>
        <v>128259.38080919179</v>
      </c>
      <c r="L853" s="539">
        <f t="shared" si="110"/>
        <v>0.98008688146888179</v>
      </c>
      <c r="M853" s="540">
        <f t="shared" si="111"/>
        <v>153028.25092727627</v>
      </c>
      <c r="N853" s="534">
        <f t="shared" si="112"/>
        <v>0.98157004050277652</v>
      </c>
    </row>
    <row r="854" spans="7:14" x14ac:dyDescent="0.2">
      <c r="G854" s="538">
        <f t="shared" si="106"/>
        <v>129674.39503102977</v>
      </c>
      <c r="H854" s="539">
        <f t="shared" si="105"/>
        <v>0.98018245657861769</v>
      </c>
      <c r="I854" s="540">
        <f t="shared" si="107"/>
        <v>129280.03922843978</v>
      </c>
      <c r="J854" s="534">
        <f t="shared" si="108"/>
        <v>0.98015597187177661</v>
      </c>
      <c r="K854" s="538">
        <f t="shared" si="109"/>
        <v>128259.38080919179</v>
      </c>
      <c r="L854" s="539">
        <f t="shared" si="110"/>
        <v>0.98008688146888179</v>
      </c>
      <c r="M854" s="540">
        <f t="shared" si="111"/>
        <v>153028.25092727627</v>
      </c>
      <c r="N854" s="534">
        <f t="shared" si="112"/>
        <v>0.98157004050277652</v>
      </c>
    </row>
    <row r="855" spans="7:14" x14ac:dyDescent="0.2">
      <c r="G855" s="538">
        <f t="shared" si="106"/>
        <v>129674.39503102977</v>
      </c>
      <c r="H855" s="539">
        <f t="shared" si="105"/>
        <v>0.98018245657861769</v>
      </c>
      <c r="I855" s="540">
        <f t="shared" si="107"/>
        <v>129280.03922843978</v>
      </c>
      <c r="J855" s="534">
        <f t="shared" si="108"/>
        <v>0.98015597187177661</v>
      </c>
      <c r="K855" s="538">
        <f t="shared" si="109"/>
        <v>128259.38080919179</v>
      </c>
      <c r="L855" s="539">
        <f t="shared" si="110"/>
        <v>0.98008688146888179</v>
      </c>
      <c r="M855" s="540">
        <f t="shared" si="111"/>
        <v>153028.25092727627</v>
      </c>
      <c r="N855" s="534">
        <f t="shared" si="112"/>
        <v>0.98157004050277652</v>
      </c>
    </row>
    <row r="856" spans="7:14" x14ac:dyDescent="0.2">
      <c r="G856" s="538">
        <f t="shared" si="106"/>
        <v>129674.39503102977</v>
      </c>
      <c r="H856" s="539">
        <f t="shared" si="105"/>
        <v>0.98018245657861769</v>
      </c>
      <c r="I856" s="540">
        <f t="shared" si="107"/>
        <v>129280.03922843978</v>
      </c>
      <c r="J856" s="534">
        <f t="shared" si="108"/>
        <v>0.98015597187177661</v>
      </c>
      <c r="K856" s="538">
        <f t="shared" si="109"/>
        <v>128259.38080919179</v>
      </c>
      <c r="L856" s="539">
        <f t="shared" si="110"/>
        <v>0.98008688146888179</v>
      </c>
      <c r="M856" s="540">
        <f t="shared" si="111"/>
        <v>153028.25092727627</v>
      </c>
      <c r="N856" s="534">
        <f t="shared" si="112"/>
        <v>0.98157004050277652</v>
      </c>
    </row>
    <row r="857" spans="7:14" x14ac:dyDescent="0.2">
      <c r="G857" s="538">
        <f t="shared" si="106"/>
        <v>129674.39503102977</v>
      </c>
      <c r="H857" s="539">
        <f t="shared" si="105"/>
        <v>0.98018245657861769</v>
      </c>
      <c r="I857" s="540">
        <f t="shared" si="107"/>
        <v>129280.03922843978</v>
      </c>
      <c r="J857" s="534">
        <f t="shared" si="108"/>
        <v>0.98015597187177661</v>
      </c>
      <c r="K857" s="538">
        <f t="shared" si="109"/>
        <v>128259.38080919179</v>
      </c>
      <c r="L857" s="539">
        <f t="shared" si="110"/>
        <v>0.98008688146888179</v>
      </c>
      <c r="M857" s="540">
        <f t="shared" si="111"/>
        <v>153028.25092727627</v>
      </c>
      <c r="N857" s="534">
        <f t="shared" si="112"/>
        <v>0.98157004050277652</v>
      </c>
    </row>
    <row r="858" spans="7:14" x14ac:dyDescent="0.2">
      <c r="G858" s="538">
        <f t="shared" si="106"/>
        <v>129674.39503102977</v>
      </c>
      <c r="H858" s="539">
        <f t="shared" si="105"/>
        <v>0.98018245657861769</v>
      </c>
      <c r="I858" s="540">
        <f t="shared" si="107"/>
        <v>129280.03922843978</v>
      </c>
      <c r="J858" s="534">
        <f t="shared" si="108"/>
        <v>0.98015597187177661</v>
      </c>
      <c r="K858" s="538">
        <f t="shared" si="109"/>
        <v>128259.38080919179</v>
      </c>
      <c r="L858" s="539">
        <f t="shared" si="110"/>
        <v>0.98008688146888179</v>
      </c>
      <c r="M858" s="540">
        <f t="shared" si="111"/>
        <v>153028.25092727627</v>
      </c>
      <c r="N858" s="534">
        <f t="shared" si="112"/>
        <v>0.98157004050277652</v>
      </c>
    </row>
    <row r="859" spans="7:14" x14ac:dyDescent="0.2">
      <c r="G859" s="538">
        <f t="shared" si="106"/>
        <v>129674.39503102977</v>
      </c>
      <c r="H859" s="539">
        <f t="shared" si="105"/>
        <v>0.98018245657861769</v>
      </c>
      <c r="I859" s="540">
        <f t="shared" si="107"/>
        <v>129280.03922843978</v>
      </c>
      <c r="J859" s="534">
        <f t="shared" si="108"/>
        <v>0.98015597187177661</v>
      </c>
      <c r="K859" s="538">
        <f t="shared" si="109"/>
        <v>128259.38080919179</v>
      </c>
      <c r="L859" s="539">
        <f t="shared" si="110"/>
        <v>0.98008688146888179</v>
      </c>
      <c r="M859" s="540">
        <f t="shared" si="111"/>
        <v>153028.25092727627</v>
      </c>
      <c r="N859" s="534">
        <f t="shared" si="112"/>
        <v>0.98157004050277652</v>
      </c>
    </row>
    <row r="860" spans="7:14" x14ac:dyDescent="0.2">
      <c r="G860" s="538">
        <f t="shared" si="106"/>
        <v>129674.39503102977</v>
      </c>
      <c r="H860" s="539">
        <f t="shared" si="105"/>
        <v>0.98018245657861769</v>
      </c>
      <c r="I860" s="540">
        <f t="shared" si="107"/>
        <v>129280.03922843978</v>
      </c>
      <c r="J860" s="534">
        <f t="shared" si="108"/>
        <v>0.98015597187177661</v>
      </c>
      <c r="K860" s="538">
        <f t="shared" si="109"/>
        <v>128259.38080919179</v>
      </c>
      <c r="L860" s="539">
        <f t="shared" si="110"/>
        <v>0.98008688146888179</v>
      </c>
      <c r="M860" s="540">
        <f t="shared" si="111"/>
        <v>153028.25092727627</v>
      </c>
      <c r="N860" s="534">
        <f t="shared" si="112"/>
        <v>0.98157004050277652</v>
      </c>
    </row>
    <row r="861" spans="7:14" x14ac:dyDescent="0.2">
      <c r="G861" s="538">
        <f t="shared" si="106"/>
        <v>129674.39503102977</v>
      </c>
      <c r="H861" s="539">
        <f t="shared" si="105"/>
        <v>0.98018245657861769</v>
      </c>
      <c r="I861" s="540">
        <f t="shared" si="107"/>
        <v>129280.03922843978</v>
      </c>
      <c r="J861" s="534">
        <f t="shared" si="108"/>
        <v>0.98015597187177661</v>
      </c>
      <c r="K861" s="538">
        <f t="shared" si="109"/>
        <v>128259.38080919179</v>
      </c>
      <c r="L861" s="539">
        <f t="shared" si="110"/>
        <v>0.98008688146888179</v>
      </c>
      <c r="M861" s="540">
        <f t="shared" si="111"/>
        <v>153028.25092727627</v>
      </c>
      <c r="N861" s="534">
        <f t="shared" si="112"/>
        <v>0.98157004050277652</v>
      </c>
    </row>
    <row r="862" spans="7:14" x14ac:dyDescent="0.2">
      <c r="G862" s="538">
        <f t="shared" si="106"/>
        <v>129674.39503102977</v>
      </c>
      <c r="H862" s="539">
        <f t="shared" si="105"/>
        <v>0.98018245657861769</v>
      </c>
      <c r="I862" s="540">
        <f t="shared" si="107"/>
        <v>129280.03922843978</v>
      </c>
      <c r="J862" s="534">
        <f t="shared" si="108"/>
        <v>0.98015597187177661</v>
      </c>
      <c r="K862" s="538">
        <f t="shared" si="109"/>
        <v>128259.38080919179</v>
      </c>
      <c r="L862" s="539">
        <f t="shared" si="110"/>
        <v>0.98008688146888179</v>
      </c>
      <c r="M862" s="540">
        <f t="shared" si="111"/>
        <v>153028.25092727627</v>
      </c>
      <c r="N862" s="534">
        <f t="shared" si="112"/>
        <v>0.98157004050277652</v>
      </c>
    </row>
    <row r="863" spans="7:14" x14ac:dyDescent="0.2">
      <c r="G863" s="538">
        <f t="shared" si="106"/>
        <v>129674.39503102977</v>
      </c>
      <c r="H863" s="539">
        <f t="shared" si="105"/>
        <v>0.98018245657861769</v>
      </c>
      <c r="I863" s="540">
        <f t="shared" si="107"/>
        <v>129280.03922843978</v>
      </c>
      <c r="J863" s="534">
        <f t="shared" si="108"/>
        <v>0.98015597187177661</v>
      </c>
      <c r="K863" s="538">
        <f t="shared" si="109"/>
        <v>128259.38080919179</v>
      </c>
      <c r="L863" s="539">
        <f t="shared" si="110"/>
        <v>0.98008688146888179</v>
      </c>
      <c r="M863" s="540">
        <f t="shared" si="111"/>
        <v>153028.25092727627</v>
      </c>
      <c r="N863" s="534">
        <f t="shared" si="112"/>
        <v>0.98157004050277652</v>
      </c>
    </row>
    <row r="864" spans="7:14" x14ac:dyDescent="0.2">
      <c r="G864" s="538">
        <f t="shared" si="106"/>
        <v>129674.39503102977</v>
      </c>
      <c r="H864" s="539">
        <f t="shared" si="105"/>
        <v>0.98018245657861769</v>
      </c>
      <c r="I864" s="540">
        <f t="shared" si="107"/>
        <v>129280.03922843978</v>
      </c>
      <c r="J864" s="534">
        <f t="shared" si="108"/>
        <v>0.98015597187177661</v>
      </c>
      <c r="K864" s="538">
        <f t="shared" si="109"/>
        <v>128259.38080919179</v>
      </c>
      <c r="L864" s="539">
        <f t="shared" si="110"/>
        <v>0.98008688146888179</v>
      </c>
      <c r="M864" s="540">
        <f t="shared" si="111"/>
        <v>153028.25092727627</v>
      </c>
      <c r="N864" s="534">
        <f t="shared" si="112"/>
        <v>0.98157004050277652</v>
      </c>
    </row>
    <row r="865" spans="7:14" x14ac:dyDescent="0.2">
      <c r="G865" s="538">
        <f t="shared" si="106"/>
        <v>129674.39503102977</v>
      </c>
      <c r="H865" s="539">
        <f t="shared" si="105"/>
        <v>0.98018245657861769</v>
      </c>
      <c r="I865" s="540">
        <f t="shared" si="107"/>
        <v>129280.03922843978</v>
      </c>
      <c r="J865" s="534">
        <f t="shared" si="108"/>
        <v>0.98015597187177661</v>
      </c>
      <c r="K865" s="538">
        <f t="shared" si="109"/>
        <v>128259.38080919179</v>
      </c>
      <c r="L865" s="539">
        <f t="shared" si="110"/>
        <v>0.98008688146888179</v>
      </c>
      <c r="M865" s="540">
        <f t="shared" si="111"/>
        <v>153028.25092727627</v>
      </c>
      <c r="N865" s="534">
        <f t="shared" si="112"/>
        <v>0.98157004050277652</v>
      </c>
    </row>
    <row r="866" spans="7:14" x14ac:dyDescent="0.2">
      <c r="G866" s="538">
        <f t="shared" si="106"/>
        <v>129674.39503102977</v>
      </c>
      <c r="H866" s="539">
        <f t="shared" si="105"/>
        <v>0.98018245657861769</v>
      </c>
      <c r="I866" s="540">
        <f t="shared" si="107"/>
        <v>129280.03922843978</v>
      </c>
      <c r="J866" s="534">
        <f t="shared" si="108"/>
        <v>0.98015597187177661</v>
      </c>
      <c r="K866" s="538">
        <f t="shared" si="109"/>
        <v>128259.38080919179</v>
      </c>
      <c r="L866" s="539">
        <f t="shared" si="110"/>
        <v>0.98008688146888179</v>
      </c>
      <c r="M866" s="540">
        <f t="shared" si="111"/>
        <v>153028.25092727627</v>
      </c>
      <c r="N866" s="534">
        <f t="shared" si="112"/>
        <v>0.98157004050277652</v>
      </c>
    </row>
    <row r="867" spans="7:14" x14ac:dyDescent="0.2">
      <c r="G867" s="538">
        <f t="shared" si="106"/>
        <v>129674.39503102977</v>
      </c>
      <c r="H867" s="539">
        <f t="shared" si="105"/>
        <v>0.98018245657861769</v>
      </c>
      <c r="I867" s="540">
        <f t="shared" si="107"/>
        <v>129280.03922843978</v>
      </c>
      <c r="J867" s="534">
        <f t="shared" si="108"/>
        <v>0.98015597187177661</v>
      </c>
      <c r="K867" s="538">
        <f t="shared" si="109"/>
        <v>128259.38080919179</v>
      </c>
      <c r="L867" s="539">
        <f t="shared" si="110"/>
        <v>0.98008688146888179</v>
      </c>
      <c r="M867" s="540">
        <f t="shared" si="111"/>
        <v>153028.25092727627</v>
      </c>
      <c r="N867" s="534">
        <f t="shared" si="112"/>
        <v>0.98157004050277652</v>
      </c>
    </row>
    <row r="868" spans="7:14" x14ac:dyDescent="0.2">
      <c r="G868" s="538">
        <f t="shared" si="106"/>
        <v>129674.39503102977</v>
      </c>
      <c r="H868" s="539">
        <f t="shared" si="105"/>
        <v>0.98018245657861769</v>
      </c>
      <c r="I868" s="540">
        <f t="shared" si="107"/>
        <v>129280.03922843978</v>
      </c>
      <c r="J868" s="534">
        <f t="shared" si="108"/>
        <v>0.98015597187177661</v>
      </c>
      <c r="K868" s="538">
        <f t="shared" si="109"/>
        <v>128259.38080919179</v>
      </c>
      <c r="L868" s="539">
        <f t="shared" si="110"/>
        <v>0.98008688146888179</v>
      </c>
      <c r="M868" s="540">
        <f t="shared" si="111"/>
        <v>153028.25092727627</v>
      </c>
      <c r="N868" s="534">
        <f t="shared" si="112"/>
        <v>0.98157004050277652</v>
      </c>
    </row>
    <row r="869" spans="7:14" x14ac:dyDescent="0.2">
      <c r="G869" s="538">
        <f t="shared" si="106"/>
        <v>129674.39503102977</v>
      </c>
      <c r="H869" s="539">
        <f t="shared" si="105"/>
        <v>0.98018245657861769</v>
      </c>
      <c r="I869" s="540">
        <f t="shared" si="107"/>
        <v>129280.03922843978</v>
      </c>
      <c r="J869" s="534">
        <f t="shared" si="108"/>
        <v>0.98015597187177661</v>
      </c>
      <c r="K869" s="538">
        <f t="shared" si="109"/>
        <v>128259.38080919179</v>
      </c>
      <c r="L869" s="539">
        <f t="shared" si="110"/>
        <v>0.98008688146888179</v>
      </c>
      <c r="M869" s="540">
        <f t="shared" si="111"/>
        <v>153028.25092727627</v>
      </c>
      <c r="N869" s="534">
        <f t="shared" si="112"/>
        <v>0.98157004050277652</v>
      </c>
    </row>
    <row r="870" spans="7:14" x14ac:dyDescent="0.2">
      <c r="G870" s="538">
        <f t="shared" si="106"/>
        <v>129674.39503102977</v>
      </c>
      <c r="H870" s="539">
        <f t="shared" si="105"/>
        <v>0.98018245657861769</v>
      </c>
      <c r="I870" s="540">
        <f t="shared" si="107"/>
        <v>129280.03922843978</v>
      </c>
      <c r="J870" s="534">
        <f t="shared" si="108"/>
        <v>0.98015597187177661</v>
      </c>
      <c r="K870" s="538">
        <f t="shared" si="109"/>
        <v>128259.38080919179</v>
      </c>
      <c r="L870" s="539">
        <f t="shared" si="110"/>
        <v>0.98008688146888179</v>
      </c>
      <c r="M870" s="540">
        <f t="shared" si="111"/>
        <v>153028.25092727627</v>
      </c>
      <c r="N870" s="534">
        <f t="shared" si="112"/>
        <v>0.98157004050277652</v>
      </c>
    </row>
    <row r="871" spans="7:14" x14ac:dyDescent="0.2">
      <c r="G871" s="538">
        <f t="shared" si="106"/>
        <v>129674.39503102977</v>
      </c>
      <c r="H871" s="539">
        <f t="shared" si="105"/>
        <v>0.98018245657861769</v>
      </c>
      <c r="I871" s="540">
        <f t="shared" si="107"/>
        <v>129280.03922843978</v>
      </c>
      <c r="J871" s="534">
        <f t="shared" si="108"/>
        <v>0.98015597187177661</v>
      </c>
      <c r="K871" s="538">
        <f t="shared" si="109"/>
        <v>128259.38080919179</v>
      </c>
      <c r="L871" s="539">
        <f t="shared" si="110"/>
        <v>0.98008688146888179</v>
      </c>
      <c r="M871" s="540">
        <f t="shared" si="111"/>
        <v>153028.25092727627</v>
      </c>
      <c r="N871" s="534">
        <f t="shared" si="112"/>
        <v>0.98157004050277652</v>
      </c>
    </row>
    <row r="872" spans="7:14" x14ac:dyDescent="0.2">
      <c r="G872" s="538">
        <f t="shared" si="106"/>
        <v>129674.39503102977</v>
      </c>
      <c r="H872" s="539">
        <f t="shared" si="105"/>
        <v>0.98018245657861769</v>
      </c>
      <c r="I872" s="540">
        <f t="shared" si="107"/>
        <v>129280.03922843978</v>
      </c>
      <c r="J872" s="534">
        <f t="shared" si="108"/>
        <v>0.98015597187177661</v>
      </c>
      <c r="K872" s="538">
        <f t="shared" si="109"/>
        <v>128259.38080919179</v>
      </c>
      <c r="L872" s="539">
        <f t="shared" si="110"/>
        <v>0.98008688146888179</v>
      </c>
      <c r="M872" s="540">
        <f t="shared" si="111"/>
        <v>153028.25092727627</v>
      </c>
      <c r="N872" s="534">
        <f t="shared" si="112"/>
        <v>0.98157004050277652</v>
      </c>
    </row>
    <row r="873" spans="7:14" x14ac:dyDescent="0.2">
      <c r="G873" s="538">
        <f t="shared" si="106"/>
        <v>129674.39503102977</v>
      </c>
      <c r="H873" s="539">
        <f t="shared" si="105"/>
        <v>0.98018245657861769</v>
      </c>
      <c r="I873" s="540">
        <f t="shared" si="107"/>
        <v>129280.03922843978</v>
      </c>
      <c r="J873" s="534">
        <f t="shared" si="108"/>
        <v>0.98015597187177661</v>
      </c>
      <c r="K873" s="538">
        <f t="shared" si="109"/>
        <v>128259.38080919179</v>
      </c>
      <c r="L873" s="539">
        <f t="shared" si="110"/>
        <v>0.98008688146888179</v>
      </c>
      <c r="M873" s="540">
        <f t="shared" si="111"/>
        <v>153028.25092727627</v>
      </c>
      <c r="N873" s="534">
        <f t="shared" si="112"/>
        <v>0.98157004050277652</v>
      </c>
    </row>
    <row r="874" spans="7:14" x14ac:dyDescent="0.2">
      <c r="G874" s="538">
        <f t="shared" si="106"/>
        <v>129674.39503102977</v>
      </c>
      <c r="H874" s="539">
        <f t="shared" si="105"/>
        <v>0.98018245657861769</v>
      </c>
      <c r="I874" s="540">
        <f t="shared" si="107"/>
        <v>129280.03922843978</v>
      </c>
      <c r="J874" s="534">
        <f t="shared" si="108"/>
        <v>0.98015597187177661</v>
      </c>
      <c r="K874" s="538">
        <f t="shared" si="109"/>
        <v>128259.38080919179</v>
      </c>
      <c r="L874" s="539">
        <f t="shared" si="110"/>
        <v>0.98008688146888179</v>
      </c>
      <c r="M874" s="540">
        <f t="shared" si="111"/>
        <v>153028.25092727627</v>
      </c>
      <c r="N874" s="534">
        <f t="shared" si="112"/>
        <v>0.98157004050277652</v>
      </c>
    </row>
    <row r="875" spans="7:14" x14ac:dyDescent="0.2">
      <c r="G875" s="538">
        <f t="shared" si="106"/>
        <v>129674.39503102977</v>
      </c>
      <c r="H875" s="539">
        <f t="shared" si="105"/>
        <v>0.98018245657861769</v>
      </c>
      <c r="I875" s="540">
        <f t="shared" si="107"/>
        <v>129280.03922843978</v>
      </c>
      <c r="J875" s="534">
        <f t="shared" si="108"/>
        <v>0.98015597187177661</v>
      </c>
      <c r="K875" s="538">
        <f t="shared" si="109"/>
        <v>128259.38080919179</v>
      </c>
      <c r="L875" s="539">
        <f t="shared" si="110"/>
        <v>0.98008688146888179</v>
      </c>
      <c r="M875" s="540">
        <f t="shared" si="111"/>
        <v>153028.25092727627</v>
      </c>
      <c r="N875" s="534">
        <f t="shared" si="112"/>
        <v>0.98157004050277652</v>
      </c>
    </row>
    <row r="876" spans="7:14" x14ac:dyDescent="0.2">
      <c r="G876" s="538">
        <f t="shared" si="106"/>
        <v>129674.39503102977</v>
      </c>
      <c r="H876" s="539">
        <f t="shared" si="105"/>
        <v>0.98018245657861769</v>
      </c>
      <c r="I876" s="540">
        <f t="shared" si="107"/>
        <v>129280.03922843978</v>
      </c>
      <c r="J876" s="534">
        <f t="shared" si="108"/>
        <v>0.98015597187177661</v>
      </c>
      <c r="K876" s="538">
        <f t="shared" si="109"/>
        <v>128259.38080919179</v>
      </c>
      <c r="L876" s="539">
        <f t="shared" si="110"/>
        <v>0.98008688146888179</v>
      </c>
      <c r="M876" s="540">
        <f t="shared" si="111"/>
        <v>153028.25092727627</v>
      </c>
      <c r="N876" s="534">
        <f t="shared" si="112"/>
        <v>0.98157004050277652</v>
      </c>
    </row>
    <row r="877" spans="7:14" x14ac:dyDescent="0.2">
      <c r="G877" s="538">
        <f t="shared" si="106"/>
        <v>129674.39503102977</v>
      </c>
      <c r="H877" s="539">
        <f t="shared" si="105"/>
        <v>0.98018245657861769</v>
      </c>
      <c r="I877" s="540">
        <f t="shared" si="107"/>
        <v>129280.03922843978</v>
      </c>
      <c r="J877" s="534">
        <f t="shared" si="108"/>
        <v>0.98015597187177661</v>
      </c>
      <c r="K877" s="538">
        <f t="shared" si="109"/>
        <v>128259.38080919179</v>
      </c>
      <c r="L877" s="539">
        <f t="shared" si="110"/>
        <v>0.98008688146888179</v>
      </c>
      <c r="M877" s="540">
        <f t="shared" si="111"/>
        <v>153028.25092727627</v>
      </c>
      <c r="N877" s="534">
        <f t="shared" si="112"/>
        <v>0.98157004050277652</v>
      </c>
    </row>
    <row r="878" spans="7:14" x14ac:dyDescent="0.2">
      <c r="G878" s="538">
        <f t="shared" si="106"/>
        <v>129674.39503102977</v>
      </c>
      <c r="H878" s="539">
        <f t="shared" si="105"/>
        <v>0.98018245657861769</v>
      </c>
      <c r="I878" s="540">
        <f t="shared" si="107"/>
        <v>129280.03922843978</v>
      </c>
      <c r="J878" s="534">
        <f t="shared" si="108"/>
        <v>0.98015597187177661</v>
      </c>
      <c r="K878" s="538">
        <f t="shared" si="109"/>
        <v>128259.38080919179</v>
      </c>
      <c r="L878" s="539">
        <f t="shared" si="110"/>
        <v>0.98008688146888179</v>
      </c>
      <c r="M878" s="540">
        <f t="shared" si="111"/>
        <v>153028.25092727627</v>
      </c>
      <c r="N878" s="534">
        <f t="shared" si="112"/>
        <v>0.98157004050277652</v>
      </c>
    </row>
    <row r="879" spans="7:14" x14ac:dyDescent="0.2">
      <c r="G879" s="538">
        <f t="shared" si="106"/>
        <v>129674.39503102977</v>
      </c>
      <c r="H879" s="539">
        <f t="shared" si="105"/>
        <v>0.98018245657861769</v>
      </c>
      <c r="I879" s="540">
        <f t="shared" si="107"/>
        <v>129280.03922843978</v>
      </c>
      <c r="J879" s="534">
        <f t="shared" si="108"/>
        <v>0.98015597187177661</v>
      </c>
      <c r="K879" s="538">
        <f t="shared" si="109"/>
        <v>128259.38080919179</v>
      </c>
      <c r="L879" s="539">
        <f t="shared" si="110"/>
        <v>0.98008688146888179</v>
      </c>
      <c r="M879" s="540">
        <f t="shared" si="111"/>
        <v>153028.25092727627</v>
      </c>
      <c r="N879" s="534">
        <f t="shared" si="112"/>
        <v>0.98157004050277652</v>
      </c>
    </row>
    <row r="880" spans="7:14" x14ac:dyDescent="0.2">
      <c r="G880" s="538">
        <f t="shared" si="106"/>
        <v>129674.39503102977</v>
      </c>
      <c r="H880" s="539">
        <f t="shared" si="105"/>
        <v>0.98018245657861769</v>
      </c>
      <c r="I880" s="540">
        <f t="shared" si="107"/>
        <v>129280.03922843978</v>
      </c>
      <c r="J880" s="534">
        <f t="shared" si="108"/>
        <v>0.98015597187177661</v>
      </c>
      <c r="K880" s="538">
        <f t="shared" si="109"/>
        <v>128259.38080919179</v>
      </c>
      <c r="L880" s="539">
        <f t="shared" si="110"/>
        <v>0.98008688146888179</v>
      </c>
      <c r="M880" s="540">
        <f t="shared" si="111"/>
        <v>153028.25092727627</v>
      </c>
      <c r="N880" s="534">
        <f t="shared" si="112"/>
        <v>0.98157004050277652</v>
      </c>
    </row>
    <row r="881" spans="7:14" x14ac:dyDescent="0.2">
      <c r="G881" s="538">
        <f t="shared" si="106"/>
        <v>129674.39503102977</v>
      </c>
      <c r="H881" s="539">
        <f t="shared" si="105"/>
        <v>0.98018245657861769</v>
      </c>
      <c r="I881" s="540">
        <f t="shared" si="107"/>
        <v>129280.03922843978</v>
      </c>
      <c r="J881" s="534">
        <f t="shared" si="108"/>
        <v>0.98015597187177661</v>
      </c>
      <c r="K881" s="538">
        <f t="shared" si="109"/>
        <v>128259.38080919179</v>
      </c>
      <c r="L881" s="539">
        <f t="shared" si="110"/>
        <v>0.98008688146888179</v>
      </c>
      <c r="M881" s="540">
        <f t="shared" si="111"/>
        <v>153028.25092727627</v>
      </c>
      <c r="N881" s="534">
        <f t="shared" si="112"/>
        <v>0.98157004050277652</v>
      </c>
    </row>
    <row r="882" spans="7:14" x14ac:dyDescent="0.2">
      <c r="G882" s="538">
        <f t="shared" si="106"/>
        <v>129674.39503102977</v>
      </c>
      <c r="H882" s="539">
        <f t="shared" si="105"/>
        <v>0.98018245657861769</v>
      </c>
      <c r="I882" s="540">
        <f t="shared" si="107"/>
        <v>129280.03922843978</v>
      </c>
      <c r="J882" s="534">
        <f t="shared" si="108"/>
        <v>0.98015597187177661</v>
      </c>
      <c r="K882" s="538">
        <f t="shared" si="109"/>
        <v>128259.38080919179</v>
      </c>
      <c r="L882" s="539">
        <f t="shared" si="110"/>
        <v>0.98008688146888179</v>
      </c>
      <c r="M882" s="540">
        <f t="shared" si="111"/>
        <v>153028.25092727627</v>
      </c>
      <c r="N882" s="534">
        <f t="shared" si="112"/>
        <v>0.98157004050277652</v>
      </c>
    </row>
    <row r="883" spans="7:14" x14ac:dyDescent="0.2">
      <c r="G883" s="538">
        <f t="shared" si="106"/>
        <v>129674.39503102977</v>
      </c>
      <c r="H883" s="539">
        <f t="shared" si="105"/>
        <v>0.98018245657861769</v>
      </c>
      <c r="I883" s="540">
        <f t="shared" si="107"/>
        <v>129280.03922843978</v>
      </c>
      <c r="J883" s="534">
        <f t="shared" si="108"/>
        <v>0.98015597187177661</v>
      </c>
      <c r="K883" s="538">
        <f t="shared" si="109"/>
        <v>128259.38080919179</v>
      </c>
      <c r="L883" s="539">
        <f t="shared" si="110"/>
        <v>0.98008688146888179</v>
      </c>
      <c r="M883" s="540">
        <f t="shared" si="111"/>
        <v>153028.25092727627</v>
      </c>
      <c r="N883" s="534">
        <f t="shared" si="112"/>
        <v>0.98157004050277652</v>
      </c>
    </row>
    <row r="884" spans="7:14" x14ac:dyDescent="0.2">
      <c r="G884" s="538">
        <f t="shared" si="106"/>
        <v>129674.39503102977</v>
      </c>
      <c r="H884" s="539">
        <f t="shared" si="105"/>
        <v>0.98018245657861769</v>
      </c>
      <c r="I884" s="540">
        <f t="shared" si="107"/>
        <v>129280.03922843978</v>
      </c>
      <c r="J884" s="534">
        <f t="shared" si="108"/>
        <v>0.98015597187177661</v>
      </c>
      <c r="K884" s="538">
        <f t="shared" si="109"/>
        <v>128259.38080919179</v>
      </c>
      <c r="L884" s="539">
        <f t="shared" si="110"/>
        <v>0.98008688146888179</v>
      </c>
      <c r="M884" s="540">
        <f t="shared" si="111"/>
        <v>153028.25092727627</v>
      </c>
      <c r="N884" s="534">
        <f t="shared" si="112"/>
        <v>0.98157004050277652</v>
      </c>
    </row>
    <row r="885" spans="7:14" x14ac:dyDescent="0.2">
      <c r="G885" s="538">
        <f t="shared" si="106"/>
        <v>129674.39503102977</v>
      </c>
      <c r="H885" s="539">
        <f t="shared" si="105"/>
        <v>0.98018245657861769</v>
      </c>
      <c r="I885" s="540">
        <f t="shared" si="107"/>
        <v>129280.03922843978</v>
      </c>
      <c r="J885" s="534">
        <f t="shared" si="108"/>
        <v>0.98015597187177661</v>
      </c>
      <c r="K885" s="538">
        <f t="shared" si="109"/>
        <v>128259.38080919179</v>
      </c>
      <c r="L885" s="539">
        <f t="shared" si="110"/>
        <v>0.98008688146888179</v>
      </c>
      <c r="M885" s="540">
        <f t="shared" si="111"/>
        <v>153028.25092727627</v>
      </c>
      <c r="N885" s="534">
        <f t="shared" si="112"/>
        <v>0.98157004050277652</v>
      </c>
    </row>
    <row r="886" spans="7:14" x14ac:dyDescent="0.2">
      <c r="G886" s="538">
        <f t="shared" si="106"/>
        <v>129674.39503102977</v>
      </c>
      <c r="H886" s="539">
        <f t="shared" si="105"/>
        <v>0.98018245657861769</v>
      </c>
      <c r="I886" s="540">
        <f t="shared" si="107"/>
        <v>129280.03922843978</v>
      </c>
      <c r="J886" s="534">
        <f t="shared" si="108"/>
        <v>0.98015597187177661</v>
      </c>
      <c r="K886" s="538">
        <f t="shared" si="109"/>
        <v>128259.38080919179</v>
      </c>
      <c r="L886" s="539">
        <f t="shared" si="110"/>
        <v>0.98008688146888179</v>
      </c>
      <c r="M886" s="540">
        <f t="shared" si="111"/>
        <v>153028.25092727627</v>
      </c>
      <c r="N886" s="534">
        <f t="shared" si="112"/>
        <v>0.98157004050277652</v>
      </c>
    </row>
    <row r="887" spans="7:14" x14ac:dyDescent="0.2">
      <c r="G887" s="538">
        <f t="shared" si="106"/>
        <v>129674.39503102977</v>
      </c>
      <c r="H887" s="539">
        <f t="shared" si="105"/>
        <v>0.98018245657861769</v>
      </c>
      <c r="I887" s="540">
        <f t="shared" si="107"/>
        <v>129280.03922843978</v>
      </c>
      <c r="J887" s="534">
        <f t="shared" si="108"/>
        <v>0.98015597187177661</v>
      </c>
      <c r="K887" s="538">
        <f t="shared" si="109"/>
        <v>128259.38080919179</v>
      </c>
      <c r="L887" s="539">
        <f t="shared" si="110"/>
        <v>0.98008688146888179</v>
      </c>
      <c r="M887" s="540">
        <f t="shared" si="111"/>
        <v>153028.25092727627</v>
      </c>
      <c r="N887" s="534">
        <f t="shared" si="112"/>
        <v>0.98157004050277652</v>
      </c>
    </row>
    <row r="888" spans="7:14" x14ac:dyDescent="0.2">
      <c r="G888" s="538">
        <f t="shared" si="106"/>
        <v>129674.39503102977</v>
      </c>
      <c r="H888" s="539">
        <f t="shared" si="105"/>
        <v>0.98018245657861769</v>
      </c>
      <c r="I888" s="540">
        <f t="shared" si="107"/>
        <v>129280.03922843978</v>
      </c>
      <c r="J888" s="534">
        <f t="shared" si="108"/>
        <v>0.98015597187177661</v>
      </c>
      <c r="K888" s="538">
        <f t="shared" si="109"/>
        <v>128259.38080919179</v>
      </c>
      <c r="L888" s="539">
        <f t="shared" si="110"/>
        <v>0.98008688146888179</v>
      </c>
      <c r="M888" s="540">
        <f t="shared" si="111"/>
        <v>153028.25092727627</v>
      </c>
      <c r="N888" s="534">
        <f t="shared" si="112"/>
        <v>0.98157004050277652</v>
      </c>
    </row>
    <row r="889" spans="7:14" x14ac:dyDescent="0.2">
      <c r="G889" s="538">
        <f t="shared" si="106"/>
        <v>129674.39503102977</v>
      </c>
      <c r="H889" s="539">
        <f t="shared" si="105"/>
        <v>0.98018245657861769</v>
      </c>
      <c r="I889" s="540">
        <f t="shared" si="107"/>
        <v>129280.03922843978</v>
      </c>
      <c r="J889" s="534">
        <f t="shared" si="108"/>
        <v>0.98015597187177661</v>
      </c>
      <c r="K889" s="538">
        <f t="shared" si="109"/>
        <v>128259.38080919179</v>
      </c>
      <c r="L889" s="539">
        <f t="shared" si="110"/>
        <v>0.98008688146888179</v>
      </c>
      <c r="M889" s="540">
        <f t="shared" si="111"/>
        <v>153028.25092727627</v>
      </c>
      <c r="N889" s="534">
        <f t="shared" si="112"/>
        <v>0.98157004050277652</v>
      </c>
    </row>
    <row r="890" spans="7:14" x14ac:dyDescent="0.2">
      <c r="G890" s="538">
        <f t="shared" si="106"/>
        <v>129674.39503102977</v>
      </c>
      <c r="H890" s="539">
        <f t="shared" si="105"/>
        <v>0.98018245657861769</v>
      </c>
      <c r="I890" s="540">
        <f t="shared" si="107"/>
        <v>129280.03922843978</v>
      </c>
      <c r="J890" s="534">
        <f t="shared" si="108"/>
        <v>0.98015597187177661</v>
      </c>
      <c r="K890" s="538">
        <f t="shared" si="109"/>
        <v>128259.38080919179</v>
      </c>
      <c r="L890" s="539">
        <f t="shared" si="110"/>
        <v>0.98008688146888179</v>
      </c>
      <c r="M890" s="540">
        <f t="shared" si="111"/>
        <v>153028.25092727627</v>
      </c>
      <c r="N890" s="534">
        <f t="shared" si="112"/>
        <v>0.98157004050277652</v>
      </c>
    </row>
    <row r="891" spans="7:14" x14ac:dyDescent="0.2">
      <c r="G891" s="538">
        <f t="shared" si="106"/>
        <v>129674.39503102977</v>
      </c>
      <c r="H891" s="539">
        <f t="shared" si="105"/>
        <v>0.98018245657861769</v>
      </c>
      <c r="I891" s="540">
        <f t="shared" si="107"/>
        <v>129280.03922843978</v>
      </c>
      <c r="J891" s="534">
        <f t="shared" si="108"/>
        <v>0.98015597187177661</v>
      </c>
      <c r="K891" s="538">
        <f t="shared" si="109"/>
        <v>128259.38080919179</v>
      </c>
      <c r="L891" s="539">
        <f t="shared" si="110"/>
        <v>0.98008688146888179</v>
      </c>
      <c r="M891" s="540">
        <f t="shared" si="111"/>
        <v>153028.25092727627</v>
      </c>
      <c r="N891" s="534">
        <f t="shared" si="112"/>
        <v>0.98157004050277652</v>
      </c>
    </row>
    <row r="892" spans="7:14" x14ac:dyDescent="0.2">
      <c r="G892" s="538">
        <f t="shared" si="106"/>
        <v>129674.39503102977</v>
      </c>
      <c r="H892" s="539">
        <f t="shared" si="105"/>
        <v>0.98018245657861769</v>
      </c>
      <c r="I892" s="540">
        <f t="shared" si="107"/>
        <v>129280.03922843978</v>
      </c>
      <c r="J892" s="534">
        <f t="shared" si="108"/>
        <v>0.98015597187177661</v>
      </c>
      <c r="K892" s="538">
        <f t="shared" si="109"/>
        <v>128259.38080919179</v>
      </c>
      <c r="L892" s="539">
        <f t="shared" si="110"/>
        <v>0.98008688146888179</v>
      </c>
      <c r="M892" s="540">
        <f t="shared" si="111"/>
        <v>153028.25092727627</v>
      </c>
      <c r="N892" s="534">
        <f t="shared" si="112"/>
        <v>0.98157004050277652</v>
      </c>
    </row>
    <row r="893" spans="7:14" x14ac:dyDescent="0.2">
      <c r="G893" s="538">
        <f t="shared" si="106"/>
        <v>129674.39503102977</v>
      </c>
      <c r="H893" s="539">
        <f t="shared" si="105"/>
        <v>0.98018245657861769</v>
      </c>
      <c r="I893" s="540">
        <f t="shared" si="107"/>
        <v>129280.03922843978</v>
      </c>
      <c r="J893" s="534">
        <f t="shared" si="108"/>
        <v>0.98015597187177661</v>
      </c>
      <c r="K893" s="538">
        <f t="shared" si="109"/>
        <v>128259.38080919179</v>
      </c>
      <c r="L893" s="539">
        <f t="shared" si="110"/>
        <v>0.98008688146888179</v>
      </c>
      <c r="M893" s="540">
        <f t="shared" si="111"/>
        <v>153028.25092727627</v>
      </c>
      <c r="N893" s="534">
        <f t="shared" si="112"/>
        <v>0.98157004050277652</v>
      </c>
    </row>
    <row r="894" spans="7:14" x14ac:dyDescent="0.2">
      <c r="G894" s="538">
        <f t="shared" si="106"/>
        <v>129674.39503102977</v>
      </c>
      <c r="H894" s="539">
        <f t="shared" si="105"/>
        <v>0.98018245657861769</v>
      </c>
      <c r="I894" s="540">
        <f t="shared" si="107"/>
        <v>129280.03922843978</v>
      </c>
      <c r="J894" s="534">
        <f t="shared" si="108"/>
        <v>0.98015597187177661</v>
      </c>
      <c r="K894" s="538">
        <f t="shared" si="109"/>
        <v>128259.38080919179</v>
      </c>
      <c r="L894" s="539">
        <f t="shared" si="110"/>
        <v>0.98008688146888179</v>
      </c>
      <c r="M894" s="540">
        <f t="shared" si="111"/>
        <v>153028.25092727627</v>
      </c>
      <c r="N894" s="534">
        <f t="shared" si="112"/>
        <v>0.98157004050277652</v>
      </c>
    </row>
    <row r="895" spans="7:14" x14ac:dyDescent="0.2">
      <c r="G895" s="538">
        <f t="shared" si="106"/>
        <v>129674.39503102977</v>
      </c>
      <c r="H895" s="539">
        <f t="shared" si="105"/>
        <v>0.98018245657861769</v>
      </c>
      <c r="I895" s="540">
        <f t="shared" si="107"/>
        <v>129280.03922843978</v>
      </c>
      <c r="J895" s="534">
        <f t="shared" si="108"/>
        <v>0.98015597187177661</v>
      </c>
      <c r="K895" s="538">
        <f t="shared" si="109"/>
        <v>128259.38080919179</v>
      </c>
      <c r="L895" s="539">
        <f t="shared" si="110"/>
        <v>0.98008688146888179</v>
      </c>
      <c r="M895" s="540">
        <f t="shared" si="111"/>
        <v>153028.25092727627</v>
      </c>
      <c r="N895" s="534">
        <f t="shared" si="112"/>
        <v>0.98157004050277652</v>
      </c>
    </row>
    <row r="896" spans="7:14" x14ac:dyDescent="0.2">
      <c r="G896" s="538">
        <f t="shared" si="106"/>
        <v>129674.39503102977</v>
      </c>
      <c r="H896" s="539">
        <f t="shared" si="105"/>
        <v>0.98018245657861769</v>
      </c>
      <c r="I896" s="540">
        <f t="shared" si="107"/>
        <v>129280.03922843978</v>
      </c>
      <c r="J896" s="534">
        <f t="shared" si="108"/>
        <v>0.98015597187177661</v>
      </c>
      <c r="K896" s="538">
        <f t="shared" si="109"/>
        <v>128259.38080919179</v>
      </c>
      <c r="L896" s="539">
        <f t="shared" si="110"/>
        <v>0.98008688146888179</v>
      </c>
      <c r="M896" s="540">
        <f t="shared" si="111"/>
        <v>153028.25092727627</v>
      </c>
      <c r="N896" s="534">
        <f t="shared" si="112"/>
        <v>0.98157004050277652</v>
      </c>
    </row>
    <row r="897" spans="7:14" x14ac:dyDescent="0.2">
      <c r="G897" s="538">
        <f t="shared" si="106"/>
        <v>129674.39503102977</v>
      </c>
      <c r="H897" s="539">
        <f t="shared" si="105"/>
        <v>0.98018245657861769</v>
      </c>
      <c r="I897" s="540">
        <f t="shared" si="107"/>
        <v>129280.03922843978</v>
      </c>
      <c r="J897" s="534">
        <f t="shared" si="108"/>
        <v>0.98015597187177661</v>
      </c>
      <c r="K897" s="538">
        <f t="shared" si="109"/>
        <v>128259.38080919179</v>
      </c>
      <c r="L897" s="539">
        <f t="shared" si="110"/>
        <v>0.98008688146888179</v>
      </c>
      <c r="M897" s="540">
        <f t="shared" si="111"/>
        <v>153028.25092727627</v>
      </c>
      <c r="N897" s="534">
        <f t="shared" si="112"/>
        <v>0.98157004050277652</v>
      </c>
    </row>
    <row r="898" spans="7:14" x14ac:dyDescent="0.2">
      <c r="G898" s="538">
        <f t="shared" si="106"/>
        <v>129674.39503102977</v>
      </c>
      <c r="H898" s="539">
        <f t="shared" si="105"/>
        <v>0.98018245657861769</v>
      </c>
      <c r="I898" s="540">
        <f t="shared" si="107"/>
        <v>129280.03922843978</v>
      </c>
      <c r="J898" s="534">
        <f t="shared" si="108"/>
        <v>0.98015597187177661</v>
      </c>
      <c r="K898" s="538">
        <f t="shared" si="109"/>
        <v>128259.38080919179</v>
      </c>
      <c r="L898" s="539">
        <f t="shared" si="110"/>
        <v>0.98008688146888179</v>
      </c>
      <c r="M898" s="540">
        <f t="shared" si="111"/>
        <v>153028.25092727627</v>
      </c>
      <c r="N898" s="534">
        <f t="shared" si="112"/>
        <v>0.98157004050277652</v>
      </c>
    </row>
    <row r="899" spans="7:14" x14ac:dyDescent="0.2">
      <c r="G899" s="538">
        <f t="shared" si="106"/>
        <v>129674.39503102977</v>
      </c>
      <c r="H899" s="539">
        <f t="shared" ref="H899:H962" si="113">0.9986-(7.006/SQRT(G899))+134.6/G899</f>
        <v>0.98018245657861769</v>
      </c>
      <c r="I899" s="540">
        <f t="shared" si="107"/>
        <v>129280.03922843978</v>
      </c>
      <c r="J899" s="534">
        <f t="shared" si="108"/>
        <v>0.98015597187177661</v>
      </c>
      <c r="K899" s="538">
        <f t="shared" si="109"/>
        <v>128259.38080919179</v>
      </c>
      <c r="L899" s="539">
        <f t="shared" si="110"/>
        <v>0.98008688146888179</v>
      </c>
      <c r="M899" s="540">
        <f t="shared" si="111"/>
        <v>153028.25092727627</v>
      </c>
      <c r="N899" s="534">
        <f t="shared" si="112"/>
        <v>0.98157004050277652</v>
      </c>
    </row>
    <row r="900" spans="7:14" x14ac:dyDescent="0.2">
      <c r="G900" s="538">
        <f t="shared" ref="G900:G963" si="114">($C$6/(1000*$C$12*$C$16))*(H899*SQRT(2*$C$5*100*$C$16))</f>
        <v>129674.39503102977</v>
      </c>
      <c r="H900" s="539">
        <f t="shared" si="113"/>
        <v>0.98018245657861769</v>
      </c>
      <c r="I900" s="540">
        <f t="shared" ref="I900:I963" si="115">($C$7/(1000*$C$12*$C$16))*(J899*SQRT(2*$C$5*100*$C$16))</f>
        <v>129280.03922843978</v>
      </c>
      <c r="J900" s="534">
        <f t="shared" ref="J900:J963" si="116">0.9986-(7.006/SQRT(I900))+134.6/I900</f>
        <v>0.98015597187177661</v>
      </c>
      <c r="K900" s="538">
        <f t="shared" ref="K900:K963" si="117">($C$8/(1000*$C$12*$C$16))*(L899*SQRT(2*$C$5*100*$C$16))</f>
        <v>128259.38080919179</v>
      </c>
      <c r="L900" s="539">
        <f t="shared" ref="L900:L963" si="118">0.9986-(7.006/SQRT(K900))+134.6/K900</f>
        <v>0.98008688146888179</v>
      </c>
      <c r="M900" s="540">
        <f t="shared" ref="M900:M963" si="119">($C$9/(1000*$C$12*$C$16))*(N899*SQRT(2*$C$5*100*$C$16))</f>
        <v>153028.25092727627</v>
      </c>
      <c r="N900" s="534">
        <f t="shared" ref="N900:N963" si="120">0.9986-(7.006/SQRT(M900))+134.6/M900</f>
        <v>0.98157004050277652</v>
      </c>
    </row>
    <row r="901" spans="7:14" x14ac:dyDescent="0.2">
      <c r="G901" s="538">
        <f t="shared" si="114"/>
        <v>129674.39503102977</v>
      </c>
      <c r="H901" s="539">
        <f t="shared" si="113"/>
        <v>0.98018245657861769</v>
      </c>
      <c r="I901" s="540">
        <f t="shared" si="115"/>
        <v>129280.03922843978</v>
      </c>
      <c r="J901" s="534">
        <f t="shared" si="116"/>
        <v>0.98015597187177661</v>
      </c>
      <c r="K901" s="538">
        <f t="shared" si="117"/>
        <v>128259.38080919179</v>
      </c>
      <c r="L901" s="539">
        <f t="shared" si="118"/>
        <v>0.98008688146888179</v>
      </c>
      <c r="M901" s="540">
        <f t="shared" si="119"/>
        <v>153028.25092727627</v>
      </c>
      <c r="N901" s="534">
        <f t="shared" si="120"/>
        <v>0.98157004050277652</v>
      </c>
    </row>
    <row r="902" spans="7:14" x14ac:dyDescent="0.2">
      <c r="G902" s="538">
        <f t="shared" si="114"/>
        <v>129674.39503102977</v>
      </c>
      <c r="H902" s="539">
        <f t="shared" si="113"/>
        <v>0.98018245657861769</v>
      </c>
      <c r="I902" s="540">
        <f t="shared" si="115"/>
        <v>129280.03922843978</v>
      </c>
      <c r="J902" s="534">
        <f t="shared" si="116"/>
        <v>0.98015597187177661</v>
      </c>
      <c r="K902" s="538">
        <f t="shared" si="117"/>
        <v>128259.38080919179</v>
      </c>
      <c r="L902" s="539">
        <f t="shared" si="118"/>
        <v>0.98008688146888179</v>
      </c>
      <c r="M902" s="540">
        <f t="shared" si="119"/>
        <v>153028.25092727627</v>
      </c>
      <c r="N902" s="534">
        <f t="shared" si="120"/>
        <v>0.98157004050277652</v>
      </c>
    </row>
    <row r="903" spans="7:14" x14ac:dyDescent="0.2">
      <c r="G903" s="538">
        <f t="shared" si="114"/>
        <v>129674.39503102977</v>
      </c>
      <c r="H903" s="539">
        <f t="shared" si="113"/>
        <v>0.98018245657861769</v>
      </c>
      <c r="I903" s="540">
        <f t="shared" si="115"/>
        <v>129280.03922843978</v>
      </c>
      <c r="J903" s="534">
        <f t="shared" si="116"/>
        <v>0.98015597187177661</v>
      </c>
      <c r="K903" s="538">
        <f t="shared" si="117"/>
        <v>128259.38080919179</v>
      </c>
      <c r="L903" s="539">
        <f t="shared" si="118"/>
        <v>0.98008688146888179</v>
      </c>
      <c r="M903" s="540">
        <f t="shared" si="119"/>
        <v>153028.25092727627</v>
      </c>
      <c r="N903" s="534">
        <f t="shared" si="120"/>
        <v>0.98157004050277652</v>
      </c>
    </row>
    <row r="904" spans="7:14" x14ac:dyDescent="0.2">
      <c r="G904" s="538">
        <f t="shared" si="114"/>
        <v>129674.39503102977</v>
      </c>
      <c r="H904" s="539">
        <f t="shared" si="113"/>
        <v>0.98018245657861769</v>
      </c>
      <c r="I904" s="540">
        <f t="shared" si="115"/>
        <v>129280.03922843978</v>
      </c>
      <c r="J904" s="534">
        <f t="shared" si="116"/>
        <v>0.98015597187177661</v>
      </c>
      <c r="K904" s="538">
        <f t="shared" si="117"/>
        <v>128259.38080919179</v>
      </c>
      <c r="L904" s="539">
        <f t="shared" si="118"/>
        <v>0.98008688146888179</v>
      </c>
      <c r="M904" s="540">
        <f t="shared" si="119"/>
        <v>153028.25092727627</v>
      </c>
      <c r="N904" s="534">
        <f t="shared" si="120"/>
        <v>0.98157004050277652</v>
      </c>
    </row>
    <row r="905" spans="7:14" x14ac:dyDescent="0.2">
      <c r="G905" s="538">
        <f t="shared" si="114"/>
        <v>129674.39503102977</v>
      </c>
      <c r="H905" s="539">
        <f t="shared" si="113"/>
        <v>0.98018245657861769</v>
      </c>
      <c r="I905" s="540">
        <f t="shared" si="115"/>
        <v>129280.03922843978</v>
      </c>
      <c r="J905" s="534">
        <f t="shared" si="116"/>
        <v>0.98015597187177661</v>
      </c>
      <c r="K905" s="538">
        <f t="shared" si="117"/>
        <v>128259.38080919179</v>
      </c>
      <c r="L905" s="539">
        <f t="shared" si="118"/>
        <v>0.98008688146888179</v>
      </c>
      <c r="M905" s="540">
        <f t="shared" si="119"/>
        <v>153028.25092727627</v>
      </c>
      <c r="N905" s="534">
        <f t="shared" si="120"/>
        <v>0.98157004050277652</v>
      </c>
    </row>
    <row r="906" spans="7:14" x14ac:dyDescent="0.2">
      <c r="G906" s="538">
        <f t="shared" si="114"/>
        <v>129674.39503102977</v>
      </c>
      <c r="H906" s="539">
        <f t="shared" si="113"/>
        <v>0.98018245657861769</v>
      </c>
      <c r="I906" s="540">
        <f t="shared" si="115"/>
        <v>129280.03922843978</v>
      </c>
      <c r="J906" s="534">
        <f t="shared" si="116"/>
        <v>0.98015597187177661</v>
      </c>
      <c r="K906" s="538">
        <f t="shared" si="117"/>
        <v>128259.38080919179</v>
      </c>
      <c r="L906" s="539">
        <f t="shared" si="118"/>
        <v>0.98008688146888179</v>
      </c>
      <c r="M906" s="540">
        <f t="shared" si="119"/>
        <v>153028.25092727627</v>
      </c>
      <c r="N906" s="534">
        <f t="shared" si="120"/>
        <v>0.98157004050277652</v>
      </c>
    </row>
    <row r="907" spans="7:14" x14ac:dyDescent="0.2">
      <c r="G907" s="538">
        <f t="shared" si="114"/>
        <v>129674.39503102977</v>
      </c>
      <c r="H907" s="539">
        <f t="shared" si="113"/>
        <v>0.98018245657861769</v>
      </c>
      <c r="I907" s="540">
        <f t="shared" si="115"/>
        <v>129280.03922843978</v>
      </c>
      <c r="J907" s="534">
        <f t="shared" si="116"/>
        <v>0.98015597187177661</v>
      </c>
      <c r="K907" s="538">
        <f t="shared" si="117"/>
        <v>128259.38080919179</v>
      </c>
      <c r="L907" s="539">
        <f t="shared" si="118"/>
        <v>0.98008688146888179</v>
      </c>
      <c r="M907" s="540">
        <f t="shared" si="119"/>
        <v>153028.25092727627</v>
      </c>
      <c r="N907" s="534">
        <f t="shared" si="120"/>
        <v>0.98157004050277652</v>
      </c>
    </row>
    <row r="908" spans="7:14" x14ac:dyDescent="0.2">
      <c r="G908" s="538">
        <f t="shared" si="114"/>
        <v>129674.39503102977</v>
      </c>
      <c r="H908" s="539">
        <f t="shared" si="113"/>
        <v>0.98018245657861769</v>
      </c>
      <c r="I908" s="540">
        <f t="shared" si="115"/>
        <v>129280.03922843978</v>
      </c>
      <c r="J908" s="534">
        <f t="shared" si="116"/>
        <v>0.98015597187177661</v>
      </c>
      <c r="K908" s="538">
        <f t="shared" si="117"/>
        <v>128259.38080919179</v>
      </c>
      <c r="L908" s="539">
        <f t="shared" si="118"/>
        <v>0.98008688146888179</v>
      </c>
      <c r="M908" s="540">
        <f t="shared" si="119"/>
        <v>153028.25092727627</v>
      </c>
      <c r="N908" s="534">
        <f t="shared" si="120"/>
        <v>0.98157004050277652</v>
      </c>
    </row>
    <row r="909" spans="7:14" x14ac:dyDescent="0.2">
      <c r="G909" s="538">
        <f t="shared" si="114"/>
        <v>129674.39503102977</v>
      </c>
      <c r="H909" s="539">
        <f t="shared" si="113"/>
        <v>0.98018245657861769</v>
      </c>
      <c r="I909" s="540">
        <f t="shared" si="115"/>
        <v>129280.03922843978</v>
      </c>
      <c r="J909" s="534">
        <f t="shared" si="116"/>
        <v>0.98015597187177661</v>
      </c>
      <c r="K909" s="538">
        <f t="shared" si="117"/>
        <v>128259.38080919179</v>
      </c>
      <c r="L909" s="539">
        <f t="shared" si="118"/>
        <v>0.98008688146888179</v>
      </c>
      <c r="M909" s="540">
        <f t="shared" si="119"/>
        <v>153028.25092727627</v>
      </c>
      <c r="N909" s="534">
        <f t="shared" si="120"/>
        <v>0.98157004050277652</v>
      </c>
    </row>
    <row r="910" spans="7:14" x14ac:dyDescent="0.2">
      <c r="G910" s="538">
        <f t="shared" si="114"/>
        <v>129674.39503102977</v>
      </c>
      <c r="H910" s="539">
        <f t="shared" si="113"/>
        <v>0.98018245657861769</v>
      </c>
      <c r="I910" s="540">
        <f t="shared" si="115"/>
        <v>129280.03922843978</v>
      </c>
      <c r="J910" s="534">
        <f t="shared" si="116"/>
        <v>0.98015597187177661</v>
      </c>
      <c r="K910" s="538">
        <f t="shared" si="117"/>
        <v>128259.38080919179</v>
      </c>
      <c r="L910" s="539">
        <f t="shared" si="118"/>
        <v>0.98008688146888179</v>
      </c>
      <c r="M910" s="540">
        <f t="shared" si="119"/>
        <v>153028.25092727627</v>
      </c>
      <c r="N910" s="534">
        <f t="shared" si="120"/>
        <v>0.98157004050277652</v>
      </c>
    </row>
    <row r="911" spans="7:14" x14ac:dyDescent="0.2">
      <c r="G911" s="538">
        <f t="shared" si="114"/>
        <v>129674.39503102977</v>
      </c>
      <c r="H911" s="539">
        <f t="shared" si="113"/>
        <v>0.98018245657861769</v>
      </c>
      <c r="I911" s="540">
        <f t="shared" si="115"/>
        <v>129280.03922843978</v>
      </c>
      <c r="J911" s="534">
        <f t="shared" si="116"/>
        <v>0.98015597187177661</v>
      </c>
      <c r="K911" s="538">
        <f t="shared" si="117"/>
        <v>128259.38080919179</v>
      </c>
      <c r="L911" s="539">
        <f t="shared" si="118"/>
        <v>0.98008688146888179</v>
      </c>
      <c r="M911" s="540">
        <f t="shared" si="119"/>
        <v>153028.25092727627</v>
      </c>
      <c r="N911" s="534">
        <f t="shared" si="120"/>
        <v>0.98157004050277652</v>
      </c>
    </row>
    <row r="912" spans="7:14" x14ac:dyDescent="0.2">
      <c r="G912" s="538">
        <f t="shared" si="114"/>
        <v>129674.39503102977</v>
      </c>
      <c r="H912" s="539">
        <f t="shared" si="113"/>
        <v>0.98018245657861769</v>
      </c>
      <c r="I912" s="540">
        <f t="shared" si="115"/>
        <v>129280.03922843978</v>
      </c>
      <c r="J912" s="534">
        <f t="shared" si="116"/>
        <v>0.98015597187177661</v>
      </c>
      <c r="K912" s="538">
        <f t="shared" si="117"/>
        <v>128259.38080919179</v>
      </c>
      <c r="L912" s="539">
        <f t="shared" si="118"/>
        <v>0.98008688146888179</v>
      </c>
      <c r="M912" s="540">
        <f t="shared" si="119"/>
        <v>153028.25092727627</v>
      </c>
      <c r="N912" s="534">
        <f t="shared" si="120"/>
        <v>0.98157004050277652</v>
      </c>
    </row>
    <row r="913" spans="7:14" x14ac:dyDescent="0.2">
      <c r="G913" s="538">
        <f t="shared" si="114"/>
        <v>129674.39503102977</v>
      </c>
      <c r="H913" s="539">
        <f t="shared" si="113"/>
        <v>0.98018245657861769</v>
      </c>
      <c r="I913" s="540">
        <f t="shared" si="115"/>
        <v>129280.03922843978</v>
      </c>
      <c r="J913" s="534">
        <f t="shared" si="116"/>
        <v>0.98015597187177661</v>
      </c>
      <c r="K913" s="538">
        <f t="shared" si="117"/>
        <v>128259.38080919179</v>
      </c>
      <c r="L913" s="539">
        <f t="shared" si="118"/>
        <v>0.98008688146888179</v>
      </c>
      <c r="M913" s="540">
        <f t="shared" si="119"/>
        <v>153028.25092727627</v>
      </c>
      <c r="N913" s="534">
        <f t="shared" si="120"/>
        <v>0.98157004050277652</v>
      </c>
    </row>
    <row r="914" spans="7:14" x14ac:dyDescent="0.2">
      <c r="G914" s="538">
        <f t="shared" si="114"/>
        <v>129674.39503102977</v>
      </c>
      <c r="H914" s="539">
        <f t="shared" si="113"/>
        <v>0.98018245657861769</v>
      </c>
      <c r="I914" s="540">
        <f t="shared" si="115"/>
        <v>129280.03922843978</v>
      </c>
      <c r="J914" s="534">
        <f t="shared" si="116"/>
        <v>0.98015597187177661</v>
      </c>
      <c r="K914" s="538">
        <f t="shared" si="117"/>
        <v>128259.38080919179</v>
      </c>
      <c r="L914" s="539">
        <f t="shared" si="118"/>
        <v>0.98008688146888179</v>
      </c>
      <c r="M914" s="540">
        <f t="shared" si="119"/>
        <v>153028.25092727627</v>
      </c>
      <c r="N914" s="534">
        <f t="shared" si="120"/>
        <v>0.98157004050277652</v>
      </c>
    </row>
    <row r="915" spans="7:14" x14ac:dyDescent="0.2">
      <c r="G915" s="538">
        <f t="shared" si="114"/>
        <v>129674.39503102977</v>
      </c>
      <c r="H915" s="539">
        <f t="shared" si="113"/>
        <v>0.98018245657861769</v>
      </c>
      <c r="I915" s="540">
        <f t="shared" si="115"/>
        <v>129280.03922843978</v>
      </c>
      <c r="J915" s="534">
        <f t="shared" si="116"/>
        <v>0.98015597187177661</v>
      </c>
      <c r="K915" s="538">
        <f t="shared" si="117"/>
        <v>128259.38080919179</v>
      </c>
      <c r="L915" s="539">
        <f t="shared" si="118"/>
        <v>0.98008688146888179</v>
      </c>
      <c r="M915" s="540">
        <f t="shared" si="119"/>
        <v>153028.25092727627</v>
      </c>
      <c r="N915" s="534">
        <f t="shared" si="120"/>
        <v>0.98157004050277652</v>
      </c>
    </row>
    <row r="916" spans="7:14" x14ac:dyDescent="0.2">
      <c r="G916" s="538">
        <f t="shared" si="114"/>
        <v>129674.39503102977</v>
      </c>
      <c r="H916" s="539">
        <f t="shared" si="113"/>
        <v>0.98018245657861769</v>
      </c>
      <c r="I916" s="540">
        <f t="shared" si="115"/>
        <v>129280.03922843978</v>
      </c>
      <c r="J916" s="534">
        <f t="shared" si="116"/>
        <v>0.98015597187177661</v>
      </c>
      <c r="K916" s="538">
        <f t="shared" si="117"/>
        <v>128259.38080919179</v>
      </c>
      <c r="L916" s="539">
        <f t="shared" si="118"/>
        <v>0.98008688146888179</v>
      </c>
      <c r="M916" s="540">
        <f t="shared" si="119"/>
        <v>153028.25092727627</v>
      </c>
      <c r="N916" s="534">
        <f t="shared" si="120"/>
        <v>0.98157004050277652</v>
      </c>
    </row>
    <row r="917" spans="7:14" x14ac:dyDescent="0.2">
      <c r="G917" s="538">
        <f t="shared" si="114"/>
        <v>129674.39503102977</v>
      </c>
      <c r="H917" s="539">
        <f t="shared" si="113"/>
        <v>0.98018245657861769</v>
      </c>
      <c r="I917" s="540">
        <f t="shared" si="115"/>
        <v>129280.03922843978</v>
      </c>
      <c r="J917" s="534">
        <f t="shared" si="116"/>
        <v>0.98015597187177661</v>
      </c>
      <c r="K917" s="538">
        <f t="shared" si="117"/>
        <v>128259.38080919179</v>
      </c>
      <c r="L917" s="539">
        <f t="shared" si="118"/>
        <v>0.98008688146888179</v>
      </c>
      <c r="M917" s="540">
        <f t="shared" si="119"/>
        <v>153028.25092727627</v>
      </c>
      <c r="N917" s="534">
        <f t="shared" si="120"/>
        <v>0.98157004050277652</v>
      </c>
    </row>
    <row r="918" spans="7:14" x14ac:dyDescent="0.2">
      <c r="G918" s="538">
        <f t="shared" si="114"/>
        <v>129674.39503102977</v>
      </c>
      <c r="H918" s="539">
        <f t="shared" si="113"/>
        <v>0.98018245657861769</v>
      </c>
      <c r="I918" s="540">
        <f t="shared" si="115"/>
        <v>129280.03922843978</v>
      </c>
      <c r="J918" s="534">
        <f t="shared" si="116"/>
        <v>0.98015597187177661</v>
      </c>
      <c r="K918" s="538">
        <f t="shared" si="117"/>
        <v>128259.38080919179</v>
      </c>
      <c r="L918" s="539">
        <f t="shared" si="118"/>
        <v>0.98008688146888179</v>
      </c>
      <c r="M918" s="540">
        <f t="shared" si="119"/>
        <v>153028.25092727627</v>
      </c>
      <c r="N918" s="534">
        <f t="shared" si="120"/>
        <v>0.98157004050277652</v>
      </c>
    </row>
    <row r="919" spans="7:14" x14ac:dyDescent="0.2">
      <c r="G919" s="538">
        <f t="shared" si="114"/>
        <v>129674.39503102977</v>
      </c>
      <c r="H919" s="539">
        <f t="shared" si="113"/>
        <v>0.98018245657861769</v>
      </c>
      <c r="I919" s="540">
        <f t="shared" si="115"/>
        <v>129280.03922843978</v>
      </c>
      <c r="J919" s="534">
        <f t="shared" si="116"/>
        <v>0.98015597187177661</v>
      </c>
      <c r="K919" s="538">
        <f t="shared" si="117"/>
        <v>128259.38080919179</v>
      </c>
      <c r="L919" s="539">
        <f t="shared" si="118"/>
        <v>0.98008688146888179</v>
      </c>
      <c r="M919" s="540">
        <f t="shared" si="119"/>
        <v>153028.25092727627</v>
      </c>
      <c r="N919" s="534">
        <f t="shared" si="120"/>
        <v>0.98157004050277652</v>
      </c>
    </row>
    <row r="920" spans="7:14" x14ac:dyDescent="0.2">
      <c r="G920" s="538">
        <f t="shared" si="114"/>
        <v>129674.39503102977</v>
      </c>
      <c r="H920" s="539">
        <f t="shared" si="113"/>
        <v>0.98018245657861769</v>
      </c>
      <c r="I920" s="540">
        <f t="shared" si="115"/>
        <v>129280.03922843978</v>
      </c>
      <c r="J920" s="534">
        <f t="shared" si="116"/>
        <v>0.98015597187177661</v>
      </c>
      <c r="K920" s="538">
        <f t="shared" si="117"/>
        <v>128259.38080919179</v>
      </c>
      <c r="L920" s="539">
        <f t="shared" si="118"/>
        <v>0.98008688146888179</v>
      </c>
      <c r="M920" s="540">
        <f t="shared" si="119"/>
        <v>153028.25092727627</v>
      </c>
      <c r="N920" s="534">
        <f t="shared" si="120"/>
        <v>0.98157004050277652</v>
      </c>
    </row>
    <row r="921" spans="7:14" x14ac:dyDescent="0.2">
      <c r="G921" s="538">
        <f t="shared" si="114"/>
        <v>129674.39503102977</v>
      </c>
      <c r="H921" s="539">
        <f t="shared" si="113"/>
        <v>0.98018245657861769</v>
      </c>
      <c r="I921" s="540">
        <f t="shared" si="115"/>
        <v>129280.03922843978</v>
      </c>
      <c r="J921" s="534">
        <f t="shared" si="116"/>
        <v>0.98015597187177661</v>
      </c>
      <c r="K921" s="538">
        <f t="shared" si="117"/>
        <v>128259.38080919179</v>
      </c>
      <c r="L921" s="539">
        <f t="shared" si="118"/>
        <v>0.98008688146888179</v>
      </c>
      <c r="M921" s="540">
        <f t="shared" si="119"/>
        <v>153028.25092727627</v>
      </c>
      <c r="N921" s="534">
        <f t="shared" si="120"/>
        <v>0.98157004050277652</v>
      </c>
    </row>
    <row r="922" spans="7:14" x14ac:dyDescent="0.2">
      <c r="G922" s="538">
        <f t="shared" si="114"/>
        <v>129674.39503102977</v>
      </c>
      <c r="H922" s="539">
        <f t="shared" si="113"/>
        <v>0.98018245657861769</v>
      </c>
      <c r="I922" s="540">
        <f t="shared" si="115"/>
        <v>129280.03922843978</v>
      </c>
      <c r="J922" s="534">
        <f t="shared" si="116"/>
        <v>0.98015597187177661</v>
      </c>
      <c r="K922" s="538">
        <f t="shared" si="117"/>
        <v>128259.38080919179</v>
      </c>
      <c r="L922" s="539">
        <f t="shared" si="118"/>
        <v>0.98008688146888179</v>
      </c>
      <c r="M922" s="540">
        <f t="shared" si="119"/>
        <v>153028.25092727627</v>
      </c>
      <c r="N922" s="534">
        <f t="shared" si="120"/>
        <v>0.98157004050277652</v>
      </c>
    </row>
    <row r="923" spans="7:14" x14ac:dyDescent="0.2">
      <c r="G923" s="538">
        <f t="shared" si="114"/>
        <v>129674.39503102977</v>
      </c>
      <c r="H923" s="539">
        <f t="shared" si="113"/>
        <v>0.98018245657861769</v>
      </c>
      <c r="I923" s="540">
        <f t="shared" si="115"/>
        <v>129280.03922843978</v>
      </c>
      <c r="J923" s="534">
        <f t="shared" si="116"/>
        <v>0.98015597187177661</v>
      </c>
      <c r="K923" s="538">
        <f t="shared" si="117"/>
        <v>128259.38080919179</v>
      </c>
      <c r="L923" s="539">
        <f t="shared" si="118"/>
        <v>0.98008688146888179</v>
      </c>
      <c r="M923" s="540">
        <f t="shared" si="119"/>
        <v>153028.25092727627</v>
      </c>
      <c r="N923" s="534">
        <f t="shared" si="120"/>
        <v>0.98157004050277652</v>
      </c>
    </row>
    <row r="924" spans="7:14" x14ac:dyDescent="0.2">
      <c r="G924" s="538">
        <f t="shared" si="114"/>
        <v>129674.39503102977</v>
      </c>
      <c r="H924" s="539">
        <f t="shared" si="113"/>
        <v>0.98018245657861769</v>
      </c>
      <c r="I924" s="540">
        <f t="shared" si="115"/>
        <v>129280.03922843978</v>
      </c>
      <c r="J924" s="534">
        <f t="shared" si="116"/>
        <v>0.98015597187177661</v>
      </c>
      <c r="K924" s="538">
        <f t="shared" si="117"/>
        <v>128259.38080919179</v>
      </c>
      <c r="L924" s="539">
        <f t="shared" si="118"/>
        <v>0.98008688146888179</v>
      </c>
      <c r="M924" s="540">
        <f t="shared" si="119"/>
        <v>153028.25092727627</v>
      </c>
      <c r="N924" s="534">
        <f t="shared" si="120"/>
        <v>0.98157004050277652</v>
      </c>
    </row>
    <row r="925" spans="7:14" x14ac:dyDescent="0.2">
      <c r="G925" s="538">
        <f t="shared" si="114"/>
        <v>129674.39503102977</v>
      </c>
      <c r="H925" s="539">
        <f t="shared" si="113"/>
        <v>0.98018245657861769</v>
      </c>
      <c r="I925" s="540">
        <f t="shared" si="115"/>
        <v>129280.03922843978</v>
      </c>
      <c r="J925" s="534">
        <f t="shared" si="116"/>
        <v>0.98015597187177661</v>
      </c>
      <c r="K925" s="538">
        <f t="shared" si="117"/>
        <v>128259.38080919179</v>
      </c>
      <c r="L925" s="539">
        <f t="shared" si="118"/>
        <v>0.98008688146888179</v>
      </c>
      <c r="M925" s="540">
        <f t="shared" si="119"/>
        <v>153028.25092727627</v>
      </c>
      <c r="N925" s="534">
        <f t="shared" si="120"/>
        <v>0.98157004050277652</v>
      </c>
    </row>
    <row r="926" spans="7:14" x14ac:dyDescent="0.2">
      <c r="G926" s="538">
        <f t="shared" si="114"/>
        <v>129674.39503102977</v>
      </c>
      <c r="H926" s="539">
        <f t="shared" si="113"/>
        <v>0.98018245657861769</v>
      </c>
      <c r="I926" s="540">
        <f t="shared" si="115"/>
        <v>129280.03922843978</v>
      </c>
      <c r="J926" s="534">
        <f t="shared" si="116"/>
        <v>0.98015597187177661</v>
      </c>
      <c r="K926" s="538">
        <f t="shared" si="117"/>
        <v>128259.38080919179</v>
      </c>
      <c r="L926" s="539">
        <f t="shared" si="118"/>
        <v>0.98008688146888179</v>
      </c>
      <c r="M926" s="540">
        <f t="shared" si="119"/>
        <v>153028.25092727627</v>
      </c>
      <c r="N926" s="534">
        <f t="shared" si="120"/>
        <v>0.98157004050277652</v>
      </c>
    </row>
    <row r="927" spans="7:14" x14ac:dyDescent="0.2">
      <c r="G927" s="538">
        <f t="shared" si="114"/>
        <v>129674.39503102977</v>
      </c>
      <c r="H927" s="539">
        <f t="shared" si="113"/>
        <v>0.98018245657861769</v>
      </c>
      <c r="I927" s="540">
        <f t="shared" si="115"/>
        <v>129280.03922843978</v>
      </c>
      <c r="J927" s="534">
        <f t="shared" si="116"/>
        <v>0.98015597187177661</v>
      </c>
      <c r="K927" s="538">
        <f t="shared" si="117"/>
        <v>128259.38080919179</v>
      </c>
      <c r="L927" s="539">
        <f t="shared" si="118"/>
        <v>0.98008688146888179</v>
      </c>
      <c r="M927" s="540">
        <f t="shared" si="119"/>
        <v>153028.25092727627</v>
      </c>
      <c r="N927" s="534">
        <f t="shared" si="120"/>
        <v>0.98157004050277652</v>
      </c>
    </row>
    <row r="928" spans="7:14" x14ac:dyDescent="0.2">
      <c r="G928" s="538">
        <f t="shared" si="114"/>
        <v>129674.39503102977</v>
      </c>
      <c r="H928" s="539">
        <f t="shared" si="113"/>
        <v>0.98018245657861769</v>
      </c>
      <c r="I928" s="540">
        <f t="shared" si="115"/>
        <v>129280.03922843978</v>
      </c>
      <c r="J928" s="534">
        <f t="shared" si="116"/>
        <v>0.98015597187177661</v>
      </c>
      <c r="K928" s="538">
        <f t="shared" si="117"/>
        <v>128259.38080919179</v>
      </c>
      <c r="L928" s="539">
        <f t="shared" si="118"/>
        <v>0.98008688146888179</v>
      </c>
      <c r="M928" s="540">
        <f t="shared" si="119"/>
        <v>153028.25092727627</v>
      </c>
      <c r="N928" s="534">
        <f t="shared" si="120"/>
        <v>0.98157004050277652</v>
      </c>
    </row>
    <row r="929" spans="7:14" x14ac:dyDescent="0.2">
      <c r="G929" s="538">
        <f t="shared" si="114"/>
        <v>129674.39503102977</v>
      </c>
      <c r="H929" s="539">
        <f t="shared" si="113"/>
        <v>0.98018245657861769</v>
      </c>
      <c r="I929" s="540">
        <f t="shared" si="115"/>
        <v>129280.03922843978</v>
      </c>
      <c r="J929" s="534">
        <f t="shared" si="116"/>
        <v>0.98015597187177661</v>
      </c>
      <c r="K929" s="538">
        <f t="shared" si="117"/>
        <v>128259.38080919179</v>
      </c>
      <c r="L929" s="539">
        <f t="shared" si="118"/>
        <v>0.98008688146888179</v>
      </c>
      <c r="M929" s="540">
        <f t="shared" si="119"/>
        <v>153028.25092727627</v>
      </c>
      <c r="N929" s="534">
        <f t="shared" si="120"/>
        <v>0.98157004050277652</v>
      </c>
    </row>
    <row r="930" spans="7:14" x14ac:dyDescent="0.2">
      <c r="G930" s="538">
        <f t="shared" si="114"/>
        <v>129674.39503102977</v>
      </c>
      <c r="H930" s="539">
        <f t="shared" si="113"/>
        <v>0.98018245657861769</v>
      </c>
      <c r="I930" s="540">
        <f t="shared" si="115"/>
        <v>129280.03922843978</v>
      </c>
      <c r="J930" s="534">
        <f t="shared" si="116"/>
        <v>0.98015597187177661</v>
      </c>
      <c r="K930" s="538">
        <f t="shared" si="117"/>
        <v>128259.38080919179</v>
      </c>
      <c r="L930" s="539">
        <f t="shared" si="118"/>
        <v>0.98008688146888179</v>
      </c>
      <c r="M930" s="540">
        <f t="shared" si="119"/>
        <v>153028.25092727627</v>
      </c>
      <c r="N930" s="534">
        <f t="shared" si="120"/>
        <v>0.98157004050277652</v>
      </c>
    </row>
    <row r="931" spans="7:14" x14ac:dyDescent="0.2">
      <c r="G931" s="538">
        <f t="shared" si="114"/>
        <v>129674.39503102977</v>
      </c>
      <c r="H931" s="539">
        <f t="shared" si="113"/>
        <v>0.98018245657861769</v>
      </c>
      <c r="I931" s="540">
        <f t="shared" si="115"/>
        <v>129280.03922843978</v>
      </c>
      <c r="J931" s="534">
        <f t="shared" si="116"/>
        <v>0.98015597187177661</v>
      </c>
      <c r="K931" s="538">
        <f t="shared" si="117"/>
        <v>128259.38080919179</v>
      </c>
      <c r="L931" s="539">
        <f t="shared" si="118"/>
        <v>0.98008688146888179</v>
      </c>
      <c r="M931" s="540">
        <f t="shared" si="119"/>
        <v>153028.25092727627</v>
      </c>
      <c r="N931" s="534">
        <f t="shared" si="120"/>
        <v>0.98157004050277652</v>
      </c>
    </row>
    <row r="932" spans="7:14" x14ac:dyDescent="0.2">
      <c r="G932" s="538">
        <f t="shared" si="114"/>
        <v>129674.39503102977</v>
      </c>
      <c r="H932" s="539">
        <f t="shared" si="113"/>
        <v>0.98018245657861769</v>
      </c>
      <c r="I932" s="540">
        <f t="shared" si="115"/>
        <v>129280.03922843978</v>
      </c>
      <c r="J932" s="534">
        <f t="shared" si="116"/>
        <v>0.98015597187177661</v>
      </c>
      <c r="K932" s="538">
        <f t="shared" si="117"/>
        <v>128259.38080919179</v>
      </c>
      <c r="L932" s="539">
        <f t="shared" si="118"/>
        <v>0.98008688146888179</v>
      </c>
      <c r="M932" s="540">
        <f t="shared" si="119"/>
        <v>153028.25092727627</v>
      </c>
      <c r="N932" s="534">
        <f t="shared" si="120"/>
        <v>0.98157004050277652</v>
      </c>
    </row>
    <row r="933" spans="7:14" x14ac:dyDescent="0.2">
      <c r="G933" s="538">
        <f t="shared" si="114"/>
        <v>129674.39503102977</v>
      </c>
      <c r="H933" s="539">
        <f t="shared" si="113"/>
        <v>0.98018245657861769</v>
      </c>
      <c r="I933" s="540">
        <f t="shared" si="115"/>
        <v>129280.03922843978</v>
      </c>
      <c r="J933" s="534">
        <f t="shared" si="116"/>
        <v>0.98015597187177661</v>
      </c>
      <c r="K933" s="538">
        <f t="shared" si="117"/>
        <v>128259.38080919179</v>
      </c>
      <c r="L933" s="539">
        <f t="shared" si="118"/>
        <v>0.98008688146888179</v>
      </c>
      <c r="M933" s="540">
        <f t="shared" si="119"/>
        <v>153028.25092727627</v>
      </c>
      <c r="N933" s="534">
        <f t="shared" si="120"/>
        <v>0.98157004050277652</v>
      </c>
    </row>
    <row r="934" spans="7:14" x14ac:dyDescent="0.2">
      <c r="G934" s="538">
        <f t="shared" si="114"/>
        <v>129674.39503102977</v>
      </c>
      <c r="H934" s="539">
        <f t="shared" si="113"/>
        <v>0.98018245657861769</v>
      </c>
      <c r="I934" s="540">
        <f t="shared" si="115"/>
        <v>129280.03922843978</v>
      </c>
      <c r="J934" s="534">
        <f t="shared" si="116"/>
        <v>0.98015597187177661</v>
      </c>
      <c r="K934" s="538">
        <f t="shared" si="117"/>
        <v>128259.38080919179</v>
      </c>
      <c r="L934" s="539">
        <f t="shared" si="118"/>
        <v>0.98008688146888179</v>
      </c>
      <c r="M934" s="540">
        <f t="shared" si="119"/>
        <v>153028.25092727627</v>
      </c>
      <c r="N934" s="534">
        <f t="shared" si="120"/>
        <v>0.98157004050277652</v>
      </c>
    </row>
    <row r="935" spans="7:14" x14ac:dyDescent="0.2">
      <c r="G935" s="538">
        <f t="shared" si="114"/>
        <v>129674.39503102977</v>
      </c>
      <c r="H935" s="539">
        <f t="shared" si="113"/>
        <v>0.98018245657861769</v>
      </c>
      <c r="I935" s="540">
        <f t="shared" si="115"/>
        <v>129280.03922843978</v>
      </c>
      <c r="J935" s="534">
        <f t="shared" si="116"/>
        <v>0.98015597187177661</v>
      </c>
      <c r="K935" s="538">
        <f t="shared" si="117"/>
        <v>128259.38080919179</v>
      </c>
      <c r="L935" s="539">
        <f t="shared" si="118"/>
        <v>0.98008688146888179</v>
      </c>
      <c r="M935" s="540">
        <f t="shared" si="119"/>
        <v>153028.25092727627</v>
      </c>
      <c r="N935" s="534">
        <f t="shared" si="120"/>
        <v>0.98157004050277652</v>
      </c>
    </row>
    <row r="936" spans="7:14" x14ac:dyDescent="0.2">
      <c r="G936" s="538">
        <f t="shared" si="114"/>
        <v>129674.39503102977</v>
      </c>
      <c r="H936" s="539">
        <f t="shared" si="113"/>
        <v>0.98018245657861769</v>
      </c>
      <c r="I936" s="540">
        <f t="shared" si="115"/>
        <v>129280.03922843978</v>
      </c>
      <c r="J936" s="534">
        <f t="shared" si="116"/>
        <v>0.98015597187177661</v>
      </c>
      <c r="K936" s="538">
        <f t="shared" si="117"/>
        <v>128259.38080919179</v>
      </c>
      <c r="L936" s="539">
        <f t="shared" si="118"/>
        <v>0.98008688146888179</v>
      </c>
      <c r="M936" s="540">
        <f t="shared" si="119"/>
        <v>153028.25092727627</v>
      </c>
      <c r="N936" s="534">
        <f t="shared" si="120"/>
        <v>0.98157004050277652</v>
      </c>
    </row>
    <row r="937" spans="7:14" x14ac:dyDescent="0.2">
      <c r="G937" s="538">
        <f t="shared" si="114"/>
        <v>129674.39503102977</v>
      </c>
      <c r="H937" s="539">
        <f t="shared" si="113"/>
        <v>0.98018245657861769</v>
      </c>
      <c r="I937" s="540">
        <f t="shared" si="115"/>
        <v>129280.03922843978</v>
      </c>
      <c r="J937" s="534">
        <f t="shared" si="116"/>
        <v>0.98015597187177661</v>
      </c>
      <c r="K937" s="538">
        <f t="shared" si="117"/>
        <v>128259.38080919179</v>
      </c>
      <c r="L937" s="539">
        <f t="shared" si="118"/>
        <v>0.98008688146888179</v>
      </c>
      <c r="M937" s="540">
        <f t="shared" si="119"/>
        <v>153028.25092727627</v>
      </c>
      <c r="N937" s="534">
        <f t="shared" si="120"/>
        <v>0.98157004050277652</v>
      </c>
    </row>
    <row r="938" spans="7:14" x14ac:dyDescent="0.2">
      <c r="G938" s="538">
        <f t="shared" si="114"/>
        <v>129674.39503102977</v>
      </c>
      <c r="H938" s="539">
        <f t="shared" si="113"/>
        <v>0.98018245657861769</v>
      </c>
      <c r="I938" s="540">
        <f t="shared" si="115"/>
        <v>129280.03922843978</v>
      </c>
      <c r="J938" s="534">
        <f t="shared" si="116"/>
        <v>0.98015597187177661</v>
      </c>
      <c r="K938" s="538">
        <f t="shared" si="117"/>
        <v>128259.38080919179</v>
      </c>
      <c r="L938" s="539">
        <f t="shared" si="118"/>
        <v>0.98008688146888179</v>
      </c>
      <c r="M938" s="540">
        <f t="shared" si="119"/>
        <v>153028.25092727627</v>
      </c>
      <c r="N938" s="534">
        <f t="shared" si="120"/>
        <v>0.98157004050277652</v>
      </c>
    </row>
    <row r="939" spans="7:14" x14ac:dyDescent="0.2">
      <c r="G939" s="538">
        <f t="shared" si="114"/>
        <v>129674.39503102977</v>
      </c>
      <c r="H939" s="539">
        <f t="shared" si="113"/>
        <v>0.98018245657861769</v>
      </c>
      <c r="I939" s="540">
        <f t="shared" si="115"/>
        <v>129280.03922843978</v>
      </c>
      <c r="J939" s="534">
        <f t="shared" si="116"/>
        <v>0.98015597187177661</v>
      </c>
      <c r="K939" s="538">
        <f t="shared" si="117"/>
        <v>128259.38080919179</v>
      </c>
      <c r="L939" s="539">
        <f t="shared" si="118"/>
        <v>0.98008688146888179</v>
      </c>
      <c r="M939" s="540">
        <f t="shared" si="119"/>
        <v>153028.25092727627</v>
      </c>
      <c r="N939" s="534">
        <f t="shared" si="120"/>
        <v>0.98157004050277652</v>
      </c>
    </row>
    <row r="940" spans="7:14" x14ac:dyDescent="0.2">
      <c r="G940" s="538">
        <f t="shared" si="114"/>
        <v>129674.39503102977</v>
      </c>
      <c r="H940" s="539">
        <f t="shared" si="113"/>
        <v>0.98018245657861769</v>
      </c>
      <c r="I940" s="540">
        <f t="shared" si="115"/>
        <v>129280.03922843978</v>
      </c>
      <c r="J940" s="534">
        <f t="shared" si="116"/>
        <v>0.98015597187177661</v>
      </c>
      <c r="K940" s="538">
        <f t="shared" si="117"/>
        <v>128259.38080919179</v>
      </c>
      <c r="L940" s="539">
        <f t="shared" si="118"/>
        <v>0.98008688146888179</v>
      </c>
      <c r="M940" s="540">
        <f t="shared" si="119"/>
        <v>153028.25092727627</v>
      </c>
      <c r="N940" s="534">
        <f t="shared" si="120"/>
        <v>0.98157004050277652</v>
      </c>
    </row>
    <row r="941" spans="7:14" x14ac:dyDescent="0.2">
      <c r="G941" s="538">
        <f t="shared" si="114"/>
        <v>129674.39503102977</v>
      </c>
      <c r="H941" s="539">
        <f t="shared" si="113"/>
        <v>0.98018245657861769</v>
      </c>
      <c r="I941" s="540">
        <f t="shared" si="115"/>
        <v>129280.03922843978</v>
      </c>
      <c r="J941" s="534">
        <f t="shared" si="116"/>
        <v>0.98015597187177661</v>
      </c>
      <c r="K941" s="538">
        <f t="shared" si="117"/>
        <v>128259.38080919179</v>
      </c>
      <c r="L941" s="539">
        <f t="shared" si="118"/>
        <v>0.98008688146888179</v>
      </c>
      <c r="M941" s="540">
        <f t="shared" si="119"/>
        <v>153028.25092727627</v>
      </c>
      <c r="N941" s="534">
        <f t="shared" si="120"/>
        <v>0.98157004050277652</v>
      </c>
    </row>
    <row r="942" spans="7:14" x14ac:dyDescent="0.2">
      <c r="G942" s="538">
        <f t="shared" si="114"/>
        <v>129674.39503102977</v>
      </c>
      <c r="H942" s="539">
        <f t="shared" si="113"/>
        <v>0.98018245657861769</v>
      </c>
      <c r="I942" s="540">
        <f t="shared" si="115"/>
        <v>129280.03922843978</v>
      </c>
      <c r="J942" s="534">
        <f t="shared" si="116"/>
        <v>0.98015597187177661</v>
      </c>
      <c r="K942" s="538">
        <f t="shared" si="117"/>
        <v>128259.38080919179</v>
      </c>
      <c r="L942" s="539">
        <f t="shared" si="118"/>
        <v>0.98008688146888179</v>
      </c>
      <c r="M942" s="540">
        <f t="shared" si="119"/>
        <v>153028.25092727627</v>
      </c>
      <c r="N942" s="534">
        <f t="shared" si="120"/>
        <v>0.98157004050277652</v>
      </c>
    </row>
    <row r="943" spans="7:14" x14ac:dyDescent="0.2">
      <c r="G943" s="538">
        <f t="shared" si="114"/>
        <v>129674.39503102977</v>
      </c>
      <c r="H943" s="539">
        <f t="shared" si="113"/>
        <v>0.98018245657861769</v>
      </c>
      <c r="I943" s="540">
        <f t="shared" si="115"/>
        <v>129280.03922843978</v>
      </c>
      <c r="J943" s="534">
        <f t="shared" si="116"/>
        <v>0.98015597187177661</v>
      </c>
      <c r="K943" s="538">
        <f t="shared" si="117"/>
        <v>128259.38080919179</v>
      </c>
      <c r="L943" s="539">
        <f t="shared" si="118"/>
        <v>0.98008688146888179</v>
      </c>
      <c r="M943" s="540">
        <f t="shared" si="119"/>
        <v>153028.25092727627</v>
      </c>
      <c r="N943" s="534">
        <f t="shared" si="120"/>
        <v>0.98157004050277652</v>
      </c>
    </row>
    <row r="944" spans="7:14" x14ac:dyDescent="0.2">
      <c r="G944" s="538">
        <f t="shared" si="114"/>
        <v>129674.39503102977</v>
      </c>
      <c r="H944" s="539">
        <f t="shared" si="113"/>
        <v>0.98018245657861769</v>
      </c>
      <c r="I944" s="540">
        <f t="shared" si="115"/>
        <v>129280.03922843978</v>
      </c>
      <c r="J944" s="534">
        <f t="shared" si="116"/>
        <v>0.98015597187177661</v>
      </c>
      <c r="K944" s="538">
        <f t="shared" si="117"/>
        <v>128259.38080919179</v>
      </c>
      <c r="L944" s="539">
        <f t="shared" si="118"/>
        <v>0.98008688146888179</v>
      </c>
      <c r="M944" s="540">
        <f t="shared" si="119"/>
        <v>153028.25092727627</v>
      </c>
      <c r="N944" s="534">
        <f t="shared" si="120"/>
        <v>0.98157004050277652</v>
      </c>
    </row>
    <row r="945" spans="7:14" x14ac:dyDescent="0.2">
      <c r="G945" s="538">
        <f t="shared" si="114"/>
        <v>129674.39503102977</v>
      </c>
      <c r="H945" s="539">
        <f t="shared" si="113"/>
        <v>0.98018245657861769</v>
      </c>
      <c r="I945" s="540">
        <f t="shared" si="115"/>
        <v>129280.03922843978</v>
      </c>
      <c r="J945" s="534">
        <f t="shared" si="116"/>
        <v>0.98015597187177661</v>
      </c>
      <c r="K945" s="538">
        <f t="shared" si="117"/>
        <v>128259.38080919179</v>
      </c>
      <c r="L945" s="539">
        <f t="shared" si="118"/>
        <v>0.98008688146888179</v>
      </c>
      <c r="M945" s="540">
        <f t="shared" si="119"/>
        <v>153028.25092727627</v>
      </c>
      <c r="N945" s="534">
        <f t="shared" si="120"/>
        <v>0.98157004050277652</v>
      </c>
    </row>
    <row r="946" spans="7:14" x14ac:dyDescent="0.2">
      <c r="G946" s="538">
        <f t="shared" si="114"/>
        <v>129674.39503102977</v>
      </c>
      <c r="H946" s="539">
        <f t="shared" si="113"/>
        <v>0.98018245657861769</v>
      </c>
      <c r="I946" s="540">
        <f t="shared" si="115"/>
        <v>129280.03922843978</v>
      </c>
      <c r="J946" s="534">
        <f t="shared" si="116"/>
        <v>0.98015597187177661</v>
      </c>
      <c r="K946" s="538">
        <f t="shared" si="117"/>
        <v>128259.38080919179</v>
      </c>
      <c r="L946" s="539">
        <f t="shared" si="118"/>
        <v>0.98008688146888179</v>
      </c>
      <c r="M946" s="540">
        <f t="shared" si="119"/>
        <v>153028.25092727627</v>
      </c>
      <c r="N946" s="534">
        <f t="shared" si="120"/>
        <v>0.98157004050277652</v>
      </c>
    </row>
    <row r="947" spans="7:14" x14ac:dyDescent="0.2">
      <c r="G947" s="538">
        <f t="shared" si="114"/>
        <v>129674.39503102977</v>
      </c>
      <c r="H947" s="539">
        <f t="shared" si="113"/>
        <v>0.98018245657861769</v>
      </c>
      <c r="I947" s="540">
        <f t="shared" si="115"/>
        <v>129280.03922843978</v>
      </c>
      <c r="J947" s="534">
        <f t="shared" si="116"/>
        <v>0.98015597187177661</v>
      </c>
      <c r="K947" s="538">
        <f t="shared" si="117"/>
        <v>128259.38080919179</v>
      </c>
      <c r="L947" s="539">
        <f t="shared" si="118"/>
        <v>0.98008688146888179</v>
      </c>
      <c r="M947" s="540">
        <f t="shared" si="119"/>
        <v>153028.25092727627</v>
      </c>
      <c r="N947" s="534">
        <f t="shared" si="120"/>
        <v>0.98157004050277652</v>
      </c>
    </row>
    <row r="948" spans="7:14" x14ac:dyDescent="0.2">
      <c r="G948" s="538">
        <f t="shared" si="114"/>
        <v>129674.39503102977</v>
      </c>
      <c r="H948" s="539">
        <f t="shared" si="113"/>
        <v>0.98018245657861769</v>
      </c>
      <c r="I948" s="540">
        <f t="shared" si="115"/>
        <v>129280.03922843978</v>
      </c>
      <c r="J948" s="534">
        <f t="shared" si="116"/>
        <v>0.98015597187177661</v>
      </c>
      <c r="K948" s="538">
        <f t="shared" si="117"/>
        <v>128259.38080919179</v>
      </c>
      <c r="L948" s="539">
        <f t="shared" si="118"/>
        <v>0.98008688146888179</v>
      </c>
      <c r="M948" s="540">
        <f t="shared" si="119"/>
        <v>153028.25092727627</v>
      </c>
      <c r="N948" s="534">
        <f t="shared" si="120"/>
        <v>0.98157004050277652</v>
      </c>
    </row>
    <row r="949" spans="7:14" x14ac:dyDescent="0.2">
      <c r="G949" s="538">
        <f t="shared" si="114"/>
        <v>129674.39503102977</v>
      </c>
      <c r="H949" s="539">
        <f t="shared" si="113"/>
        <v>0.98018245657861769</v>
      </c>
      <c r="I949" s="540">
        <f t="shared" si="115"/>
        <v>129280.03922843978</v>
      </c>
      <c r="J949" s="534">
        <f t="shared" si="116"/>
        <v>0.98015597187177661</v>
      </c>
      <c r="K949" s="538">
        <f t="shared" si="117"/>
        <v>128259.38080919179</v>
      </c>
      <c r="L949" s="539">
        <f t="shared" si="118"/>
        <v>0.98008688146888179</v>
      </c>
      <c r="M949" s="540">
        <f t="shared" si="119"/>
        <v>153028.25092727627</v>
      </c>
      <c r="N949" s="534">
        <f t="shared" si="120"/>
        <v>0.98157004050277652</v>
      </c>
    </row>
    <row r="950" spans="7:14" x14ac:dyDescent="0.2">
      <c r="G950" s="538">
        <f t="shared" si="114"/>
        <v>129674.39503102977</v>
      </c>
      <c r="H950" s="539">
        <f t="shared" si="113"/>
        <v>0.98018245657861769</v>
      </c>
      <c r="I950" s="540">
        <f t="shared" si="115"/>
        <v>129280.03922843978</v>
      </c>
      <c r="J950" s="534">
        <f t="shared" si="116"/>
        <v>0.98015597187177661</v>
      </c>
      <c r="K950" s="538">
        <f t="shared" si="117"/>
        <v>128259.38080919179</v>
      </c>
      <c r="L950" s="539">
        <f t="shared" si="118"/>
        <v>0.98008688146888179</v>
      </c>
      <c r="M950" s="540">
        <f t="shared" si="119"/>
        <v>153028.25092727627</v>
      </c>
      <c r="N950" s="534">
        <f t="shared" si="120"/>
        <v>0.98157004050277652</v>
      </c>
    </row>
    <row r="951" spans="7:14" x14ac:dyDescent="0.2">
      <c r="G951" s="538">
        <f t="shared" si="114"/>
        <v>129674.39503102977</v>
      </c>
      <c r="H951" s="539">
        <f t="shared" si="113"/>
        <v>0.98018245657861769</v>
      </c>
      <c r="I951" s="540">
        <f t="shared" si="115"/>
        <v>129280.03922843978</v>
      </c>
      <c r="J951" s="534">
        <f t="shared" si="116"/>
        <v>0.98015597187177661</v>
      </c>
      <c r="K951" s="538">
        <f t="shared" si="117"/>
        <v>128259.38080919179</v>
      </c>
      <c r="L951" s="539">
        <f t="shared" si="118"/>
        <v>0.98008688146888179</v>
      </c>
      <c r="M951" s="540">
        <f t="shared" si="119"/>
        <v>153028.25092727627</v>
      </c>
      <c r="N951" s="534">
        <f t="shared" si="120"/>
        <v>0.98157004050277652</v>
      </c>
    </row>
    <row r="952" spans="7:14" x14ac:dyDescent="0.2">
      <c r="G952" s="538">
        <f t="shared" si="114"/>
        <v>129674.39503102977</v>
      </c>
      <c r="H952" s="539">
        <f t="shared" si="113"/>
        <v>0.98018245657861769</v>
      </c>
      <c r="I952" s="540">
        <f t="shared" si="115"/>
        <v>129280.03922843978</v>
      </c>
      <c r="J952" s="534">
        <f t="shared" si="116"/>
        <v>0.98015597187177661</v>
      </c>
      <c r="K952" s="538">
        <f t="shared" si="117"/>
        <v>128259.38080919179</v>
      </c>
      <c r="L952" s="539">
        <f t="shared" si="118"/>
        <v>0.98008688146888179</v>
      </c>
      <c r="M952" s="540">
        <f t="shared" si="119"/>
        <v>153028.25092727627</v>
      </c>
      <c r="N952" s="534">
        <f t="shared" si="120"/>
        <v>0.98157004050277652</v>
      </c>
    </row>
    <row r="953" spans="7:14" x14ac:dyDescent="0.2">
      <c r="G953" s="538">
        <f t="shared" si="114"/>
        <v>129674.39503102977</v>
      </c>
      <c r="H953" s="539">
        <f t="shared" si="113"/>
        <v>0.98018245657861769</v>
      </c>
      <c r="I953" s="540">
        <f t="shared" si="115"/>
        <v>129280.03922843978</v>
      </c>
      <c r="J953" s="534">
        <f t="shared" si="116"/>
        <v>0.98015597187177661</v>
      </c>
      <c r="K953" s="538">
        <f t="shared" si="117"/>
        <v>128259.38080919179</v>
      </c>
      <c r="L953" s="539">
        <f t="shared" si="118"/>
        <v>0.98008688146888179</v>
      </c>
      <c r="M953" s="540">
        <f t="shared" si="119"/>
        <v>153028.25092727627</v>
      </c>
      <c r="N953" s="534">
        <f t="shared" si="120"/>
        <v>0.98157004050277652</v>
      </c>
    </row>
    <row r="954" spans="7:14" x14ac:dyDescent="0.2">
      <c r="G954" s="538">
        <f t="shared" si="114"/>
        <v>129674.39503102977</v>
      </c>
      <c r="H954" s="539">
        <f t="shared" si="113"/>
        <v>0.98018245657861769</v>
      </c>
      <c r="I954" s="540">
        <f t="shared" si="115"/>
        <v>129280.03922843978</v>
      </c>
      <c r="J954" s="534">
        <f t="shared" si="116"/>
        <v>0.98015597187177661</v>
      </c>
      <c r="K954" s="538">
        <f t="shared" si="117"/>
        <v>128259.38080919179</v>
      </c>
      <c r="L954" s="539">
        <f t="shared" si="118"/>
        <v>0.98008688146888179</v>
      </c>
      <c r="M954" s="540">
        <f t="shared" si="119"/>
        <v>153028.25092727627</v>
      </c>
      <c r="N954" s="534">
        <f t="shared" si="120"/>
        <v>0.98157004050277652</v>
      </c>
    </row>
    <row r="955" spans="7:14" x14ac:dyDescent="0.2">
      <c r="G955" s="538">
        <f t="shared" si="114"/>
        <v>129674.39503102977</v>
      </c>
      <c r="H955" s="539">
        <f t="shared" si="113"/>
        <v>0.98018245657861769</v>
      </c>
      <c r="I955" s="540">
        <f t="shared" si="115"/>
        <v>129280.03922843978</v>
      </c>
      <c r="J955" s="534">
        <f t="shared" si="116"/>
        <v>0.98015597187177661</v>
      </c>
      <c r="K955" s="538">
        <f t="shared" si="117"/>
        <v>128259.38080919179</v>
      </c>
      <c r="L955" s="539">
        <f t="shared" si="118"/>
        <v>0.98008688146888179</v>
      </c>
      <c r="M955" s="540">
        <f t="shared" si="119"/>
        <v>153028.25092727627</v>
      </c>
      <c r="N955" s="534">
        <f t="shared" si="120"/>
        <v>0.98157004050277652</v>
      </c>
    </row>
    <row r="956" spans="7:14" x14ac:dyDescent="0.2">
      <c r="G956" s="538">
        <f t="shared" si="114"/>
        <v>129674.39503102977</v>
      </c>
      <c r="H956" s="539">
        <f t="shared" si="113"/>
        <v>0.98018245657861769</v>
      </c>
      <c r="I956" s="540">
        <f t="shared" si="115"/>
        <v>129280.03922843978</v>
      </c>
      <c r="J956" s="534">
        <f t="shared" si="116"/>
        <v>0.98015597187177661</v>
      </c>
      <c r="K956" s="538">
        <f t="shared" si="117"/>
        <v>128259.38080919179</v>
      </c>
      <c r="L956" s="539">
        <f t="shared" si="118"/>
        <v>0.98008688146888179</v>
      </c>
      <c r="M956" s="540">
        <f t="shared" si="119"/>
        <v>153028.25092727627</v>
      </c>
      <c r="N956" s="534">
        <f t="shared" si="120"/>
        <v>0.98157004050277652</v>
      </c>
    </row>
    <row r="957" spans="7:14" x14ac:dyDescent="0.2">
      <c r="G957" s="538">
        <f t="shared" si="114"/>
        <v>129674.39503102977</v>
      </c>
      <c r="H957" s="539">
        <f t="shared" si="113"/>
        <v>0.98018245657861769</v>
      </c>
      <c r="I957" s="540">
        <f t="shared" si="115"/>
        <v>129280.03922843978</v>
      </c>
      <c r="J957" s="534">
        <f t="shared" si="116"/>
        <v>0.98015597187177661</v>
      </c>
      <c r="K957" s="538">
        <f t="shared" si="117"/>
        <v>128259.38080919179</v>
      </c>
      <c r="L957" s="539">
        <f t="shared" si="118"/>
        <v>0.98008688146888179</v>
      </c>
      <c r="M957" s="540">
        <f t="shared" si="119"/>
        <v>153028.25092727627</v>
      </c>
      <c r="N957" s="534">
        <f t="shared" si="120"/>
        <v>0.98157004050277652</v>
      </c>
    </row>
    <row r="958" spans="7:14" x14ac:dyDescent="0.2">
      <c r="G958" s="538">
        <f t="shared" si="114"/>
        <v>129674.39503102977</v>
      </c>
      <c r="H958" s="539">
        <f t="shared" si="113"/>
        <v>0.98018245657861769</v>
      </c>
      <c r="I958" s="540">
        <f t="shared" si="115"/>
        <v>129280.03922843978</v>
      </c>
      <c r="J958" s="534">
        <f t="shared" si="116"/>
        <v>0.98015597187177661</v>
      </c>
      <c r="K958" s="538">
        <f t="shared" si="117"/>
        <v>128259.38080919179</v>
      </c>
      <c r="L958" s="539">
        <f t="shared" si="118"/>
        <v>0.98008688146888179</v>
      </c>
      <c r="M958" s="540">
        <f t="shared" si="119"/>
        <v>153028.25092727627</v>
      </c>
      <c r="N958" s="534">
        <f t="shared" si="120"/>
        <v>0.98157004050277652</v>
      </c>
    </row>
    <row r="959" spans="7:14" x14ac:dyDescent="0.2">
      <c r="G959" s="538">
        <f t="shared" si="114"/>
        <v>129674.39503102977</v>
      </c>
      <c r="H959" s="539">
        <f t="shared" si="113"/>
        <v>0.98018245657861769</v>
      </c>
      <c r="I959" s="540">
        <f t="shared" si="115"/>
        <v>129280.03922843978</v>
      </c>
      <c r="J959" s="534">
        <f t="shared" si="116"/>
        <v>0.98015597187177661</v>
      </c>
      <c r="K959" s="538">
        <f t="shared" si="117"/>
        <v>128259.38080919179</v>
      </c>
      <c r="L959" s="539">
        <f t="shared" si="118"/>
        <v>0.98008688146888179</v>
      </c>
      <c r="M959" s="540">
        <f t="shared" si="119"/>
        <v>153028.25092727627</v>
      </c>
      <c r="N959" s="534">
        <f t="shared" si="120"/>
        <v>0.98157004050277652</v>
      </c>
    </row>
    <row r="960" spans="7:14" x14ac:dyDescent="0.2">
      <c r="G960" s="538">
        <f t="shared" si="114"/>
        <v>129674.39503102977</v>
      </c>
      <c r="H960" s="539">
        <f t="shared" si="113"/>
        <v>0.98018245657861769</v>
      </c>
      <c r="I960" s="540">
        <f t="shared" si="115"/>
        <v>129280.03922843978</v>
      </c>
      <c r="J960" s="534">
        <f t="shared" si="116"/>
        <v>0.98015597187177661</v>
      </c>
      <c r="K960" s="538">
        <f t="shared" si="117"/>
        <v>128259.38080919179</v>
      </c>
      <c r="L960" s="539">
        <f t="shared" si="118"/>
        <v>0.98008688146888179</v>
      </c>
      <c r="M960" s="540">
        <f t="shared" si="119"/>
        <v>153028.25092727627</v>
      </c>
      <c r="N960" s="534">
        <f t="shared" si="120"/>
        <v>0.98157004050277652</v>
      </c>
    </row>
    <row r="961" spans="7:14" x14ac:dyDescent="0.2">
      <c r="G961" s="538">
        <f t="shared" si="114"/>
        <v>129674.39503102977</v>
      </c>
      <c r="H961" s="539">
        <f t="shared" si="113"/>
        <v>0.98018245657861769</v>
      </c>
      <c r="I961" s="540">
        <f t="shared" si="115"/>
        <v>129280.03922843978</v>
      </c>
      <c r="J961" s="534">
        <f t="shared" si="116"/>
        <v>0.98015597187177661</v>
      </c>
      <c r="K961" s="538">
        <f t="shared" si="117"/>
        <v>128259.38080919179</v>
      </c>
      <c r="L961" s="539">
        <f t="shared" si="118"/>
        <v>0.98008688146888179</v>
      </c>
      <c r="M961" s="540">
        <f t="shared" si="119"/>
        <v>153028.25092727627</v>
      </c>
      <c r="N961" s="534">
        <f t="shared" si="120"/>
        <v>0.98157004050277652</v>
      </c>
    </row>
    <row r="962" spans="7:14" x14ac:dyDescent="0.2">
      <c r="G962" s="538">
        <f t="shared" si="114"/>
        <v>129674.39503102977</v>
      </c>
      <c r="H962" s="539">
        <f t="shared" si="113"/>
        <v>0.98018245657861769</v>
      </c>
      <c r="I962" s="540">
        <f t="shared" si="115"/>
        <v>129280.03922843978</v>
      </c>
      <c r="J962" s="534">
        <f t="shared" si="116"/>
        <v>0.98015597187177661</v>
      </c>
      <c r="K962" s="538">
        <f t="shared" si="117"/>
        <v>128259.38080919179</v>
      </c>
      <c r="L962" s="539">
        <f t="shared" si="118"/>
        <v>0.98008688146888179</v>
      </c>
      <c r="M962" s="540">
        <f t="shared" si="119"/>
        <v>153028.25092727627</v>
      </c>
      <c r="N962" s="534">
        <f t="shared" si="120"/>
        <v>0.98157004050277652</v>
      </c>
    </row>
    <row r="963" spans="7:14" x14ac:dyDescent="0.2">
      <c r="G963" s="538">
        <f t="shared" si="114"/>
        <v>129674.39503102977</v>
      </c>
      <c r="H963" s="539">
        <f t="shared" ref="H963:H1026" si="121">0.9986-(7.006/SQRT(G963))+134.6/G963</f>
        <v>0.98018245657861769</v>
      </c>
      <c r="I963" s="540">
        <f t="shared" si="115"/>
        <v>129280.03922843978</v>
      </c>
      <c r="J963" s="534">
        <f t="shared" si="116"/>
        <v>0.98015597187177661</v>
      </c>
      <c r="K963" s="538">
        <f t="shared" si="117"/>
        <v>128259.38080919179</v>
      </c>
      <c r="L963" s="539">
        <f t="shared" si="118"/>
        <v>0.98008688146888179</v>
      </c>
      <c r="M963" s="540">
        <f t="shared" si="119"/>
        <v>153028.25092727627</v>
      </c>
      <c r="N963" s="534">
        <f t="shared" si="120"/>
        <v>0.98157004050277652</v>
      </c>
    </row>
    <row r="964" spans="7:14" x14ac:dyDescent="0.2">
      <c r="G964" s="538">
        <f t="shared" ref="G964:G1027" si="122">($C$6/(1000*$C$12*$C$16))*(H963*SQRT(2*$C$5*100*$C$16))</f>
        <v>129674.39503102977</v>
      </c>
      <c r="H964" s="539">
        <f t="shared" si="121"/>
        <v>0.98018245657861769</v>
      </c>
      <c r="I964" s="540">
        <f t="shared" ref="I964:I1027" si="123">($C$7/(1000*$C$12*$C$16))*(J963*SQRT(2*$C$5*100*$C$16))</f>
        <v>129280.03922843978</v>
      </c>
      <c r="J964" s="534">
        <f t="shared" ref="J964:J1027" si="124">0.9986-(7.006/SQRT(I964))+134.6/I964</f>
        <v>0.98015597187177661</v>
      </c>
      <c r="K964" s="538">
        <f t="shared" ref="K964:K1027" si="125">($C$8/(1000*$C$12*$C$16))*(L963*SQRT(2*$C$5*100*$C$16))</f>
        <v>128259.38080919179</v>
      </c>
      <c r="L964" s="539">
        <f t="shared" ref="L964:L1027" si="126">0.9986-(7.006/SQRT(K964))+134.6/K964</f>
        <v>0.98008688146888179</v>
      </c>
      <c r="M964" s="540">
        <f t="shared" ref="M964:M1027" si="127">($C$9/(1000*$C$12*$C$16))*(N963*SQRT(2*$C$5*100*$C$16))</f>
        <v>153028.25092727627</v>
      </c>
      <c r="N964" s="534">
        <f t="shared" ref="N964:N1027" si="128">0.9986-(7.006/SQRT(M964))+134.6/M964</f>
        <v>0.98157004050277652</v>
      </c>
    </row>
    <row r="965" spans="7:14" x14ac:dyDescent="0.2">
      <c r="G965" s="538">
        <f t="shared" si="122"/>
        <v>129674.39503102977</v>
      </c>
      <c r="H965" s="539">
        <f t="shared" si="121"/>
        <v>0.98018245657861769</v>
      </c>
      <c r="I965" s="540">
        <f t="shared" si="123"/>
        <v>129280.03922843978</v>
      </c>
      <c r="J965" s="534">
        <f t="shared" si="124"/>
        <v>0.98015597187177661</v>
      </c>
      <c r="K965" s="538">
        <f t="shared" si="125"/>
        <v>128259.38080919179</v>
      </c>
      <c r="L965" s="539">
        <f t="shared" si="126"/>
        <v>0.98008688146888179</v>
      </c>
      <c r="M965" s="540">
        <f t="shared" si="127"/>
        <v>153028.25092727627</v>
      </c>
      <c r="N965" s="534">
        <f t="shared" si="128"/>
        <v>0.98157004050277652</v>
      </c>
    </row>
    <row r="966" spans="7:14" x14ac:dyDescent="0.2">
      <c r="G966" s="538">
        <f t="shared" si="122"/>
        <v>129674.39503102977</v>
      </c>
      <c r="H966" s="539">
        <f t="shared" si="121"/>
        <v>0.98018245657861769</v>
      </c>
      <c r="I966" s="540">
        <f t="shared" si="123"/>
        <v>129280.03922843978</v>
      </c>
      <c r="J966" s="534">
        <f t="shared" si="124"/>
        <v>0.98015597187177661</v>
      </c>
      <c r="K966" s="538">
        <f t="shared" si="125"/>
        <v>128259.38080919179</v>
      </c>
      <c r="L966" s="539">
        <f t="shared" si="126"/>
        <v>0.98008688146888179</v>
      </c>
      <c r="M966" s="540">
        <f t="shared" si="127"/>
        <v>153028.25092727627</v>
      </c>
      <c r="N966" s="534">
        <f t="shared" si="128"/>
        <v>0.98157004050277652</v>
      </c>
    </row>
    <row r="967" spans="7:14" x14ac:dyDescent="0.2">
      <c r="G967" s="538">
        <f t="shared" si="122"/>
        <v>129674.39503102977</v>
      </c>
      <c r="H967" s="539">
        <f t="shared" si="121"/>
        <v>0.98018245657861769</v>
      </c>
      <c r="I967" s="540">
        <f t="shared" si="123"/>
        <v>129280.03922843978</v>
      </c>
      <c r="J967" s="534">
        <f t="shared" si="124"/>
        <v>0.98015597187177661</v>
      </c>
      <c r="K967" s="538">
        <f t="shared" si="125"/>
        <v>128259.38080919179</v>
      </c>
      <c r="L967" s="539">
        <f t="shared" si="126"/>
        <v>0.98008688146888179</v>
      </c>
      <c r="M967" s="540">
        <f t="shared" si="127"/>
        <v>153028.25092727627</v>
      </c>
      <c r="N967" s="534">
        <f t="shared" si="128"/>
        <v>0.98157004050277652</v>
      </c>
    </row>
    <row r="968" spans="7:14" x14ac:dyDescent="0.2">
      <c r="G968" s="538">
        <f t="shared" si="122"/>
        <v>129674.39503102977</v>
      </c>
      <c r="H968" s="539">
        <f t="shared" si="121"/>
        <v>0.98018245657861769</v>
      </c>
      <c r="I968" s="540">
        <f t="shared" si="123"/>
        <v>129280.03922843978</v>
      </c>
      <c r="J968" s="534">
        <f t="shared" si="124"/>
        <v>0.98015597187177661</v>
      </c>
      <c r="K968" s="538">
        <f t="shared" si="125"/>
        <v>128259.38080919179</v>
      </c>
      <c r="L968" s="539">
        <f t="shared" si="126"/>
        <v>0.98008688146888179</v>
      </c>
      <c r="M968" s="540">
        <f t="shared" si="127"/>
        <v>153028.25092727627</v>
      </c>
      <c r="N968" s="534">
        <f t="shared" si="128"/>
        <v>0.98157004050277652</v>
      </c>
    </row>
    <row r="969" spans="7:14" x14ac:dyDescent="0.2">
      <c r="G969" s="538">
        <f t="shared" si="122"/>
        <v>129674.39503102977</v>
      </c>
      <c r="H969" s="539">
        <f t="shared" si="121"/>
        <v>0.98018245657861769</v>
      </c>
      <c r="I969" s="540">
        <f t="shared" si="123"/>
        <v>129280.03922843978</v>
      </c>
      <c r="J969" s="534">
        <f t="shared" si="124"/>
        <v>0.98015597187177661</v>
      </c>
      <c r="K969" s="538">
        <f t="shared" si="125"/>
        <v>128259.38080919179</v>
      </c>
      <c r="L969" s="539">
        <f t="shared" si="126"/>
        <v>0.98008688146888179</v>
      </c>
      <c r="M969" s="540">
        <f t="shared" si="127"/>
        <v>153028.25092727627</v>
      </c>
      <c r="N969" s="534">
        <f t="shared" si="128"/>
        <v>0.98157004050277652</v>
      </c>
    </row>
    <row r="970" spans="7:14" x14ac:dyDescent="0.2">
      <c r="G970" s="538">
        <f t="shared" si="122"/>
        <v>129674.39503102977</v>
      </c>
      <c r="H970" s="539">
        <f t="shared" si="121"/>
        <v>0.98018245657861769</v>
      </c>
      <c r="I970" s="540">
        <f t="shared" si="123"/>
        <v>129280.03922843978</v>
      </c>
      <c r="J970" s="534">
        <f t="shared" si="124"/>
        <v>0.98015597187177661</v>
      </c>
      <c r="K970" s="538">
        <f t="shared" si="125"/>
        <v>128259.38080919179</v>
      </c>
      <c r="L970" s="539">
        <f t="shared" si="126"/>
        <v>0.98008688146888179</v>
      </c>
      <c r="M970" s="540">
        <f t="shared" si="127"/>
        <v>153028.25092727627</v>
      </c>
      <c r="N970" s="534">
        <f t="shared" si="128"/>
        <v>0.98157004050277652</v>
      </c>
    </row>
    <row r="971" spans="7:14" x14ac:dyDescent="0.2">
      <c r="G971" s="538">
        <f t="shared" si="122"/>
        <v>129674.39503102977</v>
      </c>
      <c r="H971" s="539">
        <f t="shared" si="121"/>
        <v>0.98018245657861769</v>
      </c>
      <c r="I971" s="540">
        <f t="shared" si="123"/>
        <v>129280.03922843978</v>
      </c>
      <c r="J971" s="534">
        <f t="shared" si="124"/>
        <v>0.98015597187177661</v>
      </c>
      <c r="K971" s="538">
        <f t="shared" si="125"/>
        <v>128259.38080919179</v>
      </c>
      <c r="L971" s="539">
        <f t="shared" si="126"/>
        <v>0.98008688146888179</v>
      </c>
      <c r="M971" s="540">
        <f t="shared" si="127"/>
        <v>153028.25092727627</v>
      </c>
      <c r="N971" s="534">
        <f t="shared" si="128"/>
        <v>0.98157004050277652</v>
      </c>
    </row>
    <row r="972" spans="7:14" x14ac:dyDescent="0.2">
      <c r="G972" s="538">
        <f t="shared" si="122"/>
        <v>129674.39503102977</v>
      </c>
      <c r="H972" s="539">
        <f t="shared" si="121"/>
        <v>0.98018245657861769</v>
      </c>
      <c r="I972" s="540">
        <f t="shared" si="123"/>
        <v>129280.03922843978</v>
      </c>
      <c r="J972" s="534">
        <f t="shared" si="124"/>
        <v>0.98015597187177661</v>
      </c>
      <c r="K972" s="538">
        <f t="shared" si="125"/>
        <v>128259.38080919179</v>
      </c>
      <c r="L972" s="539">
        <f t="shared" si="126"/>
        <v>0.98008688146888179</v>
      </c>
      <c r="M972" s="540">
        <f t="shared" si="127"/>
        <v>153028.25092727627</v>
      </c>
      <c r="N972" s="534">
        <f t="shared" si="128"/>
        <v>0.98157004050277652</v>
      </c>
    </row>
    <row r="973" spans="7:14" x14ac:dyDescent="0.2">
      <c r="G973" s="538">
        <f t="shared" si="122"/>
        <v>129674.39503102977</v>
      </c>
      <c r="H973" s="539">
        <f t="shared" si="121"/>
        <v>0.98018245657861769</v>
      </c>
      <c r="I973" s="540">
        <f t="shared" si="123"/>
        <v>129280.03922843978</v>
      </c>
      <c r="J973" s="534">
        <f t="shared" si="124"/>
        <v>0.98015597187177661</v>
      </c>
      <c r="K973" s="538">
        <f t="shared" si="125"/>
        <v>128259.38080919179</v>
      </c>
      <c r="L973" s="539">
        <f t="shared" si="126"/>
        <v>0.98008688146888179</v>
      </c>
      <c r="M973" s="540">
        <f t="shared" si="127"/>
        <v>153028.25092727627</v>
      </c>
      <c r="N973" s="534">
        <f t="shared" si="128"/>
        <v>0.98157004050277652</v>
      </c>
    </row>
    <row r="974" spans="7:14" x14ac:dyDescent="0.2">
      <c r="G974" s="538">
        <f t="shared" si="122"/>
        <v>129674.39503102977</v>
      </c>
      <c r="H974" s="539">
        <f t="shared" si="121"/>
        <v>0.98018245657861769</v>
      </c>
      <c r="I974" s="540">
        <f t="shared" si="123"/>
        <v>129280.03922843978</v>
      </c>
      <c r="J974" s="534">
        <f t="shared" si="124"/>
        <v>0.98015597187177661</v>
      </c>
      <c r="K974" s="538">
        <f t="shared" si="125"/>
        <v>128259.38080919179</v>
      </c>
      <c r="L974" s="539">
        <f t="shared" si="126"/>
        <v>0.98008688146888179</v>
      </c>
      <c r="M974" s="540">
        <f t="shared" si="127"/>
        <v>153028.25092727627</v>
      </c>
      <c r="N974" s="534">
        <f t="shared" si="128"/>
        <v>0.98157004050277652</v>
      </c>
    </row>
    <row r="975" spans="7:14" x14ac:dyDescent="0.2">
      <c r="G975" s="538">
        <f t="shared" si="122"/>
        <v>129674.39503102977</v>
      </c>
      <c r="H975" s="539">
        <f t="shared" si="121"/>
        <v>0.98018245657861769</v>
      </c>
      <c r="I975" s="540">
        <f t="shared" si="123"/>
        <v>129280.03922843978</v>
      </c>
      <c r="J975" s="534">
        <f t="shared" si="124"/>
        <v>0.98015597187177661</v>
      </c>
      <c r="K975" s="538">
        <f t="shared" si="125"/>
        <v>128259.38080919179</v>
      </c>
      <c r="L975" s="539">
        <f t="shared" si="126"/>
        <v>0.98008688146888179</v>
      </c>
      <c r="M975" s="540">
        <f t="shared" si="127"/>
        <v>153028.25092727627</v>
      </c>
      <c r="N975" s="534">
        <f t="shared" si="128"/>
        <v>0.98157004050277652</v>
      </c>
    </row>
    <row r="976" spans="7:14" x14ac:dyDescent="0.2">
      <c r="G976" s="538">
        <f t="shared" si="122"/>
        <v>129674.39503102977</v>
      </c>
      <c r="H976" s="539">
        <f t="shared" si="121"/>
        <v>0.98018245657861769</v>
      </c>
      <c r="I976" s="540">
        <f t="shared" si="123"/>
        <v>129280.03922843978</v>
      </c>
      <c r="J976" s="534">
        <f t="shared" si="124"/>
        <v>0.98015597187177661</v>
      </c>
      <c r="K976" s="538">
        <f t="shared" si="125"/>
        <v>128259.38080919179</v>
      </c>
      <c r="L976" s="539">
        <f t="shared" si="126"/>
        <v>0.98008688146888179</v>
      </c>
      <c r="M976" s="540">
        <f t="shared" si="127"/>
        <v>153028.25092727627</v>
      </c>
      <c r="N976" s="534">
        <f t="shared" si="128"/>
        <v>0.98157004050277652</v>
      </c>
    </row>
    <row r="977" spans="7:14" x14ac:dyDescent="0.2">
      <c r="G977" s="538">
        <f t="shared" si="122"/>
        <v>129674.39503102977</v>
      </c>
      <c r="H977" s="539">
        <f t="shared" si="121"/>
        <v>0.98018245657861769</v>
      </c>
      <c r="I977" s="540">
        <f t="shared" si="123"/>
        <v>129280.03922843978</v>
      </c>
      <c r="J977" s="534">
        <f t="shared" si="124"/>
        <v>0.98015597187177661</v>
      </c>
      <c r="K977" s="538">
        <f t="shared" si="125"/>
        <v>128259.38080919179</v>
      </c>
      <c r="L977" s="539">
        <f t="shared" si="126"/>
        <v>0.98008688146888179</v>
      </c>
      <c r="M977" s="540">
        <f t="shared" si="127"/>
        <v>153028.25092727627</v>
      </c>
      <c r="N977" s="534">
        <f t="shared" si="128"/>
        <v>0.98157004050277652</v>
      </c>
    </row>
    <row r="978" spans="7:14" x14ac:dyDescent="0.2">
      <c r="G978" s="538">
        <f t="shared" si="122"/>
        <v>129674.39503102977</v>
      </c>
      <c r="H978" s="539">
        <f t="shared" si="121"/>
        <v>0.98018245657861769</v>
      </c>
      <c r="I978" s="540">
        <f t="shared" si="123"/>
        <v>129280.03922843978</v>
      </c>
      <c r="J978" s="534">
        <f t="shared" si="124"/>
        <v>0.98015597187177661</v>
      </c>
      <c r="K978" s="538">
        <f t="shared" si="125"/>
        <v>128259.38080919179</v>
      </c>
      <c r="L978" s="539">
        <f t="shared" si="126"/>
        <v>0.98008688146888179</v>
      </c>
      <c r="M978" s="540">
        <f t="shared" si="127"/>
        <v>153028.25092727627</v>
      </c>
      <c r="N978" s="534">
        <f t="shared" si="128"/>
        <v>0.98157004050277652</v>
      </c>
    </row>
    <row r="979" spans="7:14" x14ac:dyDescent="0.2">
      <c r="G979" s="538">
        <f t="shared" si="122"/>
        <v>129674.39503102977</v>
      </c>
      <c r="H979" s="539">
        <f t="shared" si="121"/>
        <v>0.98018245657861769</v>
      </c>
      <c r="I979" s="540">
        <f t="shared" si="123"/>
        <v>129280.03922843978</v>
      </c>
      <c r="J979" s="534">
        <f t="shared" si="124"/>
        <v>0.98015597187177661</v>
      </c>
      <c r="K979" s="538">
        <f t="shared" si="125"/>
        <v>128259.38080919179</v>
      </c>
      <c r="L979" s="539">
        <f t="shared" si="126"/>
        <v>0.98008688146888179</v>
      </c>
      <c r="M979" s="540">
        <f t="shared" si="127"/>
        <v>153028.25092727627</v>
      </c>
      <c r="N979" s="534">
        <f t="shared" si="128"/>
        <v>0.98157004050277652</v>
      </c>
    </row>
    <row r="980" spans="7:14" x14ac:dyDescent="0.2">
      <c r="G980" s="538">
        <f t="shared" si="122"/>
        <v>129674.39503102977</v>
      </c>
      <c r="H980" s="539">
        <f t="shared" si="121"/>
        <v>0.98018245657861769</v>
      </c>
      <c r="I980" s="540">
        <f t="shared" si="123"/>
        <v>129280.03922843978</v>
      </c>
      <c r="J980" s="534">
        <f t="shared" si="124"/>
        <v>0.98015597187177661</v>
      </c>
      <c r="K980" s="538">
        <f t="shared" si="125"/>
        <v>128259.38080919179</v>
      </c>
      <c r="L980" s="539">
        <f t="shared" si="126"/>
        <v>0.98008688146888179</v>
      </c>
      <c r="M980" s="540">
        <f t="shared" si="127"/>
        <v>153028.25092727627</v>
      </c>
      <c r="N980" s="534">
        <f t="shared" si="128"/>
        <v>0.98157004050277652</v>
      </c>
    </row>
    <row r="981" spans="7:14" x14ac:dyDescent="0.2">
      <c r="G981" s="538">
        <f t="shared" si="122"/>
        <v>129674.39503102977</v>
      </c>
      <c r="H981" s="539">
        <f t="shared" si="121"/>
        <v>0.98018245657861769</v>
      </c>
      <c r="I981" s="540">
        <f t="shared" si="123"/>
        <v>129280.03922843978</v>
      </c>
      <c r="J981" s="534">
        <f t="shared" si="124"/>
        <v>0.98015597187177661</v>
      </c>
      <c r="K981" s="538">
        <f t="shared" si="125"/>
        <v>128259.38080919179</v>
      </c>
      <c r="L981" s="539">
        <f t="shared" si="126"/>
        <v>0.98008688146888179</v>
      </c>
      <c r="M981" s="540">
        <f t="shared" si="127"/>
        <v>153028.25092727627</v>
      </c>
      <c r="N981" s="534">
        <f t="shared" si="128"/>
        <v>0.98157004050277652</v>
      </c>
    </row>
    <row r="982" spans="7:14" x14ac:dyDescent="0.2">
      <c r="G982" s="538">
        <f t="shared" si="122"/>
        <v>129674.39503102977</v>
      </c>
      <c r="H982" s="539">
        <f t="shared" si="121"/>
        <v>0.98018245657861769</v>
      </c>
      <c r="I982" s="540">
        <f t="shared" si="123"/>
        <v>129280.03922843978</v>
      </c>
      <c r="J982" s="534">
        <f t="shared" si="124"/>
        <v>0.98015597187177661</v>
      </c>
      <c r="K982" s="538">
        <f t="shared" si="125"/>
        <v>128259.38080919179</v>
      </c>
      <c r="L982" s="539">
        <f t="shared" si="126"/>
        <v>0.98008688146888179</v>
      </c>
      <c r="M982" s="540">
        <f t="shared" si="127"/>
        <v>153028.25092727627</v>
      </c>
      <c r="N982" s="534">
        <f t="shared" si="128"/>
        <v>0.98157004050277652</v>
      </c>
    </row>
    <row r="983" spans="7:14" x14ac:dyDescent="0.2">
      <c r="G983" s="538">
        <f t="shared" si="122"/>
        <v>129674.39503102977</v>
      </c>
      <c r="H983" s="539">
        <f t="shared" si="121"/>
        <v>0.98018245657861769</v>
      </c>
      <c r="I983" s="540">
        <f t="shared" si="123"/>
        <v>129280.03922843978</v>
      </c>
      <c r="J983" s="534">
        <f t="shared" si="124"/>
        <v>0.98015597187177661</v>
      </c>
      <c r="K983" s="538">
        <f t="shared" si="125"/>
        <v>128259.38080919179</v>
      </c>
      <c r="L983" s="539">
        <f t="shared" si="126"/>
        <v>0.98008688146888179</v>
      </c>
      <c r="M983" s="540">
        <f t="shared" si="127"/>
        <v>153028.25092727627</v>
      </c>
      <c r="N983" s="534">
        <f t="shared" si="128"/>
        <v>0.98157004050277652</v>
      </c>
    </row>
    <row r="984" spans="7:14" x14ac:dyDescent="0.2">
      <c r="G984" s="538">
        <f t="shared" si="122"/>
        <v>129674.39503102977</v>
      </c>
      <c r="H984" s="539">
        <f t="shared" si="121"/>
        <v>0.98018245657861769</v>
      </c>
      <c r="I984" s="540">
        <f t="shared" si="123"/>
        <v>129280.03922843978</v>
      </c>
      <c r="J984" s="534">
        <f t="shared" si="124"/>
        <v>0.98015597187177661</v>
      </c>
      <c r="K984" s="538">
        <f t="shared" si="125"/>
        <v>128259.38080919179</v>
      </c>
      <c r="L984" s="539">
        <f t="shared" si="126"/>
        <v>0.98008688146888179</v>
      </c>
      <c r="M984" s="540">
        <f t="shared" si="127"/>
        <v>153028.25092727627</v>
      </c>
      <c r="N984" s="534">
        <f t="shared" si="128"/>
        <v>0.98157004050277652</v>
      </c>
    </row>
    <row r="985" spans="7:14" x14ac:dyDescent="0.2">
      <c r="G985" s="538">
        <f t="shared" si="122"/>
        <v>129674.39503102977</v>
      </c>
      <c r="H985" s="539">
        <f t="shared" si="121"/>
        <v>0.98018245657861769</v>
      </c>
      <c r="I985" s="540">
        <f t="shared" si="123"/>
        <v>129280.03922843978</v>
      </c>
      <c r="J985" s="534">
        <f t="shared" si="124"/>
        <v>0.98015597187177661</v>
      </c>
      <c r="K985" s="538">
        <f t="shared" si="125"/>
        <v>128259.38080919179</v>
      </c>
      <c r="L985" s="539">
        <f t="shared" si="126"/>
        <v>0.98008688146888179</v>
      </c>
      <c r="M985" s="540">
        <f t="shared" si="127"/>
        <v>153028.25092727627</v>
      </c>
      <c r="N985" s="534">
        <f t="shared" si="128"/>
        <v>0.98157004050277652</v>
      </c>
    </row>
    <row r="986" spans="7:14" x14ac:dyDescent="0.2">
      <c r="G986" s="538">
        <f t="shared" si="122"/>
        <v>129674.39503102977</v>
      </c>
      <c r="H986" s="539">
        <f t="shared" si="121"/>
        <v>0.98018245657861769</v>
      </c>
      <c r="I986" s="540">
        <f t="shared" si="123"/>
        <v>129280.03922843978</v>
      </c>
      <c r="J986" s="534">
        <f t="shared" si="124"/>
        <v>0.98015597187177661</v>
      </c>
      <c r="K986" s="538">
        <f t="shared" si="125"/>
        <v>128259.38080919179</v>
      </c>
      <c r="L986" s="539">
        <f t="shared" si="126"/>
        <v>0.98008688146888179</v>
      </c>
      <c r="M986" s="540">
        <f t="shared" si="127"/>
        <v>153028.25092727627</v>
      </c>
      <c r="N986" s="534">
        <f t="shared" si="128"/>
        <v>0.98157004050277652</v>
      </c>
    </row>
    <row r="987" spans="7:14" x14ac:dyDescent="0.2">
      <c r="G987" s="538">
        <f t="shared" si="122"/>
        <v>129674.39503102977</v>
      </c>
      <c r="H987" s="539">
        <f t="shared" si="121"/>
        <v>0.98018245657861769</v>
      </c>
      <c r="I987" s="540">
        <f t="shared" si="123"/>
        <v>129280.03922843978</v>
      </c>
      <c r="J987" s="534">
        <f t="shared" si="124"/>
        <v>0.98015597187177661</v>
      </c>
      <c r="K987" s="538">
        <f t="shared" si="125"/>
        <v>128259.38080919179</v>
      </c>
      <c r="L987" s="539">
        <f t="shared" si="126"/>
        <v>0.98008688146888179</v>
      </c>
      <c r="M987" s="540">
        <f t="shared" si="127"/>
        <v>153028.25092727627</v>
      </c>
      <c r="N987" s="534">
        <f t="shared" si="128"/>
        <v>0.98157004050277652</v>
      </c>
    </row>
    <row r="988" spans="7:14" x14ac:dyDescent="0.2">
      <c r="G988" s="538">
        <f t="shared" si="122"/>
        <v>129674.39503102977</v>
      </c>
      <c r="H988" s="539">
        <f t="shared" si="121"/>
        <v>0.98018245657861769</v>
      </c>
      <c r="I988" s="540">
        <f t="shared" si="123"/>
        <v>129280.03922843978</v>
      </c>
      <c r="J988" s="534">
        <f t="shared" si="124"/>
        <v>0.98015597187177661</v>
      </c>
      <c r="K988" s="538">
        <f t="shared" si="125"/>
        <v>128259.38080919179</v>
      </c>
      <c r="L988" s="539">
        <f t="shared" si="126"/>
        <v>0.98008688146888179</v>
      </c>
      <c r="M988" s="540">
        <f t="shared" si="127"/>
        <v>153028.25092727627</v>
      </c>
      <c r="N988" s="534">
        <f t="shared" si="128"/>
        <v>0.98157004050277652</v>
      </c>
    </row>
    <row r="989" spans="7:14" x14ac:dyDescent="0.2">
      <c r="G989" s="538">
        <f t="shared" si="122"/>
        <v>129674.39503102977</v>
      </c>
      <c r="H989" s="539">
        <f t="shared" si="121"/>
        <v>0.98018245657861769</v>
      </c>
      <c r="I989" s="540">
        <f t="shared" si="123"/>
        <v>129280.03922843978</v>
      </c>
      <c r="J989" s="534">
        <f t="shared" si="124"/>
        <v>0.98015597187177661</v>
      </c>
      <c r="K989" s="538">
        <f t="shared" si="125"/>
        <v>128259.38080919179</v>
      </c>
      <c r="L989" s="539">
        <f t="shared" si="126"/>
        <v>0.98008688146888179</v>
      </c>
      <c r="M989" s="540">
        <f t="shared" si="127"/>
        <v>153028.25092727627</v>
      </c>
      <c r="N989" s="534">
        <f t="shared" si="128"/>
        <v>0.98157004050277652</v>
      </c>
    </row>
    <row r="990" spans="7:14" x14ac:dyDescent="0.2">
      <c r="G990" s="538">
        <f t="shared" si="122"/>
        <v>129674.39503102977</v>
      </c>
      <c r="H990" s="539">
        <f t="shared" si="121"/>
        <v>0.98018245657861769</v>
      </c>
      <c r="I990" s="540">
        <f t="shared" si="123"/>
        <v>129280.03922843978</v>
      </c>
      <c r="J990" s="534">
        <f t="shared" si="124"/>
        <v>0.98015597187177661</v>
      </c>
      <c r="K990" s="538">
        <f t="shared" si="125"/>
        <v>128259.38080919179</v>
      </c>
      <c r="L990" s="539">
        <f t="shared" si="126"/>
        <v>0.98008688146888179</v>
      </c>
      <c r="M990" s="540">
        <f t="shared" si="127"/>
        <v>153028.25092727627</v>
      </c>
      <c r="N990" s="534">
        <f t="shared" si="128"/>
        <v>0.98157004050277652</v>
      </c>
    </row>
    <row r="991" spans="7:14" x14ac:dyDescent="0.2">
      <c r="G991" s="538">
        <f t="shared" si="122"/>
        <v>129674.39503102977</v>
      </c>
      <c r="H991" s="539">
        <f t="shared" si="121"/>
        <v>0.98018245657861769</v>
      </c>
      <c r="I991" s="540">
        <f t="shared" si="123"/>
        <v>129280.03922843978</v>
      </c>
      <c r="J991" s="534">
        <f t="shared" si="124"/>
        <v>0.98015597187177661</v>
      </c>
      <c r="K991" s="538">
        <f t="shared" si="125"/>
        <v>128259.38080919179</v>
      </c>
      <c r="L991" s="539">
        <f t="shared" si="126"/>
        <v>0.98008688146888179</v>
      </c>
      <c r="M991" s="540">
        <f t="shared" si="127"/>
        <v>153028.25092727627</v>
      </c>
      <c r="N991" s="534">
        <f t="shared" si="128"/>
        <v>0.98157004050277652</v>
      </c>
    </row>
    <row r="992" spans="7:14" x14ac:dyDescent="0.2">
      <c r="G992" s="538">
        <f t="shared" si="122"/>
        <v>129674.39503102977</v>
      </c>
      <c r="H992" s="539">
        <f t="shared" si="121"/>
        <v>0.98018245657861769</v>
      </c>
      <c r="I992" s="540">
        <f t="shared" si="123"/>
        <v>129280.03922843978</v>
      </c>
      <c r="J992" s="534">
        <f t="shared" si="124"/>
        <v>0.98015597187177661</v>
      </c>
      <c r="K992" s="538">
        <f t="shared" si="125"/>
        <v>128259.38080919179</v>
      </c>
      <c r="L992" s="539">
        <f t="shared" si="126"/>
        <v>0.98008688146888179</v>
      </c>
      <c r="M992" s="540">
        <f t="shared" si="127"/>
        <v>153028.25092727627</v>
      </c>
      <c r="N992" s="534">
        <f t="shared" si="128"/>
        <v>0.98157004050277652</v>
      </c>
    </row>
    <row r="993" spans="7:14" x14ac:dyDescent="0.2">
      <c r="G993" s="538">
        <f t="shared" si="122"/>
        <v>129674.39503102977</v>
      </c>
      <c r="H993" s="539">
        <f t="shared" si="121"/>
        <v>0.98018245657861769</v>
      </c>
      <c r="I993" s="540">
        <f t="shared" si="123"/>
        <v>129280.03922843978</v>
      </c>
      <c r="J993" s="534">
        <f t="shared" si="124"/>
        <v>0.98015597187177661</v>
      </c>
      <c r="K993" s="538">
        <f t="shared" si="125"/>
        <v>128259.38080919179</v>
      </c>
      <c r="L993" s="539">
        <f t="shared" si="126"/>
        <v>0.98008688146888179</v>
      </c>
      <c r="M993" s="540">
        <f t="shared" si="127"/>
        <v>153028.25092727627</v>
      </c>
      <c r="N993" s="534">
        <f t="shared" si="128"/>
        <v>0.98157004050277652</v>
      </c>
    </row>
    <row r="994" spans="7:14" x14ac:dyDescent="0.2">
      <c r="G994" s="538">
        <f t="shared" si="122"/>
        <v>129674.39503102977</v>
      </c>
      <c r="H994" s="539">
        <f t="shared" si="121"/>
        <v>0.98018245657861769</v>
      </c>
      <c r="I994" s="540">
        <f t="shared" si="123"/>
        <v>129280.03922843978</v>
      </c>
      <c r="J994" s="534">
        <f t="shared" si="124"/>
        <v>0.98015597187177661</v>
      </c>
      <c r="K994" s="538">
        <f t="shared" si="125"/>
        <v>128259.38080919179</v>
      </c>
      <c r="L994" s="539">
        <f t="shared" si="126"/>
        <v>0.98008688146888179</v>
      </c>
      <c r="M994" s="540">
        <f t="shared" si="127"/>
        <v>153028.25092727627</v>
      </c>
      <c r="N994" s="534">
        <f t="shared" si="128"/>
        <v>0.98157004050277652</v>
      </c>
    </row>
    <row r="995" spans="7:14" x14ac:dyDescent="0.2">
      <c r="G995" s="538">
        <f t="shared" si="122"/>
        <v>129674.39503102977</v>
      </c>
      <c r="H995" s="539">
        <f t="shared" si="121"/>
        <v>0.98018245657861769</v>
      </c>
      <c r="I995" s="540">
        <f t="shared" si="123"/>
        <v>129280.03922843978</v>
      </c>
      <c r="J995" s="534">
        <f t="shared" si="124"/>
        <v>0.98015597187177661</v>
      </c>
      <c r="K995" s="538">
        <f t="shared" si="125"/>
        <v>128259.38080919179</v>
      </c>
      <c r="L995" s="539">
        <f t="shared" si="126"/>
        <v>0.98008688146888179</v>
      </c>
      <c r="M995" s="540">
        <f t="shared" si="127"/>
        <v>153028.25092727627</v>
      </c>
      <c r="N995" s="534">
        <f t="shared" si="128"/>
        <v>0.98157004050277652</v>
      </c>
    </row>
    <row r="996" spans="7:14" x14ac:dyDescent="0.2">
      <c r="G996" s="538">
        <f t="shared" si="122"/>
        <v>129674.39503102977</v>
      </c>
      <c r="H996" s="539">
        <f t="shared" si="121"/>
        <v>0.98018245657861769</v>
      </c>
      <c r="I996" s="540">
        <f t="shared" si="123"/>
        <v>129280.03922843978</v>
      </c>
      <c r="J996" s="534">
        <f t="shared" si="124"/>
        <v>0.98015597187177661</v>
      </c>
      <c r="K996" s="538">
        <f t="shared" si="125"/>
        <v>128259.38080919179</v>
      </c>
      <c r="L996" s="539">
        <f t="shared" si="126"/>
        <v>0.98008688146888179</v>
      </c>
      <c r="M996" s="540">
        <f t="shared" si="127"/>
        <v>153028.25092727627</v>
      </c>
      <c r="N996" s="534">
        <f t="shared" si="128"/>
        <v>0.98157004050277652</v>
      </c>
    </row>
    <row r="997" spans="7:14" x14ac:dyDescent="0.2">
      <c r="G997" s="538">
        <f t="shared" si="122"/>
        <v>129674.39503102977</v>
      </c>
      <c r="H997" s="539">
        <f t="shared" si="121"/>
        <v>0.98018245657861769</v>
      </c>
      <c r="I997" s="540">
        <f t="shared" si="123"/>
        <v>129280.03922843978</v>
      </c>
      <c r="J997" s="534">
        <f t="shared" si="124"/>
        <v>0.98015597187177661</v>
      </c>
      <c r="K997" s="538">
        <f t="shared" si="125"/>
        <v>128259.38080919179</v>
      </c>
      <c r="L997" s="539">
        <f t="shared" si="126"/>
        <v>0.98008688146888179</v>
      </c>
      <c r="M997" s="540">
        <f t="shared" si="127"/>
        <v>153028.25092727627</v>
      </c>
      <c r="N997" s="534">
        <f t="shared" si="128"/>
        <v>0.98157004050277652</v>
      </c>
    </row>
    <row r="998" spans="7:14" x14ac:dyDescent="0.2">
      <c r="G998" s="538">
        <f t="shared" si="122"/>
        <v>129674.39503102977</v>
      </c>
      <c r="H998" s="539">
        <f t="shared" si="121"/>
        <v>0.98018245657861769</v>
      </c>
      <c r="I998" s="540">
        <f t="shared" si="123"/>
        <v>129280.03922843978</v>
      </c>
      <c r="J998" s="534">
        <f t="shared" si="124"/>
        <v>0.98015597187177661</v>
      </c>
      <c r="K998" s="538">
        <f t="shared" si="125"/>
        <v>128259.38080919179</v>
      </c>
      <c r="L998" s="539">
        <f t="shared" si="126"/>
        <v>0.98008688146888179</v>
      </c>
      <c r="M998" s="540">
        <f t="shared" si="127"/>
        <v>153028.25092727627</v>
      </c>
      <c r="N998" s="534">
        <f t="shared" si="128"/>
        <v>0.98157004050277652</v>
      </c>
    </row>
    <row r="999" spans="7:14" x14ac:dyDescent="0.2">
      <c r="G999" s="538">
        <f t="shared" si="122"/>
        <v>129674.39503102977</v>
      </c>
      <c r="H999" s="539">
        <f t="shared" si="121"/>
        <v>0.98018245657861769</v>
      </c>
      <c r="I999" s="540">
        <f t="shared" si="123"/>
        <v>129280.03922843978</v>
      </c>
      <c r="J999" s="534">
        <f t="shared" si="124"/>
        <v>0.98015597187177661</v>
      </c>
      <c r="K999" s="538">
        <f t="shared" si="125"/>
        <v>128259.38080919179</v>
      </c>
      <c r="L999" s="539">
        <f t="shared" si="126"/>
        <v>0.98008688146888179</v>
      </c>
      <c r="M999" s="540">
        <f t="shared" si="127"/>
        <v>153028.25092727627</v>
      </c>
      <c r="N999" s="534">
        <f t="shared" si="128"/>
        <v>0.98157004050277652</v>
      </c>
    </row>
    <row r="1000" spans="7:14" x14ac:dyDescent="0.2">
      <c r="G1000" s="538">
        <f t="shared" si="122"/>
        <v>129674.39503102977</v>
      </c>
      <c r="H1000" s="539">
        <f t="shared" si="121"/>
        <v>0.98018245657861769</v>
      </c>
      <c r="I1000" s="540">
        <f t="shared" si="123"/>
        <v>129280.03922843978</v>
      </c>
      <c r="J1000" s="534">
        <f t="shared" si="124"/>
        <v>0.98015597187177661</v>
      </c>
      <c r="K1000" s="538">
        <f t="shared" si="125"/>
        <v>128259.38080919179</v>
      </c>
      <c r="L1000" s="539">
        <f t="shared" si="126"/>
        <v>0.98008688146888179</v>
      </c>
      <c r="M1000" s="540">
        <f t="shared" si="127"/>
        <v>153028.25092727627</v>
      </c>
      <c r="N1000" s="534">
        <f t="shared" si="128"/>
        <v>0.98157004050277652</v>
      </c>
    </row>
    <row r="1001" spans="7:14" x14ac:dyDescent="0.2">
      <c r="G1001" s="538">
        <f t="shared" si="122"/>
        <v>129674.39503102977</v>
      </c>
      <c r="H1001" s="539">
        <f t="shared" si="121"/>
        <v>0.98018245657861769</v>
      </c>
      <c r="I1001" s="540">
        <f t="shared" si="123"/>
        <v>129280.03922843978</v>
      </c>
      <c r="J1001" s="534">
        <f t="shared" si="124"/>
        <v>0.98015597187177661</v>
      </c>
      <c r="K1001" s="538">
        <f t="shared" si="125"/>
        <v>128259.38080919179</v>
      </c>
      <c r="L1001" s="539">
        <f t="shared" si="126"/>
        <v>0.98008688146888179</v>
      </c>
      <c r="M1001" s="540">
        <f t="shared" si="127"/>
        <v>153028.25092727627</v>
      </c>
      <c r="N1001" s="534">
        <f t="shared" si="128"/>
        <v>0.98157004050277652</v>
      </c>
    </row>
    <row r="1002" spans="7:14" x14ac:dyDescent="0.2">
      <c r="G1002" s="538">
        <f t="shared" si="122"/>
        <v>129674.39503102977</v>
      </c>
      <c r="H1002" s="539">
        <f t="shared" si="121"/>
        <v>0.98018245657861769</v>
      </c>
      <c r="I1002" s="540">
        <f t="shared" si="123"/>
        <v>129280.03922843978</v>
      </c>
      <c r="J1002" s="534">
        <f t="shared" si="124"/>
        <v>0.98015597187177661</v>
      </c>
      <c r="K1002" s="538">
        <f t="shared" si="125"/>
        <v>128259.38080919179</v>
      </c>
      <c r="L1002" s="539">
        <f t="shared" si="126"/>
        <v>0.98008688146888179</v>
      </c>
      <c r="M1002" s="540">
        <f t="shared" si="127"/>
        <v>153028.25092727627</v>
      </c>
      <c r="N1002" s="534">
        <f t="shared" si="128"/>
        <v>0.98157004050277652</v>
      </c>
    </row>
    <row r="1003" spans="7:14" x14ac:dyDescent="0.2">
      <c r="G1003" s="538">
        <f t="shared" si="122"/>
        <v>129674.39503102977</v>
      </c>
      <c r="H1003" s="539">
        <f t="shared" si="121"/>
        <v>0.98018245657861769</v>
      </c>
      <c r="I1003" s="540">
        <f t="shared" si="123"/>
        <v>129280.03922843978</v>
      </c>
      <c r="J1003" s="534">
        <f t="shared" si="124"/>
        <v>0.98015597187177661</v>
      </c>
      <c r="K1003" s="538">
        <f t="shared" si="125"/>
        <v>128259.38080919179</v>
      </c>
      <c r="L1003" s="539">
        <f t="shared" si="126"/>
        <v>0.98008688146888179</v>
      </c>
      <c r="M1003" s="540">
        <f t="shared" si="127"/>
        <v>153028.25092727627</v>
      </c>
      <c r="N1003" s="534">
        <f t="shared" si="128"/>
        <v>0.98157004050277652</v>
      </c>
    </row>
    <row r="1004" spans="7:14" x14ac:dyDescent="0.2">
      <c r="G1004" s="538">
        <f t="shared" si="122"/>
        <v>129674.39503102977</v>
      </c>
      <c r="H1004" s="539">
        <f t="shared" si="121"/>
        <v>0.98018245657861769</v>
      </c>
      <c r="I1004" s="540">
        <f t="shared" si="123"/>
        <v>129280.03922843978</v>
      </c>
      <c r="J1004" s="534">
        <f t="shared" si="124"/>
        <v>0.98015597187177661</v>
      </c>
      <c r="K1004" s="538">
        <f t="shared" si="125"/>
        <v>128259.38080919179</v>
      </c>
      <c r="L1004" s="539">
        <f t="shared" si="126"/>
        <v>0.98008688146888179</v>
      </c>
      <c r="M1004" s="540">
        <f t="shared" si="127"/>
        <v>153028.25092727627</v>
      </c>
      <c r="N1004" s="534">
        <f t="shared" si="128"/>
        <v>0.98157004050277652</v>
      </c>
    </row>
    <row r="1005" spans="7:14" x14ac:dyDescent="0.2">
      <c r="G1005" s="538">
        <f t="shared" si="122"/>
        <v>129674.39503102977</v>
      </c>
      <c r="H1005" s="539">
        <f t="shared" si="121"/>
        <v>0.98018245657861769</v>
      </c>
      <c r="I1005" s="540">
        <f t="shared" si="123"/>
        <v>129280.03922843978</v>
      </c>
      <c r="J1005" s="534">
        <f t="shared" si="124"/>
        <v>0.98015597187177661</v>
      </c>
      <c r="K1005" s="538">
        <f t="shared" si="125"/>
        <v>128259.38080919179</v>
      </c>
      <c r="L1005" s="539">
        <f t="shared" si="126"/>
        <v>0.98008688146888179</v>
      </c>
      <c r="M1005" s="540">
        <f t="shared" si="127"/>
        <v>153028.25092727627</v>
      </c>
      <c r="N1005" s="534">
        <f t="shared" si="128"/>
        <v>0.98157004050277652</v>
      </c>
    </row>
    <row r="1006" spans="7:14" x14ac:dyDescent="0.2">
      <c r="G1006" s="538">
        <f t="shared" si="122"/>
        <v>129674.39503102977</v>
      </c>
      <c r="H1006" s="539">
        <f t="shared" si="121"/>
        <v>0.98018245657861769</v>
      </c>
      <c r="I1006" s="540">
        <f t="shared" si="123"/>
        <v>129280.03922843978</v>
      </c>
      <c r="J1006" s="534">
        <f t="shared" si="124"/>
        <v>0.98015597187177661</v>
      </c>
      <c r="K1006" s="538">
        <f t="shared" si="125"/>
        <v>128259.38080919179</v>
      </c>
      <c r="L1006" s="539">
        <f t="shared" si="126"/>
        <v>0.98008688146888179</v>
      </c>
      <c r="M1006" s="540">
        <f t="shared" si="127"/>
        <v>153028.25092727627</v>
      </c>
      <c r="N1006" s="534">
        <f t="shared" si="128"/>
        <v>0.98157004050277652</v>
      </c>
    </row>
    <row r="1007" spans="7:14" x14ac:dyDescent="0.2">
      <c r="G1007" s="538">
        <f t="shared" si="122"/>
        <v>129674.39503102977</v>
      </c>
      <c r="H1007" s="539">
        <f t="shared" si="121"/>
        <v>0.98018245657861769</v>
      </c>
      <c r="I1007" s="540">
        <f t="shared" si="123"/>
        <v>129280.03922843978</v>
      </c>
      <c r="J1007" s="534">
        <f t="shared" si="124"/>
        <v>0.98015597187177661</v>
      </c>
      <c r="K1007" s="538">
        <f t="shared" si="125"/>
        <v>128259.38080919179</v>
      </c>
      <c r="L1007" s="539">
        <f t="shared" si="126"/>
        <v>0.98008688146888179</v>
      </c>
      <c r="M1007" s="540">
        <f t="shared" si="127"/>
        <v>153028.25092727627</v>
      </c>
      <c r="N1007" s="534">
        <f t="shared" si="128"/>
        <v>0.98157004050277652</v>
      </c>
    </row>
    <row r="1008" spans="7:14" x14ac:dyDescent="0.2">
      <c r="G1008" s="538">
        <f t="shared" si="122"/>
        <v>129674.39503102977</v>
      </c>
      <c r="H1008" s="539">
        <f t="shared" si="121"/>
        <v>0.98018245657861769</v>
      </c>
      <c r="I1008" s="540">
        <f t="shared" si="123"/>
        <v>129280.03922843978</v>
      </c>
      <c r="J1008" s="534">
        <f t="shared" si="124"/>
        <v>0.98015597187177661</v>
      </c>
      <c r="K1008" s="538">
        <f t="shared" si="125"/>
        <v>128259.38080919179</v>
      </c>
      <c r="L1008" s="539">
        <f t="shared" si="126"/>
        <v>0.98008688146888179</v>
      </c>
      <c r="M1008" s="540">
        <f t="shared" si="127"/>
        <v>153028.25092727627</v>
      </c>
      <c r="N1008" s="534">
        <f t="shared" si="128"/>
        <v>0.98157004050277652</v>
      </c>
    </row>
    <row r="1009" spans="7:14" x14ac:dyDescent="0.2">
      <c r="G1009" s="538">
        <f t="shared" si="122"/>
        <v>129674.39503102977</v>
      </c>
      <c r="H1009" s="539">
        <f t="shared" si="121"/>
        <v>0.98018245657861769</v>
      </c>
      <c r="I1009" s="540">
        <f t="shared" si="123"/>
        <v>129280.03922843978</v>
      </c>
      <c r="J1009" s="534">
        <f t="shared" si="124"/>
        <v>0.98015597187177661</v>
      </c>
      <c r="K1009" s="538">
        <f t="shared" si="125"/>
        <v>128259.38080919179</v>
      </c>
      <c r="L1009" s="539">
        <f t="shared" si="126"/>
        <v>0.98008688146888179</v>
      </c>
      <c r="M1009" s="540">
        <f t="shared" si="127"/>
        <v>153028.25092727627</v>
      </c>
      <c r="N1009" s="534">
        <f t="shared" si="128"/>
        <v>0.98157004050277652</v>
      </c>
    </row>
    <row r="1010" spans="7:14" x14ac:dyDescent="0.2">
      <c r="G1010" s="538">
        <f t="shared" si="122"/>
        <v>129674.39503102977</v>
      </c>
      <c r="H1010" s="539">
        <f t="shared" si="121"/>
        <v>0.98018245657861769</v>
      </c>
      <c r="I1010" s="540">
        <f t="shared" si="123"/>
        <v>129280.03922843978</v>
      </c>
      <c r="J1010" s="534">
        <f t="shared" si="124"/>
        <v>0.98015597187177661</v>
      </c>
      <c r="K1010" s="538">
        <f t="shared" si="125"/>
        <v>128259.38080919179</v>
      </c>
      <c r="L1010" s="539">
        <f t="shared" si="126"/>
        <v>0.98008688146888179</v>
      </c>
      <c r="M1010" s="540">
        <f t="shared" si="127"/>
        <v>153028.25092727627</v>
      </c>
      <c r="N1010" s="534">
        <f t="shared" si="128"/>
        <v>0.98157004050277652</v>
      </c>
    </row>
    <row r="1011" spans="7:14" x14ac:dyDescent="0.2">
      <c r="G1011" s="538">
        <f t="shared" si="122"/>
        <v>129674.39503102977</v>
      </c>
      <c r="H1011" s="539">
        <f t="shared" si="121"/>
        <v>0.98018245657861769</v>
      </c>
      <c r="I1011" s="540">
        <f t="shared" si="123"/>
        <v>129280.03922843978</v>
      </c>
      <c r="J1011" s="534">
        <f t="shared" si="124"/>
        <v>0.98015597187177661</v>
      </c>
      <c r="K1011" s="538">
        <f t="shared" si="125"/>
        <v>128259.38080919179</v>
      </c>
      <c r="L1011" s="539">
        <f t="shared" si="126"/>
        <v>0.98008688146888179</v>
      </c>
      <c r="M1011" s="540">
        <f t="shared" si="127"/>
        <v>153028.25092727627</v>
      </c>
      <c r="N1011" s="534">
        <f t="shared" si="128"/>
        <v>0.98157004050277652</v>
      </c>
    </row>
    <row r="1012" spans="7:14" x14ac:dyDescent="0.2">
      <c r="G1012" s="538">
        <f t="shared" si="122"/>
        <v>129674.39503102977</v>
      </c>
      <c r="H1012" s="539">
        <f t="shared" si="121"/>
        <v>0.98018245657861769</v>
      </c>
      <c r="I1012" s="540">
        <f t="shared" si="123"/>
        <v>129280.03922843978</v>
      </c>
      <c r="J1012" s="534">
        <f t="shared" si="124"/>
        <v>0.98015597187177661</v>
      </c>
      <c r="K1012" s="538">
        <f t="shared" si="125"/>
        <v>128259.38080919179</v>
      </c>
      <c r="L1012" s="539">
        <f t="shared" si="126"/>
        <v>0.98008688146888179</v>
      </c>
      <c r="M1012" s="540">
        <f t="shared" si="127"/>
        <v>153028.25092727627</v>
      </c>
      <c r="N1012" s="534">
        <f t="shared" si="128"/>
        <v>0.98157004050277652</v>
      </c>
    </row>
    <row r="1013" spans="7:14" x14ac:dyDescent="0.2">
      <c r="G1013" s="538">
        <f t="shared" si="122"/>
        <v>129674.39503102977</v>
      </c>
      <c r="H1013" s="539">
        <f t="shared" si="121"/>
        <v>0.98018245657861769</v>
      </c>
      <c r="I1013" s="540">
        <f t="shared" si="123"/>
        <v>129280.03922843978</v>
      </c>
      <c r="J1013" s="534">
        <f t="shared" si="124"/>
        <v>0.98015597187177661</v>
      </c>
      <c r="K1013" s="538">
        <f t="shared" si="125"/>
        <v>128259.38080919179</v>
      </c>
      <c r="L1013" s="539">
        <f t="shared" si="126"/>
        <v>0.98008688146888179</v>
      </c>
      <c r="M1013" s="540">
        <f t="shared" si="127"/>
        <v>153028.25092727627</v>
      </c>
      <c r="N1013" s="534">
        <f t="shared" si="128"/>
        <v>0.98157004050277652</v>
      </c>
    </row>
    <row r="1014" spans="7:14" x14ac:dyDescent="0.2">
      <c r="G1014" s="538">
        <f t="shared" si="122"/>
        <v>129674.39503102977</v>
      </c>
      <c r="H1014" s="539">
        <f t="shared" si="121"/>
        <v>0.98018245657861769</v>
      </c>
      <c r="I1014" s="540">
        <f t="shared" si="123"/>
        <v>129280.03922843978</v>
      </c>
      <c r="J1014" s="534">
        <f t="shared" si="124"/>
        <v>0.98015597187177661</v>
      </c>
      <c r="K1014" s="538">
        <f t="shared" si="125"/>
        <v>128259.38080919179</v>
      </c>
      <c r="L1014" s="539">
        <f t="shared" si="126"/>
        <v>0.98008688146888179</v>
      </c>
      <c r="M1014" s="540">
        <f t="shared" si="127"/>
        <v>153028.25092727627</v>
      </c>
      <c r="N1014" s="534">
        <f t="shared" si="128"/>
        <v>0.98157004050277652</v>
      </c>
    </row>
    <row r="1015" spans="7:14" x14ac:dyDescent="0.2">
      <c r="G1015" s="538">
        <f t="shared" si="122"/>
        <v>129674.39503102977</v>
      </c>
      <c r="H1015" s="539">
        <f t="shared" si="121"/>
        <v>0.98018245657861769</v>
      </c>
      <c r="I1015" s="540">
        <f t="shared" si="123"/>
        <v>129280.03922843978</v>
      </c>
      <c r="J1015" s="534">
        <f t="shared" si="124"/>
        <v>0.98015597187177661</v>
      </c>
      <c r="K1015" s="538">
        <f t="shared" si="125"/>
        <v>128259.38080919179</v>
      </c>
      <c r="L1015" s="539">
        <f t="shared" si="126"/>
        <v>0.98008688146888179</v>
      </c>
      <c r="M1015" s="540">
        <f t="shared" si="127"/>
        <v>153028.25092727627</v>
      </c>
      <c r="N1015" s="534">
        <f t="shared" si="128"/>
        <v>0.98157004050277652</v>
      </c>
    </row>
    <row r="1016" spans="7:14" x14ac:dyDescent="0.2">
      <c r="G1016" s="538">
        <f t="shared" si="122"/>
        <v>129674.39503102977</v>
      </c>
      <c r="H1016" s="539">
        <f t="shared" si="121"/>
        <v>0.98018245657861769</v>
      </c>
      <c r="I1016" s="540">
        <f t="shared" si="123"/>
        <v>129280.03922843978</v>
      </c>
      <c r="J1016" s="534">
        <f t="shared" si="124"/>
        <v>0.98015597187177661</v>
      </c>
      <c r="K1016" s="538">
        <f t="shared" si="125"/>
        <v>128259.38080919179</v>
      </c>
      <c r="L1016" s="539">
        <f t="shared" si="126"/>
        <v>0.98008688146888179</v>
      </c>
      <c r="M1016" s="540">
        <f t="shared" si="127"/>
        <v>153028.25092727627</v>
      </c>
      <c r="N1016" s="534">
        <f t="shared" si="128"/>
        <v>0.98157004050277652</v>
      </c>
    </row>
    <row r="1017" spans="7:14" x14ac:dyDescent="0.2">
      <c r="G1017" s="538">
        <f t="shared" si="122"/>
        <v>129674.39503102977</v>
      </c>
      <c r="H1017" s="539">
        <f t="shared" si="121"/>
        <v>0.98018245657861769</v>
      </c>
      <c r="I1017" s="540">
        <f t="shared" si="123"/>
        <v>129280.03922843978</v>
      </c>
      <c r="J1017" s="534">
        <f t="shared" si="124"/>
        <v>0.98015597187177661</v>
      </c>
      <c r="K1017" s="538">
        <f t="shared" si="125"/>
        <v>128259.38080919179</v>
      </c>
      <c r="L1017" s="539">
        <f t="shared" si="126"/>
        <v>0.98008688146888179</v>
      </c>
      <c r="M1017" s="540">
        <f t="shared" si="127"/>
        <v>153028.25092727627</v>
      </c>
      <c r="N1017" s="534">
        <f t="shared" si="128"/>
        <v>0.98157004050277652</v>
      </c>
    </row>
    <row r="1018" spans="7:14" x14ac:dyDescent="0.2">
      <c r="G1018" s="538">
        <f t="shared" si="122"/>
        <v>129674.39503102977</v>
      </c>
      <c r="H1018" s="539">
        <f t="shared" si="121"/>
        <v>0.98018245657861769</v>
      </c>
      <c r="I1018" s="540">
        <f t="shared" si="123"/>
        <v>129280.03922843978</v>
      </c>
      <c r="J1018" s="534">
        <f t="shared" si="124"/>
        <v>0.98015597187177661</v>
      </c>
      <c r="K1018" s="538">
        <f t="shared" si="125"/>
        <v>128259.38080919179</v>
      </c>
      <c r="L1018" s="539">
        <f t="shared" si="126"/>
        <v>0.98008688146888179</v>
      </c>
      <c r="M1018" s="540">
        <f t="shared" si="127"/>
        <v>153028.25092727627</v>
      </c>
      <c r="N1018" s="534">
        <f t="shared" si="128"/>
        <v>0.98157004050277652</v>
      </c>
    </row>
    <row r="1019" spans="7:14" x14ac:dyDescent="0.2">
      <c r="G1019" s="538">
        <f t="shared" si="122"/>
        <v>129674.39503102977</v>
      </c>
      <c r="H1019" s="539">
        <f t="shared" si="121"/>
        <v>0.98018245657861769</v>
      </c>
      <c r="I1019" s="540">
        <f t="shared" si="123"/>
        <v>129280.03922843978</v>
      </c>
      <c r="J1019" s="534">
        <f t="shared" si="124"/>
        <v>0.98015597187177661</v>
      </c>
      <c r="K1019" s="538">
        <f t="shared" si="125"/>
        <v>128259.38080919179</v>
      </c>
      <c r="L1019" s="539">
        <f t="shared" si="126"/>
        <v>0.98008688146888179</v>
      </c>
      <c r="M1019" s="540">
        <f t="shared" si="127"/>
        <v>153028.25092727627</v>
      </c>
      <c r="N1019" s="534">
        <f t="shared" si="128"/>
        <v>0.98157004050277652</v>
      </c>
    </row>
    <row r="1020" spans="7:14" x14ac:dyDescent="0.2">
      <c r="G1020" s="538">
        <f t="shared" si="122"/>
        <v>129674.39503102977</v>
      </c>
      <c r="H1020" s="539">
        <f t="shared" si="121"/>
        <v>0.98018245657861769</v>
      </c>
      <c r="I1020" s="540">
        <f t="shared" si="123"/>
        <v>129280.03922843978</v>
      </c>
      <c r="J1020" s="534">
        <f t="shared" si="124"/>
        <v>0.98015597187177661</v>
      </c>
      <c r="K1020" s="538">
        <f t="shared" si="125"/>
        <v>128259.38080919179</v>
      </c>
      <c r="L1020" s="539">
        <f t="shared" si="126"/>
        <v>0.98008688146888179</v>
      </c>
      <c r="M1020" s="540">
        <f t="shared" si="127"/>
        <v>153028.25092727627</v>
      </c>
      <c r="N1020" s="534">
        <f t="shared" si="128"/>
        <v>0.98157004050277652</v>
      </c>
    </row>
    <row r="1021" spans="7:14" x14ac:dyDescent="0.2">
      <c r="G1021" s="538">
        <f t="shared" si="122"/>
        <v>129674.39503102977</v>
      </c>
      <c r="H1021" s="539">
        <f t="shared" si="121"/>
        <v>0.98018245657861769</v>
      </c>
      <c r="I1021" s="540">
        <f t="shared" si="123"/>
        <v>129280.03922843978</v>
      </c>
      <c r="J1021" s="534">
        <f t="shared" si="124"/>
        <v>0.98015597187177661</v>
      </c>
      <c r="K1021" s="538">
        <f t="shared" si="125"/>
        <v>128259.38080919179</v>
      </c>
      <c r="L1021" s="539">
        <f t="shared" si="126"/>
        <v>0.98008688146888179</v>
      </c>
      <c r="M1021" s="540">
        <f t="shared" si="127"/>
        <v>153028.25092727627</v>
      </c>
      <c r="N1021" s="534">
        <f t="shared" si="128"/>
        <v>0.98157004050277652</v>
      </c>
    </row>
    <row r="1022" spans="7:14" x14ac:dyDescent="0.2">
      <c r="G1022" s="538">
        <f t="shared" si="122"/>
        <v>129674.39503102977</v>
      </c>
      <c r="H1022" s="539">
        <f t="shared" si="121"/>
        <v>0.98018245657861769</v>
      </c>
      <c r="I1022" s="540">
        <f t="shared" si="123"/>
        <v>129280.03922843978</v>
      </c>
      <c r="J1022" s="534">
        <f t="shared" si="124"/>
        <v>0.98015597187177661</v>
      </c>
      <c r="K1022" s="538">
        <f t="shared" si="125"/>
        <v>128259.38080919179</v>
      </c>
      <c r="L1022" s="539">
        <f t="shared" si="126"/>
        <v>0.98008688146888179</v>
      </c>
      <c r="M1022" s="540">
        <f t="shared" si="127"/>
        <v>153028.25092727627</v>
      </c>
      <c r="N1022" s="534">
        <f t="shared" si="128"/>
        <v>0.98157004050277652</v>
      </c>
    </row>
    <row r="1023" spans="7:14" x14ac:dyDescent="0.2">
      <c r="G1023" s="538">
        <f t="shared" si="122"/>
        <v>129674.39503102977</v>
      </c>
      <c r="H1023" s="539">
        <f t="shared" si="121"/>
        <v>0.98018245657861769</v>
      </c>
      <c r="I1023" s="540">
        <f t="shared" si="123"/>
        <v>129280.03922843978</v>
      </c>
      <c r="J1023" s="534">
        <f t="shared" si="124"/>
        <v>0.98015597187177661</v>
      </c>
      <c r="K1023" s="538">
        <f t="shared" si="125"/>
        <v>128259.38080919179</v>
      </c>
      <c r="L1023" s="539">
        <f t="shared" si="126"/>
        <v>0.98008688146888179</v>
      </c>
      <c r="M1023" s="540">
        <f t="shared" si="127"/>
        <v>153028.25092727627</v>
      </c>
      <c r="N1023" s="534">
        <f t="shared" si="128"/>
        <v>0.98157004050277652</v>
      </c>
    </row>
    <row r="1024" spans="7:14" x14ac:dyDescent="0.2">
      <c r="G1024" s="538">
        <f t="shared" si="122"/>
        <v>129674.39503102977</v>
      </c>
      <c r="H1024" s="539">
        <f t="shared" si="121"/>
        <v>0.98018245657861769</v>
      </c>
      <c r="I1024" s="540">
        <f t="shared" si="123"/>
        <v>129280.03922843978</v>
      </c>
      <c r="J1024" s="534">
        <f t="shared" si="124"/>
        <v>0.98015597187177661</v>
      </c>
      <c r="K1024" s="538">
        <f t="shared" si="125"/>
        <v>128259.38080919179</v>
      </c>
      <c r="L1024" s="539">
        <f t="shared" si="126"/>
        <v>0.98008688146888179</v>
      </c>
      <c r="M1024" s="540">
        <f t="shared" si="127"/>
        <v>153028.25092727627</v>
      </c>
      <c r="N1024" s="534">
        <f t="shared" si="128"/>
        <v>0.98157004050277652</v>
      </c>
    </row>
    <row r="1025" spans="7:14" x14ac:dyDescent="0.2">
      <c r="G1025" s="538">
        <f t="shared" si="122"/>
        <v>129674.39503102977</v>
      </c>
      <c r="H1025" s="539">
        <f t="shared" si="121"/>
        <v>0.98018245657861769</v>
      </c>
      <c r="I1025" s="540">
        <f t="shared" si="123"/>
        <v>129280.03922843978</v>
      </c>
      <c r="J1025" s="534">
        <f t="shared" si="124"/>
        <v>0.98015597187177661</v>
      </c>
      <c r="K1025" s="538">
        <f t="shared" si="125"/>
        <v>128259.38080919179</v>
      </c>
      <c r="L1025" s="539">
        <f t="shared" si="126"/>
        <v>0.98008688146888179</v>
      </c>
      <c r="M1025" s="540">
        <f t="shared" si="127"/>
        <v>153028.25092727627</v>
      </c>
      <c r="N1025" s="534">
        <f t="shared" si="128"/>
        <v>0.98157004050277652</v>
      </c>
    </row>
    <row r="1026" spans="7:14" x14ac:dyDescent="0.2">
      <c r="G1026" s="538">
        <f t="shared" si="122"/>
        <v>129674.39503102977</v>
      </c>
      <c r="H1026" s="539">
        <f t="shared" si="121"/>
        <v>0.98018245657861769</v>
      </c>
      <c r="I1026" s="540">
        <f t="shared" si="123"/>
        <v>129280.03922843978</v>
      </c>
      <c r="J1026" s="534">
        <f t="shared" si="124"/>
        <v>0.98015597187177661</v>
      </c>
      <c r="K1026" s="538">
        <f t="shared" si="125"/>
        <v>128259.38080919179</v>
      </c>
      <c r="L1026" s="539">
        <f t="shared" si="126"/>
        <v>0.98008688146888179</v>
      </c>
      <c r="M1026" s="540">
        <f t="shared" si="127"/>
        <v>153028.25092727627</v>
      </c>
      <c r="N1026" s="534">
        <f t="shared" si="128"/>
        <v>0.98157004050277652</v>
      </c>
    </row>
    <row r="1027" spans="7:14" x14ac:dyDescent="0.2">
      <c r="G1027" s="538">
        <f t="shared" si="122"/>
        <v>129674.39503102977</v>
      </c>
      <c r="H1027" s="539">
        <f t="shared" ref="H1027:H1040" si="129">0.9986-(7.006/SQRT(G1027))+134.6/G1027</f>
        <v>0.98018245657861769</v>
      </c>
      <c r="I1027" s="540">
        <f t="shared" si="123"/>
        <v>129280.03922843978</v>
      </c>
      <c r="J1027" s="534">
        <f t="shared" si="124"/>
        <v>0.98015597187177661</v>
      </c>
      <c r="K1027" s="538">
        <f t="shared" si="125"/>
        <v>128259.38080919179</v>
      </c>
      <c r="L1027" s="539">
        <f t="shared" si="126"/>
        <v>0.98008688146888179</v>
      </c>
      <c r="M1027" s="540">
        <f t="shared" si="127"/>
        <v>153028.25092727627</v>
      </c>
      <c r="N1027" s="534">
        <f t="shared" si="128"/>
        <v>0.98157004050277652</v>
      </c>
    </row>
    <row r="1028" spans="7:14" x14ac:dyDescent="0.2">
      <c r="G1028" s="538">
        <f t="shared" ref="G1028:G1040" si="130">($C$6/(1000*$C$12*$C$16))*(H1027*SQRT(2*$C$5*100*$C$16))</f>
        <v>129674.39503102977</v>
      </c>
      <c r="H1028" s="539">
        <f t="shared" si="129"/>
        <v>0.98018245657861769</v>
      </c>
      <c r="I1028" s="540">
        <f t="shared" ref="I1028:I1040" si="131">($C$7/(1000*$C$12*$C$16))*(J1027*SQRT(2*$C$5*100*$C$16))</f>
        <v>129280.03922843978</v>
      </c>
      <c r="J1028" s="534">
        <f t="shared" ref="J1028:J1040" si="132">0.9986-(7.006/SQRT(I1028))+134.6/I1028</f>
        <v>0.98015597187177661</v>
      </c>
      <c r="K1028" s="538">
        <f t="shared" ref="K1028:K1040" si="133">($C$8/(1000*$C$12*$C$16))*(L1027*SQRT(2*$C$5*100*$C$16))</f>
        <v>128259.38080919179</v>
      </c>
      <c r="L1028" s="539">
        <f t="shared" ref="L1028:L1039" si="134">0.9986-(7.006/SQRT(K1028))+134.6/K1028</f>
        <v>0.98008688146888179</v>
      </c>
      <c r="M1028" s="540">
        <f t="shared" ref="M1028:M1040" si="135">($C$9/(1000*$C$12*$C$16))*(N1027*SQRT(2*$C$5*100*$C$16))</f>
        <v>153028.25092727627</v>
      </c>
      <c r="N1028" s="534">
        <f t="shared" ref="N1028:N1040" si="136">0.9986-(7.006/SQRT(M1028))+134.6/M1028</f>
        <v>0.98157004050277652</v>
      </c>
    </row>
    <row r="1029" spans="7:14" x14ac:dyDescent="0.2">
      <c r="G1029" s="538">
        <f t="shared" si="130"/>
        <v>129674.39503102977</v>
      </c>
      <c r="H1029" s="539">
        <f t="shared" si="129"/>
        <v>0.98018245657861769</v>
      </c>
      <c r="I1029" s="540">
        <f t="shared" si="131"/>
        <v>129280.03922843978</v>
      </c>
      <c r="J1029" s="534">
        <f>0.9986-(7.006/SQRT(I1029))+134.6/I1029</f>
        <v>0.98015597187177661</v>
      </c>
      <c r="K1029" s="538">
        <f t="shared" si="133"/>
        <v>128259.38080919179</v>
      </c>
      <c r="L1029" s="539">
        <f t="shared" si="134"/>
        <v>0.98008688146888179</v>
      </c>
      <c r="M1029" s="540">
        <f t="shared" si="135"/>
        <v>153028.25092727627</v>
      </c>
      <c r="N1029" s="534">
        <f t="shared" si="136"/>
        <v>0.98157004050277652</v>
      </c>
    </row>
    <row r="1030" spans="7:14" x14ac:dyDescent="0.2">
      <c r="G1030" s="538">
        <f t="shared" si="130"/>
        <v>129674.39503102977</v>
      </c>
      <c r="H1030" s="539">
        <f t="shared" si="129"/>
        <v>0.98018245657861769</v>
      </c>
      <c r="I1030" s="540">
        <f t="shared" si="131"/>
        <v>129280.03922843978</v>
      </c>
      <c r="J1030" s="534">
        <f t="shared" si="132"/>
        <v>0.98015597187177661</v>
      </c>
      <c r="K1030" s="538">
        <f t="shared" si="133"/>
        <v>128259.38080919179</v>
      </c>
      <c r="L1030" s="539">
        <f t="shared" si="134"/>
        <v>0.98008688146888179</v>
      </c>
      <c r="M1030" s="540">
        <f t="shared" si="135"/>
        <v>153028.25092727627</v>
      </c>
      <c r="N1030" s="534">
        <f t="shared" si="136"/>
        <v>0.98157004050277652</v>
      </c>
    </row>
    <row r="1031" spans="7:14" x14ac:dyDescent="0.2">
      <c r="G1031" s="538">
        <f t="shared" si="130"/>
        <v>129674.39503102977</v>
      </c>
      <c r="H1031" s="539">
        <f t="shared" si="129"/>
        <v>0.98018245657861769</v>
      </c>
      <c r="I1031" s="540">
        <f t="shared" si="131"/>
        <v>129280.03922843978</v>
      </c>
      <c r="J1031" s="534">
        <f t="shared" si="132"/>
        <v>0.98015597187177661</v>
      </c>
      <c r="K1031" s="538">
        <f t="shared" si="133"/>
        <v>128259.38080919179</v>
      </c>
      <c r="L1031" s="539">
        <f t="shared" si="134"/>
        <v>0.98008688146888179</v>
      </c>
      <c r="M1031" s="540">
        <f t="shared" si="135"/>
        <v>153028.25092727627</v>
      </c>
      <c r="N1031" s="534">
        <f t="shared" si="136"/>
        <v>0.98157004050277652</v>
      </c>
    </row>
    <row r="1032" spans="7:14" x14ac:dyDescent="0.2">
      <c r="G1032" s="538">
        <f t="shared" si="130"/>
        <v>129674.39503102977</v>
      </c>
      <c r="H1032" s="539">
        <f t="shared" si="129"/>
        <v>0.98018245657861769</v>
      </c>
      <c r="I1032" s="540">
        <f t="shared" si="131"/>
        <v>129280.03922843978</v>
      </c>
      <c r="J1032" s="534">
        <f t="shared" si="132"/>
        <v>0.98015597187177661</v>
      </c>
      <c r="K1032" s="538">
        <f t="shared" si="133"/>
        <v>128259.38080919179</v>
      </c>
      <c r="L1032" s="539">
        <f t="shared" si="134"/>
        <v>0.98008688146888179</v>
      </c>
      <c r="M1032" s="540">
        <f t="shared" si="135"/>
        <v>153028.25092727627</v>
      </c>
      <c r="N1032" s="534">
        <f t="shared" si="136"/>
        <v>0.98157004050277652</v>
      </c>
    </row>
    <row r="1033" spans="7:14" x14ac:dyDescent="0.2">
      <c r="G1033" s="538">
        <f t="shared" si="130"/>
        <v>129674.39503102977</v>
      </c>
      <c r="H1033" s="539">
        <f t="shared" si="129"/>
        <v>0.98018245657861769</v>
      </c>
      <c r="I1033" s="540">
        <f t="shared" si="131"/>
        <v>129280.03922843978</v>
      </c>
      <c r="J1033" s="534">
        <f>0.9986-(7.006/SQRT(I1033))+134.6/I1033</f>
        <v>0.98015597187177661</v>
      </c>
      <c r="K1033" s="538">
        <f t="shared" si="133"/>
        <v>128259.38080919179</v>
      </c>
      <c r="L1033" s="539">
        <f t="shared" si="134"/>
        <v>0.98008688146888179</v>
      </c>
      <c r="M1033" s="540">
        <f t="shared" si="135"/>
        <v>153028.25092727627</v>
      </c>
      <c r="N1033" s="534">
        <f t="shared" si="136"/>
        <v>0.98157004050277652</v>
      </c>
    </row>
    <row r="1034" spans="7:14" x14ac:dyDescent="0.2">
      <c r="G1034" s="538">
        <f t="shared" si="130"/>
        <v>129674.39503102977</v>
      </c>
      <c r="H1034" s="539">
        <f t="shared" si="129"/>
        <v>0.98018245657861769</v>
      </c>
      <c r="I1034" s="540">
        <f t="shared" si="131"/>
        <v>129280.03922843978</v>
      </c>
      <c r="J1034" s="534">
        <f t="shared" si="132"/>
        <v>0.98015597187177661</v>
      </c>
      <c r="K1034" s="538">
        <f t="shared" si="133"/>
        <v>128259.38080919179</v>
      </c>
      <c r="L1034" s="539">
        <f t="shared" si="134"/>
        <v>0.98008688146888179</v>
      </c>
      <c r="M1034" s="540">
        <f t="shared" si="135"/>
        <v>153028.25092727627</v>
      </c>
      <c r="N1034" s="534">
        <f t="shared" si="136"/>
        <v>0.98157004050277652</v>
      </c>
    </row>
    <row r="1035" spans="7:14" x14ac:dyDescent="0.2">
      <c r="G1035" s="538">
        <f t="shared" si="130"/>
        <v>129674.39503102977</v>
      </c>
      <c r="H1035" s="539">
        <f t="shared" si="129"/>
        <v>0.98018245657861769</v>
      </c>
      <c r="I1035" s="540">
        <f t="shared" si="131"/>
        <v>129280.03922843978</v>
      </c>
      <c r="J1035" s="534">
        <f t="shared" si="132"/>
        <v>0.98015597187177661</v>
      </c>
      <c r="K1035" s="538">
        <f t="shared" si="133"/>
        <v>128259.38080919179</v>
      </c>
      <c r="L1035" s="539">
        <f t="shared" si="134"/>
        <v>0.98008688146888179</v>
      </c>
      <c r="M1035" s="540">
        <f t="shared" si="135"/>
        <v>153028.25092727627</v>
      </c>
      <c r="N1035" s="534">
        <f t="shared" si="136"/>
        <v>0.98157004050277652</v>
      </c>
    </row>
    <row r="1036" spans="7:14" x14ac:dyDescent="0.2">
      <c r="G1036" s="538">
        <f t="shared" si="130"/>
        <v>129674.39503102977</v>
      </c>
      <c r="H1036" s="539">
        <f t="shared" si="129"/>
        <v>0.98018245657861769</v>
      </c>
      <c r="I1036" s="540">
        <f t="shared" si="131"/>
        <v>129280.03922843978</v>
      </c>
      <c r="J1036" s="534">
        <f t="shared" si="132"/>
        <v>0.98015597187177661</v>
      </c>
      <c r="K1036" s="538">
        <f t="shared" si="133"/>
        <v>128259.38080919179</v>
      </c>
      <c r="L1036" s="539">
        <f t="shared" si="134"/>
        <v>0.98008688146888179</v>
      </c>
      <c r="M1036" s="540">
        <f t="shared" si="135"/>
        <v>153028.25092727627</v>
      </c>
      <c r="N1036" s="534">
        <f t="shared" si="136"/>
        <v>0.98157004050277652</v>
      </c>
    </row>
    <row r="1037" spans="7:14" x14ac:dyDescent="0.2">
      <c r="G1037" s="538">
        <f t="shared" si="130"/>
        <v>129674.39503102977</v>
      </c>
      <c r="H1037" s="539">
        <f t="shared" si="129"/>
        <v>0.98018245657861769</v>
      </c>
      <c r="I1037" s="540">
        <f t="shared" si="131"/>
        <v>129280.03922843978</v>
      </c>
      <c r="J1037" s="534">
        <f t="shared" si="132"/>
        <v>0.98015597187177661</v>
      </c>
      <c r="K1037" s="538">
        <f t="shared" si="133"/>
        <v>128259.38080919179</v>
      </c>
      <c r="L1037" s="539">
        <f t="shared" si="134"/>
        <v>0.98008688146888179</v>
      </c>
      <c r="M1037" s="540">
        <f t="shared" si="135"/>
        <v>153028.25092727627</v>
      </c>
      <c r="N1037" s="534">
        <f t="shared" si="136"/>
        <v>0.98157004050277652</v>
      </c>
    </row>
    <row r="1038" spans="7:14" x14ac:dyDescent="0.2">
      <c r="G1038" s="538">
        <f t="shared" si="130"/>
        <v>129674.39503102977</v>
      </c>
      <c r="H1038" s="539">
        <f t="shared" si="129"/>
        <v>0.98018245657861769</v>
      </c>
      <c r="I1038" s="540">
        <f t="shared" si="131"/>
        <v>129280.03922843978</v>
      </c>
      <c r="J1038" s="534">
        <f t="shared" si="132"/>
        <v>0.98015597187177661</v>
      </c>
      <c r="K1038" s="538">
        <f t="shared" si="133"/>
        <v>128259.38080919179</v>
      </c>
      <c r="L1038" s="539">
        <f t="shared" si="134"/>
        <v>0.98008688146888179</v>
      </c>
      <c r="M1038" s="540">
        <f t="shared" si="135"/>
        <v>153028.25092727627</v>
      </c>
      <c r="N1038" s="534">
        <f t="shared" si="136"/>
        <v>0.98157004050277652</v>
      </c>
    </row>
    <row r="1039" spans="7:14" x14ac:dyDescent="0.2">
      <c r="G1039" s="538">
        <f t="shared" si="130"/>
        <v>129674.39503102977</v>
      </c>
      <c r="H1039" s="539">
        <f t="shared" si="129"/>
        <v>0.98018245657861769</v>
      </c>
      <c r="I1039" s="540">
        <f t="shared" si="131"/>
        <v>129280.03922843978</v>
      </c>
      <c r="J1039" s="534">
        <f t="shared" si="132"/>
        <v>0.98015597187177661</v>
      </c>
      <c r="K1039" s="538">
        <f t="shared" si="133"/>
        <v>128259.38080919179</v>
      </c>
      <c r="L1039" s="539">
        <f t="shared" si="134"/>
        <v>0.98008688146888179</v>
      </c>
      <c r="M1039" s="540">
        <f t="shared" si="135"/>
        <v>153028.25092727627</v>
      </c>
      <c r="N1039" s="534">
        <f t="shared" si="136"/>
        <v>0.98157004050277652</v>
      </c>
    </row>
    <row r="1040" spans="7:14" ht="13.5" thickBot="1" x14ac:dyDescent="0.25">
      <c r="G1040" s="557">
        <f t="shared" si="130"/>
        <v>129674.39503102977</v>
      </c>
      <c r="H1040" s="558">
        <f t="shared" si="129"/>
        <v>0.98018245657861769</v>
      </c>
      <c r="I1040" s="559">
        <f t="shared" si="131"/>
        <v>129280.03922843978</v>
      </c>
      <c r="J1040" s="560">
        <f t="shared" si="132"/>
        <v>0.98015597187177661</v>
      </c>
      <c r="K1040" s="557">
        <f t="shared" si="133"/>
        <v>128259.38080919179</v>
      </c>
      <c r="L1040" s="558">
        <f>0.9986-(7.006/SQRT(K1040))+134.6/K1040</f>
        <v>0.98008688146888179</v>
      </c>
      <c r="M1040" s="559">
        <f t="shared" si="135"/>
        <v>153028.25092727627</v>
      </c>
      <c r="N1040" s="560">
        <f t="shared" si="136"/>
        <v>0.98157004050277652</v>
      </c>
    </row>
  </sheetData>
  <mergeCells count="11">
    <mergeCell ref="Q1:S1"/>
    <mergeCell ref="A19:A23"/>
    <mergeCell ref="A24:A28"/>
    <mergeCell ref="A29:A33"/>
    <mergeCell ref="A34:A38"/>
    <mergeCell ref="G1:H1"/>
    <mergeCell ref="I1:J1"/>
    <mergeCell ref="K1:L1"/>
    <mergeCell ref="M1:N1"/>
    <mergeCell ref="O1:O2"/>
    <mergeCell ref="P1:P2"/>
  </mergeCells>
  <conditionalFormatting sqref="C24:C38">
    <cfRule type="expression" dxfId="5" priority="5">
      <formula>$C$10=1</formula>
    </cfRule>
  </conditionalFormatting>
  <conditionalFormatting sqref="C29:C38">
    <cfRule type="expression" dxfId="4" priority="4">
      <formula>$C$10=2</formula>
    </cfRule>
  </conditionalFormatting>
  <conditionalFormatting sqref="C34:C38">
    <cfRule type="expression" dxfId="3" priority="3">
      <formula>$C$10=3</formula>
    </cfRule>
  </conditionalFormatting>
  <conditionalFormatting sqref="E19:E38">
    <cfRule type="cellIs" dxfId="2" priority="1" operator="equal">
      <formula>"NC"</formula>
    </cfRule>
    <cfRule type="cellIs" dxfId="1" priority="2" operator="equal">
      <formula>"OK"</formula>
    </cfRule>
  </conditionalFormatting>
  <dataValidations count="1">
    <dataValidation type="list" allowBlank="1" showInputMessage="1" showErrorMessage="1" sqref="C10" xr:uid="{00000000-0002-0000-0200-000000000000}">
      <formula1>"1,2,3,4"</formula1>
    </dataValidation>
  </dataValidations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11"/>
  <dimension ref="A1:CC37"/>
  <sheetViews>
    <sheetView zoomScaleNormal="100" zoomScaleSheetLayoutView="100" zoomScalePageLayoutView="70" workbookViewId="0">
      <selection activeCell="O26" sqref="O26"/>
    </sheetView>
  </sheetViews>
  <sheetFormatPr defaultColWidth="10.7109375" defaultRowHeight="12.75" x14ac:dyDescent="0.2"/>
  <cols>
    <col min="1" max="1" width="2.42578125" style="9" customWidth="1"/>
    <col min="2" max="2" width="15.140625" style="9" bestFit="1" customWidth="1"/>
    <col min="3" max="3" width="9" style="147" customWidth="1"/>
    <col min="4" max="4" width="10.28515625" style="147" customWidth="1"/>
    <col min="5" max="6" width="8.28515625" style="147" customWidth="1"/>
    <col min="7" max="7" width="8" style="147" hidden="1" customWidth="1"/>
    <col min="8" max="8" width="9.5703125" style="147" customWidth="1"/>
    <col min="9" max="9" width="8.7109375" style="147" customWidth="1"/>
    <col min="10" max="10" width="10.28515625" style="147" customWidth="1"/>
    <col min="11" max="11" width="7.28515625" style="147" hidden="1" customWidth="1"/>
    <col min="12" max="12" width="12.140625" style="148" hidden="1" customWidth="1"/>
    <col min="13" max="13" width="8.140625" style="148" hidden="1" customWidth="1"/>
    <col min="14" max="14" width="9.140625" style="148" hidden="1" customWidth="1"/>
    <col min="15" max="15" width="8" style="152" customWidth="1"/>
    <col min="16" max="16" width="6.5703125" style="148" hidden="1" customWidth="1"/>
    <col min="17" max="17" width="8.7109375" style="148" customWidth="1"/>
    <col min="18" max="18" width="4.42578125" style="149" hidden="1" customWidth="1"/>
    <col min="19" max="19" width="8.42578125" style="149" customWidth="1"/>
    <col min="20" max="20" width="6.5703125" style="148" hidden="1" customWidth="1"/>
    <col min="21" max="21" width="10.28515625" style="148" customWidth="1"/>
    <col min="22" max="22" width="5.42578125" style="148" hidden="1" customWidth="1"/>
    <col min="23" max="23" width="11.42578125" style="148" customWidth="1"/>
    <col min="24" max="24" width="5.42578125" style="148" hidden="1" customWidth="1"/>
    <col min="25" max="25" width="11" style="148" customWidth="1"/>
    <col min="26" max="33" width="10.7109375" style="147" customWidth="1"/>
    <col min="34" max="16384" width="10.7109375" style="9"/>
  </cols>
  <sheetData>
    <row r="1" spans="1:81" x14ac:dyDescent="0.2">
      <c r="A1" s="725" t="s">
        <v>473</v>
      </c>
      <c r="B1" s="726"/>
      <c r="C1" s="726"/>
      <c r="D1" s="726"/>
      <c r="E1" s="726"/>
      <c r="F1" s="726"/>
      <c r="G1" s="726"/>
      <c r="H1" s="726"/>
      <c r="I1" s="726"/>
      <c r="J1" s="726"/>
      <c r="K1" s="726"/>
      <c r="L1" s="726"/>
      <c r="M1" s="726"/>
      <c r="N1" s="726"/>
      <c r="O1" s="726"/>
      <c r="P1" s="726"/>
      <c r="Q1" s="726"/>
      <c r="R1" s="726"/>
      <c r="S1" s="726"/>
      <c r="T1" s="726"/>
      <c r="U1" s="726"/>
      <c r="V1" s="726"/>
      <c r="W1" s="726"/>
      <c r="X1" s="726"/>
      <c r="Y1" s="727"/>
    </row>
    <row r="2" spans="1:81" x14ac:dyDescent="0.2">
      <c r="A2" s="728"/>
      <c r="B2" s="729"/>
      <c r="C2" s="729"/>
      <c r="D2" s="729"/>
      <c r="E2" s="729"/>
      <c r="F2" s="729"/>
      <c r="G2" s="729"/>
      <c r="H2" s="729"/>
      <c r="I2" s="729"/>
      <c r="J2" s="729"/>
      <c r="K2" s="729"/>
      <c r="L2" s="729"/>
      <c r="M2" s="729"/>
      <c r="N2" s="729"/>
      <c r="O2" s="729"/>
      <c r="P2" s="729"/>
      <c r="Q2" s="729"/>
      <c r="R2" s="729"/>
      <c r="S2" s="729"/>
      <c r="T2" s="729"/>
      <c r="U2" s="729"/>
      <c r="V2" s="729"/>
      <c r="W2" s="729"/>
      <c r="X2" s="729"/>
      <c r="Y2" s="730"/>
    </row>
    <row r="3" spans="1:81" x14ac:dyDescent="0.2">
      <c r="A3" s="728"/>
      <c r="B3" s="729"/>
      <c r="C3" s="729"/>
      <c r="D3" s="729"/>
      <c r="E3" s="729"/>
      <c r="F3" s="729"/>
      <c r="G3" s="729"/>
      <c r="H3" s="729"/>
      <c r="I3" s="729"/>
      <c r="J3" s="729"/>
      <c r="K3" s="729"/>
      <c r="L3" s="729"/>
      <c r="M3" s="729"/>
      <c r="N3" s="729"/>
      <c r="O3" s="729"/>
      <c r="P3" s="729"/>
      <c r="Q3" s="729"/>
      <c r="R3" s="729"/>
      <c r="S3" s="729"/>
      <c r="T3" s="729"/>
      <c r="U3" s="729"/>
      <c r="V3" s="729"/>
      <c r="W3" s="729"/>
      <c r="X3" s="729"/>
      <c r="Y3" s="730"/>
    </row>
    <row r="4" spans="1:81" x14ac:dyDescent="0.2">
      <c r="A4" s="731"/>
      <c r="B4" s="732"/>
      <c r="C4" s="732"/>
      <c r="D4" s="732"/>
      <c r="E4" s="732"/>
      <c r="F4" s="732"/>
      <c r="G4" s="732"/>
      <c r="H4" s="732"/>
      <c r="I4" s="732"/>
      <c r="J4" s="732"/>
      <c r="K4" s="732"/>
      <c r="L4" s="732"/>
      <c r="M4" s="732"/>
      <c r="N4" s="732"/>
      <c r="O4" s="732"/>
      <c r="P4" s="732"/>
      <c r="Q4" s="732"/>
      <c r="R4" s="732"/>
      <c r="S4" s="732"/>
      <c r="T4" s="732"/>
      <c r="U4" s="732"/>
      <c r="V4" s="732"/>
      <c r="W4" s="732"/>
      <c r="X4" s="732"/>
      <c r="Y4" s="733"/>
    </row>
    <row r="6" spans="1:81" s="193" customFormat="1" ht="12" x14ac:dyDescent="0.2">
      <c r="B6" s="742" t="s">
        <v>374</v>
      </c>
      <c r="C6" s="742"/>
      <c r="D6" s="738" t="str">
        <f>Resumo!E15</f>
        <v>Ivan Ávila / RSS</v>
      </c>
      <c r="E6" s="738"/>
      <c r="F6" s="738"/>
      <c r="G6" s="738"/>
      <c r="H6" s="738"/>
      <c r="I6" s="194"/>
      <c r="J6" s="194"/>
      <c r="K6" s="194"/>
      <c r="L6" s="195"/>
      <c r="M6" s="195"/>
      <c r="N6" s="195"/>
      <c r="O6" s="196"/>
      <c r="P6" s="195"/>
      <c r="Q6" s="195"/>
      <c r="R6" s="197"/>
      <c r="S6" s="744"/>
      <c r="T6" s="744"/>
      <c r="U6" s="744"/>
      <c r="V6" s="744"/>
      <c r="W6" s="744"/>
      <c r="X6" s="744"/>
      <c r="Y6" s="744"/>
      <c r="Z6" s="151"/>
      <c r="AA6" s="151"/>
      <c r="AB6" s="151"/>
      <c r="AC6" s="151"/>
      <c r="AD6" s="151"/>
      <c r="AE6" s="151"/>
      <c r="AF6" s="151"/>
      <c r="AG6" s="151"/>
    </row>
    <row r="7" spans="1:81" s="193" customFormat="1" ht="12" x14ac:dyDescent="0.2">
      <c r="B7" s="742" t="s">
        <v>282</v>
      </c>
      <c r="C7" s="742"/>
      <c r="D7" s="743">
        <f>Resumo!E16</f>
        <v>45093</v>
      </c>
      <c r="E7" s="743"/>
      <c r="F7" s="743"/>
      <c r="G7" s="743"/>
      <c r="H7" s="743"/>
      <c r="I7" s="194"/>
      <c r="J7" s="194"/>
      <c r="K7" s="194"/>
      <c r="L7" s="195"/>
      <c r="M7" s="195"/>
      <c r="N7" s="195"/>
      <c r="O7" s="196"/>
      <c r="P7" s="195"/>
      <c r="Q7" s="195"/>
      <c r="R7" s="197"/>
      <c r="S7" s="744"/>
      <c r="T7" s="744"/>
      <c r="U7" s="744"/>
      <c r="V7" s="744"/>
      <c r="W7" s="744"/>
      <c r="X7" s="744"/>
      <c r="Y7" s="744"/>
      <c r="Z7" s="151"/>
      <c r="AA7" s="151"/>
      <c r="AB7" s="151"/>
      <c r="AC7" s="151"/>
      <c r="AD7" s="151"/>
      <c r="AE7" s="151"/>
      <c r="AF7" s="151"/>
      <c r="AG7" s="151"/>
    </row>
    <row r="8" spans="1:81" s="193" customFormat="1" ht="12" x14ac:dyDescent="0.2">
      <c r="B8" s="742" t="s">
        <v>283</v>
      </c>
      <c r="C8" s="742"/>
      <c r="D8" s="738" t="str">
        <f>Resumo!E17</f>
        <v>Condicionador de ar split hi-wall</v>
      </c>
      <c r="E8" s="738"/>
      <c r="F8" s="738"/>
      <c r="G8" s="738"/>
      <c r="H8" s="738"/>
      <c r="I8" s="194"/>
      <c r="J8" s="194"/>
      <c r="K8" s="194"/>
      <c r="L8" s="195"/>
      <c r="M8" s="195"/>
      <c r="N8" s="195"/>
      <c r="O8" s="196"/>
      <c r="P8" s="195"/>
      <c r="Q8" s="195"/>
      <c r="R8" s="197"/>
      <c r="S8" s="744"/>
      <c r="T8" s="744"/>
      <c r="U8" s="744"/>
      <c r="V8" s="744"/>
      <c r="W8" s="744"/>
      <c r="X8" s="744"/>
      <c r="Y8" s="744"/>
      <c r="Z8" s="151"/>
      <c r="AA8" s="151"/>
      <c r="AB8" s="151"/>
      <c r="AC8" s="151"/>
      <c r="AD8" s="151"/>
      <c r="AE8" s="151"/>
      <c r="AF8" s="151"/>
      <c r="AG8" s="151"/>
    </row>
    <row r="9" spans="1:81" s="193" customFormat="1" ht="12" x14ac:dyDescent="0.2">
      <c r="B9" s="742" t="s">
        <v>284</v>
      </c>
      <c r="C9" s="742"/>
      <c r="D9" s="738">
        <f>Resumo!E29</f>
        <v>69388</v>
      </c>
      <c r="E9" s="738"/>
      <c r="F9" s="738"/>
      <c r="G9" s="738"/>
      <c r="H9" s="738"/>
      <c r="I9" s="194"/>
      <c r="J9" s="194"/>
      <c r="K9" s="194"/>
      <c r="L9" s="195"/>
      <c r="M9" s="195"/>
      <c r="N9" s="195"/>
      <c r="O9" s="196"/>
      <c r="P9" s="195"/>
      <c r="Q9" s="195"/>
      <c r="R9" s="197"/>
      <c r="S9" s="744"/>
      <c r="T9" s="744"/>
      <c r="U9" s="744"/>
      <c r="V9" s="744"/>
      <c r="W9" s="744"/>
      <c r="X9" s="744"/>
      <c r="Y9" s="744"/>
      <c r="Z9" s="151"/>
      <c r="AA9" s="151"/>
      <c r="AB9" s="151"/>
      <c r="AC9" s="151"/>
      <c r="AD9" s="151"/>
      <c r="AE9" s="151"/>
      <c r="AF9" s="151"/>
      <c r="AG9" s="151"/>
    </row>
    <row r="10" spans="1:81" x14ac:dyDescent="0.2">
      <c r="B10" s="16"/>
      <c r="C10" s="18"/>
      <c r="D10" s="18"/>
      <c r="E10" s="18"/>
      <c r="F10" s="18"/>
      <c r="G10" s="18"/>
      <c r="H10" s="18"/>
      <c r="I10" s="18"/>
      <c r="J10" s="18"/>
      <c r="K10" s="18"/>
      <c r="L10" s="198"/>
      <c r="M10" s="198"/>
      <c r="N10" s="198"/>
      <c r="O10" s="199"/>
      <c r="P10" s="198"/>
      <c r="Q10" s="198"/>
      <c r="R10" s="200"/>
      <c r="S10" s="201"/>
      <c r="T10" s="202"/>
      <c r="U10" s="202"/>
      <c r="V10" s="202"/>
      <c r="W10" s="745"/>
      <c r="X10" s="745"/>
      <c r="Y10" s="745"/>
    </row>
    <row r="11" spans="1:81" s="209" customFormat="1" ht="13.5" x14ac:dyDescent="0.25">
      <c r="A11" s="203"/>
      <c r="B11" s="204" t="s">
        <v>17</v>
      </c>
      <c r="C11" s="204" t="s">
        <v>52</v>
      </c>
      <c r="D11" s="204" t="s">
        <v>415</v>
      </c>
      <c r="E11" s="204" t="s">
        <v>415</v>
      </c>
      <c r="F11" s="204" t="s">
        <v>415</v>
      </c>
      <c r="G11" s="204" t="s">
        <v>416</v>
      </c>
      <c r="H11" s="204" t="s">
        <v>417</v>
      </c>
      <c r="I11" s="204" t="s">
        <v>417</v>
      </c>
      <c r="J11" s="204" t="s">
        <v>417</v>
      </c>
      <c r="K11" s="204" t="s">
        <v>418</v>
      </c>
      <c r="L11" s="205" t="s">
        <v>419</v>
      </c>
      <c r="M11" s="205" t="s">
        <v>420</v>
      </c>
      <c r="N11" s="205" t="s">
        <v>1</v>
      </c>
      <c r="O11" s="401" t="s">
        <v>2</v>
      </c>
      <c r="P11" s="205" t="s">
        <v>3</v>
      </c>
      <c r="Q11" s="205" t="s">
        <v>4</v>
      </c>
      <c r="R11" s="206" t="s">
        <v>5</v>
      </c>
      <c r="S11" s="206" t="s">
        <v>6</v>
      </c>
      <c r="T11" s="205" t="s">
        <v>7</v>
      </c>
      <c r="U11" s="205" t="s">
        <v>8</v>
      </c>
      <c r="V11" s="205" t="s">
        <v>9</v>
      </c>
      <c r="W11" s="205" t="s">
        <v>10</v>
      </c>
      <c r="X11" s="205" t="s">
        <v>12</v>
      </c>
      <c r="Y11" s="205" t="s">
        <v>11</v>
      </c>
      <c r="Z11" s="207"/>
      <c r="AA11" s="152"/>
      <c r="AB11" s="148"/>
      <c r="AC11" s="148"/>
      <c r="AD11" s="149"/>
      <c r="AE11" s="208"/>
      <c r="AF11" s="148"/>
      <c r="AG11" s="148"/>
      <c r="AH11" s="207"/>
      <c r="AI11" s="207"/>
      <c r="AJ11" s="207"/>
      <c r="AK11" s="207"/>
      <c r="AL11" s="207"/>
      <c r="AM11" s="207"/>
      <c r="AN11" s="207"/>
      <c r="AO11" s="207"/>
      <c r="AP11" s="207"/>
      <c r="AQ11" s="207"/>
      <c r="AR11" s="207"/>
      <c r="AS11" s="207"/>
      <c r="AT11" s="207"/>
      <c r="AU11" s="207"/>
      <c r="AV11" s="207"/>
      <c r="AW11" s="207"/>
      <c r="AX11" s="207"/>
      <c r="AY11" s="207"/>
      <c r="AZ11" s="207"/>
      <c r="BA11" s="207"/>
      <c r="BB11" s="207"/>
      <c r="BC11" s="207"/>
      <c r="BD11" s="207"/>
      <c r="BE11" s="207"/>
      <c r="BF11" s="207"/>
      <c r="BG11" s="207"/>
      <c r="BH11" s="207"/>
      <c r="BI11" s="207"/>
      <c r="BJ11" s="207"/>
      <c r="BK11" s="207"/>
      <c r="BL11" s="207"/>
      <c r="BM11" s="207"/>
      <c r="BN11" s="207"/>
      <c r="BO11" s="207"/>
      <c r="BP11" s="207"/>
      <c r="BQ11" s="207"/>
      <c r="BR11" s="207"/>
      <c r="BS11" s="207"/>
      <c r="BT11" s="207"/>
      <c r="BU11" s="207"/>
      <c r="BV11" s="207"/>
      <c r="BW11" s="207"/>
      <c r="BX11" s="207"/>
      <c r="BY11" s="207"/>
      <c r="BZ11" s="207"/>
      <c r="CA11" s="207"/>
      <c r="CB11" s="207"/>
      <c r="CC11" s="207"/>
    </row>
    <row r="12" spans="1:81" s="203" customFormat="1" ht="14.25" customHeight="1" x14ac:dyDescent="0.2">
      <c r="A12" s="9"/>
      <c r="B12" s="204"/>
      <c r="C12" s="737" t="s">
        <v>13</v>
      </c>
      <c r="D12" s="737" t="s">
        <v>285</v>
      </c>
      <c r="E12" s="737" t="s">
        <v>286</v>
      </c>
      <c r="F12" s="740" t="s">
        <v>287</v>
      </c>
      <c r="G12" s="739" t="s">
        <v>40</v>
      </c>
      <c r="H12" s="737" t="s">
        <v>285</v>
      </c>
      <c r="I12" s="737" t="s">
        <v>286</v>
      </c>
      <c r="J12" s="740" t="s">
        <v>287</v>
      </c>
      <c r="K12" s="741" t="s">
        <v>40</v>
      </c>
      <c r="L12" s="741"/>
      <c r="M12" s="741"/>
      <c r="N12" s="399"/>
      <c r="O12" s="741" t="s">
        <v>14</v>
      </c>
      <c r="P12" s="741" t="s">
        <v>15</v>
      </c>
      <c r="Q12" s="737" t="s">
        <v>15</v>
      </c>
      <c r="R12" s="737"/>
      <c r="S12" s="737" t="s">
        <v>288</v>
      </c>
      <c r="T12" s="737"/>
      <c r="U12" s="737" t="s">
        <v>226</v>
      </c>
      <c r="V12" s="737"/>
      <c r="W12" s="737" t="s">
        <v>227</v>
      </c>
      <c r="X12" s="737"/>
      <c r="Y12" s="737" t="s">
        <v>289</v>
      </c>
      <c r="Z12" s="207"/>
      <c r="AA12" s="152"/>
      <c r="AB12" s="148"/>
      <c r="AC12" s="148"/>
      <c r="AD12" s="149"/>
      <c r="AE12" s="208"/>
      <c r="AF12" s="148"/>
      <c r="AG12" s="148"/>
      <c r="AH12" s="207"/>
      <c r="AI12" s="207"/>
      <c r="AJ12" s="207"/>
      <c r="AK12" s="207"/>
      <c r="AL12" s="207"/>
      <c r="AM12" s="207"/>
      <c r="AN12" s="207"/>
      <c r="AO12" s="207"/>
      <c r="AP12" s="207"/>
      <c r="AQ12" s="207"/>
      <c r="AR12" s="207"/>
      <c r="AS12" s="207"/>
      <c r="AT12" s="207"/>
      <c r="AU12" s="207"/>
      <c r="AV12" s="207"/>
      <c r="AW12" s="207"/>
      <c r="AX12" s="207"/>
      <c r="AY12" s="207"/>
      <c r="AZ12" s="207"/>
      <c r="BA12" s="207"/>
      <c r="BB12" s="207"/>
      <c r="BC12" s="207"/>
      <c r="BD12" s="207"/>
      <c r="BE12" s="207"/>
      <c r="BF12" s="207"/>
      <c r="BG12" s="207"/>
      <c r="BH12" s="207"/>
      <c r="BI12" s="207"/>
      <c r="BJ12" s="207"/>
      <c r="BK12" s="207"/>
      <c r="BL12" s="207"/>
      <c r="BM12" s="207"/>
      <c r="BN12" s="207"/>
      <c r="BO12" s="207"/>
      <c r="BP12" s="207"/>
      <c r="BQ12" s="207"/>
      <c r="BR12" s="207"/>
      <c r="BS12" s="207"/>
      <c r="BT12" s="207"/>
      <c r="BU12" s="207"/>
      <c r="BV12" s="207"/>
      <c r="BW12" s="207"/>
      <c r="BX12" s="207"/>
      <c r="BY12" s="207"/>
      <c r="BZ12" s="207"/>
      <c r="CA12" s="207"/>
      <c r="CB12" s="207"/>
      <c r="CC12" s="207"/>
    </row>
    <row r="13" spans="1:81" s="203" customFormat="1" ht="22.5" customHeight="1" x14ac:dyDescent="0.2">
      <c r="A13" s="9"/>
      <c r="B13" s="204" t="s">
        <v>22</v>
      </c>
      <c r="C13" s="737"/>
      <c r="D13" s="737"/>
      <c r="E13" s="737"/>
      <c r="F13" s="740"/>
      <c r="G13" s="739"/>
      <c r="H13" s="737"/>
      <c r="I13" s="737"/>
      <c r="J13" s="740"/>
      <c r="K13" s="741"/>
      <c r="L13" s="741"/>
      <c r="M13" s="741"/>
      <c r="N13" s="399" t="s">
        <v>13</v>
      </c>
      <c r="O13" s="741"/>
      <c r="P13" s="741"/>
      <c r="Q13" s="737"/>
      <c r="R13" s="737"/>
      <c r="S13" s="737"/>
      <c r="T13" s="737"/>
      <c r="U13" s="737"/>
      <c r="V13" s="737"/>
      <c r="W13" s="737"/>
      <c r="X13" s="737"/>
      <c r="Y13" s="737"/>
      <c r="Z13" s="207"/>
      <c r="AA13" s="152"/>
      <c r="AB13" s="148"/>
      <c r="AC13" s="148"/>
      <c r="AD13" s="149"/>
      <c r="AE13" s="208"/>
      <c r="AF13" s="148"/>
      <c r="AG13" s="148"/>
    </row>
    <row r="14" spans="1:81" x14ac:dyDescent="0.2">
      <c r="B14" s="210" t="s">
        <v>18</v>
      </c>
      <c r="C14" s="211">
        <f>IF(Resumo!R15="-","",Resumo!R15*0.750061561303)</f>
        <v>756.3620784179451</v>
      </c>
      <c r="D14" s="212">
        <f>IF(Resumo!$F$9="Manual",Resumo!$Q$24,Temperatura!AG9)</f>
        <v>27.013791955617169</v>
      </c>
      <c r="E14" s="213">
        <f>IF(Resumo!$F$9="Manual",Temperatura!$AZ$18,(Temperatura!$AH$9-Temperatura!$AG$9))</f>
        <v>-5.9486502453598433E-2</v>
      </c>
      <c r="F14" s="213">
        <f>IF(Resumo!$F$9="Manual",D14+E14,Temperatura!AH9)</f>
        <v>26.95430545316357</v>
      </c>
      <c r="G14" s="212">
        <f>F14+273</f>
        <v>299.95430545316356</v>
      </c>
      <c r="H14" s="212">
        <f>IF(Resumo!$F$9="Manual",Resumo!$Q$25,Temperatura!AG10)</f>
        <v>19.037680998613052</v>
      </c>
      <c r="I14" s="213">
        <f>IF(Resumo!$F$9="Manual",Temperatura!$AZ$27,(Temperatura!$AH$10-Temperatura!$AG$10))</f>
        <v>-3.1194024418240929E-2</v>
      </c>
      <c r="J14" s="213">
        <f>IF(Resumo!$F$9="Manual",H14+I14,Temperatura!AH10)</f>
        <v>19.006486974194811</v>
      </c>
      <c r="K14" s="212">
        <f>J14+273</f>
        <v>292.00648697419479</v>
      </c>
      <c r="L14" s="211">
        <f>POWER(10,9.1466-(2316/G14))</f>
        <v>26.633236639718206</v>
      </c>
      <c r="M14" s="211">
        <f>POWER(10,9.1466-(2316/K14))</f>
        <v>16.416075864692381</v>
      </c>
      <c r="N14" s="211">
        <f>IF(C14="","",M14-(C14/755)*(G14-K14)/2)</f>
        <v>12.434997385459686</v>
      </c>
      <c r="O14" s="214">
        <f>(N14/L14)*100</f>
        <v>46.689771707714058</v>
      </c>
      <c r="P14" s="211">
        <f>0.622*(L14/(C14-L14))*1000</f>
        <v>22.701409402342478</v>
      </c>
      <c r="Q14" s="215">
        <f>0.622*(N14/(C14-N14))*1000</f>
        <v>10.396944231444339</v>
      </c>
      <c r="R14" s="216">
        <f>((2.153+(3.461*(P14/1000)))/1+(P14/1000))*(G14/C14)</f>
        <v>0.89398755914135608</v>
      </c>
      <c r="S14" s="217">
        <f>((2.153+(3.461*(Q14/1000)))/1+(Q14/1000))*(K14/C14)</f>
        <v>0.84910847591517846</v>
      </c>
      <c r="T14" s="211">
        <f t="shared" ref="T14:U17" si="0">1/R14</f>
        <v>1.1185837988175866</v>
      </c>
      <c r="U14" s="215">
        <f>1/S14</f>
        <v>1.1777058271879679</v>
      </c>
      <c r="V14" s="211">
        <f>P14/R14</f>
        <v>25.393428767785529</v>
      </c>
      <c r="W14" s="215">
        <f>(O14/100)*V14</f>
        <v>11.856133920440051</v>
      </c>
      <c r="X14" s="211">
        <f>(0.24*F14)+((597+(0.45*F14))*(P14/1000))</f>
        <v>20.297130047419344</v>
      </c>
      <c r="Y14" s="215">
        <f>((0.24*F14)+((597+(0.45*F14))*(Q14/1000)))*U14</f>
        <v>15.077129086363788</v>
      </c>
      <c r="AA14" s="152"/>
      <c r="AB14" s="148"/>
      <c r="AC14" s="148"/>
      <c r="AD14" s="149"/>
      <c r="AE14" s="149"/>
      <c r="AF14" s="148"/>
      <c r="AG14" s="148"/>
    </row>
    <row r="15" spans="1:81" x14ac:dyDescent="0.2">
      <c r="B15" s="210" t="s">
        <v>19</v>
      </c>
      <c r="C15" s="211">
        <f>C14</f>
        <v>756.3620784179451</v>
      </c>
      <c r="D15" s="212">
        <f>IF(Resumo!$F$9="Manual",Resumo!$Q$26,Temperatura!AG11)</f>
        <v>15.322145631067956</v>
      </c>
      <c r="E15" s="213">
        <f>IF(Resumo!$F$9="Manual",Temperatura!$AZ$36,(Temperatura!$AH$11-Temperatura!$AG$11))</f>
        <v>-0.16009174589782837</v>
      </c>
      <c r="F15" s="213">
        <f>IF(Resumo!$F$9="Manual",D15+E15,Temperatura!AH11)</f>
        <v>15.162053885170128</v>
      </c>
      <c r="G15" s="218">
        <f>F15+273</f>
        <v>288.16205388517011</v>
      </c>
      <c r="H15" s="212">
        <f>IF(Resumo!$F$9="Manual",Resumo!$Q$27,Temperatura!AG12)</f>
        <v>13.587134535367568</v>
      </c>
      <c r="I15" s="213">
        <f>IF(Resumo!$F$9="Manual",Temperatura!$AZ$45,(Temperatura!$AH$12-Temperatura!$AG$12))</f>
        <v>1.9011416958944594E-2</v>
      </c>
      <c r="J15" s="213">
        <f>IF(Resumo!$F$9="Manual",H15+I15,Temperatura!AH12)</f>
        <v>13.606145952326512</v>
      </c>
      <c r="K15" s="212">
        <f>J15+273</f>
        <v>286.60614595232653</v>
      </c>
      <c r="L15" s="211">
        <f>POWER(10,9.1466-(2316/G15))</f>
        <v>12.866360947325322</v>
      </c>
      <c r="M15" s="211">
        <f>POWER(10,9.1466-(2316/K15))</f>
        <v>11.636549710021049</v>
      </c>
      <c r="N15" s="211">
        <f>IF(C15="","",M15-(C15/755)*(G15-K15)/2)</f>
        <v>10.85719225444983</v>
      </c>
      <c r="O15" s="214">
        <f>(N15/L15)*100</f>
        <v>84.384328240898896</v>
      </c>
      <c r="P15" s="211">
        <f>0.622*(L15/(C15-L15))*1000</f>
        <v>10.76385017584529</v>
      </c>
      <c r="Q15" s="215">
        <f>0.622*(N15/(C15-N15))*1000</f>
        <v>9.0585235692026966</v>
      </c>
      <c r="R15" s="216">
        <f>((2.153+(3.461*(P15/1000)))/1+(P15/1000))*(G15/C15)</f>
        <v>0.83855305785865741</v>
      </c>
      <c r="S15" s="217">
        <f>((2.153+(3.461*(Q15/1000)))/1+(Q15/1000))*(K15/C15)</f>
        <v>0.83114268369259969</v>
      </c>
      <c r="T15" s="211">
        <f t="shared" si="0"/>
        <v>1.1925303838896206</v>
      </c>
      <c r="U15" s="215">
        <f t="shared" si="0"/>
        <v>1.2031628499179001</v>
      </c>
      <c r="V15" s="211">
        <f>P15/R15</f>
        <v>12.836218382331145</v>
      </c>
      <c r="W15" s="215">
        <f>(O15/100)*V15</f>
        <v>10.831756653464916</v>
      </c>
      <c r="X15" s="211">
        <f>(0.24*F15)+((597+(0.45*F15))*(P15/1000))</f>
        <v>10.138352421790596</v>
      </c>
      <c r="Y15" s="215">
        <f>((0.24*F15)+((597+(0.45*F15))*(Q15/1000)))*U15</f>
        <v>10.95917380022086</v>
      </c>
      <c r="AA15" s="152"/>
      <c r="AB15" s="148"/>
      <c r="AC15" s="148"/>
      <c r="AD15" s="149"/>
      <c r="AE15" s="149"/>
      <c r="AF15" s="148"/>
      <c r="AG15" s="148"/>
    </row>
    <row r="16" spans="1:81" x14ac:dyDescent="0.2">
      <c r="B16" s="210" t="s">
        <v>20</v>
      </c>
      <c r="C16" s="211">
        <f>C14</f>
        <v>756.3620784179451</v>
      </c>
      <c r="D16" s="212">
        <f>IF(Resumo!$F$9="Manual",Resumo!$Q$28,Temperatura!AG13)</f>
        <v>27.013791955617169</v>
      </c>
      <c r="E16" s="213">
        <f>IF(Resumo!$F$9="Manual",Temperatura!$AZ$54,(Temperatura!$AH$13-Temperatura!$AG$13))</f>
        <v>-5.9486502453598433E-2</v>
      </c>
      <c r="F16" s="213">
        <f>IF(Resumo!$F$9="Manual",D16+E16,Temperatura!AH13)</f>
        <v>26.95430545316357</v>
      </c>
      <c r="G16" s="219">
        <f>F16+273</f>
        <v>299.95430545316356</v>
      </c>
      <c r="H16" s="212">
        <f>IF(Resumo!$F$9="Manual",Resumo!$Q$29,Temperatura!AG14)</f>
        <v>19.037680998613052</v>
      </c>
      <c r="I16" s="213">
        <f>IF(Resumo!$F$9="Manual",Temperatura!$AZ$63,(Temperatura!$AH$14-Temperatura!$AG$14))</f>
        <v>-4.6238729652156252E-2</v>
      </c>
      <c r="J16" s="213">
        <f>IF(Resumo!$F$9="Manual",H16+I16,Temperatura!AH14)</f>
        <v>18.991442268960895</v>
      </c>
      <c r="K16" s="212">
        <f>J16+273</f>
        <v>291.9914422689609</v>
      </c>
      <c r="L16" s="211">
        <f>POWER(10,9.1466-(2316/G16))</f>
        <v>26.633236639718206</v>
      </c>
      <c r="M16" s="211">
        <f>POWER(10,9.1466-(2316/K16))</f>
        <v>16.400636111923696</v>
      </c>
      <c r="N16" s="211">
        <f>IF(C16="","",M16-(C16/755)*(G16-K16)/2)</f>
        <v>12.412021709167893</v>
      </c>
      <c r="O16" s="214">
        <f>(N16/L16)*100</f>
        <v>46.603504775149325</v>
      </c>
      <c r="P16" s="211">
        <f>0.622*(L16/(C16-L16))*1000</f>
        <v>22.701409402342478</v>
      </c>
      <c r="Q16" s="215">
        <f>0.622*(N16/(C16-N16))*1000</f>
        <v>10.377413689914631</v>
      </c>
      <c r="R16" s="216">
        <f>((2.153+(3.461*(P16/1000)))/1+(P16/1000))*(G16/C16)</f>
        <v>0.89398755914135608</v>
      </c>
      <c r="S16" s="217">
        <f>((2.153+(3.461*(Q16/1000)))/1+(Q16/1000))*(K16/C16)</f>
        <v>0.84903109365450025</v>
      </c>
      <c r="T16" s="211">
        <f t="shared" si="0"/>
        <v>1.1185837988175866</v>
      </c>
      <c r="U16" s="215">
        <f t="shared" si="0"/>
        <v>1.1778131654703969</v>
      </c>
      <c r="V16" s="211">
        <f>P16/R16</f>
        <v>25.393428767785529</v>
      </c>
      <c r="W16" s="215">
        <f>(O16/100)*V16</f>
        <v>11.834227788369072</v>
      </c>
      <c r="X16" s="211">
        <f>(0.24*F16)+((597+(0.45*F16))*(P16/1000))</f>
        <v>20.297130047419344</v>
      </c>
      <c r="Y16" s="215">
        <f>((0.24*F16)+((597+(0.45*F16))*(Q16/1000)))*U16</f>
        <v>15.064491238913776</v>
      </c>
      <c r="AA16" s="152"/>
      <c r="AB16" s="148"/>
      <c r="AC16" s="148"/>
      <c r="AD16" s="149"/>
      <c r="AE16" s="149"/>
      <c r="AF16" s="148"/>
      <c r="AG16" s="148"/>
    </row>
    <row r="17" spans="2:33" x14ac:dyDescent="0.2">
      <c r="B17" s="210" t="s">
        <v>21</v>
      </c>
      <c r="C17" s="211">
        <f>C14</f>
        <v>756.3620784179451</v>
      </c>
      <c r="D17" s="212">
        <f>IF(Resumo!$F$9="Manual",Resumo!$Q$30,Temperatura!AG15)</f>
        <v>29.112979195561703</v>
      </c>
      <c r="E17" s="213">
        <f>IF(Resumo!$F$9="Manual",Temperatura!$AZ$72,(Temperatura!$AH$15-Temperatura!$AG$15))</f>
        <v>-0.20282433811848222</v>
      </c>
      <c r="F17" s="213">
        <f>IF(Resumo!$F$9="Manual",D17+E17,Temperatura!AH15)</f>
        <v>28.910154857443221</v>
      </c>
      <c r="G17" s="219">
        <f>F17+273</f>
        <v>301.91015485744322</v>
      </c>
      <c r="H17" s="212">
        <f>IF(Resumo!$F$9="Manual",Resumo!$Q$31,Temperatura!AG16)</f>
        <v>19.032099861303756</v>
      </c>
      <c r="I17" s="213">
        <f>IF(Resumo!$F$9="Manual",Temperatura!$AZ$81,(Temperatura!$AH$16-Temperatura!$AG$16))</f>
        <v>-0.10344266627614118</v>
      </c>
      <c r="J17" s="213">
        <f>IF(Resumo!$F$9="Manual",H17+I17,Temperatura!AH16)</f>
        <v>18.928657195027615</v>
      </c>
      <c r="K17" s="212">
        <f>J17+273</f>
        <v>291.9286571950276</v>
      </c>
      <c r="L17" s="211">
        <f>POWER(10,9.1466-(2316/G17))</f>
        <v>29.884339061561139</v>
      </c>
      <c r="M17" s="211">
        <f>POWER(10,9.1466-(2316/K17))</f>
        <v>16.336341906482019</v>
      </c>
      <c r="N17" s="211">
        <f>IF(C17="","",M17-(C17/755)*(G17-K17)/2)</f>
        <v>11.336589378224708</v>
      </c>
      <c r="O17" s="214">
        <f>(N17/L17)*100</f>
        <v>37.934884070454302</v>
      </c>
      <c r="P17" s="211">
        <f>0.622*(L17/(C17-L17))*1000</f>
        <v>25.586549854588718</v>
      </c>
      <c r="Q17" s="215">
        <f>0.622*(N17/(C17-N17))*1000</f>
        <v>9.4645870470075035</v>
      </c>
      <c r="R17" s="216">
        <f>((2.153+(3.461*(P17/1000)))/1+(P17/1000))*(G17/C17)</f>
        <v>0.90495424180934114</v>
      </c>
      <c r="S17" s="217">
        <f>((2.153+(3.461*(Q17/1000)))/1+(Q17/1000))*(K17/C17)</f>
        <v>0.84727683960827527</v>
      </c>
      <c r="T17" s="211">
        <f t="shared" si="0"/>
        <v>1.1050282476168374</v>
      </c>
      <c r="U17" s="215">
        <f t="shared" si="0"/>
        <v>1.1802517822419574</v>
      </c>
      <c r="V17" s="211">
        <f>P17/R17</f>
        <v>28.273860348377017</v>
      </c>
      <c r="W17" s="215">
        <f>(O17/100)*V17</f>
        <v>10.725656145398968</v>
      </c>
      <c r="X17" s="211">
        <f>(0.24*F17)+((597+(0.45*F17))*(P17/1000))</f>
        <v>22.546477432329571</v>
      </c>
      <c r="Y17" s="215">
        <f>((0.24*F17)+((597+(0.45*F17))*(Q17/1000)))*U17</f>
        <v>15.003273125538092</v>
      </c>
      <c r="AA17" s="152"/>
      <c r="AB17" s="148"/>
      <c r="AC17" s="148"/>
      <c r="AD17" s="149"/>
      <c r="AE17" s="149"/>
      <c r="AF17" s="148"/>
      <c r="AG17" s="148"/>
    </row>
    <row r="18" spans="2:33" x14ac:dyDescent="0.2">
      <c r="B18" s="220"/>
      <c r="C18" s="194"/>
      <c r="D18" s="194"/>
      <c r="E18" s="194"/>
      <c r="F18" s="194"/>
      <c r="G18" s="194"/>
      <c r="H18" s="194"/>
      <c r="I18" s="194"/>
      <c r="J18" s="194"/>
      <c r="K18" s="194"/>
      <c r="L18" s="195"/>
      <c r="M18" s="195"/>
      <c r="N18" s="195"/>
      <c r="O18" s="196"/>
      <c r="P18" s="195"/>
      <c r="Q18" s="195"/>
      <c r="R18" s="197"/>
      <c r="S18" s="197"/>
      <c r="T18" s="195"/>
      <c r="U18" s="195"/>
      <c r="V18" s="195"/>
      <c r="W18" s="195"/>
      <c r="X18" s="195"/>
      <c r="Y18" s="195"/>
      <c r="AC18" s="221"/>
    </row>
    <row r="19" spans="2:33" x14ac:dyDescent="0.2">
      <c r="B19" s="400" t="s">
        <v>40</v>
      </c>
      <c r="C19" s="151"/>
      <c r="D19" s="151"/>
      <c r="E19" s="151"/>
      <c r="F19" s="151"/>
      <c r="G19" s="222"/>
      <c r="H19" s="748" t="s">
        <v>64</v>
      </c>
      <c r="I19" s="748"/>
      <c r="J19" s="204" t="s">
        <v>24</v>
      </c>
      <c r="K19" s="223"/>
      <c r="L19" s="224"/>
      <c r="M19" s="224"/>
      <c r="N19" s="224"/>
      <c r="O19" s="401" t="s">
        <v>23</v>
      </c>
      <c r="P19" s="224"/>
      <c r="Q19" s="205" t="s">
        <v>26</v>
      </c>
      <c r="R19" s="225"/>
      <c r="S19" s="205" t="s">
        <v>27</v>
      </c>
      <c r="T19" s="224"/>
      <c r="U19" s="205" t="s">
        <v>28</v>
      </c>
      <c r="V19" s="226"/>
      <c r="W19" s="205" t="s">
        <v>28</v>
      </c>
      <c r="X19" s="226"/>
      <c r="Y19" s="205" t="s">
        <v>28</v>
      </c>
    </row>
    <row r="20" spans="2:33" ht="13.5" x14ac:dyDescent="0.2">
      <c r="B20" s="227" t="s">
        <v>39</v>
      </c>
      <c r="C20" s="151"/>
      <c r="D20" s="151"/>
      <c r="E20" s="151"/>
      <c r="F20" s="151"/>
      <c r="G20" s="222"/>
      <c r="H20" s="747" t="s">
        <v>65</v>
      </c>
      <c r="I20" s="747"/>
      <c r="J20" s="227" t="s">
        <v>25</v>
      </c>
      <c r="K20" s="228"/>
      <c r="L20" s="229"/>
      <c r="M20" s="229"/>
      <c r="N20" s="229"/>
      <c r="O20" s="230" t="s">
        <v>290</v>
      </c>
      <c r="P20" s="229"/>
      <c r="Q20" s="231" t="s">
        <v>16</v>
      </c>
      <c r="R20" s="225"/>
      <c r="S20" s="230" t="s">
        <v>289</v>
      </c>
      <c r="T20" s="229"/>
      <c r="U20" s="231" t="s">
        <v>29</v>
      </c>
      <c r="V20" s="226"/>
      <c r="W20" s="231" t="s">
        <v>291</v>
      </c>
      <c r="X20" s="226"/>
      <c r="Y20" s="231" t="s">
        <v>36</v>
      </c>
    </row>
    <row r="21" spans="2:33" x14ac:dyDescent="0.2">
      <c r="B21" s="232">
        <f>((O21/3600)/(S15))*((Y14-Y15)/(F16-F15))</f>
        <v>5.3516965193864494E-2</v>
      </c>
      <c r="C21" s="151"/>
      <c r="D21" s="151"/>
      <c r="E21" s="151"/>
      <c r="F21" s="151"/>
      <c r="G21" s="222"/>
      <c r="H21" s="747" t="s">
        <v>30</v>
      </c>
      <c r="I21" s="747"/>
      <c r="J21" s="219">
        <f>IF(Pressão!$H$14="","",IF(Pressão!$I$7="mbar",Pressão!$H$14*10.1971621,Pressão!$H$14))</f>
        <v>33.099659235887096</v>
      </c>
      <c r="K21" s="233"/>
      <c r="L21" s="234"/>
      <c r="M21" s="234"/>
      <c r="N21" s="234"/>
      <c r="O21" s="214">
        <f>ASHRAE!$C$17</f>
        <v>458.5478629117722</v>
      </c>
      <c r="P21" s="234"/>
      <c r="Q21" s="215">
        <f>+W14-W15</f>
        <v>1.0243772669751348</v>
      </c>
      <c r="R21" s="216"/>
      <c r="S21" s="214">
        <f>+Y14-Y15</f>
        <v>4.1179552861429283</v>
      </c>
      <c r="T21" s="234"/>
      <c r="U21" s="235">
        <f>IF(O21="","",+(((S21*O21)+((B21*1000*0.86)*(F16-F15)))*4))</f>
        <v>9724.0525616306004</v>
      </c>
      <c r="V21" s="211"/>
      <c r="W21" s="215">
        <f>U21*1.055</f>
        <v>10258.875452520282</v>
      </c>
      <c r="X21" s="211"/>
      <c r="Y21" s="215">
        <f>IF(U21="","",U21*0.293)</f>
        <v>2849.1474005577656</v>
      </c>
    </row>
    <row r="22" spans="2:33" x14ac:dyDescent="0.2">
      <c r="C22" s="151"/>
      <c r="D22" s="151"/>
      <c r="E22" s="151"/>
      <c r="F22" s="151"/>
      <c r="G22" s="222"/>
      <c r="H22" s="151"/>
      <c r="I22" s="151"/>
      <c r="J22" s="151"/>
      <c r="K22" s="151"/>
      <c r="L22" s="150"/>
      <c r="M22" s="150"/>
      <c r="N22" s="150"/>
      <c r="O22" s="236"/>
      <c r="P22" s="150"/>
      <c r="Q22" s="150"/>
      <c r="R22" s="237"/>
      <c r="S22" s="237"/>
      <c r="T22" s="150"/>
      <c r="U22" s="150"/>
      <c r="V22" s="150"/>
      <c r="W22" s="150"/>
      <c r="X22" s="150"/>
      <c r="Y22" s="150"/>
    </row>
    <row r="23" spans="2:33" x14ac:dyDescent="0.2">
      <c r="B23" s="735"/>
      <c r="C23" s="736"/>
      <c r="D23" s="151"/>
      <c r="E23" s="238"/>
      <c r="F23" s="151"/>
      <c r="G23" s="222"/>
      <c r="H23" s="746" t="s">
        <v>262</v>
      </c>
      <c r="I23" s="746"/>
      <c r="J23" s="219">
        <f>Resumo!$R$17</f>
        <v>1</v>
      </c>
      <c r="K23" s="239"/>
      <c r="L23" s="239"/>
      <c r="M23" s="239"/>
      <c r="N23" s="239"/>
      <c r="O23" s="240" t="s">
        <v>33</v>
      </c>
      <c r="P23" s="226"/>
      <c r="Q23" s="241" t="s">
        <v>33</v>
      </c>
      <c r="R23" s="225"/>
      <c r="S23" s="242" t="s">
        <v>31</v>
      </c>
      <c r="T23" s="243"/>
      <c r="U23" s="235">
        <f>AVERAGE(U21:U21)</f>
        <v>9724.0525616306004</v>
      </c>
      <c r="V23" s="211"/>
      <c r="W23" s="215">
        <f>AVERAGE(W21:W21)</f>
        <v>10258.875452520282</v>
      </c>
      <c r="X23" s="211"/>
      <c r="Y23" s="215">
        <f>AVERAGE(Y21:Y21)</f>
        <v>2849.1474005577656</v>
      </c>
    </row>
    <row r="24" spans="2:33" x14ac:dyDescent="0.2">
      <c r="B24" s="735"/>
      <c r="C24" s="736"/>
      <c r="D24" s="151"/>
      <c r="E24" s="238"/>
      <c r="F24" s="151"/>
      <c r="G24" s="222"/>
      <c r="H24" s="151"/>
      <c r="I24" s="151"/>
      <c r="J24" s="193"/>
      <c r="K24" s="244"/>
      <c r="L24" s="245"/>
      <c r="M24" s="245"/>
      <c r="N24" s="245"/>
      <c r="O24" s="246" t="s">
        <v>34</v>
      </c>
      <c r="P24" s="247"/>
      <c r="Q24" s="248" t="s">
        <v>228</v>
      </c>
      <c r="R24" s="225"/>
      <c r="S24" s="242" t="s">
        <v>32</v>
      </c>
      <c r="T24" s="243"/>
      <c r="U24" s="211">
        <f>Resumo!$L$17</f>
        <v>9000</v>
      </c>
      <c r="V24" s="211"/>
      <c r="W24" s="215">
        <f>U24*1.055</f>
        <v>9495</v>
      </c>
      <c r="X24" s="211"/>
      <c r="Y24" s="215">
        <f>U24*0.293</f>
        <v>2637</v>
      </c>
    </row>
    <row r="25" spans="2:33" x14ac:dyDescent="0.2">
      <c r="B25" s="249"/>
      <c r="C25" s="151"/>
      <c r="D25" s="151"/>
      <c r="E25" s="238"/>
      <c r="F25" s="151"/>
      <c r="G25" s="222"/>
      <c r="H25" s="250"/>
      <c r="I25" s="151"/>
      <c r="J25" s="151"/>
      <c r="K25" s="251"/>
      <c r="L25" s="252"/>
      <c r="M25" s="252"/>
      <c r="N25" s="252"/>
      <c r="O25" s="211">
        <f>IF(Resumo!R18="","",Pressão!G24)</f>
        <v>789.74614157951999</v>
      </c>
      <c r="P25" s="211"/>
      <c r="Q25" s="215">
        <f>IF(O25="-","",(O25/1000)*30)</f>
        <v>23.692384247385597</v>
      </c>
      <c r="R25" s="225"/>
      <c r="S25" s="242" t="s">
        <v>37</v>
      </c>
      <c r="T25" s="243"/>
      <c r="U25" s="215">
        <f>((U23/U24)*100)-100</f>
        <v>8.0450284625622288</v>
      </c>
      <c r="V25" s="211"/>
      <c r="W25" s="215">
        <f>((W23/W24)*100)-100</f>
        <v>8.0450284625622146</v>
      </c>
      <c r="X25" s="211"/>
      <c r="Y25" s="215">
        <f>((Y23/Y24)*100)-100</f>
        <v>8.0450284625622146</v>
      </c>
    </row>
    <row r="26" spans="2:33" x14ac:dyDescent="0.2">
      <c r="B26" s="238"/>
      <c r="C26" s="238"/>
      <c r="D26" s="151"/>
      <c r="E26" s="151"/>
      <c r="F26" s="151"/>
      <c r="G26" s="222"/>
      <c r="H26" s="250"/>
      <c r="I26" s="250"/>
      <c r="J26" s="151"/>
      <c r="K26" s="222"/>
      <c r="L26" s="253"/>
      <c r="M26" s="253"/>
      <c r="N26" s="253"/>
      <c r="O26" s="236"/>
      <c r="P26" s="150"/>
      <c r="Q26" s="150"/>
      <c r="R26" s="237"/>
      <c r="S26" s="237"/>
      <c r="T26" s="150"/>
      <c r="U26" s="150"/>
      <c r="V26" s="150"/>
      <c r="W26" s="150"/>
      <c r="X26" s="150"/>
      <c r="Y26" s="398"/>
      <c r="AG26" s="9"/>
    </row>
    <row r="27" spans="2:33" x14ac:dyDescent="0.2">
      <c r="B27" s="238"/>
      <c r="C27" s="238"/>
      <c r="D27" s="151"/>
      <c r="E27" s="151"/>
      <c r="F27" s="151"/>
      <c r="G27" s="222"/>
      <c r="H27" s="151"/>
      <c r="I27" s="151"/>
      <c r="J27" s="151" t="s">
        <v>194</v>
      </c>
      <c r="K27" s="222"/>
      <c r="L27" s="253"/>
      <c r="M27" s="253"/>
      <c r="N27" s="253"/>
      <c r="O27" s="236"/>
      <c r="P27" s="150"/>
      <c r="Q27" s="150"/>
      <c r="R27" s="237"/>
      <c r="Z27" s="148"/>
      <c r="AG27" s="9"/>
    </row>
    <row r="28" spans="2:33" x14ac:dyDescent="0.2">
      <c r="D28" s="151"/>
      <c r="G28" s="404"/>
      <c r="K28" s="404"/>
      <c r="L28" s="254"/>
      <c r="M28" s="254"/>
      <c r="N28" s="254"/>
      <c r="O28" s="237"/>
      <c r="P28" s="150"/>
      <c r="Q28" s="150"/>
      <c r="R28" s="237"/>
      <c r="S28" s="237"/>
      <c r="T28" s="150"/>
      <c r="AA28" s="148"/>
      <c r="AB28" s="148"/>
    </row>
    <row r="29" spans="2:33" x14ac:dyDescent="0.2">
      <c r="B29" s="255" t="s">
        <v>38</v>
      </c>
      <c r="C29" s="256"/>
      <c r="D29" s="257">
        <f>IF(Y21="","",Y21/O25)</f>
        <v>3.607674986368874</v>
      </c>
      <c r="E29" s="258" t="s">
        <v>269</v>
      </c>
      <c r="F29" s="259">
        <f>IF(D29="","",'i.m. equação'!$M$300/'Condicionador de ar'!$D$29)</f>
        <v>1.0763005619947707E-2</v>
      </c>
      <c r="G29" s="222"/>
      <c r="H29" s="151"/>
      <c r="I29" s="151"/>
      <c r="J29" s="237"/>
      <c r="K29" s="253"/>
      <c r="L29" s="260"/>
      <c r="M29" s="261"/>
      <c r="N29" s="253"/>
      <c r="O29" s="237"/>
      <c r="P29" s="150"/>
      <c r="Q29" s="150"/>
      <c r="R29" s="237"/>
      <c r="S29" s="237"/>
      <c r="T29" s="150"/>
      <c r="U29" s="262"/>
      <c r="AE29" s="9"/>
      <c r="AF29" s="9"/>
      <c r="AG29" s="9"/>
    </row>
    <row r="30" spans="2:33" x14ac:dyDescent="0.2">
      <c r="D30" s="263"/>
      <c r="E30" s="263"/>
      <c r="F30" s="151"/>
      <c r="G30" s="151"/>
      <c r="H30" s="151"/>
      <c r="I30" s="151"/>
      <c r="J30" s="237"/>
      <c r="K30" s="150"/>
      <c r="L30" s="264"/>
      <c r="M30" s="265"/>
      <c r="N30" s="150"/>
      <c r="O30" s="237"/>
      <c r="P30" s="150"/>
      <c r="Q30" s="150"/>
      <c r="R30" s="237"/>
      <c r="S30" s="237"/>
      <c r="T30" s="150"/>
      <c r="AE30" s="9"/>
      <c r="AF30" s="9"/>
      <c r="AG30" s="9"/>
    </row>
    <row r="31" spans="2:33" ht="46.5" customHeight="1" x14ac:dyDescent="0.2">
      <c r="AE31" s="9"/>
      <c r="AF31" s="9"/>
      <c r="AG31" s="9"/>
    </row>
    <row r="32" spans="2:33" ht="14.1" customHeight="1" x14ac:dyDescent="0.2">
      <c r="AE32" s="9"/>
      <c r="AF32" s="9"/>
      <c r="AG32" s="9"/>
    </row>
    <row r="35" spans="1:25" x14ac:dyDescent="0.2">
      <c r="A35" s="734"/>
      <c r="B35" s="734"/>
      <c r="C35" s="734"/>
      <c r="D35" s="734"/>
      <c r="E35" s="734"/>
      <c r="F35" s="734"/>
      <c r="G35" s="734"/>
      <c r="H35" s="734"/>
      <c r="I35" s="734"/>
      <c r="J35" s="734"/>
      <c r="K35" s="734"/>
      <c r="L35" s="734"/>
      <c r="M35" s="734"/>
      <c r="N35" s="734"/>
      <c r="O35" s="734"/>
      <c r="P35" s="734"/>
      <c r="Q35" s="734"/>
      <c r="R35" s="734"/>
      <c r="S35" s="734"/>
      <c r="T35" s="734"/>
      <c r="U35" s="734"/>
      <c r="V35" s="734"/>
      <c r="W35" s="734"/>
      <c r="X35" s="734"/>
      <c r="Y35" s="734"/>
    </row>
    <row r="36" spans="1:25" x14ac:dyDescent="0.2">
      <c r="A36" s="734"/>
      <c r="B36" s="734"/>
      <c r="C36" s="734"/>
      <c r="D36" s="734"/>
      <c r="E36" s="734"/>
      <c r="F36" s="734"/>
      <c r="G36" s="734"/>
      <c r="H36" s="734"/>
      <c r="I36" s="734"/>
      <c r="J36" s="734"/>
      <c r="K36" s="734"/>
      <c r="L36" s="734"/>
      <c r="M36" s="734"/>
      <c r="N36" s="734"/>
      <c r="O36" s="734"/>
      <c r="P36" s="734"/>
      <c r="Q36" s="734"/>
      <c r="R36" s="734"/>
      <c r="S36" s="734"/>
      <c r="T36" s="734"/>
      <c r="U36" s="734"/>
      <c r="V36" s="734"/>
      <c r="W36" s="734"/>
      <c r="X36" s="734"/>
      <c r="Y36" s="734"/>
    </row>
    <row r="37" spans="1:25" x14ac:dyDescent="0.2">
      <c r="A37" s="734"/>
      <c r="B37" s="734"/>
      <c r="C37" s="734"/>
      <c r="D37" s="734"/>
      <c r="E37" s="734"/>
      <c r="F37" s="734"/>
      <c r="G37" s="734"/>
      <c r="H37" s="734"/>
      <c r="I37" s="734"/>
      <c r="J37" s="734"/>
      <c r="K37" s="734"/>
      <c r="L37" s="734"/>
      <c r="M37" s="734"/>
      <c r="N37" s="734"/>
      <c r="O37" s="734"/>
      <c r="P37" s="734"/>
      <c r="Q37" s="734"/>
      <c r="R37" s="734"/>
      <c r="S37" s="734"/>
      <c r="T37" s="734"/>
      <c r="U37" s="734"/>
      <c r="V37" s="734"/>
      <c r="W37" s="734"/>
      <c r="X37" s="734"/>
      <c r="Y37" s="734"/>
    </row>
  </sheetData>
  <sheetProtection selectLockedCells="1" selectUnlockedCells="1"/>
  <mergeCells count="43">
    <mergeCell ref="O12:O13"/>
    <mergeCell ref="P12:P13"/>
    <mergeCell ref="H23:I23"/>
    <mergeCell ref="H20:I20"/>
    <mergeCell ref="H21:I21"/>
    <mergeCell ref="H19:I19"/>
    <mergeCell ref="H12:H13"/>
    <mergeCell ref="I12:I13"/>
    <mergeCell ref="K12:K13"/>
    <mergeCell ref="S6:Y6"/>
    <mergeCell ref="S7:Y7"/>
    <mergeCell ref="S9:Y9"/>
    <mergeCell ref="S8:Y8"/>
    <mergeCell ref="S12:S13"/>
    <mergeCell ref="W12:W13"/>
    <mergeCell ref="Y12:Y13"/>
    <mergeCell ref="V12:V13"/>
    <mergeCell ref="W10:Y10"/>
    <mergeCell ref="X12:X13"/>
    <mergeCell ref="U12:U13"/>
    <mergeCell ref="T12:T13"/>
    <mergeCell ref="B6:C6"/>
    <mergeCell ref="B7:C7"/>
    <mergeCell ref="B9:C9"/>
    <mergeCell ref="B8:C8"/>
    <mergeCell ref="D6:H6"/>
    <mergeCell ref="D7:H7"/>
    <mergeCell ref="A1:Y4"/>
    <mergeCell ref="A35:Y37"/>
    <mergeCell ref="B23:B24"/>
    <mergeCell ref="C23:C24"/>
    <mergeCell ref="D12:D13"/>
    <mergeCell ref="D8:H8"/>
    <mergeCell ref="D9:H9"/>
    <mergeCell ref="G12:G13"/>
    <mergeCell ref="C12:C13"/>
    <mergeCell ref="E12:E13"/>
    <mergeCell ref="F12:F13"/>
    <mergeCell ref="Q12:Q13"/>
    <mergeCell ref="L12:L13"/>
    <mergeCell ref="M12:M13"/>
    <mergeCell ref="R12:R13"/>
    <mergeCell ref="J12:J13"/>
  </mergeCells>
  <phoneticPr fontId="10" type="noConversion"/>
  <pageMargins left="0.51181102362204722" right="0.51181102362204722" top="0.78740157480314965" bottom="0.78740157480314965" header="0.31496062992125984" footer="0.31496062992125984"/>
  <pageSetup paperSize="9" scale="46" orientation="landscape" r:id="rId1"/>
  <headerFooter>
    <oddHeader>&amp;RPágina &amp;P de &amp;N</oddHeader>
    <oddFooter>&amp;CRevisão 00 - 25/10/2018 - Pagina &amp;P de &amp;N
Elaborado por: Leonardo de Andrea João - Aprovado por: Leandro Weschenfelder</oddFooter>
  </headerFooter>
  <ignoredErrors>
    <ignoredError sqref="G15:G17 Y14 W14 M15 M16 M17 W15:Y15 W16:Y16 P16:U16 R14:T14 O15:U15 O17:Y17" unlockedFormula="1"/>
  </ignoredError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2"/>
  <dimension ref="A1:BO5903"/>
  <sheetViews>
    <sheetView zoomScale="70" zoomScaleNormal="70" zoomScalePageLayoutView="55" workbookViewId="0">
      <selection activeCell="I9" sqref="I9:I729"/>
    </sheetView>
  </sheetViews>
  <sheetFormatPr defaultRowHeight="12.75" x14ac:dyDescent="0.2"/>
  <cols>
    <col min="1" max="1" width="10.140625" style="147" bestFit="1" customWidth="1"/>
    <col min="2" max="10" width="9" style="9" customWidth="1"/>
    <col min="11" max="11" width="5.28515625" style="9" customWidth="1"/>
    <col min="12" max="12" width="7.28515625" style="9" customWidth="1"/>
    <col min="13" max="13" width="7.28515625" style="9" bestFit="1" customWidth="1"/>
    <col min="14" max="14" width="7.7109375" style="9" bestFit="1" customWidth="1"/>
    <col min="15" max="15" width="5.7109375" style="9" customWidth="1"/>
    <col min="16" max="16" width="4.85546875" style="9" customWidth="1"/>
    <col min="17" max="23" width="9.140625" style="9"/>
    <col min="24" max="24" width="10.5703125" style="9" customWidth="1"/>
    <col min="25" max="25" width="1.42578125" style="9" customWidth="1"/>
    <col min="26" max="26" width="9.140625" style="9"/>
    <col min="27" max="28" width="13.140625" style="9" bestFit="1" customWidth="1"/>
    <col min="29" max="31" width="9.28515625" style="9" bestFit="1" customWidth="1"/>
    <col min="32" max="32" width="9.140625" style="9"/>
    <col min="33" max="33" width="18.28515625" style="9" customWidth="1"/>
    <col min="34" max="34" width="20.42578125" style="9" customWidth="1"/>
    <col min="35" max="35" width="10.5703125" style="9" customWidth="1"/>
    <col min="36" max="36" width="16.28515625" style="9" customWidth="1"/>
    <col min="37" max="42" width="9.140625" style="9"/>
    <col min="43" max="43" width="7.28515625" style="9" customWidth="1"/>
    <col min="44" max="44" width="9.140625" style="9"/>
    <col min="45" max="46" width="7.28515625" style="9" bestFit="1" customWidth="1"/>
    <col min="47" max="47" width="7.7109375" style="9" bestFit="1" customWidth="1"/>
    <col min="48" max="48" width="5.7109375" style="9" customWidth="1"/>
    <col min="49" max="49" width="16.28515625" style="9" bestFit="1" customWidth="1"/>
    <col min="50" max="50" width="11.7109375" style="9" customWidth="1"/>
    <col min="51" max="51" width="12.7109375" style="9" customWidth="1"/>
    <col min="52" max="53" width="9.140625" style="9"/>
    <col min="54" max="54" width="3.85546875" style="9" customWidth="1"/>
    <col min="55" max="55" width="9.140625" style="9"/>
    <col min="56" max="56" width="11" style="9" customWidth="1"/>
    <col min="57" max="57" width="9.5703125" style="9" bestFit="1" customWidth="1"/>
    <col min="58" max="58" width="7.5703125" style="9" customWidth="1"/>
    <col min="59" max="59" width="3.28515625" style="9" customWidth="1"/>
    <col min="60" max="60" width="10" style="9" bestFit="1" customWidth="1"/>
    <col min="61" max="61" width="3.7109375" style="9" customWidth="1"/>
    <col min="62" max="62" width="17.140625" style="9" customWidth="1"/>
    <col min="63" max="63" width="5.5703125" style="9" customWidth="1"/>
    <col min="64" max="16384" width="9.140625" style="9"/>
  </cols>
  <sheetData>
    <row r="1" spans="1:67" s="483" customFormat="1" ht="12.75" customHeight="1" x14ac:dyDescent="0.2">
      <c r="A1" s="725" t="s">
        <v>474</v>
      </c>
      <c r="B1" s="726"/>
      <c r="C1" s="726"/>
      <c r="D1" s="726"/>
      <c r="E1" s="726"/>
      <c r="F1" s="726"/>
      <c r="G1" s="726"/>
      <c r="H1" s="726"/>
      <c r="I1" s="726"/>
      <c r="J1" s="726"/>
      <c r="K1" s="726"/>
      <c r="L1" s="726"/>
      <c r="M1" s="726"/>
      <c r="N1" s="726"/>
      <c r="O1" s="726"/>
      <c r="P1" s="726"/>
      <c r="Q1" s="726"/>
      <c r="R1" s="726"/>
      <c r="S1" s="726"/>
      <c r="T1" s="726"/>
      <c r="U1" s="726"/>
      <c r="V1" s="726"/>
      <c r="W1" s="726"/>
      <c r="X1" s="726"/>
      <c r="Y1" s="727"/>
      <c r="Z1" s="649" t="s">
        <v>464</v>
      </c>
      <c r="AA1" s="650"/>
      <c r="AB1" s="650"/>
      <c r="AC1" s="650"/>
      <c r="AD1" s="650"/>
      <c r="AE1" s="650"/>
      <c r="AF1" s="650"/>
      <c r="AG1" s="650"/>
      <c r="AH1" s="650"/>
      <c r="AI1" s="650"/>
      <c r="AJ1" s="650"/>
      <c r="AK1" s="650"/>
      <c r="AL1" s="650"/>
      <c r="AM1" s="650"/>
      <c r="AN1" s="650"/>
      <c r="AO1" s="650"/>
      <c r="AP1" s="650"/>
      <c r="AQ1" s="651"/>
      <c r="AR1" s="482"/>
      <c r="AS1" s="649" t="s">
        <v>465</v>
      </c>
      <c r="AT1" s="650"/>
      <c r="AU1" s="650"/>
      <c r="AV1" s="650"/>
      <c r="AW1" s="650"/>
      <c r="AX1" s="650"/>
      <c r="AY1" s="650"/>
      <c r="AZ1" s="650"/>
      <c r="BA1" s="650"/>
      <c r="BB1" s="650"/>
      <c r="BC1" s="650"/>
      <c r="BD1" s="650"/>
      <c r="BE1" s="650"/>
      <c r="BF1" s="650"/>
      <c r="BG1" s="650"/>
      <c r="BH1" s="650"/>
      <c r="BI1" s="650"/>
      <c r="BJ1" s="650"/>
      <c r="BK1" s="485"/>
      <c r="BL1" s="9"/>
      <c r="BM1" s="9"/>
      <c r="BN1" s="9"/>
      <c r="BO1" s="9"/>
    </row>
    <row r="2" spans="1:67" s="162" customFormat="1" ht="12.75" customHeight="1" x14ac:dyDescent="0.2">
      <c r="A2" s="728"/>
      <c r="B2" s="729"/>
      <c r="C2" s="729"/>
      <c r="D2" s="729"/>
      <c r="E2" s="729"/>
      <c r="F2" s="729"/>
      <c r="G2" s="729"/>
      <c r="H2" s="729"/>
      <c r="I2" s="729"/>
      <c r="J2" s="729"/>
      <c r="K2" s="729"/>
      <c r="L2" s="729"/>
      <c r="M2" s="729"/>
      <c r="N2" s="729"/>
      <c r="O2" s="729"/>
      <c r="P2" s="729"/>
      <c r="Q2" s="729"/>
      <c r="R2" s="729"/>
      <c r="S2" s="729"/>
      <c r="T2" s="729"/>
      <c r="U2" s="729"/>
      <c r="V2" s="729"/>
      <c r="W2" s="729"/>
      <c r="X2" s="729"/>
      <c r="Y2" s="730"/>
      <c r="Z2" s="652"/>
      <c r="AA2" s="653"/>
      <c r="AB2" s="653"/>
      <c r="AC2" s="653"/>
      <c r="AD2" s="653"/>
      <c r="AE2" s="653"/>
      <c r="AF2" s="653"/>
      <c r="AG2" s="653"/>
      <c r="AH2" s="653"/>
      <c r="AI2" s="653"/>
      <c r="AJ2" s="653"/>
      <c r="AK2" s="653"/>
      <c r="AL2" s="653"/>
      <c r="AM2" s="653"/>
      <c r="AN2" s="653"/>
      <c r="AO2" s="653"/>
      <c r="AP2" s="653"/>
      <c r="AQ2" s="654"/>
      <c r="AR2" s="482"/>
      <c r="AS2" s="652"/>
      <c r="AT2" s="653"/>
      <c r="AU2" s="653"/>
      <c r="AV2" s="653"/>
      <c r="AW2" s="653"/>
      <c r="AX2" s="653"/>
      <c r="AY2" s="653"/>
      <c r="AZ2" s="653"/>
      <c r="BA2" s="653"/>
      <c r="BB2" s="653"/>
      <c r="BC2" s="653"/>
      <c r="BD2" s="653"/>
      <c r="BE2" s="653"/>
      <c r="BF2" s="653"/>
      <c r="BG2" s="653"/>
      <c r="BH2" s="653"/>
      <c r="BI2" s="653"/>
      <c r="BJ2" s="653"/>
      <c r="BK2" s="486"/>
    </row>
    <row r="3" spans="1:67" s="162" customFormat="1" ht="12.75" customHeight="1" x14ac:dyDescent="0.2">
      <c r="A3" s="728"/>
      <c r="B3" s="729"/>
      <c r="C3" s="729"/>
      <c r="D3" s="729"/>
      <c r="E3" s="729"/>
      <c r="F3" s="729"/>
      <c r="G3" s="729"/>
      <c r="H3" s="729"/>
      <c r="I3" s="729"/>
      <c r="J3" s="729"/>
      <c r="K3" s="729"/>
      <c r="L3" s="729"/>
      <c r="M3" s="729"/>
      <c r="N3" s="729"/>
      <c r="O3" s="729"/>
      <c r="P3" s="729"/>
      <c r="Q3" s="729"/>
      <c r="R3" s="729"/>
      <c r="S3" s="729"/>
      <c r="T3" s="729"/>
      <c r="U3" s="729"/>
      <c r="V3" s="729"/>
      <c r="W3" s="729"/>
      <c r="X3" s="729"/>
      <c r="Y3" s="730"/>
      <c r="Z3" s="652"/>
      <c r="AA3" s="653"/>
      <c r="AB3" s="653"/>
      <c r="AC3" s="653"/>
      <c r="AD3" s="653"/>
      <c r="AE3" s="653"/>
      <c r="AF3" s="653"/>
      <c r="AG3" s="653"/>
      <c r="AH3" s="653"/>
      <c r="AI3" s="653"/>
      <c r="AJ3" s="653"/>
      <c r="AK3" s="653"/>
      <c r="AL3" s="653"/>
      <c r="AM3" s="653"/>
      <c r="AN3" s="653"/>
      <c r="AO3" s="653"/>
      <c r="AP3" s="653"/>
      <c r="AQ3" s="654"/>
      <c r="AR3" s="482"/>
      <c r="AS3" s="652"/>
      <c r="AT3" s="653"/>
      <c r="AU3" s="653"/>
      <c r="AV3" s="653"/>
      <c r="AW3" s="653"/>
      <c r="AX3" s="653"/>
      <c r="AY3" s="653"/>
      <c r="AZ3" s="653"/>
      <c r="BA3" s="653"/>
      <c r="BB3" s="653"/>
      <c r="BC3" s="653"/>
      <c r="BD3" s="653"/>
      <c r="BE3" s="653"/>
      <c r="BF3" s="653"/>
      <c r="BG3" s="653"/>
      <c r="BH3" s="653"/>
      <c r="BI3" s="653"/>
      <c r="BJ3" s="653"/>
      <c r="BK3" s="486"/>
    </row>
    <row r="4" spans="1:67" s="484" customFormat="1" ht="12.75" customHeight="1" x14ac:dyDescent="0.2">
      <c r="A4" s="731"/>
      <c r="B4" s="732"/>
      <c r="C4" s="732"/>
      <c r="D4" s="732"/>
      <c r="E4" s="732"/>
      <c r="F4" s="732"/>
      <c r="G4" s="732"/>
      <c r="H4" s="732"/>
      <c r="I4" s="732"/>
      <c r="J4" s="732"/>
      <c r="K4" s="732"/>
      <c r="L4" s="732"/>
      <c r="M4" s="732"/>
      <c r="N4" s="732"/>
      <c r="O4" s="732"/>
      <c r="P4" s="732"/>
      <c r="Q4" s="732"/>
      <c r="R4" s="732"/>
      <c r="S4" s="732"/>
      <c r="T4" s="732"/>
      <c r="U4" s="732"/>
      <c r="V4" s="732"/>
      <c r="W4" s="732"/>
      <c r="X4" s="732"/>
      <c r="Y4" s="733"/>
      <c r="Z4" s="655"/>
      <c r="AA4" s="656"/>
      <c r="AB4" s="656"/>
      <c r="AC4" s="656"/>
      <c r="AD4" s="656"/>
      <c r="AE4" s="656"/>
      <c r="AF4" s="656"/>
      <c r="AG4" s="656"/>
      <c r="AH4" s="656"/>
      <c r="AI4" s="656"/>
      <c r="AJ4" s="656"/>
      <c r="AK4" s="656"/>
      <c r="AL4" s="656"/>
      <c r="AM4" s="656"/>
      <c r="AN4" s="656"/>
      <c r="AO4" s="656"/>
      <c r="AP4" s="656"/>
      <c r="AQ4" s="657"/>
      <c r="AR4" s="482"/>
      <c r="AS4" s="655"/>
      <c r="AT4" s="656"/>
      <c r="AU4" s="656"/>
      <c r="AV4" s="656"/>
      <c r="AW4" s="656"/>
      <c r="AX4" s="656"/>
      <c r="AY4" s="656"/>
      <c r="AZ4" s="656"/>
      <c r="BA4" s="656"/>
      <c r="BB4" s="656"/>
      <c r="BC4" s="656"/>
      <c r="BD4" s="656"/>
      <c r="BE4" s="656"/>
      <c r="BF4" s="656"/>
      <c r="BG4" s="656"/>
      <c r="BH4" s="656"/>
      <c r="BI4" s="656"/>
      <c r="BJ4" s="656"/>
      <c r="BK4" s="487"/>
      <c r="BL4" s="9"/>
      <c r="BM4" s="9"/>
      <c r="BN4" s="9"/>
      <c r="BO4" s="9"/>
    </row>
    <row r="5" spans="1:67" ht="13.5" thickBot="1" x14ac:dyDescent="0.25"/>
    <row r="6" spans="1:67" ht="13.5" customHeight="1" thickBot="1" x14ac:dyDescent="0.25">
      <c r="A6" s="795" t="s">
        <v>340</v>
      </c>
      <c r="B6" s="796"/>
      <c r="C6" s="796"/>
      <c r="D6" s="796"/>
      <c r="E6" s="796"/>
      <c r="F6" s="796"/>
      <c r="G6" s="796"/>
      <c r="H6" s="796"/>
      <c r="I6" s="796"/>
      <c r="K6" s="780" t="str">
        <f>IF(Resumo!$E$40="","",Resumo!$E$40)</f>
        <v>1670DOM</v>
      </c>
      <c r="L6" s="781"/>
      <c r="M6" s="781"/>
      <c r="N6" s="781"/>
      <c r="O6" s="782"/>
      <c r="P6" s="10"/>
      <c r="AS6" s="749" t="s">
        <v>62</v>
      </c>
      <c r="AT6" s="750"/>
      <c r="AU6" s="750"/>
      <c r="AV6" s="750"/>
      <c r="AW6" s="750"/>
      <c r="AX6" s="750"/>
      <c r="AY6" s="750"/>
      <c r="AZ6" s="750"/>
      <c r="BA6" s="751"/>
      <c r="BC6" s="749" t="s">
        <v>263</v>
      </c>
      <c r="BD6" s="750"/>
      <c r="BE6" s="750"/>
      <c r="BF6" s="750"/>
      <c r="BG6" s="750"/>
      <c r="BH6" s="750"/>
      <c r="BI6" s="750"/>
      <c r="BJ6" s="750"/>
      <c r="BK6" s="751"/>
    </row>
    <row r="7" spans="1:67" ht="12.75" customHeight="1" x14ac:dyDescent="0.2">
      <c r="A7" s="794" t="s">
        <v>343</v>
      </c>
      <c r="B7" s="777" t="s">
        <v>335</v>
      </c>
      <c r="C7" s="777"/>
      <c r="D7" s="777"/>
      <c r="E7" s="777"/>
      <c r="F7" s="777"/>
      <c r="G7" s="777"/>
      <c r="H7" s="777"/>
      <c r="I7" s="777"/>
      <c r="K7" s="783"/>
      <c r="L7" s="784"/>
      <c r="M7" s="784"/>
      <c r="N7" s="784"/>
      <c r="O7" s="785"/>
      <c r="P7" s="10"/>
      <c r="Q7" s="778" t="s">
        <v>336</v>
      </c>
      <c r="R7" s="779"/>
      <c r="S7" s="779"/>
      <c r="T7" s="779"/>
      <c r="U7" s="779"/>
      <c r="V7" s="779"/>
      <c r="W7" s="779"/>
      <c r="X7" s="779"/>
      <c r="AB7" s="775" t="s">
        <v>329</v>
      </c>
      <c r="AC7" s="775"/>
      <c r="AD7" s="775"/>
      <c r="AE7" s="775"/>
      <c r="AF7" s="776"/>
      <c r="AG7" s="797" t="s">
        <v>337</v>
      </c>
      <c r="AH7" s="797" t="s">
        <v>342</v>
      </c>
      <c r="AI7" s="801" t="s">
        <v>339</v>
      </c>
      <c r="AJ7" s="799" t="s">
        <v>338</v>
      </c>
      <c r="AS7" s="752"/>
      <c r="AT7" s="753"/>
      <c r="AU7" s="753"/>
      <c r="AV7" s="753"/>
      <c r="AW7" s="753"/>
      <c r="AX7" s="753"/>
      <c r="AY7" s="753"/>
      <c r="AZ7" s="753"/>
      <c r="BA7" s="754"/>
      <c r="BC7" s="752"/>
      <c r="BD7" s="753"/>
      <c r="BE7" s="753"/>
      <c r="BF7" s="753"/>
      <c r="BG7" s="753"/>
      <c r="BH7" s="753"/>
      <c r="BI7" s="753"/>
      <c r="BJ7" s="753"/>
      <c r="BK7" s="754"/>
    </row>
    <row r="8" spans="1:67" ht="13.5" customHeight="1" thickBot="1" x14ac:dyDescent="0.25">
      <c r="A8" s="794"/>
      <c r="B8" s="406" t="s">
        <v>50</v>
      </c>
      <c r="C8" s="406" t="s">
        <v>55</v>
      </c>
      <c r="D8" s="406" t="s">
        <v>56</v>
      </c>
      <c r="E8" s="406" t="s">
        <v>57</v>
      </c>
      <c r="F8" s="406" t="s">
        <v>58</v>
      </c>
      <c r="G8" s="406" t="s">
        <v>59</v>
      </c>
      <c r="H8" s="406" t="s">
        <v>60</v>
      </c>
      <c r="I8" s="406" t="s">
        <v>61</v>
      </c>
      <c r="K8" s="783"/>
      <c r="L8" s="784"/>
      <c r="M8" s="784"/>
      <c r="N8" s="784"/>
      <c r="O8" s="785"/>
      <c r="P8" s="10"/>
      <c r="Q8" s="406" t="s">
        <v>50</v>
      </c>
      <c r="R8" s="406" t="s">
        <v>55</v>
      </c>
      <c r="S8" s="406" t="s">
        <v>56</v>
      </c>
      <c r="T8" s="406" t="s">
        <v>57</v>
      </c>
      <c r="U8" s="406" t="s">
        <v>58</v>
      </c>
      <c r="V8" s="406" t="s">
        <v>59</v>
      </c>
      <c r="W8" s="406" t="s">
        <v>60</v>
      </c>
      <c r="X8" s="406" t="s">
        <v>61</v>
      </c>
      <c r="AB8" s="6" t="s">
        <v>330</v>
      </c>
      <c r="AC8" s="6" t="s">
        <v>331</v>
      </c>
      <c r="AD8" s="6" t="s">
        <v>332</v>
      </c>
      <c r="AE8" s="6" t="s">
        <v>333</v>
      </c>
      <c r="AF8" s="7" t="s">
        <v>334</v>
      </c>
      <c r="AG8" s="798"/>
      <c r="AH8" s="798"/>
      <c r="AI8" s="802"/>
      <c r="AJ8" s="800"/>
      <c r="AS8" s="752"/>
      <c r="AT8" s="753"/>
      <c r="AU8" s="753"/>
      <c r="AV8" s="753"/>
      <c r="AW8" s="753"/>
      <c r="AX8" s="753"/>
      <c r="AY8" s="753"/>
      <c r="AZ8" s="753"/>
      <c r="BA8" s="754"/>
      <c r="BC8" s="752"/>
      <c r="BD8" s="753"/>
      <c r="BE8" s="753"/>
      <c r="BF8" s="753"/>
      <c r="BG8" s="753"/>
      <c r="BH8" s="753"/>
      <c r="BI8" s="753"/>
      <c r="BJ8" s="753"/>
      <c r="BK8" s="754"/>
    </row>
    <row r="9" spans="1:67" ht="13.5" customHeight="1" thickBot="1" x14ac:dyDescent="0.25">
      <c r="A9" s="407">
        <v>1</v>
      </c>
      <c r="B9" s="437">
        <v>27.006</v>
      </c>
      <c r="C9" s="437">
        <v>19.039000000000001</v>
      </c>
      <c r="D9" s="437">
        <v>15.31</v>
      </c>
      <c r="E9" s="437">
        <v>13.584</v>
      </c>
      <c r="F9" s="437">
        <v>27.006</v>
      </c>
      <c r="G9" s="437">
        <v>19.039000000000001</v>
      </c>
      <c r="H9" s="437">
        <v>29.131</v>
      </c>
      <c r="I9" s="438">
        <v>19.077999999999999</v>
      </c>
      <c r="J9" s="11"/>
      <c r="K9" s="786"/>
      <c r="L9" s="787"/>
      <c r="M9" s="787"/>
      <c r="N9" s="787"/>
      <c r="O9" s="788"/>
      <c r="P9" s="10"/>
      <c r="Q9" s="348">
        <f>IFERROR(B9^4*$AB$9+B9^3*$AC$9+B9^2*$AD$9+B9^1*$AE$9+B9^0*$AF$9,"")</f>
        <v>26.94655312501531</v>
      </c>
      <c r="R9" s="348">
        <f>IFERROR(C9^4*$AB$10+C9^3*$AC$10+C9^2*$AD$10+C9^1*$AE$10+C9^0*$AF$10,"")</f>
        <v>19.007814108929892</v>
      </c>
      <c r="S9" s="348">
        <f>IFERROR(D9^4*$AB$11+D9^3*$AC$11+D9^2*$AD$11+D9^1*$AE$11+D9^0*$AF$11,"")</f>
        <v>15.149914261761012</v>
      </c>
      <c r="T9" s="348">
        <f>IFERROR(E9^4*$AB$12+E9^3*$AC$12+E9^2*$AD$12+E9^1*$AE$12+E9^0*$AF$12,"")</f>
        <v>13.603009006498031</v>
      </c>
      <c r="U9" s="348">
        <f>IFERROR(F9^4*$AB$13+F9^3*$AC$13+F9^2*$AD$13+F9^1*$AE$13+F9^0*$AF$13,"")</f>
        <v>26.94655312501531</v>
      </c>
      <c r="V9" s="348">
        <f>IFERROR(G9^4*$AB$14+G9^3*$AC$14+G9^2*$AD$14+G9^1*$AE$14+G9^0*$AF$14,"")</f>
        <v>18.992762933337143</v>
      </c>
      <c r="W9" s="348">
        <f>IFERROR(H9^4*$AB$15+H9^3*$AC$15+H9^2*$AD$15+H9^1*$AE$15+H9^0*$AF$15,"")</f>
        <v>28.928116158332241</v>
      </c>
      <c r="X9" s="348">
        <f>IFERROR(I9^4*$AB$16+I9^3*$AC$16+I9^2*$AD$16+I9^1*$AE$16+I9^0*$AF$16,"")</f>
        <v>18.97430924926158</v>
      </c>
      <c r="AA9" s="42" t="s">
        <v>50</v>
      </c>
      <c r="AB9" s="8">
        <f t="array" ref="AB9:AF9">LINEST(L14:L18,M14:M18^{1,2,3,4})</f>
        <v>1.7223098615315907E-7</v>
      </c>
      <c r="AC9" s="8">
        <v>-1.3797484048496964E-5</v>
      </c>
      <c r="AD9" s="8">
        <v>2.4835766972141965E-4</v>
      </c>
      <c r="AE9" s="8">
        <v>0.99813175677718025</v>
      </c>
      <c r="AF9" s="8">
        <v>-9.981342389736525E-3</v>
      </c>
      <c r="AG9" s="12">
        <f>AVERAGE($B$9:$B$3608)</f>
        <v>27.013791955617169</v>
      </c>
      <c r="AH9" s="12">
        <f>AVERAGE($Q$9:$Q$3608)</f>
        <v>26.95430545316357</v>
      </c>
      <c r="AI9" s="13">
        <f>AVEDEV($Q$9:$Q$3608)</f>
        <v>2.4557280056116449E-2</v>
      </c>
      <c r="AJ9" s="191">
        <f>BA18</f>
        <v>0.12</v>
      </c>
      <c r="AS9" s="755"/>
      <c r="AT9" s="756"/>
      <c r="AU9" s="756"/>
      <c r="AV9" s="756"/>
      <c r="AW9" s="756"/>
      <c r="AX9" s="756"/>
      <c r="AY9" s="756"/>
      <c r="AZ9" s="756"/>
      <c r="BA9" s="757"/>
      <c r="BC9" s="755"/>
      <c r="BD9" s="756"/>
      <c r="BE9" s="756"/>
      <c r="BF9" s="756"/>
      <c r="BG9" s="756"/>
      <c r="BH9" s="756"/>
      <c r="BI9" s="756"/>
      <c r="BJ9" s="756"/>
      <c r="BK9" s="757"/>
    </row>
    <row r="10" spans="1:67" x14ac:dyDescent="0.2">
      <c r="A10" s="407">
        <v>2</v>
      </c>
      <c r="B10" s="438">
        <v>27.013999999999999</v>
      </c>
      <c r="C10" s="438">
        <v>19.04</v>
      </c>
      <c r="D10" s="438">
        <v>15.318</v>
      </c>
      <c r="E10" s="438">
        <v>13.586</v>
      </c>
      <c r="F10" s="438">
        <v>27.013999999999999</v>
      </c>
      <c r="G10" s="438">
        <v>19.04</v>
      </c>
      <c r="H10" s="438">
        <v>29.128</v>
      </c>
      <c r="I10" s="438">
        <v>19.074999999999999</v>
      </c>
      <c r="J10" s="11"/>
      <c r="Q10" s="348">
        <f t="shared" ref="Q10:Q73" si="0">IFERROR(B10^4*$AB$9+B10^3*$AC$9+B10^2*$AD$9+B10^1*$AE$9+B10^0*$AF$9,"")</f>
        <v>26.954512530990065</v>
      </c>
      <c r="R10" s="348">
        <f t="shared" ref="R10:R73" si="1">IFERROR(C10^4*$AB$10+C10^3*$AC$10+C10^2*$AD$10+C10^1*$AE$10+C10^0*$AF$10,"")</f>
        <v>19.008820220251717</v>
      </c>
      <c r="S10" s="348">
        <f t="shared" ref="S10:S73" si="2">IFERROR(D10^4*$AB$11+D10^3*$AC$11+D10^2*$AD$11+D10^1*$AE$11+D10^0*$AF$11,"")</f>
        <v>15.157910265428947</v>
      </c>
      <c r="T10" s="348">
        <f t="shared" ref="T10:T73" si="3">IFERROR(E10^4*$AB$12+E10^3*$AC$12+E10^2*$AD$12+E10^1*$AE$12+E10^0*$AF$12,"")</f>
        <v>13.605010548721044</v>
      </c>
      <c r="U10" s="348">
        <f t="shared" ref="U10:U73" si="4">IFERROR(F10^4*$AB$13+F10^3*$AC$13+F10^2*$AD$13+F10^1*$AE$13+F10^0*$AF$13,"")</f>
        <v>26.954512530990065</v>
      </c>
      <c r="V10" s="348">
        <f t="shared" ref="V10:V73" si="5">IFERROR(G10^4*$AB$14+G10^3*$AC$14+G10^2*$AD$14+G10^1*$AE$14+G10^0*$AF$14,"")</f>
        <v>18.993764198068142</v>
      </c>
      <c r="W10" s="348">
        <f t="shared" ref="W10:W73" si="6">IFERROR(H10^4*$AB$15+H10^3*$AC$15+H10^2*$AD$15+H10^1*$AE$15+H10^0*$AF$15,"")</f>
        <v>28.925125807105463</v>
      </c>
      <c r="X10" s="348">
        <f t="shared" ref="X10:X73" si="7">IFERROR(I10^4*$AB$16+I10^3*$AC$16+I10^2*$AD$16+I10^1*$AE$16+I10^0*$AF$16,"")</f>
        <v>18.971325438255839</v>
      </c>
      <c r="AA10" s="42" t="s">
        <v>55</v>
      </c>
      <c r="AB10" s="403">
        <f t="array" ref="AB10:AF10">LINEST(L22:L26,M22:M26^{1,2,3,4})</f>
        <v>6.0037651356212689E-7</v>
      </c>
      <c r="AC10" s="403">
        <v>-6.152881551243762E-5</v>
      </c>
      <c r="AD10" s="403">
        <v>1.8522245811087791E-3</v>
      </c>
      <c r="AE10" s="403">
        <v>0.98591864488627223</v>
      </c>
      <c r="AF10" s="403">
        <v>-8.8747636243747374E-2</v>
      </c>
      <c r="AG10" s="12">
        <f>AVERAGE($C$9:$C$3608)</f>
        <v>19.037680998613052</v>
      </c>
      <c r="AH10" s="14">
        <f>AVERAGE($R$9:$R$3608)</f>
        <v>19.006486974194811</v>
      </c>
      <c r="AI10" s="15">
        <f>AVEDEV($R$9:$R$3608)</f>
        <v>1.0740284691347787E-2</v>
      </c>
      <c r="AJ10" s="158">
        <f>BA27</f>
        <v>0.12</v>
      </c>
      <c r="AS10" s="758"/>
      <c r="AT10" s="758"/>
      <c r="AU10" s="758"/>
      <c r="AV10" s="758"/>
      <c r="AW10" s="758"/>
      <c r="AX10" s="758"/>
      <c r="AY10" s="758"/>
      <c r="AZ10" s="758"/>
      <c r="BA10" s="758"/>
    </row>
    <row r="11" spans="1:67" ht="13.5" thickBot="1" x14ac:dyDescent="0.25">
      <c r="A11" s="407">
        <v>3</v>
      </c>
      <c r="B11" s="438">
        <v>27.013000000000002</v>
      </c>
      <c r="C11" s="438">
        <v>19.038</v>
      </c>
      <c r="D11" s="438">
        <v>15.311</v>
      </c>
      <c r="E11" s="438">
        <v>13.587</v>
      </c>
      <c r="F11" s="438">
        <v>27.013000000000002</v>
      </c>
      <c r="G11" s="438">
        <v>19.038</v>
      </c>
      <c r="H11" s="438">
        <v>29.128</v>
      </c>
      <c r="I11" s="438">
        <v>19.073</v>
      </c>
      <c r="J11" s="11"/>
      <c r="Q11" s="348">
        <f t="shared" si="0"/>
        <v>26.953517606053413</v>
      </c>
      <c r="R11" s="348">
        <f t="shared" si="1"/>
        <v>19.006807996895354</v>
      </c>
      <c r="S11" s="348">
        <f t="shared" si="2"/>
        <v>15.150913759052282</v>
      </c>
      <c r="T11" s="348">
        <f t="shared" si="3"/>
        <v>13.606011319711039</v>
      </c>
      <c r="U11" s="348">
        <f t="shared" si="4"/>
        <v>26.953517606053413</v>
      </c>
      <c r="V11" s="348">
        <f t="shared" si="5"/>
        <v>18.991761668657151</v>
      </c>
      <c r="W11" s="348">
        <f t="shared" si="6"/>
        <v>28.925125807105463</v>
      </c>
      <c r="X11" s="348">
        <f t="shared" si="7"/>
        <v>18.969336232414967</v>
      </c>
      <c r="AA11" s="42" t="s">
        <v>56</v>
      </c>
      <c r="AB11" s="403">
        <f t="array" ref="AB11:AF11">LINEST(L30:L34,M30:M34^{1,2,3,4})</f>
        <v>3.7045366826148103E-7</v>
      </c>
      <c r="AC11" s="403">
        <v>-4.602490025803473E-5</v>
      </c>
      <c r="AD11" s="403">
        <v>2.0455964444610042E-3</v>
      </c>
      <c r="AE11" s="403">
        <v>0.96390720037093669</v>
      </c>
      <c r="AF11" s="403">
        <v>5.7827057928879877E-2</v>
      </c>
      <c r="AG11" s="12">
        <f>AVERAGE($D$9:$D$3608)</f>
        <v>15.322145631067956</v>
      </c>
      <c r="AH11" s="14">
        <f>AVERAGE($S$9:$S$3608)</f>
        <v>15.162053885170128</v>
      </c>
      <c r="AI11" s="15">
        <f>AVEDEV($S$9:$S$3608)</f>
        <v>6.8602454404168949E-3</v>
      </c>
      <c r="AJ11" s="158">
        <f>BA36</f>
        <v>0.12</v>
      </c>
      <c r="AS11" s="758"/>
      <c r="AT11" s="758"/>
      <c r="AU11" s="758"/>
      <c r="AV11" s="758"/>
      <c r="AW11" s="758"/>
      <c r="AX11" s="758"/>
      <c r="AY11" s="758"/>
      <c r="AZ11" s="758"/>
      <c r="BA11" s="758"/>
      <c r="BC11" s="792"/>
      <c r="BD11" s="803" t="s">
        <v>436</v>
      </c>
      <c r="BE11" s="790" t="s">
        <v>437</v>
      </c>
    </row>
    <row r="12" spans="1:67" ht="13.5" thickBot="1" x14ac:dyDescent="0.25">
      <c r="A12" s="407">
        <v>4</v>
      </c>
      <c r="B12" s="438">
        <v>27.006</v>
      </c>
      <c r="C12" s="438">
        <v>19.039000000000001</v>
      </c>
      <c r="D12" s="438">
        <v>15.314</v>
      </c>
      <c r="E12" s="438">
        <v>13.587999999999999</v>
      </c>
      <c r="F12" s="438">
        <v>27.006</v>
      </c>
      <c r="G12" s="438">
        <v>19.039000000000001</v>
      </c>
      <c r="H12" s="438">
        <v>29.123000000000001</v>
      </c>
      <c r="I12" s="438">
        <v>19.071999999999999</v>
      </c>
      <c r="J12" s="11"/>
      <c r="L12" s="760" t="s">
        <v>50</v>
      </c>
      <c r="M12" s="761"/>
      <c r="N12" s="762"/>
      <c r="O12" s="16"/>
      <c r="Q12" s="348">
        <f t="shared" si="0"/>
        <v>26.94655312501531</v>
      </c>
      <c r="R12" s="348">
        <f t="shared" si="1"/>
        <v>19.007814108929892</v>
      </c>
      <c r="S12" s="348">
        <f t="shared" si="2"/>
        <v>15.153912256356737</v>
      </c>
      <c r="T12" s="348">
        <f t="shared" si="3"/>
        <v>13.607012090620003</v>
      </c>
      <c r="U12" s="348">
        <f t="shared" si="4"/>
        <v>26.94655312501531</v>
      </c>
      <c r="V12" s="348">
        <f t="shared" si="5"/>
        <v>18.992762933337143</v>
      </c>
      <c r="W12" s="348">
        <f t="shared" si="6"/>
        <v>28.920141940184681</v>
      </c>
      <c r="X12" s="348">
        <f t="shared" si="7"/>
        <v>18.968341629943335</v>
      </c>
      <c r="AA12" s="42" t="s">
        <v>57</v>
      </c>
      <c r="AB12" s="403">
        <f t="array" ref="AB12:AF12">LINEST(L38:L42,M38:M42^{1,2,3,4})</f>
        <v>7.4032007608652594E-8</v>
      </c>
      <c r="AC12" s="403">
        <v>-6.5818084399523556E-6</v>
      </c>
      <c r="AD12" s="403">
        <v>1.4576606726444518E-4</v>
      </c>
      <c r="AE12" s="403">
        <v>0.99971227462231638</v>
      </c>
      <c r="AF12" s="403">
        <v>9.9971081630364778E-3</v>
      </c>
      <c r="AG12" s="12">
        <f>AVERAGE($E$9:$E$3608)</f>
        <v>13.587134535367568</v>
      </c>
      <c r="AH12" s="14">
        <f>AVERAGE($T$9:$T$3608)</f>
        <v>13.606145952326512</v>
      </c>
      <c r="AI12" s="15">
        <f>AVEDEV($T$9:$T$3608)</f>
        <v>9.2876068967716451E-3</v>
      </c>
      <c r="AJ12" s="158">
        <f>BA45</f>
        <v>0.12</v>
      </c>
      <c r="AS12" s="760" t="s">
        <v>50</v>
      </c>
      <c r="AT12" s="761"/>
      <c r="AU12" s="762"/>
      <c r="AV12" s="16"/>
      <c r="AW12" s="763" t="s">
        <v>42</v>
      </c>
      <c r="AX12" s="769"/>
      <c r="AY12" s="17">
        <f>IF(Resumo!$F$9="Software",AH9,Resumo!Q24)</f>
        <v>26.95430545316357</v>
      </c>
      <c r="AZ12" s="18"/>
      <c r="BA12" s="18"/>
      <c r="BC12" s="793"/>
      <c r="BD12" s="804"/>
      <c r="BE12" s="791"/>
    </row>
    <row r="13" spans="1:67" x14ac:dyDescent="0.2">
      <c r="A13" s="407">
        <v>5</v>
      </c>
      <c r="B13" s="438">
        <v>27.016999999999999</v>
      </c>
      <c r="C13" s="438">
        <v>19.039000000000001</v>
      </c>
      <c r="D13" s="438">
        <v>15.317</v>
      </c>
      <c r="E13" s="438">
        <v>13.59</v>
      </c>
      <c r="F13" s="438">
        <v>27.016999999999999</v>
      </c>
      <c r="G13" s="438">
        <v>19.039000000000001</v>
      </c>
      <c r="H13" s="438">
        <v>29.123999999999999</v>
      </c>
      <c r="I13" s="438">
        <v>19.07</v>
      </c>
      <c r="J13" s="11"/>
      <c r="L13" s="19" t="s">
        <v>47</v>
      </c>
      <c r="M13" s="20" t="s">
        <v>48</v>
      </c>
      <c r="N13" s="21" t="s">
        <v>49</v>
      </c>
      <c r="O13" s="16"/>
      <c r="Q13" s="348">
        <f t="shared" si="0"/>
        <v>26.95749730441176</v>
      </c>
      <c r="R13" s="348">
        <f t="shared" si="1"/>
        <v>19.007814108929892</v>
      </c>
      <c r="S13" s="348">
        <f t="shared" si="2"/>
        <v>15.156910761804214</v>
      </c>
      <c r="T13" s="348">
        <f t="shared" si="3"/>
        <v>13.60901363219479</v>
      </c>
      <c r="U13" s="348">
        <f t="shared" si="4"/>
        <v>26.95749730441176</v>
      </c>
      <c r="V13" s="348">
        <f t="shared" si="5"/>
        <v>18.992762933337143</v>
      </c>
      <c r="W13" s="348">
        <f t="shared" si="6"/>
        <v>28.921138708389677</v>
      </c>
      <c r="X13" s="348">
        <f t="shared" si="7"/>
        <v>18.966352425897576</v>
      </c>
      <c r="AA13" s="42" t="s">
        <v>58</v>
      </c>
      <c r="AB13" s="403">
        <f t="array" ref="AB13:AF13">LINEST(L46:L50,M46:M50^{1,2,3,4})</f>
        <v>1.7223098615315907E-7</v>
      </c>
      <c r="AC13" s="403">
        <v>-1.3797484048496964E-5</v>
      </c>
      <c r="AD13" s="403">
        <v>2.4835766972141965E-4</v>
      </c>
      <c r="AE13" s="403">
        <v>0.99813175677718025</v>
      </c>
      <c r="AF13" s="403">
        <v>-9.981342389736525E-3</v>
      </c>
      <c r="AG13" s="12">
        <f>AVERAGE($F$9:$F$3608)</f>
        <v>27.013791955617169</v>
      </c>
      <c r="AH13" s="14">
        <f>AVERAGE($U$9:$U$3608)</f>
        <v>26.95430545316357</v>
      </c>
      <c r="AI13" s="15">
        <f>AVEDEV($U$9:$U$3608)</f>
        <v>2.4557280056116449E-2</v>
      </c>
      <c r="AJ13" s="158">
        <f>BA54</f>
        <v>0.12</v>
      </c>
      <c r="AS13" s="19" t="s">
        <v>47</v>
      </c>
      <c r="AT13" s="20" t="s">
        <v>48</v>
      </c>
      <c r="AU13" s="21" t="s">
        <v>49</v>
      </c>
      <c r="AV13" s="16"/>
      <c r="AW13" s="22"/>
      <c r="AX13" s="23" t="s">
        <v>43</v>
      </c>
      <c r="AY13" s="23" t="s">
        <v>44</v>
      </c>
      <c r="AZ13" s="23" t="s">
        <v>45</v>
      </c>
      <c r="BA13" s="24" t="s">
        <v>46</v>
      </c>
      <c r="BC13" s="157" t="s">
        <v>120</v>
      </c>
      <c r="BD13" s="439">
        <v>99.79</v>
      </c>
      <c r="BE13" s="159">
        <f>(PI()*(($BD$13/1000)^2))/4</f>
        <v>7.8210295471707967E-3</v>
      </c>
      <c r="BF13" s="329" t="s">
        <v>264</v>
      </c>
    </row>
    <row r="14" spans="1:67" x14ac:dyDescent="0.2">
      <c r="A14" s="407">
        <v>6</v>
      </c>
      <c r="B14" s="438">
        <v>27.015000000000001</v>
      </c>
      <c r="C14" s="438">
        <v>19.036000000000001</v>
      </c>
      <c r="D14" s="438">
        <v>15.318</v>
      </c>
      <c r="E14" s="438">
        <v>13.584</v>
      </c>
      <c r="F14" s="438">
        <v>27.015000000000001</v>
      </c>
      <c r="G14" s="500">
        <v>19.036000000000001</v>
      </c>
      <c r="H14" s="438">
        <v>29.122</v>
      </c>
      <c r="I14" s="438">
        <v>19.064</v>
      </c>
      <c r="J14" s="11"/>
      <c r="L14" s="25">
        <v>0</v>
      </c>
      <c r="M14" s="26">
        <v>0.01</v>
      </c>
      <c r="N14" s="27">
        <v>0.12</v>
      </c>
      <c r="O14" s="16"/>
      <c r="Q14" s="348">
        <f t="shared" si="0"/>
        <v>26.955507455695326</v>
      </c>
      <c r="R14" s="348">
        <f t="shared" si="1"/>
        <v>19.004795770688506</v>
      </c>
      <c r="S14" s="348">
        <f t="shared" si="2"/>
        <v>15.157910265428947</v>
      </c>
      <c r="T14" s="348">
        <f t="shared" si="3"/>
        <v>13.603009006498031</v>
      </c>
      <c r="U14" s="348">
        <f t="shared" si="4"/>
        <v>26.955507455695326</v>
      </c>
      <c r="V14" s="348">
        <f t="shared" si="5"/>
        <v>18.989759139450531</v>
      </c>
      <c r="W14" s="348">
        <f t="shared" si="6"/>
        <v>28.919145174569298</v>
      </c>
      <c r="X14" s="348">
        <f t="shared" si="7"/>
        <v>18.960384820938479</v>
      </c>
      <c r="AA14" s="42" t="s">
        <v>59</v>
      </c>
      <c r="AB14" s="403">
        <f t="array" ref="AB14:AF14">LINEST(L54:L58,M54:M58^{1,2,3,4})</f>
        <v>3.2966948752704434E-7</v>
      </c>
      <c r="AC14" s="403">
        <v>-3.7593535794278977E-5</v>
      </c>
      <c r="AD14" s="403">
        <v>1.4557402204410071E-3</v>
      </c>
      <c r="AE14" s="403">
        <v>0.97761351759527881</v>
      </c>
      <c r="AF14" s="403">
        <v>6.8425800202091769E-2</v>
      </c>
      <c r="AG14" s="12">
        <f>AVERAGE($G$9:$G$3608)</f>
        <v>19.037680998613052</v>
      </c>
      <c r="AH14" s="14">
        <f>AVERAGE($V$9:$V$3608)</f>
        <v>18.991442268960895</v>
      </c>
      <c r="AI14" s="15">
        <f>AVEDEV($V$9:$V$3608)</f>
        <v>1.0688533387071687E-2</v>
      </c>
      <c r="AJ14" s="158">
        <f>BA63</f>
        <v>0.12</v>
      </c>
      <c r="AS14" s="25">
        <f t="shared" ref="AS14:AU18" si="8">L14</f>
        <v>0</v>
      </c>
      <c r="AT14" s="28">
        <f t="shared" si="8"/>
        <v>0.01</v>
      </c>
      <c r="AU14" s="27">
        <f t="shared" si="8"/>
        <v>0.12</v>
      </c>
      <c r="AV14" s="16"/>
      <c r="AW14" s="29" t="str">
        <f>CONCATENATE("Entre ",AS14,"°C  e ",AS15,"°C ")</f>
        <v xml:space="preserve">Entre 0°C  e 15°C </v>
      </c>
      <c r="AX14" s="28" t="str">
        <f>IF(AND(AY12&lt;=AT15,AY12&gt;=AT14),AY12,"")</f>
        <v/>
      </c>
      <c r="AY14" s="14" t="str">
        <f>IF(ISNUMBER(AX14),((AS15-AS14)/(AT15-AT14))*(AX14-AT14)+AS14,"")</f>
        <v/>
      </c>
      <c r="AZ14" s="14" t="str">
        <f>IF(ISNUMBER(AX14),AY14-AX14,"")</f>
        <v/>
      </c>
      <c r="BA14" s="30" t="str">
        <f>IF(ISNUMBER(AX14),((AU15-AU14)/(AS15-AS14))*(AX14-AS14)+AU14,"")</f>
        <v/>
      </c>
      <c r="BC14" s="157" t="s">
        <v>121</v>
      </c>
      <c r="BD14" s="440">
        <v>84.55</v>
      </c>
      <c r="BE14" s="159">
        <f>(PI()*(($BD$14/1000)^2))/4</f>
        <v>5.6145778141747475E-3</v>
      </c>
      <c r="BF14" s="329" t="s">
        <v>264</v>
      </c>
    </row>
    <row r="15" spans="1:67" x14ac:dyDescent="0.2">
      <c r="A15" s="407">
        <v>7</v>
      </c>
      <c r="B15" s="438">
        <v>27.010999999999999</v>
      </c>
      <c r="C15" s="438">
        <v>19.036000000000001</v>
      </c>
      <c r="D15" s="438">
        <v>15.315</v>
      </c>
      <c r="E15" s="438">
        <v>13.586</v>
      </c>
      <c r="F15" s="438">
        <v>27.010999999999999</v>
      </c>
      <c r="G15" s="438">
        <v>19.036000000000001</v>
      </c>
      <c r="H15" s="438">
        <v>29.125</v>
      </c>
      <c r="I15" s="438">
        <v>19.061</v>
      </c>
      <c r="J15" s="11"/>
      <c r="L15" s="25">
        <v>15</v>
      </c>
      <c r="M15" s="26">
        <v>15.02</v>
      </c>
      <c r="N15" s="27">
        <v>0.12</v>
      </c>
      <c r="O15" s="16"/>
      <c r="Q15" s="348">
        <f>IFERROR(B15^4*$AB$9+B15^3*$AC$9+B15^2*$AD$9+B15^1*$AE$9+B15^0*$AF$9,"")</f>
        <v>26.951527755485799</v>
      </c>
      <c r="R15" s="348">
        <f t="shared" si="1"/>
        <v>19.004795770688506</v>
      </c>
      <c r="S15" s="348">
        <f t="shared" si="2"/>
        <v>15.154911757267969</v>
      </c>
      <c r="T15" s="348">
        <f t="shared" si="3"/>
        <v>13.605010548721044</v>
      </c>
      <c r="U15" s="348">
        <f t="shared" si="4"/>
        <v>26.951527755485799</v>
      </c>
      <c r="V15" s="348">
        <f t="shared" si="5"/>
        <v>18.989759139450531</v>
      </c>
      <c r="W15" s="348">
        <f t="shared" si="6"/>
        <v>28.922135479184277</v>
      </c>
      <c r="X15" s="348">
        <f t="shared" si="7"/>
        <v>18.957401022495429</v>
      </c>
      <c r="AA15" s="42" t="s">
        <v>60</v>
      </c>
      <c r="AB15" s="403">
        <f t="array" ref="AB15:AF15">LINEST(L62:L66,M62:M66^{1,2,3,4})</f>
        <v>-1.5774848549383965E-6</v>
      </c>
      <c r="AC15" s="403">
        <v>1.8004336465182101E-4</v>
      </c>
      <c r="AD15" s="403">
        <v>-6.4077427476934897E-3</v>
      </c>
      <c r="AE15" s="403">
        <v>1.0677410122673381</v>
      </c>
      <c r="AF15" s="403">
        <v>-5.3371053752055531E-2</v>
      </c>
      <c r="AG15" s="12">
        <f>AVERAGE($H$9:$H$3608)</f>
        <v>29.112979195561703</v>
      </c>
      <c r="AH15" s="14">
        <f>AVERAGE($W$9:$W$3608)</f>
        <v>28.910154857443221</v>
      </c>
      <c r="AI15" s="15">
        <f>AVEDEV($W$9:$W$3608)</f>
        <v>2.403219140675E-2</v>
      </c>
      <c r="AJ15" s="158">
        <f>BA72</f>
        <v>0.12</v>
      </c>
      <c r="AS15" s="25">
        <f t="shared" si="8"/>
        <v>15</v>
      </c>
      <c r="AT15" s="28">
        <f t="shared" si="8"/>
        <v>15.02</v>
      </c>
      <c r="AU15" s="27">
        <f t="shared" si="8"/>
        <v>0.12</v>
      </c>
      <c r="AV15" s="16"/>
      <c r="AW15" s="29" t="str">
        <f>CONCATENATE("Entre ",AS15,"°C  e ",AS16,"°C ")</f>
        <v xml:space="preserve">Entre 15°C  e 25°C </v>
      </c>
      <c r="AX15" s="28" t="str">
        <f>IF(AND(AY12&gt;AT15,AY12&lt;=AT16),AY12,"")</f>
        <v/>
      </c>
      <c r="AY15" s="14" t="str">
        <f>IF(ISNUMBER(AX15),((AS16-AS15)/(AT16-AT15))*(AX15-AT15)+AS15,"")</f>
        <v/>
      </c>
      <c r="AZ15" s="14" t="str">
        <f>IF(ISNUMBER(AX15),AY15-AX15,"")</f>
        <v/>
      </c>
      <c r="BA15" s="30" t="str">
        <f>IF(ISNUMBER(AX15),((AU16-AU15)/(AS16-AS15))*(AX15-AS15)+AU15,"")</f>
        <v/>
      </c>
      <c r="BC15" s="147"/>
      <c r="BD15" s="148"/>
      <c r="BE15" s="149"/>
      <c r="BF15" s="149"/>
      <c r="BG15" s="148"/>
      <c r="BH15" s="326"/>
      <c r="BI15" s="150"/>
    </row>
    <row r="16" spans="1:67" x14ac:dyDescent="0.2">
      <c r="A16" s="407">
        <v>8</v>
      </c>
      <c r="B16" s="438">
        <v>27.021000000000001</v>
      </c>
      <c r="C16" s="438">
        <v>19.038</v>
      </c>
      <c r="D16" s="438">
        <v>15.319000000000001</v>
      </c>
      <c r="E16" s="438">
        <v>13.581</v>
      </c>
      <c r="F16" s="438">
        <v>27.021000000000001</v>
      </c>
      <c r="G16" s="438">
        <v>19.038</v>
      </c>
      <c r="H16" s="438">
        <v>29.123000000000001</v>
      </c>
      <c r="I16" s="438">
        <v>19.059000000000001</v>
      </c>
      <c r="J16" s="11"/>
      <c r="L16" s="25">
        <v>25</v>
      </c>
      <c r="M16" s="26">
        <v>25.05</v>
      </c>
      <c r="N16" s="27">
        <v>0.12</v>
      </c>
      <c r="O16" s="16"/>
      <c r="Q16" s="348">
        <f t="shared" si="0"/>
        <v>26.961476999069159</v>
      </c>
      <c r="R16" s="348">
        <f t="shared" si="1"/>
        <v>19.006807996895354</v>
      </c>
      <c r="S16" s="348">
        <f t="shared" si="2"/>
        <v>15.158909769957901</v>
      </c>
      <c r="T16" s="348">
        <f t="shared" si="3"/>
        <v>13.600006692556182</v>
      </c>
      <c r="U16" s="348">
        <f t="shared" si="4"/>
        <v>26.961476999069159</v>
      </c>
      <c r="V16" s="348">
        <f t="shared" si="5"/>
        <v>18.991761668657151</v>
      </c>
      <c r="W16" s="348">
        <f t="shared" si="6"/>
        <v>28.920141940184681</v>
      </c>
      <c r="X16" s="348">
        <f t="shared" si="7"/>
        <v>18.955411825027944</v>
      </c>
      <c r="AA16" s="42" t="s">
        <v>61</v>
      </c>
      <c r="AB16" s="403">
        <f t="array" ref="AB16:AF16">LINEST(L70:L74,M70:M74^{1,2,3,4})</f>
        <v>-3.860617071885925E-8</v>
      </c>
      <c r="AC16" s="403">
        <v>7.0821814030058938E-6</v>
      </c>
      <c r="AD16" s="403">
        <v>-1.7137128167381261E-4</v>
      </c>
      <c r="AE16" s="403">
        <v>0.99448215106624593</v>
      </c>
      <c r="AF16" s="403">
        <v>1.9889711626498954E-2</v>
      </c>
      <c r="AG16" s="12">
        <f>AVERAGE($I$9:$I$3608)</f>
        <v>19.032099861303756</v>
      </c>
      <c r="AH16" s="14">
        <f>AVERAGE($X$9:$X$3608)</f>
        <v>18.928657195027615</v>
      </c>
      <c r="AI16" s="15">
        <f>AVEDEV($X$9:$X$3608)</f>
        <v>2.0936474106343656E-2</v>
      </c>
      <c r="AJ16" s="158">
        <f>BA81</f>
        <v>0.12</v>
      </c>
      <c r="AS16" s="25">
        <f t="shared" si="8"/>
        <v>25</v>
      </c>
      <c r="AT16" s="28">
        <f t="shared" si="8"/>
        <v>25.05</v>
      </c>
      <c r="AU16" s="27">
        <f t="shared" si="8"/>
        <v>0.12</v>
      </c>
      <c r="AV16" s="16"/>
      <c r="AW16" s="29" t="str">
        <f>CONCATENATE("Entre ",AS16,"°C  e ",AS17,"°C ")</f>
        <v xml:space="preserve">Entre 25°C  e 40°C </v>
      </c>
      <c r="AX16" s="28">
        <f>IF(AND(AY12&gt;AT16,AY12&lt;=AT17),AY12,"")</f>
        <v>26.95430545316357</v>
      </c>
      <c r="AY16" s="14">
        <f>IF(ISNUMBER(AX16),((AS17-AS16)/(AT17-AT16))*(AX16-AT16)+AS16,"")</f>
        <v>26.894203036966417</v>
      </c>
      <c r="AZ16" s="14">
        <f>IF(ISNUMBER(AX16),AY16-AX16,"")</f>
        <v>-6.010241619715373E-2</v>
      </c>
      <c r="BA16" s="30">
        <f>IF(ISNUMBER(AX16),((AU17-AU16)/(AS17-AS16))*(AX16-AS16)+AU16,"")</f>
        <v>0.12</v>
      </c>
      <c r="BC16" s="151"/>
      <c r="BD16" s="152"/>
      <c r="BE16" s="148"/>
      <c r="BF16" s="149"/>
      <c r="BG16" s="148"/>
    </row>
    <row r="17" spans="1:60" x14ac:dyDescent="0.2">
      <c r="A17" s="407">
        <v>9</v>
      </c>
      <c r="B17" s="438">
        <v>27.02</v>
      </c>
      <c r="C17" s="438">
        <v>19.039000000000001</v>
      </c>
      <c r="D17" s="438">
        <v>15.317</v>
      </c>
      <c r="E17" s="438">
        <v>13.585000000000001</v>
      </c>
      <c r="F17" s="438">
        <v>27.02</v>
      </c>
      <c r="G17" s="438">
        <v>19.039000000000001</v>
      </c>
      <c r="H17" s="438">
        <v>29.120999999999999</v>
      </c>
      <c r="I17" s="438">
        <v>19.058</v>
      </c>
      <c r="J17" s="11"/>
      <c r="L17" s="25">
        <v>40</v>
      </c>
      <c r="M17" s="26">
        <v>40.130000000000003</v>
      </c>
      <c r="N17" s="27">
        <v>0.12</v>
      </c>
      <c r="O17" s="16"/>
      <c r="Q17" s="348">
        <f t="shared" si="0"/>
        <v>26.960482075751671</v>
      </c>
      <c r="R17" s="348">
        <f t="shared" si="1"/>
        <v>19.007814108929892</v>
      </c>
      <c r="S17" s="348">
        <f t="shared" si="2"/>
        <v>15.156910761804214</v>
      </c>
      <c r="T17" s="348">
        <f t="shared" si="3"/>
        <v>13.604009777650038</v>
      </c>
      <c r="U17" s="348">
        <f t="shared" si="4"/>
        <v>26.960482075751671</v>
      </c>
      <c r="V17" s="348">
        <f t="shared" si="5"/>
        <v>18.992762933337143</v>
      </c>
      <c r="W17" s="348">
        <f t="shared" si="6"/>
        <v>28.918148411543569</v>
      </c>
      <c r="X17" s="348">
        <f t="shared" si="7"/>
        <v>18.954417226742486</v>
      </c>
      <c r="AS17" s="25">
        <f t="shared" si="8"/>
        <v>40</v>
      </c>
      <c r="AT17" s="28">
        <f t="shared" si="8"/>
        <v>40.130000000000003</v>
      </c>
      <c r="AU17" s="27">
        <f t="shared" si="8"/>
        <v>0.12</v>
      </c>
      <c r="AV17" s="16"/>
      <c r="AW17" s="29" t="str">
        <f>CONCATENATE("Entre ",AS17,"°C  e ",AS18,"°C ")</f>
        <v xml:space="preserve">Entre 40°C  e 50°C </v>
      </c>
      <c r="AX17" s="28" t="str">
        <f>IF(AND(AY12&gt;AT17,AY12&lt;=AT18),AY12,"")</f>
        <v/>
      </c>
      <c r="AY17" s="14" t="str">
        <f>IF(ISNUMBER(AX17),((AS18-AS17)/(AT18-AT17))*(AX17-AT17)+AS17,"")</f>
        <v/>
      </c>
      <c r="AZ17" s="14" t="str">
        <f>IF(ISNUMBER(AX17),AY17-AX17,"")</f>
        <v/>
      </c>
      <c r="BA17" s="30" t="str">
        <f>IF(ISNUMBER(AX17),((AU18-AU17)/(AS18-AS17))*(AX17-AS17)+AU17,"")</f>
        <v/>
      </c>
      <c r="BC17" s="394" t="s">
        <v>265</v>
      </c>
      <c r="BD17" s="394" t="s">
        <v>266</v>
      </c>
      <c r="BE17" s="394" t="s">
        <v>268</v>
      </c>
      <c r="BF17" s="402" t="s">
        <v>264</v>
      </c>
      <c r="BG17" s="153"/>
      <c r="BH17" s="154"/>
    </row>
    <row r="18" spans="1:60" ht="13.5" thickBot="1" x14ac:dyDescent="0.25">
      <c r="A18" s="407">
        <v>10</v>
      </c>
      <c r="B18" s="438">
        <v>27.018999999999998</v>
      </c>
      <c r="C18" s="438">
        <v>19.035</v>
      </c>
      <c r="D18" s="438">
        <v>15.319000000000001</v>
      </c>
      <c r="E18" s="438">
        <v>13.582000000000001</v>
      </c>
      <c r="F18" s="438">
        <v>27.018999999999998</v>
      </c>
      <c r="G18" s="438">
        <v>19.035</v>
      </c>
      <c r="H18" s="438">
        <v>29.119</v>
      </c>
      <c r="I18" s="438">
        <v>19.053999999999998</v>
      </c>
      <c r="J18" s="11"/>
      <c r="L18" s="31">
        <v>50</v>
      </c>
      <c r="M18" s="32">
        <v>50.13</v>
      </c>
      <c r="N18" s="33">
        <v>0.12</v>
      </c>
      <c r="O18" s="16"/>
      <c r="Q18" s="348">
        <f t="shared" si="0"/>
        <v>26.959487152202961</v>
      </c>
      <c r="R18" s="348">
        <f t="shared" si="1"/>
        <v>19.003789656516393</v>
      </c>
      <c r="S18" s="348">
        <f t="shared" si="2"/>
        <v>15.158909769957901</v>
      </c>
      <c r="T18" s="348">
        <f t="shared" si="3"/>
        <v>13.60100746395109</v>
      </c>
      <c r="U18" s="348">
        <f t="shared" si="4"/>
        <v>26.959487152202961</v>
      </c>
      <c r="V18" s="348">
        <f t="shared" si="5"/>
        <v>18.988757874924048</v>
      </c>
      <c r="W18" s="348">
        <f t="shared" si="6"/>
        <v>28.916154893261133</v>
      </c>
      <c r="X18" s="348">
        <f t="shared" si="7"/>
        <v>18.950438836588681</v>
      </c>
      <c r="AS18" s="25">
        <f t="shared" si="8"/>
        <v>50</v>
      </c>
      <c r="AT18" s="28">
        <f t="shared" si="8"/>
        <v>50.13</v>
      </c>
      <c r="AU18" s="27">
        <f t="shared" si="8"/>
        <v>0.12</v>
      </c>
      <c r="AV18" s="16"/>
      <c r="AW18" s="34"/>
      <c r="AX18" s="35">
        <f>IF(AND(AY12&lt;=AT15,AY12&gt;=AT14),AY12,IF(AND(AY12&gt;AT15,AY12&lt;=AT16),AY12,IF(AND(AY12&gt;AT16,AY12&lt;=AT17),AY12,IF(AND(AY12&gt;AT17,AY12&lt;=AT18),AY12,""))))</f>
        <v>26.95430545316357</v>
      </c>
      <c r="AY18" s="35">
        <f>IF(AND(AY12&lt;=AT15,AY12&gt;=AT14),((AS15-AS14)/(AT15-AT14))*(AX14-AT14)+AS14,IF(AND(AY12&gt;AT15,AY12&lt;=AT16),((AS16-AS15)/(AT16-AT15))*(AX15-AT15)+AS15,IF(AND(AY12&gt;AT16,AY12&lt;=AT17),((AS17-AS16)/(AT17-AT16))*(AX16-AT16)+AS16,IF(AND(AY12&gt;AT17,AY12&lt;=AT18),((AS18-AS17)/(AT18-AT17))*(AX17-AT17)+AS17,""))))</f>
        <v>26.894203036966417</v>
      </c>
      <c r="AZ18" s="35">
        <f>IF(ISNUMBER(AX18),AY18-AX18,"")</f>
        <v>-6.010241619715373E-2</v>
      </c>
      <c r="BA18" s="36">
        <f>IF(AND(AY12&lt;=AT15,AY12&gt;=AT14),((AU15-AU14)/(AS15-AS14))*(AX14-AS14)+AU14,IF(AND(AY12&gt;AT15,AY12&lt;=AT16),((AU16-AU15)/(AS16-AS15))*(AX15-AS15)+AU15,IF(AND(AY12&gt;AT16,AY12&lt;=AT17),((AU17-AU16)/(AS17-AS16))*(AX16-AS16)+AU16,IF(AND(AY12&gt;AT17,AY12&lt;=AT18),((AU18-AU17)/(AS18-AS17))*(AX17-AS17)+AU17,""))))</f>
        <v>0.12</v>
      </c>
      <c r="BC18" s="403">
        <v>1</v>
      </c>
      <c r="BD18" s="328">
        <f>BE14</f>
        <v>5.6145778141747475E-3</v>
      </c>
      <c r="BE18" s="155">
        <v>4.9999999999999998E-7</v>
      </c>
      <c r="BF18" s="327">
        <f>IF(Resumo!$R$17=1,Temperatura!BD18,0)</f>
        <v>5.6145778141747475E-3</v>
      </c>
      <c r="BG18" s="156" t="s">
        <v>269</v>
      </c>
      <c r="BH18" s="403">
        <f>IF('Condicionador de ar'!$J$23=1,Temperatura!BE18,0)</f>
        <v>4.9999999999999998E-7</v>
      </c>
    </row>
    <row r="19" spans="1:60" ht="13.5" customHeight="1" thickBot="1" x14ac:dyDescent="0.25">
      <c r="A19" s="407">
        <v>11</v>
      </c>
      <c r="B19" s="438">
        <v>27.015000000000001</v>
      </c>
      <c r="C19" s="438">
        <v>19.036999999999999</v>
      </c>
      <c r="D19" s="438">
        <v>15.314</v>
      </c>
      <c r="E19" s="438">
        <v>13.585000000000001</v>
      </c>
      <c r="F19" s="438">
        <v>27.015000000000001</v>
      </c>
      <c r="G19" s="438">
        <v>19.036999999999999</v>
      </c>
      <c r="H19" s="438">
        <v>29.117999999999999</v>
      </c>
      <c r="I19" s="438">
        <v>19.053000000000001</v>
      </c>
      <c r="J19" s="11"/>
      <c r="Q19" s="348">
        <f t="shared" si="0"/>
        <v>26.955507455695326</v>
      </c>
      <c r="R19" s="348">
        <f t="shared" si="1"/>
        <v>19.005801884148187</v>
      </c>
      <c r="S19" s="348">
        <f t="shared" si="2"/>
        <v>15.153912256356737</v>
      </c>
      <c r="T19" s="348">
        <f t="shared" si="3"/>
        <v>13.604009777650038</v>
      </c>
      <c r="U19" s="348">
        <f t="shared" si="4"/>
        <v>26.955507455695326</v>
      </c>
      <c r="V19" s="348">
        <f t="shared" si="5"/>
        <v>18.990760404028258</v>
      </c>
      <c r="W19" s="348">
        <f t="shared" si="6"/>
        <v>28.915158138004468</v>
      </c>
      <c r="X19" s="348">
        <f t="shared" si="7"/>
        <v>18.94944423979711</v>
      </c>
      <c r="AS19" s="759"/>
      <c r="AT19" s="759"/>
      <c r="AU19" s="759"/>
      <c r="AV19" s="759"/>
      <c r="AW19" s="759"/>
      <c r="AX19" s="759"/>
      <c r="AY19" s="759"/>
      <c r="AZ19" s="759"/>
      <c r="BA19" s="759"/>
      <c r="BC19" s="403">
        <v>2</v>
      </c>
      <c r="BD19" s="328">
        <f>BE14*2</f>
        <v>1.1229155628349495E-2</v>
      </c>
      <c r="BE19" s="155">
        <v>9.9999999999999995E-7</v>
      </c>
      <c r="BF19" s="327">
        <f>IF(Resumo!$R$17=2,Temperatura!BD19,0)</f>
        <v>0</v>
      </c>
      <c r="BG19" s="156" t="s">
        <v>269</v>
      </c>
      <c r="BH19" s="403">
        <f>IF('Condicionador de ar'!$J$23=2,Temperatura!BE19,0)</f>
        <v>0</v>
      </c>
    </row>
    <row r="20" spans="1:60" ht="12.75" customHeight="1" thickBot="1" x14ac:dyDescent="0.25">
      <c r="A20" s="407">
        <v>12</v>
      </c>
      <c r="B20" s="438">
        <v>27.015999999999998</v>
      </c>
      <c r="C20" s="438">
        <v>19.036000000000001</v>
      </c>
      <c r="D20" s="438">
        <v>15.316000000000001</v>
      </c>
      <c r="E20" s="438">
        <v>13.582000000000001</v>
      </c>
      <c r="F20" s="438">
        <v>27.015999999999998</v>
      </c>
      <c r="G20" s="438">
        <v>19.036000000000001</v>
      </c>
      <c r="H20" s="438">
        <v>29.114999999999998</v>
      </c>
      <c r="I20" s="438">
        <v>19.048999999999999</v>
      </c>
      <c r="J20" s="11"/>
      <c r="L20" s="772" t="s">
        <v>55</v>
      </c>
      <c r="M20" s="773"/>
      <c r="N20" s="774"/>
      <c r="O20" s="16"/>
      <c r="Q20" s="348">
        <f t="shared" si="0"/>
        <v>26.956502380169212</v>
      </c>
      <c r="R20" s="348">
        <f t="shared" si="1"/>
        <v>19.004795770688506</v>
      </c>
      <c r="S20" s="348">
        <f t="shared" si="2"/>
        <v>15.155911259083842</v>
      </c>
      <c r="T20" s="348">
        <f t="shared" si="3"/>
        <v>13.60100746395109</v>
      </c>
      <c r="U20" s="348">
        <f t="shared" si="4"/>
        <v>26.956502380169212</v>
      </c>
      <c r="V20" s="348">
        <f t="shared" si="5"/>
        <v>18.989759139450531</v>
      </c>
      <c r="W20" s="348">
        <f t="shared" si="6"/>
        <v>28.912167887772974</v>
      </c>
      <c r="X20" s="348">
        <f t="shared" si="7"/>
        <v>18.945465855617591</v>
      </c>
      <c r="AS20" s="759"/>
      <c r="AT20" s="759"/>
      <c r="AU20" s="759"/>
      <c r="AV20" s="759"/>
      <c r="AW20" s="759"/>
      <c r="AX20" s="759"/>
      <c r="AY20" s="759"/>
      <c r="AZ20" s="759"/>
      <c r="BA20" s="759"/>
      <c r="BC20" s="403">
        <v>3</v>
      </c>
      <c r="BD20" s="328">
        <f>BE14*3</f>
        <v>1.6843733442524243E-2</v>
      </c>
      <c r="BE20" s="155">
        <v>1.3999999999999999E-6</v>
      </c>
      <c r="BF20" s="327">
        <f>IF(Resumo!$R$17=3,Temperatura!BD20,0)</f>
        <v>0</v>
      </c>
      <c r="BG20" s="156" t="s">
        <v>269</v>
      </c>
      <c r="BH20" s="403">
        <f>IF('Condicionador de ar'!$J$23=3,Temperatura!BE20,0)</f>
        <v>0</v>
      </c>
    </row>
    <row r="21" spans="1:60" ht="12.75" customHeight="1" thickBot="1" x14ac:dyDescent="0.25">
      <c r="A21" s="407">
        <v>13</v>
      </c>
      <c r="B21" s="438">
        <v>27.021999999999998</v>
      </c>
      <c r="C21" s="438">
        <v>19.039000000000001</v>
      </c>
      <c r="D21" s="438">
        <v>15.317</v>
      </c>
      <c r="E21" s="438">
        <v>13.589</v>
      </c>
      <c r="F21" s="438">
        <v>27.021999999999998</v>
      </c>
      <c r="G21" s="438">
        <v>19.039000000000001</v>
      </c>
      <c r="H21" s="438">
        <v>29.114999999999998</v>
      </c>
      <c r="I21" s="438">
        <v>19.047000000000001</v>
      </c>
      <c r="J21" s="11"/>
      <c r="L21" s="19" t="s">
        <v>47</v>
      </c>
      <c r="M21" s="20" t="s">
        <v>48</v>
      </c>
      <c r="N21" s="21" t="s">
        <v>49</v>
      </c>
      <c r="O21" s="16"/>
      <c r="Q21" s="348">
        <f t="shared" si="0"/>
        <v>26.962471922155444</v>
      </c>
      <c r="R21" s="348">
        <f t="shared" si="1"/>
        <v>19.007814108929892</v>
      </c>
      <c r="S21" s="348">
        <f t="shared" si="2"/>
        <v>15.156910761804214</v>
      </c>
      <c r="T21" s="348">
        <f t="shared" si="3"/>
        <v>13.608012861447927</v>
      </c>
      <c r="U21" s="348">
        <f t="shared" si="4"/>
        <v>26.962471922155444</v>
      </c>
      <c r="V21" s="348">
        <f t="shared" si="5"/>
        <v>18.992762933337143</v>
      </c>
      <c r="W21" s="348">
        <f t="shared" si="6"/>
        <v>28.912167887772974</v>
      </c>
      <c r="X21" s="348">
        <f t="shared" si="7"/>
        <v>18.943476665319551</v>
      </c>
      <c r="AS21" s="772" t="s">
        <v>55</v>
      </c>
      <c r="AT21" s="773"/>
      <c r="AU21" s="774"/>
      <c r="AV21" s="16"/>
      <c r="AW21" s="765" t="s">
        <v>42</v>
      </c>
      <c r="AX21" s="789"/>
      <c r="AY21" s="17">
        <f>IF(Resumo!$F$9="Software",AH10,Resumo!Q25)</f>
        <v>19.006486974194811</v>
      </c>
      <c r="AZ21" s="18"/>
      <c r="BA21" s="18"/>
      <c r="BC21" s="403">
        <v>4</v>
      </c>
      <c r="BD21" s="328">
        <f>BE13+BD20</f>
        <v>2.4664762989695041E-2</v>
      </c>
      <c r="BE21" s="155">
        <v>1.9999999999999999E-6</v>
      </c>
      <c r="BF21" s="327">
        <f>IF(Resumo!$R$17=4,Temperatura!BD21,0)</f>
        <v>0</v>
      </c>
      <c r="BG21" s="156" t="s">
        <v>269</v>
      </c>
      <c r="BH21" s="403">
        <f>IF('Condicionador de ar'!$J$23=4,Temperatura!BE21,0)</f>
        <v>0</v>
      </c>
    </row>
    <row r="22" spans="1:60" ht="12.75" customHeight="1" x14ac:dyDescent="0.2">
      <c r="A22" s="407">
        <v>14</v>
      </c>
      <c r="B22" s="438">
        <v>27.027999999999999</v>
      </c>
      <c r="C22" s="438">
        <v>19.039000000000001</v>
      </c>
      <c r="D22" s="438">
        <v>15.321</v>
      </c>
      <c r="E22" s="438">
        <v>13.587999999999999</v>
      </c>
      <c r="F22" s="438">
        <v>27.027999999999999</v>
      </c>
      <c r="G22" s="438">
        <v>19.039000000000001</v>
      </c>
      <c r="H22" s="438">
        <v>29.106999999999999</v>
      </c>
      <c r="I22" s="438">
        <v>19.045999999999999</v>
      </c>
      <c r="J22" s="11"/>
      <c r="L22" s="25">
        <v>0</v>
      </c>
      <c r="M22" s="26">
        <v>0.09</v>
      </c>
      <c r="N22" s="27">
        <v>0.12</v>
      </c>
      <c r="O22" s="16"/>
      <c r="Q22" s="348">
        <f t="shared" si="0"/>
        <v>26.968441455819725</v>
      </c>
      <c r="R22" s="348">
        <f t="shared" si="1"/>
        <v>19.007814108929892</v>
      </c>
      <c r="S22" s="348">
        <f t="shared" si="2"/>
        <v>15.160908781727908</v>
      </c>
      <c r="T22" s="348">
        <f t="shared" si="3"/>
        <v>13.607012090620003</v>
      </c>
      <c r="U22" s="348">
        <f t="shared" si="4"/>
        <v>26.968441455819725</v>
      </c>
      <c r="V22" s="348">
        <f t="shared" si="5"/>
        <v>18.992762933337143</v>
      </c>
      <c r="W22" s="348">
        <f t="shared" si="6"/>
        <v>28.904194001108493</v>
      </c>
      <c r="X22" s="348">
        <f t="shared" si="7"/>
        <v>18.942482070618368</v>
      </c>
      <c r="AS22" s="19" t="s">
        <v>47</v>
      </c>
      <c r="AT22" s="20" t="s">
        <v>48</v>
      </c>
      <c r="AU22" s="21" t="s">
        <v>49</v>
      </c>
      <c r="AV22" s="16"/>
      <c r="AW22" s="22"/>
      <c r="AX22" s="23" t="s">
        <v>43</v>
      </c>
      <c r="AY22" s="23" t="s">
        <v>44</v>
      </c>
      <c r="AZ22" s="23" t="s">
        <v>45</v>
      </c>
      <c r="BA22" s="24" t="s">
        <v>46</v>
      </c>
      <c r="BC22" s="403"/>
      <c r="BD22" s="328"/>
      <c r="BE22" s="394" t="s">
        <v>267</v>
      </c>
      <c r="BF22" s="327">
        <f>SUM(BF18:BF21)</f>
        <v>5.6145778141747475E-3</v>
      </c>
      <c r="BG22" s="156" t="s">
        <v>269</v>
      </c>
      <c r="BH22" s="160">
        <f>SUM(BH18:BH21)</f>
        <v>4.9999999999999998E-7</v>
      </c>
    </row>
    <row r="23" spans="1:60" x14ac:dyDescent="0.2">
      <c r="A23" s="407">
        <v>15</v>
      </c>
      <c r="B23" s="437">
        <v>27.026</v>
      </c>
      <c r="C23" s="437">
        <v>19.038</v>
      </c>
      <c r="D23" s="438">
        <v>15.316000000000001</v>
      </c>
      <c r="E23" s="438">
        <v>13.589</v>
      </c>
      <c r="F23" s="438">
        <v>27.026</v>
      </c>
      <c r="G23" s="438">
        <v>19.038</v>
      </c>
      <c r="H23" s="438">
        <v>29.108000000000001</v>
      </c>
      <c r="I23" s="438">
        <v>19.042999999999999</v>
      </c>
      <c r="J23" s="11"/>
      <c r="L23" s="25">
        <v>15</v>
      </c>
      <c r="M23" s="26">
        <v>15.06</v>
      </c>
      <c r="N23" s="27">
        <v>0.12</v>
      </c>
      <c r="O23" s="16"/>
      <c r="Q23" s="348">
        <f t="shared" si="0"/>
        <v>26.966451612189246</v>
      </c>
      <c r="R23" s="348">
        <f t="shared" si="1"/>
        <v>19.006807996895354</v>
      </c>
      <c r="S23" s="348">
        <f t="shared" si="2"/>
        <v>15.155911259083842</v>
      </c>
      <c r="T23" s="348">
        <f t="shared" si="3"/>
        <v>13.608012861447927</v>
      </c>
      <c r="U23" s="348">
        <f t="shared" si="4"/>
        <v>26.966451612189246</v>
      </c>
      <c r="V23" s="348">
        <f t="shared" si="5"/>
        <v>18.991761668657151</v>
      </c>
      <c r="W23" s="348">
        <f t="shared" si="6"/>
        <v>28.905190727876867</v>
      </c>
      <c r="X23" s="348">
        <f t="shared" si="7"/>
        <v>18.939498288305895</v>
      </c>
      <c r="AS23" s="25">
        <f t="shared" ref="AS23:AU27" si="9">L22</f>
        <v>0</v>
      </c>
      <c r="AT23" s="25">
        <f t="shared" si="9"/>
        <v>0.09</v>
      </c>
      <c r="AU23" s="192">
        <f t="shared" si="9"/>
        <v>0.12</v>
      </c>
      <c r="AV23" s="16"/>
      <c r="AW23" s="29" t="str">
        <f>CONCATENATE("Entre ",AS23,"°C  e ",AS24,"°C ")</f>
        <v xml:space="preserve">Entre 0°C  e 15°C </v>
      </c>
      <c r="AX23" s="28" t="str">
        <f>IF(AND(AY21&lt;=AT24,AY21&gt;=AT23),AY21,"")</f>
        <v/>
      </c>
      <c r="AY23" s="14" t="str">
        <f>IF(ISNUMBER(AX23),((AS24-AS23)/(AT24-AT23))*(AX23-AT23)+AS23,"")</f>
        <v/>
      </c>
      <c r="AZ23" s="14" t="str">
        <f>IF(ISNUMBER(AX23),AY23-AX23,"")</f>
        <v/>
      </c>
      <c r="BA23" s="30" t="str">
        <f>IF(ISNUMBER(AX23),((AU24-AU23)/(AS24-AS23))*(AX23-AS23)+AU23,"")</f>
        <v/>
      </c>
    </row>
    <row r="24" spans="1:60" x14ac:dyDescent="0.2">
      <c r="A24" s="407">
        <v>16</v>
      </c>
      <c r="B24" s="438">
        <v>27.033000000000001</v>
      </c>
      <c r="C24" s="438">
        <v>19.038</v>
      </c>
      <c r="D24" s="438">
        <v>15.321</v>
      </c>
      <c r="E24" s="438">
        <v>13.587999999999999</v>
      </c>
      <c r="F24" s="438">
        <v>27.033000000000001</v>
      </c>
      <c r="G24" s="438">
        <v>19.038</v>
      </c>
      <c r="H24" s="438">
        <v>29.103000000000002</v>
      </c>
      <c r="I24" s="438">
        <v>19.041</v>
      </c>
      <c r="J24" s="11"/>
      <c r="L24" s="25">
        <v>25</v>
      </c>
      <c r="M24" s="26">
        <v>25.01</v>
      </c>
      <c r="N24" s="27">
        <v>0.12</v>
      </c>
      <c r="O24" s="16"/>
      <c r="Q24" s="348">
        <f t="shared" si="0"/>
        <v>26.973416060854092</v>
      </c>
      <c r="R24" s="348">
        <f t="shared" si="1"/>
        <v>19.006807996895354</v>
      </c>
      <c r="S24" s="348">
        <f t="shared" si="2"/>
        <v>15.160908781727908</v>
      </c>
      <c r="T24" s="348">
        <f t="shared" si="3"/>
        <v>13.607012090620003</v>
      </c>
      <c r="U24" s="348">
        <f t="shared" si="4"/>
        <v>26.973416060854092</v>
      </c>
      <c r="V24" s="348">
        <f t="shared" si="5"/>
        <v>18.991761668657151</v>
      </c>
      <c r="W24" s="348">
        <f t="shared" si="6"/>
        <v>28.900207119934969</v>
      </c>
      <c r="X24" s="348">
        <f t="shared" si="7"/>
        <v>18.937509101589889</v>
      </c>
      <c r="AS24" s="25">
        <f t="shared" si="9"/>
        <v>15</v>
      </c>
      <c r="AT24" s="25">
        <f t="shared" si="9"/>
        <v>15.06</v>
      </c>
      <c r="AU24" s="192">
        <f t="shared" si="9"/>
        <v>0.12</v>
      </c>
      <c r="AV24" s="16"/>
      <c r="AW24" s="29" t="str">
        <f>CONCATENATE("Entre ",AS24,"°C  e ",AS25,"°C ")</f>
        <v xml:space="preserve">Entre 15°C  e 25°C </v>
      </c>
      <c r="AX24" s="28">
        <f>IF(AND(AY21&gt;AT24,AY21&lt;=AT25),AY21,"")</f>
        <v>19.006486974194811</v>
      </c>
      <c r="AY24" s="14">
        <f>IF(ISNUMBER(AX24),((AS25-AS24)/(AT25-AT24))*(AX24-AT24)+AS24,"")</f>
        <v>18.966318567029958</v>
      </c>
      <c r="AZ24" s="14">
        <f>IF(ISNUMBER(AX24),AY24-AX24,"")</f>
        <v>-4.0168407164852482E-2</v>
      </c>
      <c r="BA24" s="30">
        <f>IF(ISNUMBER(AX24),((AU25-AU24)/(AS25-AS24))*(AX24-AS24)+AU24,"")</f>
        <v>0.12</v>
      </c>
    </row>
    <row r="25" spans="1:60" x14ac:dyDescent="0.2">
      <c r="A25" s="407">
        <v>17</v>
      </c>
      <c r="B25" s="438">
        <v>27.021000000000001</v>
      </c>
      <c r="C25" s="438">
        <v>19.038</v>
      </c>
      <c r="D25" s="438">
        <v>15.318</v>
      </c>
      <c r="E25" s="438">
        <v>13.589</v>
      </c>
      <c r="F25" s="438">
        <v>27.021000000000001</v>
      </c>
      <c r="G25" s="438">
        <v>19.038</v>
      </c>
      <c r="H25" s="438">
        <v>29.1</v>
      </c>
      <c r="I25" s="438">
        <v>19.036999999999999</v>
      </c>
      <c r="J25" s="11"/>
      <c r="L25" s="25">
        <v>40</v>
      </c>
      <c r="M25" s="26">
        <v>40.090000000000003</v>
      </c>
      <c r="N25" s="27">
        <v>0.12</v>
      </c>
      <c r="O25" s="16"/>
      <c r="Q25" s="348">
        <f t="shared" si="0"/>
        <v>26.961476999069159</v>
      </c>
      <c r="R25" s="348">
        <f t="shared" si="1"/>
        <v>19.006807996895354</v>
      </c>
      <c r="S25" s="348">
        <f t="shared" si="2"/>
        <v>15.157910265428947</v>
      </c>
      <c r="T25" s="348">
        <f t="shared" si="3"/>
        <v>13.608012861447927</v>
      </c>
      <c r="U25" s="348">
        <f t="shared" si="4"/>
        <v>26.961476999069159</v>
      </c>
      <c r="V25" s="348">
        <f t="shared" si="5"/>
        <v>18.991761668657151</v>
      </c>
      <c r="W25" s="348">
        <f t="shared" si="6"/>
        <v>28.897216986250395</v>
      </c>
      <c r="X25" s="348">
        <f t="shared" si="7"/>
        <v>18.933530731738529</v>
      </c>
      <c r="AS25" s="25">
        <f t="shared" si="9"/>
        <v>25</v>
      </c>
      <c r="AT25" s="25">
        <f t="shared" si="9"/>
        <v>25.01</v>
      </c>
      <c r="AU25" s="192">
        <f t="shared" si="9"/>
        <v>0.12</v>
      </c>
      <c r="AV25" s="16"/>
      <c r="AW25" s="29" t="str">
        <f>CONCATENATE("Entre ",AS25,"°C  e ",AS26,"°C ")</f>
        <v xml:space="preserve">Entre 25°C  e 40°C </v>
      </c>
      <c r="AX25" s="28" t="str">
        <f>IF(AND(AY21&gt;AT25,AY21&lt;=AT26),AY21,"")</f>
        <v/>
      </c>
      <c r="AY25" s="14" t="str">
        <f>IF(ISNUMBER(AX25),((AS26-AS25)/(AT26-AT25))*(AX25-AT25)+AS25,"")</f>
        <v/>
      </c>
      <c r="AZ25" s="14" t="str">
        <f>IF(ISNUMBER(AX25),AY25-AX25,"")</f>
        <v/>
      </c>
      <c r="BA25" s="30" t="str">
        <f>IF(ISNUMBER(AX25),((AU26-AU25)/(AS26-AS25))*(AX25-AS25)+AU25,"")</f>
        <v/>
      </c>
    </row>
    <row r="26" spans="1:60" ht="13.5" thickBot="1" x14ac:dyDescent="0.25">
      <c r="A26" s="407">
        <v>18</v>
      </c>
      <c r="B26" s="438">
        <v>27.03</v>
      </c>
      <c r="C26" s="438">
        <v>19.038</v>
      </c>
      <c r="D26" s="438">
        <v>15.321</v>
      </c>
      <c r="E26" s="438">
        <v>13.592000000000001</v>
      </c>
      <c r="F26" s="438">
        <v>27.03</v>
      </c>
      <c r="G26" s="438">
        <v>19.038</v>
      </c>
      <c r="H26" s="438">
        <v>29.102</v>
      </c>
      <c r="I26" s="438">
        <v>19.036000000000001</v>
      </c>
      <c r="J26" s="11"/>
      <c r="L26" s="31">
        <v>50</v>
      </c>
      <c r="M26" s="32">
        <v>50.1</v>
      </c>
      <c r="N26" s="33">
        <v>0.12</v>
      </c>
      <c r="O26" s="16"/>
      <c r="Q26" s="348">
        <f t="shared" si="0"/>
        <v>26.970431298526247</v>
      </c>
      <c r="R26" s="348">
        <f t="shared" si="1"/>
        <v>19.006807996895354</v>
      </c>
      <c r="S26" s="348">
        <f t="shared" si="2"/>
        <v>15.160908781727908</v>
      </c>
      <c r="T26" s="348">
        <f t="shared" si="3"/>
        <v>13.611015173445276</v>
      </c>
      <c r="U26" s="348">
        <f t="shared" si="4"/>
        <v>26.970431298526247</v>
      </c>
      <c r="V26" s="348">
        <f t="shared" si="5"/>
        <v>18.991761668657151</v>
      </c>
      <c r="W26" s="348">
        <f t="shared" si="6"/>
        <v>28.899210406116683</v>
      </c>
      <c r="X26" s="348">
        <f t="shared" si="7"/>
        <v>18.932536140021512</v>
      </c>
      <c r="AS26" s="25">
        <f t="shared" si="9"/>
        <v>40</v>
      </c>
      <c r="AT26" s="25">
        <f t="shared" si="9"/>
        <v>40.090000000000003</v>
      </c>
      <c r="AU26" s="192">
        <f t="shared" si="9"/>
        <v>0.12</v>
      </c>
      <c r="AV26" s="16"/>
      <c r="AW26" s="29" t="str">
        <f>CONCATENATE("Entre ",AS26,"°C  e ",AS27,"°C ")</f>
        <v xml:space="preserve">Entre 40°C  e 50°C </v>
      </c>
      <c r="AX26" s="28" t="str">
        <f>IF(AND(AY21&gt;AT26,AY21&lt;=AT27),AY21,"")</f>
        <v/>
      </c>
      <c r="AY26" s="14" t="str">
        <f>IF(ISNUMBER(AX26),((AS27-AS26)/(AT27-AT26))*(AX26-AT26)+AS26,"")</f>
        <v/>
      </c>
      <c r="AZ26" s="14" t="str">
        <f>IF(ISNUMBER(AX26),AY26-AX26,"")</f>
        <v/>
      </c>
      <c r="BA26" s="30" t="str">
        <f>IF(ISNUMBER(AX26),((AU27-AU26)/(AS27-AS26))*(AX26-AS26)+AU26,"")</f>
        <v/>
      </c>
    </row>
    <row r="27" spans="1:60" ht="13.5" thickBot="1" x14ac:dyDescent="0.25">
      <c r="A27" s="407">
        <v>19</v>
      </c>
      <c r="B27" s="438">
        <v>27.027000000000001</v>
      </c>
      <c r="C27" s="438">
        <v>19.039000000000001</v>
      </c>
      <c r="D27" s="438">
        <v>15.32</v>
      </c>
      <c r="E27" s="438">
        <v>13.593999999999999</v>
      </c>
      <c r="F27" s="438">
        <v>27.027000000000001</v>
      </c>
      <c r="G27" s="438">
        <v>19.039000000000001</v>
      </c>
      <c r="H27" s="438">
        <v>29.099</v>
      </c>
      <c r="I27" s="438">
        <v>19.035</v>
      </c>
      <c r="J27" s="11"/>
      <c r="Q27" s="348">
        <f t="shared" si="0"/>
        <v>26.967446534119997</v>
      </c>
      <c r="R27" s="348">
        <f t="shared" si="1"/>
        <v>19.007814108929892</v>
      </c>
      <c r="S27" s="348">
        <f t="shared" si="2"/>
        <v>15.159909275390936</v>
      </c>
      <c r="T27" s="348">
        <f t="shared" si="3"/>
        <v>13.613016714371341</v>
      </c>
      <c r="U27" s="348">
        <f t="shared" si="4"/>
        <v>26.967446534119997</v>
      </c>
      <c r="V27" s="348">
        <f t="shared" si="5"/>
        <v>18.992762933337143</v>
      </c>
      <c r="W27" s="348">
        <f t="shared" si="6"/>
        <v>28.896220280202428</v>
      </c>
      <c r="X27" s="348">
        <f t="shared" si="7"/>
        <v>18.931541548602773</v>
      </c>
      <c r="AS27" s="25">
        <f t="shared" si="9"/>
        <v>50</v>
      </c>
      <c r="AT27" s="25">
        <f t="shared" si="9"/>
        <v>50.1</v>
      </c>
      <c r="AU27" s="192">
        <f t="shared" si="9"/>
        <v>0.12</v>
      </c>
      <c r="AV27" s="16"/>
      <c r="AW27" s="34"/>
      <c r="AX27" s="37">
        <f>IF(AND(AY21&lt;=AT24,AY21&gt;=AT23),AY21,IF(AND(AY21&gt;AT24,AY21&lt;=AT25),AY21,IF(AND(AY21&gt;AT25,AY21&lt;=AT26),AY21,IF(AND(AY21&gt;AT26,AY21&lt;=AT27),AY21,""))))</f>
        <v>19.006486974194811</v>
      </c>
      <c r="AY27" s="37">
        <f>IF(AND(AY21&lt;=AT24,AY21&gt;=AT23),((AS24-AS23)/(AT24-AT23))*(AX23-AT23)+AS23,IF(AND(AY21&gt;AT24,AY21&lt;=AT25),((AS25-AS24)/(AT25-AT24))*(AX24-AT24)+AS24,IF(AND(AY21&gt;AT25,AY21&lt;=AT26),((AS26-AS25)/(AT26-AT25))*(AX25-AT25)+AS25,IF(AND(AY21&gt;AT26,AY21&lt;=AT27),((AS27-AS26)/(AT27-AT26))*(AX26-AT26)+AS26,""))))</f>
        <v>18.966318567029958</v>
      </c>
      <c r="AZ27" s="37">
        <f>IF(ISNUMBER(AX27),AY27-AX27,"")</f>
        <v>-4.0168407164852482E-2</v>
      </c>
      <c r="BA27" s="38">
        <f>IF(AND(AY21&lt;=AT24,AY21&gt;=AT23),((AU24-AU23)/(AS24-AS23))*(AX23-AS23)+AU23,IF(AND(AY21&gt;AT24,AY21&lt;=AT25),((AU25-AU24)/(AS25-AS24))*(AX24-AS24)+AU24,IF(AND(AY21&gt;AT25,AY21&lt;=AT26),((AU26-AU25)/(AS26-AS25))*(AX25-AS25)+AU25,IF(AND(AY21&gt;AT26,AY21&lt;=AT27),((AU27-AU26)/(AS27-AS26))*(AX26-AS26)+AU26,""))))</f>
        <v>0.12</v>
      </c>
    </row>
    <row r="28" spans="1:60" x14ac:dyDescent="0.2">
      <c r="A28" s="407">
        <v>20</v>
      </c>
      <c r="B28" s="438">
        <v>27.026</v>
      </c>
      <c r="C28" s="438">
        <v>19.039000000000001</v>
      </c>
      <c r="D28" s="438">
        <v>15.32</v>
      </c>
      <c r="E28" s="438">
        <v>13.592000000000001</v>
      </c>
      <c r="F28" s="438">
        <v>27.026</v>
      </c>
      <c r="G28" s="438">
        <v>19.039000000000001</v>
      </c>
      <c r="H28" s="438">
        <v>29.097999999999999</v>
      </c>
      <c r="I28" s="438">
        <v>19.033999999999999</v>
      </c>
      <c r="J28" s="11"/>
      <c r="L28" s="772" t="s">
        <v>56</v>
      </c>
      <c r="M28" s="773"/>
      <c r="N28" s="774"/>
      <c r="O28" s="16"/>
      <c r="Q28" s="348">
        <f t="shared" si="0"/>
        <v>26.966451612189246</v>
      </c>
      <c r="R28" s="348">
        <f t="shared" si="1"/>
        <v>19.007814108929892</v>
      </c>
      <c r="S28" s="348">
        <f t="shared" si="2"/>
        <v>15.159909275390936</v>
      </c>
      <c r="T28" s="348">
        <f t="shared" si="3"/>
        <v>13.611015173445276</v>
      </c>
      <c r="U28" s="348">
        <f t="shared" si="4"/>
        <v>26.966451612189246</v>
      </c>
      <c r="V28" s="348">
        <f t="shared" si="5"/>
        <v>18.992762933337143</v>
      </c>
      <c r="W28" s="348">
        <f t="shared" si="6"/>
        <v>28.895223576744609</v>
      </c>
      <c r="X28" s="348">
        <f t="shared" si="7"/>
        <v>18.930546957482289</v>
      </c>
      <c r="AS28" s="759"/>
      <c r="AT28" s="759"/>
      <c r="AU28" s="759"/>
      <c r="AV28" s="759"/>
      <c r="AW28" s="759"/>
      <c r="AX28" s="759"/>
      <c r="AY28" s="759"/>
      <c r="AZ28" s="759"/>
      <c r="BA28" s="759"/>
    </row>
    <row r="29" spans="1:60" ht="13.5" thickBot="1" x14ac:dyDescent="0.25">
      <c r="A29" s="407">
        <v>21</v>
      </c>
      <c r="B29" s="438">
        <v>27.033000000000001</v>
      </c>
      <c r="C29" s="438">
        <v>19.04</v>
      </c>
      <c r="D29" s="438">
        <v>15.324999999999999</v>
      </c>
      <c r="E29" s="438">
        <v>13.59</v>
      </c>
      <c r="F29" s="438">
        <v>27.033000000000001</v>
      </c>
      <c r="G29" s="438">
        <v>19.04</v>
      </c>
      <c r="H29" s="438">
        <v>29.097999999999999</v>
      </c>
      <c r="I29" s="438">
        <v>19.033999999999999</v>
      </c>
      <c r="J29" s="11"/>
      <c r="L29" s="19" t="s">
        <v>47</v>
      </c>
      <c r="M29" s="20" t="s">
        <v>48</v>
      </c>
      <c r="N29" s="21" t="s">
        <v>49</v>
      </c>
      <c r="O29" s="16"/>
      <c r="Q29" s="348">
        <f t="shared" si="0"/>
        <v>26.973416060854092</v>
      </c>
      <c r="R29" s="348">
        <f t="shared" si="1"/>
        <v>19.008820220251717</v>
      </c>
      <c r="S29" s="348">
        <f t="shared" si="2"/>
        <v>15.164906816112412</v>
      </c>
      <c r="T29" s="348">
        <f t="shared" si="3"/>
        <v>13.60901363219479</v>
      </c>
      <c r="U29" s="348">
        <f t="shared" si="4"/>
        <v>26.973416060854092</v>
      </c>
      <c r="V29" s="348">
        <f t="shared" si="5"/>
        <v>18.993764198068142</v>
      </c>
      <c r="W29" s="348">
        <f t="shared" si="6"/>
        <v>28.895223576744609</v>
      </c>
      <c r="X29" s="348">
        <f t="shared" si="7"/>
        <v>18.930546957482289</v>
      </c>
      <c r="AS29" s="759"/>
      <c r="AT29" s="759"/>
      <c r="AU29" s="759"/>
      <c r="AV29" s="759"/>
      <c r="AW29" s="759"/>
      <c r="AX29" s="759"/>
      <c r="AY29" s="759"/>
      <c r="AZ29" s="759"/>
      <c r="BA29" s="759"/>
    </row>
    <row r="30" spans="1:60" ht="13.5" thickBot="1" x14ac:dyDescent="0.25">
      <c r="A30" s="407">
        <v>22</v>
      </c>
      <c r="B30" s="438">
        <v>27.036000000000001</v>
      </c>
      <c r="C30" s="438">
        <v>19.036999999999999</v>
      </c>
      <c r="D30" s="438">
        <v>15.324</v>
      </c>
      <c r="E30" s="438">
        <v>13.59</v>
      </c>
      <c r="F30" s="438">
        <v>27.036000000000001</v>
      </c>
      <c r="G30" s="438">
        <v>19.036999999999999</v>
      </c>
      <c r="H30" s="438">
        <v>29.094000000000001</v>
      </c>
      <c r="I30" s="438">
        <v>19.033999999999999</v>
      </c>
      <c r="J30" s="11"/>
      <c r="L30" s="25">
        <v>0</v>
      </c>
      <c r="M30" s="26">
        <v>-0.06</v>
      </c>
      <c r="N30" s="27">
        <v>0.12</v>
      </c>
      <c r="O30" s="16"/>
      <c r="Q30" s="348">
        <f t="shared" si="0"/>
        <v>26.97640082110431</v>
      </c>
      <c r="R30" s="348">
        <f t="shared" si="1"/>
        <v>19.005801884148187</v>
      </c>
      <c r="S30" s="348">
        <f t="shared" si="2"/>
        <v>15.163907306161075</v>
      </c>
      <c r="T30" s="348">
        <f t="shared" si="3"/>
        <v>13.60901363219479</v>
      </c>
      <c r="U30" s="348">
        <f t="shared" si="4"/>
        <v>26.97640082110431</v>
      </c>
      <c r="V30" s="348">
        <f t="shared" si="5"/>
        <v>18.990760404028258</v>
      </c>
      <c r="W30" s="348">
        <f t="shared" si="6"/>
        <v>28.891236788815245</v>
      </c>
      <c r="X30" s="348">
        <f t="shared" si="7"/>
        <v>18.930546957482289</v>
      </c>
      <c r="AS30" s="760" t="s">
        <v>56</v>
      </c>
      <c r="AT30" s="761"/>
      <c r="AU30" s="762"/>
      <c r="AV30" s="16"/>
      <c r="AW30" s="763" t="s">
        <v>42</v>
      </c>
      <c r="AX30" s="769"/>
      <c r="AY30" s="17">
        <f>IF(Resumo!$F$9="Software",AH11,Resumo!Q26)</f>
        <v>15.162053885170128</v>
      </c>
      <c r="AZ30" s="18"/>
      <c r="BA30" s="18"/>
    </row>
    <row r="31" spans="1:60" x14ac:dyDescent="0.2">
      <c r="A31" s="407">
        <v>23</v>
      </c>
      <c r="B31" s="438">
        <v>27.029</v>
      </c>
      <c r="C31" s="438">
        <v>19.036999999999999</v>
      </c>
      <c r="D31" s="438">
        <v>15.323</v>
      </c>
      <c r="E31" s="438">
        <v>13.586</v>
      </c>
      <c r="F31" s="438">
        <v>27.029</v>
      </c>
      <c r="G31" s="438">
        <v>19.036999999999999</v>
      </c>
      <c r="H31" s="438">
        <v>29.096</v>
      </c>
      <c r="I31" s="438">
        <v>19.030999999999999</v>
      </c>
      <c r="J31" s="11"/>
      <c r="L31" s="25">
        <v>15</v>
      </c>
      <c r="M31" s="26">
        <v>15.16</v>
      </c>
      <c r="N31" s="27">
        <v>0.12</v>
      </c>
      <c r="O31" s="16"/>
      <c r="Q31" s="348">
        <f t="shared" si="0"/>
        <v>26.969436377288471</v>
      </c>
      <c r="R31" s="348">
        <f t="shared" si="1"/>
        <v>19.005801884148187</v>
      </c>
      <c r="S31" s="348">
        <f t="shared" si="2"/>
        <v>15.162907797113119</v>
      </c>
      <c r="T31" s="348">
        <f t="shared" si="3"/>
        <v>13.605010548721044</v>
      </c>
      <c r="U31" s="348">
        <f t="shared" si="4"/>
        <v>26.969436377288471</v>
      </c>
      <c r="V31" s="348">
        <f t="shared" si="5"/>
        <v>18.990760404028258</v>
      </c>
      <c r="W31" s="348">
        <f t="shared" si="6"/>
        <v>28.893230177599506</v>
      </c>
      <c r="X31" s="348">
        <f t="shared" si="7"/>
        <v>18.92756318591012</v>
      </c>
      <c r="AS31" s="19" t="s">
        <v>47</v>
      </c>
      <c r="AT31" s="20" t="s">
        <v>48</v>
      </c>
      <c r="AU31" s="21" t="s">
        <v>49</v>
      </c>
      <c r="AV31" s="16"/>
      <c r="AW31" s="22"/>
      <c r="AX31" s="23" t="s">
        <v>43</v>
      </c>
      <c r="AY31" s="23" t="s">
        <v>44</v>
      </c>
      <c r="AZ31" s="23" t="s">
        <v>45</v>
      </c>
      <c r="BA31" s="24" t="s">
        <v>46</v>
      </c>
      <c r="BF31" s="501">
        <v>84.71</v>
      </c>
      <c r="BG31" s="501">
        <f>AVERAGE(BF31:BF33)</f>
        <v>84.55</v>
      </c>
    </row>
    <row r="32" spans="1:60" x14ac:dyDescent="0.2">
      <c r="A32" s="407">
        <v>24</v>
      </c>
      <c r="B32" s="438">
        <v>27.036000000000001</v>
      </c>
      <c r="C32" s="438">
        <v>19.033000000000001</v>
      </c>
      <c r="D32" s="438">
        <v>15.323</v>
      </c>
      <c r="E32" s="438">
        <v>13.586</v>
      </c>
      <c r="F32" s="438">
        <v>27.036000000000001</v>
      </c>
      <c r="G32" s="438">
        <v>19.033000000000001</v>
      </c>
      <c r="H32" s="438">
        <v>29.097999999999999</v>
      </c>
      <c r="I32" s="438">
        <v>19.033000000000001</v>
      </c>
      <c r="J32" s="11"/>
      <c r="L32" s="25">
        <v>25</v>
      </c>
      <c r="M32" s="26">
        <v>25.14</v>
      </c>
      <c r="N32" s="27">
        <v>0.12</v>
      </c>
      <c r="O32" s="16"/>
      <c r="Q32" s="348">
        <f t="shared" si="0"/>
        <v>26.97640082110431</v>
      </c>
      <c r="R32" s="348">
        <f t="shared" si="1"/>
        <v>19.001777426035254</v>
      </c>
      <c r="S32" s="348">
        <f t="shared" si="2"/>
        <v>15.162907797113119</v>
      </c>
      <c r="T32" s="348">
        <f t="shared" si="3"/>
        <v>13.605010548721044</v>
      </c>
      <c r="U32" s="348">
        <f t="shared" si="4"/>
        <v>26.97640082110431</v>
      </c>
      <c r="V32" s="348">
        <f t="shared" si="5"/>
        <v>18.986755346025106</v>
      </c>
      <c r="W32" s="348">
        <f t="shared" si="6"/>
        <v>28.895223576744609</v>
      </c>
      <c r="X32" s="348">
        <f t="shared" si="7"/>
        <v>18.929552366660037</v>
      </c>
      <c r="AS32" s="25">
        <f t="shared" ref="AS32:AU36" si="10">L30</f>
        <v>0</v>
      </c>
      <c r="AT32" s="25">
        <f t="shared" si="10"/>
        <v>-0.06</v>
      </c>
      <c r="AU32" s="192">
        <f t="shared" si="10"/>
        <v>0.12</v>
      </c>
      <c r="AV32" s="16"/>
      <c r="AW32" s="29" t="str">
        <f>CONCATENATE("Entre ",AS32,"°C  e ",AS33,"°C ")</f>
        <v xml:space="preserve">Entre 0°C  e 15°C </v>
      </c>
      <c r="AX32" s="28" t="str">
        <f>IF(AND(AY30&lt;=AT33,AY30&gt;=AT32),AY30,"")</f>
        <v/>
      </c>
      <c r="AY32" s="14" t="str">
        <f>IF(ISNUMBER(AX32),((AS33-AS32)/(AT33-AT32))*(AX32-AT32)+AS32,"")</f>
        <v/>
      </c>
      <c r="AZ32" s="14" t="str">
        <f>IF(ISNUMBER(AX32),AY32-AX32,"")</f>
        <v/>
      </c>
      <c r="BA32" s="30" t="str">
        <f>IF(ISNUMBER(AX32),((AU33-AU32)/(AS33-AS32))*(AX32-AS32)+AU32,"")</f>
        <v/>
      </c>
      <c r="BF32" s="501">
        <v>84.75</v>
      </c>
      <c r="BG32" s="501"/>
    </row>
    <row r="33" spans="1:59" x14ac:dyDescent="0.2">
      <c r="A33" s="407">
        <v>25</v>
      </c>
      <c r="B33" s="438">
        <v>27.027999999999999</v>
      </c>
      <c r="C33" s="438">
        <v>19.033000000000001</v>
      </c>
      <c r="D33" s="438">
        <v>15.318</v>
      </c>
      <c r="E33" s="438">
        <v>13.584</v>
      </c>
      <c r="F33" s="438">
        <v>27.027999999999999</v>
      </c>
      <c r="G33" s="438">
        <v>19.033000000000001</v>
      </c>
      <c r="H33" s="438">
        <v>29.091999999999999</v>
      </c>
      <c r="I33" s="437">
        <v>19.029</v>
      </c>
      <c r="J33" s="11"/>
      <c r="L33" s="25">
        <v>40</v>
      </c>
      <c r="M33" s="26">
        <v>40.11</v>
      </c>
      <c r="N33" s="27">
        <v>0.12</v>
      </c>
      <c r="O33" s="16"/>
      <c r="Q33" s="348">
        <f t="shared" si="0"/>
        <v>26.968441455819725</v>
      </c>
      <c r="R33" s="348">
        <f t="shared" si="1"/>
        <v>19.001777426035254</v>
      </c>
      <c r="S33" s="348">
        <f t="shared" si="2"/>
        <v>15.157910265428947</v>
      </c>
      <c r="T33" s="348">
        <f t="shared" si="3"/>
        <v>13.603009006498031</v>
      </c>
      <c r="U33" s="348">
        <f t="shared" si="4"/>
        <v>26.968441455819725</v>
      </c>
      <c r="V33" s="348">
        <f t="shared" si="5"/>
        <v>18.986755346025106</v>
      </c>
      <c r="W33" s="348">
        <f t="shared" si="6"/>
        <v>28.889243410392005</v>
      </c>
      <c r="X33" s="348">
        <f t="shared" si="7"/>
        <v>18.925574006352825</v>
      </c>
      <c r="AS33" s="25">
        <f t="shared" si="10"/>
        <v>15</v>
      </c>
      <c r="AT33" s="25">
        <f t="shared" si="10"/>
        <v>15.16</v>
      </c>
      <c r="AU33" s="192">
        <f t="shared" si="10"/>
        <v>0.12</v>
      </c>
      <c r="AV33" s="16"/>
      <c r="AW33" s="29" t="str">
        <f>CONCATENATE("Entre ",AS33,"°C  e ",AS34,"°C ")</f>
        <v xml:space="preserve">Entre 15°C  e 25°C </v>
      </c>
      <c r="AX33" s="28">
        <f>IF(AND(AY30&gt;AT33,AY30&lt;=AT34),AY30,"")</f>
        <v>15.162053885170128</v>
      </c>
      <c r="AY33" s="14">
        <f>IF(ISNUMBER(AX33),((AS34-AS33)/(AT34-AT33))*(AX33-AT33)+AS33,"")</f>
        <v>15.002058001172472</v>
      </c>
      <c r="AZ33" s="14">
        <f>IF(ISNUMBER(AX33),AY33-AX33,"")</f>
        <v>-0.15999588399765585</v>
      </c>
      <c r="BA33" s="30">
        <f>IF(ISNUMBER(AX33),((AU34-AU33)/(AS34-AS33))*(AX33-AS33)+AU33,"")</f>
        <v>0.12</v>
      </c>
      <c r="BF33" s="501">
        <v>84.19</v>
      </c>
      <c r="BG33" s="501"/>
    </row>
    <row r="34" spans="1:59" ht="13.5" thickBot="1" x14ac:dyDescent="0.25">
      <c r="A34" s="407">
        <v>26</v>
      </c>
      <c r="B34" s="438">
        <v>27.036000000000001</v>
      </c>
      <c r="C34" s="438">
        <v>19.032</v>
      </c>
      <c r="D34" s="438">
        <v>15.319000000000001</v>
      </c>
      <c r="E34" s="437">
        <v>13.58</v>
      </c>
      <c r="F34" s="437">
        <v>27.036000000000001</v>
      </c>
      <c r="G34" s="437">
        <v>19.032</v>
      </c>
      <c r="H34" s="437">
        <v>29.09</v>
      </c>
      <c r="I34" s="438">
        <v>19.030999999999999</v>
      </c>
      <c r="J34" s="11"/>
      <c r="L34" s="31">
        <v>50</v>
      </c>
      <c r="M34" s="32">
        <v>50.07</v>
      </c>
      <c r="N34" s="33">
        <v>0.12</v>
      </c>
      <c r="O34" s="16"/>
      <c r="Q34" s="348">
        <f t="shared" si="0"/>
        <v>26.97640082110431</v>
      </c>
      <c r="R34" s="348">
        <f t="shared" si="1"/>
        <v>19.000771309726417</v>
      </c>
      <c r="S34" s="348">
        <f t="shared" si="2"/>
        <v>15.158909769957901</v>
      </c>
      <c r="T34" s="348">
        <f t="shared" si="3"/>
        <v>13.599005921080339</v>
      </c>
      <c r="U34" s="348">
        <f t="shared" si="4"/>
        <v>26.97640082110431</v>
      </c>
      <c r="V34" s="348">
        <f t="shared" si="5"/>
        <v>18.985754081652793</v>
      </c>
      <c r="W34" s="348">
        <f t="shared" si="6"/>
        <v>28.887250042329956</v>
      </c>
      <c r="X34" s="348">
        <f t="shared" si="7"/>
        <v>18.92756318591012</v>
      </c>
      <c r="AS34" s="25">
        <f t="shared" si="10"/>
        <v>25</v>
      </c>
      <c r="AT34" s="25">
        <f t="shared" si="10"/>
        <v>25.14</v>
      </c>
      <c r="AU34" s="192">
        <f t="shared" si="10"/>
        <v>0.12</v>
      </c>
      <c r="AV34" s="16"/>
      <c r="AW34" s="29" t="str">
        <f>CONCATENATE("Entre ",AS34,"°C  e ",AS35,"°C ")</f>
        <v xml:space="preserve">Entre 25°C  e 40°C </v>
      </c>
      <c r="AX34" s="28" t="str">
        <f>IF(AND(AY30&gt;AT34,AY30&lt;=AT35),AY30,"")</f>
        <v/>
      </c>
      <c r="AY34" s="14" t="str">
        <f>IF(ISNUMBER(AX34),((AS35-AS34)/(AT35-AT34))*(AX34-AT34)+AS34,"")</f>
        <v/>
      </c>
      <c r="AZ34" s="14" t="str">
        <f>IF(ISNUMBER(AX34),AY34-AX34,"")</f>
        <v/>
      </c>
      <c r="BA34" s="30" t="str">
        <f>IF(ISNUMBER(AX34),((AU35-AU34)/(AS35-AS34))*(AX34-AS34)+AU34,"")</f>
        <v/>
      </c>
    </row>
    <row r="35" spans="1:59" ht="13.5" thickBot="1" x14ac:dyDescent="0.25">
      <c r="A35" s="407">
        <v>27</v>
      </c>
      <c r="B35" s="438">
        <v>27.033000000000001</v>
      </c>
      <c r="C35" s="438">
        <v>19.033000000000001</v>
      </c>
      <c r="D35" s="438">
        <v>15.321999999999999</v>
      </c>
      <c r="E35" s="438">
        <v>13.582000000000001</v>
      </c>
      <c r="F35" s="438">
        <v>27.033000000000001</v>
      </c>
      <c r="G35" s="438">
        <v>19.033000000000001</v>
      </c>
      <c r="H35" s="438">
        <v>29.088000000000001</v>
      </c>
      <c r="I35" s="438">
        <v>19.027999999999999</v>
      </c>
      <c r="J35" s="11"/>
      <c r="O35"/>
      <c r="Q35" s="348">
        <f t="shared" si="0"/>
        <v>26.973416060854092</v>
      </c>
      <c r="R35" s="348">
        <f t="shared" si="1"/>
        <v>19.001777426035254</v>
      </c>
      <c r="S35" s="348">
        <f t="shared" si="2"/>
        <v>15.161908288968682</v>
      </c>
      <c r="T35" s="348">
        <f t="shared" si="3"/>
        <v>13.60100746395109</v>
      </c>
      <c r="U35" s="348">
        <f t="shared" si="4"/>
        <v>26.973416060854092</v>
      </c>
      <c r="V35" s="348">
        <f t="shared" si="5"/>
        <v>18.986755346025106</v>
      </c>
      <c r="W35" s="348">
        <f t="shared" si="6"/>
        <v>28.885256684629262</v>
      </c>
      <c r="X35" s="348">
        <f t="shared" si="7"/>
        <v>18.924579417021345</v>
      </c>
      <c r="AS35" s="25">
        <f t="shared" si="10"/>
        <v>40</v>
      </c>
      <c r="AT35" s="25">
        <f t="shared" si="10"/>
        <v>40.11</v>
      </c>
      <c r="AU35" s="192">
        <f t="shared" si="10"/>
        <v>0.12</v>
      </c>
      <c r="AV35" s="16"/>
      <c r="AW35" s="29" t="str">
        <f>CONCATENATE("Entre ",AS35,"°C  e ",AS36,"°C ")</f>
        <v xml:space="preserve">Entre 40°C  e 50°C </v>
      </c>
      <c r="AX35" s="28" t="str">
        <f>IF(AND(AY30&gt;AT35,AY30&lt;=AT36),AY30,"")</f>
        <v/>
      </c>
      <c r="AY35" s="14" t="str">
        <f>IF(ISNUMBER(AX35),((AS36-AS35)/(AT36-AT35))*(AX35-AT35)+AS35,"")</f>
        <v/>
      </c>
      <c r="AZ35" s="14" t="str">
        <f>IF(ISNUMBER(AX35),AY35-AX35,"")</f>
        <v/>
      </c>
      <c r="BA35" s="30" t="str">
        <f>IF(ISNUMBER(AX35),((AU36-AU35)/(AS36-AS35))*(AX35-AS35)+AU35,"")</f>
        <v/>
      </c>
    </row>
    <row r="36" spans="1:59" ht="13.5" thickBot="1" x14ac:dyDescent="0.25">
      <c r="A36" s="407">
        <v>28</v>
      </c>
      <c r="B36" s="438">
        <v>27.03</v>
      </c>
      <c r="C36" s="438">
        <v>19.032</v>
      </c>
      <c r="D36" s="438">
        <v>15.318</v>
      </c>
      <c r="E36" s="438">
        <v>13.581</v>
      </c>
      <c r="F36" s="438">
        <v>27.03</v>
      </c>
      <c r="G36" s="438">
        <v>19.032</v>
      </c>
      <c r="H36" s="438">
        <v>29.084</v>
      </c>
      <c r="I36" s="438">
        <v>19.027000000000001</v>
      </c>
      <c r="J36" s="11"/>
      <c r="L36" s="772" t="s">
        <v>57</v>
      </c>
      <c r="M36" s="773"/>
      <c r="N36" s="774"/>
      <c r="O36" s="16"/>
      <c r="Q36" s="348">
        <f t="shared" si="0"/>
        <v>26.970431298526247</v>
      </c>
      <c r="R36" s="348">
        <f t="shared" si="1"/>
        <v>19.000771309726417</v>
      </c>
      <c r="S36" s="348">
        <f t="shared" si="2"/>
        <v>15.157910265428947</v>
      </c>
      <c r="T36" s="348">
        <f t="shared" si="3"/>
        <v>13.600006692556182</v>
      </c>
      <c r="U36" s="348">
        <f t="shared" si="4"/>
        <v>26.970431298526247</v>
      </c>
      <c r="V36" s="348">
        <f t="shared" si="5"/>
        <v>18.985754081652793</v>
      </c>
      <c r="W36" s="348">
        <f t="shared" si="6"/>
        <v>28.881270000312615</v>
      </c>
      <c r="X36" s="348">
        <f t="shared" si="7"/>
        <v>18.923584827987952</v>
      </c>
      <c r="AS36" s="25">
        <f t="shared" si="10"/>
        <v>50</v>
      </c>
      <c r="AT36" s="25">
        <f t="shared" si="10"/>
        <v>50.07</v>
      </c>
      <c r="AU36" s="192">
        <f t="shared" si="10"/>
        <v>0.12</v>
      </c>
      <c r="AV36" s="16"/>
      <c r="AW36" s="34"/>
      <c r="AX36" s="39">
        <f>IF(AND(AY30&lt;=AT33,AY30&gt;=AT32),AY30,IF(AND(AY30&gt;AT33,AY30&lt;=AT34),AY30,IF(AND(AY30&gt;AT34,AY30&lt;=AT35),AY30,IF(AND(AY30&gt;AT35,AY30&lt;=AT36),AY30,""))))</f>
        <v>15.162053885170128</v>
      </c>
      <c r="AY36" s="39">
        <f>IF(AND(AY30&lt;=AT33,AY30&gt;=AT32),((AS33-AS32)/(AT33-AT32))*(AX32-AT32)+AS32,IF(AND(AY30&gt;AT33,AY30&lt;=AT34),((AS34-AS33)/(AT34-AT33))*(AX33-AT33)+AS33,IF(AND(AY30&gt;AT34,AY30&lt;=AT35),((AS35-AS34)/(AT35-AT34))*(AX34-AT34)+AS34,IF(AND(AY30&gt;AT35,AY30&lt;=AT36),((AS36-AS35)/(AT36-AT35))*(AX35-AT35)+AS35,""))))</f>
        <v>15.002058001172472</v>
      </c>
      <c r="AZ36" s="39">
        <f>IF(ISNUMBER(AX36),AY36-AX36,"")</f>
        <v>-0.15999588399765585</v>
      </c>
      <c r="BA36" s="40">
        <f>IF(AND(AY30&lt;=AT33,AY30&gt;=AT32),((AU33-AU32)/(AS33-AS32))*(AX32-AS32)+AU32,IF(AND(AY30&gt;AT33,AY30&lt;=AT34),((AU34-AU33)/(AS34-AS33))*(AX33-AS33)+AU33,IF(AND(AY30&gt;AT34,AY30&lt;=AT35),((AU35-AU34)/(AS35-AS34))*(AX34-AS34)+AU34,IF(AND(AY30&gt;AT35,AY30&lt;=AT36),((AU36-AU35)/(AS36-AS35))*(AX35-AS35)+AU35,""))))</f>
        <v>0.12</v>
      </c>
    </row>
    <row r="37" spans="1:59" x14ac:dyDescent="0.2">
      <c r="A37" s="407">
        <v>29</v>
      </c>
      <c r="B37" s="438">
        <v>27.03</v>
      </c>
      <c r="C37" s="438">
        <v>19.026</v>
      </c>
      <c r="D37" s="438">
        <v>15.318</v>
      </c>
      <c r="E37" s="438">
        <v>13.582000000000001</v>
      </c>
      <c r="F37" s="438">
        <v>27.03</v>
      </c>
      <c r="G37" s="438">
        <v>19.026</v>
      </c>
      <c r="H37" s="438">
        <v>29.085000000000001</v>
      </c>
      <c r="I37" s="438">
        <v>19.027999999999999</v>
      </c>
      <c r="J37" s="11"/>
      <c r="L37" s="19" t="s">
        <v>47</v>
      </c>
      <c r="M37" s="20" t="s">
        <v>48</v>
      </c>
      <c r="N37" s="21" t="s">
        <v>49</v>
      </c>
      <c r="O37" s="16"/>
      <c r="Q37" s="348">
        <f t="shared" si="0"/>
        <v>26.970431298526247</v>
      </c>
      <c r="R37" s="348">
        <f t="shared" si="1"/>
        <v>18.994734596923678</v>
      </c>
      <c r="S37" s="348">
        <f t="shared" si="2"/>
        <v>15.157910265428947</v>
      </c>
      <c r="T37" s="348">
        <f t="shared" si="3"/>
        <v>13.60100746395109</v>
      </c>
      <c r="U37" s="348">
        <f t="shared" si="4"/>
        <v>26.970431298526247</v>
      </c>
      <c r="V37" s="348">
        <f t="shared" si="5"/>
        <v>18.979746496503953</v>
      </c>
      <c r="W37" s="348">
        <f t="shared" si="6"/>
        <v>28.882266667506133</v>
      </c>
      <c r="X37" s="348">
        <f t="shared" si="7"/>
        <v>18.924579417021345</v>
      </c>
      <c r="AS37" s="759"/>
      <c r="AT37" s="759"/>
      <c r="AU37" s="759"/>
      <c r="AV37" s="759"/>
      <c r="AW37" s="759"/>
      <c r="AX37" s="759"/>
      <c r="AY37" s="759"/>
      <c r="AZ37" s="759"/>
      <c r="BA37" s="759"/>
    </row>
    <row r="38" spans="1:59" ht="13.5" thickBot="1" x14ac:dyDescent="0.25">
      <c r="A38" s="407">
        <v>30</v>
      </c>
      <c r="B38" s="438">
        <v>27.032</v>
      </c>
      <c r="C38" s="438">
        <v>19.03</v>
      </c>
      <c r="D38" s="438">
        <v>15.316000000000001</v>
      </c>
      <c r="E38" s="438">
        <v>13.583</v>
      </c>
      <c r="F38" s="438">
        <v>27.032</v>
      </c>
      <c r="G38" s="438">
        <v>19.03</v>
      </c>
      <c r="H38" s="438">
        <v>29.084</v>
      </c>
      <c r="I38" s="438">
        <v>19.024000000000001</v>
      </c>
      <c r="J38" s="11"/>
      <c r="L38" s="25">
        <v>0</v>
      </c>
      <c r="M38" s="26">
        <v>-0.01</v>
      </c>
      <c r="N38" s="27">
        <v>0.12</v>
      </c>
      <c r="O38" s="16"/>
      <c r="Q38" s="348">
        <f t="shared" si="0"/>
        <v>26.972421140309027</v>
      </c>
      <c r="R38" s="348">
        <f t="shared" si="1"/>
        <v>18.998759074972693</v>
      </c>
      <c r="S38" s="348">
        <f t="shared" si="2"/>
        <v>15.155911259083842</v>
      </c>
      <c r="T38" s="348">
        <f t="shared" si="3"/>
        <v>13.602008235265044</v>
      </c>
      <c r="U38" s="348">
        <f t="shared" si="4"/>
        <v>26.972421140309027</v>
      </c>
      <c r="V38" s="348">
        <f t="shared" si="5"/>
        <v>18.983751553062881</v>
      </c>
      <c r="W38" s="348">
        <f t="shared" si="6"/>
        <v>28.881270000312615</v>
      </c>
      <c r="X38" s="348">
        <f t="shared" si="7"/>
        <v>18.920601062676003</v>
      </c>
      <c r="AS38" s="759"/>
      <c r="AT38" s="759"/>
      <c r="AU38" s="759"/>
      <c r="AV38" s="759"/>
      <c r="AW38" s="759"/>
      <c r="AX38" s="759"/>
      <c r="AY38" s="759"/>
      <c r="AZ38" s="759"/>
      <c r="BA38" s="759"/>
    </row>
    <row r="39" spans="1:59" ht="13.5" thickBot="1" x14ac:dyDescent="0.25">
      <c r="A39" s="407">
        <v>31</v>
      </c>
      <c r="B39" s="438">
        <v>27.038</v>
      </c>
      <c r="C39" s="438">
        <v>19.024000000000001</v>
      </c>
      <c r="D39" s="437">
        <v>15.319000000000001</v>
      </c>
      <c r="E39" s="438">
        <v>13.584</v>
      </c>
      <c r="F39" s="438">
        <v>27.038</v>
      </c>
      <c r="G39" s="438">
        <v>19.024000000000001</v>
      </c>
      <c r="H39" s="438">
        <v>29.082999999999998</v>
      </c>
      <c r="I39" s="438">
        <v>19.024999999999999</v>
      </c>
      <c r="J39" s="11"/>
      <c r="L39" s="25">
        <v>15</v>
      </c>
      <c r="M39" s="26">
        <v>14.98</v>
      </c>
      <c r="N39" s="27">
        <v>0.12</v>
      </c>
      <c r="O39" s="16"/>
      <c r="Q39" s="348">
        <f t="shared" si="0"/>
        <v>26.978390660117274</v>
      </c>
      <c r="R39" s="348">
        <f t="shared" si="1"/>
        <v>18.992722353629908</v>
      </c>
      <c r="S39" s="348">
        <f t="shared" si="2"/>
        <v>15.158909769957901</v>
      </c>
      <c r="T39" s="348">
        <f t="shared" si="3"/>
        <v>13.603009006498031</v>
      </c>
      <c r="U39" s="348">
        <f t="shared" si="4"/>
        <v>26.978390660117274</v>
      </c>
      <c r="V39" s="348">
        <f t="shared" si="5"/>
        <v>18.977743968536146</v>
      </c>
      <c r="W39" s="348">
        <f t="shared" si="6"/>
        <v>28.880273335709564</v>
      </c>
      <c r="X39" s="348">
        <f t="shared" si="7"/>
        <v>18.921595650815298</v>
      </c>
      <c r="AS39" s="760" t="s">
        <v>57</v>
      </c>
      <c r="AT39" s="761"/>
      <c r="AU39" s="762"/>
      <c r="AV39" s="16"/>
      <c r="AW39" s="763" t="s">
        <v>42</v>
      </c>
      <c r="AX39" s="769"/>
      <c r="AY39" s="17">
        <f>IF(Resumo!$F$9="Software",AH12,Resumo!Q27)</f>
        <v>13.606145952326512</v>
      </c>
      <c r="AZ39" s="18"/>
      <c r="BA39" s="18"/>
    </row>
    <row r="40" spans="1:59" x14ac:dyDescent="0.2">
      <c r="A40" s="407">
        <v>32</v>
      </c>
      <c r="B40" s="438">
        <v>27.036000000000001</v>
      </c>
      <c r="C40" s="438">
        <v>19.023</v>
      </c>
      <c r="D40" s="438">
        <v>15.316000000000001</v>
      </c>
      <c r="E40" s="438">
        <v>13.576000000000001</v>
      </c>
      <c r="F40" s="438">
        <v>27.036000000000001</v>
      </c>
      <c r="G40" s="438">
        <v>19.023</v>
      </c>
      <c r="H40" s="438">
        <v>29.087</v>
      </c>
      <c r="I40" s="438">
        <v>19.024000000000001</v>
      </c>
      <c r="J40" s="11"/>
      <c r="L40" s="25">
        <v>25</v>
      </c>
      <c r="M40" s="26">
        <v>24.98</v>
      </c>
      <c r="N40" s="27">
        <v>0.12</v>
      </c>
      <c r="O40" s="16"/>
      <c r="Q40" s="348">
        <f t="shared" si="0"/>
        <v>26.97640082110431</v>
      </c>
      <c r="R40" s="348">
        <f t="shared" si="1"/>
        <v>18.99171623091604</v>
      </c>
      <c r="S40" s="348">
        <f t="shared" si="2"/>
        <v>15.155911259083842</v>
      </c>
      <c r="T40" s="348">
        <f t="shared" si="3"/>
        <v>13.595002834367909</v>
      </c>
      <c r="U40" s="348">
        <f t="shared" si="4"/>
        <v>26.97640082110431</v>
      </c>
      <c r="V40" s="348">
        <f t="shared" si="5"/>
        <v>18.976742704630418</v>
      </c>
      <c r="W40" s="348">
        <f t="shared" si="6"/>
        <v>28.884260009664477</v>
      </c>
      <c r="X40" s="348">
        <f t="shared" si="7"/>
        <v>18.920601062676003</v>
      </c>
      <c r="AS40" s="19" t="s">
        <v>47</v>
      </c>
      <c r="AT40" s="20" t="s">
        <v>48</v>
      </c>
      <c r="AU40" s="21" t="s">
        <v>49</v>
      </c>
      <c r="AV40" s="16"/>
      <c r="AW40" s="22"/>
      <c r="AX40" s="23" t="s">
        <v>43</v>
      </c>
      <c r="AY40" s="23" t="s">
        <v>44</v>
      </c>
      <c r="AZ40" s="23" t="s">
        <v>45</v>
      </c>
      <c r="BA40" s="24" t="s">
        <v>46</v>
      </c>
    </row>
    <row r="41" spans="1:59" x14ac:dyDescent="0.2">
      <c r="A41" s="407">
        <v>33</v>
      </c>
      <c r="B41" s="438">
        <v>27.032</v>
      </c>
      <c r="C41" s="438">
        <v>19.021999999999998</v>
      </c>
      <c r="D41" s="438">
        <v>15.314</v>
      </c>
      <c r="E41" s="438">
        <v>13.583</v>
      </c>
      <c r="F41" s="438">
        <v>27.032</v>
      </c>
      <c r="G41" s="438">
        <v>19.021999999999998</v>
      </c>
      <c r="H41" s="438">
        <v>29.085999999999999</v>
      </c>
      <c r="I41" s="438">
        <v>19.023</v>
      </c>
      <c r="J41" s="11"/>
      <c r="L41" s="25">
        <v>40</v>
      </c>
      <c r="M41" s="26">
        <v>40</v>
      </c>
      <c r="N41" s="27">
        <v>0.12</v>
      </c>
      <c r="O41" s="16"/>
      <c r="Q41" s="348">
        <f t="shared" si="0"/>
        <v>26.972421140309027</v>
      </c>
      <c r="R41" s="348">
        <f t="shared" si="1"/>
        <v>18.990710107490976</v>
      </c>
      <c r="S41" s="348">
        <f t="shared" si="2"/>
        <v>15.153912256356737</v>
      </c>
      <c r="T41" s="348">
        <f t="shared" si="3"/>
        <v>13.602008235265044</v>
      </c>
      <c r="U41" s="348">
        <f t="shared" si="4"/>
        <v>26.972421140309027</v>
      </c>
      <c r="V41" s="348">
        <f t="shared" si="5"/>
        <v>18.975741440776904</v>
      </c>
      <c r="W41" s="348">
        <f t="shared" si="6"/>
        <v>28.883263337290089</v>
      </c>
      <c r="X41" s="348">
        <f t="shared" si="7"/>
        <v>18.919606474834676</v>
      </c>
      <c r="AS41" s="25">
        <f t="shared" ref="AS41:AU45" si="11">L38</f>
        <v>0</v>
      </c>
      <c r="AT41" s="25">
        <f t="shared" si="11"/>
        <v>-0.01</v>
      </c>
      <c r="AU41" s="192">
        <f t="shared" si="11"/>
        <v>0.12</v>
      </c>
      <c r="AV41" s="16"/>
      <c r="AW41" s="29" t="str">
        <f>CONCATENATE("Entre ",AS41,"°C  e ",AS42,"°C ")</f>
        <v xml:space="preserve">Entre 0°C  e 15°C </v>
      </c>
      <c r="AX41" s="28">
        <f>IF(AND(AY39&lt;=AT42,AY39&gt;=AT41),AY39,"")</f>
        <v>13.606145952326512</v>
      </c>
      <c r="AY41" s="14">
        <f>IF(ISNUMBER(AX41),((AS42-AS41)/(AT42-AT41))*(AX41-AT41)+AS41,"")</f>
        <v>13.625229438618925</v>
      </c>
      <c r="AZ41" s="14">
        <f>IF(ISNUMBER(AX41),AY41-AX41,"")</f>
        <v>1.9083486292412744E-2</v>
      </c>
      <c r="BA41" s="30">
        <f>IF(ISNUMBER(AX41),((AU42-AU41)/(AS42-AS41))*(AX41-AS41)+AU41,"")</f>
        <v>0.12</v>
      </c>
    </row>
    <row r="42" spans="1:59" ht="13.5" thickBot="1" x14ac:dyDescent="0.25">
      <c r="A42" s="407">
        <v>34</v>
      </c>
      <c r="B42" s="437">
        <v>27.041</v>
      </c>
      <c r="C42" s="438">
        <v>19.015999999999998</v>
      </c>
      <c r="D42" s="438">
        <v>15.313000000000001</v>
      </c>
      <c r="E42" s="438">
        <v>13.579000000000001</v>
      </c>
      <c r="F42" s="438">
        <v>27.041</v>
      </c>
      <c r="G42" s="438">
        <v>19.015999999999998</v>
      </c>
      <c r="H42" s="438">
        <v>29.088000000000001</v>
      </c>
      <c r="I42" s="438">
        <v>19.021999999999998</v>
      </c>
      <c r="J42" s="11"/>
      <c r="L42" s="31">
        <v>50</v>
      </c>
      <c r="M42" s="32">
        <v>50</v>
      </c>
      <c r="N42" s="33">
        <v>0.12</v>
      </c>
      <c r="O42" s="16"/>
      <c r="Q42" s="348">
        <f t="shared" si="0"/>
        <v>26.981375416906527</v>
      </c>
      <c r="R42" s="348">
        <f t="shared" si="1"/>
        <v>18.984673352010827</v>
      </c>
      <c r="S42" s="348">
        <f t="shared" si="2"/>
        <v>15.152912756350286</v>
      </c>
      <c r="T42" s="348">
        <f t="shared" si="3"/>
        <v>13.598005149523575</v>
      </c>
      <c r="U42" s="348">
        <f t="shared" si="4"/>
        <v>26.981375416906527</v>
      </c>
      <c r="V42" s="348">
        <f t="shared" si="5"/>
        <v>18.969733858756605</v>
      </c>
      <c r="W42" s="348">
        <f t="shared" si="6"/>
        <v>28.885256684629262</v>
      </c>
      <c r="X42" s="348">
        <f t="shared" si="7"/>
        <v>18.918611887291309</v>
      </c>
      <c r="AS42" s="25">
        <f t="shared" si="11"/>
        <v>15</v>
      </c>
      <c r="AT42" s="25">
        <f t="shared" si="11"/>
        <v>14.98</v>
      </c>
      <c r="AU42" s="192">
        <f t="shared" si="11"/>
        <v>0.12</v>
      </c>
      <c r="AV42" s="16"/>
      <c r="AW42" s="29" t="str">
        <f>CONCATENATE("Entre ",AS42,"°C  e ",AS43,"°C ")</f>
        <v xml:space="preserve">Entre 15°C  e 25°C </v>
      </c>
      <c r="AX42" s="28" t="str">
        <f>IF(AND(AY39&gt;AT42,AY39&lt;=AT43),AY39,"")</f>
        <v/>
      </c>
      <c r="AY42" s="14" t="str">
        <f>IF(ISNUMBER(AX42),((AS43-AS42)/(AT43-AT42))*(AX42-AT42)+AS42,"")</f>
        <v/>
      </c>
      <c r="AZ42" s="14" t="str">
        <f>IF(ISNUMBER(AX42),AY42-AX42,"")</f>
        <v/>
      </c>
      <c r="BA42" s="30" t="str">
        <f>IF(ISNUMBER(AX42),((AU43-AU42)/(AS43-AS42))*(AX42-AS42)+AU42,"")</f>
        <v/>
      </c>
    </row>
    <row r="43" spans="1:59" ht="13.5" thickBot="1" x14ac:dyDescent="0.25">
      <c r="A43" s="407">
        <v>35</v>
      </c>
      <c r="B43" s="438">
        <v>27.042999999999999</v>
      </c>
      <c r="C43" s="438">
        <v>19.015999999999998</v>
      </c>
      <c r="D43" s="438">
        <v>15.313000000000001</v>
      </c>
      <c r="E43" s="438">
        <v>13.576000000000001</v>
      </c>
      <c r="F43" s="438">
        <v>27.042999999999999</v>
      </c>
      <c r="G43" s="438">
        <v>19.015999999999998</v>
      </c>
      <c r="H43" s="438">
        <v>29.09</v>
      </c>
      <c r="I43" s="438">
        <v>19.02</v>
      </c>
      <c r="J43" s="11"/>
      <c r="Q43" s="348">
        <f t="shared" si="0"/>
        <v>26.983365253612906</v>
      </c>
      <c r="R43" s="348">
        <f t="shared" si="1"/>
        <v>18.984673352010827</v>
      </c>
      <c r="S43" s="348">
        <f t="shared" si="2"/>
        <v>15.152912756350286</v>
      </c>
      <c r="T43" s="348">
        <f t="shared" si="3"/>
        <v>13.595002834367909</v>
      </c>
      <c r="U43" s="348">
        <f t="shared" si="4"/>
        <v>26.983365253612906</v>
      </c>
      <c r="V43" s="348">
        <f t="shared" si="5"/>
        <v>18.969733858756605</v>
      </c>
      <c r="W43" s="348">
        <f t="shared" si="6"/>
        <v>28.887250042329956</v>
      </c>
      <c r="X43" s="348">
        <f t="shared" si="7"/>
        <v>18.916622713098349</v>
      </c>
      <c r="AS43" s="25">
        <f t="shared" si="11"/>
        <v>25</v>
      </c>
      <c r="AT43" s="25">
        <f t="shared" si="11"/>
        <v>24.98</v>
      </c>
      <c r="AU43" s="192">
        <f t="shared" si="11"/>
        <v>0.12</v>
      </c>
      <c r="AV43" s="16"/>
      <c r="AW43" s="29" t="str">
        <f>CONCATENATE("Entre ",AS43,"°C  e ",AS44,"°C ")</f>
        <v xml:space="preserve">Entre 25°C  e 40°C </v>
      </c>
      <c r="AX43" s="28" t="str">
        <f>IF(AND(AY39&gt;AT43,AY39&lt;=AT44),AY39,"")</f>
        <v/>
      </c>
      <c r="AY43" s="14" t="str">
        <f>IF(ISNUMBER(AX43),((AS44-AS43)/(AT44-AT43))*(AX43-AT43)+AS43,"")</f>
        <v/>
      </c>
      <c r="AZ43" s="14" t="str">
        <f>IF(ISNUMBER(AX43),AY43-AX43,"")</f>
        <v/>
      </c>
      <c r="BA43" s="30" t="str">
        <f>IF(ISNUMBER(AX43),((AU44-AU43)/(AS44-AS43))*(AX43-AS43)+AU43,"")</f>
        <v/>
      </c>
    </row>
    <row r="44" spans="1:59" x14ac:dyDescent="0.2">
      <c r="A44" s="407">
        <v>36</v>
      </c>
      <c r="B44" s="438">
        <v>27.036999999999999</v>
      </c>
      <c r="C44" s="437">
        <v>19.016999999999999</v>
      </c>
      <c r="D44" s="438">
        <v>15.311</v>
      </c>
      <c r="E44" s="438">
        <v>13.574</v>
      </c>
      <c r="F44" s="438">
        <v>27.036999999999999</v>
      </c>
      <c r="G44" s="438">
        <v>19.016999999999999</v>
      </c>
      <c r="H44" s="438">
        <v>29.088999999999999</v>
      </c>
      <c r="I44" s="438">
        <v>19.018999999999998</v>
      </c>
      <c r="J44" s="11"/>
      <c r="L44" s="772" t="s">
        <v>58</v>
      </c>
      <c r="M44" s="773"/>
      <c r="N44" s="774"/>
      <c r="O44" s="16"/>
      <c r="Q44" s="348">
        <f t="shared" si="0"/>
        <v>26.977395740726159</v>
      </c>
      <c r="R44" s="348">
        <f t="shared" si="1"/>
        <v>18.985679479701066</v>
      </c>
      <c r="S44" s="348">
        <f t="shared" si="2"/>
        <v>15.150913759052282</v>
      </c>
      <c r="T44" s="348">
        <f t="shared" si="3"/>
        <v>13.593001290526475</v>
      </c>
      <c r="U44" s="348">
        <f t="shared" si="4"/>
        <v>26.977395740726159</v>
      </c>
      <c r="V44" s="348">
        <f t="shared" si="5"/>
        <v>18.970735122295242</v>
      </c>
      <c r="W44" s="348">
        <f t="shared" si="6"/>
        <v>28.886253362184423</v>
      </c>
      <c r="X44" s="348">
        <f t="shared" si="7"/>
        <v>18.915628126448702</v>
      </c>
      <c r="AS44" s="25">
        <f t="shared" si="11"/>
        <v>40</v>
      </c>
      <c r="AT44" s="25">
        <f t="shared" si="11"/>
        <v>40</v>
      </c>
      <c r="AU44" s="192">
        <f t="shared" si="11"/>
        <v>0.12</v>
      </c>
      <c r="AV44" s="16"/>
      <c r="AW44" s="29" t="str">
        <f>CONCATENATE("Entre ",AS44,"°C  e ",AS45,"°C ")</f>
        <v xml:space="preserve">Entre 40°C  e 50°C </v>
      </c>
      <c r="AX44" s="28" t="str">
        <f>IF(AND(AY39&gt;AT44,AY39&lt;=AT45),AY39,"")</f>
        <v/>
      </c>
      <c r="AY44" s="14" t="str">
        <f>IF(ISNUMBER(AX44),((AS45-AS44)/(AT45-AT44))*(AX44-AT44)+AS44,"")</f>
        <v/>
      </c>
      <c r="AZ44" s="14" t="str">
        <f>IF(ISNUMBER(AX44),AY44-AX44,"")</f>
        <v/>
      </c>
      <c r="BA44" s="30" t="str">
        <f>IF(ISNUMBER(AX44),((AU45-AU44)/(AS45-AS44))*(AX44-AS44)+AU44,"")</f>
        <v/>
      </c>
    </row>
    <row r="45" spans="1:59" ht="13.5" thickBot="1" x14ac:dyDescent="0.25">
      <c r="A45" s="407">
        <v>37</v>
      </c>
      <c r="B45" s="438">
        <v>27.038</v>
      </c>
      <c r="C45" s="438">
        <v>19.016999999999999</v>
      </c>
      <c r="D45" s="438">
        <v>15.311</v>
      </c>
      <c r="E45" s="438">
        <v>13.57</v>
      </c>
      <c r="F45" s="438">
        <v>27.038</v>
      </c>
      <c r="G45" s="438">
        <v>19.016999999999999</v>
      </c>
      <c r="H45" s="438">
        <v>29.088000000000001</v>
      </c>
      <c r="I45" s="438">
        <v>19.016999999999999</v>
      </c>
      <c r="J45" s="11"/>
      <c r="L45" s="19" t="s">
        <v>47</v>
      </c>
      <c r="M45" s="20" t="s">
        <v>48</v>
      </c>
      <c r="N45" s="21" t="s">
        <v>49</v>
      </c>
      <c r="O45" s="16"/>
      <c r="Q45" s="348">
        <f t="shared" si="0"/>
        <v>26.978390660117274</v>
      </c>
      <c r="R45" s="348">
        <f t="shared" si="1"/>
        <v>18.985679479701066</v>
      </c>
      <c r="S45" s="348">
        <f t="shared" si="2"/>
        <v>15.150913759052282</v>
      </c>
      <c r="T45" s="348">
        <f t="shared" si="3"/>
        <v>13.588998201873785</v>
      </c>
      <c r="U45" s="348">
        <f t="shared" si="4"/>
        <v>26.978390660117274</v>
      </c>
      <c r="V45" s="348">
        <f t="shared" si="5"/>
        <v>18.970735122295242</v>
      </c>
      <c r="W45" s="348">
        <f t="shared" si="6"/>
        <v>28.885256684629262</v>
      </c>
      <c r="X45" s="348">
        <f t="shared" si="7"/>
        <v>18.913638954042955</v>
      </c>
      <c r="AS45" s="25">
        <f t="shared" si="11"/>
        <v>50</v>
      </c>
      <c r="AT45" s="25">
        <f t="shared" si="11"/>
        <v>50</v>
      </c>
      <c r="AU45" s="192">
        <f t="shared" si="11"/>
        <v>0.12</v>
      </c>
      <c r="AV45" s="16"/>
      <c r="AW45" s="34"/>
      <c r="AX45" s="39">
        <f>IF(AND(AY39&lt;=AT42,AY39&gt;=AT41),AY39,IF(AND(AY39&gt;AT42,AY39&lt;=AT43),AY39,IF(AND(AY39&gt;AT43,AY39&lt;=AT44),AY39,IF(AND(AY39&gt;AT44,AY39&lt;=AT45),AY39,""))))</f>
        <v>13.606145952326512</v>
      </c>
      <c r="AY45" s="39">
        <f>IF(AND(AY39&lt;=AT42,AY39&gt;=AT41),((AS42-AS41)/(AT42-AT41))*(AX41-AT41)+AS41,IF(AND(AY39&gt;AT42,AY39&lt;=AT43),((AS43-AS42)/(AT43-AT42))*(AX42-AT42)+AS42,IF(AND(AY39&gt;AT43,AY39&lt;=AT44),((AS44-AS43)/(AT44-AT43))*(AX43-AT43)+AS43,IF(AND(AY39&gt;AT44,AY39&lt;=AT45),((AS45-AS44)/(AT45-AT44))*(AX44-AT44)+AS44,""))))</f>
        <v>13.625229438618925</v>
      </c>
      <c r="AZ45" s="39">
        <f>IF(ISNUMBER(AX45),AY45-AX45,"")</f>
        <v>1.9083486292412744E-2</v>
      </c>
      <c r="BA45" s="40">
        <f>IF(AND(AY39&lt;=AT42,AY39&gt;=AT41),((AU42-AU41)/(AS42-AS41))*(AX41-AS41)+AU41,IF(AND(AY39&gt;AT42,AY39&lt;=AT43),((AU43-AU42)/(AS43-AS42))*(AX42-AS42)+AU42,IF(AND(AY39&gt;AT43,AY39&lt;=AT44),((AU44-AU43)/(AS44-AS43))*(AX43-AS43)+AU43,IF(AND(AY39&gt;AT44,AY39&lt;=AT45),((AU45-AU44)/(AS45-AS44))*(AX44-AS44)+AU44,""))))</f>
        <v>0.12</v>
      </c>
    </row>
    <row r="46" spans="1:59" x14ac:dyDescent="0.2">
      <c r="A46" s="407">
        <v>38</v>
      </c>
      <c r="B46" s="438">
        <v>27.033000000000001</v>
      </c>
      <c r="C46" s="438">
        <v>19.015000000000001</v>
      </c>
      <c r="D46" s="438">
        <v>15.308999999999999</v>
      </c>
      <c r="E46" s="438">
        <v>13.567</v>
      </c>
      <c r="F46" s="438">
        <v>27.033000000000001</v>
      </c>
      <c r="G46" s="438">
        <v>19.015000000000001</v>
      </c>
      <c r="H46" s="438">
        <v>29.085999999999999</v>
      </c>
      <c r="I46" s="438">
        <v>19.018999999999998</v>
      </c>
      <c r="J46" s="11"/>
      <c r="L46" s="25">
        <v>0</v>
      </c>
      <c r="M46" s="26">
        <v>0.01</v>
      </c>
      <c r="N46" s="27">
        <v>0.12</v>
      </c>
      <c r="O46" s="16"/>
      <c r="Q46" s="348">
        <f t="shared" si="0"/>
        <v>26.973416060854092</v>
      </c>
      <c r="R46" s="348">
        <f t="shared" si="1"/>
        <v>18.983667223610066</v>
      </c>
      <c r="S46" s="348">
        <f t="shared" si="2"/>
        <v>15.148914765375078</v>
      </c>
      <c r="T46" s="348">
        <f t="shared" si="3"/>
        <v>13.585995884536159</v>
      </c>
      <c r="U46" s="348">
        <f t="shared" si="4"/>
        <v>26.973416060854092</v>
      </c>
      <c r="V46" s="348">
        <f t="shared" si="5"/>
        <v>18.968732595270723</v>
      </c>
      <c r="W46" s="348">
        <f t="shared" si="6"/>
        <v>28.883263337290089</v>
      </c>
      <c r="X46" s="348">
        <f t="shared" si="7"/>
        <v>18.915628126448702</v>
      </c>
      <c r="AS46" s="770"/>
      <c r="AT46" s="770"/>
      <c r="AU46" s="770"/>
      <c r="AV46" s="770"/>
      <c r="AW46" s="770"/>
      <c r="AX46" s="770"/>
      <c r="AY46" s="770"/>
      <c r="AZ46" s="770"/>
      <c r="BA46" s="770"/>
    </row>
    <row r="47" spans="1:59" ht="18.75" thickBot="1" x14ac:dyDescent="0.25">
      <c r="A47" s="407">
        <v>39</v>
      </c>
      <c r="B47" s="438">
        <v>27.042000000000002</v>
      </c>
      <c r="C47" s="438">
        <v>19.015000000000001</v>
      </c>
      <c r="D47" s="438">
        <v>15.313000000000001</v>
      </c>
      <c r="E47" s="438">
        <v>13.57</v>
      </c>
      <c r="F47" s="438">
        <v>27.042000000000002</v>
      </c>
      <c r="G47" s="438">
        <v>19.015000000000001</v>
      </c>
      <c r="H47" s="438">
        <v>29.088999999999999</v>
      </c>
      <c r="I47" s="438">
        <v>19.016999999999999</v>
      </c>
      <c r="J47" s="11"/>
      <c r="L47" s="25">
        <v>15</v>
      </c>
      <c r="M47" s="26">
        <v>15.02</v>
      </c>
      <c r="N47" s="27">
        <v>0.12</v>
      </c>
      <c r="O47" s="16"/>
      <c r="Q47" s="348">
        <f t="shared" si="0"/>
        <v>26.982370335375013</v>
      </c>
      <c r="R47" s="348">
        <f t="shared" si="1"/>
        <v>18.983667223610066</v>
      </c>
      <c r="S47" s="348">
        <f t="shared" si="2"/>
        <v>15.152912756350286</v>
      </c>
      <c r="T47" s="348">
        <f t="shared" si="3"/>
        <v>13.588998201873785</v>
      </c>
      <c r="U47" s="348">
        <f t="shared" si="4"/>
        <v>26.982370335375013</v>
      </c>
      <c r="V47" s="348">
        <f t="shared" si="5"/>
        <v>18.968732595270723</v>
      </c>
      <c r="W47" s="348">
        <f t="shared" si="6"/>
        <v>28.886253362184423</v>
      </c>
      <c r="X47" s="348">
        <f t="shared" si="7"/>
        <v>18.913638954042955</v>
      </c>
      <c r="AS47" s="771"/>
      <c r="AT47" s="771"/>
      <c r="AU47" s="771"/>
      <c r="AV47" s="771"/>
      <c r="AW47" s="771"/>
      <c r="AX47" s="771"/>
      <c r="AY47" s="771"/>
      <c r="AZ47" s="771"/>
      <c r="BA47" s="771"/>
    </row>
    <row r="48" spans="1:59" ht="13.5" thickBot="1" x14ac:dyDescent="0.25">
      <c r="A48" s="407">
        <v>40</v>
      </c>
      <c r="B48" s="438">
        <v>27.030999999999999</v>
      </c>
      <c r="C48" s="438">
        <v>19.018000000000001</v>
      </c>
      <c r="D48" s="438">
        <v>15.307</v>
      </c>
      <c r="E48" s="438">
        <v>13.568</v>
      </c>
      <c r="F48" s="438">
        <v>27.030999999999999</v>
      </c>
      <c r="G48" s="438">
        <v>19.018000000000001</v>
      </c>
      <c r="H48" s="438">
        <v>29.087</v>
      </c>
      <c r="I48" s="438">
        <v>19.021000000000001</v>
      </c>
      <c r="J48" s="11"/>
      <c r="L48" s="25">
        <v>25</v>
      </c>
      <c r="M48" s="26">
        <v>25.05</v>
      </c>
      <c r="N48" s="27">
        <v>0.12</v>
      </c>
      <c r="O48" s="16"/>
      <c r="Q48" s="348">
        <f t="shared" si="0"/>
        <v>26.97142621953309</v>
      </c>
      <c r="R48" s="348">
        <f t="shared" si="1"/>
        <v>18.98668560668068</v>
      </c>
      <c r="S48" s="348">
        <f t="shared" si="2"/>
        <v>15.146915775319799</v>
      </c>
      <c r="T48" s="348">
        <f t="shared" si="3"/>
        <v>13.586996657062775</v>
      </c>
      <c r="U48" s="348">
        <f t="shared" si="4"/>
        <v>26.97142621953309</v>
      </c>
      <c r="V48" s="348">
        <f t="shared" si="5"/>
        <v>18.971736385886537</v>
      </c>
      <c r="W48" s="348">
        <f t="shared" si="6"/>
        <v>28.884260009664477</v>
      </c>
      <c r="X48" s="348">
        <f t="shared" si="7"/>
        <v>18.91761730004588</v>
      </c>
      <c r="AS48" s="760" t="s">
        <v>58</v>
      </c>
      <c r="AT48" s="761"/>
      <c r="AU48" s="762"/>
      <c r="AV48" s="16"/>
      <c r="AW48" s="763" t="s">
        <v>42</v>
      </c>
      <c r="AX48" s="769"/>
      <c r="AY48" s="17">
        <f>IF(Resumo!$F$9="Software",AH13,Resumo!Q28)</f>
        <v>26.95430545316357</v>
      </c>
      <c r="AZ48" s="18"/>
      <c r="BA48" s="18"/>
    </row>
    <row r="49" spans="1:53" x14ac:dyDescent="0.2">
      <c r="A49" s="407">
        <v>41</v>
      </c>
      <c r="B49" s="438">
        <v>27.032</v>
      </c>
      <c r="C49" s="438">
        <v>19.018999999999998</v>
      </c>
      <c r="D49" s="438">
        <v>15.308</v>
      </c>
      <c r="E49" s="438">
        <v>13.565</v>
      </c>
      <c r="F49" s="438">
        <v>27.032</v>
      </c>
      <c r="G49" s="438">
        <v>19.018999999999998</v>
      </c>
      <c r="H49" s="438">
        <v>29.082999999999998</v>
      </c>
      <c r="I49" s="438">
        <v>19.018999999999998</v>
      </c>
      <c r="J49" s="11"/>
      <c r="L49" s="25">
        <v>40</v>
      </c>
      <c r="M49" s="26">
        <v>40.130000000000003</v>
      </c>
      <c r="N49" s="27">
        <v>0.12</v>
      </c>
      <c r="O49" s="16"/>
      <c r="Q49" s="348">
        <f t="shared" si="0"/>
        <v>26.972421140309027</v>
      </c>
      <c r="R49" s="348">
        <f t="shared" si="1"/>
        <v>18.987691732949568</v>
      </c>
      <c r="S49" s="348">
        <f t="shared" si="2"/>
        <v>15.147915269894629</v>
      </c>
      <c r="T49" s="348">
        <f t="shared" si="3"/>
        <v>13.583994339240775</v>
      </c>
      <c r="U49" s="348">
        <f t="shared" si="4"/>
        <v>26.972421140309027</v>
      </c>
      <c r="V49" s="348">
        <f t="shared" si="5"/>
        <v>18.97273764953043</v>
      </c>
      <c r="W49" s="348">
        <f t="shared" si="6"/>
        <v>28.880273335709564</v>
      </c>
      <c r="X49" s="348">
        <f t="shared" si="7"/>
        <v>18.915628126448702</v>
      </c>
      <c r="AS49" s="19" t="s">
        <v>47</v>
      </c>
      <c r="AT49" s="20" t="s">
        <v>48</v>
      </c>
      <c r="AU49" s="21" t="s">
        <v>49</v>
      </c>
      <c r="AV49" s="16"/>
      <c r="AW49" s="22"/>
      <c r="AX49" s="23" t="s">
        <v>43</v>
      </c>
      <c r="AY49" s="23" t="s">
        <v>44</v>
      </c>
      <c r="AZ49" s="23" t="s">
        <v>45</v>
      </c>
      <c r="BA49" s="24" t="s">
        <v>46</v>
      </c>
    </row>
    <row r="50" spans="1:53" ht="13.5" thickBot="1" x14ac:dyDescent="0.25">
      <c r="A50" s="407">
        <v>42</v>
      </c>
      <c r="B50" s="438">
        <v>27.03</v>
      </c>
      <c r="C50" s="438">
        <v>19.02</v>
      </c>
      <c r="D50" s="438">
        <v>15.305999999999999</v>
      </c>
      <c r="E50" s="438">
        <v>13.566000000000001</v>
      </c>
      <c r="F50" s="438">
        <v>27.03</v>
      </c>
      <c r="G50" s="438">
        <v>19.02</v>
      </c>
      <c r="H50" s="438">
        <v>29.084</v>
      </c>
      <c r="I50" s="438">
        <v>19.018000000000001</v>
      </c>
      <c r="J50" s="11"/>
      <c r="L50" s="31">
        <v>50</v>
      </c>
      <c r="M50" s="32">
        <v>50.13</v>
      </c>
      <c r="N50" s="33">
        <v>0.12</v>
      </c>
      <c r="O50" s="16"/>
      <c r="Q50" s="348">
        <f t="shared" si="0"/>
        <v>26.970431298526247</v>
      </c>
      <c r="R50" s="348">
        <f t="shared" si="1"/>
        <v>18.988697858507646</v>
      </c>
      <c r="S50" s="348">
        <f t="shared" si="2"/>
        <v>15.145916281650727</v>
      </c>
      <c r="T50" s="348">
        <f t="shared" si="3"/>
        <v>13.584995111928821</v>
      </c>
      <c r="U50" s="348">
        <f t="shared" si="4"/>
        <v>26.970431298526247</v>
      </c>
      <c r="V50" s="348">
        <f t="shared" si="5"/>
        <v>18.973738913226835</v>
      </c>
      <c r="W50" s="348">
        <f t="shared" si="6"/>
        <v>28.881270000312615</v>
      </c>
      <c r="X50" s="348">
        <f t="shared" si="7"/>
        <v>18.914633540096915</v>
      </c>
      <c r="AS50" s="25">
        <f t="shared" ref="AS50:AU54" si="12">L46</f>
        <v>0</v>
      </c>
      <c r="AT50" s="25">
        <f t="shared" si="12"/>
        <v>0.01</v>
      </c>
      <c r="AU50" s="192">
        <f t="shared" si="12"/>
        <v>0.12</v>
      </c>
      <c r="AV50" s="16"/>
      <c r="AW50" s="29" t="str">
        <f>CONCATENATE("Entre ",AS50,"°C  e ",AS51,"°C ")</f>
        <v xml:space="preserve">Entre 0°C  e 15°C </v>
      </c>
      <c r="AX50" s="28" t="str">
        <f>IF(AND(AY48&lt;=AT51,AY48&gt;=AT50),AY48,"")</f>
        <v/>
      </c>
      <c r="AY50" s="14" t="str">
        <f>IF(ISNUMBER(AX50),((AS51-AS50)/(AT51-AT50))*(AX50-AT50)+AS50,"")</f>
        <v/>
      </c>
      <c r="AZ50" s="14" t="str">
        <f>IF(ISNUMBER(AX50),AY50-AX50,"")</f>
        <v/>
      </c>
      <c r="BA50" s="30" t="str">
        <f>IF(ISNUMBER(AX50),((AU51-AU50)/(AS51-AS50))*(AX50-AS50)+AU50,"")</f>
        <v/>
      </c>
    </row>
    <row r="51" spans="1:53" ht="13.5" thickBot="1" x14ac:dyDescent="0.25">
      <c r="A51" s="407">
        <v>43</v>
      </c>
      <c r="B51" s="438">
        <v>27.04</v>
      </c>
      <c r="C51" s="438">
        <v>19.023</v>
      </c>
      <c r="D51" s="438">
        <v>15.308</v>
      </c>
      <c r="E51" s="438">
        <v>13.566000000000001</v>
      </c>
      <c r="F51" s="438">
        <v>27.04</v>
      </c>
      <c r="G51" s="438">
        <v>19.023</v>
      </c>
      <c r="H51" s="438">
        <v>29.081</v>
      </c>
      <c r="I51" s="438">
        <v>19.015999999999998</v>
      </c>
      <c r="J51" s="11"/>
      <c r="Q51" s="348">
        <f t="shared" si="0"/>
        <v>26.980380498207431</v>
      </c>
      <c r="R51" s="348">
        <f t="shared" si="1"/>
        <v>18.99171623091604</v>
      </c>
      <c r="S51" s="348">
        <f t="shared" si="2"/>
        <v>15.147915269894629</v>
      </c>
      <c r="T51" s="348">
        <f t="shared" si="3"/>
        <v>13.584995111928821</v>
      </c>
      <c r="U51" s="348">
        <f t="shared" si="4"/>
        <v>26.980380498207431</v>
      </c>
      <c r="V51" s="348">
        <f t="shared" si="5"/>
        <v>18.976742704630418</v>
      </c>
      <c r="W51" s="348">
        <f t="shared" si="6"/>
        <v>28.878280014274939</v>
      </c>
      <c r="X51" s="348">
        <f t="shared" si="7"/>
        <v>18.912644368286809</v>
      </c>
      <c r="AS51" s="25">
        <f t="shared" si="12"/>
        <v>15</v>
      </c>
      <c r="AT51" s="25">
        <f t="shared" si="12"/>
        <v>15.02</v>
      </c>
      <c r="AU51" s="192">
        <f t="shared" si="12"/>
        <v>0.12</v>
      </c>
      <c r="AV51" s="16"/>
      <c r="AW51" s="29" t="str">
        <f>CONCATENATE("Entre ",AS51,"°C  e ",AS52,"°C ")</f>
        <v xml:space="preserve">Entre 15°C  e 25°C </v>
      </c>
      <c r="AX51" s="28" t="str">
        <f>IF(AND(AY48&gt;AT51,AY48&lt;=AT52),AY48,"")</f>
        <v/>
      </c>
      <c r="AY51" s="14" t="str">
        <f>IF(ISNUMBER(AX51),((AS52-AS51)/(AT52-AT51))*(AX51-AT51)+AS51,"")</f>
        <v/>
      </c>
      <c r="AZ51" s="14" t="str">
        <f>IF(ISNUMBER(AX51),AY51-AX51,"")</f>
        <v/>
      </c>
      <c r="BA51" s="30" t="str">
        <f>IF(ISNUMBER(AX51),((AU52-AU51)/(AS52-AS51))*(AX51-AS51)+AU51,"")</f>
        <v/>
      </c>
    </row>
    <row r="52" spans="1:53" x14ac:dyDescent="0.2">
      <c r="A52" s="407">
        <v>44</v>
      </c>
      <c r="B52" s="437">
        <v>27.032</v>
      </c>
      <c r="C52" s="438">
        <v>19.024000000000001</v>
      </c>
      <c r="D52" s="438">
        <v>15.307</v>
      </c>
      <c r="E52" s="438">
        <v>13.566000000000001</v>
      </c>
      <c r="F52" s="438">
        <v>27.032</v>
      </c>
      <c r="G52" s="438">
        <v>19.024000000000001</v>
      </c>
      <c r="H52" s="438">
        <v>29.082000000000001</v>
      </c>
      <c r="I52" s="438">
        <v>19.015000000000001</v>
      </c>
      <c r="J52" s="11"/>
      <c r="L52" s="772" t="s">
        <v>59</v>
      </c>
      <c r="M52" s="773"/>
      <c r="N52" s="774"/>
      <c r="O52" s="16"/>
      <c r="Q52" s="348">
        <f t="shared" si="0"/>
        <v>26.972421140309027</v>
      </c>
      <c r="R52" s="348">
        <f t="shared" si="1"/>
        <v>18.992722353629908</v>
      </c>
      <c r="S52" s="348">
        <f t="shared" si="2"/>
        <v>15.146915775319799</v>
      </c>
      <c r="T52" s="348">
        <f t="shared" si="3"/>
        <v>13.584995111928821</v>
      </c>
      <c r="U52" s="348">
        <f t="shared" si="4"/>
        <v>26.972421140309027</v>
      </c>
      <c r="V52" s="348">
        <f t="shared" si="5"/>
        <v>18.977743968536146</v>
      </c>
      <c r="W52" s="348">
        <f t="shared" si="6"/>
        <v>28.879276673696996</v>
      </c>
      <c r="X52" s="348">
        <f t="shared" si="7"/>
        <v>18.911649782828444</v>
      </c>
      <c r="AS52" s="25">
        <f t="shared" si="12"/>
        <v>25</v>
      </c>
      <c r="AT52" s="25">
        <f t="shared" si="12"/>
        <v>25.05</v>
      </c>
      <c r="AU52" s="192">
        <f t="shared" si="12"/>
        <v>0.12</v>
      </c>
      <c r="AV52" s="16"/>
      <c r="AW52" s="29" t="str">
        <f>CONCATENATE("Entre ",AS52,"°C  e ",AS53,"°C ")</f>
        <v xml:space="preserve">Entre 25°C  e 40°C </v>
      </c>
      <c r="AX52" s="28">
        <f>IF(AND(AY48&gt;AT52,AY48&lt;=AT53),AY48,"")</f>
        <v>26.95430545316357</v>
      </c>
      <c r="AY52" s="14">
        <f>IF(ISNUMBER(AX52),((AS53-AS52)/(AT53-AT52))*(AX52-AT52)+AS52,"")</f>
        <v>26.894203036966417</v>
      </c>
      <c r="AZ52" s="14">
        <f>IF(ISNUMBER(AX52),AY52-AX52,"")</f>
        <v>-6.010241619715373E-2</v>
      </c>
      <c r="BA52" s="30">
        <f>IF(ISNUMBER(AX52),((AU53-AU52)/(AS53-AS52))*(AX52-AS52)+AU52,"")</f>
        <v>0.12</v>
      </c>
    </row>
    <row r="53" spans="1:53" x14ac:dyDescent="0.2">
      <c r="A53" s="407">
        <v>45</v>
      </c>
      <c r="B53" s="438">
        <v>27.03</v>
      </c>
      <c r="C53" s="438">
        <v>19.027000000000001</v>
      </c>
      <c r="D53" s="438">
        <v>15.308</v>
      </c>
      <c r="E53" s="438">
        <v>13.568</v>
      </c>
      <c r="F53" s="438">
        <v>27.03</v>
      </c>
      <c r="G53" s="438">
        <v>19.027000000000001</v>
      </c>
      <c r="H53" s="438">
        <v>29.085000000000001</v>
      </c>
      <c r="I53" s="438">
        <v>19.016999999999999</v>
      </c>
      <c r="J53" s="11"/>
      <c r="L53" s="19" t="s">
        <v>47</v>
      </c>
      <c r="M53" s="20" t="s">
        <v>48</v>
      </c>
      <c r="N53" s="21" t="s">
        <v>49</v>
      </c>
      <c r="O53" s="16"/>
      <c r="Q53" s="348">
        <f t="shared" si="0"/>
        <v>26.970431298526247</v>
      </c>
      <c r="R53" s="348">
        <f t="shared" si="1"/>
        <v>18.995740717503388</v>
      </c>
      <c r="S53" s="348">
        <f t="shared" si="2"/>
        <v>15.147915269894629</v>
      </c>
      <c r="T53" s="348">
        <f t="shared" si="3"/>
        <v>13.586996657062775</v>
      </c>
      <c r="U53" s="348">
        <f t="shared" si="4"/>
        <v>26.970431298526247</v>
      </c>
      <c r="V53" s="348">
        <f t="shared" si="5"/>
        <v>18.980747760565887</v>
      </c>
      <c r="W53" s="348">
        <f t="shared" si="6"/>
        <v>28.882266667506133</v>
      </c>
      <c r="X53" s="348">
        <f t="shared" si="7"/>
        <v>18.913638954042955</v>
      </c>
      <c r="AS53" s="25">
        <f t="shared" si="12"/>
        <v>40</v>
      </c>
      <c r="AT53" s="25">
        <f t="shared" si="12"/>
        <v>40.130000000000003</v>
      </c>
      <c r="AU53" s="192">
        <f t="shared" si="12"/>
        <v>0.12</v>
      </c>
      <c r="AV53" s="16"/>
      <c r="AW53" s="29" t="str">
        <f>CONCATENATE("Entre ",AS53,"°C  e ",AS54,"°C ")</f>
        <v xml:space="preserve">Entre 40°C  e 50°C </v>
      </c>
      <c r="AX53" s="28" t="str">
        <f>IF(AND(AY48&gt;AT53,AY48&lt;=AT54),AY48,"")</f>
        <v/>
      </c>
      <c r="AY53" s="14" t="str">
        <f>IF(ISNUMBER(AX53),((AS54-AS53)/(AT54-AT53))*(AX53-AT53)+AS53,"")</f>
        <v/>
      </c>
      <c r="AZ53" s="14" t="str">
        <f>IF(ISNUMBER(AX53),AY53-AX53,"")</f>
        <v/>
      </c>
      <c r="BA53" s="30" t="str">
        <f>IF(ISNUMBER(AX53),((AU54-AU53)/(AS54-AS53))*(AX53-AS53)+AU53,"")</f>
        <v/>
      </c>
    </row>
    <row r="54" spans="1:53" ht="13.5" thickBot="1" x14ac:dyDescent="0.25">
      <c r="A54" s="407">
        <v>46</v>
      </c>
      <c r="B54" s="438">
        <v>27.038</v>
      </c>
      <c r="C54" s="438">
        <v>19.029</v>
      </c>
      <c r="D54" s="438">
        <v>15.307</v>
      </c>
      <c r="E54" s="438">
        <v>13.574</v>
      </c>
      <c r="F54" s="438">
        <v>27.038</v>
      </c>
      <c r="G54" s="438">
        <v>19.029</v>
      </c>
      <c r="H54" s="438">
        <v>29.085000000000001</v>
      </c>
      <c r="I54" s="438">
        <v>19.015000000000001</v>
      </c>
      <c r="J54" s="11"/>
      <c r="L54" s="25">
        <v>0</v>
      </c>
      <c r="M54" s="26">
        <v>-7.0000000000000007E-2</v>
      </c>
      <c r="N54" s="27">
        <v>0.12</v>
      </c>
      <c r="O54" s="16"/>
      <c r="Q54" s="348">
        <f t="shared" si="0"/>
        <v>26.978390660117274</v>
      </c>
      <c r="R54" s="348">
        <f t="shared" si="1"/>
        <v>18.997752956527993</v>
      </c>
      <c r="S54" s="348">
        <f t="shared" si="2"/>
        <v>15.146915775319799</v>
      </c>
      <c r="T54" s="348">
        <f t="shared" si="3"/>
        <v>13.593001290526475</v>
      </c>
      <c r="U54" s="348">
        <f t="shared" si="4"/>
        <v>26.978390660117274</v>
      </c>
      <c r="V54" s="348">
        <f t="shared" si="5"/>
        <v>18.982750288845423</v>
      </c>
      <c r="W54" s="348">
        <f t="shared" si="6"/>
        <v>28.882266667506133</v>
      </c>
      <c r="X54" s="348">
        <f t="shared" si="7"/>
        <v>18.911649782828444</v>
      </c>
      <c r="AS54" s="25">
        <f t="shared" si="12"/>
        <v>50</v>
      </c>
      <c r="AT54" s="25">
        <f t="shared" si="12"/>
        <v>50.13</v>
      </c>
      <c r="AU54" s="192">
        <f t="shared" si="12"/>
        <v>0.12</v>
      </c>
      <c r="AV54" s="16"/>
      <c r="AW54" s="34"/>
      <c r="AX54" s="35">
        <f>IF(AND(AY48&lt;=AT51,AY48&gt;=AT50),AY48,IF(AND(AY48&gt;AT51,AY48&lt;=AT52),AY48,IF(AND(AY48&gt;AT52,AY48&lt;=AT53),AY48,IF(AND(AY48&gt;AT53,AY48&lt;=AT54),AY48,""))))</f>
        <v>26.95430545316357</v>
      </c>
      <c r="AY54" s="35">
        <f>IF(AND(AY48&lt;=AT51,AY48&gt;=AT50),((AS51-AS50)/(AT51-AT50))*(AX50-AT50)+AS50,IF(AND(AY48&gt;AT51,AY48&lt;=AT52),((AS52-AS51)/(AT52-AT51))*(AX51-AT51)+AS51,IF(AND(AY48&gt;AT52,AY48&lt;=AT53),((AS53-AS52)/(AT53-AT52))*(AX52-AT52)+AS52,IF(AND(AY48&gt;AT53,AY48&lt;=AT54),((AS54-AS53)/(AT54-AT53))*(AX53-AT53)+AS53,""))))</f>
        <v>26.894203036966417</v>
      </c>
      <c r="AZ54" s="35">
        <f>IF(ISNUMBER(AX54),AY54-AX54,"")</f>
        <v>-6.010241619715373E-2</v>
      </c>
      <c r="BA54" s="36">
        <f>IF(AND(AY48&lt;=AT51,AY48&gt;=AT50),((AU51-AU50)/(AS51-AS50))*(AX50-AS50)+AU50,IF(AND(AY48&gt;AT51,AY48&lt;=AT52),((AU52-AU51)/(AS52-AS51))*(AX51-AS51)+AU51,IF(AND(AY48&gt;AT52,AY48&lt;=AT53),((AU53-AU52)/(AS53-AS52))*(AX52-AS52)+AU52,IF(AND(AY48&gt;AT53,AY48&lt;=AT54),((AU54-AU53)/(AS54-AS53))*(AX53-AS53)+AU53,""))))</f>
        <v>0.12</v>
      </c>
    </row>
    <row r="55" spans="1:53" x14ac:dyDescent="0.2">
      <c r="A55" s="407">
        <v>47</v>
      </c>
      <c r="B55" s="438">
        <v>27.038</v>
      </c>
      <c r="C55" s="438">
        <v>19.03</v>
      </c>
      <c r="D55" s="438">
        <v>15.31</v>
      </c>
      <c r="E55" s="438">
        <v>13.577</v>
      </c>
      <c r="F55" s="438">
        <v>27.038</v>
      </c>
      <c r="G55" s="438">
        <v>19.03</v>
      </c>
      <c r="H55" s="438">
        <v>29.088000000000001</v>
      </c>
      <c r="I55" s="438">
        <v>19.018999999999998</v>
      </c>
      <c r="J55" s="11"/>
      <c r="L55" s="25">
        <v>15</v>
      </c>
      <c r="M55" s="26">
        <v>15.05</v>
      </c>
      <c r="N55" s="27">
        <v>0.12</v>
      </c>
      <c r="O55" s="16"/>
      <c r="Q55" s="348">
        <f t="shared" si="0"/>
        <v>26.978390660117274</v>
      </c>
      <c r="R55" s="348">
        <f t="shared" si="1"/>
        <v>18.998759074972693</v>
      </c>
      <c r="S55" s="348">
        <f t="shared" si="2"/>
        <v>15.149914261761012</v>
      </c>
      <c r="T55" s="348">
        <f t="shared" si="3"/>
        <v>13.596003606167343</v>
      </c>
      <c r="U55" s="348">
        <f t="shared" si="4"/>
        <v>26.978390660117274</v>
      </c>
      <c r="V55" s="348">
        <f t="shared" si="5"/>
        <v>18.983751553062881</v>
      </c>
      <c r="W55" s="348">
        <f t="shared" si="6"/>
        <v>28.885256684629262</v>
      </c>
      <c r="X55" s="348">
        <f t="shared" si="7"/>
        <v>18.915628126448702</v>
      </c>
      <c r="AS55" s="759"/>
      <c r="AT55" s="759"/>
      <c r="AU55" s="759"/>
      <c r="AV55" s="759"/>
      <c r="AW55" s="759"/>
      <c r="AX55" s="759"/>
      <c r="AY55" s="759"/>
      <c r="AZ55" s="759"/>
      <c r="BA55" s="759"/>
    </row>
    <row r="56" spans="1:53" ht="13.5" thickBot="1" x14ac:dyDescent="0.25">
      <c r="A56" s="407">
        <v>48</v>
      </c>
      <c r="B56" s="438">
        <v>27.030999999999999</v>
      </c>
      <c r="C56" s="438">
        <v>19.033999999999999</v>
      </c>
      <c r="D56" s="438">
        <v>15.31</v>
      </c>
      <c r="E56" s="438">
        <v>13.576000000000001</v>
      </c>
      <c r="F56" s="438">
        <v>27.030999999999999</v>
      </c>
      <c r="G56" s="438">
        <v>19.033999999999999</v>
      </c>
      <c r="H56" s="438">
        <v>29.085000000000001</v>
      </c>
      <c r="I56" s="438">
        <v>19.02</v>
      </c>
      <c r="J56" s="11"/>
      <c r="L56" s="25">
        <v>25</v>
      </c>
      <c r="M56" s="26">
        <v>25.04</v>
      </c>
      <c r="N56" s="27">
        <v>0.12</v>
      </c>
      <c r="O56" s="16"/>
      <c r="Q56" s="348">
        <f t="shared" si="0"/>
        <v>26.97142621953309</v>
      </c>
      <c r="R56" s="348">
        <f t="shared" si="1"/>
        <v>19.002783541631942</v>
      </c>
      <c r="S56" s="348">
        <f t="shared" si="2"/>
        <v>15.149914261761012</v>
      </c>
      <c r="T56" s="348">
        <f t="shared" si="3"/>
        <v>13.595002834367909</v>
      </c>
      <c r="U56" s="348">
        <f t="shared" si="4"/>
        <v>26.97142621953309</v>
      </c>
      <c r="V56" s="348">
        <f t="shared" si="5"/>
        <v>18.987756610448876</v>
      </c>
      <c r="W56" s="348">
        <f t="shared" si="6"/>
        <v>28.882266667506133</v>
      </c>
      <c r="X56" s="348">
        <f t="shared" si="7"/>
        <v>18.916622713098349</v>
      </c>
      <c r="AS56" s="759"/>
      <c r="AT56" s="759"/>
      <c r="AU56" s="759"/>
      <c r="AV56" s="759"/>
      <c r="AW56" s="759"/>
      <c r="AX56" s="759"/>
      <c r="AY56" s="759"/>
      <c r="AZ56" s="759"/>
      <c r="BA56" s="759"/>
    </row>
    <row r="57" spans="1:53" ht="13.5" thickBot="1" x14ac:dyDescent="0.25">
      <c r="A57" s="407">
        <v>49</v>
      </c>
      <c r="B57" s="438">
        <v>27.039000000000001</v>
      </c>
      <c r="C57" s="438">
        <v>19.035</v>
      </c>
      <c r="D57" s="438">
        <v>15.311999999999999</v>
      </c>
      <c r="E57" s="438">
        <v>13.577</v>
      </c>
      <c r="F57" s="438">
        <v>27.039000000000001</v>
      </c>
      <c r="G57" s="438">
        <v>19.035</v>
      </c>
      <c r="H57" s="438">
        <v>29.09</v>
      </c>
      <c r="I57" s="438">
        <v>19.018999999999998</v>
      </c>
      <c r="J57" s="11"/>
      <c r="L57" s="25">
        <v>40</v>
      </c>
      <c r="M57" s="26">
        <v>40.06</v>
      </c>
      <c r="N57" s="27">
        <v>0.12</v>
      </c>
      <c r="O57" s="16"/>
      <c r="Q57" s="348">
        <f t="shared" si="0"/>
        <v>26.97938557927769</v>
      </c>
      <c r="R57" s="348">
        <f t="shared" si="1"/>
        <v>19.003789656516393</v>
      </c>
      <c r="S57" s="348">
        <f t="shared" si="2"/>
        <v>15.151913257248752</v>
      </c>
      <c r="T57" s="348">
        <f t="shared" si="3"/>
        <v>13.596003606167343</v>
      </c>
      <c r="U57" s="348">
        <f t="shared" si="4"/>
        <v>26.97938557927769</v>
      </c>
      <c r="V57" s="348">
        <f t="shared" si="5"/>
        <v>18.988757874924048</v>
      </c>
      <c r="W57" s="348">
        <f t="shared" si="6"/>
        <v>28.887250042329956</v>
      </c>
      <c r="X57" s="348">
        <f t="shared" si="7"/>
        <v>18.915628126448702</v>
      </c>
      <c r="AS57" s="760" t="s">
        <v>59</v>
      </c>
      <c r="AT57" s="761"/>
      <c r="AU57" s="762"/>
      <c r="AV57" s="16"/>
      <c r="AW57" s="763" t="s">
        <v>42</v>
      </c>
      <c r="AX57" s="764"/>
      <c r="AY57" s="17">
        <f>IF(Resumo!$F$9="Software",AH14,Resumo!Q29)</f>
        <v>18.991442268960895</v>
      </c>
      <c r="AZ57" s="18"/>
      <c r="BA57" s="18"/>
    </row>
    <row r="58" spans="1:53" ht="13.5" thickBot="1" x14ac:dyDescent="0.25">
      <c r="A58" s="407">
        <v>50</v>
      </c>
      <c r="B58" s="438">
        <v>27.03</v>
      </c>
      <c r="C58" s="437">
        <v>19.038</v>
      </c>
      <c r="D58" s="438">
        <v>15.308999999999999</v>
      </c>
      <c r="E58" s="438">
        <v>13.577</v>
      </c>
      <c r="F58" s="438">
        <v>27.03</v>
      </c>
      <c r="G58" s="438">
        <v>19.038</v>
      </c>
      <c r="H58" s="438">
        <v>29.094000000000001</v>
      </c>
      <c r="I58" s="437">
        <v>19.021999999999998</v>
      </c>
      <c r="J58" s="11"/>
      <c r="L58" s="31">
        <v>50</v>
      </c>
      <c r="M58" s="32">
        <v>50.05</v>
      </c>
      <c r="N58" s="33">
        <v>0.12</v>
      </c>
      <c r="O58" s="16"/>
      <c r="Q58" s="348">
        <f t="shared" si="0"/>
        <v>26.970431298526247</v>
      </c>
      <c r="R58" s="348">
        <f t="shared" si="1"/>
        <v>19.006807996895354</v>
      </c>
      <c r="S58" s="348">
        <f t="shared" si="2"/>
        <v>15.148914765375078</v>
      </c>
      <c r="T58" s="348">
        <f t="shared" si="3"/>
        <v>13.596003606167343</v>
      </c>
      <c r="U58" s="348">
        <f t="shared" si="4"/>
        <v>26.970431298526247</v>
      </c>
      <c r="V58" s="348">
        <f t="shared" si="5"/>
        <v>18.991761668657151</v>
      </c>
      <c r="W58" s="348">
        <f t="shared" si="6"/>
        <v>28.891236788815245</v>
      </c>
      <c r="X58" s="348">
        <f t="shared" si="7"/>
        <v>18.918611887291309</v>
      </c>
      <c r="AS58" s="19" t="s">
        <v>47</v>
      </c>
      <c r="AT58" s="20" t="s">
        <v>48</v>
      </c>
      <c r="AU58" s="21" t="s">
        <v>49</v>
      </c>
      <c r="AV58" s="16"/>
      <c r="AW58" s="22"/>
      <c r="AX58" s="23" t="s">
        <v>43</v>
      </c>
      <c r="AY58" s="23" t="s">
        <v>44</v>
      </c>
      <c r="AZ58" s="23" t="s">
        <v>45</v>
      </c>
      <c r="BA58" s="24" t="s">
        <v>46</v>
      </c>
    </row>
    <row r="59" spans="1:53" ht="13.5" thickBot="1" x14ac:dyDescent="0.25">
      <c r="A59" s="407">
        <v>51</v>
      </c>
      <c r="B59" s="438">
        <v>27.039000000000001</v>
      </c>
      <c r="C59" s="438">
        <v>19.036999999999999</v>
      </c>
      <c r="D59" s="438">
        <v>15.313000000000001</v>
      </c>
      <c r="E59" s="437">
        <v>13.58</v>
      </c>
      <c r="F59" s="438">
        <v>27.039000000000001</v>
      </c>
      <c r="G59" s="438">
        <v>19.036999999999999</v>
      </c>
      <c r="H59" s="438">
        <v>29.096</v>
      </c>
      <c r="I59" s="438">
        <v>19.021999999999998</v>
      </c>
      <c r="J59" s="11"/>
      <c r="Q59" s="348">
        <f t="shared" si="0"/>
        <v>26.97938557927769</v>
      </c>
      <c r="R59" s="348">
        <f t="shared" si="1"/>
        <v>19.005801884148187</v>
      </c>
      <c r="S59" s="348">
        <f t="shared" si="2"/>
        <v>15.152912756350286</v>
      </c>
      <c r="T59" s="348">
        <f t="shared" si="3"/>
        <v>13.599005921080339</v>
      </c>
      <c r="U59" s="348">
        <f t="shared" si="4"/>
        <v>26.97938557927769</v>
      </c>
      <c r="V59" s="348">
        <f t="shared" si="5"/>
        <v>18.990760404028258</v>
      </c>
      <c r="W59" s="348">
        <f t="shared" si="6"/>
        <v>28.893230177599506</v>
      </c>
      <c r="X59" s="348">
        <f t="shared" si="7"/>
        <v>18.918611887291309</v>
      </c>
      <c r="AS59" s="25">
        <f t="shared" ref="AS59:AU63" si="13">L54</f>
        <v>0</v>
      </c>
      <c r="AT59" s="25">
        <f t="shared" si="13"/>
        <v>-7.0000000000000007E-2</v>
      </c>
      <c r="AU59" s="192">
        <f t="shared" si="13"/>
        <v>0.12</v>
      </c>
      <c r="AV59" s="16"/>
      <c r="AW59" s="29" t="str">
        <f>CONCATENATE("Entre ",AS59,"°C  e ",AS60,"°C ")</f>
        <v xml:space="preserve">Entre 0°C  e 15°C </v>
      </c>
      <c r="AX59" s="28" t="str">
        <f>IF(AND(AY57&lt;=AT60,AY57&gt;=AT59),AY57,"")</f>
        <v/>
      </c>
      <c r="AY59" s="14" t="str">
        <f>IF(ISNUMBER(AX59),((AS60-AS59)/(AT60-AT59))*(AX59-AT59)+AS59,"")</f>
        <v/>
      </c>
      <c r="AZ59" s="14" t="str">
        <f>IF(ISNUMBER(AX59),AY59-AX59,"")</f>
        <v/>
      </c>
      <c r="BA59" s="30" t="str">
        <f>IF(ISNUMBER(AX59),((AU60-AU59)/(AS60-AS59))*(AX59-AS59)+AU59,"")</f>
        <v/>
      </c>
    </row>
    <row r="60" spans="1:53" x14ac:dyDescent="0.2">
      <c r="A60" s="407">
        <v>52</v>
      </c>
      <c r="B60" s="438">
        <v>27.04</v>
      </c>
      <c r="C60" s="438">
        <v>19.041</v>
      </c>
      <c r="D60" s="438">
        <v>15.311999999999999</v>
      </c>
      <c r="E60" s="438">
        <v>13.587</v>
      </c>
      <c r="F60" s="438">
        <v>27.04</v>
      </c>
      <c r="G60" s="438">
        <v>19.041</v>
      </c>
      <c r="H60" s="438">
        <v>29.102</v>
      </c>
      <c r="I60" s="438">
        <v>19.021999999999998</v>
      </c>
      <c r="J60" s="11"/>
      <c r="L60" s="772" t="s">
        <v>60</v>
      </c>
      <c r="M60" s="773"/>
      <c r="N60" s="774"/>
      <c r="O60" s="16"/>
      <c r="Q60" s="348">
        <f t="shared" si="0"/>
        <v>26.980380498207431</v>
      </c>
      <c r="R60" s="348">
        <f t="shared" si="1"/>
        <v>19.009826330860736</v>
      </c>
      <c r="S60" s="348">
        <f t="shared" si="2"/>
        <v>15.151913257248752</v>
      </c>
      <c r="T60" s="348">
        <f t="shared" si="3"/>
        <v>13.606011319711039</v>
      </c>
      <c r="U60" s="348">
        <f t="shared" si="4"/>
        <v>26.980380498207431</v>
      </c>
      <c r="V60" s="348">
        <f t="shared" si="5"/>
        <v>18.994765462850093</v>
      </c>
      <c r="W60" s="348">
        <f t="shared" si="6"/>
        <v>28.899210406116683</v>
      </c>
      <c r="X60" s="348">
        <f t="shared" si="7"/>
        <v>18.918611887291309</v>
      </c>
      <c r="AS60" s="25">
        <f t="shared" si="13"/>
        <v>15</v>
      </c>
      <c r="AT60" s="25">
        <f t="shared" si="13"/>
        <v>15.05</v>
      </c>
      <c r="AU60" s="192">
        <f t="shared" si="13"/>
        <v>0.12</v>
      </c>
      <c r="AV60" s="16"/>
      <c r="AW60" s="29" t="str">
        <f>CONCATENATE("Entre ",AS60,"°C  e ",AS61,"°C ")</f>
        <v xml:space="preserve">Entre 15°C  e 25°C </v>
      </c>
      <c r="AX60" s="28">
        <f>IF(AND(AY57&gt;AT60,AY57&lt;=AT61),AY57,"")</f>
        <v>18.991442268960895</v>
      </c>
      <c r="AY60" s="14">
        <f>IF(ISNUMBER(AX60),((AS61-AS60)/(AT61-AT60))*(AX60-AT60)+AS60,"")</f>
        <v>18.945387656617513</v>
      </c>
      <c r="AZ60" s="14">
        <f>IF(ISNUMBER(AX60),AY60-AX60,"")</f>
        <v>-4.6054612343382928E-2</v>
      </c>
      <c r="BA60" s="30">
        <f>IF(ISNUMBER(AX60),((AU61-AU60)/(AS61-AS60))*(AX60-AS60)+AU60,"")</f>
        <v>0.12</v>
      </c>
    </row>
    <row r="61" spans="1:53" x14ac:dyDescent="0.2">
      <c r="A61" s="407">
        <v>53</v>
      </c>
      <c r="B61" s="438">
        <v>27.036000000000001</v>
      </c>
      <c r="C61" s="438">
        <v>19.042999999999999</v>
      </c>
      <c r="D61" s="438">
        <v>15.313000000000001</v>
      </c>
      <c r="E61" s="438">
        <v>13.58</v>
      </c>
      <c r="F61" s="438">
        <v>27.036000000000001</v>
      </c>
      <c r="G61" s="438">
        <v>19.042999999999999</v>
      </c>
      <c r="H61" s="438">
        <v>29.100999999999999</v>
      </c>
      <c r="I61" s="438">
        <v>19.021000000000001</v>
      </c>
      <c r="J61" s="11"/>
      <c r="L61" s="19" t="s">
        <v>47</v>
      </c>
      <c r="M61" s="20" t="s">
        <v>48</v>
      </c>
      <c r="N61" s="21" t="s">
        <v>49</v>
      </c>
      <c r="O61" s="16"/>
      <c r="Q61" s="348">
        <f t="shared" si="0"/>
        <v>26.97640082110431</v>
      </c>
      <c r="R61" s="348">
        <f t="shared" si="1"/>
        <v>19.011838549939959</v>
      </c>
      <c r="S61" s="348">
        <f t="shared" si="2"/>
        <v>15.152912756350286</v>
      </c>
      <c r="T61" s="348">
        <f t="shared" si="3"/>
        <v>13.599005921080339</v>
      </c>
      <c r="U61" s="348">
        <f t="shared" si="4"/>
        <v>26.97640082110431</v>
      </c>
      <c r="V61" s="348">
        <f t="shared" si="5"/>
        <v>18.996767992566518</v>
      </c>
      <c r="W61" s="348">
        <f t="shared" si="6"/>
        <v>28.898213694888486</v>
      </c>
      <c r="X61" s="348">
        <f t="shared" si="7"/>
        <v>18.91761730004588</v>
      </c>
      <c r="AS61" s="25">
        <f t="shared" si="13"/>
        <v>25</v>
      </c>
      <c r="AT61" s="25">
        <f t="shared" si="13"/>
        <v>25.04</v>
      </c>
      <c r="AU61" s="192">
        <f t="shared" si="13"/>
        <v>0.12</v>
      </c>
      <c r="AV61" s="16"/>
      <c r="AW61" s="29" t="str">
        <f>CONCATENATE("Entre ",AS61,"°C  e ",AS62,"°C ")</f>
        <v xml:space="preserve">Entre 25°C  e 40°C </v>
      </c>
      <c r="AX61" s="28" t="str">
        <f>IF(AND(AY57&gt;AT61,AY57&lt;=AT62),AY57,"")</f>
        <v/>
      </c>
      <c r="AY61" s="14" t="str">
        <f>IF(ISNUMBER(AX61),((AS62-AS61)/(AT62-AT61))*(AX61-AT61)+AS61,"")</f>
        <v/>
      </c>
      <c r="AZ61" s="14" t="str">
        <f>IF(ISNUMBER(AX61),AY61-AX61,"")</f>
        <v/>
      </c>
      <c r="BA61" s="30" t="str">
        <f>IF(ISNUMBER(AX61),((AU62-AU61)/(AS62-AS61))*(AX61-AS61)+AU61,"")</f>
        <v/>
      </c>
    </row>
    <row r="62" spans="1:53" x14ac:dyDescent="0.2">
      <c r="A62" s="407">
        <v>54</v>
      </c>
      <c r="B62" s="438">
        <v>27.039000000000001</v>
      </c>
      <c r="C62" s="438">
        <v>19.045000000000002</v>
      </c>
      <c r="D62" s="438">
        <v>15.314</v>
      </c>
      <c r="E62" s="438">
        <v>13.593</v>
      </c>
      <c r="F62" s="438">
        <v>27.039000000000001</v>
      </c>
      <c r="G62" s="438">
        <v>19.045000000000002</v>
      </c>
      <c r="H62" s="438">
        <v>29.102</v>
      </c>
      <c r="I62" s="438">
        <v>19.021999999999998</v>
      </c>
      <c r="J62" s="11"/>
      <c r="L62" s="25">
        <v>0</v>
      </c>
      <c r="M62" s="26">
        <v>0.05</v>
      </c>
      <c r="N62" s="27">
        <v>0.12</v>
      </c>
      <c r="O62" s="16"/>
      <c r="Q62" s="348">
        <f t="shared" si="0"/>
        <v>26.97938557927769</v>
      </c>
      <c r="R62" s="348">
        <f t="shared" si="1"/>
        <v>19.013850766166815</v>
      </c>
      <c r="S62" s="348">
        <f t="shared" si="2"/>
        <v>15.153912256356737</v>
      </c>
      <c r="T62" s="348">
        <f t="shared" si="3"/>
        <v>13.612015943948869</v>
      </c>
      <c r="U62" s="348">
        <f t="shared" si="4"/>
        <v>26.97938557927769</v>
      </c>
      <c r="V62" s="348">
        <f t="shared" si="5"/>
        <v>18.998770522485813</v>
      </c>
      <c r="W62" s="348">
        <f t="shared" si="6"/>
        <v>28.899210406116683</v>
      </c>
      <c r="X62" s="348">
        <f t="shared" si="7"/>
        <v>18.918611887291309</v>
      </c>
      <c r="AS62" s="25">
        <f t="shared" si="13"/>
        <v>40</v>
      </c>
      <c r="AT62" s="25">
        <f t="shared" si="13"/>
        <v>40.06</v>
      </c>
      <c r="AU62" s="192">
        <f t="shared" si="13"/>
        <v>0.12</v>
      </c>
      <c r="AV62" s="16"/>
      <c r="AW62" s="29" t="str">
        <f>CONCATENATE("Entre ",AS62,"°C  e ",AS63,"°C ")</f>
        <v xml:space="preserve">Entre 40°C  e 50°C </v>
      </c>
      <c r="AX62" s="28" t="str">
        <f>IF(AND(AY57&gt;AT62,AY57&lt;=AT63),AY57,"")</f>
        <v/>
      </c>
      <c r="AY62" s="14" t="str">
        <f>IF(ISNUMBER(AX62),((AS63-AS62)/(AT63-AT62))*(AX62-AT62)+AS62,"")</f>
        <v/>
      </c>
      <c r="AZ62" s="14" t="str">
        <f>IF(ISNUMBER(AX62),AY62-AX62,"")</f>
        <v/>
      </c>
      <c r="BA62" s="30" t="str">
        <f>IF(ISNUMBER(AX62),((AU63-AU62)/(AS63-AS62))*(AX62-AS62)+AU62,"")</f>
        <v/>
      </c>
    </row>
    <row r="63" spans="1:53" ht="13.5" thickBot="1" x14ac:dyDescent="0.25">
      <c r="A63" s="407">
        <v>55</v>
      </c>
      <c r="B63" s="438">
        <v>27.04</v>
      </c>
      <c r="C63" s="438">
        <v>19.047000000000001</v>
      </c>
      <c r="D63" s="438">
        <v>15.314</v>
      </c>
      <c r="E63" s="438">
        <v>13.587</v>
      </c>
      <c r="F63" s="438">
        <v>27.04</v>
      </c>
      <c r="G63" s="438">
        <v>19.047000000000001</v>
      </c>
      <c r="H63" s="438">
        <v>29.103000000000002</v>
      </c>
      <c r="I63" s="438">
        <v>19.021999999999998</v>
      </c>
      <c r="J63" s="11"/>
      <c r="L63" s="25">
        <v>15</v>
      </c>
      <c r="M63" s="26">
        <v>14.95</v>
      </c>
      <c r="N63" s="27">
        <v>0.12</v>
      </c>
      <c r="O63" s="16"/>
      <c r="Q63" s="348">
        <f t="shared" si="0"/>
        <v>26.980380498207431</v>
      </c>
      <c r="R63" s="348">
        <f t="shared" si="1"/>
        <v>19.015862979540536</v>
      </c>
      <c r="S63" s="348">
        <f t="shared" si="2"/>
        <v>15.153912256356737</v>
      </c>
      <c r="T63" s="348">
        <f t="shared" si="3"/>
        <v>13.606011319711039</v>
      </c>
      <c r="U63" s="348">
        <f t="shared" si="4"/>
        <v>26.980380498207431</v>
      </c>
      <c r="V63" s="348">
        <f t="shared" si="5"/>
        <v>19.000773052607382</v>
      </c>
      <c r="W63" s="348">
        <f t="shared" si="6"/>
        <v>28.900207119934969</v>
      </c>
      <c r="X63" s="348">
        <f t="shared" si="7"/>
        <v>18.918611887291309</v>
      </c>
      <c r="AS63" s="25">
        <f t="shared" si="13"/>
        <v>50</v>
      </c>
      <c r="AT63" s="25">
        <f t="shared" si="13"/>
        <v>50.05</v>
      </c>
      <c r="AU63" s="192">
        <f t="shared" si="13"/>
        <v>0.12</v>
      </c>
      <c r="AV63" s="16"/>
      <c r="AW63" s="34"/>
      <c r="AX63" s="37">
        <f>IF(AND(AY57&lt;=AT60,AY57&gt;=AT59),AY57,IF(AND(AY57&gt;AT60,AY57&lt;=AT61),AY57,IF(AND(AY57&gt;AT61,AY57&lt;=AT62),AY57,IF(AND(AY57&gt;AT62,AY57&lt;=AT63),AY57,""))))</f>
        <v>18.991442268960895</v>
      </c>
      <c r="AY63" s="37">
        <f>IF(AND(AY57&lt;=AT60,AY57&gt;=AT59),((AS60-AS59)/(AT60-AT59))*(AX59-AT59)+AS59,IF(AND(AY57&gt;AT60,AY57&lt;=AT61),((AS61-AS60)/(AT61-AT60))*(AX60-AT60)+AS60,IF(AND(AY57&gt;AT61,AY57&lt;=AT62),((AS62-AS61)/(AT62-AT61))*(AX61-AT61)+AS61,IF(AND(AY57&gt;AT62,AY57&lt;=AT63),((AS63-AS62)/(AT63-AT62))*(AX62-AT62)+AS62,""))))</f>
        <v>18.945387656617513</v>
      </c>
      <c r="AZ63" s="37">
        <f>IF(ISNUMBER(AX63),AY63-AX63,"")</f>
        <v>-4.6054612343382928E-2</v>
      </c>
      <c r="BA63" s="38">
        <f>IF(AND(AY57&lt;=AT60,AY57&gt;=AT59),((AU60-AU59)/(AS60-AS59))*(AX59-AS59)+AU59,IF(AND(AY57&gt;AT60,AY57&lt;=AT61),((AU61-AU60)/(AS61-AS60))*(AX60-AS60)+AU60,IF(AND(AY57&gt;AT61,AY57&lt;=AT62),((AU62-AU61)/(AS62-AS61))*(AX61-AS61)+AU61,IF(AND(AY57&gt;AT62,AY57&lt;=AT63),((AU63-AU62)/(AS63-AS62))*(AX62-AS62)+AU62,""))))</f>
        <v>0.12</v>
      </c>
    </row>
    <row r="64" spans="1:53" x14ac:dyDescent="0.2">
      <c r="A64" s="407">
        <v>56</v>
      </c>
      <c r="B64" s="438">
        <v>27.041</v>
      </c>
      <c r="C64" s="438">
        <v>19.050999999999998</v>
      </c>
      <c r="D64" s="438">
        <v>15.318</v>
      </c>
      <c r="E64" s="438">
        <v>13.596</v>
      </c>
      <c r="F64" s="438">
        <v>27.041</v>
      </c>
      <c r="G64" s="438">
        <v>19.050999999999998</v>
      </c>
      <c r="H64" s="438">
        <v>29.102</v>
      </c>
      <c r="I64" s="438">
        <v>19.021999999999998</v>
      </c>
      <c r="J64" s="11"/>
      <c r="L64" s="25">
        <v>25</v>
      </c>
      <c r="M64" s="26">
        <v>25.17</v>
      </c>
      <c r="N64" s="27">
        <v>0.12</v>
      </c>
      <c r="O64" s="16"/>
      <c r="Q64" s="348">
        <f t="shared" si="0"/>
        <v>26.981375416906527</v>
      </c>
      <c r="R64" s="348">
        <f t="shared" si="1"/>
        <v>19.01988739772554</v>
      </c>
      <c r="S64" s="348">
        <f t="shared" si="2"/>
        <v>15.157910265428947</v>
      </c>
      <c r="T64" s="348">
        <f t="shared" si="3"/>
        <v>13.615018254972863</v>
      </c>
      <c r="U64" s="348">
        <f t="shared" si="4"/>
        <v>26.981375416906527</v>
      </c>
      <c r="V64" s="348">
        <f t="shared" si="5"/>
        <v>19.004778113454936</v>
      </c>
      <c r="W64" s="348">
        <f t="shared" si="6"/>
        <v>28.899210406116683</v>
      </c>
      <c r="X64" s="348">
        <f t="shared" si="7"/>
        <v>18.918611887291309</v>
      </c>
      <c r="AS64" s="759"/>
      <c r="AT64" s="759"/>
      <c r="AU64" s="759"/>
      <c r="AV64" s="759"/>
      <c r="AW64" s="759"/>
      <c r="AX64" s="759"/>
      <c r="AY64" s="759"/>
      <c r="AZ64" s="759"/>
      <c r="BA64" s="759"/>
    </row>
    <row r="65" spans="1:53" ht="13.5" thickBot="1" x14ac:dyDescent="0.25">
      <c r="A65" s="407">
        <v>57</v>
      </c>
      <c r="B65" s="438">
        <v>27.038</v>
      </c>
      <c r="C65" s="438">
        <v>19.052</v>
      </c>
      <c r="D65" s="438">
        <v>15.316000000000001</v>
      </c>
      <c r="E65" s="438">
        <v>13.590999999999999</v>
      </c>
      <c r="F65" s="438">
        <v>27.038</v>
      </c>
      <c r="G65" s="438">
        <v>19.052</v>
      </c>
      <c r="H65" s="438">
        <v>29.099</v>
      </c>
      <c r="I65" s="438">
        <v>19.021999999999998</v>
      </c>
      <c r="J65" s="11"/>
      <c r="L65" s="25">
        <v>40</v>
      </c>
      <c r="M65" s="26">
        <v>40.11</v>
      </c>
      <c r="N65" s="27">
        <v>0.12</v>
      </c>
      <c r="O65" s="16"/>
      <c r="Q65" s="348">
        <f t="shared" si="0"/>
        <v>26.978390660117274</v>
      </c>
      <c r="R65" s="348">
        <f t="shared" si="1"/>
        <v>19.0208935004874</v>
      </c>
      <c r="S65" s="348">
        <f t="shared" si="2"/>
        <v>15.155911259083842</v>
      </c>
      <c r="T65" s="348">
        <f t="shared" si="3"/>
        <v>13.610014402860577</v>
      </c>
      <c r="U65" s="348">
        <f t="shared" si="4"/>
        <v>26.978390660117274</v>
      </c>
      <c r="V65" s="348">
        <f t="shared" si="5"/>
        <v>19.005779378792308</v>
      </c>
      <c r="W65" s="348">
        <f t="shared" si="6"/>
        <v>28.896220280202428</v>
      </c>
      <c r="X65" s="348">
        <f t="shared" si="7"/>
        <v>18.918611887291309</v>
      </c>
      <c r="AS65" s="759"/>
      <c r="AT65" s="759"/>
      <c r="AU65" s="759"/>
      <c r="AV65" s="759"/>
      <c r="AW65" s="759"/>
      <c r="AX65" s="759"/>
      <c r="AY65" s="759"/>
      <c r="AZ65" s="759"/>
      <c r="BA65" s="759"/>
    </row>
    <row r="66" spans="1:53" ht="13.5" thickBot="1" x14ac:dyDescent="0.25">
      <c r="A66" s="407">
        <v>58</v>
      </c>
      <c r="B66" s="437">
        <v>27.04</v>
      </c>
      <c r="C66" s="438">
        <v>19.053000000000001</v>
      </c>
      <c r="D66" s="438">
        <v>15.318</v>
      </c>
      <c r="E66" s="438">
        <v>13.596</v>
      </c>
      <c r="F66" s="438">
        <v>27.04</v>
      </c>
      <c r="G66" s="438">
        <v>19.053000000000001</v>
      </c>
      <c r="H66" s="438">
        <v>29.100999999999999</v>
      </c>
      <c r="I66" s="438">
        <v>19.024000000000001</v>
      </c>
      <c r="J66" s="11"/>
      <c r="L66" s="31">
        <v>50</v>
      </c>
      <c r="M66" s="32">
        <v>50.04</v>
      </c>
      <c r="N66" s="33">
        <v>0.12</v>
      </c>
      <c r="O66" s="16"/>
      <c r="Q66" s="348">
        <f t="shared" si="0"/>
        <v>26.980380498207431</v>
      </c>
      <c r="R66" s="348">
        <f t="shared" si="1"/>
        <v>19.021899602535314</v>
      </c>
      <c r="S66" s="348">
        <f t="shared" si="2"/>
        <v>15.157910265428947</v>
      </c>
      <c r="T66" s="348">
        <f t="shared" si="3"/>
        <v>13.615018254972863</v>
      </c>
      <c r="U66" s="348">
        <f t="shared" si="4"/>
        <v>26.980380498207431</v>
      </c>
      <c r="V66" s="348">
        <f t="shared" si="5"/>
        <v>19.006780644179731</v>
      </c>
      <c r="W66" s="348">
        <f t="shared" si="6"/>
        <v>28.898213694888486</v>
      </c>
      <c r="X66" s="348">
        <f t="shared" si="7"/>
        <v>18.920601062676003</v>
      </c>
      <c r="AS66" s="760" t="s">
        <v>60</v>
      </c>
      <c r="AT66" s="761"/>
      <c r="AU66" s="762"/>
      <c r="AV66" s="16"/>
      <c r="AW66" s="765" t="s">
        <v>42</v>
      </c>
      <c r="AX66" s="766"/>
      <c r="AY66" s="17">
        <f>IF(Resumo!$F$9="Software",AH15,Resumo!Q30)</f>
        <v>28.910154857443221</v>
      </c>
      <c r="AZ66" s="18"/>
      <c r="BA66" s="18"/>
    </row>
    <row r="67" spans="1:53" ht="13.5" thickBot="1" x14ac:dyDescent="0.25">
      <c r="A67" s="407">
        <v>59</v>
      </c>
      <c r="B67" s="438">
        <v>27.033000000000001</v>
      </c>
      <c r="C67" s="438">
        <v>19.053999999999998</v>
      </c>
      <c r="D67" s="438">
        <v>15.317</v>
      </c>
      <c r="E67" s="438">
        <v>13.593</v>
      </c>
      <c r="F67" s="438">
        <v>27.033000000000001</v>
      </c>
      <c r="G67" s="438">
        <v>19.053999999999998</v>
      </c>
      <c r="H67" s="438">
        <v>29.103000000000002</v>
      </c>
      <c r="I67" s="438">
        <v>19.024999999999999</v>
      </c>
      <c r="J67" s="11"/>
      <c r="Q67" s="348">
        <f t="shared" si="0"/>
        <v>26.973416060854092</v>
      </c>
      <c r="R67" s="348">
        <f t="shared" si="1"/>
        <v>19.022905703869188</v>
      </c>
      <c r="S67" s="348">
        <f t="shared" si="2"/>
        <v>15.156910761804214</v>
      </c>
      <c r="T67" s="348">
        <f t="shared" si="3"/>
        <v>13.612015943948869</v>
      </c>
      <c r="U67" s="348">
        <f t="shared" si="4"/>
        <v>26.973416060854092</v>
      </c>
      <c r="V67" s="348">
        <f t="shared" si="5"/>
        <v>19.007781909617115</v>
      </c>
      <c r="W67" s="348">
        <f t="shared" si="6"/>
        <v>28.900207119934969</v>
      </c>
      <c r="X67" s="348">
        <f t="shared" si="7"/>
        <v>18.921595650815298</v>
      </c>
      <c r="AS67" s="19" t="s">
        <v>47</v>
      </c>
      <c r="AT67" s="20" t="s">
        <v>48</v>
      </c>
      <c r="AU67" s="21" t="s">
        <v>49</v>
      </c>
      <c r="AV67" s="16"/>
      <c r="AW67" s="22"/>
      <c r="AX67" s="23" t="s">
        <v>43</v>
      </c>
      <c r="AY67" s="23" t="s">
        <v>44</v>
      </c>
      <c r="AZ67" s="23" t="s">
        <v>45</v>
      </c>
      <c r="BA67" s="24" t="s">
        <v>46</v>
      </c>
    </row>
    <row r="68" spans="1:53" x14ac:dyDescent="0.2">
      <c r="A68" s="407">
        <v>60</v>
      </c>
      <c r="B68" s="438">
        <v>27.04</v>
      </c>
      <c r="C68" s="438">
        <v>19.056000000000001</v>
      </c>
      <c r="D68" s="438">
        <v>15.321</v>
      </c>
      <c r="E68" s="438">
        <v>13.6</v>
      </c>
      <c r="F68" s="438">
        <v>27.04</v>
      </c>
      <c r="G68" s="438">
        <v>19.056000000000001</v>
      </c>
      <c r="H68" s="438">
        <v>29.103000000000002</v>
      </c>
      <c r="I68" s="438">
        <v>19.023</v>
      </c>
      <c r="J68" s="11"/>
      <c r="L68" s="772" t="s">
        <v>61</v>
      </c>
      <c r="M68" s="773"/>
      <c r="N68" s="774"/>
      <c r="O68" s="16"/>
      <c r="Q68" s="348">
        <f t="shared" si="0"/>
        <v>26.980380498207431</v>
      </c>
      <c r="R68" s="348">
        <f t="shared" si="1"/>
        <v>19.024917904394435</v>
      </c>
      <c r="S68" s="348">
        <f t="shared" si="2"/>
        <v>15.160908781727908</v>
      </c>
      <c r="T68" s="348">
        <f t="shared" si="3"/>
        <v>13.619021335201786</v>
      </c>
      <c r="U68" s="348">
        <f t="shared" si="4"/>
        <v>26.980380498207431</v>
      </c>
      <c r="V68" s="348">
        <f t="shared" si="5"/>
        <v>19.0097844406415</v>
      </c>
      <c r="W68" s="348">
        <f t="shared" si="6"/>
        <v>28.900207119934969</v>
      </c>
      <c r="X68" s="348">
        <f t="shared" si="7"/>
        <v>18.919606474834676</v>
      </c>
      <c r="AS68" s="25">
        <f t="shared" ref="AS68:AU72" si="14">L62</f>
        <v>0</v>
      </c>
      <c r="AT68" s="25">
        <f t="shared" si="14"/>
        <v>0.05</v>
      </c>
      <c r="AU68" s="192">
        <f t="shared" si="14"/>
        <v>0.12</v>
      </c>
      <c r="AV68" s="16"/>
      <c r="AW68" s="29" t="str">
        <f>CONCATENATE("Entre ",AS68,"°C  e ",AS69,"°C ")</f>
        <v xml:space="preserve">Entre 0°C  e 15°C </v>
      </c>
      <c r="AX68" s="28" t="str">
        <f>IF(AND(AY66&lt;=AT69,AY66&gt;=AT68),AY66,"")</f>
        <v/>
      </c>
      <c r="AY68" s="14" t="str">
        <f>IF(ISNUMBER(AX68),((AS69-AS68)/(AT69-AT68))*(AX68-AT68)+AS68,"")</f>
        <v/>
      </c>
      <c r="AZ68" s="14" t="str">
        <f>IF(ISNUMBER(AX68),AY68-AX68,"")</f>
        <v/>
      </c>
      <c r="BA68" s="30" t="str">
        <f>IF(ISNUMBER(AX68),((AU69-AU68)/(AS69-AS68))*(AX68-AS68)+AU68,"")</f>
        <v/>
      </c>
    </row>
    <row r="69" spans="1:53" x14ac:dyDescent="0.2">
      <c r="A69" s="407">
        <v>61</v>
      </c>
      <c r="B69" s="438">
        <v>27.036999999999999</v>
      </c>
      <c r="C69" s="438">
        <v>19.055</v>
      </c>
      <c r="D69" s="438">
        <v>15.321</v>
      </c>
      <c r="E69" s="438">
        <v>13.597</v>
      </c>
      <c r="F69" s="438">
        <v>27.036999999999999</v>
      </c>
      <c r="G69" s="438">
        <v>19.055</v>
      </c>
      <c r="H69" s="438">
        <v>29.106000000000002</v>
      </c>
      <c r="I69" s="438">
        <v>19.024000000000001</v>
      </c>
      <c r="J69" s="11"/>
      <c r="L69" s="19" t="s">
        <v>47</v>
      </c>
      <c r="M69" s="20" t="s">
        <v>48</v>
      </c>
      <c r="N69" s="21" t="s">
        <v>49</v>
      </c>
      <c r="O69" s="16"/>
      <c r="Q69" s="348">
        <f t="shared" si="0"/>
        <v>26.977395740726159</v>
      </c>
      <c r="R69" s="348">
        <f t="shared" si="1"/>
        <v>19.023911804488925</v>
      </c>
      <c r="S69" s="348">
        <f t="shared" si="2"/>
        <v>15.160908781727908</v>
      </c>
      <c r="T69" s="348">
        <f t="shared" si="3"/>
        <v>13.616019025151882</v>
      </c>
      <c r="U69" s="348">
        <f t="shared" si="4"/>
        <v>26.977395740726159</v>
      </c>
      <c r="V69" s="348">
        <f t="shared" si="5"/>
        <v>19.008783175104398</v>
      </c>
      <c r="W69" s="348">
        <f t="shared" si="6"/>
        <v>28.903197276930097</v>
      </c>
      <c r="X69" s="348">
        <f t="shared" si="7"/>
        <v>18.920601062676003</v>
      </c>
      <c r="AS69" s="25">
        <f t="shared" si="14"/>
        <v>15</v>
      </c>
      <c r="AT69" s="25">
        <f t="shared" si="14"/>
        <v>14.95</v>
      </c>
      <c r="AU69" s="192">
        <f t="shared" si="14"/>
        <v>0.12</v>
      </c>
      <c r="AV69" s="16"/>
      <c r="AW69" s="29" t="str">
        <f>CONCATENATE("Entre ",AS69,"°C  e ",AS70,"°C ")</f>
        <v xml:space="preserve">Entre 15°C  e 25°C </v>
      </c>
      <c r="AX69" s="28" t="str">
        <f>IF(AND(AY66&gt;AT69,AY66&lt;=AT70),AY66,"")</f>
        <v/>
      </c>
      <c r="AY69" s="14" t="str">
        <f>IF(ISNUMBER(AX69),((AS70-AS69)/(AT70-AT69))*(AX69-AT69)+AS69,"")</f>
        <v/>
      </c>
      <c r="AZ69" s="14" t="str">
        <f>IF(ISNUMBER(AX69),AY69-AX69,"")</f>
        <v/>
      </c>
      <c r="BA69" s="30" t="str">
        <f>IF(ISNUMBER(AX69),((AU70-AU69)/(AS70-AS69))*(AX69-AS69)+AU69,"")</f>
        <v/>
      </c>
    </row>
    <row r="70" spans="1:53" x14ac:dyDescent="0.2">
      <c r="A70" s="407">
        <v>62</v>
      </c>
      <c r="B70" s="438">
        <v>27.038</v>
      </c>
      <c r="C70" s="438">
        <v>19.055</v>
      </c>
      <c r="D70" s="438">
        <v>15.32</v>
      </c>
      <c r="E70" s="438">
        <v>13.599</v>
      </c>
      <c r="F70" s="438">
        <v>27.038</v>
      </c>
      <c r="G70" s="437">
        <v>19.055</v>
      </c>
      <c r="H70" s="438">
        <v>29.100999999999999</v>
      </c>
      <c r="I70" s="438">
        <v>19.023</v>
      </c>
      <c r="J70" s="11"/>
      <c r="L70" s="25">
        <v>0</v>
      </c>
      <c r="M70" s="26">
        <v>-0.02</v>
      </c>
      <c r="N70" s="27">
        <v>0.12</v>
      </c>
      <c r="O70" s="16"/>
      <c r="Q70" s="348">
        <f t="shared" si="0"/>
        <v>26.978390660117274</v>
      </c>
      <c r="R70" s="348">
        <f t="shared" si="1"/>
        <v>19.023911804488925</v>
      </c>
      <c r="S70" s="348">
        <f t="shared" si="2"/>
        <v>15.159909275390936</v>
      </c>
      <c r="T70" s="348">
        <f t="shared" si="3"/>
        <v>13.61802056526636</v>
      </c>
      <c r="U70" s="348">
        <f t="shared" si="4"/>
        <v>26.978390660117274</v>
      </c>
      <c r="V70" s="348">
        <f t="shared" si="5"/>
        <v>19.008783175104398</v>
      </c>
      <c r="W70" s="348">
        <f t="shared" si="6"/>
        <v>28.898213694888486</v>
      </c>
      <c r="X70" s="348">
        <f t="shared" si="7"/>
        <v>18.919606474834676</v>
      </c>
      <c r="AS70" s="25">
        <f t="shared" si="14"/>
        <v>25</v>
      </c>
      <c r="AT70" s="25">
        <f t="shared" si="14"/>
        <v>25.17</v>
      </c>
      <c r="AU70" s="192">
        <f t="shared" si="14"/>
        <v>0.12</v>
      </c>
      <c r="AV70" s="16"/>
      <c r="AW70" s="29" t="str">
        <f>CONCATENATE("Entre ",AS70,"°C  e ",AS71,"°C ")</f>
        <v xml:space="preserve">Entre 25°C  e 40°C </v>
      </c>
      <c r="AX70" s="28">
        <f>IF(AND(AY66&gt;AT70,AY66&lt;=AT71),AY66,"")</f>
        <v>28.910154857443221</v>
      </c>
      <c r="AY70" s="14">
        <f>IF(ISNUMBER(AX70),((AS71-AS70)/(AT71-AT70))*(AX70-AT70)+AS70,"")</f>
        <v>28.755175559681948</v>
      </c>
      <c r="AZ70" s="14">
        <f>IF(ISNUMBER(AX70),AY70-AX70,"")</f>
        <v>-0.15497929776127251</v>
      </c>
      <c r="BA70" s="30">
        <f>IF(ISNUMBER(AX70),((AU71-AU70)/(AS71-AS70))*(AX70-AS70)+AU70,"")</f>
        <v>0.12</v>
      </c>
    </row>
    <row r="71" spans="1:53" x14ac:dyDescent="0.2">
      <c r="A71" s="407">
        <v>63</v>
      </c>
      <c r="B71" s="438">
        <v>27.035</v>
      </c>
      <c r="C71" s="438">
        <v>19.053000000000001</v>
      </c>
      <c r="D71" s="438">
        <v>15.321999999999999</v>
      </c>
      <c r="E71" s="438">
        <v>13.597</v>
      </c>
      <c r="F71" s="438">
        <v>27.035</v>
      </c>
      <c r="G71" s="438">
        <v>19.053000000000001</v>
      </c>
      <c r="H71" s="438">
        <v>29.105</v>
      </c>
      <c r="I71" s="438">
        <v>19.024999999999999</v>
      </c>
      <c r="J71" s="11"/>
      <c r="L71" s="25">
        <v>15</v>
      </c>
      <c r="M71" s="26">
        <v>15.08</v>
      </c>
      <c r="N71" s="27">
        <v>0.12</v>
      </c>
      <c r="O71" s="16"/>
      <c r="Q71" s="348">
        <f t="shared" si="0"/>
        <v>26.975405901251705</v>
      </c>
      <c r="R71" s="348">
        <f t="shared" si="1"/>
        <v>19.021899602535314</v>
      </c>
      <c r="S71" s="348">
        <f t="shared" si="2"/>
        <v>15.161908288968682</v>
      </c>
      <c r="T71" s="348">
        <f t="shared" si="3"/>
        <v>13.616019025151882</v>
      </c>
      <c r="U71" s="348">
        <f t="shared" si="4"/>
        <v>26.975405901251705</v>
      </c>
      <c r="V71" s="348">
        <f t="shared" si="5"/>
        <v>19.006780644179731</v>
      </c>
      <c r="W71" s="348">
        <f t="shared" si="6"/>
        <v>28.90220055534169</v>
      </c>
      <c r="X71" s="348">
        <f t="shared" si="7"/>
        <v>18.921595650815298</v>
      </c>
      <c r="AS71" s="25">
        <f t="shared" si="14"/>
        <v>40</v>
      </c>
      <c r="AT71" s="25">
        <f t="shared" si="14"/>
        <v>40.11</v>
      </c>
      <c r="AU71" s="192">
        <f t="shared" si="14"/>
        <v>0.12</v>
      </c>
      <c r="AV71" s="16"/>
      <c r="AW71" s="29" t="str">
        <f>CONCATENATE("Entre ",AS71,"°C  e ",AS72,"°C ")</f>
        <v xml:space="preserve">Entre 40°C  e 50°C </v>
      </c>
      <c r="AX71" s="28" t="str">
        <f>IF(AND(AY66&gt;AT71,AY66&lt;=AT72),AY66,"")</f>
        <v/>
      </c>
      <c r="AY71" s="14" t="str">
        <f>IF(ISNUMBER(AX71),((AS72-AS71)/(AT72-AT71))*(AX71-AT71)+AS71,"")</f>
        <v/>
      </c>
      <c r="AZ71" s="14" t="str">
        <f>IF(ISNUMBER(AX71),AY71-AX71,"")</f>
        <v/>
      </c>
      <c r="BA71" s="30" t="str">
        <f>IF(ISNUMBER(AX71),((AU72-AU71)/(AS72-AS71))*(AX71-AS71)+AU71,"")</f>
        <v/>
      </c>
    </row>
    <row r="72" spans="1:53" ht="13.5" thickBot="1" x14ac:dyDescent="0.25">
      <c r="A72" s="407">
        <v>64</v>
      </c>
      <c r="B72" s="438">
        <v>27.032</v>
      </c>
      <c r="C72" s="437">
        <v>19.05</v>
      </c>
      <c r="D72" s="438">
        <v>15.32</v>
      </c>
      <c r="E72" s="438">
        <v>13.597</v>
      </c>
      <c r="F72" s="437">
        <v>27.032</v>
      </c>
      <c r="G72" s="438">
        <v>19.05</v>
      </c>
      <c r="H72" s="437">
        <v>29.106999999999999</v>
      </c>
      <c r="I72" s="438">
        <v>19.024999999999999</v>
      </c>
      <c r="J72" s="11"/>
      <c r="L72" s="25">
        <v>25</v>
      </c>
      <c r="M72" s="26">
        <v>25.13</v>
      </c>
      <c r="N72" s="27">
        <v>0.12</v>
      </c>
      <c r="O72" s="16"/>
      <c r="Q72" s="348">
        <f t="shared" si="0"/>
        <v>26.972421140309027</v>
      </c>
      <c r="R72" s="348">
        <f t="shared" si="1"/>
        <v>19.01888129424983</v>
      </c>
      <c r="S72" s="348">
        <f t="shared" si="2"/>
        <v>15.159909275390936</v>
      </c>
      <c r="T72" s="348">
        <f t="shared" si="3"/>
        <v>13.616019025151882</v>
      </c>
      <c r="U72" s="348">
        <f t="shared" si="4"/>
        <v>26.972421140309027</v>
      </c>
      <c r="V72" s="348">
        <f t="shared" si="5"/>
        <v>19.003776848167682</v>
      </c>
      <c r="W72" s="348">
        <f t="shared" si="6"/>
        <v>28.904194001108493</v>
      </c>
      <c r="X72" s="348">
        <f t="shared" si="7"/>
        <v>18.921595650815298</v>
      </c>
      <c r="AS72" s="25">
        <f t="shared" si="14"/>
        <v>50</v>
      </c>
      <c r="AT72" s="25">
        <f t="shared" si="14"/>
        <v>50.04</v>
      </c>
      <c r="AU72" s="192">
        <f t="shared" si="14"/>
        <v>0.12</v>
      </c>
      <c r="AV72" s="16"/>
      <c r="AW72" s="34"/>
      <c r="AX72" s="39">
        <f>IF(AND(AY66&lt;=AT69,AY66&gt;=AT68),AY66,IF(AND(AY66&gt;AT69,AY66&lt;=AT70),AY66,IF(AND(AY66&gt;AT70,AY66&lt;=AT71),AY66,IF(AND(AY66&gt;AT71,AY66&lt;=AT72),AY66,""))))</f>
        <v>28.910154857443221</v>
      </c>
      <c r="AY72" s="39">
        <f>IF(AND(AY66&lt;=AT69,AY66&gt;=AT68),((AS69-AS68)/(AT69-AT68))*(AX68-AT68)+AS68,IF(AND(AY66&gt;AT69,AY66&lt;=AT70),((AS70-AS69)/(AT70-AT69))*(AX69-AT69)+AS69,IF(AND(AY66&gt;AT70,AY66&lt;=AT71),((AS71-AS70)/(AT71-AT70))*(AX70-AT70)+AS70,IF(AND(AY66&gt;AT71,AY66&lt;=AT72),((AS72-AS71)/(AT72-AT71))*(AX71-AT71)+AS71,""))))</f>
        <v>28.755175559681948</v>
      </c>
      <c r="AZ72" s="39">
        <f>IF(ISNUMBER(AX72),AY72-AX72,"")</f>
        <v>-0.15497929776127251</v>
      </c>
      <c r="BA72" s="40">
        <f>IF(AND(AY66&lt;=AT69,AY66&gt;=AT68),((AU69-AU68)/(AS69-AS68))*(AX68-AS68)+AU68,IF(AND(AY66&gt;AT69,AY66&lt;=AT70),((AU70-AU69)/(AS70-AS69))*(AX69-AS69)+AU69,IF(AND(AY66&gt;AT70,AY66&lt;=AT71),((AU71-AU70)/(AS71-AS70))*(AX70-AS70)+AU70,IF(AND(AY66&gt;AT71,AY66&lt;=AT72),((AU72-AU71)/(AS72-AS71))*(AX71-AS71)+AU71,""))))</f>
        <v>0.12</v>
      </c>
    </row>
    <row r="73" spans="1:53" x14ac:dyDescent="0.2">
      <c r="A73" s="407">
        <v>65</v>
      </c>
      <c r="B73" s="438">
        <v>27.027000000000001</v>
      </c>
      <c r="C73" s="438">
        <v>19.047000000000001</v>
      </c>
      <c r="D73" s="438">
        <v>15.321</v>
      </c>
      <c r="E73" s="438">
        <v>13.593999999999999</v>
      </c>
      <c r="F73" s="438">
        <v>27.027000000000001</v>
      </c>
      <c r="G73" s="438">
        <v>19.047000000000001</v>
      </c>
      <c r="H73" s="438">
        <v>29.102</v>
      </c>
      <c r="I73" s="438">
        <v>19.024999999999999</v>
      </c>
      <c r="J73" s="11"/>
      <c r="L73" s="25">
        <v>40</v>
      </c>
      <c r="M73" s="26">
        <v>40.119999999999997</v>
      </c>
      <c r="N73" s="27">
        <v>0.12</v>
      </c>
      <c r="O73" s="16"/>
      <c r="Q73" s="348">
        <f t="shared" si="0"/>
        <v>26.967446534119997</v>
      </c>
      <c r="R73" s="348">
        <f t="shared" si="1"/>
        <v>19.015862979540536</v>
      </c>
      <c r="S73" s="348">
        <f t="shared" si="2"/>
        <v>15.160908781727908</v>
      </c>
      <c r="T73" s="348">
        <f t="shared" si="3"/>
        <v>13.613016714371341</v>
      </c>
      <c r="U73" s="348">
        <f t="shared" si="4"/>
        <v>26.967446534119997</v>
      </c>
      <c r="V73" s="348">
        <f t="shared" si="5"/>
        <v>19.000773052607382</v>
      </c>
      <c r="W73" s="348">
        <f t="shared" si="6"/>
        <v>28.899210406116683</v>
      </c>
      <c r="X73" s="348">
        <f t="shared" si="7"/>
        <v>18.921595650815298</v>
      </c>
      <c r="AS73" s="759"/>
      <c r="AT73" s="759"/>
      <c r="AU73" s="759"/>
      <c r="AV73" s="759"/>
      <c r="AW73" s="759"/>
      <c r="AX73" s="759"/>
      <c r="AY73" s="759"/>
      <c r="AZ73" s="759"/>
      <c r="BA73" s="759"/>
    </row>
    <row r="74" spans="1:53" ht="13.5" thickBot="1" x14ac:dyDescent="0.25">
      <c r="A74" s="407">
        <v>66</v>
      </c>
      <c r="B74" s="438">
        <v>27.036000000000001</v>
      </c>
      <c r="C74" s="438">
        <v>19.047000000000001</v>
      </c>
      <c r="D74" s="438">
        <v>15.323</v>
      </c>
      <c r="E74" s="438">
        <v>13.593</v>
      </c>
      <c r="F74" s="438">
        <v>27.036000000000001</v>
      </c>
      <c r="G74" s="438">
        <v>19.047000000000001</v>
      </c>
      <c r="H74" s="438">
        <v>29.106999999999999</v>
      </c>
      <c r="I74" s="438">
        <v>19.026</v>
      </c>
      <c r="J74" s="11"/>
      <c r="L74" s="31">
        <v>50</v>
      </c>
      <c r="M74" s="32">
        <v>50.04</v>
      </c>
      <c r="N74" s="33">
        <v>0.12</v>
      </c>
      <c r="O74" s="16"/>
      <c r="Q74" s="348">
        <f t="shared" ref="Q74:Q137" si="15">IFERROR(B74^4*$AB$9+B74^3*$AC$9+B74^2*$AD$9+B74^1*$AE$9+B74^0*$AF$9,"")</f>
        <v>26.97640082110431</v>
      </c>
      <c r="R74" s="348">
        <f t="shared" ref="R74:R137" si="16">IFERROR(C74^4*$AB$10+C74^3*$AC$10+C74^2*$AD$10+C74^1*$AE$10+C74^0*$AF$10,"")</f>
        <v>19.015862979540536</v>
      </c>
      <c r="S74" s="348">
        <f t="shared" ref="S74:S137" si="17">IFERROR(D74^4*$AB$11+D74^3*$AC$11+D74^2*$AD$11+D74^1*$AE$11+D74^0*$AF$11,"")</f>
        <v>15.162907797113119</v>
      </c>
      <c r="T74" s="348">
        <f t="shared" ref="T74:T137" si="18">IFERROR(E74^4*$AB$12+E74^3*$AC$12+E74^2*$AD$12+E74^1*$AE$12+E74^0*$AF$12,"")</f>
        <v>13.612015943948869</v>
      </c>
      <c r="U74" s="348">
        <f t="shared" ref="U74:U137" si="19">IFERROR(F74^4*$AB$13+F74^3*$AC$13+F74^2*$AD$13+F74^1*$AE$13+F74^0*$AF$13,"")</f>
        <v>26.97640082110431</v>
      </c>
      <c r="V74" s="348">
        <f t="shared" ref="V74:V137" si="20">IFERROR(G74^4*$AB$14+G74^3*$AC$14+G74^2*$AD$14+G74^1*$AE$14+G74^0*$AF$14,"")</f>
        <v>19.000773052607382</v>
      </c>
      <c r="W74" s="348">
        <f t="shared" ref="W74:W137" si="21">IFERROR(H74^4*$AB$15+H74^3*$AC$15+H74^2*$AD$15+H74^1*$AE$15+H74^0*$AF$15,"")</f>
        <v>28.904194001108493</v>
      </c>
      <c r="X74" s="348">
        <f t="shared" ref="X74:X137" si="22">IFERROR(I74^4*$AB$16+I74^3*$AC$16+I74^2*$AD$16+I74^1*$AE$16+I74^0*$AF$16,"")</f>
        <v>18.92259023925261</v>
      </c>
      <c r="AS74" s="759"/>
      <c r="AT74" s="759"/>
      <c r="AU74" s="759"/>
      <c r="AV74" s="759"/>
      <c r="AW74" s="759"/>
      <c r="AX74" s="759"/>
      <c r="AY74" s="759"/>
      <c r="AZ74" s="759"/>
      <c r="BA74" s="759"/>
    </row>
    <row r="75" spans="1:53" ht="13.5" thickBot="1" x14ac:dyDescent="0.25">
      <c r="A75" s="407">
        <v>67</v>
      </c>
      <c r="B75" s="438">
        <v>27.033000000000001</v>
      </c>
      <c r="C75" s="438">
        <v>19.045000000000002</v>
      </c>
      <c r="D75" s="438">
        <v>15.327999999999999</v>
      </c>
      <c r="E75" s="438">
        <v>13.595000000000001</v>
      </c>
      <c r="F75" s="438">
        <v>27.033000000000001</v>
      </c>
      <c r="G75" s="438">
        <v>19.045000000000002</v>
      </c>
      <c r="H75" s="438">
        <v>29.106000000000002</v>
      </c>
      <c r="I75" s="438">
        <v>19.027000000000001</v>
      </c>
      <c r="J75" s="11"/>
      <c r="Q75" s="348">
        <f t="shared" si="15"/>
        <v>26.973416060854092</v>
      </c>
      <c r="R75" s="348">
        <f t="shared" si="16"/>
        <v>19.013850766166815</v>
      </c>
      <c r="S75" s="348">
        <f t="shared" si="17"/>
        <v>15.167905351385304</v>
      </c>
      <c r="T75" s="348">
        <f t="shared" si="18"/>
        <v>13.614017484712679</v>
      </c>
      <c r="U75" s="348">
        <f t="shared" si="19"/>
        <v>26.973416060854092</v>
      </c>
      <c r="V75" s="348">
        <f t="shared" si="20"/>
        <v>18.998770522485813</v>
      </c>
      <c r="W75" s="348">
        <f t="shared" si="21"/>
        <v>28.903197276930097</v>
      </c>
      <c r="X75" s="348">
        <f t="shared" si="22"/>
        <v>18.923584827987952</v>
      </c>
      <c r="AS75" s="760" t="s">
        <v>61</v>
      </c>
      <c r="AT75" s="761"/>
      <c r="AU75" s="762"/>
      <c r="AV75" s="16"/>
      <c r="AW75" s="767" t="s">
        <v>42</v>
      </c>
      <c r="AX75" s="768"/>
      <c r="AY75" s="17">
        <f>IF(Resumo!$F$9="Software",AH16,Resumo!Q31)</f>
        <v>18.928657195027615</v>
      </c>
      <c r="AZ75" s="18"/>
      <c r="BA75" s="18"/>
    </row>
    <row r="76" spans="1:53" x14ac:dyDescent="0.2">
      <c r="A76" s="407">
        <v>68</v>
      </c>
      <c r="B76" s="438">
        <v>27.033999999999999</v>
      </c>
      <c r="C76" s="438">
        <v>19.042000000000002</v>
      </c>
      <c r="D76" s="438">
        <v>15.327</v>
      </c>
      <c r="E76" s="438">
        <v>13.595000000000001</v>
      </c>
      <c r="F76" s="438">
        <v>27.033999999999999</v>
      </c>
      <c r="G76" s="438">
        <v>19.042000000000002</v>
      </c>
      <c r="H76" s="438">
        <v>29.106999999999999</v>
      </c>
      <c r="I76" s="438">
        <v>19.030999999999999</v>
      </c>
      <c r="J76" s="11"/>
      <c r="Q76" s="348">
        <f t="shared" si="15"/>
        <v>26.974410981168305</v>
      </c>
      <c r="R76" s="348">
        <f t="shared" si="16"/>
        <v>19.01083244075685</v>
      </c>
      <c r="S76" s="348">
        <f t="shared" si="17"/>
        <v>15.166905838724666</v>
      </c>
      <c r="T76" s="348">
        <f t="shared" si="18"/>
        <v>13.614017484712679</v>
      </c>
      <c r="U76" s="348">
        <f t="shared" si="19"/>
        <v>26.974410981168305</v>
      </c>
      <c r="V76" s="348">
        <f t="shared" si="20"/>
        <v>18.995766727682909</v>
      </c>
      <c r="W76" s="348">
        <f t="shared" si="21"/>
        <v>28.904194001108493</v>
      </c>
      <c r="X76" s="348">
        <f t="shared" si="22"/>
        <v>18.92756318591012</v>
      </c>
      <c r="AS76" s="19" t="s">
        <v>47</v>
      </c>
      <c r="AT76" s="20" t="s">
        <v>48</v>
      </c>
      <c r="AU76" s="21" t="s">
        <v>49</v>
      </c>
      <c r="AV76" s="16"/>
      <c r="AW76" s="22"/>
      <c r="AX76" s="23" t="s">
        <v>43</v>
      </c>
      <c r="AY76" s="23" t="s">
        <v>44</v>
      </c>
      <c r="AZ76" s="23" t="s">
        <v>45</v>
      </c>
      <c r="BA76" s="24" t="s">
        <v>46</v>
      </c>
    </row>
    <row r="77" spans="1:53" x14ac:dyDescent="0.2">
      <c r="A77" s="407">
        <v>69</v>
      </c>
      <c r="B77" s="438">
        <v>27.021000000000001</v>
      </c>
      <c r="C77" s="438">
        <v>19.038</v>
      </c>
      <c r="D77" s="438">
        <v>15.324</v>
      </c>
      <c r="E77" s="437">
        <v>13.587999999999999</v>
      </c>
      <c r="F77" s="438">
        <v>27.021000000000001</v>
      </c>
      <c r="G77" s="438">
        <v>19.038</v>
      </c>
      <c r="H77" s="438">
        <v>29.103999999999999</v>
      </c>
      <c r="I77" s="438">
        <v>19.029</v>
      </c>
      <c r="J77" s="11"/>
      <c r="Q77" s="348">
        <f t="shared" si="15"/>
        <v>26.961476999069159</v>
      </c>
      <c r="R77" s="348">
        <f t="shared" si="16"/>
        <v>19.006807996895354</v>
      </c>
      <c r="S77" s="348">
        <f t="shared" si="17"/>
        <v>15.163907306161075</v>
      </c>
      <c r="T77" s="348">
        <f t="shared" si="18"/>
        <v>13.607012090620003</v>
      </c>
      <c r="U77" s="348">
        <f t="shared" si="19"/>
        <v>26.961476999069159</v>
      </c>
      <c r="V77" s="348">
        <f t="shared" si="20"/>
        <v>18.991761668657151</v>
      </c>
      <c r="W77" s="348">
        <f t="shared" si="21"/>
        <v>28.90120383634331</v>
      </c>
      <c r="X77" s="348">
        <f t="shared" si="22"/>
        <v>18.925574006352825</v>
      </c>
      <c r="AS77" s="25">
        <f t="shared" ref="AS77:AU81" si="23">L70</f>
        <v>0</v>
      </c>
      <c r="AT77" s="25">
        <f t="shared" si="23"/>
        <v>-0.02</v>
      </c>
      <c r="AU77" s="192">
        <f t="shared" si="23"/>
        <v>0.12</v>
      </c>
      <c r="AV77" s="16"/>
      <c r="AW77" s="29" t="str">
        <f>CONCATENATE("Entre ",AS77,"°C  e ",AS78,"°C ")</f>
        <v xml:space="preserve">Entre 0°C  e 15°C </v>
      </c>
      <c r="AX77" s="28" t="str">
        <f>IF(AND(AY75&lt;=AT78,AY75&gt;=AT77),AY75,"")</f>
        <v/>
      </c>
      <c r="AY77" s="14" t="str">
        <f>IF(ISNUMBER(AX77),((AS78-AS77)/(AT78-AT77))*(AX77-AT77)+AS77,"")</f>
        <v/>
      </c>
      <c r="AZ77" s="14" t="str">
        <f>IF(ISNUMBER(AX77),AY77-AX77,"")</f>
        <v/>
      </c>
      <c r="BA77" s="30" t="str">
        <f>IF(ISNUMBER(AX77),((AU78-AU77)/(AS78-AS77))*(AX77-AS77)+AU77,"")</f>
        <v/>
      </c>
    </row>
    <row r="78" spans="1:53" x14ac:dyDescent="0.2">
      <c r="A78" s="407">
        <v>70</v>
      </c>
      <c r="B78" s="438">
        <v>27.030999999999999</v>
      </c>
      <c r="C78" s="438">
        <v>19.041</v>
      </c>
      <c r="D78" s="438">
        <v>15.324</v>
      </c>
      <c r="E78" s="438">
        <v>13.596</v>
      </c>
      <c r="F78" s="438">
        <v>27.030999999999999</v>
      </c>
      <c r="G78" s="438">
        <v>19.041</v>
      </c>
      <c r="H78" s="438">
        <v>29.109000000000002</v>
      </c>
      <c r="I78" s="438">
        <v>19.033000000000001</v>
      </c>
      <c r="J78" s="11"/>
      <c r="Q78" s="348">
        <f t="shared" si="15"/>
        <v>26.97142621953309</v>
      </c>
      <c r="R78" s="348">
        <f t="shared" si="16"/>
        <v>19.009826330860736</v>
      </c>
      <c r="S78" s="348">
        <f t="shared" si="17"/>
        <v>15.163907306161075</v>
      </c>
      <c r="T78" s="348">
        <f t="shared" si="18"/>
        <v>13.615018254972863</v>
      </c>
      <c r="U78" s="348">
        <f t="shared" si="19"/>
        <v>26.97142621953309</v>
      </c>
      <c r="V78" s="348">
        <f t="shared" si="20"/>
        <v>18.994765462850093</v>
      </c>
      <c r="W78" s="348">
        <f t="shared" si="21"/>
        <v>28.906187457235202</v>
      </c>
      <c r="X78" s="348">
        <f t="shared" si="22"/>
        <v>18.929552366660037</v>
      </c>
      <c r="AS78" s="25">
        <f t="shared" si="23"/>
        <v>15</v>
      </c>
      <c r="AT78" s="25">
        <f t="shared" si="23"/>
        <v>15.08</v>
      </c>
      <c r="AU78" s="192">
        <f t="shared" si="23"/>
        <v>0.12</v>
      </c>
      <c r="AV78" s="16"/>
      <c r="AW78" s="29" t="str">
        <f>CONCATENATE("Entre ",AS78,"°C  e ",AS79,"°C ")</f>
        <v xml:space="preserve">Entre 15°C  e 25°C </v>
      </c>
      <c r="AX78" s="28">
        <f>IF(AND(AY75&gt;AT78,AY75&lt;=AT79),AY75,"")</f>
        <v>18.928657195027615</v>
      </c>
      <c r="AY78" s="14">
        <f>IF(ISNUMBER(AX78),((AS79-AS78)/(AT79-AT78))*(AX78-AT78)+AS78,"")</f>
        <v>18.829509646793646</v>
      </c>
      <c r="AZ78" s="14">
        <f>IF(ISNUMBER(AX78),AY78-AX78,"")</f>
        <v>-9.9147548233968763E-2</v>
      </c>
      <c r="BA78" s="30">
        <f>IF(ISNUMBER(AX78),((AU79-AU78)/(AS79-AS78))*(AX78-AS78)+AU78,"")</f>
        <v>0.12</v>
      </c>
    </row>
    <row r="79" spans="1:53" x14ac:dyDescent="0.2">
      <c r="A79" s="407">
        <v>71</v>
      </c>
      <c r="B79" s="438">
        <v>27.030999999999999</v>
      </c>
      <c r="C79" s="438">
        <v>19.038</v>
      </c>
      <c r="D79" s="438">
        <v>15.323</v>
      </c>
      <c r="E79" s="438">
        <v>13.590999999999999</v>
      </c>
      <c r="F79" s="438">
        <v>27.030999999999999</v>
      </c>
      <c r="G79" s="438">
        <v>19.038</v>
      </c>
      <c r="H79" s="438">
        <v>29.114000000000001</v>
      </c>
      <c r="I79" s="438">
        <v>19.032</v>
      </c>
      <c r="J79" s="11"/>
      <c r="Q79" s="348">
        <f t="shared" si="15"/>
        <v>26.97142621953309</v>
      </c>
      <c r="R79" s="348">
        <f t="shared" si="16"/>
        <v>19.006807996895354</v>
      </c>
      <c r="S79" s="348">
        <f t="shared" si="17"/>
        <v>15.162907797113119</v>
      </c>
      <c r="T79" s="348">
        <f t="shared" si="18"/>
        <v>13.610014402860577</v>
      </c>
      <c r="U79" s="348">
        <f t="shared" si="19"/>
        <v>26.97142621953309</v>
      </c>
      <c r="V79" s="348">
        <f t="shared" si="20"/>
        <v>18.991761668657151</v>
      </c>
      <c r="W79" s="348">
        <f t="shared" si="21"/>
        <v>28.911171142875386</v>
      </c>
      <c r="X79" s="348">
        <f t="shared" si="22"/>
        <v>18.928557776135989</v>
      </c>
      <c r="AS79" s="25">
        <f t="shared" si="23"/>
        <v>25</v>
      </c>
      <c r="AT79" s="25">
        <f t="shared" si="23"/>
        <v>25.13</v>
      </c>
      <c r="AU79" s="192">
        <f t="shared" si="23"/>
        <v>0.12</v>
      </c>
      <c r="AV79" s="16"/>
      <c r="AW79" s="29" t="str">
        <f>CONCATENATE("Entre ",AS79,"°C  e ",AS80,"°C ")</f>
        <v xml:space="preserve">Entre 25°C  e 40°C </v>
      </c>
      <c r="AX79" s="28" t="str">
        <f>IF(AND(AY75&gt;AT79,AY75&lt;=AT80),AY75,"")</f>
        <v/>
      </c>
      <c r="AY79" s="14" t="str">
        <f>IF(ISNUMBER(AX79),((AS80-AS79)/(AT80-AT79))*(AX79-AT79)+AS79,"")</f>
        <v/>
      </c>
      <c r="AZ79" s="14" t="str">
        <f>IF(ISNUMBER(AX79),AY79-AX79,"")</f>
        <v/>
      </c>
      <c r="BA79" s="30" t="str">
        <f>IF(ISNUMBER(AX79),((AU80-AU79)/(AS80-AS79))*(AX79-AS79)+AU79,"")</f>
        <v/>
      </c>
    </row>
    <row r="80" spans="1:53" x14ac:dyDescent="0.2">
      <c r="A80" s="407">
        <v>72</v>
      </c>
      <c r="B80" s="438">
        <v>27.026</v>
      </c>
      <c r="C80" s="438">
        <v>19.039000000000001</v>
      </c>
      <c r="D80" s="438">
        <v>15.324</v>
      </c>
      <c r="E80" s="438">
        <v>13.589</v>
      </c>
      <c r="F80" s="438">
        <v>27.026</v>
      </c>
      <c r="G80" s="438">
        <v>19.039000000000001</v>
      </c>
      <c r="H80" s="438">
        <v>29.117000000000001</v>
      </c>
      <c r="I80" s="438">
        <v>19.035</v>
      </c>
      <c r="J80" s="11"/>
      <c r="Q80" s="348">
        <f t="shared" si="15"/>
        <v>26.966451612189246</v>
      </c>
      <c r="R80" s="348">
        <f t="shared" si="16"/>
        <v>19.007814108929892</v>
      </c>
      <c r="S80" s="348">
        <f t="shared" si="17"/>
        <v>15.163907306161075</v>
      </c>
      <c r="T80" s="348">
        <f t="shared" si="18"/>
        <v>13.608012861447927</v>
      </c>
      <c r="U80" s="348">
        <f t="shared" si="19"/>
        <v>26.966451612189246</v>
      </c>
      <c r="V80" s="348">
        <f t="shared" si="20"/>
        <v>18.992762933337143</v>
      </c>
      <c r="W80" s="348">
        <f t="shared" si="21"/>
        <v>28.914161385337543</v>
      </c>
      <c r="X80" s="348">
        <f t="shared" si="22"/>
        <v>18.931541548602773</v>
      </c>
      <c r="AS80" s="25">
        <f t="shared" si="23"/>
        <v>40</v>
      </c>
      <c r="AT80" s="25">
        <f t="shared" si="23"/>
        <v>40.119999999999997</v>
      </c>
      <c r="AU80" s="192">
        <f t="shared" si="23"/>
        <v>0.12</v>
      </c>
      <c r="AV80" s="16"/>
      <c r="AW80" s="29" t="str">
        <f>CONCATENATE("Entre ",AS80,"°C  e ",AS81,"°C ")</f>
        <v xml:space="preserve">Entre 40°C  e 50°C </v>
      </c>
      <c r="AX80" s="28" t="str">
        <f>IF(AND(AY75&gt;AT80,AY75&lt;=AT81),AY75,"")</f>
        <v/>
      </c>
      <c r="AY80" s="14" t="str">
        <f>IF(ISNUMBER(AX80),((AS81-AS80)/(AT81-AT80))*(AX80-AT80)+AS80,"")</f>
        <v/>
      </c>
      <c r="AZ80" s="14" t="str">
        <f>IF(ISNUMBER(AX80),AY80-AX80,"")</f>
        <v/>
      </c>
      <c r="BA80" s="30" t="str">
        <f>IF(ISNUMBER(AX80),((AU81-AU80)/(AS81-AS80))*(AX80-AS80)+AU80,"")</f>
        <v/>
      </c>
    </row>
    <row r="81" spans="1:53" ht="13.5" thickBot="1" x14ac:dyDescent="0.25">
      <c r="A81" s="407">
        <v>73</v>
      </c>
      <c r="B81" s="438">
        <v>27.018999999999998</v>
      </c>
      <c r="C81" s="438">
        <v>19.039000000000001</v>
      </c>
      <c r="D81" s="438">
        <v>15.319000000000001</v>
      </c>
      <c r="E81" s="438">
        <v>13.586</v>
      </c>
      <c r="F81" s="438">
        <v>27.018999999999998</v>
      </c>
      <c r="G81" s="438">
        <v>19.039000000000001</v>
      </c>
      <c r="H81" s="438">
        <v>29.12</v>
      </c>
      <c r="I81" s="438">
        <v>19.033999999999999</v>
      </c>
      <c r="J81" s="11"/>
      <c r="Q81" s="348">
        <f t="shared" si="15"/>
        <v>26.959487152202961</v>
      </c>
      <c r="R81" s="348">
        <f t="shared" si="16"/>
        <v>19.007814108929892</v>
      </c>
      <c r="S81" s="348">
        <f t="shared" si="17"/>
        <v>15.158909769957901</v>
      </c>
      <c r="T81" s="348">
        <f t="shared" si="18"/>
        <v>13.605010548721044</v>
      </c>
      <c r="U81" s="348">
        <f t="shared" si="19"/>
        <v>26.959487152202961</v>
      </c>
      <c r="V81" s="348">
        <f t="shared" si="20"/>
        <v>18.992762933337143</v>
      </c>
      <c r="W81" s="348">
        <f t="shared" si="21"/>
        <v>28.917151651107506</v>
      </c>
      <c r="X81" s="348">
        <f t="shared" si="22"/>
        <v>18.930546957482289</v>
      </c>
      <c r="AS81" s="25">
        <f t="shared" si="23"/>
        <v>50</v>
      </c>
      <c r="AT81" s="25">
        <f t="shared" si="23"/>
        <v>50.04</v>
      </c>
      <c r="AU81" s="192">
        <f t="shared" si="23"/>
        <v>0.12</v>
      </c>
      <c r="AV81" s="16"/>
      <c r="AW81" s="41"/>
      <c r="AX81" s="39">
        <f>IF(AND(AY75&lt;=AT78,AY75&gt;=AT77),AY75,IF(AND(AY75&gt;AT78,AY75&lt;=AT79),AY75,IF(AND(AY75&gt;AT79,AY75&lt;=AT80),AY75,IF(AND(AY75&gt;AT80,AY75&lt;=AT81),AY75,""))))</f>
        <v>18.928657195027615</v>
      </c>
      <c r="AY81" s="39">
        <f>IF(AND(AY75&lt;=AT78,AY75&gt;=AT77),((AS78-AS77)/(AT78-AT77))*(AX77-AT77)+AS77,IF(AND(AY75&gt;AT78,AY75&lt;=AT79),((AS79-AS78)/(AT79-AT78))*(AX78-AT78)+AS78,IF(AND(AY75&gt;AT79,AY75&lt;=AT80),((AS80-AS79)/(AT80-AT79))*(AX79-AT79)+AS79,IF(AND(AY75&gt;AT80,AY75&lt;=AT81),((AS81-AS80)/(AT81-AT80))*(AX80-AT80)+AS80,""))))</f>
        <v>18.829509646793646</v>
      </c>
      <c r="AZ81" s="39">
        <f>IF(ISNUMBER(AX81),AY81-AX81,"")</f>
        <v>-9.9147548233968763E-2</v>
      </c>
      <c r="BA81" s="40">
        <f>IF(AND(AY75&lt;=AT78,AY75&gt;=AT77),((AU78-AU77)/(AS78-AS77))*(AX77-AS77)+AU77,IF(AND(AY75&gt;AT78,AY75&lt;=AT79),((AU79-AU78)/(AS79-AS78))*(AX78-AS78)+AU78,IF(AND(AY75&gt;AT79,AY75&lt;=AT80),((AU80-AU79)/(AS80-AS79))*(AX79-AS79)+AU79,IF(AND(AY75&gt;AT80,AY75&lt;=AT81),((AU81-AU80)/(AS81-AS80))*(AX80-AS80)+AU80,""))))</f>
        <v>0.12</v>
      </c>
    </row>
    <row r="82" spans="1:53" x14ac:dyDescent="0.2">
      <c r="A82" s="407">
        <v>74</v>
      </c>
      <c r="B82" s="438">
        <v>27.027000000000001</v>
      </c>
      <c r="C82" s="438">
        <v>19.036000000000001</v>
      </c>
      <c r="D82" s="438">
        <v>15.319000000000001</v>
      </c>
      <c r="E82" s="438">
        <v>13.586</v>
      </c>
      <c r="F82" s="438">
        <v>27.027000000000001</v>
      </c>
      <c r="G82" s="438">
        <v>19.036000000000001</v>
      </c>
      <c r="H82" s="438">
        <v>29.120999999999999</v>
      </c>
      <c r="I82" s="438">
        <v>19.036000000000001</v>
      </c>
      <c r="J82" s="11"/>
      <c r="Q82" s="348">
        <f t="shared" si="15"/>
        <v>26.967446534119997</v>
      </c>
      <c r="R82" s="348">
        <f t="shared" si="16"/>
        <v>19.004795770688506</v>
      </c>
      <c r="S82" s="348">
        <f t="shared" si="17"/>
        <v>15.158909769957901</v>
      </c>
      <c r="T82" s="348">
        <f t="shared" si="18"/>
        <v>13.605010548721044</v>
      </c>
      <c r="U82" s="348">
        <f t="shared" si="19"/>
        <v>26.967446534119997</v>
      </c>
      <c r="V82" s="348">
        <f t="shared" si="20"/>
        <v>18.989759139450531</v>
      </c>
      <c r="W82" s="348">
        <f t="shared" si="21"/>
        <v>28.918148411543569</v>
      </c>
      <c r="X82" s="348">
        <f t="shared" si="22"/>
        <v>18.932536140021512</v>
      </c>
      <c r="AS82" s="758"/>
      <c r="AT82" s="758"/>
      <c r="AU82" s="758"/>
      <c r="AV82" s="758"/>
      <c r="AW82" s="758"/>
      <c r="AX82" s="758"/>
      <c r="AY82" s="758"/>
      <c r="AZ82" s="758"/>
      <c r="BA82" s="758"/>
    </row>
    <row r="83" spans="1:53" x14ac:dyDescent="0.2">
      <c r="A83" s="407">
        <v>75</v>
      </c>
      <c r="B83" s="438">
        <v>27.024000000000001</v>
      </c>
      <c r="C83" s="438">
        <v>19.036999999999999</v>
      </c>
      <c r="D83" s="438">
        <v>15.32</v>
      </c>
      <c r="E83" s="438">
        <v>13.585000000000001</v>
      </c>
      <c r="F83" s="438">
        <v>27.024000000000001</v>
      </c>
      <c r="G83" s="438">
        <v>19.036999999999999</v>
      </c>
      <c r="H83" s="438">
        <v>29.126999999999999</v>
      </c>
      <c r="I83" s="438">
        <v>19.039000000000001</v>
      </c>
      <c r="J83" s="11"/>
      <c r="Q83" s="348">
        <f t="shared" si="15"/>
        <v>26.96446176763456</v>
      </c>
      <c r="R83" s="348">
        <f t="shared" si="16"/>
        <v>19.005801884148187</v>
      </c>
      <c r="S83" s="348">
        <f t="shared" si="17"/>
        <v>15.159909275390936</v>
      </c>
      <c r="T83" s="348">
        <f t="shared" si="18"/>
        <v>13.604009777650038</v>
      </c>
      <c r="U83" s="348">
        <f t="shared" si="19"/>
        <v>26.96446176763456</v>
      </c>
      <c r="V83" s="348">
        <f t="shared" si="20"/>
        <v>18.990760404028258</v>
      </c>
      <c r="W83" s="348">
        <f t="shared" si="21"/>
        <v>28.924129028542193</v>
      </c>
      <c r="X83" s="348">
        <f t="shared" si="22"/>
        <v>18.935519916067506</v>
      </c>
      <c r="AS83" s="758"/>
      <c r="AT83" s="758"/>
      <c r="AU83" s="758"/>
      <c r="AV83" s="758"/>
      <c r="AW83" s="758"/>
      <c r="AX83" s="758"/>
      <c r="AY83" s="758"/>
      <c r="AZ83" s="758"/>
      <c r="BA83" s="758"/>
    </row>
    <row r="84" spans="1:53" x14ac:dyDescent="0.2">
      <c r="A84" s="407">
        <v>76</v>
      </c>
      <c r="B84" s="438">
        <v>27.024999999999999</v>
      </c>
      <c r="C84" s="438">
        <v>19.036999999999999</v>
      </c>
      <c r="D84" s="438">
        <v>15.318</v>
      </c>
      <c r="E84" s="438">
        <v>13.583</v>
      </c>
      <c r="F84" s="438">
        <v>27.024999999999999</v>
      </c>
      <c r="G84" s="438">
        <v>19.036999999999999</v>
      </c>
      <c r="H84" s="438">
        <v>29.132000000000001</v>
      </c>
      <c r="I84" s="438">
        <v>19.04</v>
      </c>
      <c r="J84" s="11"/>
      <c r="Q84" s="348">
        <f t="shared" si="15"/>
        <v>26.965456690027438</v>
      </c>
      <c r="R84" s="348">
        <f t="shared" si="16"/>
        <v>19.005801884148187</v>
      </c>
      <c r="S84" s="348">
        <f t="shared" si="17"/>
        <v>15.157910265428947</v>
      </c>
      <c r="T84" s="348">
        <f t="shared" si="18"/>
        <v>13.602008235265044</v>
      </c>
      <c r="U84" s="348">
        <f t="shared" si="19"/>
        <v>26.965456690027438</v>
      </c>
      <c r="V84" s="348">
        <f t="shared" si="20"/>
        <v>18.990760404028258</v>
      </c>
      <c r="W84" s="348">
        <f t="shared" si="21"/>
        <v>28.929112947253422</v>
      </c>
      <c r="X84" s="348">
        <f t="shared" si="22"/>
        <v>18.936514508679508</v>
      </c>
      <c r="AS84" s="758"/>
      <c r="AT84" s="758"/>
      <c r="AU84" s="758"/>
      <c r="AV84" s="758"/>
      <c r="AW84" s="758"/>
      <c r="AX84" s="758"/>
      <c r="AY84" s="758"/>
      <c r="AZ84" s="758"/>
      <c r="BA84" s="758"/>
    </row>
    <row r="85" spans="1:53" x14ac:dyDescent="0.2">
      <c r="A85" s="407">
        <v>77</v>
      </c>
      <c r="B85" s="437">
        <v>27.015000000000001</v>
      </c>
      <c r="C85" s="438">
        <v>19.035</v>
      </c>
      <c r="D85" s="438">
        <v>15.314</v>
      </c>
      <c r="E85" s="438">
        <v>13.581</v>
      </c>
      <c r="F85" s="438">
        <v>27.015000000000001</v>
      </c>
      <c r="G85" s="438">
        <v>19.035</v>
      </c>
      <c r="H85" s="438">
        <v>29.13</v>
      </c>
      <c r="I85" s="438">
        <v>19.042999999999999</v>
      </c>
      <c r="J85" s="11"/>
      <c r="Q85" s="348">
        <f t="shared" si="15"/>
        <v>26.955507455695326</v>
      </c>
      <c r="R85" s="348">
        <f t="shared" si="16"/>
        <v>19.003789656516393</v>
      </c>
      <c r="S85" s="348">
        <f t="shared" si="17"/>
        <v>15.153912256356737</v>
      </c>
      <c r="T85" s="348">
        <f t="shared" si="18"/>
        <v>13.600006692556182</v>
      </c>
      <c r="U85" s="348">
        <f t="shared" si="19"/>
        <v>26.955507455695326</v>
      </c>
      <c r="V85" s="348">
        <f t="shared" si="20"/>
        <v>18.988757874924048</v>
      </c>
      <c r="W85" s="348">
        <f t="shared" si="21"/>
        <v>28.927119372000508</v>
      </c>
      <c r="X85" s="348">
        <f t="shared" si="22"/>
        <v>18.939498288305895</v>
      </c>
      <c r="AS85" s="758"/>
      <c r="AT85" s="758"/>
      <c r="AU85" s="758"/>
      <c r="AV85" s="758"/>
      <c r="AW85" s="758"/>
      <c r="AX85" s="758"/>
      <c r="AY85" s="758"/>
      <c r="AZ85" s="758"/>
      <c r="BA85" s="758"/>
    </row>
    <row r="86" spans="1:53" x14ac:dyDescent="0.2">
      <c r="A86" s="407">
        <v>78</v>
      </c>
      <c r="B86" s="438">
        <v>27.018000000000001</v>
      </c>
      <c r="C86" s="438">
        <v>19.035</v>
      </c>
      <c r="D86" s="438">
        <v>15.317</v>
      </c>
      <c r="E86" s="438">
        <v>13.584</v>
      </c>
      <c r="F86" s="438">
        <v>27.018000000000001</v>
      </c>
      <c r="G86" s="438">
        <v>19.035</v>
      </c>
      <c r="H86" s="438">
        <v>29.132999999999999</v>
      </c>
      <c r="I86" s="438">
        <v>19.044</v>
      </c>
      <c r="J86" s="11"/>
      <c r="Q86" s="348">
        <f t="shared" si="15"/>
        <v>26.958492228423005</v>
      </c>
      <c r="R86" s="348">
        <f t="shared" si="16"/>
        <v>19.003789656516393</v>
      </c>
      <c r="S86" s="348">
        <f t="shared" si="17"/>
        <v>15.156910761804214</v>
      </c>
      <c r="T86" s="348">
        <f t="shared" si="18"/>
        <v>13.603009006498031</v>
      </c>
      <c r="U86" s="348">
        <f t="shared" si="19"/>
        <v>26.958492228423005</v>
      </c>
      <c r="V86" s="348">
        <f t="shared" si="20"/>
        <v>18.988757874924048</v>
      </c>
      <c r="W86" s="348">
        <f t="shared" si="21"/>
        <v>28.93010973876402</v>
      </c>
      <c r="X86" s="348">
        <f t="shared" si="22"/>
        <v>18.940492882111567</v>
      </c>
      <c r="AS86" s="758"/>
      <c r="AT86" s="758"/>
      <c r="AU86" s="758"/>
      <c r="AV86" s="758"/>
      <c r="AW86" s="758"/>
      <c r="AX86" s="758"/>
      <c r="AY86" s="758"/>
      <c r="AZ86" s="758"/>
      <c r="BA86" s="758"/>
    </row>
    <row r="87" spans="1:53" x14ac:dyDescent="0.2">
      <c r="A87" s="407">
        <v>79</v>
      </c>
      <c r="B87" s="438">
        <v>27.021000000000001</v>
      </c>
      <c r="C87" s="438">
        <v>19.033000000000001</v>
      </c>
      <c r="D87" s="438">
        <v>15.317</v>
      </c>
      <c r="E87" s="438">
        <v>13.582000000000001</v>
      </c>
      <c r="F87" s="438">
        <v>27.021000000000001</v>
      </c>
      <c r="G87" s="438">
        <v>19.033000000000001</v>
      </c>
      <c r="H87" s="438">
        <v>29.137</v>
      </c>
      <c r="I87" s="438">
        <v>19.045999999999999</v>
      </c>
      <c r="J87" s="11"/>
      <c r="Q87" s="348">
        <f t="shared" si="15"/>
        <v>26.961476999069159</v>
      </c>
      <c r="R87" s="348">
        <f t="shared" si="16"/>
        <v>19.001777426035254</v>
      </c>
      <c r="S87" s="348">
        <f t="shared" si="17"/>
        <v>15.156910761804214</v>
      </c>
      <c r="T87" s="348">
        <f t="shared" si="18"/>
        <v>13.60100746395109</v>
      </c>
      <c r="U87" s="348">
        <f t="shared" si="19"/>
        <v>26.961476999069159</v>
      </c>
      <c r="V87" s="348">
        <f t="shared" si="20"/>
        <v>18.986755346025106</v>
      </c>
      <c r="W87" s="348">
        <f t="shared" si="21"/>
        <v>28.934096930700161</v>
      </c>
      <c r="X87" s="348">
        <f t="shared" si="22"/>
        <v>18.942482070618368</v>
      </c>
      <c r="AS87" s="758"/>
      <c r="AT87" s="758"/>
      <c r="AU87" s="758"/>
      <c r="AV87" s="758"/>
      <c r="AW87" s="758"/>
      <c r="AX87" s="758"/>
      <c r="AY87" s="758"/>
      <c r="AZ87" s="758"/>
      <c r="BA87" s="758"/>
    </row>
    <row r="88" spans="1:53" x14ac:dyDescent="0.2">
      <c r="A88" s="407">
        <v>80</v>
      </c>
      <c r="B88" s="438">
        <v>27.02</v>
      </c>
      <c r="C88" s="438">
        <v>19.033999999999999</v>
      </c>
      <c r="D88" s="438">
        <v>15.317</v>
      </c>
      <c r="E88" s="438">
        <v>13.583</v>
      </c>
      <c r="F88" s="438">
        <v>27.02</v>
      </c>
      <c r="G88" s="438">
        <v>19.033999999999999</v>
      </c>
      <c r="H88" s="438">
        <v>29.138999999999999</v>
      </c>
      <c r="I88" s="438">
        <v>19.047000000000001</v>
      </c>
      <c r="J88" s="11"/>
      <c r="Q88" s="348">
        <f t="shared" si="15"/>
        <v>26.960482075751671</v>
      </c>
      <c r="R88" s="348">
        <f t="shared" si="16"/>
        <v>19.002783541631942</v>
      </c>
      <c r="S88" s="348">
        <f t="shared" si="17"/>
        <v>15.156910761804214</v>
      </c>
      <c r="T88" s="348">
        <f t="shared" si="18"/>
        <v>13.602008235265044</v>
      </c>
      <c r="U88" s="348">
        <f t="shared" si="19"/>
        <v>26.960482075751671</v>
      </c>
      <c r="V88" s="348">
        <f t="shared" si="20"/>
        <v>18.987756610448876</v>
      </c>
      <c r="W88" s="348">
        <f t="shared" si="21"/>
        <v>28.936090542204166</v>
      </c>
      <c r="X88" s="348">
        <f t="shared" si="22"/>
        <v>18.943476665319551</v>
      </c>
      <c r="AS88" s="758"/>
      <c r="AT88" s="758"/>
      <c r="AU88" s="758"/>
      <c r="AV88" s="758"/>
      <c r="AW88" s="758"/>
      <c r="AX88" s="758"/>
      <c r="AY88" s="758"/>
      <c r="AZ88" s="758"/>
      <c r="BA88" s="758"/>
    </row>
    <row r="89" spans="1:53" x14ac:dyDescent="0.2">
      <c r="A89" s="407">
        <v>81</v>
      </c>
      <c r="B89" s="438">
        <v>27.018000000000001</v>
      </c>
      <c r="C89" s="438">
        <v>19.033999999999999</v>
      </c>
      <c r="D89" s="438">
        <v>15.316000000000001</v>
      </c>
      <c r="E89" s="438">
        <v>13.584</v>
      </c>
      <c r="F89" s="438">
        <v>27.018000000000001</v>
      </c>
      <c r="G89" s="438">
        <v>19.033999999999999</v>
      </c>
      <c r="H89" s="438">
        <v>29.138000000000002</v>
      </c>
      <c r="I89" s="438">
        <v>19.048999999999999</v>
      </c>
      <c r="J89" s="11"/>
      <c r="Q89" s="348">
        <f t="shared" si="15"/>
        <v>26.958492228423005</v>
      </c>
      <c r="R89" s="348">
        <f t="shared" si="16"/>
        <v>19.002783541631942</v>
      </c>
      <c r="S89" s="348">
        <f t="shared" si="17"/>
        <v>15.155911259083842</v>
      </c>
      <c r="T89" s="348">
        <f t="shared" si="18"/>
        <v>13.603009006498031</v>
      </c>
      <c r="U89" s="348">
        <f t="shared" si="19"/>
        <v>26.958492228423005</v>
      </c>
      <c r="V89" s="348">
        <f t="shared" si="20"/>
        <v>18.987756610448876</v>
      </c>
      <c r="W89" s="348">
        <f t="shared" si="21"/>
        <v>28.935093735157523</v>
      </c>
      <c r="X89" s="348">
        <f t="shared" si="22"/>
        <v>18.945465855617591</v>
      </c>
      <c r="AS89" s="758"/>
      <c r="AT89" s="758"/>
      <c r="AU89" s="758"/>
      <c r="AV89" s="758"/>
      <c r="AW89" s="758"/>
      <c r="AX89" s="758"/>
      <c r="AY89" s="758"/>
      <c r="AZ89" s="758"/>
      <c r="BA89" s="758"/>
    </row>
    <row r="90" spans="1:53" x14ac:dyDescent="0.2">
      <c r="A90" s="407">
        <v>82</v>
      </c>
      <c r="B90" s="438">
        <v>27.016999999999999</v>
      </c>
      <c r="C90" s="438">
        <v>19.032</v>
      </c>
      <c r="D90" s="438">
        <v>15.318</v>
      </c>
      <c r="E90" s="438">
        <v>13.582000000000001</v>
      </c>
      <c r="F90" s="438">
        <v>27.016999999999999</v>
      </c>
      <c r="G90" s="438">
        <v>19.032</v>
      </c>
      <c r="H90" s="438">
        <v>29.14</v>
      </c>
      <c r="I90" s="438">
        <v>19.048999999999999</v>
      </c>
      <c r="J90" s="11"/>
      <c r="Q90" s="348">
        <f t="shared" si="15"/>
        <v>26.95749730441176</v>
      </c>
      <c r="R90" s="348">
        <f t="shared" si="16"/>
        <v>19.000771309726417</v>
      </c>
      <c r="S90" s="348">
        <f t="shared" si="17"/>
        <v>15.157910265428947</v>
      </c>
      <c r="T90" s="348">
        <f t="shared" si="18"/>
        <v>13.60100746395109</v>
      </c>
      <c r="U90" s="348">
        <f t="shared" si="19"/>
        <v>26.95749730441176</v>
      </c>
      <c r="V90" s="348">
        <f t="shared" si="20"/>
        <v>18.985754081652793</v>
      </c>
      <c r="W90" s="348">
        <f t="shared" si="21"/>
        <v>28.93708735184007</v>
      </c>
      <c r="X90" s="348">
        <f t="shared" si="22"/>
        <v>18.945465855617591</v>
      </c>
      <c r="AS90" s="758"/>
      <c r="AT90" s="758"/>
      <c r="AU90" s="758"/>
      <c r="AV90" s="758"/>
      <c r="AW90" s="758"/>
      <c r="AX90" s="758"/>
      <c r="AY90" s="758"/>
      <c r="AZ90" s="758"/>
      <c r="BA90" s="758"/>
    </row>
    <row r="91" spans="1:53" x14ac:dyDescent="0.2">
      <c r="A91" s="407">
        <v>83</v>
      </c>
      <c r="B91" s="438">
        <v>27.013999999999999</v>
      </c>
      <c r="C91" s="438">
        <v>19.032</v>
      </c>
      <c r="D91" s="438">
        <v>15.316000000000001</v>
      </c>
      <c r="E91" s="438">
        <v>13.584</v>
      </c>
      <c r="F91" s="438">
        <v>27.013999999999999</v>
      </c>
      <c r="G91" s="438">
        <v>19.032</v>
      </c>
      <c r="H91" s="438">
        <v>29.143000000000001</v>
      </c>
      <c r="I91" s="438">
        <v>19.05</v>
      </c>
      <c r="J91" s="11"/>
      <c r="Q91" s="348">
        <f t="shared" si="15"/>
        <v>26.954512530990065</v>
      </c>
      <c r="R91" s="348">
        <f t="shared" si="16"/>
        <v>19.000771309726417</v>
      </c>
      <c r="S91" s="348">
        <f t="shared" si="17"/>
        <v>15.155911259083842</v>
      </c>
      <c r="T91" s="348">
        <f t="shared" si="18"/>
        <v>13.603009006498031</v>
      </c>
      <c r="U91" s="348">
        <f t="shared" si="19"/>
        <v>26.954512530990065</v>
      </c>
      <c r="V91" s="348">
        <f t="shared" si="20"/>
        <v>18.985754081652793</v>
      </c>
      <c r="W91" s="348">
        <f t="shared" si="21"/>
        <v>28.940077796283123</v>
      </c>
      <c r="X91" s="348">
        <f t="shared" si="22"/>
        <v>18.946460451214506</v>
      </c>
      <c r="AS91" s="758"/>
      <c r="AT91" s="758"/>
      <c r="AU91" s="758"/>
      <c r="AV91" s="758"/>
      <c r="AW91" s="758"/>
      <c r="AX91" s="758"/>
      <c r="AY91" s="758"/>
      <c r="AZ91" s="758"/>
      <c r="BA91" s="758"/>
    </row>
    <row r="92" spans="1:53" x14ac:dyDescent="0.2">
      <c r="A92" s="407">
        <v>84</v>
      </c>
      <c r="B92" s="438">
        <v>27.024000000000001</v>
      </c>
      <c r="C92" s="438">
        <v>19.032</v>
      </c>
      <c r="D92" s="438">
        <v>15.317</v>
      </c>
      <c r="E92" s="438">
        <v>13.582000000000001</v>
      </c>
      <c r="F92" s="438">
        <v>27.024000000000001</v>
      </c>
      <c r="G92" s="438">
        <v>19.032</v>
      </c>
      <c r="H92" s="438">
        <v>29.140999999999998</v>
      </c>
      <c r="I92" s="438">
        <v>19.050999999999998</v>
      </c>
      <c r="J92" s="11"/>
      <c r="Q92" s="348">
        <f t="shared" si="15"/>
        <v>26.96446176763456</v>
      </c>
      <c r="R92" s="348">
        <f t="shared" si="16"/>
        <v>19.000771309726417</v>
      </c>
      <c r="S92" s="348">
        <f t="shared" si="17"/>
        <v>15.156910761804214</v>
      </c>
      <c r="T92" s="348">
        <f t="shared" si="18"/>
        <v>13.60100746395109</v>
      </c>
      <c r="U92" s="348">
        <f t="shared" si="19"/>
        <v>26.96446176763456</v>
      </c>
      <c r="V92" s="348">
        <f t="shared" si="20"/>
        <v>18.985754081652793</v>
      </c>
      <c r="W92" s="348">
        <f t="shared" si="21"/>
        <v>28.938084164065209</v>
      </c>
      <c r="X92" s="348">
        <f t="shared" si="22"/>
        <v>18.947455047110044</v>
      </c>
      <c r="AS92" s="758"/>
      <c r="AT92" s="758"/>
      <c r="AU92" s="758"/>
      <c r="AV92" s="758"/>
      <c r="AW92" s="758"/>
      <c r="AX92" s="758"/>
      <c r="AY92" s="758"/>
      <c r="AZ92" s="758"/>
      <c r="BA92" s="758"/>
    </row>
    <row r="93" spans="1:53" x14ac:dyDescent="0.2">
      <c r="A93" s="407">
        <v>85</v>
      </c>
      <c r="B93" s="438">
        <v>27.023</v>
      </c>
      <c r="C93" s="438">
        <v>19.032</v>
      </c>
      <c r="D93" s="438">
        <v>15.318</v>
      </c>
      <c r="E93" s="438">
        <v>13.587</v>
      </c>
      <c r="F93" s="438">
        <v>27.023</v>
      </c>
      <c r="G93" s="438">
        <v>19.032</v>
      </c>
      <c r="H93" s="438">
        <v>29.14</v>
      </c>
      <c r="I93" s="438">
        <v>19.052</v>
      </c>
      <c r="J93" s="11"/>
      <c r="Q93" s="348">
        <f t="shared" si="15"/>
        <v>26.963466845010572</v>
      </c>
      <c r="R93" s="348">
        <f t="shared" si="16"/>
        <v>19.000771309726417</v>
      </c>
      <c r="S93" s="348">
        <f t="shared" si="17"/>
        <v>15.157910265428947</v>
      </c>
      <c r="T93" s="348">
        <f t="shared" si="18"/>
        <v>13.606011319711039</v>
      </c>
      <c r="U93" s="348">
        <f t="shared" si="19"/>
        <v>26.963466845010572</v>
      </c>
      <c r="V93" s="348">
        <f t="shared" si="20"/>
        <v>18.985754081652793</v>
      </c>
      <c r="W93" s="348">
        <f t="shared" si="21"/>
        <v>28.93708735184007</v>
      </c>
      <c r="X93" s="348">
        <f t="shared" si="22"/>
        <v>18.94844964330424</v>
      </c>
    </row>
    <row r="94" spans="1:53" x14ac:dyDescent="0.2">
      <c r="A94" s="407">
        <v>86</v>
      </c>
      <c r="B94" s="438">
        <v>27.026</v>
      </c>
      <c r="C94" s="438">
        <v>19.027000000000001</v>
      </c>
      <c r="D94" s="438">
        <v>15.317</v>
      </c>
      <c r="E94" s="438">
        <v>13.584</v>
      </c>
      <c r="F94" s="438">
        <v>27.026</v>
      </c>
      <c r="G94" s="438">
        <v>19.027000000000001</v>
      </c>
      <c r="H94" s="438">
        <v>29.140999999999998</v>
      </c>
      <c r="I94" s="438">
        <v>19.052</v>
      </c>
      <c r="J94" s="11"/>
      <c r="Q94" s="348">
        <f t="shared" si="15"/>
        <v>26.966451612189246</v>
      </c>
      <c r="R94" s="348">
        <f t="shared" si="16"/>
        <v>18.995740717503388</v>
      </c>
      <c r="S94" s="348">
        <f t="shared" si="17"/>
        <v>15.156910761804214</v>
      </c>
      <c r="T94" s="348">
        <f t="shared" si="18"/>
        <v>13.603009006498031</v>
      </c>
      <c r="U94" s="348">
        <f t="shared" si="19"/>
        <v>26.966451612189246</v>
      </c>
      <c r="V94" s="348">
        <f t="shared" si="20"/>
        <v>18.980747760565887</v>
      </c>
      <c r="W94" s="348">
        <f t="shared" si="21"/>
        <v>28.938084164065209</v>
      </c>
      <c r="X94" s="348">
        <f t="shared" si="22"/>
        <v>18.94844964330424</v>
      </c>
    </row>
    <row r="95" spans="1:53" x14ac:dyDescent="0.2">
      <c r="A95" s="407">
        <v>87</v>
      </c>
      <c r="B95" s="437">
        <v>27.024999999999999</v>
      </c>
      <c r="C95" s="438">
        <v>19.029</v>
      </c>
      <c r="D95" s="438">
        <v>15.319000000000001</v>
      </c>
      <c r="E95" s="438">
        <v>13.586</v>
      </c>
      <c r="F95" s="438">
        <v>27.024999999999999</v>
      </c>
      <c r="G95" s="438">
        <v>19.029</v>
      </c>
      <c r="H95" s="438">
        <v>29.143000000000001</v>
      </c>
      <c r="I95" s="438">
        <v>19.053000000000001</v>
      </c>
      <c r="J95" s="11"/>
      <c r="Q95" s="348">
        <f t="shared" si="15"/>
        <v>26.965456690027438</v>
      </c>
      <c r="R95" s="348">
        <f t="shared" si="16"/>
        <v>18.997752956527993</v>
      </c>
      <c r="S95" s="348">
        <f t="shared" si="17"/>
        <v>15.158909769957901</v>
      </c>
      <c r="T95" s="348">
        <f t="shared" si="18"/>
        <v>13.605010548721044</v>
      </c>
      <c r="U95" s="348">
        <f t="shared" si="19"/>
        <v>26.965456690027438</v>
      </c>
      <c r="V95" s="348">
        <f t="shared" si="20"/>
        <v>18.982750288845423</v>
      </c>
      <c r="W95" s="348">
        <f t="shared" si="21"/>
        <v>28.940077796283123</v>
      </c>
      <c r="X95" s="348">
        <f t="shared" si="22"/>
        <v>18.94944423979711</v>
      </c>
    </row>
    <row r="96" spans="1:53" x14ac:dyDescent="0.2">
      <c r="A96" s="407">
        <v>88</v>
      </c>
      <c r="B96" s="438">
        <v>27.021999999999998</v>
      </c>
      <c r="C96" s="438">
        <v>19.027000000000001</v>
      </c>
      <c r="D96" s="438">
        <v>15.318</v>
      </c>
      <c r="E96" s="438">
        <v>13.585000000000001</v>
      </c>
      <c r="F96" s="438">
        <v>27.021999999999998</v>
      </c>
      <c r="G96" s="438">
        <v>19.027000000000001</v>
      </c>
      <c r="H96" s="438">
        <v>29.14</v>
      </c>
      <c r="I96" s="438">
        <v>19.050999999999998</v>
      </c>
      <c r="J96" s="11"/>
      <c r="Q96" s="348">
        <f t="shared" si="15"/>
        <v>26.962471922155444</v>
      </c>
      <c r="R96" s="348">
        <f t="shared" si="16"/>
        <v>18.995740717503388</v>
      </c>
      <c r="S96" s="348">
        <f t="shared" si="17"/>
        <v>15.157910265428947</v>
      </c>
      <c r="T96" s="348">
        <f t="shared" si="18"/>
        <v>13.604009777650038</v>
      </c>
      <c r="U96" s="348">
        <f t="shared" si="19"/>
        <v>26.962471922155444</v>
      </c>
      <c r="V96" s="348">
        <f t="shared" si="20"/>
        <v>18.980747760565887</v>
      </c>
      <c r="W96" s="348">
        <f t="shared" si="21"/>
        <v>28.93708735184007</v>
      </c>
      <c r="X96" s="348">
        <f t="shared" si="22"/>
        <v>18.947455047110044</v>
      </c>
    </row>
    <row r="97" spans="1:24" x14ac:dyDescent="0.2">
      <c r="A97" s="407">
        <v>89</v>
      </c>
      <c r="B97" s="438">
        <v>27.016999999999999</v>
      </c>
      <c r="C97" s="438">
        <v>19.027999999999999</v>
      </c>
      <c r="D97" s="437">
        <v>15.318</v>
      </c>
      <c r="E97" s="438">
        <v>13.584</v>
      </c>
      <c r="F97" s="438">
        <v>27.016999999999999</v>
      </c>
      <c r="G97" s="438">
        <v>19.027999999999999</v>
      </c>
      <c r="H97" s="438">
        <v>29.135000000000002</v>
      </c>
      <c r="I97" s="437">
        <v>19.053000000000001</v>
      </c>
      <c r="J97" s="11"/>
      <c r="Q97" s="348">
        <f t="shared" si="15"/>
        <v>26.95749730441176</v>
      </c>
      <c r="R97" s="348">
        <f t="shared" si="16"/>
        <v>18.996746837371525</v>
      </c>
      <c r="S97" s="348">
        <f t="shared" si="17"/>
        <v>15.157910265428947</v>
      </c>
      <c r="T97" s="348">
        <f t="shared" si="18"/>
        <v>13.603009006498031</v>
      </c>
      <c r="U97" s="348">
        <f t="shared" si="19"/>
        <v>26.95749730441176</v>
      </c>
      <c r="V97" s="348">
        <f t="shared" si="20"/>
        <v>18.981749024679733</v>
      </c>
      <c r="W97" s="348">
        <f t="shared" si="21"/>
        <v>28.932103329553385</v>
      </c>
      <c r="X97" s="348">
        <f t="shared" si="22"/>
        <v>18.94944423979711</v>
      </c>
    </row>
    <row r="98" spans="1:24" x14ac:dyDescent="0.2">
      <c r="A98" s="407">
        <v>90</v>
      </c>
      <c r="B98" s="438">
        <v>27.027999999999999</v>
      </c>
      <c r="C98" s="438">
        <v>19.027000000000001</v>
      </c>
      <c r="D98" s="438">
        <v>15.32</v>
      </c>
      <c r="E98" s="438">
        <v>13.587999999999999</v>
      </c>
      <c r="F98" s="438">
        <v>27.027999999999999</v>
      </c>
      <c r="G98" s="438">
        <v>19.027000000000001</v>
      </c>
      <c r="H98" s="438">
        <v>29.135999999999999</v>
      </c>
      <c r="I98" s="438">
        <v>19.052</v>
      </c>
      <c r="J98" s="11"/>
      <c r="Q98" s="348">
        <f t="shared" si="15"/>
        <v>26.968441455819725</v>
      </c>
      <c r="R98" s="348">
        <f t="shared" si="16"/>
        <v>18.995740717503388</v>
      </c>
      <c r="S98" s="348">
        <f t="shared" si="17"/>
        <v>15.159909275390936</v>
      </c>
      <c r="T98" s="348">
        <f t="shared" si="18"/>
        <v>13.607012090620003</v>
      </c>
      <c r="U98" s="348">
        <f t="shared" si="19"/>
        <v>26.968441455819725</v>
      </c>
      <c r="V98" s="348">
        <f t="shared" si="20"/>
        <v>18.980747760565887</v>
      </c>
      <c r="W98" s="348">
        <f t="shared" si="21"/>
        <v>28.933100128832109</v>
      </c>
      <c r="X98" s="348">
        <f t="shared" si="22"/>
        <v>18.94844964330424</v>
      </c>
    </row>
    <row r="99" spans="1:24" x14ac:dyDescent="0.2">
      <c r="A99" s="407">
        <v>91</v>
      </c>
      <c r="B99" s="438">
        <v>27.029</v>
      </c>
      <c r="C99" s="438">
        <v>19.026</v>
      </c>
      <c r="D99" s="438">
        <v>15.324999999999999</v>
      </c>
      <c r="E99" s="438">
        <v>13.59</v>
      </c>
      <c r="F99" s="438">
        <v>27.029</v>
      </c>
      <c r="G99" s="438">
        <v>19.026</v>
      </c>
      <c r="H99" s="438">
        <v>29.135000000000002</v>
      </c>
      <c r="I99" s="438">
        <v>19.056000000000001</v>
      </c>
      <c r="J99" s="11"/>
      <c r="Q99" s="348">
        <f t="shared" si="15"/>
        <v>26.969436377288471</v>
      </c>
      <c r="R99" s="348">
        <f t="shared" si="16"/>
        <v>18.994734596923678</v>
      </c>
      <c r="S99" s="348">
        <f t="shared" si="17"/>
        <v>15.164906816112412</v>
      </c>
      <c r="T99" s="348">
        <f t="shared" si="18"/>
        <v>13.60901363219479</v>
      </c>
      <c r="U99" s="348">
        <f t="shared" si="19"/>
        <v>26.969436377288471</v>
      </c>
      <c r="V99" s="348">
        <f t="shared" si="20"/>
        <v>18.979746496503953</v>
      </c>
      <c r="W99" s="348">
        <f t="shared" si="21"/>
        <v>28.932103329553385</v>
      </c>
      <c r="X99" s="348">
        <f t="shared" si="22"/>
        <v>18.952428031068035</v>
      </c>
    </row>
    <row r="100" spans="1:24" x14ac:dyDescent="0.2">
      <c r="A100" s="407">
        <v>92</v>
      </c>
      <c r="B100" s="438">
        <v>27.027000000000001</v>
      </c>
      <c r="C100" s="438">
        <v>19.024999999999999</v>
      </c>
      <c r="D100" s="438">
        <v>15.32</v>
      </c>
      <c r="E100" s="438">
        <v>13.59</v>
      </c>
      <c r="F100" s="438">
        <v>27.027000000000001</v>
      </c>
      <c r="G100" s="438">
        <v>19.024999999999999</v>
      </c>
      <c r="H100" s="438">
        <v>29.132999999999999</v>
      </c>
      <c r="I100" s="438">
        <v>19.053999999999998</v>
      </c>
      <c r="J100" s="11"/>
      <c r="Q100" s="348">
        <f t="shared" si="15"/>
        <v>26.967446534119997</v>
      </c>
      <c r="R100" s="348">
        <f t="shared" si="16"/>
        <v>18.993728475632487</v>
      </c>
      <c r="S100" s="348">
        <f t="shared" si="17"/>
        <v>15.159909275390936</v>
      </c>
      <c r="T100" s="348">
        <f t="shared" si="18"/>
        <v>13.60901363219479</v>
      </c>
      <c r="U100" s="348">
        <f t="shared" si="19"/>
        <v>26.967446534119997</v>
      </c>
      <c r="V100" s="348">
        <f t="shared" si="20"/>
        <v>18.978745232494017</v>
      </c>
      <c r="W100" s="348">
        <f t="shared" si="21"/>
        <v>28.93010973876402</v>
      </c>
      <c r="X100" s="348">
        <f t="shared" si="22"/>
        <v>18.950438836588681</v>
      </c>
    </row>
    <row r="101" spans="1:24" x14ac:dyDescent="0.2">
      <c r="A101" s="407">
        <v>93</v>
      </c>
      <c r="B101" s="438">
        <v>27.027000000000001</v>
      </c>
      <c r="C101" s="437">
        <v>19.024000000000001</v>
      </c>
      <c r="D101" s="438">
        <v>15.321</v>
      </c>
      <c r="E101" s="438">
        <v>13.590999999999999</v>
      </c>
      <c r="F101" s="438">
        <v>27.027000000000001</v>
      </c>
      <c r="G101" s="438">
        <v>19.024000000000001</v>
      </c>
      <c r="H101" s="438">
        <v>29.135999999999999</v>
      </c>
      <c r="I101" s="438">
        <v>19.059999999999999</v>
      </c>
      <c r="J101" s="11"/>
      <c r="Q101" s="348">
        <f t="shared" si="15"/>
        <v>26.967446534119997</v>
      </c>
      <c r="R101" s="348">
        <f t="shared" si="16"/>
        <v>18.992722353629908</v>
      </c>
      <c r="S101" s="348">
        <f t="shared" si="17"/>
        <v>15.160908781727908</v>
      </c>
      <c r="T101" s="348">
        <f t="shared" si="18"/>
        <v>13.610014402860577</v>
      </c>
      <c r="U101" s="348">
        <f t="shared" si="19"/>
        <v>26.967446534119997</v>
      </c>
      <c r="V101" s="348">
        <f t="shared" si="20"/>
        <v>18.977743968536146</v>
      </c>
      <c r="W101" s="348">
        <f t="shared" si="21"/>
        <v>28.933100128832109</v>
      </c>
      <c r="X101" s="348">
        <f t="shared" si="22"/>
        <v>18.956406423612247</v>
      </c>
    </row>
    <row r="102" spans="1:24" x14ac:dyDescent="0.2">
      <c r="A102" s="407">
        <v>94</v>
      </c>
      <c r="B102" s="438">
        <v>27.023</v>
      </c>
      <c r="C102" s="438">
        <v>19.023</v>
      </c>
      <c r="D102" s="438">
        <v>15.319000000000001</v>
      </c>
      <c r="E102" s="437">
        <v>13.587</v>
      </c>
      <c r="F102" s="438">
        <v>27.023</v>
      </c>
      <c r="G102" s="438">
        <v>19.023</v>
      </c>
      <c r="H102" s="438">
        <v>29.135999999999999</v>
      </c>
      <c r="I102" s="438">
        <v>19.056000000000001</v>
      </c>
      <c r="J102" s="11"/>
      <c r="Q102" s="348">
        <f t="shared" si="15"/>
        <v>26.963466845010572</v>
      </c>
      <c r="R102" s="348">
        <f t="shared" si="16"/>
        <v>18.99171623091604</v>
      </c>
      <c r="S102" s="348">
        <f t="shared" si="17"/>
        <v>15.158909769957901</v>
      </c>
      <c r="T102" s="348">
        <f t="shared" si="18"/>
        <v>13.606011319711039</v>
      </c>
      <c r="U102" s="348">
        <f t="shared" si="19"/>
        <v>26.963466845010572</v>
      </c>
      <c r="V102" s="348">
        <f t="shared" si="20"/>
        <v>18.976742704630418</v>
      </c>
      <c r="W102" s="348">
        <f t="shared" si="21"/>
        <v>28.933100128832109</v>
      </c>
      <c r="X102" s="348">
        <f t="shared" si="22"/>
        <v>18.952428031068035</v>
      </c>
    </row>
    <row r="103" spans="1:24" x14ac:dyDescent="0.2">
      <c r="A103" s="407">
        <v>95</v>
      </c>
      <c r="B103" s="438">
        <v>27.024999999999999</v>
      </c>
      <c r="C103" s="438">
        <v>19.023</v>
      </c>
      <c r="D103" s="438">
        <v>15.32</v>
      </c>
      <c r="E103" s="438">
        <v>13.586</v>
      </c>
      <c r="F103" s="438">
        <v>27.024999999999999</v>
      </c>
      <c r="G103" s="438">
        <v>19.023</v>
      </c>
      <c r="H103" s="438">
        <v>29.137</v>
      </c>
      <c r="I103" s="438">
        <v>19.056999999999999</v>
      </c>
      <c r="J103" s="11"/>
      <c r="Q103" s="348">
        <f t="shared" si="15"/>
        <v>26.965456690027438</v>
      </c>
      <c r="R103" s="348">
        <f t="shared" si="16"/>
        <v>18.99171623091604</v>
      </c>
      <c r="S103" s="348">
        <f t="shared" si="17"/>
        <v>15.159909275390936</v>
      </c>
      <c r="T103" s="348">
        <f t="shared" si="18"/>
        <v>13.605010548721044</v>
      </c>
      <c r="U103" s="348">
        <f t="shared" si="19"/>
        <v>26.965456690027438</v>
      </c>
      <c r="V103" s="348">
        <f t="shared" si="20"/>
        <v>18.976742704630418</v>
      </c>
      <c r="W103" s="348">
        <f t="shared" si="21"/>
        <v>28.934096930700161</v>
      </c>
      <c r="X103" s="348">
        <f t="shared" si="22"/>
        <v>18.95342262875586</v>
      </c>
    </row>
    <row r="104" spans="1:24" x14ac:dyDescent="0.2">
      <c r="A104" s="407">
        <v>96</v>
      </c>
      <c r="B104" s="438">
        <v>27.036999999999999</v>
      </c>
      <c r="C104" s="438">
        <v>19.024000000000001</v>
      </c>
      <c r="D104" s="438">
        <v>15.319000000000001</v>
      </c>
      <c r="E104" s="438">
        <v>13.585000000000001</v>
      </c>
      <c r="F104" s="438">
        <v>27.036999999999999</v>
      </c>
      <c r="G104" s="438">
        <v>19.024000000000001</v>
      </c>
      <c r="H104" s="438">
        <v>29.135999999999999</v>
      </c>
      <c r="I104" s="438">
        <v>19.058</v>
      </c>
      <c r="J104" s="11"/>
      <c r="Q104" s="348">
        <f t="shared" si="15"/>
        <v>26.977395740726159</v>
      </c>
      <c r="R104" s="348">
        <f t="shared" si="16"/>
        <v>18.992722353629908</v>
      </c>
      <c r="S104" s="348">
        <f t="shared" si="17"/>
        <v>15.158909769957901</v>
      </c>
      <c r="T104" s="348">
        <f t="shared" si="18"/>
        <v>13.604009777650038</v>
      </c>
      <c r="U104" s="348">
        <f t="shared" si="19"/>
        <v>26.977395740726159</v>
      </c>
      <c r="V104" s="348">
        <f t="shared" si="20"/>
        <v>18.977743968536146</v>
      </c>
      <c r="W104" s="348">
        <f t="shared" si="21"/>
        <v>28.933100128832109</v>
      </c>
      <c r="X104" s="348">
        <f t="shared" si="22"/>
        <v>18.954417226742486</v>
      </c>
    </row>
    <row r="105" spans="1:24" x14ac:dyDescent="0.2">
      <c r="A105" s="407">
        <v>97</v>
      </c>
      <c r="B105" s="438">
        <v>27.027999999999999</v>
      </c>
      <c r="C105" s="438">
        <v>19.024000000000001</v>
      </c>
      <c r="D105" s="438">
        <v>15.321</v>
      </c>
      <c r="E105" s="438">
        <v>13.579000000000001</v>
      </c>
      <c r="F105" s="438">
        <v>27.027999999999999</v>
      </c>
      <c r="G105" s="438">
        <v>19.024000000000001</v>
      </c>
      <c r="H105" s="438">
        <v>29.138000000000002</v>
      </c>
      <c r="I105" s="438">
        <v>19.064</v>
      </c>
      <c r="J105" s="11"/>
      <c r="Q105" s="348">
        <f t="shared" si="15"/>
        <v>26.968441455819725</v>
      </c>
      <c r="R105" s="348">
        <f t="shared" si="16"/>
        <v>18.992722353629908</v>
      </c>
      <c r="S105" s="348">
        <f t="shared" si="17"/>
        <v>15.160908781727908</v>
      </c>
      <c r="T105" s="348">
        <f t="shared" si="18"/>
        <v>13.598005149523575</v>
      </c>
      <c r="U105" s="348">
        <f t="shared" si="19"/>
        <v>26.968441455819725</v>
      </c>
      <c r="V105" s="348">
        <f t="shared" si="20"/>
        <v>18.977743968536146</v>
      </c>
      <c r="W105" s="348">
        <f t="shared" si="21"/>
        <v>28.935093735157523</v>
      </c>
      <c r="X105" s="348">
        <f t="shared" si="22"/>
        <v>18.960384820938479</v>
      </c>
    </row>
    <row r="106" spans="1:24" x14ac:dyDescent="0.2">
      <c r="A106" s="407">
        <v>98</v>
      </c>
      <c r="B106" s="438">
        <v>27.036000000000001</v>
      </c>
      <c r="C106" s="438">
        <v>19.026</v>
      </c>
      <c r="D106" s="438">
        <v>15.321999999999999</v>
      </c>
      <c r="E106" s="438">
        <v>13.583</v>
      </c>
      <c r="F106" s="438">
        <v>27.036000000000001</v>
      </c>
      <c r="G106" s="438">
        <v>19.026</v>
      </c>
      <c r="H106" s="438">
        <v>29.140999999999998</v>
      </c>
      <c r="I106" s="438">
        <v>19.062999999999999</v>
      </c>
      <c r="J106" s="11"/>
      <c r="Q106" s="348">
        <f t="shared" si="15"/>
        <v>26.97640082110431</v>
      </c>
      <c r="R106" s="348">
        <f t="shared" si="16"/>
        <v>18.994734596923678</v>
      </c>
      <c r="S106" s="348">
        <f t="shared" si="17"/>
        <v>15.161908288968682</v>
      </c>
      <c r="T106" s="348">
        <f t="shared" si="18"/>
        <v>13.602008235265044</v>
      </c>
      <c r="U106" s="348">
        <f t="shared" si="19"/>
        <v>26.97640082110431</v>
      </c>
      <c r="V106" s="348">
        <f t="shared" si="20"/>
        <v>18.979746496503953</v>
      </c>
      <c r="W106" s="348">
        <f t="shared" si="21"/>
        <v>28.938084164065209</v>
      </c>
      <c r="X106" s="348">
        <f t="shared" si="22"/>
        <v>18.959390221158522</v>
      </c>
    </row>
    <row r="107" spans="1:24" x14ac:dyDescent="0.2">
      <c r="A107" s="407">
        <v>99</v>
      </c>
      <c r="B107" s="438">
        <v>27.024999999999999</v>
      </c>
      <c r="C107" s="438">
        <v>19.026</v>
      </c>
      <c r="D107" s="438">
        <v>15.318</v>
      </c>
      <c r="E107" s="438">
        <v>13.58</v>
      </c>
      <c r="F107" s="438">
        <v>27.024999999999999</v>
      </c>
      <c r="G107" s="437">
        <v>19.026</v>
      </c>
      <c r="H107" s="438">
        <v>29.138000000000002</v>
      </c>
      <c r="I107" s="438">
        <v>19.062999999999999</v>
      </c>
      <c r="J107" s="11"/>
      <c r="Q107" s="348">
        <f t="shared" si="15"/>
        <v>26.965456690027438</v>
      </c>
      <c r="R107" s="348">
        <f t="shared" si="16"/>
        <v>18.994734596923678</v>
      </c>
      <c r="S107" s="348">
        <f t="shared" si="17"/>
        <v>15.157910265428947</v>
      </c>
      <c r="T107" s="348">
        <f t="shared" si="18"/>
        <v>13.599005921080339</v>
      </c>
      <c r="U107" s="348">
        <f t="shared" si="19"/>
        <v>26.965456690027438</v>
      </c>
      <c r="V107" s="348">
        <f t="shared" si="20"/>
        <v>18.979746496503953</v>
      </c>
      <c r="W107" s="348">
        <f t="shared" si="21"/>
        <v>28.935093735157523</v>
      </c>
      <c r="X107" s="348">
        <f t="shared" si="22"/>
        <v>18.959390221158522</v>
      </c>
    </row>
    <row r="108" spans="1:24" x14ac:dyDescent="0.2">
      <c r="A108" s="407">
        <v>100</v>
      </c>
      <c r="B108" s="438">
        <v>27.033999999999999</v>
      </c>
      <c r="C108" s="438">
        <v>19.029</v>
      </c>
      <c r="D108" s="438">
        <v>15.32</v>
      </c>
      <c r="E108" s="438">
        <v>13.584</v>
      </c>
      <c r="F108" s="438">
        <v>27.033999999999999</v>
      </c>
      <c r="G108" s="438">
        <v>19.029</v>
      </c>
      <c r="H108" s="438">
        <v>29.138999999999999</v>
      </c>
      <c r="I108" s="438">
        <v>19.067</v>
      </c>
      <c r="J108" s="11"/>
      <c r="Q108" s="348">
        <f t="shared" si="15"/>
        <v>26.974410981168305</v>
      </c>
      <c r="R108" s="348">
        <f t="shared" si="16"/>
        <v>18.997752956527993</v>
      </c>
      <c r="S108" s="348">
        <f t="shared" si="17"/>
        <v>15.159909275390936</v>
      </c>
      <c r="T108" s="348">
        <f t="shared" si="18"/>
        <v>13.603009006498031</v>
      </c>
      <c r="U108" s="348">
        <f t="shared" si="19"/>
        <v>26.974410981168305</v>
      </c>
      <c r="V108" s="348">
        <f t="shared" si="20"/>
        <v>18.982750288845423</v>
      </c>
      <c r="W108" s="348">
        <f t="shared" si="21"/>
        <v>28.936090542204166</v>
      </c>
      <c r="X108" s="348">
        <f t="shared" si="22"/>
        <v>18.963368622072302</v>
      </c>
    </row>
    <row r="109" spans="1:24" x14ac:dyDescent="0.2">
      <c r="A109" s="407">
        <v>101</v>
      </c>
      <c r="B109" s="437">
        <v>27.027000000000001</v>
      </c>
      <c r="C109" s="437">
        <v>19.029</v>
      </c>
      <c r="D109" s="438">
        <v>15.317</v>
      </c>
      <c r="E109" s="437">
        <v>13.582000000000001</v>
      </c>
      <c r="F109" s="437">
        <v>27.027000000000001</v>
      </c>
      <c r="G109" s="437">
        <v>19.029</v>
      </c>
      <c r="H109" s="437">
        <v>29.141999999999999</v>
      </c>
      <c r="I109" s="438">
        <v>19.065999999999999</v>
      </c>
      <c r="J109" s="11"/>
      <c r="Q109" s="348">
        <f t="shared" si="15"/>
        <v>26.967446534119997</v>
      </c>
      <c r="R109" s="348">
        <f t="shared" si="16"/>
        <v>18.997752956527993</v>
      </c>
      <c r="S109" s="348">
        <f t="shared" si="17"/>
        <v>15.156910761804214</v>
      </c>
      <c r="T109" s="348">
        <f t="shared" si="18"/>
        <v>13.60100746395109</v>
      </c>
      <c r="U109" s="348">
        <f t="shared" si="19"/>
        <v>26.967446534119997</v>
      </c>
      <c r="V109" s="348">
        <f t="shared" si="20"/>
        <v>18.982750288845423</v>
      </c>
      <c r="W109" s="348">
        <f t="shared" si="21"/>
        <v>28.93908097887957</v>
      </c>
      <c r="X109" s="348">
        <f t="shared" si="22"/>
        <v>18.962374021395345</v>
      </c>
    </row>
    <row r="110" spans="1:24" x14ac:dyDescent="0.2">
      <c r="A110" s="407">
        <v>102</v>
      </c>
      <c r="B110" s="438">
        <v>27.027999999999999</v>
      </c>
      <c r="C110" s="438">
        <v>19.030999999999999</v>
      </c>
      <c r="D110" s="438">
        <v>15.32</v>
      </c>
      <c r="E110" s="438">
        <v>13.581</v>
      </c>
      <c r="F110" s="438">
        <v>27.027999999999999</v>
      </c>
      <c r="G110" s="438">
        <v>19.030999999999999</v>
      </c>
      <c r="H110" s="438">
        <v>29.141999999999999</v>
      </c>
      <c r="I110" s="438">
        <v>19.067</v>
      </c>
      <c r="J110" s="11"/>
      <c r="Q110" s="348">
        <f t="shared" si="15"/>
        <v>26.968441455819725</v>
      </c>
      <c r="R110" s="348">
        <f t="shared" si="16"/>
        <v>18.999765192705532</v>
      </c>
      <c r="S110" s="348">
        <f t="shared" si="17"/>
        <v>15.159909275390936</v>
      </c>
      <c r="T110" s="348">
        <f t="shared" si="18"/>
        <v>13.600006692556182</v>
      </c>
      <c r="U110" s="348">
        <f t="shared" si="19"/>
        <v>26.968441455819725</v>
      </c>
      <c r="V110" s="348">
        <f t="shared" si="20"/>
        <v>18.984752817332026</v>
      </c>
      <c r="W110" s="348">
        <f t="shared" si="21"/>
        <v>28.93908097887957</v>
      </c>
      <c r="X110" s="348">
        <f t="shared" si="22"/>
        <v>18.963368622072302</v>
      </c>
    </row>
    <row r="111" spans="1:24" x14ac:dyDescent="0.2">
      <c r="A111" s="407">
        <v>103</v>
      </c>
      <c r="B111" s="438">
        <v>27.035</v>
      </c>
      <c r="C111" s="438">
        <v>19.030999999999999</v>
      </c>
      <c r="D111" s="438">
        <v>15.32</v>
      </c>
      <c r="E111" s="438">
        <v>13.58</v>
      </c>
      <c r="F111" s="438">
        <v>27.035</v>
      </c>
      <c r="G111" s="438">
        <v>19.030999999999999</v>
      </c>
      <c r="H111" s="438">
        <v>29.140999999999998</v>
      </c>
      <c r="I111" s="438">
        <v>19.067</v>
      </c>
      <c r="J111" s="11"/>
      <c r="Q111" s="348">
        <f t="shared" si="15"/>
        <v>26.975405901251705</v>
      </c>
      <c r="R111" s="348">
        <f t="shared" si="16"/>
        <v>18.999765192705532</v>
      </c>
      <c r="S111" s="348">
        <f t="shared" si="17"/>
        <v>15.159909275390936</v>
      </c>
      <c r="T111" s="348">
        <f t="shared" si="18"/>
        <v>13.599005921080339</v>
      </c>
      <c r="U111" s="348">
        <f t="shared" si="19"/>
        <v>26.975405901251705</v>
      </c>
      <c r="V111" s="348">
        <f t="shared" si="20"/>
        <v>18.984752817332026</v>
      </c>
      <c r="W111" s="348">
        <f t="shared" si="21"/>
        <v>28.938084164065209</v>
      </c>
      <c r="X111" s="348">
        <f t="shared" si="22"/>
        <v>18.963368622072302</v>
      </c>
    </row>
    <row r="112" spans="1:24" x14ac:dyDescent="0.2">
      <c r="A112" s="407">
        <v>104</v>
      </c>
      <c r="B112" s="438">
        <v>27.038</v>
      </c>
      <c r="C112" s="438">
        <v>19.036000000000001</v>
      </c>
      <c r="D112" s="438">
        <v>15.317</v>
      </c>
      <c r="E112" s="438">
        <v>13.585000000000001</v>
      </c>
      <c r="F112" s="438">
        <v>27.038</v>
      </c>
      <c r="G112" s="438">
        <v>19.036000000000001</v>
      </c>
      <c r="H112" s="438">
        <v>29.143999999999998</v>
      </c>
      <c r="I112" s="438">
        <v>19.068999999999999</v>
      </c>
      <c r="J112" s="11"/>
      <c r="Q112" s="348">
        <f t="shared" si="15"/>
        <v>26.978390660117274</v>
      </c>
      <c r="R112" s="348">
        <f t="shared" si="16"/>
        <v>19.004795770688506</v>
      </c>
      <c r="S112" s="348">
        <f t="shared" si="17"/>
        <v>15.156910761804214</v>
      </c>
      <c r="T112" s="348">
        <f t="shared" si="18"/>
        <v>13.604009777650038</v>
      </c>
      <c r="U112" s="348">
        <f t="shared" si="19"/>
        <v>26.978390660117274</v>
      </c>
      <c r="V112" s="348">
        <f t="shared" si="20"/>
        <v>18.989759139450531</v>
      </c>
      <c r="W112" s="348">
        <f t="shared" si="21"/>
        <v>28.941074616275838</v>
      </c>
      <c r="X112" s="348">
        <f t="shared" si="22"/>
        <v>18.965357824323391</v>
      </c>
    </row>
    <row r="113" spans="1:24" x14ac:dyDescent="0.2">
      <c r="A113" s="407">
        <v>105</v>
      </c>
      <c r="B113" s="438">
        <v>27.030999999999999</v>
      </c>
      <c r="C113" s="438">
        <v>19.035</v>
      </c>
      <c r="D113" s="438">
        <v>15.317</v>
      </c>
      <c r="E113" s="438">
        <v>13.583</v>
      </c>
      <c r="F113" s="438">
        <v>27.030999999999999</v>
      </c>
      <c r="G113" s="438">
        <v>19.035</v>
      </c>
      <c r="H113" s="438">
        <v>29.138999999999999</v>
      </c>
      <c r="I113" s="438">
        <v>19.068000000000001</v>
      </c>
      <c r="J113" s="11"/>
      <c r="Q113" s="348">
        <f t="shared" si="15"/>
        <v>26.97142621953309</v>
      </c>
      <c r="R113" s="348">
        <f t="shared" si="16"/>
        <v>19.003789656516393</v>
      </c>
      <c r="S113" s="348">
        <f t="shared" si="17"/>
        <v>15.156910761804214</v>
      </c>
      <c r="T113" s="348">
        <f t="shared" si="18"/>
        <v>13.602008235265044</v>
      </c>
      <c r="U113" s="348">
        <f t="shared" si="19"/>
        <v>26.97142621953309</v>
      </c>
      <c r="V113" s="348">
        <f t="shared" si="20"/>
        <v>18.988757874924048</v>
      </c>
      <c r="W113" s="348">
        <f t="shared" si="21"/>
        <v>28.936090542204166</v>
      </c>
      <c r="X113" s="348">
        <f t="shared" si="22"/>
        <v>18.964363223048313</v>
      </c>
    </row>
    <row r="114" spans="1:24" x14ac:dyDescent="0.2">
      <c r="A114" s="407">
        <v>106</v>
      </c>
      <c r="B114" s="438">
        <v>27.035</v>
      </c>
      <c r="C114" s="438">
        <v>19.035</v>
      </c>
      <c r="D114" s="438">
        <v>15.316000000000001</v>
      </c>
      <c r="E114" s="438">
        <v>13.586</v>
      </c>
      <c r="F114" s="438">
        <v>27.035</v>
      </c>
      <c r="G114" s="438">
        <v>19.035</v>
      </c>
      <c r="H114" s="438">
        <v>29.138999999999999</v>
      </c>
      <c r="I114" s="438">
        <v>19.067</v>
      </c>
      <c r="J114" s="11"/>
      <c r="Q114" s="348">
        <f t="shared" si="15"/>
        <v>26.975405901251705</v>
      </c>
      <c r="R114" s="348">
        <f t="shared" si="16"/>
        <v>19.003789656516393</v>
      </c>
      <c r="S114" s="348">
        <f t="shared" si="17"/>
        <v>15.155911259083842</v>
      </c>
      <c r="T114" s="348">
        <f t="shared" si="18"/>
        <v>13.605010548721044</v>
      </c>
      <c r="U114" s="348">
        <f t="shared" si="19"/>
        <v>26.975405901251705</v>
      </c>
      <c r="V114" s="348">
        <f t="shared" si="20"/>
        <v>18.988757874924048</v>
      </c>
      <c r="W114" s="348">
        <f t="shared" si="21"/>
        <v>28.936090542204166</v>
      </c>
      <c r="X114" s="348">
        <f t="shared" si="22"/>
        <v>18.963368622072302</v>
      </c>
    </row>
    <row r="115" spans="1:24" x14ac:dyDescent="0.2">
      <c r="A115" s="407">
        <v>107</v>
      </c>
      <c r="B115" s="438">
        <v>27.042000000000002</v>
      </c>
      <c r="C115" s="438">
        <v>19.036999999999999</v>
      </c>
      <c r="D115" s="438">
        <v>15.319000000000001</v>
      </c>
      <c r="E115" s="438">
        <v>13.589</v>
      </c>
      <c r="F115" s="438">
        <v>27.042000000000002</v>
      </c>
      <c r="G115" s="438">
        <v>19.036999999999999</v>
      </c>
      <c r="H115" s="438">
        <v>29.143000000000001</v>
      </c>
      <c r="I115" s="438">
        <v>19.068999999999999</v>
      </c>
      <c r="J115" s="11"/>
      <c r="Q115" s="348">
        <f t="shared" si="15"/>
        <v>26.982370335375013</v>
      </c>
      <c r="R115" s="348">
        <f t="shared" si="16"/>
        <v>19.005801884148187</v>
      </c>
      <c r="S115" s="348">
        <f t="shared" si="17"/>
        <v>15.158909769957901</v>
      </c>
      <c r="T115" s="348">
        <f t="shared" si="18"/>
        <v>13.608012861447927</v>
      </c>
      <c r="U115" s="348">
        <f t="shared" si="19"/>
        <v>26.982370335375013</v>
      </c>
      <c r="V115" s="348">
        <f t="shared" si="20"/>
        <v>18.990760404028258</v>
      </c>
      <c r="W115" s="348">
        <f t="shared" si="21"/>
        <v>28.940077796283123</v>
      </c>
      <c r="X115" s="348">
        <f t="shared" si="22"/>
        <v>18.965357824323391</v>
      </c>
    </row>
    <row r="116" spans="1:24" x14ac:dyDescent="0.2">
      <c r="A116" s="407">
        <v>108</v>
      </c>
      <c r="B116" s="438">
        <v>27.041</v>
      </c>
      <c r="C116" s="438">
        <v>19.039000000000001</v>
      </c>
      <c r="D116" s="438">
        <v>15.321</v>
      </c>
      <c r="E116" s="438">
        <v>13.59</v>
      </c>
      <c r="F116" s="438">
        <v>27.041</v>
      </c>
      <c r="G116" s="438">
        <v>19.039000000000001</v>
      </c>
      <c r="H116" s="438">
        <v>29.138000000000002</v>
      </c>
      <c r="I116" s="438">
        <v>19.068999999999999</v>
      </c>
      <c r="J116" s="11"/>
      <c r="Q116" s="348">
        <f t="shared" si="15"/>
        <v>26.981375416906527</v>
      </c>
      <c r="R116" s="348">
        <f t="shared" si="16"/>
        <v>19.007814108929892</v>
      </c>
      <c r="S116" s="348">
        <f t="shared" si="17"/>
        <v>15.160908781727908</v>
      </c>
      <c r="T116" s="348">
        <f t="shared" si="18"/>
        <v>13.60901363219479</v>
      </c>
      <c r="U116" s="348">
        <f t="shared" si="19"/>
        <v>26.981375416906527</v>
      </c>
      <c r="V116" s="348">
        <f t="shared" si="20"/>
        <v>18.992762933337143</v>
      </c>
      <c r="W116" s="348">
        <f t="shared" si="21"/>
        <v>28.935093735157523</v>
      </c>
      <c r="X116" s="348">
        <f t="shared" si="22"/>
        <v>18.965357824323391</v>
      </c>
    </row>
    <row r="117" spans="1:24" x14ac:dyDescent="0.2">
      <c r="A117" s="407">
        <v>109</v>
      </c>
      <c r="B117" s="438">
        <v>27.045000000000002</v>
      </c>
      <c r="C117" s="438">
        <v>19.04</v>
      </c>
      <c r="D117" s="438">
        <v>15.321999999999999</v>
      </c>
      <c r="E117" s="438">
        <v>13.587</v>
      </c>
      <c r="F117" s="438">
        <v>27.045000000000002</v>
      </c>
      <c r="G117" s="438">
        <v>19.04</v>
      </c>
      <c r="H117" s="438">
        <v>29.138999999999999</v>
      </c>
      <c r="I117" s="438">
        <v>19.068000000000001</v>
      </c>
      <c r="J117" s="11"/>
      <c r="Q117" s="348">
        <f t="shared" si="15"/>
        <v>26.985355089397057</v>
      </c>
      <c r="R117" s="348">
        <f t="shared" si="16"/>
        <v>19.008820220251717</v>
      </c>
      <c r="S117" s="348">
        <f t="shared" si="17"/>
        <v>15.161908288968682</v>
      </c>
      <c r="T117" s="348">
        <f t="shared" si="18"/>
        <v>13.606011319711039</v>
      </c>
      <c r="U117" s="348">
        <f t="shared" si="19"/>
        <v>26.985355089397057</v>
      </c>
      <c r="V117" s="348">
        <f t="shared" si="20"/>
        <v>18.993764198068142</v>
      </c>
      <c r="W117" s="348">
        <f t="shared" si="21"/>
        <v>28.936090542204166</v>
      </c>
      <c r="X117" s="348">
        <f t="shared" si="22"/>
        <v>18.964363223048313</v>
      </c>
    </row>
    <row r="118" spans="1:24" x14ac:dyDescent="0.2">
      <c r="A118" s="407">
        <v>110</v>
      </c>
      <c r="B118" s="438">
        <v>27.045999999999999</v>
      </c>
      <c r="C118" s="438">
        <v>19.042000000000002</v>
      </c>
      <c r="D118" s="438">
        <v>15.324</v>
      </c>
      <c r="E118" s="438">
        <v>13.59</v>
      </c>
      <c r="F118" s="438">
        <v>27.045999999999999</v>
      </c>
      <c r="G118" s="438">
        <v>19.042000000000002</v>
      </c>
      <c r="H118" s="438">
        <v>29.14</v>
      </c>
      <c r="I118" s="438">
        <v>19.067</v>
      </c>
      <c r="J118" s="11"/>
      <c r="Q118" s="348">
        <f t="shared" si="15"/>
        <v>26.986350006943361</v>
      </c>
      <c r="R118" s="348">
        <f t="shared" si="16"/>
        <v>19.01083244075685</v>
      </c>
      <c r="S118" s="348">
        <f t="shared" si="17"/>
        <v>15.163907306161075</v>
      </c>
      <c r="T118" s="348">
        <f t="shared" si="18"/>
        <v>13.60901363219479</v>
      </c>
      <c r="U118" s="348">
        <f t="shared" si="19"/>
        <v>26.986350006943361</v>
      </c>
      <c r="V118" s="348">
        <f t="shared" si="20"/>
        <v>18.995766727682909</v>
      </c>
      <c r="W118" s="348">
        <f t="shared" si="21"/>
        <v>28.93708735184007</v>
      </c>
      <c r="X118" s="348">
        <f t="shared" si="22"/>
        <v>18.963368622072302</v>
      </c>
    </row>
    <row r="119" spans="1:24" x14ac:dyDescent="0.2">
      <c r="A119" s="407">
        <v>111</v>
      </c>
      <c r="B119" s="438">
        <v>27.050999999999998</v>
      </c>
      <c r="C119" s="438">
        <v>19.042000000000002</v>
      </c>
      <c r="D119" s="438">
        <v>15.323</v>
      </c>
      <c r="E119" s="438">
        <v>13.59</v>
      </c>
      <c r="F119" s="438">
        <v>27.050999999999998</v>
      </c>
      <c r="G119" s="438">
        <v>19.042000000000002</v>
      </c>
      <c r="H119" s="438">
        <v>29.135000000000002</v>
      </c>
      <c r="I119" s="438">
        <v>19.067</v>
      </c>
      <c r="J119" s="11"/>
      <c r="Q119" s="348">
        <f t="shared" si="15"/>
        <v>26.99132459121844</v>
      </c>
      <c r="R119" s="348">
        <f t="shared" si="16"/>
        <v>19.01083244075685</v>
      </c>
      <c r="S119" s="348">
        <f t="shared" si="17"/>
        <v>15.162907797113119</v>
      </c>
      <c r="T119" s="348">
        <f t="shared" si="18"/>
        <v>13.60901363219479</v>
      </c>
      <c r="U119" s="348">
        <f t="shared" si="19"/>
        <v>26.99132459121844</v>
      </c>
      <c r="V119" s="348">
        <f t="shared" si="20"/>
        <v>18.995766727682909</v>
      </c>
      <c r="W119" s="348">
        <f t="shared" si="21"/>
        <v>28.932103329553385</v>
      </c>
      <c r="X119" s="348">
        <f t="shared" si="22"/>
        <v>18.963368622072302</v>
      </c>
    </row>
    <row r="120" spans="1:24" x14ac:dyDescent="0.2">
      <c r="A120" s="407">
        <v>112</v>
      </c>
      <c r="B120" s="438">
        <v>27.036999999999999</v>
      </c>
      <c r="C120" s="438">
        <v>19.04</v>
      </c>
      <c r="D120" s="438">
        <v>15.318</v>
      </c>
      <c r="E120" s="438">
        <v>13.583</v>
      </c>
      <c r="F120" s="438">
        <v>27.036999999999999</v>
      </c>
      <c r="G120" s="438">
        <v>19.04</v>
      </c>
      <c r="H120" s="438">
        <v>29.13</v>
      </c>
      <c r="I120" s="438">
        <v>19.067</v>
      </c>
      <c r="J120" s="11"/>
      <c r="Q120" s="348">
        <f t="shared" si="15"/>
        <v>26.977395740726159</v>
      </c>
      <c r="R120" s="348">
        <f t="shared" si="16"/>
        <v>19.008820220251717</v>
      </c>
      <c r="S120" s="348">
        <f t="shared" si="17"/>
        <v>15.157910265428947</v>
      </c>
      <c r="T120" s="348">
        <f t="shared" si="18"/>
        <v>13.602008235265044</v>
      </c>
      <c r="U120" s="348">
        <f t="shared" si="19"/>
        <v>26.977395740726159</v>
      </c>
      <c r="V120" s="348">
        <f t="shared" si="20"/>
        <v>18.993764198068142</v>
      </c>
      <c r="W120" s="348">
        <f t="shared" si="21"/>
        <v>28.927119372000508</v>
      </c>
      <c r="X120" s="348">
        <f t="shared" si="22"/>
        <v>18.963368622072302</v>
      </c>
    </row>
    <row r="121" spans="1:24" x14ac:dyDescent="0.2">
      <c r="A121" s="407">
        <v>113</v>
      </c>
      <c r="B121" s="438">
        <v>27.047999999999998</v>
      </c>
      <c r="C121" s="438">
        <v>19.041</v>
      </c>
      <c r="D121" s="438">
        <v>15.324</v>
      </c>
      <c r="E121" s="438">
        <v>13.587999999999999</v>
      </c>
      <c r="F121" s="438">
        <v>27.047999999999998</v>
      </c>
      <c r="G121" s="438">
        <v>19.041</v>
      </c>
      <c r="H121" s="438">
        <v>29.13</v>
      </c>
      <c r="I121" s="438">
        <v>19.068000000000001</v>
      </c>
      <c r="J121" s="11"/>
      <c r="Q121" s="348">
        <f t="shared" si="15"/>
        <v>26.988339841344601</v>
      </c>
      <c r="R121" s="348">
        <f t="shared" si="16"/>
        <v>19.009826330860736</v>
      </c>
      <c r="S121" s="348">
        <f t="shared" si="17"/>
        <v>15.163907306161075</v>
      </c>
      <c r="T121" s="348">
        <f t="shared" si="18"/>
        <v>13.607012090620003</v>
      </c>
      <c r="U121" s="348">
        <f t="shared" si="19"/>
        <v>26.988339841344601</v>
      </c>
      <c r="V121" s="348">
        <f t="shared" si="20"/>
        <v>18.994765462850093</v>
      </c>
      <c r="W121" s="348">
        <f t="shared" si="21"/>
        <v>28.927119372000508</v>
      </c>
      <c r="X121" s="348">
        <f t="shared" si="22"/>
        <v>18.964363223048313</v>
      </c>
    </row>
    <row r="122" spans="1:24" x14ac:dyDescent="0.2">
      <c r="A122" s="407">
        <v>114</v>
      </c>
      <c r="B122" s="438">
        <v>27.042000000000002</v>
      </c>
      <c r="C122" s="438">
        <v>19.042000000000002</v>
      </c>
      <c r="D122" s="438">
        <v>15.319000000000001</v>
      </c>
      <c r="E122" s="438">
        <v>13.587999999999999</v>
      </c>
      <c r="F122" s="438">
        <v>27.042000000000002</v>
      </c>
      <c r="G122" s="438">
        <v>19.042000000000002</v>
      </c>
      <c r="H122" s="438">
        <v>29.129000000000001</v>
      </c>
      <c r="I122" s="438">
        <v>19.068000000000001</v>
      </c>
      <c r="J122" s="11"/>
      <c r="Q122" s="348">
        <f t="shared" si="15"/>
        <v>26.982370335375013</v>
      </c>
      <c r="R122" s="348">
        <f t="shared" si="16"/>
        <v>19.01083244075685</v>
      </c>
      <c r="S122" s="348">
        <f t="shared" si="17"/>
        <v>15.158909769957901</v>
      </c>
      <c r="T122" s="348">
        <f t="shared" si="18"/>
        <v>13.607012090620003</v>
      </c>
      <c r="U122" s="348">
        <f t="shared" si="19"/>
        <v>26.982370335375013</v>
      </c>
      <c r="V122" s="348">
        <f t="shared" si="20"/>
        <v>18.995766727682909</v>
      </c>
      <c r="W122" s="348">
        <f t="shared" si="21"/>
        <v>28.926122588258245</v>
      </c>
      <c r="X122" s="348">
        <f t="shared" si="22"/>
        <v>18.964363223048313</v>
      </c>
    </row>
    <row r="123" spans="1:24" x14ac:dyDescent="0.2">
      <c r="A123" s="407">
        <v>115</v>
      </c>
      <c r="B123" s="438">
        <v>27.05</v>
      </c>
      <c r="C123" s="437">
        <v>19.042000000000002</v>
      </c>
      <c r="D123" s="438">
        <v>15.321999999999999</v>
      </c>
      <c r="E123" s="438">
        <v>13.585000000000001</v>
      </c>
      <c r="F123" s="438">
        <v>27.05</v>
      </c>
      <c r="G123" s="438">
        <v>19.042000000000002</v>
      </c>
      <c r="H123" s="438">
        <v>29.128</v>
      </c>
      <c r="I123" s="438">
        <v>19.067</v>
      </c>
      <c r="J123" s="11"/>
      <c r="Q123" s="348">
        <f t="shared" si="15"/>
        <v>26.990329674824196</v>
      </c>
      <c r="R123" s="348">
        <f t="shared" si="16"/>
        <v>19.01083244075685</v>
      </c>
      <c r="S123" s="348">
        <f t="shared" si="17"/>
        <v>15.161908288968682</v>
      </c>
      <c r="T123" s="348">
        <f t="shared" si="18"/>
        <v>13.604009777650038</v>
      </c>
      <c r="U123" s="348">
        <f t="shared" si="19"/>
        <v>26.990329674824196</v>
      </c>
      <c r="V123" s="348">
        <f t="shared" si="20"/>
        <v>18.995766727682909</v>
      </c>
      <c r="W123" s="348">
        <f t="shared" si="21"/>
        <v>28.925125807105463</v>
      </c>
      <c r="X123" s="348">
        <f t="shared" si="22"/>
        <v>18.963368622072302</v>
      </c>
    </row>
    <row r="124" spans="1:24" x14ac:dyDescent="0.2">
      <c r="A124" s="407">
        <v>116</v>
      </c>
      <c r="B124" s="438">
        <v>27.036999999999999</v>
      </c>
      <c r="C124" s="438">
        <v>19.041</v>
      </c>
      <c r="D124" s="438">
        <v>15.316000000000001</v>
      </c>
      <c r="E124" s="438">
        <v>13.584</v>
      </c>
      <c r="F124" s="438">
        <v>27.036999999999999</v>
      </c>
      <c r="G124" s="438">
        <v>19.041</v>
      </c>
      <c r="H124" s="438">
        <v>29.123000000000001</v>
      </c>
      <c r="I124" s="438">
        <v>19.062999999999999</v>
      </c>
      <c r="J124" s="11"/>
      <c r="Q124" s="348">
        <f t="shared" si="15"/>
        <v>26.977395740726159</v>
      </c>
      <c r="R124" s="348">
        <f t="shared" si="16"/>
        <v>19.009826330860736</v>
      </c>
      <c r="S124" s="348">
        <f t="shared" si="17"/>
        <v>15.155911259083842</v>
      </c>
      <c r="T124" s="348">
        <f t="shared" si="18"/>
        <v>13.603009006498031</v>
      </c>
      <c r="U124" s="348">
        <f t="shared" si="19"/>
        <v>26.977395740726159</v>
      </c>
      <c r="V124" s="348">
        <f t="shared" si="20"/>
        <v>18.994765462850093</v>
      </c>
      <c r="W124" s="348">
        <f t="shared" si="21"/>
        <v>28.920141940184681</v>
      </c>
      <c r="X124" s="348">
        <f t="shared" si="22"/>
        <v>18.959390221158522</v>
      </c>
    </row>
    <row r="125" spans="1:24" x14ac:dyDescent="0.2">
      <c r="A125" s="407">
        <v>117</v>
      </c>
      <c r="B125" s="438">
        <v>27.045000000000002</v>
      </c>
      <c r="C125" s="438">
        <v>19.042999999999999</v>
      </c>
      <c r="D125" s="437">
        <v>15.32</v>
      </c>
      <c r="E125" s="438">
        <v>13.587</v>
      </c>
      <c r="F125" s="438">
        <v>27.045000000000002</v>
      </c>
      <c r="G125" s="438">
        <v>19.042999999999999</v>
      </c>
      <c r="H125" s="438">
        <v>29.123000000000001</v>
      </c>
      <c r="I125" s="438">
        <v>19.064</v>
      </c>
      <c r="J125" s="11"/>
      <c r="Q125" s="348">
        <f t="shared" si="15"/>
        <v>26.985355089397057</v>
      </c>
      <c r="R125" s="348">
        <f t="shared" si="16"/>
        <v>19.011838549939959</v>
      </c>
      <c r="S125" s="348">
        <f t="shared" si="17"/>
        <v>15.159909275390936</v>
      </c>
      <c r="T125" s="348">
        <f t="shared" si="18"/>
        <v>13.606011319711039</v>
      </c>
      <c r="U125" s="348">
        <f t="shared" si="19"/>
        <v>26.985355089397057</v>
      </c>
      <c r="V125" s="348">
        <f t="shared" si="20"/>
        <v>18.996767992566518</v>
      </c>
      <c r="W125" s="348">
        <f t="shared" si="21"/>
        <v>28.920141940184681</v>
      </c>
      <c r="X125" s="348">
        <f t="shared" si="22"/>
        <v>18.960384820938479</v>
      </c>
    </row>
    <row r="126" spans="1:24" x14ac:dyDescent="0.2">
      <c r="A126" s="407">
        <v>118</v>
      </c>
      <c r="B126" s="438">
        <v>27.039000000000001</v>
      </c>
      <c r="C126" s="438">
        <v>19.044</v>
      </c>
      <c r="D126" s="438">
        <v>15.32</v>
      </c>
      <c r="E126" s="438">
        <v>13.587999999999999</v>
      </c>
      <c r="F126" s="438">
        <v>27.039000000000001</v>
      </c>
      <c r="G126" s="438">
        <v>19.044</v>
      </c>
      <c r="H126" s="438">
        <v>29.122</v>
      </c>
      <c r="I126" s="438">
        <v>19.064</v>
      </c>
      <c r="J126" s="11"/>
      <c r="Q126" s="348">
        <f t="shared" si="15"/>
        <v>26.97938557927769</v>
      </c>
      <c r="R126" s="348">
        <f t="shared" si="16"/>
        <v>19.012844658409985</v>
      </c>
      <c r="S126" s="348">
        <f t="shared" si="17"/>
        <v>15.159909275390936</v>
      </c>
      <c r="T126" s="348">
        <f t="shared" si="18"/>
        <v>13.607012090620003</v>
      </c>
      <c r="U126" s="348">
        <f t="shared" si="19"/>
        <v>26.97938557927769</v>
      </c>
      <c r="V126" s="348">
        <f t="shared" si="20"/>
        <v>18.997769257500842</v>
      </c>
      <c r="W126" s="348">
        <f t="shared" si="21"/>
        <v>28.919145174569298</v>
      </c>
      <c r="X126" s="348">
        <f t="shared" si="22"/>
        <v>18.960384820938479</v>
      </c>
    </row>
    <row r="127" spans="1:24" x14ac:dyDescent="0.2">
      <c r="A127" s="407">
        <v>119</v>
      </c>
      <c r="B127" s="438">
        <v>27.042000000000002</v>
      </c>
      <c r="C127" s="438">
        <v>19.042000000000002</v>
      </c>
      <c r="D127" s="438">
        <v>15.321</v>
      </c>
      <c r="E127" s="438">
        <v>13.587</v>
      </c>
      <c r="F127" s="438">
        <v>27.042000000000002</v>
      </c>
      <c r="G127" s="438">
        <v>19.042000000000002</v>
      </c>
      <c r="H127" s="438">
        <v>29.113</v>
      </c>
      <c r="I127" s="438">
        <v>19.059999999999999</v>
      </c>
      <c r="J127" s="11"/>
      <c r="Q127" s="348">
        <f t="shared" si="15"/>
        <v>26.982370335375013</v>
      </c>
      <c r="R127" s="348">
        <f t="shared" si="16"/>
        <v>19.01083244075685</v>
      </c>
      <c r="S127" s="348">
        <f t="shared" si="17"/>
        <v>15.160908781727908</v>
      </c>
      <c r="T127" s="348">
        <f t="shared" si="18"/>
        <v>13.606011319711039</v>
      </c>
      <c r="U127" s="348">
        <f t="shared" si="19"/>
        <v>26.982370335375013</v>
      </c>
      <c r="V127" s="348">
        <f t="shared" si="20"/>
        <v>18.995766727682909</v>
      </c>
      <c r="W127" s="348">
        <f t="shared" si="21"/>
        <v>28.910174400567616</v>
      </c>
      <c r="X127" s="348">
        <f t="shared" si="22"/>
        <v>18.956406423612247</v>
      </c>
    </row>
    <row r="128" spans="1:24" x14ac:dyDescent="0.2">
      <c r="A128" s="407">
        <v>120</v>
      </c>
      <c r="B128" s="437">
        <v>27.045000000000002</v>
      </c>
      <c r="C128" s="438">
        <v>19.045999999999999</v>
      </c>
      <c r="D128" s="438">
        <v>15.323</v>
      </c>
      <c r="E128" s="438">
        <v>13.59</v>
      </c>
      <c r="F128" s="438">
        <v>27.045000000000002</v>
      </c>
      <c r="G128" s="438">
        <v>19.045999999999999</v>
      </c>
      <c r="H128" s="438">
        <v>29.116</v>
      </c>
      <c r="I128" s="438">
        <v>19.064</v>
      </c>
      <c r="J128" s="11"/>
      <c r="Q128" s="348">
        <f t="shared" si="15"/>
        <v>26.985355089397057</v>
      </c>
      <c r="R128" s="348">
        <f t="shared" si="16"/>
        <v>19.014856873210363</v>
      </c>
      <c r="S128" s="348">
        <f t="shared" si="17"/>
        <v>15.162907797113119</v>
      </c>
      <c r="T128" s="348">
        <f t="shared" si="18"/>
        <v>13.60901363219479</v>
      </c>
      <c r="U128" s="348">
        <f t="shared" si="19"/>
        <v>26.985355089397057</v>
      </c>
      <c r="V128" s="348">
        <f t="shared" si="20"/>
        <v>18.999771787521347</v>
      </c>
      <c r="W128" s="348">
        <f t="shared" si="21"/>
        <v>28.913164635260372</v>
      </c>
      <c r="X128" s="348">
        <f t="shared" si="22"/>
        <v>18.960384820938479</v>
      </c>
    </row>
    <row r="129" spans="1:24" x14ac:dyDescent="0.2">
      <c r="A129" s="407">
        <v>121</v>
      </c>
      <c r="B129" s="438">
        <v>27.047000000000001</v>
      </c>
      <c r="C129" s="438">
        <v>19.042000000000002</v>
      </c>
      <c r="D129" s="438">
        <v>15.321999999999999</v>
      </c>
      <c r="E129" s="438">
        <v>13.590999999999999</v>
      </c>
      <c r="F129" s="438">
        <v>27.047000000000001</v>
      </c>
      <c r="G129" s="438">
        <v>19.042000000000002</v>
      </c>
      <c r="H129" s="438">
        <v>29.11</v>
      </c>
      <c r="I129" s="438">
        <v>19.062000000000001</v>
      </c>
      <c r="J129" s="11"/>
      <c r="Q129" s="348">
        <f t="shared" si="15"/>
        <v>26.987344924259201</v>
      </c>
      <c r="R129" s="348">
        <f t="shared" si="16"/>
        <v>19.01083244075685</v>
      </c>
      <c r="S129" s="348">
        <f t="shared" si="17"/>
        <v>15.161908288968682</v>
      </c>
      <c r="T129" s="348">
        <f t="shared" si="18"/>
        <v>13.610014402860577</v>
      </c>
      <c r="U129" s="348">
        <f t="shared" si="19"/>
        <v>26.987344924259201</v>
      </c>
      <c r="V129" s="348">
        <f t="shared" si="20"/>
        <v>18.995766727682909</v>
      </c>
      <c r="W129" s="348">
        <f t="shared" si="21"/>
        <v>28.907184189183461</v>
      </c>
      <c r="X129" s="348">
        <f t="shared" si="22"/>
        <v>18.958395621677514</v>
      </c>
    </row>
    <row r="130" spans="1:24" x14ac:dyDescent="0.2">
      <c r="A130" s="407">
        <v>122</v>
      </c>
      <c r="B130" s="438">
        <v>27.041</v>
      </c>
      <c r="C130" s="438">
        <v>19.044</v>
      </c>
      <c r="D130" s="438">
        <v>15.324999999999999</v>
      </c>
      <c r="E130" s="438">
        <v>13.590999999999999</v>
      </c>
      <c r="F130" s="438">
        <v>27.041</v>
      </c>
      <c r="G130" s="438">
        <v>19.044</v>
      </c>
      <c r="H130" s="438">
        <v>29.111000000000001</v>
      </c>
      <c r="I130" s="438">
        <v>19.061</v>
      </c>
      <c r="J130" s="11"/>
      <c r="Q130" s="348">
        <f t="shared" si="15"/>
        <v>26.981375416906527</v>
      </c>
      <c r="R130" s="348">
        <f t="shared" si="16"/>
        <v>19.012844658409985</v>
      </c>
      <c r="S130" s="348">
        <f t="shared" si="17"/>
        <v>15.164906816112412</v>
      </c>
      <c r="T130" s="348">
        <f t="shared" si="18"/>
        <v>13.610014402860577</v>
      </c>
      <c r="U130" s="348">
        <f t="shared" si="19"/>
        <v>26.981375416906527</v>
      </c>
      <c r="V130" s="348">
        <f t="shared" si="20"/>
        <v>18.997769257500842</v>
      </c>
      <c r="W130" s="348">
        <f t="shared" si="21"/>
        <v>28.908180923721631</v>
      </c>
      <c r="X130" s="348">
        <f t="shared" si="22"/>
        <v>18.957401022495429</v>
      </c>
    </row>
    <row r="131" spans="1:24" x14ac:dyDescent="0.2">
      <c r="A131" s="407">
        <v>123</v>
      </c>
      <c r="B131" s="438">
        <v>27.044</v>
      </c>
      <c r="C131" s="438">
        <v>19.041</v>
      </c>
      <c r="D131" s="438">
        <v>15.324999999999999</v>
      </c>
      <c r="E131" s="438">
        <v>13.59</v>
      </c>
      <c r="F131" s="438">
        <v>27.044</v>
      </c>
      <c r="G131" s="438">
        <v>19.041</v>
      </c>
      <c r="H131" s="438">
        <v>29.113</v>
      </c>
      <c r="I131" s="438">
        <v>19.065000000000001</v>
      </c>
      <c r="J131" s="11"/>
      <c r="Q131" s="348">
        <f t="shared" si="15"/>
        <v>26.984360171620242</v>
      </c>
      <c r="R131" s="348">
        <f t="shared" si="16"/>
        <v>19.009826330860736</v>
      </c>
      <c r="S131" s="348">
        <f t="shared" si="17"/>
        <v>15.164906816112412</v>
      </c>
      <c r="T131" s="348">
        <f t="shared" si="18"/>
        <v>13.60901363219479</v>
      </c>
      <c r="U131" s="348">
        <f t="shared" si="19"/>
        <v>26.984360171620242</v>
      </c>
      <c r="V131" s="348">
        <f t="shared" si="20"/>
        <v>18.994765462850093</v>
      </c>
      <c r="W131" s="348">
        <f t="shared" si="21"/>
        <v>28.910174400567616</v>
      </c>
      <c r="X131" s="348">
        <f t="shared" si="22"/>
        <v>18.961379421017416</v>
      </c>
    </row>
    <row r="132" spans="1:24" x14ac:dyDescent="0.2">
      <c r="A132" s="407">
        <v>124</v>
      </c>
      <c r="B132" s="438">
        <v>27.038</v>
      </c>
      <c r="C132" s="438">
        <v>19.041</v>
      </c>
      <c r="D132" s="438">
        <v>15.323</v>
      </c>
      <c r="E132" s="438">
        <v>13.592000000000001</v>
      </c>
      <c r="F132" s="438">
        <v>27.038</v>
      </c>
      <c r="G132" s="438">
        <v>19.041</v>
      </c>
      <c r="H132" s="438">
        <v>29.111999999999998</v>
      </c>
      <c r="I132" s="438">
        <v>19.065000000000001</v>
      </c>
      <c r="J132" s="11"/>
      <c r="Q132" s="348">
        <f t="shared" si="15"/>
        <v>26.978390660117274</v>
      </c>
      <c r="R132" s="348">
        <f t="shared" si="16"/>
        <v>19.009826330860736</v>
      </c>
      <c r="S132" s="348">
        <f t="shared" si="17"/>
        <v>15.162907797113119</v>
      </c>
      <c r="T132" s="348">
        <f t="shared" si="18"/>
        <v>13.611015173445276</v>
      </c>
      <c r="U132" s="348">
        <f t="shared" si="19"/>
        <v>26.978390660117274</v>
      </c>
      <c r="V132" s="348">
        <f t="shared" si="20"/>
        <v>18.994765462850093</v>
      </c>
      <c r="W132" s="348">
        <f t="shared" si="21"/>
        <v>28.909177660849686</v>
      </c>
      <c r="X132" s="348">
        <f t="shared" si="22"/>
        <v>18.961379421017416</v>
      </c>
    </row>
    <row r="133" spans="1:24" x14ac:dyDescent="0.2">
      <c r="A133" s="407">
        <v>125</v>
      </c>
      <c r="B133" s="438">
        <v>27.036000000000001</v>
      </c>
      <c r="C133" s="438">
        <v>19.041</v>
      </c>
      <c r="D133" s="438">
        <v>15.323</v>
      </c>
      <c r="E133" s="438">
        <v>13.590999999999999</v>
      </c>
      <c r="F133" s="438">
        <v>27.036000000000001</v>
      </c>
      <c r="G133" s="438">
        <v>19.041</v>
      </c>
      <c r="H133" s="438">
        <v>29.109000000000002</v>
      </c>
      <c r="I133" s="437">
        <v>19.062999999999999</v>
      </c>
      <c r="J133" s="11"/>
      <c r="Q133" s="348">
        <f t="shared" si="15"/>
        <v>26.97640082110431</v>
      </c>
      <c r="R133" s="348">
        <f t="shared" si="16"/>
        <v>19.009826330860736</v>
      </c>
      <c r="S133" s="348">
        <f t="shared" si="17"/>
        <v>15.162907797113119</v>
      </c>
      <c r="T133" s="348">
        <f t="shared" si="18"/>
        <v>13.610014402860577</v>
      </c>
      <c r="U133" s="348">
        <f t="shared" si="19"/>
        <v>26.97640082110431</v>
      </c>
      <c r="V133" s="348">
        <f t="shared" si="20"/>
        <v>18.994765462850093</v>
      </c>
      <c r="W133" s="348">
        <f t="shared" si="21"/>
        <v>28.906187457235202</v>
      </c>
      <c r="X133" s="348">
        <f t="shared" si="22"/>
        <v>18.959390221158522</v>
      </c>
    </row>
    <row r="134" spans="1:24" x14ac:dyDescent="0.2">
      <c r="A134" s="407">
        <v>126</v>
      </c>
      <c r="B134" s="438">
        <v>27.036000000000001</v>
      </c>
      <c r="C134" s="438">
        <v>19.042000000000002</v>
      </c>
      <c r="D134" s="438">
        <v>15.324</v>
      </c>
      <c r="E134" s="437">
        <v>13.592000000000001</v>
      </c>
      <c r="F134" s="437">
        <v>27.036000000000001</v>
      </c>
      <c r="G134" s="437">
        <v>19.042000000000002</v>
      </c>
      <c r="H134" s="437">
        <v>29.113</v>
      </c>
      <c r="I134" s="438">
        <v>19.065000000000001</v>
      </c>
      <c r="J134" s="11"/>
      <c r="Q134" s="348">
        <f t="shared" si="15"/>
        <v>26.97640082110431</v>
      </c>
      <c r="R134" s="348">
        <f t="shared" si="16"/>
        <v>19.01083244075685</v>
      </c>
      <c r="S134" s="348">
        <f t="shared" si="17"/>
        <v>15.163907306161075</v>
      </c>
      <c r="T134" s="348">
        <f t="shared" si="18"/>
        <v>13.611015173445276</v>
      </c>
      <c r="U134" s="348">
        <f t="shared" si="19"/>
        <v>26.97640082110431</v>
      </c>
      <c r="V134" s="348">
        <f t="shared" si="20"/>
        <v>18.995766727682909</v>
      </c>
      <c r="W134" s="348">
        <f t="shared" si="21"/>
        <v>28.910174400567616</v>
      </c>
      <c r="X134" s="348">
        <f t="shared" si="22"/>
        <v>18.961379421017416</v>
      </c>
    </row>
    <row r="135" spans="1:24" x14ac:dyDescent="0.2">
      <c r="A135" s="407">
        <v>127</v>
      </c>
      <c r="B135" s="438">
        <v>27.036999999999999</v>
      </c>
      <c r="C135" s="438">
        <v>19.038</v>
      </c>
      <c r="D135" s="438">
        <v>15.324</v>
      </c>
      <c r="E135" s="438">
        <v>13.586</v>
      </c>
      <c r="F135" s="438">
        <v>27.036999999999999</v>
      </c>
      <c r="G135" s="438">
        <v>19.038</v>
      </c>
      <c r="H135" s="438">
        <v>29.111999999999998</v>
      </c>
      <c r="I135" s="438">
        <v>19.067</v>
      </c>
      <c r="J135" s="11"/>
      <c r="Q135" s="348">
        <f t="shared" si="15"/>
        <v>26.977395740726159</v>
      </c>
      <c r="R135" s="348">
        <f t="shared" si="16"/>
        <v>19.006807996895354</v>
      </c>
      <c r="S135" s="348">
        <f t="shared" si="17"/>
        <v>15.163907306161075</v>
      </c>
      <c r="T135" s="348">
        <f t="shared" si="18"/>
        <v>13.605010548721044</v>
      </c>
      <c r="U135" s="348">
        <f t="shared" si="19"/>
        <v>26.977395740726159</v>
      </c>
      <c r="V135" s="348">
        <f t="shared" si="20"/>
        <v>18.991761668657151</v>
      </c>
      <c r="W135" s="348">
        <f t="shared" si="21"/>
        <v>28.909177660849686</v>
      </c>
      <c r="X135" s="348">
        <f t="shared" si="22"/>
        <v>18.963368622072302</v>
      </c>
    </row>
    <row r="136" spans="1:24" x14ac:dyDescent="0.2">
      <c r="A136" s="407">
        <v>128</v>
      </c>
      <c r="B136" s="438">
        <v>27.041</v>
      </c>
      <c r="C136" s="438">
        <v>19.038</v>
      </c>
      <c r="D136" s="438">
        <v>15.329000000000001</v>
      </c>
      <c r="E136" s="438">
        <v>13.593</v>
      </c>
      <c r="F136" s="438">
        <v>27.041</v>
      </c>
      <c r="G136" s="438">
        <v>19.038</v>
      </c>
      <c r="H136" s="438">
        <v>29.111000000000001</v>
      </c>
      <c r="I136" s="438">
        <v>19.065000000000001</v>
      </c>
      <c r="J136" s="11"/>
      <c r="Q136" s="348">
        <f t="shared" si="15"/>
        <v>26.981375416906527</v>
      </c>
      <c r="R136" s="348">
        <f t="shared" si="16"/>
        <v>19.006807996895354</v>
      </c>
      <c r="S136" s="348">
        <f t="shared" si="17"/>
        <v>15.168904864948766</v>
      </c>
      <c r="T136" s="348">
        <f t="shared" si="18"/>
        <v>13.612015943948869</v>
      </c>
      <c r="U136" s="348">
        <f t="shared" si="19"/>
        <v>26.981375416906527</v>
      </c>
      <c r="V136" s="348">
        <f t="shared" si="20"/>
        <v>18.991761668657151</v>
      </c>
      <c r="W136" s="348">
        <f t="shared" si="21"/>
        <v>28.908180923721631</v>
      </c>
      <c r="X136" s="348">
        <f t="shared" si="22"/>
        <v>18.961379421017416</v>
      </c>
    </row>
    <row r="137" spans="1:24" x14ac:dyDescent="0.2">
      <c r="A137" s="407">
        <v>129</v>
      </c>
      <c r="B137" s="438">
        <v>27.047000000000001</v>
      </c>
      <c r="C137" s="438">
        <v>19.036000000000001</v>
      </c>
      <c r="D137" s="438">
        <v>15.326000000000001</v>
      </c>
      <c r="E137" s="438">
        <v>13.592000000000001</v>
      </c>
      <c r="F137" s="438">
        <v>27.047000000000001</v>
      </c>
      <c r="G137" s="438">
        <v>19.036000000000001</v>
      </c>
      <c r="H137" s="438">
        <v>29.111000000000001</v>
      </c>
      <c r="I137" s="438">
        <v>19.065000000000001</v>
      </c>
      <c r="J137" s="11"/>
      <c r="Q137" s="348">
        <f t="shared" si="15"/>
        <v>26.987344924259201</v>
      </c>
      <c r="R137" s="348">
        <f t="shared" si="16"/>
        <v>19.004795770688506</v>
      </c>
      <c r="S137" s="348">
        <f t="shared" si="17"/>
        <v>15.165906326966988</v>
      </c>
      <c r="T137" s="348">
        <f t="shared" si="18"/>
        <v>13.611015173445276</v>
      </c>
      <c r="U137" s="348">
        <f t="shared" si="19"/>
        <v>26.987344924259201</v>
      </c>
      <c r="V137" s="348">
        <f t="shared" si="20"/>
        <v>18.989759139450531</v>
      </c>
      <c r="W137" s="348">
        <f t="shared" si="21"/>
        <v>28.908180923721631</v>
      </c>
      <c r="X137" s="348">
        <f t="shared" si="22"/>
        <v>18.961379421017416</v>
      </c>
    </row>
    <row r="138" spans="1:24" x14ac:dyDescent="0.2">
      <c r="A138" s="407">
        <v>130</v>
      </c>
      <c r="B138" s="437">
        <v>27.036999999999999</v>
      </c>
      <c r="C138" s="438">
        <v>19.036999999999999</v>
      </c>
      <c r="D138" s="438">
        <v>15.323</v>
      </c>
      <c r="E138" s="438">
        <v>13.587</v>
      </c>
      <c r="F138" s="438">
        <v>27.036999999999999</v>
      </c>
      <c r="G138" s="438">
        <v>19.036999999999999</v>
      </c>
      <c r="H138" s="438">
        <v>29.106999999999999</v>
      </c>
      <c r="I138" s="438">
        <v>19.064</v>
      </c>
      <c r="J138" s="11"/>
      <c r="Q138" s="348">
        <f t="shared" ref="Q138:Q201" si="24">IFERROR(B138^4*$AB$9+B138^3*$AC$9+B138^2*$AD$9+B138^1*$AE$9+B138^0*$AF$9,"")</f>
        <v>26.977395740726159</v>
      </c>
      <c r="R138" s="348">
        <f t="shared" ref="R138:R201" si="25">IFERROR(C138^4*$AB$10+C138^3*$AC$10+C138^2*$AD$10+C138^1*$AE$10+C138^0*$AF$10,"")</f>
        <v>19.005801884148187</v>
      </c>
      <c r="S138" s="348">
        <f t="shared" ref="S138:S201" si="26">IFERROR(D138^4*$AB$11+D138^3*$AC$11+D138^2*$AD$11+D138^1*$AE$11+D138^0*$AF$11,"")</f>
        <v>15.162907797113119</v>
      </c>
      <c r="T138" s="348">
        <f t="shared" ref="T138:T201" si="27">IFERROR(E138^4*$AB$12+E138^3*$AC$12+E138^2*$AD$12+E138^1*$AE$12+E138^0*$AF$12,"")</f>
        <v>13.606011319711039</v>
      </c>
      <c r="U138" s="348">
        <f t="shared" ref="U138:U201" si="28">IFERROR(F138^4*$AB$13+F138^3*$AC$13+F138^2*$AD$13+F138^1*$AE$13+F138^0*$AF$13,"")</f>
        <v>26.977395740726159</v>
      </c>
      <c r="V138" s="348">
        <f t="shared" ref="V138:V201" si="29">IFERROR(G138^4*$AB$14+G138^3*$AC$14+G138^2*$AD$14+G138^1*$AE$14+G138^0*$AF$14,"")</f>
        <v>18.990760404028258</v>
      </c>
      <c r="W138" s="348">
        <f t="shared" ref="W138:W201" si="30">IFERROR(H138^4*$AB$15+H138^3*$AC$15+H138^2*$AD$15+H138^1*$AE$15+H138^0*$AF$15,"")</f>
        <v>28.904194001108493</v>
      </c>
      <c r="X138" s="348">
        <f t="shared" ref="X138:X201" si="31">IFERROR(I138^4*$AB$16+I138^3*$AC$16+I138^2*$AD$16+I138^1*$AE$16+I138^0*$AF$16,"")</f>
        <v>18.960384820938479</v>
      </c>
    </row>
    <row r="139" spans="1:24" x14ac:dyDescent="0.2">
      <c r="A139" s="407">
        <v>131</v>
      </c>
      <c r="B139" s="438">
        <v>27.042000000000002</v>
      </c>
      <c r="C139" s="438">
        <v>19.033999999999999</v>
      </c>
      <c r="D139" s="438">
        <v>15.324</v>
      </c>
      <c r="E139" s="438">
        <v>13.589</v>
      </c>
      <c r="F139" s="438">
        <v>27.042000000000002</v>
      </c>
      <c r="G139" s="438">
        <v>19.033999999999999</v>
      </c>
      <c r="H139" s="438">
        <v>29.108000000000001</v>
      </c>
      <c r="I139" s="438">
        <v>19.065999999999999</v>
      </c>
      <c r="J139" s="11"/>
      <c r="Q139" s="348">
        <f t="shared" si="24"/>
        <v>26.982370335375013</v>
      </c>
      <c r="R139" s="348">
        <f t="shared" si="25"/>
        <v>19.002783541631942</v>
      </c>
      <c r="S139" s="348">
        <f t="shared" si="26"/>
        <v>15.163907306161075</v>
      </c>
      <c r="T139" s="348">
        <f t="shared" si="27"/>
        <v>13.608012861447927</v>
      </c>
      <c r="U139" s="348">
        <f t="shared" si="28"/>
        <v>26.982370335375013</v>
      </c>
      <c r="V139" s="348">
        <f t="shared" si="29"/>
        <v>18.987756610448876</v>
      </c>
      <c r="W139" s="348">
        <f t="shared" si="30"/>
        <v>28.905190727876867</v>
      </c>
      <c r="X139" s="348">
        <f t="shared" si="31"/>
        <v>18.962374021395345</v>
      </c>
    </row>
    <row r="140" spans="1:24" x14ac:dyDescent="0.2">
      <c r="A140" s="407">
        <v>132</v>
      </c>
      <c r="B140" s="438">
        <v>27.038</v>
      </c>
      <c r="C140" s="438">
        <v>19.032</v>
      </c>
      <c r="D140" s="438">
        <v>15.324</v>
      </c>
      <c r="E140" s="438">
        <v>13.587</v>
      </c>
      <c r="F140" s="438">
        <v>27.038</v>
      </c>
      <c r="G140" s="438">
        <v>19.032</v>
      </c>
      <c r="H140" s="438">
        <v>29.109000000000002</v>
      </c>
      <c r="I140" s="438">
        <v>19.068000000000001</v>
      </c>
      <c r="J140" s="11"/>
      <c r="Q140" s="348">
        <f t="shared" si="24"/>
        <v>26.978390660117274</v>
      </c>
      <c r="R140" s="348">
        <f t="shared" si="25"/>
        <v>19.000771309726417</v>
      </c>
      <c r="S140" s="348">
        <f t="shared" si="26"/>
        <v>15.163907306161075</v>
      </c>
      <c r="T140" s="348">
        <f t="shared" si="27"/>
        <v>13.606011319711039</v>
      </c>
      <c r="U140" s="348">
        <f t="shared" si="28"/>
        <v>26.978390660117274</v>
      </c>
      <c r="V140" s="348">
        <f t="shared" si="29"/>
        <v>18.985754081652793</v>
      </c>
      <c r="W140" s="348">
        <f t="shared" si="30"/>
        <v>28.906187457235202</v>
      </c>
      <c r="X140" s="348">
        <f t="shared" si="31"/>
        <v>18.964363223048313</v>
      </c>
    </row>
    <row r="141" spans="1:24" x14ac:dyDescent="0.2">
      <c r="A141" s="407">
        <v>133</v>
      </c>
      <c r="B141" s="438">
        <v>27.036999999999999</v>
      </c>
      <c r="C141" s="438">
        <v>19.029</v>
      </c>
      <c r="D141" s="438">
        <v>15.324</v>
      </c>
      <c r="E141" s="438">
        <v>13.583</v>
      </c>
      <c r="F141" s="438">
        <v>27.036999999999999</v>
      </c>
      <c r="G141" s="438">
        <v>19.029</v>
      </c>
      <c r="H141" s="438">
        <v>29.108000000000001</v>
      </c>
      <c r="I141" s="438">
        <v>19.068000000000001</v>
      </c>
      <c r="J141" s="11"/>
      <c r="Q141" s="348">
        <f t="shared" si="24"/>
        <v>26.977395740726159</v>
      </c>
      <c r="R141" s="348">
        <f t="shared" si="25"/>
        <v>18.997752956527993</v>
      </c>
      <c r="S141" s="348">
        <f t="shared" si="26"/>
        <v>15.163907306161075</v>
      </c>
      <c r="T141" s="348">
        <f t="shared" si="27"/>
        <v>13.602008235265044</v>
      </c>
      <c r="U141" s="348">
        <f t="shared" si="28"/>
        <v>26.977395740726159</v>
      </c>
      <c r="V141" s="348">
        <f t="shared" si="29"/>
        <v>18.982750288845423</v>
      </c>
      <c r="W141" s="348">
        <f t="shared" si="30"/>
        <v>28.905190727876867</v>
      </c>
      <c r="X141" s="348">
        <f t="shared" si="31"/>
        <v>18.964363223048313</v>
      </c>
    </row>
    <row r="142" spans="1:24" x14ac:dyDescent="0.2">
      <c r="A142" s="407">
        <v>134</v>
      </c>
      <c r="B142" s="438">
        <v>27.04</v>
      </c>
      <c r="C142" s="438">
        <v>19.027999999999999</v>
      </c>
      <c r="D142" s="438">
        <v>15.324</v>
      </c>
      <c r="E142" s="438">
        <v>13.582000000000001</v>
      </c>
      <c r="F142" s="438">
        <v>27.04</v>
      </c>
      <c r="G142" s="438">
        <v>19.027999999999999</v>
      </c>
      <c r="H142" s="438">
        <v>29.109000000000002</v>
      </c>
      <c r="I142" s="438">
        <v>19.071000000000002</v>
      </c>
      <c r="J142" s="11"/>
      <c r="Q142" s="348">
        <f t="shared" si="24"/>
        <v>26.980380498207431</v>
      </c>
      <c r="R142" s="348">
        <f t="shared" si="25"/>
        <v>18.996746837371525</v>
      </c>
      <c r="S142" s="348">
        <f t="shared" si="26"/>
        <v>15.163907306161075</v>
      </c>
      <c r="T142" s="348">
        <f t="shared" si="27"/>
        <v>13.60100746395109</v>
      </c>
      <c r="U142" s="348">
        <f t="shared" si="28"/>
        <v>26.980380498207431</v>
      </c>
      <c r="V142" s="348">
        <f t="shared" si="29"/>
        <v>18.981749024679733</v>
      </c>
      <c r="W142" s="348">
        <f t="shared" si="30"/>
        <v>28.906187457235202</v>
      </c>
      <c r="X142" s="348">
        <f t="shared" si="31"/>
        <v>18.967347027770884</v>
      </c>
    </row>
    <row r="143" spans="1:24" x14ac:dyDescent="0.2">
      <c r="A143" s="407">
        <v>135</v>
      </c>
      <c r="B143" s="438">
        <v>27.041</v>
      </c>
      <c r="C143" s="438">
        <v>19.024000000000001</v>
      </c>
      <c r="D143" s="438">
        <v>15.324</v>
      </c>
      <c r="E143" s="438">
        <v>13.581</v>
      </c>
      <c r="F143" s="438">
        <v>27.041</v>
      </c>
      <c r="G143" s="438">
        <v>19.024000000000001</v>
      </c>
      <c r="H143" s="438">
        <v>29.109000000000002</v>
      </c>
      <c r="I143" s="438">
        <v>19.071999999999999</v>
      </c>
      <c r="J143" s="11"/>
      <c r="Q143" s="348">
        <f t="shared" si="24"/>
        <v>26.981375416906527</v>
      </c>
      <c r="R143" s="348">
        <f t="shared" si="25"/>
        <v>18.992722353629908</v>
      </c>
      <c r="S143" s="348">
        <f t="shared" si="26"/>
        <v>15.163907306161075</v>
      </c>
      <c r="T143" s="348">
        <f t="shared" si="27"/>
        <v>13.600006692556182</v>
      </c>
      <c r="U143" s="348">
        <f t="shared" si="28"/>
        <v>26.981375416906527</v>
      </c>
      <c r="V143" s="348">
        <f t="shared" si="29"/>
        <v>18.977743968536146</v>
      </c>
      <c r="W143" s="348">
        <f t="shared" si="30"/>
        <v>28.906187457235202</v>
      </c>
      <c r="X143" s="348">
        <f t="shared" si="31"/>
        <v>18.968341629943335</v>
      </c>
    </row>
    <row r="144" spans="1:24" x14ac:dyDescent="0.2">
      <c r="A144" s="407">
        <v>136</v>
      </c>
      <c r="B144" s="438">
        <v>27.042000000000002</v>
      </c>
      <c r="C144" s="437">
        <v>19.024000000000001</v>
      </c>
      <c r="D144" s="438">
        <v>15.321999999999999</v>
      </c>
      <c r="E144" s="438">
        <v>13.584</v>
      </c>
      <c r="F144" s="438">
        <v>27.042000000000002</v>
      </c>
      <c r="G144" s="438">
        <v>19.024000000000001</v>
      </c>
      <c r="H144" s="438">
        <v>29.109000000000002</v>
      </c>
      <c r="I144" s="438">
        <v>19.074000000000002</v>
      </c>
      <c r="J144" s="11"/>
      <c r="Q144" s="348">
        <f t="shared" si="24"/>
        <v>26.982370335375013</v>
      </c>
      <c r="R144" s="348">
        <f t="shared" si="25"/>
        <v>18.992722353629908</v>
      </c>
      <c r="S144" s="348">
        <f t="shared" si="26"/>
        <v>15.161908288968682</v>
      </c>
      <c r="T144" s="348">
        <f t="shared" si="27"/>
        <v>13.603009006498031</v>
      </c>
      <c r="U144" s="348">
        <f t="shared" si="28"/>
        <v>26.982370335375013</v>
      </c>
      <c r="V144" s="348">
        <f t="shared" si="29"/>
        <v>18.977743968536146</v>
      </c>
      <c r="W144" s="348">
        <f t="shared" si="30"/>
        <v>28.906187457235202</v>
      </c>
      <c r="X144" s="348">
        <f t="shared" si="31"/>
        <v>18.970330835185791</v>
      </c>
    </row>
    <row r="145" spans="1:24" x14ac:dyDescent="0.2">
      <c r="A145" s="407">
        <v>137</v>
      </c>
      <c r="B145" s="438">
        <v>27.041</v>
      </c>
      <c r="C145" s="438">
        <v>19.023</v>
      </c>
      <c r="D145" s="438">
        <v>15.323</v>
      </c>
      <c r="E145" s="438">
        <v>13.582000000000001</v>
      </c>
      <c r="F145" s="438">
        <v>27.041</v>
      </c>
      <c r="G145" s="438">
        <v>19.023</v>
      </c>
      <c r="H145" s="438">
        <v>29.113</v>
      </c>
      <c r="I145" s="438">
        <v>19.071000000000002</v>
      </c>
      <c r="J145" s="11"/>
      <c r="Q145" s="348">
        <f t="shared" si="24"/>
        <v>26.981375416906527</v>
      </c>
      <c r="R145" s="348">
        <f t="shared" si="25"/>
        <v>18.99171623091604</v>
      </c>
      <c r="S145" s="348">
        <f t="shared" si="26"/>
        <v>15.162907797113119</v>
      </c>
      <c r="T145" s="348">
        <f t="shared" si="27"/>
        <v>13.60100746395109</v>
      </c>
      <c r="U145" s="348">
        <f t="shared" si="28"/>
        <v>26.981375416906527</v>
      </c>
      <c r="V145" s="348">
        <f t="shared" si="29"/>
        <v>18.976742704630418</v>
      </c>
      <c r="W145" s="348">
        <f t="shared" si="30"/>
        <v>28.910174400567616</v>
      </c>
      <c r="X145" s="348">
        <f t="shared" si="31"/>
        <v>18.967347027770884</v>
      </c>
    </row>
    <row r="146" spans="1:24" x14ac:dyDescent="0.2">
      <c r="A146" s="407">
        <v>138</v>
      </c>
      <c r="B146" s="438">
        <v>27.045999999999999</v>
      </c>
      <c r="C146" s="438">
        <v>19.024999999999999</v>
      </c>
      <c r="D146" s="438">
        <v>15.323</v>
      </c>
      <c r="E146" s="438">
        <v>13.581</v>
      </c>
      <c r="F146" s="438">
        <v>27.045999999999999</v>
      </c>
      <c r="G146" s="438">
        <v>19.024999999999999</v>
      </c>
      <c r="H146" s="438">
        <v>29.114000000000001</v>
      </c>
      <c r="I146" s="438">
        <v>19.073</v>
      </c>
      <c r="J146" s="11"/>
      <c r="Q146" s="348">
        <f t="shared" si="24"/>
        <v>26.986350006943361</v>
      </c>
      <c r="R146" s="348">
        <f t="shared" si="25"/>
        <v>18.993728475632487</v>
      </c>
      <c r="S146" s="348">
        <f t="shared" si="26"/>
        <v>15.162907797113119</v>
      </c>
      <c r="T146" s="348">
        <f t="shared" si="27"/>
        <v>13.600006692556182</v>
      </c>
      <c r="U146" s="348">
        <f t="shared" si="28"/>
        <v>26.986350006943361</v>
      </c>
      <c r="V146" s="348">
        <f t="shared" si="29"/>
        <v>18.978745232494017</v>
      </c>
      <c r="W146" s="348">
        <f t="shared" si="30"/>
        <v>28.911171142875386</v>
      </c>
      <c r="X146" s="348">
        <f t="shared" si="31"/>
        <v>18.969336232414967</v>
      </c>
    </row>
    <row r="147" spans="1:24" x14ac:dyDescent="0.2">
      <c r="A147" s="407">
        <v>139</v>
      </c>
      <c r="B147" s="438">
        <v>27.039000000000001</v>
      </c>
      <c r="C147" s="438">
        <v>19.026</v>
      </c>
      <c r="D147" s="438">
        <v>15.321999999999999</v>
      </c>
      <c r="E147" s="438">
        <v>13.579000000000001</v>
      </c>
      <c r="F147" s="438">
        <v>27.039000000000001</v>
      </c>
      <c r="G147" s="438">
        <v>19.026</v>
      </c>
      <c r="H147" s="438">
        <v>29.114999999999998</v>
      </c>
      <c r="I147" s="438">
        <v>19.074000000000002</v>
      </c>
      <c r="J147" s="11"/>
      <c r="Q147" s="348">
        <f t="shared" si="24"/>
        <v>26.97938557927769</v>
      </c>
      <c r="R147" s="348">
        <f t="shared" si="25"/>
        <v>18.994734596923678</v>
      </c>
      <c r="S147" s="348">
        <f t="shared" si="26"/>
        <v>15.161908288968682</v>
      </c>
      <c r="T147" s="348">
        <f t="shared" si="27"/>
        <v>13.598005149523575</v>
      </c>
      <c r="U147" s="348">
        <f t="shared" si="28"/>
        <v>26.97938557927769</v>
      </c>
      <c r="V147" s="348">
        <f t="shared" si="29"/>
        <v>18.979746496503953</v>
      </c>
      <c r="W147" s="348">
        <f t="shared" si="30"/>
        <v>28.912167887772974</v>
      </c>
      <c r="X147" s="348">
        <f t="shared" si="31"/>
        <v>18.970330835185791</v>
      </c>
    </row>
    <row r="148" spans="1:24" x14ac:dyDescent="0.2">
      <c r="A148" s="407">
        <v>140</v>
      </c>
      <c r="B148" s="438">
        <v>27.039000000000001</v>
      </c>
      <c r="C148" s="438">
        <v>19.027000000000001</v>
      </c>
      <c r="D148" s="438">
        <v>15.321</v>
      </c>
      <c r="E148" s="438">
        <v>13.581</v>
      </c>
      <c r="F148" s="438">
        <v>27.039000000000001</v>
      </c>
      <c r="G148" s="438">
        <v>19.027000000000001</v>
      </c>
      <c r="H148" s="438">
        <v>29.117000000000001</v>
      </c>
      <c r="I148" s="438">
        <v>19.076000000000001</v>
      </c>
      <c r="J148" s="11"/>
      <c r="Q148" s="348">
        <f t="shared" si="24"/>
        <v>26.97938557927769</v>
      </c>
      <c r="R148" s="348">
        <f t="shared" si="25"/>
        <v>18.995740717503388</v>
      </c>
      <c r="S148" s="348">
        <f t="shared" si="26"/>
        <v>15.160908781727908</v>
      </c>
      <c r="T148" s="348">
        <f t="shared" si="27"/>
        <v>13.600006692556182</v>
      </c>
      <c r="U148" s="348">
        <f t="shared" si="28"/>
        <v>26.97938557927769</v>
      </c>
      <c r="V148" s="348">
        <f t="shared" si="29"/>
        <v>18.980747760565887</v>
      </c>
      <c r="W148" s="348">
        <f t="shared" si="30"/>
        <v>28.914161385337543</v>
      </c>
      <c r="X148" s="348">
        <f t="shared" si="31"/>
        <v>18.972320041625139</v>
      </c>
    </row>
    <row r="149" spans="1:24" x14ac:dyDescent="0.2">
      <c r="A149" s="407">
        <v>141</v>
      </c>
      <c r="B149" s="438">
        <v>27.033999999999999</v>
      </c>
      <c r="C149" s="438">
        <v>19.029</v>
      </c>
      <c r="D149" s="438">
        <v>15.321999999999999</v>
      </c>
      <c r="E149" s="438">
        <v>13.584</v>
      </c>
      <c r="F149" s="438">
        <v>27.033999999999999</v>
      </c>
      <c r="G149" s="438">
        <v>19.029</v>
      </c>
      <c r="H149" s="438">
        <v>29.122</v>
      </c>
      <c r="I149" s="438">
        <v>19.076000000000001</v>
      </c>
      <c r="J149" s="11"/>
      <c r="Q149" s="348">
        <f t="shared" si="24"/>
        <v>26.974410981168305</v>
      </c>
      <c r="R149" s="348">
        <f t="shared" si="25"/>
        <v>18.997752956527993</v>
      </c>
      <c r="S149" s="348">
        <f t="shared" si="26"/>
        <v>15.161908288968682</v>
      </c>
      <c r="T149" s="348">
        <f t="shared" si="27"/>
        <v>13.603009006498031</v>
      </c>
      <c r="U149" s="348">
        <f t="shared" si="28"/>
        <v>26.974410981168305</v>
      </c>
      <c r="V149" s="348">
        <f t="shared" si="29"/>
        <v>18.982750288845423</v>
      </c>
      <c r="W149" s="348">
        <f t="shared" si="30"/>
        <v>28.919145174569298</v>
      </c>
      <c r="X149" s="348">
        <f t="shared" si="31"/>
        <v>18.972320041625139</v>
      </c>
    </row>
    <row r="150" spans="1:24" x14ac:dyDescent="0.2">
      <c r="A150" s="407">
        <v>142</v>
      </c>
      <c r="B150" s="438">
        <v>27.039000000000001</v>
      </c>
      <c r="C150" s="438">
        <v>19.033000000000001</v>
      </c>
      <c r="D150" s="438">
        <v>15.324</v>
      </c>
      <c r="E150" s="438">
        <v>13.586</v>
      </c>
      <c r="F150" s="438">
        <v>27.039000000000001</v>
      </c>
      <c r="G150" s="438">
        <v>19.033000000000001</v>
      </c>
      <c r="H150" s="438">
        <v>29.126000000000001</v>
      </c>
      <c r="I150" s="438">
        <v>19.077000000000002</v>
      </c>
      <c r="J150" s="11"/>
      <c r="Q150" s="348">
        <f t="shared" si="24"/>
        <v>26.97938557927769</v>
      </c>
      <c r="R150" s="348">
        <f t="shared" si="25"/>
        <v>19.001777426035254</v>
      </c>
      <c r="S150" s="348">
        <f t="shared" si="26"/>
        <v>15.163907306161075</v>
      </c>
      <c r="T150" s="348">
        <f t="shared" si="27"/>
        <v>13.605010548721044</v>
      </c>
      <c r="U150" s="348">
        <f t="shared" si="28"/>
        <v>26.97938557927769</v>
      </c>
      <c r="V150" s="348">
        <f t="shared" si="29"/>
        <v>18.986755346025106</v>
      </c>
      <c r="W150" s="348">
        <f t="shared" si="30"/>
        <v>28.923132252568461</v>
      </c>
      <c r="X150" s="348">
        <f t="shared" si="31"/>
        <v>18.973314645293712</v>
      </c>
    </row>
    <row r="151" spans="1:24" x14ac:dyDescent="0.2">
      <c r="A151" s="407">
        <v>143</v>
      </c>
      <c r="B151" s="438">
        <v>27.041</v>
      </c>
      <c r="C151" s="438">
        <v>19.038</v>
      </c>
      <c r="D151" s="438">
        <v>15.323</v>
      </c>
      <c r="E151" s="438">
        <v>13.592000000000001</v>
      </c>
      <c r="F151" s="438">
        <v>27.041</v>
      </c>
      <c r="G151" s="438">
        <v>19.038</v>
      </c>
      <c r="H151" s="438">
        <v>29.123999999999999</v>
      </c>
      <c r="I151" s="438">
        <v>19.079999999999998</v>
      </c>
      <c r="J151" s="11"/>
      <c r="Q151" s="348">
        <f t="shared" si="24"/>
        <v>26.981375416906527</v>
      </c>
      <c r="R151" s="348">
        <f t="shared" si="25"/>
        <v>19.006807996895354</v>
      </c>
      <c r="S151" s="348">
        <f t="shared" si="26"/>
        <v>15.162907797113119</v>
      </c>
      <c r="T151" s="348">
        <f t="shared" si="27"/>
        <v>13.611015173445276</v>
      </c>
      <c r="U151" s="348">
        <f t="shared" si="28"/>
        <v>26.981375416906527</v>
      </c>
      <c r="V151" s="348">
        <f t="shared" si="29"/>
        <v>18.991761668657151</v>
      </c>
      <c r="W151" s="348">
        <f t="shared" si="30"/>
        <v>28.921138708389677</v>
      </c>
      <c r="X151" s="348">
        <f t="shared" si="31"/>
        <v>18.976298458095311</v>
      </c>
    </row>
    <row r="152" spans="1:24" x14ac:dyDescent="0.2">
      <c r="A152" s="407">
        <v>144</v>
      </c>
      <c r="B152" s="437">
        <v>27.047999999999998</v>
      </c>
      <c r="C152" s="438">
        <v>19.039000000000001</v>
      </c>
      <c r="D152" s="438">
        <v>15.326000000000001</v>
      </c>
      <c r="E152" s="438">
        <v>13.593</v>
      </c>
      <c r="F152" s="438">
        <v>27.047999999999998</v>
      </c>
      <c r="G152" s="438">
        <v>19.039000000000001</v>
      </c>
      <c r="H152" s="438">
        <v>29.126999999999999</v>
      </c>
      <c r="I152" s="438">
        <v>19.081</v>
      </c>
      <c r="J152" s="11"/>
      <c r="Q152" s="348">
        <f t="shared" si="24"/>
        <v>26.988339841344601</v>
      </c>
      <c r="R152" s="348">
        <f t="shared" si="25"/>
        <v>19.007814108929892</v>
      </c>
      <c r="S152" s="348">
        <f t="shared" si="26"/>
        <v>15.165906326966988</v>
      </c>
      <c r="T152" s="348">
        <f t="shared" si="27"/>
        <v>13.612015943948869</v>
      </c>
      <c r="U152" s="348">
        <f t="shared" si="28"/>
        <v>26.988339841344601</v>
      </c>
      <c r="V152" s="348">
        <f t="shared" si="29"/>
        <v>18.992762933337143</v>
      </c>
      <c r="W152" s="348">
        <f t="shared" si="30"/>
        <v>28.924129028542193</v>
      </c>
      <c r="X152" s="348">
        <f t="shared" si="31"/>
        <v>18.977293062961227</v>
      </c>
    </row>
    <row r="153" spans="1:24" x14ac:dyDescent="0.2">
      <c r="A153" s="407">
        <v>145</v>
      </c>
      <c r="B153" s="438">
        <v>27.042000000000002</v>
      </c>
      <c r="C153" s="438">
        <v>19.039000000000001</v>
      </c>
      <c r="D153" s="438">
        <v>15.324</v>
      </c>
      <c r="E153" s="438">
        <v>13.592000000000001</v>
      </c>
      <c r="F153" s="438">
        <v>27.042000000000002</v>
      </c>
      <c r="G153" s="438">
        <v>19.039000000000001</v>
      </c>
      <c r="H153" s="438">
        <v>29.131</v>
      </c>
      <c r="I153" s="438">
        <v>19.082000000000001</v>
      </c>
      <c r="J153" s="11"/>
      <c r="Q153" s="348">
        <f t="shared" si="24"/>
        <v>26.982370335375013</v>
      </c>
      <c r="R153" s="348">
        <f t="shared" si="25"/>
        <v>19.007814108929892</v>
      </c>
      <c r="S153" s="348">
        <f t="shared" si="26"/>
        <v>15.163907306161075</v>
      </c>
      <c r="T153" s="348">
        <f t="shared" si="27"/>
        <v>13.611015173445276</v>
      </c>
      <c r="U153" s="348">
        <f t="shared" si="28"/>
        <v>26.982370335375013</v>
      </c>
      <c r="V153" s="348">
        <f t="shared" si="29"/>
        <v>18.992762933337143</v>
      </c>
      <c r="W153" s="348">
        <f t="shared" si="30"/>
        <v>28.928116158332241</v>
      </c>
      <c r="X153" s="348">
        <f t="shared" si="31"/>
        <v>18.978287668126537</v>
      </c>
    </row>
    <row r="154" spans="1:24" x14ac:dyDescent="0.2">
      <c r="A154" s="407">
        <v>146</v>
      </c>
      <c r="B154" s="438">
        <v>27.041</v>
      </c>
      <c r="C154" s="438">
        <v>19.038</v>
      </c>
      <c r="D154" s="438">
        <v>15.324</v>
      </c>
      <c r="E154" s="438">
        <v>13.589</v>
      </c>
      <c r="F154" s="438">
        <v>27.041</v>
      </c>
      <c r="G154" s="438">
        <v>19.038</v>
      </c>
      <c r="H154" s="438">
        <v>29.134</v>
      </c>
      <c r="I154" s="438">
        <v>19.082999999999998</v>
      </c>
      <c r="J154" s="11"/>
      <c r="Q154" s="348">
        <f t="shared" si="24"/>
        <v>26.981375416906527</v>
      </c>
      <c r="R154" s="348">
        <f t="shared" si="25"/>
        <v>19.006807996895354</v>
      </c>
      <c r="S154" s="348">
        <f t="shared" si="26"/>
        <v>15.163907306161075</v>
      </c>
      <c r="T154" s="348">
        <f t="shared" si="27"/>
        <v>13.608012861447927</v>
      </c>
      <c r="U154" s="348">
        <f t="shared" si="28"/>
        <v>26.981375416906527</v>
      </c>
      <c r="V154" s="348">
        <f t="shared" si="29"/>
        <v>18.991761668657151</v>
      </c>
      <c r="W154" s="348">
        <f t="shared" si="30"/>
        <v>28.931106532864014</v>
      </c>
      <c r="X154" s="348">
        <f t="shared" si="31"/>
        <v>18.979282273591263</v>
      </c>
    </row>
    <row r="155" spans="1:24" x14ac:dyDescent="0.2">
      <c r="A155" s="407">
        <v>147</v>
      </c>
      <c r="B155" s="438">
        <v>27.04</v>
      </c>
      <c r="C155" s="438">
        <v>19.041</v>
      </c>
      <c r="D155" s="437">
        <v>15.323</v>
      </c>
      <c r="E155" s="438">
        <v>13.587999999999999</v>
      </c>
      <c r="F155" s="438">
        <v>27.04</v>
      </c>
      <c r="G155" s="438">
        <v>19.041</v>
      </c>
      <c r="H155" s="438">
        <v>29.132999999999999</v>
      </c>
      <c r="I155" s="438">
        <v>19.082000000000001</v>
      </c>
      <c r="J155" s="11"/>
      <c r="Q155" s="348">
        <f t="shared" si="24"/>
        <v>26.980380498207431</v>
      </c>
      <c r="R155" s="348">
        <f t="shared" si="25"/>
        <v>19.009826330860736</v>
      </c>
      <c r="S155" s="348">
        <f t="shared" si="26"/>
        <v>15.162907797113119</v>
      </c>
      <c r="T155" s="348">
        <f t="shared" si="27"/>
        <v>13.607012090620003</v>
      </c>
      <c r="U155" s="348">
        <f t="shared" si="28"/>
        <v>26.980380498207431</v>
      </c>
      <c r="V155" s="348">
        <f t="shared" si="29"/>
        <v>18.994765462850093</v>
      </c>
      <c r="W155" s="348">
        <f t="shared" si="30"/>
        <v>28.93010973876402</v>
      </c>
      <c r="X155" s="348">
        <f t="shared" si="31"/>
        <v>18.978287668126537</v>
      </c>
    </row>
    <row r="156" spans="1:24" x14ac:dyDescent="0.2">
      <c r="A156" s="407">
        <v>148</v>
      </c>
      <c r="B156" s="438">
        <v>27.036000000000001</v>
      </c>
      <c r="C156" s="438">
        <v>19.04</v>
      </c>
      <c r="D156" s="438">
        <v>15.321999999999999</v>
      </c>
      <c r="E156" s="438">
        <v>13.587999999999999</v>
      </c>
      <c r="F156" s="438">
        <v>27.036000000000001</v>
      </c>
      <c r="G156" s="438">
        <v>19.04</v>
      </c>
      <c r="H156" s="438">
        <v>29.132999999999999</v>
      </c>
      <c r="I156" s="438">
        <v>19.079000000000001</v>
      </c>
      <c r="J156" s="11"/>
      <c r="Q156" s="348">
        <f t="shared" si="24"/>
        <v>26.97640082110431</v>
      </c>
      <c r="R156" s="348">
        <f t="shared" si="25"/>
        <v>19.008820220251717</v>
      </c>
      <c r="S156" s="348">
        <f t="shared" si="26"/>
        <v>15.161908288968682</v>
      </c>
      <c r="T156" s="348">
        <f t="shared" si="27"/>
        <v>13.607012090620003</v>
      </c>
      <c r="U156" s="348">
        <f t="shared" si="28"/>
        <v>26.97640082110431</v>
      </c>
      <c r="V156" s="348">
        <f t="shared" si="29"/>
        <v>18.993764198068142</v>
      </c>
      <c r="W156" s="348">
        <f t="shared" si="30"/>
        <v>28.93010973876402</v>
      </c>
      <c r="X156" s="348">
        <f t="shared" si="31"/>
        <v>18.975303853528775</v>
      </c>
    </row>
    <row r="157" spans="1:24" x14ac:dyDescent="0.2">
      <c r="A157" s="407">
        <v>149</v>
      </c>
      <c r="B157" s="438">
        <v>27.047999999999998</v>
      </c>
      <c r="C157" s="438">
        <v>19.042999999999999</v>
      </c>
      <c r="D157" s="438">
        <v>15.326000000000001</v>
      </c>
      <c r="E157" s="438">
        <v>13.593999999999999</v>
      </c>
      <c r="F157" s="438">
        <v>27.047999999999998</v>
      </c>
      <c r="G157" s="438">
        <v>19.042999999999999</v>
      </c>
      <c r="H157" s="438">
        <v>29.135000000000002</v>
      </c>
      <c r="I157" s="438">
        <v>19.079999999999998</v>
      </c>
      <c r="J157" s="11"/>
      <c r="Q157" s="348">
        <f t="shared" si="24"/>
        <v>26.988339841344601</v>
      </c>
      <c r="R157" s="348">
        <f t="shared" si="25"/>
        <v>19.011838549939959</v>
      </c>
      <c r="S157" s="348">
        <f t="shared" si="26"/>
        <v>15.165906326966988</v>
      </c>
      <c r="T157" s="348">
        <f t="shared" si="27"/>
        <v>13.613016714371341</v>
      </c>
      <c r="U157" s="348">
        <f t="shared" si="28"/>
        <v>26.988339841344601</v>
      </c>
      <c r="V157" s="348">
        <f t="shared" si="29"/>
        <v>18.996767992566518</v>
      </c>
      <c r="W157" s="348">
        <f t="shared" si="30"/>
        <v>28.932103329553385</v>
      </c>
      <c r="X157" s="348">
        <f t="shared" si="31"/>
        <v>18.976298458095311</v>
      </c>
    </row>
    <row r="158" spans="1:24" x14ac:dyDescent="0.2">
      <c r="A158" s="407">
        <v>150</v>
      </c>
      <c r="B158" s="438">
        <v>27.036000000000001</v>
      </c>
      <c r="C158" s="437">
        <v>19.042000000000002</v>
      </c>
      <c r="D158" s="438">
        <v>15.323</v>
      </c>
      <c r="E158" s="438">
        <v>13.592000000000001</v>
      </c>
      <c r="F158" s="438">
        <v>27.036000000000001</v>
      </c>
      <c r="G158" s="438">
        <v>19.042000000000002</v>
      </c>
      <c r="H158" s="438">
        <v>29.135000000000002</v>
      </c>
      <c r="I158" s="437">
        <v>19.077000000000002</v>
      </c>
      <c r="J158" s="11"/>
      <c r="Q158" s="348">
        <f t="shared" si="24"/>
        <v>26.97640082110431</v>
      </c>
      <c r="R158" s="348">
        <f t="shared" si="25"/>
        <v>19.01083244075685</v>
      </c>
      <c r="S158" s="348">
        <f t="shared" si="26"/>
        <v>15.162907797113119</v>
      </c>
      <c r="T158" s="348">
        <f t="shared" si="27"/>
        <v>13.611015173445276</v>
      </c>
      <c r="U158" s="348">
        <f t="shared" si="28"/>
        <v>26.97640082110431</v>
      </c>
      <c r="V158" s="348">
        <f t="shared" si="29"/>
        <v>18.995766727682909</v>
      </c>
      <c r="W158" s="348">
        <f t="shared" si="30"/>
        <v>28.932103329553385</v>
      </c>
      <c r="X158" s="348">
        <f t="shared" si="31"/>
        <v>18.973314645293712</v>
      </c>
    </row>
    <row r="159" spans="1:24" x14ac:dyDescent="0.2">
      <c r="A159" s="407">
        <v>151</v>
      </c>
      <c r="B159" s="438">
        <v>27.044</v>
      </c>
      <c r="C159" s="438">
        <v>19.044</v>
      </c>
      <c r="D159" s="438">
        <v>15.326000000000001</v>
      </c>
      <c r="E159" s="437">
        <v>13.595000000000001</v>
      </c>
      <c r="F159" s="438">
        <v>27.044</v>
      </c>
      <c r="G159" s="438">
        <v>19.044</v>
      </c>
      <c r="H159" s="438">
        <v>29.137</v>
      </c>
      <c r="I159" s="438">
        <v>19.079000000000001</v>
      </c>
      <c r="J159" s="11"/>
      <c r="Q159" s="348">
        <f t="shared" si="24"/>
        <v>26.984360171620242</v>
      </c>
      <c r="R159" s="348">
        <f t="shared" si="25"/>
        <v>19.012844658409985</v>
      </c>
      <c r="S159" s="348">
        <f t="shared" si="26"/>
        <v>15.165906326966988</v>
      </c>
      <c r="T159" s="348">
        <f t="shared" si="27"/>
        <v>13.614017484712679</v>
      </c>
      <c r="U159" s="348">
        <f t="shared" si="28"/>
        <v>26.984360171620242</v>
      </c>
      <c r="V159" s="348">
        <f t="shared" si="29"/>
        <v>18.997769257500842</v>
      </c>
      <c r="W159" s="348">
        <f t="shared" si="30"/>
        <v>28.934096930700161</v>
      </c>
      <c r="X159" s="348">
        <f t="shared" si="31"/>
        <v>18.975303853528775</v>
      </c>
    </row>
    <row r="160" spans="1:24" x14ac:dyDescent="0.2">
      <c r="A160" s="407">
        <v>152</v>
      </c>
      <c r="B160" s="438">
        <v>27.04</v>
      </c>
      <c r="C160" s="438">
        <v>19.042000000000002</v>
      </c>
      <c r="D160" s="438">
        <v>15.327999999999999</v>
      </c>
      <c r="E160" s="438">
        <v>13.595000000000001</v>
      </c>
      <c r="F160" s="438">
        <v>27.04</v>
      </c>
      <c r="G160" s="438">
        <v>19.042000000000002</v>
      </c>
      <c r="H160" s="438">
        <v>29.135000000000002</v>
      </c>
      <c r="I160" s="438">
        <v>19.077999999999999</v>
      </c>
      <c r="J160" s="11"/>
      <c r="Q160" s="348">
        <f t="shared" si="24"/>
        <v>26.980380498207431</v>
      </c>
      <c r="R160" s="348">
        <f t="shared" si="25"/>
        <v>19.01083244075685</v>
      </c>
      <c r="S160" s="348">
        <f t="shared" si="26"/>
        <v>15.167905351385304</v>
      </c>
      <c r="T160" s="348">
        <f t="shared" si="27"/>
        <v>13.614017484712679</v>
      </c>
      <c r="U160" s="348">
        <f t="shared" si="28"/>
        <v>26.980380498207431</v>
      </c>
      <c r="V160" s="348">
        <f t="shared" si="29"/>
        <v>18.995766727682909</v>
      </c>
      <c r="W160" s="348">
        <f t="shared" si="30"/>
        <v>28.932103329553385</v>
      </c>
      <c r="X160" s="348">
        <f t="shared" si="31"/>
        <v>18.97430924926158</v>
      </c>
    </row>
    <row r="161" spans="1:24" x14ac:dyDescent="0.2">
      <c r="A161" s="407">
        <v>153</v>
      </c>
      <c r="B161" s="438">
        <v>27.042999999999999</v>
      </c>
      <c r="C161" s="438">
        <v>19.042999999999999</v>
      </c>
      <c r="D161" s="438">
        <v>15.327</v>
      </c>
      <c r="E161" s="438">
        <v>13.597</v>
      </c>
      <c r="F161" s="438">
        <v>27.042999999999999</v>
      </c>
      <c r="G161" s="438">
        <v>19.042999999999999</v>
      </c>
      <c r="H161" s="438">
        <v>29.137</v>
      </c>
      <c r="I161" s="438">
        <v>19.079999999999998</v>
      </c>
      <c r="J161" s="11"/>
      <c r="Q161" s="348">
        <f t="shared" si="24"/>
        <v>26.983365253612906</v>
      </c>
      <c r="R161" s="348">
        <f t="shared" si="25"/>
        <v>19.011838549939959</v>
      </c>
      <c r="S161" s="348">
        <f t="shared" si="26"/>
        <v>15.166905838724666</v>
      </c>
      <c r="T161" s="348">
        <f t="shared" si="27"/>
        <v>13.616019025151882</v>
      </c>
      <c r="U161" s="348">
        <f t="shared" si="28"/>
        <v>26.983365253612906</v>
      </c>
      <c r="V161" s="348">
        <f t="shared" si="29"/>
        <v>18.996767992566518</v>
      </c>
      <c r="W161" s="348">
        <f t="shared" si="30"/>
        <v>28.934096930700161</v>
      </c>
      <c r="X161" s="348">
        <f t="shared" si="31"/>
        <v>18.976298458095311</v>
      </c>
    </row>
    <row r="162" spans="1:24" x14ac:dyDescent="0.2">
      <c r="A162" s="407">
        <v>154</v>
      </c>
      <c r="B162" s="438">
        <v>27.036000000000001</v>
      </c>
      <c r="C162" s="438">
        <v>19.041</v>
      </c>
      <c r="D162" s="438">
        <v>15.327</v>
      </c>
      <c r="E162" s="438">
        <v>13.590999999999999</v>
      </c>
      <c r="F162" s="438">
        <v>27.036000000000001</v>
      </c>
      <c r="G162" s="438">
        <v>19.041</v>
      </c>
      <c r="H162" s="438">
        <v>29.138999999999999</v>
      </c>
      <c r="I162" s="438">
        <v>19.079000000000001</v>
      </c>
      <c r="J162" s="11"/>
      <c r="Q162" s="348">
        <f t="shared" si="24"/>
        <v>26.97640082110431</v>
      </c>
      <c r="R162" s="348">
        <f t="shared" si="25"/>
        <v>19.009826330860736</v>
      </c>
      <c r="S162" s="348">
        <f t="shared" si="26"/>
        <v>15.166905838724666</v>
      </c>
      <c r="T162" s="348">
        <f t="shared" si="27"/>
        <v>13.610014402860577</v>
      </c>
      <c r="U162" s="348">
        <f t="shared" si="28"/>
        <v>26.97640082110431</v>
      </c>
      <c r="V162" s="348">
        <f t="shared" si="29"/>
        <v>18.994765462850093</v>
      </c>
      <c r="W162" s="348">
        <f t="shared" si="30"/>
        <v>28.936090542204166</v>
      </c>
      <c r="X162" s="348">
        <f t="shared" si="31"/>
        <v>18.975303853528775</v>
      </c>
    </row>
    <row r="163" spans="1:24" x14ac:dyDescent="0.2">
      <c r="A163" s="407">
        <v>155</v>
      </c>
      <c r="B163" s="438">
        <v>27.033999999999999</v>
      </c>
      <c r="C163" s="438">
        <v>19.041</v>
      </c>
      <c r="D163" s="438">
        <v>15.324999999999999</v>
      </c>
      <c r="E163" s="438">
        <v>13.596</v>
      </c>
      <c r="F163" s="438">
        <v>27.033999999999999</v>
      </c>
      <c r="G163" s="438">
        <v>19.041</v>
      </c>
      <c r="H163" s="438">
        <v>29.135999999999999</v>
      </c>
      <c r="I163" s="438">
        <v>19.079999999999998</v>
      </c>
      <c r="J163" s="11"/>
      <c r="Q163" s="348">
        <f t="shared" si="24"/>
        <v>26.974410981168305</v>
      </c>
      <c r="R163" s="348">
        <f t="shared" si="25"/>
        <v>19.009826330860736</v>
      </c>
      <c r="S163" s="348">
        <f t="shared" si="26"/>
        <v>15.164906816112412</v>
      </c>
      <c r="T163" s="348">
        <f t="shared" si="27"/>
        <v>13.615018254972863</v>
      </c>
      <c r="U163" s="348">
        <f t="shared" si="28"/>
        <v>26.974410981168305</v>
      </c>
      <c r="V163" s="348">
        <f t="shared" si="29"/>
        <v>18.994765462850093</v>
      </c>
      <c r="W163" s="348">
        <f t="shared" si="30"/>
        <v>28.933100128832109</v>
      </c>
      <c r="X163" s="348">
        <f t="shared" si="31"/>
        <v>18.976298458095311</v>
      </c>
    </row>
    <row r="164" spans="1:24" x14ac:dyDescent="0.2">
      <c r="A164" s="407">
        <v>156</v>
      </c>
      <c r="B164" s="438">
        <v>27.032</v>
      </c>
      <c r="C164" s="438">
        <v>19.036999999999999</v>
      </c>
      <c r="D164" s="438">
        <v>15.327</v>
      </c>
      <c r="E164" s="438">
        <v>13.593</v>
      </c>
      <c r="F164" s="438">
        <v>27.032</v>
      </c>
      <c r="G164" s="438">
        <v>19.036999999999999</v>
      </c>
      <c r="H164" s="438">
        <v>29.141999999999999</v>
      </c>
      <c r="I164" s="438">
        <v>19.079999999999998</v>
      </c>
      <c r="J164" s="11"/>
      <c r="Q164" s="348">
        <f t="shared" si="24"/>
        <v>26.972421140309027</v>
      </c>
      <c r="R164" s="348">
        <f t="shared" si="25"/>
        <v>19.005801884148187</v>
      </c>
      <c r="S164" s="348">
        <f t="shared" si="26"/>
        <v>15.166905838724666</v>
      </c>
      <c r="T164" s="348">
        <f t="shared" si="27"/>
        <v>13.612015943948869</v>
      </c>
      <c r="U164" s="348">
        <f t="shared" si="28"/>
        <v>26.972421140309027</v>
      </c>
      <c r="V164" s="348">
        <f t="shared" si="29"/>
        <v>18.990760404028258</v>
      </c>
      <c r="W164" s="348">
        <f t="shared" si="30"/>
        <v>28.93908097887957</v>
      </c>
      <c r="X164" s="348">
        <f t="shared" si="31"/>
        <v>18.976298458095311</v>
      </c>
    </row>
    <row r="165" spans="1:24" x14ac:dyDescent="0.2">
      <c r="A165" s="407">
        <v>157</v>
      </c>
      <c r="B165" s="438">
        <v>27.030999999999999</v>
      </c>
      <c r="C165" s="438">
        <v>19.036999999999999</v>
      </c>
      <c r="D165" s="438">
        <v>15.324999999999999</v>
      </c>
      <c r="E165" s="438">
        <v>13.593</v>
      </c>
      <c r="F165" s="438">
        <v>27.030999999999999</v>
      </c>
      <c r="G165" s="438">
        <v>19.036999999999999</v>
      </c>
      <c r="H165" s="438">
        <v>29.14</v>
      </c>
      <c r="I165" s="438">
        <v>19.081</v>
      </c>
      <c r="J165" s="11"/>
      <c r="Q165" s="348">
        <f t="shared" si="24"/>
        <v>26.97142621953309</v>
      </c>
      <c r="R165" s="348">
        <f t="shared" si="25"/>
        <v>19.005801884148187</v>
      </c>
      <c r="S165" s="348">
        <f t="shared" si="26"/>
        <v>15.164906816112412</v>
      </c>
      <c r="T165" s="348">
        <f t="shared" si="27"/>
        <v>13.612015943948869</v>
      </c>
      <c r="U165" s="348">
        <f t="shared" si="28"/>
        <v>26.97142621953309</v>
      </c>
      <c r="V165" s="348">
        <f t="shared" si="29"/>
        <v>18.990760404028258</v>
      </c>
      <c r="W165" s="348">
        <f t="shared" si="30"/>
        <v>28.93708735184007</v>
      </c>
      <c r="X165" s="348">
        <f t="shared" si="31"/>
        <v>18.977293062961227</v>
      </c>
    </row>
    <row r="166" spans="1:24" x14ac:dyDescent="0.2">
      <c r="A166" s="407">
        <v>158</v>
      </c>
      <c r="B166" s="438">
        <v>27.032</v>
      </c>
      <c r="C166" s="438">
        <v>19.03</v>
      </c>
      <c r="D166" s="438">
        <v>15.324999999999999</v>
      </c>
      <c r="E166" s="438">
        <v>13.587</v>
      </c>
      <c r="F166" s="438">
        <v>27.032</v>
      </c>
      <c r="G166" s="438">
        <v>19.03</v>
      </c>
      <c r="H166" s="438">
        <v>29.138999999999999</v>
      </c>
      <c r="I166" s="438">
        <v>19.081</v>
      </c>
      <c r="J166" s="11"/>
      <c r="Q166" s="348">
        <f t="shared" si="24"/>
        <v>26.972421140309027</v>
      </c>
      <c r="R166" s="348">
        <f t="shared" si="25"/>
        <v>18.998759074972693</v>
      </c>
      <c r="S166" s="348">
        <f t="shared" si="26"/>
        <v>15.164906816112412</v>
      </c>
      <c r="T166" s="348">
        <f t="shared" si="27"/>
        <v>13.606011319711039</v>
      </c>
      <c r="U166" s="348">
        <f t="shared" si="28"/>
        <v>26.972421140309027</v>
      </c>
      <c r="V166" s="348">
        <f t="shared" si="29"/>
        <v>18.983751553062881</v>
      </c>
      <c r="W166" s="348">
        <f t="shared" si="30"/>
        <v>28.936090542204166</v>
      </c>
      <c r="X166" s="348">
        <f t="shared" si="31"/>
        <v>18.977293062961227</v>
      </c>
    </row>
    <row r="167" spans="1:24" x14ac:dyDescent="0.2">
      <c r="A167" s="407">
        <v>159</v>
      </c>
      <c r="B167" s="438">
        <v>27.033999999999999</v>
      </c>
      <c r="C167" s="438">
        <v>19.029</v>
      </c>
      <c r="D167" s="438">
        <v>15.324</v>
      </c>
      <c r="E167" s="438">
        <v>13.589</v>
      </c>
      <c r="F167" s="438">
        <v>27.033999999999999</v>
      </c>
      <c r="G167" s="438">
        <v>19.029</v>
      </c>
      <c r="H167" s="438">
        <v>29.143999999999998</v>
      </c>
      <c r="I167" s="438">
        <v>19.082000000000001</v>
      </c>
      <c r="J167" s="11"/>
      <c r="Q167" s="348">
        <f t="shared" si="24"/>
        <v>26.974410981168305</v>
      </c>
      <c r="R167" s="348">
        <f t="shared" si="25"/>
        <v>18.997752956527993</v>
      </c>
      <c r="S167" s="348">
        <f t="shared" si="26"/>
        <v>15.163907306161075</v>
      </c>
      <c r="T167" s="348">
        <f t="shared" si="27"/>
        <v>13.608012861447927</v>
      </c>
      <c r="U167" s="348">
        <f t="shared" si="28"/>
        <v>26.974410981168305</v>
      </c>
      <c r="V167" s="348">
        <f t="shared" si="29"/>
        <v>18.982750288845423</v>
      </c>
      <c r="W167" s="348">
        <f t="shared" si="30"/>
        <v>28.941074616275838</v>
      </c>
      <c r="X167" s="348">
        <f t="shared" si="31"/>
        <v>18.978287668126537</v>
      </c>
    </row>
    <row r="168" spans="1:24" x14ac:dyDescent="0.2">
      <c r="A168" s="407">
        <v>160</v>
      </c>
      <c r="B168" s="438">
        <v>27.027000000000001</v>
      </c>
      <c r="C168" s="438">
        <v>19.024000000000001</v>
      </c>
      <c r="D168" s="438">
        <v>15.32</v>
      </c>
      <c r="E168" s="438">
        <v>13.583</v>
      </c>
      <c r="F168" s="438">
        <v>27.027000000000001</v>
      </c>
      <c r="G168" s="438">
        <v>19.024000000000001</v>
      </c>
      <c r="H168" s="438">
        <v>29.149000000000001</v>
      </c>
      <c r="I168" s="438">
        <v>19.084</v>
      </c>
      <c r="J168" s="11"/>
      <c r="Q168" s="348">
        <f t="shared" si="24"/>
        <v>26.967446534119997</v>
      </c>
      <c r="R168" s="348">
        <f t="shared" si="25"/>
        <v>18.992722353629908</v>
      </c>
      <c r="S168" s="348">
        <f t="shared" si="26"/>
        <v>15.159909275390936</v>
      </c>
      <c r="T168" s="348">
        <f t="shared" si="27"/>
        <v>13.602008235265044</v>
      </c>
      <c r="U168" s="348">
        <f t="shared" si="28"/>
        <v>26.967446534119997</v>
      </c>
      <c r="V168" s="348">
        <f t="shared" si="29"/>
        <v>18.977743968536146</v>
      </c>
      <c r="W168" s="348">
        <f t="shared" si="30"/>
        <v>28.946058755076162</v>
      </c>
      <c r="X168" s="348">
        <f t="shared" si="31"/>
        <v>18.980276879355443</v>
      </c>
    </row>
    <row r="169" spans="1:24" x14ac:dyDescent="0.2">
      <c r="A169" s="407">
        <v>161</v>
      </c>
      <c r="B169" s="438">
        <v>27.027000000000001</v>
      </c>
      <c r="C169" s="438">
        <v>19.023</v>
      </c>
      <c r="D169" s="438">
        <v>15.324</v>
      </c>
      <c r="E169" s="438">
        <v>13.585000000000001</v>
      </c>
      <c r="F169" s="438">
        <v>27.027000000000001</v>
      </c>
      <c r="G169" s="438">
        <v>19.023</v>
      </c>
      <c r="H169" s="438">
        <v>29.146000000000001</v>
      </c>
      <c r="I169" s="438">
        <v>19.082000000000001</v>
      </c>
      <c r="J169" s="11"/>
      <c r="Q169" s="348">
        <f t="shared" si="24"/>
        <v>26.967446534119997</v>
      </c>
      <c r="R169" s="348">
        <f t="shared" si="25"/>
        <v>18.99171623091604</v>
      </c>
      <c r="S169" s="348">
        <f t="shared" si="26"/>
        <v>15.163907306161075</v>
      </c>
      <c r="T169" s="348">
        <f t="shared" si="27"/>
        <v>13.604009777650038</v>
      </c>
      <c r="U169" s="348">
        <f t="shared" si="28"/>
        <v>26.967446534119997</v>
      </c>
      <c r="V169" s="348">
        <f t="shared" si="29"/>
        <v>18.976742704630418</v>
      </c>
      <c r="W169" s="348">
        <f t="shared" si="30"/>
        <v>28.943068264028692</v>
      </c>
      <c r="X169" s="348">
        <f t="shared" si="31"/>
        <v>18.978287668126537</v>
      </c>
    </row>
    <row r="170" spans="1:24" x14ac:dyDescent="0.2">
      <c r="A170" s="407">
        <v>162</v>
      </c>
      <c r="B170" s="438">
        <v>27.027000000000001</v>
      </c>
      <c r="C170" s="438">
        <v>19.023</v>
      </c>
      <c r="D170" s="438">
        <v>15.324</v>
      </c>
      <c r="E170" s="438">
        <v>13.583</v>
      </c>
      <c r="F170" s="438">
        <v>27.027000000000001</v>
      </c>
      <c r="G170" s="437">
        <v>19.023</v>
      </c>
      <c r="H170" s="438">
        <v>29.152000000000001</v>
      </c>
      <c r="I170" s="438">
        <v>19.082999999999998</v>
      </c>
      <c r="J170" s="11"/>
      <c r="Q170" s="348">
        <f t="shared" si="24"/>
        <v>26.967446534119997</v>
      </c>
      <c r="R170" s="348">
        <f t="shared" si="25"/>
        <v>18.99171623091604</v>
      </c>
      <c r="S170" s="348">
        <f t="shared" si="26"/>
        <v>15.163907306161075</v>
      </c>
      <c r="T170" s="348">
        <f t="shared" si="27"/>
        <v>13.602008235265044</v>
      </c>
      <c r="U170" s="348">
        <f t="shared" si="28"/>
        <v>26.967446534119997</v>
      </c>
      <c r="V170" s="348">
        <f t="shared" si="29"/>
        <v>18.976742704630418</v>
      </c>
      <c r="W170" s="348">
        <f t="shared" si="30"/>
        <v>28.949049269424901</v>
      </c>
      <c r="X170" s="348">
        <f t="shared" si="31"/>
        <v>18.979282273591263</v>
      </c>
    </row>
    <row r="171" spans="1:24" x14ac:dyDescent="0.2">
      <c r="A171" s="407">
        <v>163</v>
      </c>
      <c r="B171" s="437">
        <v>27.029</v>
      </c>
      <c r="C171" s="438">
        <v>19.018999999999998</v>
      </c>
      <c r="D171" s="438">
        <v>15.324</v>
      </c>
      <c r="E171" s="438">
        <v>13.586</v>
      </c>
      <c r="F171" s="438">
        <v>27.029</v>
      </c>
      <c r="G171" s="438">
        <v>19.018999999999998</v>
      </c>
      <c r="H171" s="438">
        <v>29.149000000000001</v>
      </c>
      <c r="I171" s="438">
        <v>19.082000000000001</v>
      </c>
      <c r="J171" s="11"/>
      <c r="Q171" s="348">
        <f t="shared" si="24"/>
        <v>26.969436377288471</v>
      </c>
      <c r="R171" s="348">
        <f t="shared" si="25"/>
        <v>18.987691732949568</v>
      </c>
      <c r="S171" s="348">
        <f t="shared" si="26"/>
        <v>15.163907306161075</v>
      </c>
      <c r="T171" s="348">
        <f t="shared" si="27"/>
        <v>13.605010548721044</v>
      </c>
      <c r="U171" s="348">
        <f t="shared" si="28"/>
        <v>26.969436377288471</v>
      </c>
      <c r="V171" s="348">
        <f t="shared" si="29"/>
        <v>18.97273764953043</v>
      </c>
      <c r="W171" s="348">
        <f t="shared" si="30"/>
        <v>28.946058755076162</v>
      </c>
      <c r="X171" s="348">
        <f t="shared" si="31"/>
        <v>18.978287668126537</v>
      </c>
    </row>
    <row r="172" spans="1:24" x14ac:dyDescent="0.2">
      <c r="A172" s="407">
        <v>164</v>
      </c>
      <c r="B172" s="438">
        <v>27.018999999999998</v>
      </c>
      <c r="C172" s="437">
        <v>19.018000000000001</v>
      </c>
      <c r="D172" s="438">
        <v>15.317</v>
      </c>
      <c r="E172" s="438">
        <v>13.581</v>
      </c>
      <c r="F172" s="437">
        <v>27.018999999999998</v>
      </c>
      <c r="G172" s="438">
        <v>19.018000000000001</v>
      </c>
      <c r="H172" s="437">
        <v>29.154</v>
      </c>
      <c r="I172" s="438">
        <v>19.079000000000001</v>
      </c>
      <c r="J172" s="11"/>
      <c r="Q172" s="348">
        <f t="shared" si="24"/>
        <v>26.959487152202961</v>
      </c>
      <c r="R172" s="348">
        <f t="shared" si="25"/>
        <v>18.98668560668068</v>
      </c>
      <c r="S172" s="348">
        <f t="shared" si="26"/>
        <v>15.156910761804214</v>
      </c>
      <c r="T172" s="348">
        <f t="shared" si="27"/>
        <v>13.600006692556182</v>
      </c>
      <c r="U172" s="348">
        <f t="shared" si="28"/>
        <v>26.959487152202961</v>
      </c>
      <c r="V172" s="348">
        <f t="shared" si="29"/>
        <v>18.971736385886537</v>
      </c>
      <c r="W172" s="348">
        <f t="shared" si="30"/>
        <v>28.951042958602223</v>
      </c>
      <c r="X172" s="348">
        <f t="shared" si="31"/>
        <v>18.975303853528775</v>
      </c>
    </row>
    <row r="173" spans="1:24" x14ac:dyDescent="0.2">
      <c r="A173" s="407">
        <v>165</v>
      </c>
      <c r="B173" s="438">
        <v>27.021999999999998</v>
      </c>
      <c r="C173" s="438">
        <v>19.018999999999998</v>
      </c>
      <c r="D173" s="438">
        <v>15.32</v>
      </c>
      <c r="E173" s="438">
        <v>13.583</v>
      </c>
      <c r="F173" s="438">
        <v>27.021999999999998</v>
      </c>
      <c r="G173" s="438">
        <v>19.018999999999998</v>
      </c>
      <c r="H173" s="438">
        <v>29.155999999999999</v>
      </c>
      <c r="I173" s="438">
        <v>19.079000000000001</v>
      </c>
      <c r="J173" s="11"/>
      <c r="Q173" s="348">
        <f t="shared" si="24"/>
        <v>26.962471922155444</v>
      </c>
      <c r="R173" s="348">
        <f t="shared" si="25"/>
        <v>18.987691732949568</v>
      </c>
      <c r="S173" s="348">
        <f t="shared" si="26"/>
        <v>15.159909275390936</v>
      </c>
      <c r="T173" s="348">
        <f t="shared" si="27"/>
        <v>13.602008235265044</v>
      </c>
      <c r="U173" s="348">
        <f t="shared" si="28"/>
        <v>26.962471922155444</v>
      </c>
      <c r="V173" s="348">
        <f t="shared" si="29"/>
        <v>18.97273764953043</v>
      </c>
      <c r="W173" s="348">
        <f t="shared" si="30"/>
        <v>28.953036658135201</v>
      </c>
      <c r="X173" s="348">
        <f t="shared" si="31"/>
        <v>18.975303853528775</v>
      </c>
    </row>
    <row r="174" spans="1:24" x14ac:dyDescent="0.2">
      <c r="A174" s="407">
        <v>166</v>
      </c>
      <c r="B174" s="438">
        <v>27.016999999999999</v>
      </c>
      <c r="C174" s="438">
        <v>19.02</v>
      </c>
      <c r="D174" s="438">
        <v>15.318</v>
      </c>
      <c r="E174" s="438">
        <v>13.576000000000001</v>
      </c>
      <c r="F174" s="438">
        <v>27.016999999999999</v>
      </c>
      <c r="G174" s="438">
        <v>19.02</v>
      </c>
      <c r="H174" s="438">
        <v>29.155000000000001</v>
      </c>
      <c r="I174" s="438">
        <v>19.079999999999998</v>
      </c>
      <c r="J174" s="11"/>
      <c r="Q174" s="348">
        <f t="shared" si="24"/>
        <v>26.95749730441176</v>
      </c>
      <c r="R174" s="348">
        <f t="shared" si="25"/>
        <v>18.988697858507646</v>
      </c>
      <c r="S174" s="348">
        <f t="shared" si="26"/>
        <v>15.157910265428947</v>
      </c>
      <c r="T174" s="348">
        <f t="shared" si="27"/>
        <v>13.595002834367909</v>
      </c>
      <c r="U174" s="348">
        <f t="shared" si="28"/>
        <v>26.95749730441176</v>
      </c>
      <c r="V174" s="348">
        <f t="shared" si="29"/>
        <v>18.973738913226835</v>
      </c>
      <c r="W174" s="348">
        <f t="shared" si="30"/>
        <v>28.952039807074271</v>
      </c>
      <c r="X174" s="348">
        <f t="shared" si="31"/>
        <v>18.976298458095311</v>
      </c>
    </row>
    <row r="175" spans="1:24" x14ac:dyDescent="0.2">
      <c r="A175" s="407">
        <v>167</v>
      </c>
      <c r="B175" s="438">
        <v>27.021000000000001</v>
      </c>
      <c r="C175" s="438">
        <v>19.016999999999999</v>
      </c>
      <c r="D175" s="438">
        <v>15.318</v>
      </c>
      <c r="E175" s="438">
        <v>13.579000000000001</v>
      </c>
      <c r="F175" s="438">
        <v>27.021000000000001</v>
      </c>
      <c r="G175" s="438">
        <v>19.016999999999999</v>
      </c>
      <c r="H175" s="438">
        <v>29.158000000000001</v>
      </c>
      <c r="I175" s="438">
        <v>19.077000000000002</v>
      </c>
      <c r="J175" s="11"/>
      <c r="Q175" s="348">
        <f t="shared" si="24"/>
        <v>26.961476999069159</v>
      </c>
      <c r="R175" s="348">
        <f t="shared" si="25"/>
        <v>18.985679479701066</v>
      </c>
      <c r="S175" s="348">
        <f t="shared" si="26"/>
        <v>15.157910265428947</v>
      </c>
      <c r="T175" s="348">
        <f t="shared" si="27"/>
        <v>13.598005149523575</v>
      </c>
      <c r="U175" s="348">
        <f t="shared" si="28"/>
        <v>26.961476999069159</v>
      </c>
      <c r="V175" s="348">
        <f t="shared" si="29"/>
        <v>18.970735122295242</v>
      </c>
      <c r="W175" s="348">
        <f t="shared" si="30"/>
        <v>28.955030368023646</v>
      </c>
      <c r="X175" s="348">
        <f t="shared" si="31"/>
        <v>18.973314645293712</v>
      </c>
    </row>
    <row r="176" spans="1:24" x14ac:dyDescent="0.2">
      <c r="A176" s="407">
        <v>168</v>
      </c>
      <c r="B176" s="438">
        <v>27.012</v>
      </c>
      <c r="C176" s="438">
        <v>19.021000000000001</v>
      </c>
      <c r="D176" s="438">
        <v>15.315</v>
      </c>
      <c r="E176" s="438">
        <v>13.577</v>
      </c>
      <c r="F176" s="438">
        <v>27.012</v>
      </c>
      <c r="G176" s="438">
        <v>19.021000000000001</v>
      </c>
      <c r="H176" s="438">
        <v>29.164000000000001</v>
      </c>
      <c r="I176" s="438">
        <v>19.074999999999999</v>
      </c>
      <c r="J176" s="11"/>
      <c r="Q176" s="348">
        <f t="shared" si="24"/>
        <v>26.952522680885338</v>
      </c>
      <c r="R176" s="348">
        <f t="shared" si="25"/>
        <v>18.989703983354815</v>
      </c>
      <c r="S176" s="348">
        <f t="shared" si="26"/>
        <v>15.154911757267969</v>
      </c>
      <c r="T176" s="348">
        <f t="shared" si="27"/>
        <v>13.596003606167343</v>
      </c>
      <c r="U176" s="348">
        <f t="shared" si="28"/>
        <v>26.952522680885338</v>
      </c>
      <c r="V176" s="348">
        <f t="shared" si="29"/>
        <v>18.97474017697569</v>
      </c>
      <c r="W176" s="348">
        <f t="shared" si="30"/>
        <v>28.961011559819855</v>
      </c>
      <c r="X176" s="348">
        <f t="shared" si="31"/>
        <v>18.971325438255839</v>
      </c>
    </row>
    <row r="177" spans="1:24" x14ac:dyDescent="0.2">
      <c r="A177" s="407">
        <v>169</v>
      </c>
      <c r="B177" s="438">
        <v>27.013000000000002</v>
      </c>
      <c r="C177" s="438">
        <v>19.024999999999999</v>
      </c>
      <c r="D177" s="438">
        <v>15.314</v>
      </c>
      <c r="E177" s="437">
        <v>13.579000000000001</v>
      </c>
      <c r="F177" s="438">
        <v>27.013000000000002</v>
      </c>
      <c r="G177" s="438">
        <v>19.024999999999999</v>
      </c>
      <c r="H177" s="438">
        <v>29.161999999999999</v>
      </c>
      <c r="I177" s="438">
        <v>19.074999999999999</v>
      </c>
      <c r="J177" s="11"/>
      <c r="Q177" s="348">
        <f t="shared" si="24"/>
        <v>26.953517606053413</v>
      </c>
      <c r="R177" s="348">
        <f t="shared" si="25"/>
        <v>18.993728475632487</v>
      </c>
      <c r="S177" s="348">
        <f t="shared" si="26"/>
        <v>15.153912256356737</v>
      </c>
      <c r="T177" s="348">
        <f t="shared" si="27"/>
        <v>13.598005149523575</v>
      </c>
      <c r="U177" s="348">
        <f t="shared" si="28"/>
        <v>26.953517606053413</v>
      </c>
      <c r="V177" s="348">
        <f t="shared" si="29"/>
        <v>18.978745232494017</v>
      </c>
      <c r="W177" s="348">
        <f t="shared" si="30"/>
        <v>28.959017818866162</v>
      </c>
      <c r="X177" s="348">
        <f t="shared" si="31"/>
        <v>18.971325438255839</v>
      </c>
    </row>
    <row r="178" spans="1:24" x14ac:dyDescent="0.2">
      <c r="A178" s="407">
        <v>170</v>
      </c>
      <c r="B178" s="438">
        <v>27.013999999999999</v>
      </c>
      <c r="C178" s="438">
        <v>19.024000000000001</v>
      </c>
      <c r="D178" s="438">
        <v>15.313000000000001</v>
      </c>
      <c r="E178" s="438">
        <v>13.577</v>
      </c>
      <c r="F178" s="438">
        <v>27.013999999999999</v>
      </c>
      <c r="G178" s="438">
        <v>19.024000000000001</v>
      </c>
      <c r="H178" s="438">
        <v>29.163</v>
      </c>
      <c r="I178" s="438">
        <v>19.071999999999999</v>
      </c>
      <c r="J178" s="11"/>
      <c r="Q178" s="348">
        <f t="shared" si="24"/>
        <v>26.954512530990065</v>
      </c>
      <c r="R178" s="348">
        <f t="shared" si="25"/>
        <v>18.992722353629908</v>
      </c>
      <c r="S178" s="348">
        <f t="shared" si="26"/>
        <v>15.152912756350286</v>
      </c>
      <c r="T178" s="348">
        <f t="shared" si="27"/>
        <v>13.596003606167343</v>
      </c>
      <c r="U178" s="348">
        <f t="shared" si="28"/>
        <v>26.954512530990065</v>
      </c>
      <c r="V178" s="348">
        <f t="shared" si="29"/>
        <v>18.977743968536146</v>
      </c>
      <c r="W178" s="348">
        <f t="shared" si="30"/>
        <v>28.960014688048659</v>
      </c>
      <c r="X178" s="348">
        <f t="shared" si="31"/>
        <v>18.968341629943335</v>
      </c>
    </row>
    <row r="179" spans="1:24" x14ac:dyDescent="0.2">
      <c r="A179" s="407">
        <v>171</v>
      </c>
      <c r="B179" s="438">
        <v>27.018000000000001</v>
      </c>
      <c r="C179" s="438">
        <v>19.024999999999999</v>
      </c>
      <c r="D179" s="438">
        <v>15.319000000000001</v>
      </c>
      <c r="E179" s="438">
        <v>13.582000000000001</v>
      </c>
      <c r="F179" s="438">
        <v>27.018000000000001</v>
      </c>
      <c r="G179" s="438">
        <v>19.024999999999999</v>
      </c>
      <c r="H179" s="438">
        <v>29.167000000000002</v>
      </c>
      <c r="I179" s="438">
        <v>19.068000000000001</v>
      </c>
      <c r="J179" s="11"/>
      <c r="Q179" s="348">
        <f t="shared" si="24"/>
        <v>26.958492228423005</v>
      </c>
      <c r="R179" s="348">
        <f t="shared" si="25"/>
        <v>18.993728475632487</v>
      </c>
      <c r="S179" s="348">
        <f t="shared" si="26"/>
        <v>15.158909769957901</v>
      </c>
      <c r="T179" s="348">
        <f t="shared" si="27"/>
        <v>13.60100746395109</v>
      </c>
      <c r="U179" s="348">
        <f t="shared" si="28"/>
        <v>26.958492228423005</v>
      </c>
      <c r="V179" s="348">
        <f t="shared" si="29"/>
        <v>18.978745232494017</v>
      </c>
      <c r="W179" s="348">
        <f t="shared" si="30"/>
        <v>28.964002190665408</v>
      </c>
      <c r="X179" s="348">
        <f t="shared" si="31"/>
        <v>18.964363223048313</v>
      </c>
    </row>
    <row r="180" spans="1:24" x14ac:dyDescent="0.2">
      <c r="A180" s="407">
        <v>172</v>
      </c>
      <c r="B180" s="438">
        <v>27.007000000000001</v>
      </c>
      <c r="C180" s="438">
        <v>19.027000000000001</v>
      </c>
      <c r="D180" s="438">
        <v>15.314</v>
      </c>
      <c r="E180" s="438">
        <v>13.579000000000001</v>
      </c>
      <c r="F180" s="438">
        <v>27.007000000000001</v>
      </c>
      <c r="G180" s="438">
        <v>19.027000000000001</v>
      </c>
      <c r="H180" s="438">
        <v>29.17</v>
      </c>
      <c r="I180" s="438">
        <v>19.067</v>
      </c>
      <c r="J180" s="11"/>
      <c r="Q180" s="348">
        <f t="shared" si="24"/>
        <v>26.94754805157255</v>
      </c>
      <c r="R180" s="348">
        <f t="shared" si="25"/>
        <v>18.995740717503388</v>
      </c>
      <c r="S180" s="348">
        <f t="shared" si="26"/>
        <v>15.153912256356737</v>
      </c>
      <c r="T180" s="348">
        <f t="shared" si="27"/>
        <v>13.598005149523575</v>
      </c>
      <c r="U180" s="348">
        <f t="shared" si="28"/>
        <v>26.94754805157255</v>
      </c>
      <c r="V180" s="348">
        <f t="shared" si="29"/>
        <v>18.980747760565887</v>
      </c>
      <c r="W180" s="348">
        <f t="shared" si="30"/>
        <v>28.966992844808395</v>
      </c>
      <c r="X180" s="348">
        <f t="shared" si="31"/>
        <v>18.963368622072302</v>
      </c>
    </row>
    <row r="181" spans="1:24" x14ac:dyDescent="0.2">
      <c r="A181" s="407">
        <v>173</v>
      </c>
      <c r="B181" s="437">
        <v>27.015000000000001</v>
      </c>
      <c r="C181" s="438">
        <v>19.029</v>
      </c>
      <c r="D181" s="438">
        <v>15.318</v>
      </c>
      <c r="E181" s="438">
        <v>13.582000000000001</v>
      </c>
      <c r="F181" s="438">
        <v>27.015000000000001</v>
      </c>
      <c r="G181" s="438">
        <v>19.029</v>
      </c>
      <c r="H181" s="438">
        <v>29.172000000000001</v>
      </c>
      <c r="I181" s="438">
        <v>19.065000000000001</v>
      </c>
      <c r="J181" s="11"/>
      <c r="Q181" s="348">
        <f t="shared" si="24"/>
        <v>26.955507455695326</v>
      </c>
      <c r="R181" s="348">
        <f t="shared" si="25"/>
        <v>18.997752956527993</v>
      </c>
      <c r="S181" s="348">
        <f t="shared" si="26"/>
        <v>15.157910265428947</v>
      </c>
      <c r="T181" s="348">
        <f t="shared" si="27"/>
        <v>13.60100746395109</v>
      </c>
      <c r="U181" s="348">
        <f t="shared" si="28"/>
        <v>26.955507455695326</v>
      </c>
      <c r="V181" s="348">
        <f t="shared" si="29"/>
        <v>18.982750288845423</v>
      </c>
      <c r="W181" s="348">
        <f t="shared" si="30"/>
        <v>28.968986627179753</v>
      </c>
      <c r="X181" s="348">
        <f t="shared" si="31"/>
        <v>18.961379421017416</v>
      </c>
    </row>
    <row r="182" spans="1:24" x14ac:dyDescent="0.2">
      <c r="A182" s="407">
        <v>174</v>
      </c>
      <c r="B182" s="438">
        <v>27.001000000000001</v>
      </c>
      <c r="C182" s="438">
        <v>19.029</v>
      </c>
      <c r="D182" s="438">
        <v>15.313000000000001</v>
      </c>
      <c r="E182" s="438">
        <v>13.581</v>
      </c>
      <c r="F182" s="438">
        <v>27.001000000000001</v>
      </c>
      <c r="G182" s="438">
        <v>19.029</v>
      </c>
      <c r="H182" s="438">
        <v>29.172999999999998</v>
      </c>
      <c r="I182" s="438">
        <v>19.062000000000001</v>
      </c>
      <c r="J182" s="11"/>
      <c r="Q182" s="348">
        <f t="shared" si="24"/>
        <v>26.941578488754139</v>
      </c>
      <c r="R182" s="348">
        <f t="shared" si="25"/>
        <v>18.997752956527993</v>
      </c>
      <c r="S182" s="348">
        <f t="shared" si="26"/>
        <v>15.152912756350286</v>
      </c>
      <c r="T182" s="348">
        <f t="shared" si="27"/>
        <v>13.600006692556182</v>
      </c>
      <c r="U182" s="348">
        <f t="shared" si="28"/>
        <v>26.941578488754139</v>
      </c>
      <c r="V182" s="348">
        <f t="shared" si="29"/>
        <v>18.982750288845423</v>
      </c>
      <c r="W182" s="348">
        <f t="shared" si="30"/>
        <v>28.969983522248167</v>
      </c>
      <c r="X182" s="348">
        <f t="shared" si="31"/>
        <v>18.958395621677514</v>
      </c>
    </row>
    <row r="183" spans="1:24" x14ac:dyDescent="0.2">
      <c r="A183" s="407">
        <v>175</v>
      </c>
      <c r="B183" s="438">
        <v>27.001999999999999</v>
      </c>
      <c r="C183" s="438">
        <v>19.030999999999999</v>
      </c>
      <c r="D183" s="438">
        <v>15.315</v>
      </c>
      <c r="E183" s="438">
        <v>13.583</v>
      </c>
      <c r="F183" s="438">
        <v>27.001999999999999</v>
      </c>
      <c r="G183" s="438">
        <v>19.030999999999999</v>
      </c>
      <c r="H183" s="438">
        <v>29.172999999999998</v>
      </c>
      <c r="I183" s="438">
        <v>19.058</v>
      </c>
      <c r="J183" s="11"/>
      <c r="Q183" s="348">
        <f t="shared" si="24"/>
        <v>26.942573416469799</v>
      </c>
      <c r="R183" s="348">
        <f t="shared" si="25"/>
        <v>18.999765192705532</v>
      </c>
      <c r="S183" s="348">
        <f t="shared" si="26"/>
        <v>15.154911757267969</v>
      </c>
      <c r="T183" s="348">
        <f t="shared" si="27"/>
        <v>13.602008235265044</v>
      </c>
      <c r="U183" s="348">
        <f t="shared" si="28"/>
        <v>26.942573416469799</v>
      </c>
      <c r="V183" s="348">
        <f t="shared" si="29"/>
        <v>18.984752817332026</v>
      </c>
      <c r="W183" s="348">
        <f t="shared" si="30"/>
        <v>28.969983522248167</v>
      </c>
      <c r="X183" s="348">
        <f t="shared" si="31"/>
        <v>18.954417226742486</v>
      </c>
    </row>
    <row r="184" spans="1:24" x14ac:dyDescent="0.2">
      <c r="A184" s="407">
        <v>176</v>
      </c>
      <c r="B184" s="438">
        <v>27.007000000000001</v>
      </c>
      <c r="C184" s="438">
        <v>19.036000000000001</v>
      </c>
      <c r="D184" s="438">
        <v>15.315</v>
      </c>
      <c r="E184" s="438">
        <v>13.584</v>
      </c>
      <c r="F184" s="438">
        <v>27.007000000000001</v>
      </c>
      <c r="G184" s="438">
        <v>19.036000000000001</v>
      </c>
      <c r="H184" s="438">
        <v>29.173999999999999</v>
      </c>
      <c r="I184" s="438">
        <v>19.055</v>
      </c>
      <c r="J184" s="11"/>
      <c r="Q184" s="348">
        <f t="shared" si="24"/>
        <v>26.94754805157255</v>
      </c>
      <c r="R184" s="348">
        <f t="shared" si="25"/>
        <v>19.004795770688506</v>
      </c>
      <c r="S184" s="348">
        <f t="shared" si="26"/>
        <v>15.154911757267969</v>
      </c>
      <c r="T184" s="348">
        <f t="shared" si="27"/>
        <v>13.603009006498031</v>
      </c>
      <c r="U184" s="348">
        <f t="shared" si="28"/>
        <v>26.94754805157255</v>
      </c>
      <c r="V184" s="348">
        <f t="shared" si="29"/>
        <v>18.989759139450531</v>
      </c>
      <c r="W184" s="348">
        <f t="shared" si="30"/>
        <v>28.970980419905043</v>
      </c>
      <c r="X184" s="348">
        <f t="shared" si="31"/>
        <v>18.951433433678982</v>
      </c>
    </row>
    <row r="185" spans="1:24" x14ac:dyDescent="0.2">
      <c r="A185" s="407">
        <v>177</v>
      </c>
      <c r="B185" s="438">
        <v>27.006</v>
      </c>
      <c r="C185" s="438">
        <v>19.035</v>
      </c>
      <c r="D185" s="438">
        <v>15.319000000000001</v>
      </c>
      <c r="E185" s="438">
        <v>13.587999999999999</v>
      </c>
      <c r="F185" s="438">
        <v>27.006</v>
      </c>
      <c r="G185" s="438">
        <v>19.035</v>
      </c>
      <c r="H185" s="438">
        <v>29.172999999999998</v>
      </c>
      <c r="I185" s="438">
        <v>19.053999999999998</v>
      </c>
      <c r="J185" s="11"/>
      <c r="Q185" s="348">
        <f t="shared" si="24"/>
        <v>26.94655312501531</v>
      </c>
      <c r="R185" s="348">
        <f t="shared" si="25"/>
        <v>19.003789656516393</v>
      </c>
      <c r="S185" s="348">
        <f t="shared" si="26"/>
        <v>15.158909769957901</v>
      </c>
      <c r="T185" s="348">
        <f t="shared" si="27"/>
        <v>13.607012090620003</v>
      </c>
      <c r="U185" s="348">
        <f t="shared" si="28"/>
        <v>26.94655312501531</v>
      </c>
      <c r="V185" s="348">
        <f t="shared" si="29"/>
        <v>18.988757874924048</v>
      </c>
      <c r="W185" s="348">
        <f t="shared" si="30"/>
        <v>28.969983522248167</v>
      </c>
      <c r="X185" s="348">
        <f t="shared" si="31"/>
        <v>18.950438836588681</v>
      </c>
    </row>
    <row r="186" spans="1:24" x14ac:dyDescent="0.2">
      <c r="A186" s="407">
        <v>178</v>
      </c>
      <c r="B186" s="438">
        <v>27.004000000000001</v>
      </c>
      <c r="C186" s="438">
        <v>19.035</v>
      </c>
      <c r="D186" s="438">
        <v>15.315</v>
      </c>
      <c r="E186" s="438">
        <v>13.589</v>
      </c>
      <c r="F186" s="438">
        <v>27.004000000000001</v>
      </c>
      <c r="G186" s="438">
        <v>19.035</v>
      </c>
      <c r="H186" s="438">
        <v>29.172999999999998</v>
      </c>
      <c r="I186" s="438">
        <v>19.053999999999998</v>
      </c>
      <c r="J186" s="11"/>
      <c r="Q186" s="348">
        <f t="shared" si="24"/>
        <v>26.944563271205926</v>
      </c>
      <c r="R186" s="348">
        <f t="shared" si="25"/>
        <v>19.003789656516393</v>
      </c>
      <c r="S186" s="348">
        <f t="shared" si="26"/>
        <v>15.154911757267969</v>
      </c>
      <c r="T186" s="348">
        <f t="shared" si="27"/>
        <v>13.608012861447927</v>
      </c>
      <c r="U186" s="348">
        <f t="shared" si="28"/>
        <v>26.944563271205926</v>
      </c>
      <c r="V186" s="348">
        <f t="shared" si="29"/>
        <v>18.988757874924048</v>
      </c>
      <c r="W186" s="348">
        <f t="shared" si="30"/>
        <v>28.969983522248167</v>
      </c>
      <c r="X186" s="348">
        <f t="shared" si="31"/>
        <v>18.950438836588681</v>
      </c>
    </row>
    <row r="187" spans="1:24" x14ac:dyDescent="0.2">
      <c r="A187" s="407">
        <v>179</v>
      </c>
      <c r="B187" s="438">
        <v>26.998999999999999</v>
      </c>
      <c r="C187" s="438">
        <v>19.036000000000001</v>
      </c>
      <c r="D187" s="438">
        <v>15.316000000000001</v>
      </c>
      <c r="E187" s="438">
        <v>13.59</v>
      </c>
      <c r="F187" s="438">
        <v>26.998999999999999</v>
      </c>
      <c r="G187" s="438">
        <v>19.036000000000001</v>
      </c>
      <c r="H187" s="438">
        <v>29.175000000000001</v>
      </c>
      <c r="I187" s="438">
        <v>19.053000000000001</v>
      </c>
      <c r="J187" s="11"/>
      <c r="Q187" s="348">
        <f t="shared" si="24"/>
        <v>26.939588632627466</v>
      </c>
      <c r="R187" s="348">
        <f t="shared" si="25"/>
        <v>19.004795770688506</v>
      </c>
      <c r="S187" s="348">
        <f t="shared" si="26"/>
        <v>15.155911259083842</v>
      </c>
      <c r="T187" s="348">
        <f t="shared" si="27"/>
        <v>13.60901363219479</v>
      </c>
      <c r="U187" s="348">
        <f t="shared" si="28"/>
        <v>26.939588632627466</v>
      </c>
      <c r="V187" s="348">
        <f t="shared" si="29"/>
        <v>18.989759139450531</v>
      </c>
      <c r="W187" s="348">
        <f t="shared" si="30"/>
        <v>28.971977320150359</v>
      </c>
      <c r="X187" s="348">
        <f t="shared" si="31"/>
        <v>18.94944423979711</v>
      </c>
    </row>
    <row r="188" spans="1:24" x14ac:dyDescent="0.2">
      <c r="A188" s="407">
        <v>180</v>
      </c>
      <c r="B188" s="438">
        <v>26.994</v>
      </c>
      <c r="C188" s="438">
        <v>19.038</v>
      </c>
      <c r="D188" s="438">
        <v>15.314</v>
      </c>
      <c r="E188" s="438">
        <v>13.59</v>
      </c>
      <c r="F188" s="438">
        <v>26.994</v>
      </c>
      <c r="G188" s="438">
        <v>19.038</v>
      </c>
      <c r="H188" s="438">
        <v>29.172000000000001</v>
      </c>
      <c r="I188" s="438">
        <v>19.052</v>
      </c>
      <c r="J188" s="11"/>
      <c r="Q188" s="348">
        <f t="shared" si="24"/>
        <v>26.934613988253275</v>
      </c>
      <c r="R188" s="348">
        <f t="shared" si="25"/>
        <v>19.006807996895354</v>
      </c>
      <c r="S188" s="348">
        <f t="shared" si="26"/>
        <v>15.153912256356737</v>
      </c>
      <c r="T188" s="348">
        <f t="shared" si="27"/>
        <v>13.60901363219479</v>
      </c>
      <c r="U188" s="348">
        <f t="shared" si="28"/>
        <v>26.934613988253275</v>
      </c>
      <c r="V188" s="348">
        <f t="shared" si="29"/>
        <v>18.991761668657151</v>
      </c>
      <c r="W188" s="348">
        <f t="shared" si="30"/>
        <v>28.968986627179753</v>
      </c>
      <c r="X188" s="348">
        <f t="shared" si="31"/>
        <v>18.94844964330424</v>
      </c>
    </row>
    <row r="189" spans="1:24" x14ac:dyDescent="0.2">
      <c r="A189" s="407">
        <v>181</v>
      </c>
      <c r="B189" s="438">
        <v>26.992999999999999</v>
      </c>
      <c r="C189" s="438">
        <v>19.04</v>
      </c>
      <c r="D189" s="438">
        <v>15.316000000000001</v>
      </c>
      <c r="E189" s="438">
        <v>13.590999999999999</v>
      </c>
      <c r="F189" s="438">
        <v>26.992999999999999</v>
      </c>
      <c r="G189" s="438">
        <v>19.04</v>
      </c>
      <c r="H189" s="438">
        <v>29.169</v>
      </c>
      <c r="I189" s="438">
        <v>19.05</v>
      </c>
      <c r="J189" s="11"/>
      <c r="Q189" s="348">
        <f t="shared" si="24"/>
        <v>26.933619058682634</v>
      </c>
      <c r="R189" s="348">
        <f t="shared" si="25"/>
        <v>19.008820220251717</v>
      </c>
      <c r="S189" s="348">
        <f t="shared" si="26"/>
        <v>15.155911259083842</v>
      </c>
      <c r="T189" s="348">
        <f t="shared" si="27"/>
        <v>13.610014402860577</v>
      </c>
      <c r="U189" s="348">
        <f t="shared" si="28"/>
        <v>26.933619058682634</v>
      </c>
      <c r="V189" s="348">
        <f t="shared" si="29"/>
        <v>18.993764198068142</v>
      </c>
      <c r="W189" s="348">
        <f t="shared" si="30"/>
        <v>28.965995957505502</v>
      </c>
      <c r="X189" s="348">
        <f t="shared" si="31"/>
        <v>18.946460451214506</v>
      </c>
    </row>
    <row r="190" spans="1:24" x14ac:dyDescent="0.2">
      <c r="A190" s="407">
        <v>182</v>
      </c>
      <c r="B190" s="438">
        <v>26.997</v>
      </c>
      <c r="C190" s="438">
        <v>19.042999999999999</v>
      </c>
      <c r="D190" s="438">
        <v>15.318</v>
      </c>
      <c r="E190" s="438">
        <v>13.589</v>
      </c>
      <c r="F190" s="438">
        <v>26.997</v>
      </c>
      <c r="G190" s="438">
        <v>19.042999999999999</v>
      </c>
      <c r="H190" s="438">
        <v>29.172999999999998</v>
      </c>
      <c r="I190" s="438">
        <v>19.050999999999998</v>
      </c>
      <c r="J190" s="11"/>
      <c r="Q190" s="348">
        <f t="shared" si="24"/>
        <v>26.93759877557348</v>
      </c>
      <c r="R190" s="348">
        <f t="shared" si="25"/>
        <v>19.011838549939959</v>
      </c>
      <c r="S190" s="348">
        <f t="shared" si="26"/>
        <v>15.157910265428947</v>
      </c>
      <c r="T190" s="348">
        <f t="shared" si="27"/>
        <v>13.608012861447927</v>
      </c>
      <c r="U190" s="348">
        <f t="shared" si="28"/>
        <v>26.93759877557348</v>
      </c>
      <c r="V190" s="348">
        <f t="shared" si="29"/>
        <v>18.996767992566518</v>
      </c>
      <c r="W190" s="348">
        <f t="shared" si="30"/>
        <v>28.969983522248167</v>
      </c>
      <c r="X190" s="348">
        <f t="shared" si="31"/>
        <v>18.947455047110044</v>
      </c>
    </row>
    <row r="191" spans="1:24" x14ac:dyDescent="0.2">
      <c r="A191" s="407">
        <v>183</v>
      </c>
      <c r="B191" s="438">
        <v>27.001000000000001</v>
      </c>
      <c r="C191" s="438">
        <v>19.042999999999999</v>
      </c>
      <c r="D191" s="438">
        <v>15.32</v>
      </c>
      <c r="E191" s="438">
        <v>13.59</v>
      </c>
      <c r="F191" s="438">
        <v>27.001000000000001</v>
      </c>
      <c r="G191" s="438">
        <v>19.042999999999999</v>
      </c>
      <c r="H191" s="438">
        <v>29.173999999999999</v>
      </c>
      <c r="I191" s="438">
        <v>19.047999999999998</v>
      </c>
      <c r="J191" s="11"/>
      <c r="Q191" s="348">
        <f t="shared" si="24"/>
        <v>26.941578488754139</v>
      </c>
      <c r="R191" s="348">
        <f t="shared" si="25"/>
        <v>19.011838549939959</v>
      </c>
      <c r="S191" s="348">
        <f t="shared" si="26"/>
        <v>15.159909275390936</v>
      </c>
      <c r="T191" s="348">
        <f t="shared" si="27"/>
        <v>13.60901363219479</v>
      </c>
      <c r="U191" s="348">
        <f t="shared" si="28"/>
        <v>26.941578488754139</v>
      </c>
      <c r="V191" s="348">
        <f t="shared" si="29"/>
        <v>18.996767992566518</v>
      </c>
      <c r="W191" s="348">
        <f t="shared" si="30"/>
        <v>28.970980419905043</v>
      </c>
      <c r="X191" s="348">
        <f t="shared" si="31"/>
        <v>18.944471260319279</v>
      </c>
    </row>
    <row r="192" spans="1:24" x14ac:dyDescent="0.2">
      <c r="A192" s="407">
        <v>184</v>
      </c>
      <c r="B192" s="438">
        <v>26.988</v>
      </c>
      <c r="C192" s="438">
        <v>19.047000000000001</v>
      </c>
      <c r="D192" s="438">
        <v>15.318</v>
      </c>
      <c r="E192" s="438">
        <v>13.590999999999999</v>
      </c>
      <c r="F192" s="438">
        <v>26.988</v>
      </c>
      <c r="G192" s="438">
        <v>19.047000000000001</v>
      </c>
      <c r="H192" s="438">
        <v>29.17</v>
      </c>
      <c r="I192" s="438">
        <v>19.047999999999998</v>
      </c>
      <c r="J192" s="11"/>
      <c r="Q192" s="348">
        <f t="shared" si="24"/>
        <v>26.928644407348816</v>
      </c>
      <c r="R192" s="348">
        <f t="shared" si="25"/>
        <v>19.015862979540536</v>
      </c>
      <c r="S192" s="348">
        <f t="shared" si="26"/>
        <v>15.157910265428947</v>
      </c>
      <c r="T192" s="348">
        <f t="shared" si="27"/>
        <v>13.610014402860577</v>
      </c>
      <c r="U192" s="348">
        <f t="shared" si="28"/>
        <v>26.928644407348816</v>
      </c>
      <c r="V192" s="348">
        <f t="shared" si="29"/>
        <v>19.000773052607382</v>
      </c>
      <c r="W192" s="348">
        <f t="shared" si="30"/>
        <v>28.966992844808395</v>
      </c>
      <c r="X192" s="348">
        <f t="shared" si="31"/>
        <v>18.944471260319279</v>
      </c>
    </row>
    <row r="193" spans="1:24" x14ac:dyDescent="0.2">
      <c r="A193" s="407">
        <v>185</v>
      </c>
      <c r="B193" s="438">
        <v>26.988</v>
      </c>
      <c r="C193" s="438">
        <v>19.045000000000002</v>
      </c>
      <c r="D193" s="438">
        <v>15.318</v>
      </c>
      <c r="E193" s="438">
        <v>13.596</v>
      </c>
      <c r="F193" s="438">
        <v>26.988</v>
      </c>
      <c r="G193" s="438">
        <v>19.045000000000002</v>
      </c>
      <c r="H193" s="438">
        <v>29.17</v>
      </c>
      <c r="I193" s="438">
        <v>19.045999999999999</v>
      </c>
      <c r="J193" s="11"/>
      <c r="Q193" s="348">
        <f t="shared" si="24"/>
        <v>26.928644407348816</v>
      </c>
      <c r="R193" s="348">
        <f t="shared" si="25"/>
        <v>19.013850766166815</v>
      </c>
      <c r="S193" s="348">
        <f t="shared" si="26"/>
        <v>15.157910265428947</v>
      </c>
      <c r="T193" s="348">
        <f t="shared" si="27"/>
        <v>13.615018254972863</v>
      </c>
      <c r="U193" s="348">
        <f t="shared" si="28"/>
        <v>26.928644407348816</v>
      </c>
      <c r="V193" s="348">
        <f t="shared" si="29"/>
        <v>18.998770522485813</v>
      </c>
      <c r="W193" s="348">
        <f t="shared" si="30"/>
        <v>28.966992844808395</v>
      </c>
      <c r="X193" s="348">
        <f t="shared" si="31"/>
        <v>18.942482070618368</v>
      </c>
    </row>
    <row r="194" spans="1:24" x14ac:dyDescent="0.2">
      <c r="A194" s="407">
        <v>186</v>
      </c>
      <c r="B194" s="438">
        <v>26.992999999999999</v>
      </c>
      <c r="C194" s="438">
        <v>19.047000000000001</v>
      </c>
      <c r="D194" s="438">
        <v>15.321999999999999</v>
      </c>
      <c r="E194" s="438">
        <v>13.593999999999999</v>
      </c>
      <c r="F194" s="438">
        <v>26.992999999999999</v>
      </c>
      <c r="G194" s="438">
        <v>19.047000000000001</v>
      </c>
      <c r="H194" s="438">
        <v>29.170999999999999</v>
      </c>
      <c r="I194" s="438">
        <v>19.047999999999998</v>
      </c>
      <c r="J194" s="11"/>
      <c r="Q194" s="348">
        <f t="shared" si="24"/>
        <v>26.933619058682634</v>
      </c>
      <c r="R194" s="348">
        <f t="shared" si="25"/>
        <v>19.015862979540536</v>
      </c>
      <c r="S194" s="348">
        <f t="shared" si="26"/>
        <v>15.161908288968682</v>
      </c>
      <c r="T194" s="348">
        <f t="shared" si="27"/>
        <v>13.613016714371341</v>
      </c>
      <c r="U194" s="348">
        <f t="shared" si="28"/>
        <v>26.933619058682634</v>
      </c>
      <c r="V194" s="348">
        <f t="shared" si="29"/>
        <v>19.000773052607382</v>
      </c>
      <c r="W194" s="348">
        <f t="shared" si="30"/>
        <v>28.967989734699817</v>
      </c>
      <c r="X194" s="348">
        <f t="shared" si="31"/>
        <v>18.944471260319279</v>
      </c>
    </row>
    <row r="195" spans="1:24" x14ac:dyDescent="0.2">
      <c r="A195" s="407">
        <v>187</v>
      </c>
      <c r="B195" s="437">
        <v>26.992999999999999</v>
      </c>
      <c r="C195" s="438">
        <v>19.047000000000001</v>
      </c>
      <c r="D195" s="438">
        <v>15.321</v>
      </c>
      <c r="E195" s="438">
        <v>13.595000000000001</v>
      </c>
      <c r="F195" s="438">
        <v>26.992999999999999</v>
      </c>
      <c r="G195" s="438">
        <v>19.047000000000001</v>
      </c>
      <c r="H195" s="438">
        <v>29.164999999999999</v>
      </c>
      <c r="I195" s="438">
        <v>19.044</v>
      </c>
      <c r="J195" s="11"/>
      <c r="Q195" s="348">
        <f t="shared" si="24"/>
        <v>26.933619058682634</v>
      </c>
      <c r="R195" s="348">
        <f t="shared" si="25"/>
        <v>19.015862979540536</v>
      </c>
      <c r="S195" s="348">
        <f t="shared" si="26"/>
        <v>15.160908781727908</v>
      </c>
      <c r="T195" s="348">
        <f t="shared" si="27"/>
        <v>13.614017484712679</v>
      </c>
      <c r="U195" s="348">
        <f t="shared" si="28"/>
        <v>26.933619058682634</v>
      </c>
      <c r="V195" s="348">
        <f t="shared" si="29"/>
        <v>19.000773052607382</v>
      </c>
      <c r="W195" s="348">
        <f t="shared" si="30"/>
        <v>28.962008434179729</v>
      </c>
      <c r="X195" s="348">
        <f t="shared" si="31"/>
        <v>18.940492882111567</v>
      </c>
    </row>
    <row r="196" spans="1:24" x14ac:dyDescent="0.2">
      <c r="A196" s="407">
        <v>188</v>
      </c>
      <c r="B196" s="438">
        <v>26.992999999999999</v>
      </c>
      <c r="C196" s="438">
        <v>19.052</v>
      </c>
      <c r="D196" s="438">
        <v>15.321</v>
      </c>
      <c r="E196" s="438">
        <v>13.597</v>
      </c>
      <c r="F196" s="438">
        <v>26.992999999999999</v>
      </c>
      <c r="G196" s="438">
        <v>19.052</v>
      </c>
      <c r="H196" s="438">
        <v>29.164999999999999</v>
      </c>
      <c r="I196" s="438">
        <v>19.042000000000002</v>
      </c>
      <c r="J196" s="11"/>
      <c r="Q196" s="348">
        <f t="shared" si="24"/>
        <v>26.933619058682634</v>
      </c>
      <c r="R196" s="348">
        <f t="shared" si="25"/>
        <v>19.0208935004874</v>
      </c>
      <c r="S196" s="348">
        <f t="shared" si="26"/>
        <v>15.160908781727908</v>
      </c>
      <c r="T196" s="348">
        <f t="shared" si="27"/>
        <v>13.616019025151882</v>
      </c>
      <c r="U196" s="348">
        <f t="shared" si="28"/>
        <v>26.933619058682634</v>
      </c>
      <c r="V196" s="348">
        <f t="shared" si="29"/>
        <v>19.005779378792308</v>
      </c>
      <c r="W196" s="348">
        <f t="shared" si="30"/>
        <v>28.962008434179729</v>
      </c>
      <c r="X196" s="348">
        <f t="shared" si="31"/>
        <v>18.93850369479868</v>
      </c>
    </row>
    <row r="197" spans="1:24" x14ac:dyDescent="0.2">
      <c r="A197" s="407">
        <v>189</v>
      </c>
      <c r="B197" s="438">
        <v>26.99</v>
      </c>
      <c r="C197" s="438">
        <v>19.050999999999998</v>
      </c>
      <c r="D197" s="438">
        <v>15.321</v>
      </c>
      <c r="E197" s="438">
        <v>13.601000000000001</v>
      </c>
      <c r="F197" s="438">
        <v>26.99</v>
      </c>
      <c r="G197" s="438">
        <v>19.050999999999998</v>
      </c>
      <c r="H197" s="438">
        <v>29.164999999999999</v>
      </c>
      <c r="I197" s="437">
        <v>19.04</v>
      </c>
      <c r="J197" s="11"/>
      <c r="Q197" s="348">
        <f t="shared" si="24"/>
        <v>26.930634268578576</v>
      </c>
      <c r="R197" s="348">
        <f t="shared" si="25"/>
        <v>19.01988739772554</v>
      </c>
      <c r="S197" s="348">
        <f t="shared" si="26"/>
        <v>15.160908781727908</v>
      </c>
      <c r="T197" s="348">
        <f t="shared" si="27"/>
        <v>13.620022105055986</v>
      </c>
      <c r="U197" s="348">
        <f t="shared" si="28"/>
        <v>26.930634268578576</v>
      </c>
      <c r="V197" s="348">
        <f t="shared" si="29"/>
        <v>19.004778113454936</v>
      </c>
      <c r="W197" s="348">
        <f t="shared" si="30"/>
        <v>28.962008434179729</v>
      </c>
      <c r="X197" s="348">
        <f t="shared" si="31"/>
        <v>18.936514508679508</v>
      </c>
    </row>
    <row r="198" spans="1:24" x14ac:dyDescent="0.2">
      <c r="A198" s="407">
        <v>190</v>
      </c>
      <c r="B198" s="438">
        <v>26.991</v>
      </c>
      <c r="C198" s="438">
        <v>19.050999999999998</v>
      </c>
      <c r="D198" s="438">
        <v>15.321999999999999</v>
      </c>
      <c r="E198" s="438">
        <v>13.598000000000001</v>
      </c>
      <c r="F198" s="438">
        <v>26.991</v>
      </c>
      <c r="G198" s="438">
        <v>19.050999999999998</v>
      </c>
      <c r="H198" s="438">
        <v>29.164999999999999</v>
      </c>
      <c r="I198" s="438">
        <v>19.042000000000002</v>
      </c>
      <c r="J198" s="11"/>
      <c r="Q198" s="348">
        <f t="shared" si="24"/>
        <v>26.931629198845314</v>
      </c>
      <c r="R198" s="348">
        <f t="shared" si="25"/>
        <v>19.01988739772554</v>
      </c>
      <c r="S198" s="348">
        <f t="shared" si="26"/>
        <v>15.161908288968682</v>
      </c>
      <c r="T198" s="348">
        <f t="shared" si="27"/>
        <v>13.617019795249719</v>
      </c>
      <c r="U198" s="348">
        <f t="shared" si="28"/>
        <v>26.931629198845314</v>
      </c>
      <c r="V198" s="348">
        <f t="shared" si="29"/>
        <v>19.004778113454936</v>
      </c>
      <c r="W198" s="348">
        <f t="shared" si="30"/>
        <v>28.962008434179729</v>
      </c>
      <c r="X198" s="348">
        <f t="shared" si="31"/>
        <v>18.93850369479868</v>
      </c>
    </row>
    <row r="199" spans="1:24" x14ac:dyDescent="0.2">
      <c r="A199" s="407">
        <v>191</v>
      </c>
      <c r="B199" s="438">
        <v>26.991</v>
      </c>
      <c r="C199" s="438">
        <v>19.05</v>
      </c>
      <c r="D199" s="438">
        <v>15.32</v>
      </c>
      <c r="E199" s="438">
        <v>13.6</v>
      </c>
      <c r="F199" s="438">
        <v>26.991</v>
      </c>
      <c r="G199" s="438">
        <v>19.05</v>
      </c>
      <c r="H199" s="438">
        <v>29.164000000000001</v>
      </c>
      <c r="I199" s="438">
        <v>19.044</v>
      </c>
      <c r="J199" s="11"/>
      <c r="Q199" s="348">
        <f t="shared" si="24"/>
        <v>26.931629198845314</v>
      </c>
      <c r="R199" s="348">
        <f t="shared" si="25"/>
        <v>19.01888129424983</v>
      </c>
      <c r="S199" s="348">
        <f t="shared" si="26"/>
        <v>15.159909275390936</v>
      </c>
      <c r="T199" s="348">
        <f t="shared" si="27"/>
        <v>13.619021335201786</v>
      </c>
      <c r="U199" s="348">
        <f t="shared" si="28"/>
        <v>26.931629198845314</v>
      </c>
      <c r="V199" s="348">
        <f t="shared" si="29"/>
        <v>19.003776848167682</v>
      </c>
      <c r="W199" s="348">
        <f t="shared" si="30"/>
        <v>28.961011559819855</v>
      </c>
      <c r="X199" s="348">
        <f t="shared" si="31"/>
        <v>18.940492882111567</v>
      </c>
    </row>
    <row r="200" spans="1:24" x14ac:dyDescent="0.2">
      <c r="A200" s="407">
        <v>192</v>
      </c>
      <c r="B200" s="438">
        <v>26.99</v>
      </c>
      <c r="C200" s="438">
        <v>19.050999999999998</v>
      </c>
      <c r="D200" s="438">
        <v>15.321</v>
      </c>
      <c r="E200" s="438">
        <v>13.599</v>
      </c>
      <c r="F200" s="438">
        <v>26.99</v>
      </c>
      <c r="G200" s="438">
        <v>19.050999999999998</v>
      </c>
      <c r="H200" s="438">
        <v>29.157</v>
      </c>
      <c r="I200" s="438">
        <v>19.045000000000002</v>
      </c>
      <c r="J200" s="11"/>
      <c r="Q200" s="348">
        <f t="shared" si="24"/>
        <v>26.930634268578576</v>
      </c>
      <c r="R200" s="348">
        <f t="shared" si="25"/>
        <v>19.01988739772554</v>
      </c>
      <c r="S200" s="348">
        <f t="shared" si="26"/>
        <v>15.160908781727908</v>
      </c>
      <c r="T200" s="348">
        <f t="shared" si="27"/>
        <v>13.61802056526636</v>
      </c>
      <c r="U200" s="348">
        <f t="shared" si="28"/>
        <v>26.930634268578576</v>
      </c>
      <c r="V200" s="348">
        <f t="shared" si="29"/>
        <v>19.004778113454936</v>
      </c>
      <c r="W200" s="348">
        <f t="shared" si="30"/>
        <v>28.954033511785003</v>
      </c>
      <c r="X200" s="348">
        <f t="shared" si="31"/>
        <v>18.941487476215716</v>
      </c>
    </row>
    <row r="201" spans="1:24" x14ac:dyDescent="0.2">
      <c r="A201" s="407">
        <v>193</v>
      </c>
      <c r="B201" s="438">
        <v>26.984999999999999</v>
      </c>
      <c r="C201" s="437">
        <v>19.053999999999998</v>
      </c>
      <c r="D201" s="438">
        <v>15.318</v>
      </c>
      <c r="E201" s="438">
        <v>13.598000000000001</v>
      </c>
      <c r="F201" s="438">
        <v>26.984999999999999</v>
      </c>
      <c r="G201" s="438">
        <v>19.053999999999998</v>
      </c>
      <c r="H201" s="438">
        <v>29.157</v>
      </c>
      <c r="I201" s="438">
        <v>19.042999999999999</v>
      </c>
      <c r="J201" s="11"/>
      <c r="Q201" s="348">
        <f t="shared" si="24"/>
        <v>26.925659613763003</v>
      </c>
      <c r="R201" s="348">
        <f t="shared" si="25"/>
        <v>19.022905703869188</v>
      </c>
      <c r="S201" s="348">
        <f t="shared" si="26"/>
        <v>15.157910265428947</v>
      </c>
      <c r="T201" s="348">
        <f t="shared" si="27"/>
        <v>13.617019795249719</v>
      </c>
      <c r="U201" s="348">
        <f t="shared" si="28"/>
        <v>26.925659613763003</v>
      </c>
      <c r="V201" s="348">
        <f t="shared" si="29"/>
        <v>19.007781909617115</v>
      </c>
      <c r="W201" s="348">
        <f t="shared" si="30"/>
        <v>28.954033511785003</v>
      </c>
      <c r="X201" s="348">
        <f t="shared" si="31"/>
        <v>18.939498288305895</v>
      </c>
    </row>
    <row r="202" spans="1:24" x14ac:dyDescent="0.2">
      <c r="A202" s="407">
        <v>194</v>
      </c>
      <c r="B202" s="438">
        <v>26.989000000000001</v>
      </c>
      <c r="C202" s="438">
        <v>19.050999999999998</v>
      </c>
      <c r="D202" s="438">
        <v>15.318</v>
      </c>
      <c r="E202" s="437">
        <v>13.592000000000001</v>
      </c>
      <c r="F202" s="438">
        <v>26.989000000000001</v>
      </c>
      <c r="G202" s="438">
        <v>19.050999999999998</v>
      </c>
      <c r="H202" s="438">
        <v>29.154</v>
      </c>
      <c r="I202" s="438">
        <v>19.042999999999999</v>
      </c>
      <c r="J202" s="11"/>
      <c r="Q202" s="348">
        <f t="shared" ref="Q202:Q265" si="32">IFERROR(B202^4*$AB$9+B202^3*$AC$9+B202^2*$AD$9+B202^1*$AE$9+B202^0*$AF$9,"")</f>
        <v>26.929639338079756</v>
      </c>
      <c r="R202" s="348">
        <f t="shared" ref="R202:R265" si="33">IFERROR(C202^4*$AB$10+C202^3*$AC$10+C202^2*$AD$10+C202^1*$AE$10+C202^0*$AF$10,"")</f>
        <v>19.01988739772554</v>
      </c>
      <c r="S202" s="348">
        <f t="shared" ref="S202:S265" si="34">IFERROR(D202^4*$AB$11+D202^3*$AC$11+D202^2*$AD$11+D202^1*$AE$11+D202^0*$AF$11,"")</f>
        <v>15.157910265428947</v>
      </c>
      <c r="T202" s="348">
        <f t="shared" ref="T202:T265" si="35">IFERROR(E202^4*$AB$12+E202^3*$AC$12+E202^2*$AD$12+E202^1*$AE$12+E202^0*$AF$12,"")</f>
        <v>13.611015173445276</v>
      </c>
      <c r="U202" s="348">
        <f t="shared" ref="U202:U265" si="36">IFERROR(F202^4*$AB$13+F202^3*$AC$13+F202^2*$AD$13+F202^1*$AE$13+F202^0*$AF$13,"")</f>
        <v>26.929639338079756</v>
      </c>
      <c r="V202" s="348">
        <f t="shared" ref="V202:V265" si="37">IFERROR(G202^4*$AB$14+G202^3*$AC$14+G202^2*$AD$14+G202^1*$AE$14+G202^0*$AF$14,"")</f>
        <v>19.004778113454936</v>
      </c>
      <c r="W202" s="348">
        <f t="shared" ref="W202:W265" si="38">IFERROR(H202^4*$AB$15+H202^3*$AC$15+H202^2*$AD$15+H202^1*$AE$15+H202^0*$AF$15,"")</f>
        <v>28.951042958602223</v>
      </c>
      <c r="X202" s="348">
        <f t="shared" ref="X202:X265" si="39">IFERROR(I202^4*$AB$16+I202^3*$AC$16+I202^2*$AD$16+I202^1*$AE$16+I202^0*$AF$16,"")</f>
        <v>18.939498288305895</v>
      </c>
    </row>
    <row r="203" spans="1:24" x14ac:dyDescent="0.2">
      <c r="A203" s="407">
        <v>195</v>
      </c>
      <c r="B203" s="438">
        <v>26.99</v>
      </c>
      <c r="C203" s="438">
        <v>19.05</v>
      </c>
      <c r="D203" s="438">
        <v>15.319000000000001</v>
      </c>
      <c r="E203" s="438">
        <v>13.59</v>
      </c>
      <c r="F203" s="438">
        <v>26.99</v>
      </c>
      <c r="G203" s="438">
        <v>19.05</v>
      </c>
      <c r="H203" s="438">
        <v>29.155000000000001</v>
      </c>
      <c r="I203" s="438">
        <v>19.041</v>
      </c>
      <c r="J203" s="11"/>
      <c r="Q203" s="348">
        <f t="shared" si="32"/>
        <v>26.930634268578576</v>
      </c>
      <c r="R203" s="348">
        <f t="shared" si="33"/>
        <v>19.01888129424983</v>
      </c>
      <c r="S203" s="348">
        <f t="shared" si="34"/>
        <v>15.158909769957901</v>
      </c>
      <c r="T203" s="348">
        <f t="shared" si="35"/>
        <v>13.60901363219479</v>
      </c>
      <c r="U203" s="348">
        <f t="shared" si="36"/>
        <v>26.930634268578576</v>
      </c>
      <c r="V203" s="348">
        <f t="shared" si="37"/>
        <v>19.003776848167682</v>
      </c>
      <c r="W203" s="348">
        <f t="shared" si="38"/>
        <v>28.952039807074271</v>
      </c>
      <c r="X203" s="348">
        <f t="shared" si="39"/>
        <v>18.937509101589889</v>
      </c>
    </row>
    <row r="204" spans="1:24" x14ac:dyDescent="0.2">
      <c r="A204" s="407">
        <v>196</v>
      </c>
      <c r="B204" s="438">
        <v>26.992000000000001</v>
      </c>
      <c r="C204" s="438">
        <v>19.050999999999998</v>
      </c>
      <c r="D204" s="438">
        <v>15.32</v>
      </c>
      <c r="E204" s="438">
        <v>13.595000000000001</v>
      </c>
      <c r="F204" s="438">
        <v>26.992000000000001</v>
      </c>
      <c r="G204" s="438">
        <v>19.050999999999998</v>
      </c>
      <c r="H204" s="438">
        <v>29.15</v>
      </c>
      <c r="I204" s="438">
        <v>19.04</v>
      </c>
      <c r="J204" s="11"/>
      <c r="Q204" s="348">
        <f t="shared" si="32"/>
        <v>26.93262412887999</v>
      </c>
      <c r="R204" s="348">
        <f t="shared" si="33"/>
        <v>19.01988739772554</v>
      </c>
      <c r="S204" s="348">
        <f t="shared" si="34"/>
        <v>15.159909275390936</v>
      </c>
      <c r="T204" s="348">
        <f t="shared" si="35"/>
        <v>13.614017484712679</v>
      </c>
      <c r="U204" s="348">
        <f t="shared" si="36"/>
        <v>26.93262412887999</v>
      </c>
      <c r="V204" s="348">
        <f t="shared" si="37"/>
        <v>19.004778113454936</v>
      </c>
      <c r="W204" s="348">
        <f t="shared" si="38"/>
        <v>28.947055590603405</v>
      </c>
      <c r="X204" s="348">
        <f t="shared" si="39"/>
        <v>18.936514508679508</v>
      </c>
    </row>
    <row r="205" spans="1:24" x14ac:dyDescent="0.2">
      <c r="A205" s="407">
        <v>197</v>
      </c>
      <c r="B205" s="438">
        <v>26.994</v>
      </c>
      <c r="C205" s="438">
        <v>19.048999999999999</v>
      </c>
      <c r="D205" s="438">
        <v>15.318</v>
      </c>
      <c r="E205" s="438">
        <v>13.590999999999999</v>
      </c>
      <c r="F205" s="438">
        <v>26.994</v>
      </c>
      <c r="G205" s="438">
        <v>19.048999999999999</v>
      </c>
      <c r="H205" s="438">
        <v>29.141999999999999</v>
      </c>
      <c r="I205" s="438">
        <v>19.035</v>
      </c>
      <c r="J205" s="11"/>
      <c r="Q205" s="348">
        <f t="shared" si="32"/>
        <v>26.934613988253275</v>
      </c>
      <c r="R205" s="348">
        <f t="shared" si="33"/>
        <v>19.017875190060362</v>
      </c>
      <c r="S205" s="348">
        <f t="shared" si="34"/>
        <v>15.157910265428947</v>
      </c>
      <c r="T205" s="348">
        <f t="shared" si="35"/>
        <v>13.610014402860577</v>
      </c>
      <c r="U205" s="348">
        <f t="shared" si="36"/>
        <v>26.934613988253275</v>
      </c>
      <c r="V205" s="348">
        <f t="shared" si="37"/>
        <v>19.002775582930621</v>
      </c>
      <c r="W205" s="348">
        <f t="shared" si="38"/>
        <v>28.93908097887957</v>
      </c>
      <c r="X205" s="348">
        <f t="shared" si="39"/>
        <v>18.931541548602773</v>
      </c>
    </row>
    <row r="206" spans="1:24" x14ac:dyDescent="0.2">
      <c r="A206" s="407">
        <v>198</v>
      </c>
      <c r="B206" s="438">
        <v>26.992000000000001</v>
      </c>
      <c r="C206" s="438">
        <v>19.05</v>
      </c>
      <c r="D206" s="438">
        <v>15.319000000000001</v>
      </c>
      <c r="E206" s="438">
        <v>13.595000000000001</v>
      </c>
      <c r="F206" s="438">
        <v>26.992000000000001</v>
      </c>
      <c r="G206" s="438">
        <v>19.05</v>
      </c>
      <c r="H206" s="438">
        <v>29.138999999999999</v>
      </c>
      <c r="I206" s="438">
        <v>19.036999999999999</v>
      </c>
      <c r="J206" s="11"/>
      <c r="Q206" s="348">
        <f t="shared" si="32"/>
        <v>26.93262412887999</v>
      </c>
      <c r="R206" s="348">
        <f t="shared" si="33"/>
        <v>19.01888129424983</v>
      </c>
      <c r="S206" s="348">
        <f t="shared" si="34"/>
        <v>15.158909769957901</v>
      </c>
      <c r="T206" s="348">
        <f t="shared" si="35"/>
        <v>13.614017484712679</v>
      </c>
      <c r="U206" s="348">
        <f t="shared" si="36"/>
        <v>26.93262412887999</v>
      </c>
      <c r="V206" s="348">
        <f t="shared" si="37"/>
        <v>19.003776848167682</v>
      </c>
      <c r="W206" s="348">
        <f t="shared" si="38"/>
        <v>28.936090542204166</v>
      </c>
      <c r="X206" s="348">
        <f t="shared" si="39"/>
        <v>18.933530731738529</v>
      </c>
    </row>
    <row r="207" spans="1:24" x14ac:dyDescent="0.2">
      <c r="A207" s="407">
        <v>199</v>
      </c>
      <c r="B207" s="438">
        <v>26.986999999999998</v>
      </c>
      <c r="C207" s="438">
        <v>19.048999999999999</v>
      </c>
      <c r="D207" s="438">
        <v>15.316000000000001</v>
      </c>
      <c r="E207" s="438">
        <v>13.593999999999999</v>
      </c>
      <c r="F207" s="438">
        <v>26.986999999999998</v>
      </c>
      <c r="G207" s="437">
        <v>19.048999999999999</v>
      </c>
      <c r="H207" s="438">
        <v>29.132000000000001</v>
      </c>
      <c r="I207" s="438">
        <v>19.033000000000001</v>
      </c>
      <c r="J207" s="11"/>
      <c r="Q207" s="348">
        <f t="shared" si="32"/>
        <v>26.927649476385728</v>
      </c>
      <c r="R207" s="348">
        <f t="shared" si="33"/>
        <v>19.017875190060362</v>
      </c>
      <c r="S207" s="348">
        <f t="shared" si="34"/>
        <v>15.155911259083842</v>
      </c>
      <c r="T207" s="348">
        <f t="shared" si="35"/>
        <v>13.613016714371341</v>
      </c>
      <c r="U207" s="348">
        <f t="shared" si="36"/>
        <v>26.927649476385728</v>
      </c>
      <c r="V207" s="348">
        <f t="shared" si="37"/>
        <v>19.002775582930621</v>
      </c>
      <c r="W207" s="348">
        <f t="shared" si="38"/>
        <v>28.929112947253422</v>
      </c>
      <c r="X207" s="348">
        <f t="shared" si="39"/>
        <v>18.929552366660037</v>
      </c>
    </row>
    <row r="208" spans="1:24" x14ac:dyDescent="0.2">
      <c r="A208" s="407">
        <v>200</v>
      </c>
      <c r="B208" s="438">
        <v>26.989000000000001</v>
      </c>
      <c r="C208" s="438">
        <v>19.045999999999999</v>
      </c>
      <c r="D208" s="438">
        <v>15.321999999999999</v>
      </c>
      <c r="E208" s="438">
        <v>13.593999999999999</v>
      </c>
      <c r="F208" s="438">
        <v>26.989000000000001</v>
      </c>
      <c r="G208" s="438">
        <v>19.045999999999999</v>
      </c>
      <c r="H208" s="438">
        <v>29.128</v>
      </c>
      <c r="I208" s="438">
        <v>19.033999999999999</v>
      </c>
      <c r="J208" s="11"/>
      <c r="Q208" s="348">
        <f t="shared" si="32"/>
        <v>26.929639338079756</v>
      </c>
      <c r="R208" s="348">
        <f t="shared" si="33"/>
        <v>19.014856873210363</v>
      </c>
      <c r="S208" s="348">
        <f t="shared" si="34"/>
        <v>15.161908288968682</v>
      </c>
      <c r="T208" s="348">
        <f t="shared" si="35"/>
        <v>13.613016714371341</v>
      </c>
      <c r="U208" s="348">
        <f t="shared" si="36"/>
        <v>26.929639338079756</v>
      </c>
      <c r="V208" s="348">
        <f t="shared" si="37"/>
        <v>18.999771787521347</v>
      </c>
      <c r="W208" s="348">
        <f t="shared" si="38"/>
        <v>28.925125807105463</v>
      </c>
      <c r="X208" s="348">
        <f t="shared" si="39"/>
        <v>18.930546957482289</v>
      </c>
    </row>
    <row r="209" spans="1:24" x14ac:dyDescent="0.2">
      <c r="A209" s="407">
        <v>201</v>
      </c>
      <c r="B209" s="438">
        <v>26.989000000000001</v>
      </c>
      <c r="C209" s="437">
        <v>19.047999999999998</v>
      </c>
      <c r="D209" s="438">
        <v>15.319000000000001</v>
      </c>
      <c r="E209" s="437">
        <v>13.596</v>
      </c>
      <c r="F209" s="437">
        <v>26.989000000000001</v>
      </c>
      <c r="G209" s="437">
        <v>19.047999999999998</v>
      </c>
      <c r="H209" s="437">
        <v>29.128</v>
      </c>
      <c r="I209" s="438">
        <v>19.030999999999999</v>
      </c>
      <c r="J209" s="11"/>
      <c r="Q209" s="348">
        <f t="shared" si="32"/>
        <v>26.929639338079756</v>
      </c>
      <c r="R209" s="348">
        <f t="shared" si="33"/>
        <v>19.016869085157229</v>
      </c>
      <c r="S209" s="348">
        <f t="shared" si="34"/>
        <v>15.158909769957901</v>
      </c>
      <c r="T209" s="348">
        <f t="shared" si="35"/>
        <v>13.615018254972863</v>
      </c>
      <c r="U209" s="348">
        <f t="shared" si="36"/>
        <v>26.929639338079756</v>
      </c>
      <c r="V209" s="348">
        <f t="shared" si="37"/>
        <v>19.001774317743827</v>
      </c>
      <c r="W209" s="348">
        <f t="shared" si="38"/>
        <v>28.925125807105463</v>
      </c>
      <c r="X209" s="348">
        <f t="shared" si="39"/>
        <v>18.92756318591012</v>
      </c>
    </row>
    <row r="210" spans="1:24" x14ac:dyDescent="0.2">
      <c r="A210" s="407">
        <v>202</v>
      </c>
      <c r="B210" s="438">
        <v>26.984999999999999</v>
      </c>
      <c r="C210" s="438">
        <v>19.044</v>
      </c>
      <c r="D210" s="438">
        <v>15.32</v>
      </c>
      <c r="E210" s="438">
        <v>13.595000000000001</v>
      </c>
      <c r="F210" s="438">
        <v>26.984999999999999</v>
      </c>
      <c r="G210" s="438">
        <v>19.044</v>
      </c>
      <c r="H210" s="438">
        <v>29.12</v>
      </c>
      <c r="I210" s="438">
        <v>19.027000000000001</v>
      </c>
      <c r="J210" s="11"/>
      <c r="Q210" s="348">
        <f t="shared" si="32"/>
        <v>26.925659613763003</v>
      </c>
      <c r="R210" s="348">
        <f t="shared" si="33"/>
        <v>19.012844658409985</v>
      </c>
      <c r="S210" s="348">
        <f t="shared" si="34"/>
        <v>15.159909275390936</v>
      </c>
      <c r="T210" s="348">
        <f t="shared" si="35"/>
        <v>13.614017484712679</v>
      </c>
      <c r="U210" s="348">
        <f t="shared" si="36"/>
        <v>26.925659613763003</v>
      </c>
      <c r="V210" s="348">
        <f t="shared" si="37"/>
        <v>18.997769257500842</v>
      </c>
      <c r="W210" s="348">
        <f t="shared" si="38"/>
        <v>28.917151651107506</v>
      </c>
      <c r="X210" s="348">
        <f t="shared" si="39"/>
        <v>18.923584827987952</v>
      </c>
    </row>
    <row r="211" spans="1:24" x14ac:dyDescent="0.2">
      <c r="A211" s="407">
        <v>203</v>
      </c>
      <c r="B211" s="438">
        <v>26.986999999999998</v>
      </c>
      <c r="C211" s="438">
        <v>19.048999999999999</v>
      </c>
      <c r="D211" s="438">
        <v>15.32</v>
      </c>
      <c r="E211" s="438">
        <v>13.593</v>
      </c>
      <c r="F211" s="438">
        <v>26.986999999999998</v>
      </c>
      <c r="G211" s="438">
        <v>19.048999999999999</v>
      </c>
      <c r="H211" s="438">
        <v>29.114999999999998</v>
      </c>
      <c r="I211" s="438">
        <v>19.026</v>
      </c>
      <c r="J211" s="11"/>
      <c r="Q211" s="348">
        <f t="shared" si="32"/>
        <v>26.927649476385728</v>
      </c>
      <c r="R211" s="348">
        <f t="shared" si="33"/>
        <v>19.017875190060362</v>
      </c>
      <c r="S211" s="348">
        <f t="shared" si="34"/>
        <v>15.159909275390936</v>
      </c>
      <c r="T211" s="348">
        <f t="shared" si="35"/>
        <v>13.612015943948869</v>
      </c>
      <c r="U211" s="348">
        <f t="shared" si="36"/>
        <v>26.927649476385728</v>
      </c>
      <c r="V211" s="348">
        <f t="shared" si="37"/>
        <v>19.002775582930621</v>
      </c>
      <c r="W211" s="348">
        <f t="shared" si="38"/>
        <v>28.912167887772974</v>
      </c>
      <c r="X211" s="348">
        <f t="shared" si="39"/>
        <v>18.92259023925261</v>
      </c>
    </row>
    <row r="212" spans="1:24" x14ac:dyDescent="0.2">
      <c r="A212" s="407">
        <v>204</v>
      </c>
      <c r="B212" s="438">
        <v>26.991</v>
      </c>
      <c r="C212" s="438">
        <v>19.045999999999999</v>
      </c>
      <c r="D212" s="438">
        <v>15.321</v>
      </c>
      <c r="E212" s="438">
        <v>13.599</v>
      </c>
      <c r="F212" s="438">
        <v>26.991</v>
      </c>
      <c r="G212" s="438">
        <v>19.045999999999999</v>
      </c>
      <c r="H212" s="438">
        <v>29.113</v>
      </c>
      <c r="I212" s="438">
        <v>19.024000000000001</v>
      </c>
      <c r="J212" s="11"/>
      <c r="Q212" s="348">
        <f t="shared" si="32"/>
        <v>26.931629198845314</v>
      </c>
      <c r="R212" s="348">
        <f t="shared" si="33"/>
        <v>19.014856873210363</v>
      </c>
      <c r="S212" s="348">
        <f t="shared" si="34"/>
        <v>15.160908781727908</v>
      </c>
      <c r="T212" s="348">
        <f t="shared" si="35"/>
        <v>13.61802056526636</v>
      </c>
      <c r="U212" s="348">
        <f t="shared" si="36"/>
        <v>26.931629198845314</v>
      </c>
      <c r="V212" s="348">
        <f t="shared" si="37"/>
        <v>18.999771787521347</v>
      </c>
      <c r="W212" s="348">
        <f t="shared" si="38"/>
        <v>28.910174400567616</v>
      </c>
      <c r="X212" s="348">
        <f t="shared" si="39"/>
        <v>18.920601062676003</v>
      </c>
    </row>
    <row r="213" spans="1:24" x14ac:dyDescent="0.2">
      <c r="A213" s="407">
        <v>205</v>
      </c>
      <c r="B213" s="438">
        <v>26.983000000000001</v>
      </c>
      <c r="C213" s="438">
        <v>19.045999999999999</v>
      </c>
      <c r="D213" s="437">
        <v>15.321</v>
      </c>
      <c r="E213" s="438">
        <v>13.596</v>
      </c>
      <c r="F213" s="438">
        <v>26.983000000000001</v>
      </c>
      <c r="G213" s="438">
        <v>19.045999999999999</v>
      </c>
      <c r="H213" s="438">
        <v>29.11</v>
      </c>
      <c r="I213" s="438">
        <v>19.024000000000001</v>
      </c>
      <c r="J213" s="11"/>
      <c r="Q213" s="348">
        <f t="shared" si="32"/>
        <v>26.923669750211349</v>
      </c>
      <c r="R213" s="348">
        <f t="shared" si="33"/>
        <v>19.014856873210363</v>
      </c>
      <c r="S213" s="348">
        <f t="shared" si="34"/>
        <v>15.160908781727908</v>
      </c>
      <c r="T213" s="348">
        <f t="shared" si="35"/>
        <v>13.615018254972863</v>
      </c>
      <c r="U213" s="348">
        <f t="shared" si="36"/>
        <v>26.923669750211349</v>
      </c>
      <c r="V213" s="348">
        <f t="shared" si="37"/>
        <v>18.999771787521347</v>
      </c>
      <c r="W213" s="348">
        <f t="shared" si="38"/>
        <v>28.907184189183461</v>
      </c>
      <c r="X213" s="348">
        <f t="shared" si="39"/>
        <v>18.920601062676003</v>
      </c>
    </row>
    <row r="214" spans="1:24" x14ac:dyDescent="0.2">
      <c r="A214" s="407">
        <v>206</v>
      </c>
      <c r="B214" s="437">
        <v>26.988</v>
      </c>
      <c r="C214" s="438">
        <v>19.042999999999999</v>
      </c>
      <c r="D214" s="438">
        <v>15.323</v>
      </c>
      <c r="E214" s="438">
        <v>13.597</v>
      </c>
      <c r="F214" s="438">
        <v>26.988</v>
      </c>
      <c r="G214" s="438">
        <v>19.042999999999999</v>
      </c>
      <c r="H214" s="438">
        <v>29.106000000000002</v>
      </c>
      <c r="I214" s="438">
        <v>19.026</v>
      </c>
      <c r="J214" s="11"/>
      <c r="Q214" s="348">
        <f t="shared" si="32"/>
        <v>26.928644407348816</v>
      </c>
      <c r="R214" s="348">
        <f t="shared" si="33"/>
        <v>19.011838549939959</v>
      </c>
      <c r="S214" s="348">
        <f t="shared" si="34"/>
        <v>15.162907797113119</v>
      </c>
      <c r="T214" s="348">
        <f t="shared" si="35"/>
        <v>13.616019025151882</v>
      </c>
      <c r="U214" s="348">
        <f t="shared" si="36"/>
        <v>26.928644407348816</v>
      </c>
      <c r="V214" s="348">
        <f t="shared" si="37"/>
        <v>18.996767992566518</v>
      </c>
      <c r="W214" s="348">
        <f t="shared" si="38"/>
        <v>28.903197276930097</v>
      </c>
      <c r="X214" s="348">
        <f t="shared" si="39"/>
        <v>18.92259023925261</v>
      </c>
    </row>
    <row r="215" spans="1:24" x14ac:dyDescent="0.2">
      <c r="A215" s="407">
        <v>207</v>
      </c>
      <c r="B215" s="438">
        <v>26.984000000000002</v>
      </c>
      <c r="C215" s="438">
        <v>19.041</v>
      </c>
      <c r="D215" s="438">
        <v>15.319000000000001</v>
      </c>
      <c r="E215" s="438">
        <v>13.593</v>
      </c>
      <c r="F215" s="438">
        <v>26.984000000000002</v>
      </c>
      <c r="G215" s="438">
        <v>19.041</v>
      </c>
      <c r="H215" s="438">
        <v>29.108000000000001</v>
      </c>
      <c r="I215" s="438">
        <v>19.026</v>
      </c>
      <c r="J215" s="11"/>
      <c r="Q215" s="348">
        <f t="shared" si="32"/>
        <v>26.924664682103309</v>
      </c>
      <c r="R215" s="348">
        <f t="shared" si="33"/>
        <v>19.009826330860736</v>
      </c>
      <c r="S215" s="348">
        <f t="shared" si="34"/>
        <v>15.158909769957901</v>
      </c>
      <c r="T215" s="348">
        <f t="shared" si="35"/>
        <v>13.612015943948869</v>
      </c>
      <c r="U215" s="348">
        <f t="shared" si="36"/>
        <v>26.924664682103309</v>
      </c>
      <c r="V215" s="348">
        <f t="shared" si="37"/>
        <v>18.994765462850093</v>
      </c>
      <c r="W215" s="348">
        <f t="shared" si="38"/>
        <v>28.905190727876867</v>
      </c>
      <c r="X215" s="348">
        <f t="shared" si="39"/>
        <v>18.92259023925261</v>
      </c>
    </row>
    <row r="216" spans="1:24" x14ac:dyDescent="0.2">
      <c r="A216" s="407">
        <v>208</v>
      </c>
      <c r="B216" s="438">
        <v>26.984999999999999</v>
      </c>
      <c r="C216" s="438">
        <v>19.039000000000001</v>
      </c>
      <c r="D216" s="438">
        <v>15.32</v>
      </c>
      <c r="E216" s="438">
        <v>13.595000000000001</v>
      </c>
      <c r="F216" s="438">
        <v>26.984999999999999</v>
      </c>
      <c r="G216" s="438">
        <v>19.039000000000001</v>
      </c>
      <c r="H216" s="438">
        <v>29.103000000000002</v>
      </c>
      <c r="I216" s="438">
        <v>19.021999999999998</v>
      </c>
      <c r="J216" s="11"/>
      <c r="Q216" s="348">
        <f t="shared" si="32"/>
        <v>26.925659613763003</v>
      </c>
      <c r="R216" s="348">
        <f t="shared" si="33"/>
        <v>19.007814108929892</v>
      </c>
      <c r="S216" s="348">
        <f t="shared" si="34"/>
        <v>15.159909275390936</v>
      </c>
      <c r="T216" s="348">
        <f t="shared" si="35"/>
        <v>13.614017484712679</v>
      </c>
      <c r="U216" s="348">
        <f t="shared" si="36"/>
        <v>26.925659613763003</v>
      </c>
      <c r="V216" s="348">
        <f t="shared" si="37"/>
        <v>18.992762933337143</v>
      </c>
      <c r="W216" s="348">
        <f t="shared" si="38"/>
        <v>28.900207119934969</v>
      </c>
      <c r="X216" s="348">
        <f t="shared" si="39"/>
        <v>18.918611887291309</v>
      </c>
    </row>
    <row r="217" spans="1:24" x14ac:dyDescent="0.2">
      <c r="A217" s="407">
        <v>209</v>
      </c>
      <c r="B217" s="438">
        <v>26.989000000000001</v>
      </c>
      <c r="C217" s="438">
        <v>19.04</v>
      </c>
      <c r="D217" s="438">
        <v>15.32</v>
      </c>
      <c r="E217" s="438">
        <v>13.595000000000001</v>
      </c>
      <c r="F217" s="438">
        <v>26.989000000000001</v>
      </c>
      <c r="G217" s="438">
        <v>19.04</v>
      </c>
      <c r="H217" s="438">
        <v>29.099</v>
      </c>
      <c r="I217" s="438">
        <v>19.021000000000001</v>
      </c>
      <c r="J217" s="11"/>
      <c r="Q217" s="348">
        <f t="shared" si="32"/>
        <v>26.929639338079756</v>
      </c>
      <c r="R217" s="348">
        <f t="shared" si="33"/>
        <v>19.008820220251717</v>
      </c>
      <c r="S217" s="348">
        <f t="shared" si="34"/>
        <v>15.159909275390936</v>
      </c>
      <c r="T217" s="348">
        <f t="shared" si="35"/>
        <v>13.614017484712679</v>
      </c>
      <c r="U217" s="348">
        <f t="shared" si="36"/>
        <v>26.929639338079756</v>
      </c>
      <c r="V217" s="348">
        <f t="shared" si="37"/>
        <v>18.993764198068142</v>
      </c>
      <c r="W217" s="348">
        <f t="shared" si="38"/>
        <v>28.896220280202428</v>
      </c>
      <c r="X217" s="348">
        <f t="shared" si="39"/>
        <v>18.91761730004588</v>
      </c>
    </row>
    <row r="218" spans="1:24" x14ac:dyDescent="0.2">
      <c r="A218" s="407">
        <v>210</v>
      </c>
      <c r="B218" s="438">
        <v>26.978999999999999</v>
      </c>
      <c r="C218" s="438">
        <v>19.041</v>
      </c>
      <c r="D218" s="438">
        <v>15.323</v>
      </c>
      <c r="E218" s="438">
        <v>13.596</v>
      </c>
      <c r="F218" s="438">
        <v>26.978999999999999</v>
      </c>
      <c r="G218" s="438">
        <v>19.041</v>
      </c>
      <c r="H218" s="438">
        <v>29.097999999999999</v>
      </c>
      <c r="I218" s="438">
        <v>19.016999999999999</v>
      </c>
      <c r="J218" s="11"/>
      <c r="Q218" s="348">
        <f t="shared" si="32"/>
        <v>26.919690020320328</v>
      </c>
      <c r="R218" s="348">
        <f t="shared" si="33"/>
        <v>19.009826330860736</v>
      </c>
      <c r="S218" s="348">
        <f t="shared" si="34"/>
        <v>15.162907797113119</v>
      </c>
      <c r="T218" s="348">
        <f t="shared" si="35"/>
        <v>13.615018254972863</v>
      </c>
      <c r="U218" s="348">
        <f t="shared" si="36"/>
        <v>26.919690020320328</v>
      </c>
      <c r="V218" s="348">
        <f t="shared" si="37"/>
        <v>18.994765462850093</v>
      </c>
      <c r="W218" s="348">
        <f t="shared" si="38"/>
        <v>28.895223576744609</v>
      </c>
      <c r="X218" s="348">
        <f t="shared" si="39"/>
        <v>18.913638954042955</v>
      </c>
    </row>
    <row r="219" spans="1:24" x14ac:dyDescent="0.2">
      <c r="A219" s="407">
        <v>211</v>
      </c>
      <c r="B219" s="438">
        <v>26.98</v>
      </c>
      <c r="C219" s="438">
        <v>19.041</v>
      </c>
      <c r="D219" s="438">
        <v>15.32</v>
      </c>
      <c r="E219" s="438">
        <v>13.593999999999999</v>
      </c>
      <c r="F219" s="438">
        <v>26.98</v>
      </c>
      <c r="G219" s="438">
        <v>19.041</v>
      </c>
      <c r="H219" s="438">
        <v>29.096</v>
      </c>
      <c r="I219" s="438">
        <v>19.015999999999998</v>
      </c>
      <c r="J219" s="11"/>
      <c r="Q219" s="348">
        <f t="shared" si="32"/>
        <v>26.920684953141624</v>
      </c>
      <c r="R219" s="348">
        <f t="shared" si="33"/>
        <v>19.009826330860736</v>
      </c>
      <c r="S219" s="348">
        <f t="shared" si="34"/>
        <v>15.159909275390936</v>
      </c>
      <c r="T219" s="348">
        <f t="shared" si="35"/>
        <v>13.613016714371341</v>
      </c>
      <c r="U219" s="348">
        <f t="shared" si="36"/>
        <v>26.920684953141624</v>
      </c>
      <c r="V219" s="348">
        <f t="shared" si="37"/>
        <v>18.994765462850093</v>
      </c>
      <c r="W219" s="348">
        <f t="shared" si="38"/>
        <v>28.893230177599506</v>
      </c>
      <c r="X219" s="348">
        <f t="shared" si="39"/>
        <v>18.912644368286809</v>
      </c>
    </row>
    <row r="220" spans="1:24" x14ac:dyDescent="0.2">
      <c r="A220" s="407">
        <v>212</v>
      </c>
      <c r="B220" s="438">
        <v>26.986999999999998</v>
      </c>
      <c r="C220" s="438">
        <v>19.042000000000002</v>
      </c>
      <c r="D220" s="438">
        <v>15.324999999999999</v>
      </c>
      <c r="E220" s="438">
        <v>13.596</v>
      </c>
      <c r="F220" s="438">
        <v>26.986999999999998</v>
      </c>
      <c r="G220" s="438">
        <v>19.042000000000002</v>
      </c>
      <c r="H220" s="438">
        <v>29.091000000000001</v>
      </c>
      <c r="I220" s="438">
        <v>19.013999999999999</v>
      </c>
      <c r="J220" s="11"/>
      <c r="Q220" s="348">
        <f t="shared" si="32"/>
        <v>26.927649476385728</v>
      </c>
      <c r="R220" s="348">
        <f t="shared" si="33"/>
        <v>19.01083244075685</v>
      </c>
      <c r="S220" s="348">
        <f t="shared" si="34"/>
        <v>15.164906816112412</v>
      </c>
      <c r="T220" s="348">
        <f t="shared" si="35"/>
        <v>13.615018254972863</v>
      </c>
      <c r="U220" s="348">
        <f t="shared" si="36"/>
        <v>26.927649476385728</v>
      </c>
      <c r="V220" s="348">
        <f t="shared" si="37"/>
        <v>18.995766727682909</v>
      </c>
      <c r="W220" s="348">
        <f t="shared" si="38"/>
        <v>28.888246725065823</v>
      </c>
      <c r="X220" s="348">
        <f t="shared" si="39"/>
        <v>18.910655197667833</v>
      </c>
    </row>
    <row r="221" spans="1:24" x14ac:dyDescent="0.2">
      <c r="A221" s="407">
        <v>213</v>
      </c>
      <c r="B221" s="438">
        <v>26.986999999999998</v>
      </c>
      <c r="C221" s="438">
        <v>19.039000000000001</v>
      </c>
      <c r="D221" s="438">
        <v>15.32</v>
      </c>
      <c r="E221" s="438">
        <v>13.595000000000001</v>
      </c>
      <c r="F221" s="438">
        <v>26.986999999999998</v>
      </c>
      <c r="G221" s="438">
        <v>19.039000000000001</v>
      </c>
      <c r="H221" s="438">
        <v>29.084</v>
      </c>
      <c r="I221" s="438">
        <v>19.013999999999999</v>
      </c>
      <c r="J221" s="11"/>
      <c r="Q221" s="348">
        <f t="shared" si="32"/>
        <v>26.927649476385728</v>
      </c>
      <c r="R221" s="348">
        <f t="shared" si="33"/>
        <v>19.007814108929892</v>
      </c>
      <c r="S221" s="348">
        <f t="shared" si="34"/>
        <v>15.159909275390936</v>
      </c>
      <c r="T221" s="348">
        <f t="shared" si="35"/>
        <v>13.614017484712679</v>
      </c>
      <c r="U221" s="348">
        <f t="shared" si="36"/>
        <v>26.927649476385728</v>
      </c>
      <c r="V221" s="348">
        <f t="shared" si="37"/>
        <v>18.992762933337143</v>
      </c>
      <c r="W221" s="348">
        <f t="shared" si="38"/>
        <v>28.881270000312615</v>
      </c>
      <c r="X221" s="348">
        <f t="shared" si="39"/>
        <v>18.910655197667833</v>
      </c>
    </row>
    <row r="222" spans="1:24" x14ac:dyDescent="0.2">
      <c r="A222" s="407">
        <v>214</v>
      </c>
      <c r="B222" s="438">
        <v>26.988</v>
      </c>
      <c r="C222" s="438">
        <v>19.039000000000001</v>
      </c>
      <c r="D222" s="438">
        <v>15.324999999999999</v>
      </c>
      <c r="E222" s="438">
        <v>13.590999999999999</v>
      </c>
      <c r="F222" s="438">
        <v>26.988</v>
      </c>
      <c r="G222" s="438">
        <v>19.039000000000001</v>
      </c>
      <c r="H222" s="438">
        <v>29.077999999999999</v>
      </c>
      <c r="I222" s="438">
        <v>19.012</v>
      </c>
      <c r="J222" s="11"/>
      <c r="Q222" s="348">
        <f t="shared" si="32"/>
        <v>26.928644407348816</v>
      </c>
      <c r="R222" s="348">
        <f t="shared" si="33"/>
        <v>19.007814108929892</v>
      </c>
      <c r="S222" s="348">
        <f t="shared" si="34"/>
        <v>15.164906816112412</v>
      </c>
      <c r="T222" s="348">
        <f t="shared" si="35"/>
        <v>13.610014402860577</v>
      </c>
      <c r="U222" s="348">
        <f t="shared" si="36"/>
        <v>26.928644407348816</v>
      </c>
      <c r="V222" s="348">
        <f t="shared" si="37"/>
        <v>18.992762933337143</v>
      </c>
      <c r="W222" s="348">
        <f t="shared" si="38"/>
        <v>28.87529005155201</v>
      </c>
      <c r="X222" s="348">
        <f t="shared" si="39"/>
        <v>18.908666028239786</v>
      </c>
    </row>
    <row r="223" spans="1:24" x14ac:dyDescent="0.2">
      <c r="A223" s="407">
        <v>215</v>
      </c>
      <c r="B223" s="438">
        <v>26.978000000000002</v>
      </c>
      <c r="C223" s="437">
        <v>19.038</v>
      </c>
      <c r="D223" s="438">
        <v>15.321</v>
      </c>
      <c r="E223" s="438">
        <v>13.590999999999999</v>
      </c>
      <c r="F223" s="438">
        <v>26.978000000000002</v>
      </c>
      <c r="G223" s="438">
        <v>19.038</v>
      </c>
      <c r="H223" s="438">
        <v>29.074999999999999</v>
      </c>
      <c r="I223" s="438">
        <v>19.010000000000002</v>
      </c>
      <c r="J223" s="11"/>
      <c r="Q223" s="348">
        <f t="shared" si="32"/>
        <v>26.918695087266638</v>
      </c>
      <c r="R223" s="348">
        <f t="shared" si="33"/>
        <v>19.006807996895354</v>
      </c>
      <c r="S223" s="348">
        <f t="shared" si="34"/>
        <v>15.160908781727908</v>
      </c>
      <c r="T223" s="348">
        <f t="shared" si="35"/>
        <v>13.610014402860577</v>
      </c>
      <c r="U223" s="348">
        <f t="shared" si="36"/>
        <v>26.918695087266638</v>
      </c>
      <c r="V223" s="348">
        <f t="shared" si="37"/>
        <v>18.991761668657151</v>
      </c>
      <c r="W223" s="348">
        <f t="shared" si="38"/>
        <v>28.872300112144384</v>
      </c>
      <c r="X223" s="348">
        <f t="shared" si="39"/>
        <v>18.90667686000247</v>
      </c>
    </row>
    <row r="224" spans="1:24" x14ac:dyDescent="0.2">
      <c r="A224" s="407">
        <v>216</v>
      </c>
      <c r="B224" s="437">
        <v>26.98</v>
      </c>
      <c r="C224" s="438">
        <v>19.036000000000001</v>
      </c>
      <c r="D224" s="438">
        <v>15.323</v>
      </c>
      <c r="E224" s="438">
        <v>13.59</v>
      </c>
      <c r="F224" s="438">
        <v>26.98</v>
      </c>
      <c r="G224" s="438">
        <v>19.036000000000001</v>
      </c>
      <c r="H224" s="438">
        <v>29.073</v>
      </c>
      <c r="I224" s="438">
        <v>19.007999999999999</v>
      </c>
      <c r="J224" s="11"/>
      <c r="Q224" s="348">
        <f t="shared" si="32"/>
        <v>26.920684953141624</v>
      </c>
      <c r="R224" s="348">
        <f t="shared" si="33"/>
        <v>19.004795770688506</v>
      </c>
      <c r="S224" s="348">
        <f t="shared" si="34"/>
        <v>15.162907797113119</v>
      </c>
      <c r="T224" s="348">
        <f t="shared" si="35"/>
        <v>13.60901363219479</v>
      </c>
      <c r="U224" s="348">
        <f t="shared" si="36"/>
        <v>26.920684953141624</v>
      </c>
      <c r="V224" s="348">
        <f t="shared" si="37"/>
        <v>18.989759139450531</v>
      </c>
      <c r="W224" s="348">
        <f t="shared" si="38"/>
        <v>28.870306832159191</v>
      </c>
      <c r="X224" s="348">
        <f t="shared" si="39"/>
        <v>18.904687692955683</v>
      </c>
    </row>
    <row r="225" spans="1:24" x14ac:dyDescent="0.2">
      <c r="A225" s="407">
        <v>217</v>
      </c>
      <c r="B225" s="438">
        <v>26.974</v>
      </c>
      <c r="C225" s="438">
        <v>19.038</v>
      </c>
      <c r="D225" s="438">
        <v>15.321</v>
      </c>
      <c r="E225" s="438">
        <v>13.589</v>
      </c>
      <c r="F225" s="438">
        <v>26.974</v>
      </c>
      <c r="G225" s="438">
        <v>19.038</v>
      </c>
      <c r="H225" s="438">
        <v>29.068999999999999</v>
      </c>
      <c r="I225" s="438">
        <v>19.006</v>
      </c>
      <c r="J225" s="11"/>
      <c r="Q225" s="348">
        <f t="shared" si="32"/>
        <v>26.914715352727239</v>
      </c>
      <c r="R225" s="348">
        <f t="shared" si="33"/>
        <v>19.006807996895354</v>
      </c>
      <c r="S225" s="348">
        <f t="shared" si="34"/>
        <v>15.160908781727908</v>
      </c>
      <c r="T225" s="348">
        <f t="shared" si="35"/>
        <v>13.608012861447927</v>
      </c>
      <c r="U225" s="348">
        <f t="shared" si="36"/>
        <v>26.914715352727239</v>
      </c>
      <c r="V225" s="348">
        <f t="shared" si="37"/>
        <v>18.991761668657151</v>
      </c>
      <c r="W225" s="348">
        <f t="shared" si="38"/>
        <v>28.866320303277266</v>
      </c>
      <c r="X225" s="348">
        <f t="shared" si="39"/>
        <v>18.902698527099236</v>
      </c>
    </row>
    <row r="226" spans="1:24" x14ac:dyDescent="0.2">
      <c r="A226" s="407">
        <v>218</v>
      </c>
      <c r="B226" s="438">
        <v>26.98</v>
      </c>
      <c r="C226" s="438">
        <v>19.036000000000001</v>
      </c>
      <c r="D226" s="438">
        <v>15.321</v>
      </c>
      <c r="E226" s="438">
        <v>13.587</v>
      </c>
      <c r="F226" s="438">
        <v>26.98</v>
      </c>
      <c r="G226" s="438">
        <v>19.036000000000001</v>
      </c>
      <c r="H226" s="438">
        <v>29.062999999999999</v>
      </c>
      <c r="I226" s="438">
        <v>19.004999999999999</v>
      </c>
      <c r="J226" s="11"/>
      <c r="Q226" s="348">
        <f t="shared" si="32"/>
        <v>26.920684953141624</v>
      </c>
      <c r="R226" s="348">
        <f t="shared" si="33"/>
        <v>19.004795770688506</v>
      </c>
      <c r="S226" s="348">
        <f t="shared" si="34"/>
        <v>15.160908781727908</v>
      </c>
      <c r="T226" s="348">
        <f t="shared" si="35"/>
        <v>13.606011319711039</v>
      </c>
      <c r="U226" s="348">
        <f t="shared" si="36"/>
        <v>26.920684953141624</v>
      </c>
      <c r="V226" s="348">
        <f t="shared" si="37"/>
        <v>18.989759139450531</v>
      </c>
      <c r="W226" s="348">
        <f t="shared" si="38"/>
        <v>28.860340587677989</v>
      </c>
      <c r="X226" s="348">
        <f t="shared" si="39"/>
        <v>18.901703944617321</v>
      </c>
    </row>
    <row r="227" spans="1:24" x14ac:dyDescent="0.2">
      <c r="A227" s="407">
        <v>219</v>
      </c>
      <c r="B227" s="438">
        <v>26.972999999999999</v>
      </c>
      <c r="C227" s="438">
        <v>19.033999999999999</v>
      </c>
      <c r="D227" s="438">
        <v>15.32</v>
      </c>
      <c r="E227" s="438">
        <v>13.584</v>
      </c>
      <c r="F227" s="438">
        <v>26.972999999999999</v>
      </c>
      <c r="G227" s="438">
        <v>19.033999999999999</v>
      </c>
      <c r="H227" s="438">
        <v>29.065999999999999</v>
      </c>
      <c r="I227" s="438">
        <v>19.003</v>
      </c>
      <c r="J227" s="11"/>
      <c r="Q227" s="348">
        <f t="shared" si="32"/>
        <v>26.913720418511087</v>
      </c>
      <c r="R227" s="348">
        <f t="shared" si="33"/>
        <v>19.002783541631942</v>
      </c>
      <c r="S227" s="348">
        <f t="shared" si="34"/>
        <v>15.159909275390936</v>
      </c>
      <c r="T227" s="348">
        <f t="shared" si="35"/>
        <v>13.603009006498031</v>
      </c>
      <c r="U227" s="348">
        <f t="shared" si="36"/>
        <v>26.913720418511087</v>
      </c>
      <c r="V227" s="348">
        <f t="shared" si="37"/>
        <v>18.987756610448876</v>
      </c>
      <c r="W227" s="348">
        <f t="shared" si="38"/>
        <v>28.863330433818874</v>
      </c>
      <c r="X227" s="348">
        <f t="shared" si="39"/>
        <v>18.899714780545995</v>
      </c>
    </row>
    <row r="228" spans="1:24" x14ac:dyDescent="0.2">
      <c r="A228" s="407">
        <v>220</v>
      </c>
      <c r="B228" s="438">
        <v>26.974</v>
      </c>
      <c r="C228" s="438">
        <v>19.033999999999999</v>
      </c>
      <c r="D228" s="438">
        <v>15.319000000000001</v>
      </c>
      <c r="E228" s="438">
        <v>13.587</v>
      </c>
      <c r="F228" s="438">
        <v>26.974</v>
      </c>
      <c r="G228" s="438">
        <v>19.033999999999999</v>
      </c>
      <c r="H228" s="438">
        <v>29.062000000000001</v>
      </c>
      <c r="I228" s="438">
        <v>19.004000000000001</v>
      </c>
      <c r="J228" s="11"/>
      <c r="Q228" s="348">
        <f t="shared" si="32"/>
        <v>26.914715352727239</v>
      </c>
      <c r="R228" s="348">
        <f t="shared" si="33"/>
        <v>19.002783541631942</v>
      </c>
      <c r="S228" s="348">
        <f t="shared" si="34"/>
        <v>15.158909769957901</v>
      </c>
      <c r="T228" s="348">
        <f t="shared" si="35"/>
        <v>13.606011319711039</v>
      </c>
      <c r="U228" s="348">
        <f t="shared" si="36"/>
        <v>26.914715352727239</v>
      </c>
      <c r="V228" s="348">
        <f t="shared" si="37"/>
        <v>18.987756610448876</v>
      </c>
      <c r="W228" s="348">
        <f t="shared" si="38"/>
        <v>28.859343977479462</v>
      </c>
      <c r="X228" s="348">
        <f t="shared" si="39"/>
        <v>18.900709362432917</v>
      </c>
    </row>
    <row r="229" spans="1:24" x14ac:dyDescent="0.2">
      <c r="A229" s="407">
        <v>221</v>
      </c>
      <c r="B229" s="438">
        <v>26.974</v>
      </c>
      <c r="C229" s="438">
        <v>19.036999999999999</v>
      </c>
      <c r="D229" s="438">
        <v>15.318</v>
      </c>
      <c r="E229" s="438">
        <v>13.587</v>
      </c>
      <c r="F229" s="438">
        <v>26.974</v>
      </c>
      <c r="G229" s="438">
        <v>19.036999999999999</v>
      </c>
      <c r="H229" s="438">
        <v>29.061</v>
      </c>
      <c r="I229" s="438">
        <v>19.004999999999999</v>
      </c>
      <c r="J229" s="11"/>
      <c r="Q229" s="348">
        <f t="shared" si="32"/>
        <v>26.914715352727239</v>
      </c>
      <c r="R229" s="348">
        <f t="shared" si="33"/>
        <v>19.005801884148187</v>
      </c>
      <c r="S229" s="348">
        <f t="shared" si="34"/>
        <v>15.157910265428947</v>
      </c>
      <c r="T229" s="348">
        <f t="shared" si="35"/>
        <v>13.606011319711039</v>
      </c>
      <c r="U229" s="348">
        <f t="shared" si="36"/>
        <v>26.914715352727239</v>
      </c>
      <c r="V229" s="348">
        <f t="shared" si="37"/>
        <v>18.990760404028258</v>
      </c>
      <c r="W229" s="348">
        <f t="shared" si="38"/>
        <v>28.85834736987184</v>
      </c>
      <c r="X229" s="348">
        <f t="shared" si="39"/>
        <v>18.901703944617321</v>
      </c>
    </row>
    <row r="230" spans="1:24" x14ac:dyDescent="0.2">
      <c r="A230" s="407">
        <v>222</v>
      </c>
      <c r="B230" s="438">
        <v>26.972999999999999</v>
      </c>
      <c r="C230" s="438">
        <v>19.033000000000001</v>
      </c>
      <c r="D230" s="438">
        <v>15.319000000000001</v>
      </c>
      <c r="E230" s="438">
        <v>13.590999999999999</v>
      </c>
      <c r="F230" s="438">
        <v>26.972999999999999</v>
      </c>
      <c r="G230" s="438">
        <v>19.033000000000001</v>
      </c>
      <c r="H230" s="438">
        <v>29.056999999999999</v>
      </c>
      <c r="I230" s="438">
        <v>19.001999999999999</v>
      </c>
      <c r="J230" s="11"/>
      <c r="Q230" s="348">
        <f t="shared" si="32"/>
        <v>26.913720418511087</v>
      </c>
      <c r="R230" s="348">
        <f t="shared" si="33"/>
        <v>19.001777426035254</v>
      </c>
      <c r="S230" s="348">
        <f t="shared" si="34"/>
        <v>15.158909769957901</v>
      </c>
      <c r="T230" s="348">
        <f t="shared" si="35"/>
        <v>13.610014402860577</v>
      </c>
      <c r="U230" s="348">
        <f t="shared" si="36"/>
        <v>26.913720418511087</v>
      </c>
      <c r="V230" s="348">
        <f t="shared" si="37"/>
        <v>18.986755346025106</v>
      </c>
      <c r="W230" s="348">
        <f t="shared" si="38"/>
        <v>28.854360965350914</v>
      </c>
      <c r="X230" s="348">
        <f t="shared" si="39"/>
        <v>18.898720198956532</v>
      </c>
    </row>
    <row r="231" spans="1:24" x14ac:dyDescent="0.2">
      <c r="A231" s="407">
        <v>223</v>
      </c>
      <c r="B231" s="438">
        <v>26.981000000000002</v>
      </c>
      <c r="C231" s="438">
        <v>19.036000000000001</v>
      </c>
      <c r="D231" s="438">
        <v>15.32</v>
      </c>
      <c r="E231" s="438">
        <v>13.592000000000001</v>
      </c>
      <c r="F231" s="438">
        <v>26.981000000000002</v>
      </c>
      <c r="G231" s="438">
        <v>19.036000000000001</v>
      </c>
      <c r="H231" s="438">
        <v>29.058</v>
      </c>
      <c r="I231" s="438">
        <v>19.001000000000001</v>
      </c>
      <c r="J231" s="11"/>
      <c r="Q231" s="348">
        <f t="shared" si="32"/>
        <v>26.921679885730537</v>
      </c>
      <c r="R231" s="348">
        <f t="shared" si="33"/>
        <v>19.004795770688506</v>
      </c>
      <c r="S231" s="348">
        <f t="shared" si="34"/>
        <v>15.159909275390936</v>
      </c>
      <c r="T231" s="348">
        <f t="shared" si="35"/>
        <v>13.611015173445276</v>
      </c>
      <c r="U231" s="348">
        <f t="shared" si="36"/>
        <v>26.921679885730537</v>
      </c>
      <c r="V231" s="348">
        <f t="shared" si="37"/>
        <v>18.989759139450531</v>
      </c>
      <c r="W231" s="348">
        <f t="shared" si="38"/>
        <v>28.855357562594676</v>
      </c>
      <c r="X231" s="348">
        <f t="shared" si="39"/>
        <v>18.897725617664506</v>
      </c>
    </row>
    <row r="232" spans="1:24" x14ac:dyDescent="0.2">
      <c r="A232" s="407">
        <v>224</v>
      </c>
      <c r="B232" s="438">
        <v>26.984000000000002</v>
      </c>
      <c r="C232" s="438">
        <v>19.036000000000001</v>
      </c>
      <c r="D232" s="438">
        <v>15.321999999999999</v>
      </c>
      <c r="E232" s="438">
        <v>13.597</v>
      </c>
      <c r="F232" s="438">
        <v>26.984000000000002</v>
      </c>
      <c r="G232" s="438">
        <v>19.036000000000001</v>
      </c>
      <c r="H232" s="438">
        <v>29.056000000000001</v>
      </c>
      <c r="I232" s="438">
        <v>18.998999999999999</v>
      </c>
      <c r="J232" s="11"/>
      <c r="Q232" s="348">
        <f t="shared" si="32"/>
        <v>26.924664682103309</v>
      </c>
      <c r="R232" s="348">
        <f t="shared" si="33"/>
        <v>19.004795770688506</v>
      </c>
      <c r="S232" s="348">
        <f t="shared" si="34"/>
        <v>15.161908288968682</v>
      </c>
      <c r="T232" s="348">
        <f t="shared" si="35"/>
        <v>13.616019025151882</v>
      </c>
      <c r="U232" s="348">
        <f t="shared" si="36"/>
        <v>26.924664682103309</v>
      </c>
      <c r="V232" s="348">
        <f t="shared" si="37"/>
        <v>18.989759139450531</v>
      </c>
      <c r="W232" s="348">
        <f t="shared" si="38"/>
        <v>28.85336437069817</v>
      </c>
      <c r="X232" s="348">
        <f t="shared" si="39"/>
        <v>18.895736455972656</v>
      </c>
    </row>
    <row r="233" spans="1:24" x14ac:dyDescent="0.2">
      <c r="A233" s="407">
        <v>225</v>
      </c>
      <c r="B233" s="438">
        <v>26.975999999999999</v>
      </c>
      <c r="C233" s="438">
        <v>19.041</v>
      </c>
      <c r="D233" s="438">
        <v>15.32</v>
      </c>
      <c r="E233" s="438">
        <v>13.593</v>
      </c>
      <c r="F233" s="438">
        <v>26.975999999999999</v>
      </c>
      <c r="G233" s="438">
        <v>19.041</v>
      </c>
      <c r="H233" s="438">
        <v>29.053999999999998</v>
      </c>
      <c r="I233" s="437">
        <v>18.998999999999999</v>
      </c>
      <c r="J233" s="11"/>
      <c r="Q233" s="348">
        <f t="shared" si="32"/>
        <v>26.916705220461917</v>
      </c>
      <c r="R233" s="348">
        <f t="shared" si="33"/>
        <v>19.009826330860736</v>
      </c>
      <c r="S233" s="348">
        <f t="shared" si="34"/>
        <v>15.159909275390936</v>
      </c>
      <c r="T233" s="348">
        <f t="shared" si="35"/>
        <v>13.612015943948869</v>
      </c>
      <c r="U233" s="348">
        <f t="shared" si="36"/>
        <v>26.916705220461917</v>
      </c>
      <c r="V233" s="348">
        <f t="shared" si="37"/>
        <v>18.994765462850093</v>
      </c>
      <c r="W233" s="348">
        <f t="shared" si="38"/>
        <v>28.851371189165796</v>
      </c>
      <c r="X233" s="348">
        <f t="shared" si="39"/>
        <v>18.895736455972656</v>
      </c>
    </row>
    <row r="234" spans="1:24" x14ac:dyDescent="0.2">
      <c r="A234" s="407">
        <v>226</v>
      </c>
      <c r="B234" s="438">
        <v>26.981999999999999</v>
      </c>
      <c r="C234" s="438">
        <v>19.039000000000001</v>
      </c>
      <c r="D234" s="438">
        <v>15.32</v>
      </c>
      <c r="E234" s="437">
        <v>13.596</v>
      </c>
      <c r="F234" s="437">
        <v>26.981999999999999</v>
      </c>
      <c r="G234" s="437">
        <v>19.039000000000001</v>
      </c>
      <c r="H234" s="437">
        <v>29.055</v>
      </c>
      <c r="I234" s="438">
        <v>19</v>
      </c>
      <c r="J234" s="11"/>
      <c r="Q234" s="348">
        <f t="shared" si="32"/>
        <v>26.922674818087103</v>
      </c>
      <c r="R234" s="348">
        <f t="shared" si="33"/>
        <v>19.007814108929892</v>
      </c>
      <c r="S234" s="348">
        <f t="shared" si="34"/>
        <v>15.159909275390936</v>
      </c>
      <c r="T234" s="348">
        <f t="shared" si="35"/>
        <v>13.615018254972863</v>
      </c>
      <c r="U234" s="348">
        <f t="shared" si="36"/>
        <v>26.922674818087103</v>
      </c>
      <c r="V234" s="348">
        <f t="shared" si="37"/>
        <v>18.992762933337143</v>
      </c>
      <c r="W234" s="348">
        <f t="shared" si="38"/>
        <v>28.852367778636456</v>
      </c>
      <c r="X234" s="348">
        <f t="shared" si="39"/>
        <v>18.896731036669888</v>
      </c>
    </row>
    <row r="235" spans="1:24" x14ac:dyDescent="0.2">
      <c r="A235" s="407">
        <v>227</v>
      </c>
      <c r="B235" s="438">
        <v>26.989000000000001</v>
      </c>
      <c r="C235" s="438">
        <v>19.04</v>
      </c>
      <c r="D235" s="437">
        <v>15.323</v>
      </c>
      <c r="E235" s="438">
        <v>13.597</v>
      </c>
      <c r="F235" s="438">
        <v>26.989000000000001</v>
      </c>
      <c r="G235" s="438">
        <v>19.04</v>
      </c>
      <c r="H235" s="438">
        <v>29.053999999999998</v>
      </c>
      <c r="I235" s="438">
        <v>18.998000000000001</v>
      </c>
      <c r="J235" s="11"/>
      <c r="Q235" s="348">
        <f t="shared" si="32"/>
        <v>26.929639338079756</v>
      </c>
      <c r="R235" s="348">
        <f t="shared" si="33"/>
        <v>19.008820220251717</v>
      </c>
      <c r="S235" s="348">
        <f t="shared" si="34"/>
        <v>15.162907797113119</v>
      </c>
      <c r="T235" s="348">
        <f t="shared" si="35"/>
        <v>13.616019025151882</v>
      </c>
      <c r="U235" s="348">
        <f t="shared" si="36"/>
        <v>26.929639338079756</v>
      </c>
      <c r="V235" s="348">
        <f t="shared" si="37"/>
        <v>18.993764198068142</v>
      </c>
      <c r="W235" s="348">
        <f t="shared" si="38"/>
        <v>28.851371189165796</v>
      </c>
      <c r="X235" s="348">
        <f t="shared" si="39"/>
        <v>18.89474187557278</v>
      </c>
    </row>
    <row r="236" spans="1:24" x14ac:dyDescent="0.2">
      <c r="A236" s="407">
        <v>228</v>
      </c>
      <c r="B236" s="438">
        <v>26.981999999999999</v>
      </c>
      <c r="C236" s="438">
        <v>19.038</v>
      </c>
      <c r="D236" s="438">
        <v>15.32</v>
      </c>
      <c r="E236" s="438">
        <v>13.59</v>
      </c>
      <c r="F236" s="438">
        <v>26.981999999999999</v>
      </c>
      <c r="G236" s="438">
        <v>19.038</v>
      </c>
      <c r="H236" s="438">
        <v>29.056000000000001</v>
      </c>
      <c r="I236" s="438">
        <v>18.998999999999999</v>
      </c>
      <c r="J236" s="11"/>
      <c r="Q236" s="348">
        <f t="shared" si="32"/>
        <v>26.922674818087103</v>
      </c>
      <c r="R236" s="348">
        <f t="shared" si="33"/>
        <v>19.006807996895354</v>
      </c>
      <c r="S236" s="348">
        <f t="shared" si="34"/>
        <v>15.159909275390936</v>
      </c>
      <c r="T236" s="348">
        <f t="shared" si="35"/>
        <v>13.60901363219479</v>
      </c>
      <c r="U236" s="348">
        <f t="shared" si="36"/>
        <v>26.922674818087103</v>
      </c>
      <c r="V236" s="348">
        <f t="shared" si="37"/>
        <v>18.991761668657151</v>
      </c>
      <c r="W236" s="348">
        <f t="shared" si="38"/>
        <v>28.85336437069817</v>
      </c>
      <c r="X236" s="348">
        <f t="shared" si="39"/>
        <v>18.895736455972656</v>
      </c>
    </row>
    <row r="237" spans="1:24" x14ac:dyDescent="0.2">
      <c r="A237" s="407">
        <v>229</v>
      </c>
      <c r="B237" s="438">
        <v>26.984999999999999</v>
      </c>
      <c r="C237" s="438">
        <v>19.044</v>
      </c>
      <c r="D237" s="438">
        <v>15.323</v>
      </c>
      <c r="E237" s="438">
        <v>13.597</v>
      </c>
      <c r="F237" s="438">
        <v>26.984999999999999</v>
      </c>
      <c r="G237" s="438">
        <v>19.044</v>
      </c>
      <c r="H237" s="438">
        <v>29.053000000000001</v>
      </c>
      <c r="I237" s="438">
        <v>18.997</v>
      </c>
      <c r="J237" s="11"/>
      <c r="Q237" s="348">
        <f t="shared" si="32"/>
        <v>26.925659613763003</v>
      </c>
      <c r="R237" s="348">
        <f t="shared" si="33"/>
        <v>19.012844658409985</v>
      </c>
      <c r="S237" s="348">
        <f t="shared" si="34"/>
        <v>15.162907797113119</v>
      </c>
      <c r="T237" s="348">
        <f t="shared" si="35"/>
        <v>13.616019025151882</v>
      </c>
      <c r="U237" s="348">
        <f t="shared" si="36"/>
        <v>26.925659613763003</v>
      </c>
      <c r="V237" s="348">
        <f t="shared" si="37"/>
        <v>18.997769257500842</v>
      </c>
      <c r="W237" s="348">
        <f t="shared" si="38"/>
        <v>28.850374602286212</v>
      </c>
      <c r="X237" s="348">
        <f t="shared" si="39"/>
        <v>18.893747295470238</v>
      </c>
    </row>
    <row r="238" spans="1:24" x14ac:dyDescent="0.2">
      <c r="A238" s="407">
        <v>230</v>
      </c>
      <c r="B238" s="437">
        <v>26.983000000000001</v>
      </c>
      <c r="C238" s="438">
        <v>19.044</v>
      </c>
      <c r="D238" s="438">
        <v>15.32</v>
      </c>
      <c r="E238" s="438">
        <v>13.590999999999999</v>
      </c>
      <c r="F238" s="438">
        <v>26.983000000000001</v>
      </c>
      <c r="G238" s="438">
        <v>19.044</v>
      </c>
      <c r="H238" s="438">
        <v>29.053999999999998</v>
      </c>
      <c r="I238" s="438">
        <v>18.998000000000001</v>
      </c>
      <c r="J238" s="11"/>
      <c r="Q238" s="348">
        <f t="shared" si="32"/>
        <v>26.923669750211349</v>
      </c>
      <c r="R238" s="348">
        <f t="shared" si="33"/>
        <v>19.012844658409985</v>
      </c>
      <c r="S238" s="348">
        <f t="shared" si="34"/>
        <v>15.159909275390936</v>
      </c>
      <c r="T238" s="348">
        <f t="shared" si="35"/>
        <v>13.610014402860577</v>
      </c>
      <c r="U238" s="348">
        <f t="shared" si="36"/>
        <v>26.923669750211349</v>
      </c>
      <c r="V238" s="348">
        <f t="shared" si="37"/>
        <v>18.997769257500842</v>
      </c>
      <c r="W238" s="348">
        <f t="shared" si="38"/>
        <v>28.851371189165796</v>
      </c>
      <c r="X238" s="348">
        <f t="shared" si="39"/>
        <v>18.89474187557278</v>
      </c>
    </row>
    <row r="239" spans="1:24" x14ac:dyDescent="0.2">
      <c r="A239" s="407">
        <v>231</v>
      </c>
      <c r="B239" s="438">
        <v>26.988</v>
      </c>
      <c r="C239" s="438">
        <v>19.044</v>
      </c>
      <c r="D239" s="438">
        <v>15.321999999999999</v>
      </c>
      <c r="E239" s="438">
        <v>13.6</v>
      </c>
      <c r="F239" s="438">
        <v>26.988</v>
      </c>
      <c r="G239" s="438">
        <v>19.044</v>
      </c>
      <c r="H239" s="438">
        <v>29.05</v>
      </c>
      <c r="I239" s="438">
        <v>18.995999999999999</v>
      </c>
      <c r="J239" s="11"/>
      <c r="Q239" s="348">
        <f t="shared" si="32"/>
        <v>26.928644407348816</v>
      </c>
      <c r="R239" s="348">
        <f t="shared" si="33"/>
        <v>19.012844658409985</v>
      </c>
      <c r="S239" s="348">
        <f t="shared" si="34"/>
        <v>15.161908288968682</v>
      </c>
      <c r="T239" s="348">
        <f t="shared" si="35"/>
        <v>13.619021335201786</v>
      </c>
      <c r="U239" s="348">
        <f t="shared" si="36"/>
        <v>26.928644407348816</v>
      </c>
      <c r="V239" s="348">
        <f t="shared" si="37"/>
        <v>18.997769257500842</v>
      </c>
      <c r="W239" s="348">
        <f t="shared" si="38"/>
        <v>28.847384857194097</v>
      </c>
      <c r="X239" s="348">
        <f t="shared" si="39"/>
        <v>18.892752715665008</v>
      </c>
    </row>
    <row r="240" spans="1:24" x14ac:dyDescent="0.2">
      <c r="A240" s="407">
        <v>232</v>
      </c>
      <c r="B240" s="438">
        <v>26.991</v>
      </c>
      <c r="C240" s="438">
        <v>19.047999999999998</v>
      </c>
      <c r="D240" s="438">
        <v>15.323</v>
      </c>
      <c r="E240" s="438">
        <v>13.596</v>
      </c>
      <c r="F240" s="438">
        <v>26.991</v>
      </c>
      <c r="G240" s="438">
        <v>19.047999999999998</v>
      </c>
      <c r="H240" s="438">
        <v>29.048999999999999</v>
      </c>
      <c r="I240" s="438">
        <v>18.994</v>
      </c>
      <c r="J240" s="11"/>
      <c r="Q240" s="348">
        <f t="shared" si="32"/>
        <v>26.931629198845314</v>
      </c>
      <c r="R240" s="348">
        <f t="shared" si="33"/>
        <v>19.016869085157229</v>
      </c>
      <c r="S240" s="348">
        <f t="shared" si="34"/>
        <v>15.162907797113119</v>
      </c>
      <c r="T240" s="348">
        <f t="shared" si="35"/>
        <v>13.615018254972863</v>
      </c>
      <c r="U240" s="348">
        <f t="shared" si="36"/>
        <v>26.931629198845314</v>
      </c>
      <c r="V240" s="348">
        <f t="shared" si="37"/>
        <v>19.001774317743827</v>
      </c>
      <c r="W240" s="348">
        <f t="shared" si="38"/>
        <v>28.846388280678998</v>
      </c>
      <c r="X240" s="348">
        <f t="shared" si="39"/>
        <v>18.890763556946375</v>
      </c>
    </row>
    <row r="241" spans="1:24" x14ac:dyDescent="0.2">
      <c r="A241" s="407">
        <v>233</v>
      </c>
      <c r="B241" s="438">
        <v>27.001000000000001</v>
      </c>
      <c r="C241" s="438">
        <v>19.050999999999998</v>
      </c>
      <c r="D241" s="438">
        <v>15.327999999999999</v>
      </c>
      <c r="E241" s="438">
        <v>13.602</v>
      </c>
      <c r="F241" s="438">
        <v>27.001000000000001</v>
      </c>
      <c r="G241" s="438">
        <v>19.050999999999998</v>
      </c>
      <c r="H241" s="438">
        <v>29.045999999999999</v>
      </c>
      <c r="I241" s="438">
        <v>18.995000000000001</v>
      </c>
      <c r="J241" s="11"/>
      <c r="Q241" s="348">
        <f t="shared" si="32"/>
        <v>26.941578488754139</v>
      </c>
      <c r="R241" s="348">
        <f t="shared" si="33"/>
        <v>19.01988739772554</v>
      </c>
      <c r="S241" s="348">
        <f t="shared" si="34"/>
        <v>15.167905351385304</v>
      </c>
      <c r="T241" s="348">
        <f t="shared" si="35"/>
        <v>13.621022874828942</v>
      </c>
      <c r="U241" s="348">
        <f t="shared" si="36"/>
        <v>26.941578488754139</v>
      </c>
      <c r="V241" s="348">
        <f t="shared" si="37"/>
        <v>19.004778113454936</v>
      </c>
      <c r="W241" s="348">
        <f t="shared" si="38"/>
        <v>28.843398566680822</v>
      </c>
      <c r="X241" s="348">
        <f t="shared" si="39"/>
        <v>18.891758136157062</v>
      </c>
    </row>
    <row r="242" spans="1:24" x14ac:dyDescent="0.2">
      <c r="A242" s="407">
        <v>234</v>
      </c>
      <c r="B242" s="438">
        <v>27.004000000000001</v>
      </c>
      <c r="C242" s="438">
        <v>19.055</v>
      </c>
      <c r="D242" s="438">
        <v>15.327</v>
      </c>
      <c r="E242" s="438">
        <v>13.605</v>
      </c>
      <c r="F242" s="438">
        <v>27.004000000000001</v>
      </c>
      <c r="G242" s="438">
        <v>19.055</v>
      </c>
      <c r="H242" s="438">
        <v>29.047000000000001</v>
      </c>
      <c r="I242" s="438">
        <v>18.998000000000001</v>
      </c>
      <c r="J242" s="11"/>
      <c r="Q242" s="348">
        <f t="shared" si="32"/>
        <v>26.944563271205926</v>
      </c>
      <c r="R242" s="348">
        <f t="shared" si="33"/>
        <v>19.023911804488925</v>
      </c>
      <c r="S242" s="348">
        <f t="shared" si="34"/>
        <v>15.166905838724666</v>
      </c>
      <c r="T242" s="348">
        <f t="shared" si="35"/>
        <v>13.624025183660196</v>
      </c>
      <c r="U242" s="348">
        <f t="shared" si="36"/>
        <v>26.944563271205926</v>
      </c>
      <c r="V242" s="348">
        <f t="shared" si="37"/>
        <v>19.008783175104398</v>
      </c>
      <c r="W242" s="348">
        <f t="shared" si="38"/>
        <v>28.844395135422349</v>
      </c>
      <c r="X242" s="348">
        <f t="shared" si="39"/>
        <v>18.89474187557278</v>
      </c>
    </row>
    <row r="243" spans="1:24" x14ac:dyDescent="0.2">
      <c r="A243" s="407">
        <v>235</v>
      </c>
      <c r="B243" s="438">
        <v>27.007999999999999</v>
      </c>
      <c r="C243" s="438">
        <v>19.053999999999998</v>
      </c>
      <c r="D243" s="438">
        <v>15.327999999999999</v>
      </c>
      <c r="E243" s="438">
        <v>13.606</v>
      </c>
      <c r="F243" s="438">
        <v>27.007999999999999</v>
      </c>
      <c r="G243" s="438">
        <v>19.053999999999998</v>
      </c>
      <c r="H243" s="438">
        <v>29.052</v>
      </c>
      <c r="I243" s="438">
        <v>18.997</v>
      </c>
      <c r="J243" s="11"/>
      <c r="Q243" s="348">
        <f t="shared" si="32"/>
        <v>26.948542977898185</v>
      </c>
      <c r="R243" s="348">
        <f t="shared" si="33"/>
        <v>19.022905703869188</v>
      </c>
      <c r="S243" s="348">
        <f t="shared" si="34"/>
        <v>15.167905351385304</v>
      </c>
      <c r="T243" s="348">
        <f t="shared" si="35"/>
        <v>13.625025953108027</v>
      </c>
      <c r="U243" s="348">
        <f t="shared" si="36"/>
        <v>26.948542977898185</v>
      </c>
      <c r="V243" s="348">
        <f t="shared" si="37"/>
        <v>19.007781909617115</v>
      </c>
      <c r="W243" s="348">
        <f t="shared" si="38"/>
        <v>28.849378017997722</v>
      </c>
      <c r="X243" s="348">
        <f t="shared" si="39"/>
        <v>18.893747295470238</v>
      </c>
    </row>
    <row r="244" spans="1:24" x14ac:dyDescent="0.2">
      <c r="A244" s="407">
        <v>236</v>
      </c>
      <c r="B244" s="438">
        <v>27.001999999999999</v>
      </c>
      <c r="C244" s="437">
        <v>19.053999999999998</v>
      </c>
      <c r="D244" s="438">
        <v>15.327999999999999</v>
      </c>
      <c r="E244" s="438">
        <v>13.603999999999999</v>
      </c>
      <c r="F244" s="438">
        <v>27.001999999999999</v>
      </c>
      <c r="G244" s="438">
        <v>19.053999999999998</v>
      </c>
      <c r="H244" s="438">
        <v>29.048999999999999</v>
      </c>
      <c r="I244" s="438">
        <v>18.998999999999999</v>
      </c>
      <c r="J244" s="11"/>
      <c r="Q244" s="348">
        <f t="shared" si="32"/>
        <v>26.942573416469799</v>
      </c>
      <c r="R244" s="348">
        <f t="shared" si="33"/>
        <v>19.022905703869188</v>
      </c>
      <c r="S244" s="348">
        <f t="shared" si="34"/>
        <v>15.167905351385304</v>
      </c>
      <c r="T244" s="348">
        <f t="shared" si="35"/>
        <v>13.623024414131061</v>
      </c>
      <c r="U244" s="348">
        <f t="shared" si="36"/>
        <v>26.942573416469799</v>
      </c>
      <c r="V244" s="348">
        <f t="shared" si="37"/>
        <v>19.007781909617115</v>
      </c>
      <c r="W244" s="348">
        <f t="shared" si="38"/>
        <v>28.846388280678998</v>
      </c>
      <c r="X244" s="348">
        <f t="shared" si="39"/>
        <v>18.895736455972656</v>
      </c>
    </row>
    <row r="245" spans="1:24" x14ac:dyDescent="0.2">
      <c r="A245" s="407">
        <v>237</v>
      </c>
      <c r="B245" s="438">
        <v>27.004000000000001</v>
      </c>
      <c r="C245" s="438">
        <v>19.055</v>
      </c>
      <c r="D245" s="438">
        <v>15.33</v>
      </c>
      <c r="E245" s="438">
        <v>13.606</v>
      </c>
      <c r="F245" s="438">
        <v>27.004000000000001</v>
      </c>
      <c r="G245" s="438">
        <v>19.055</v>
      </c>
      <c r="H245" s="438">
        <v>29.05</v>
      </c>
      <c r="I245" s="438">
        <v>19</v>
      </c>
      <c r="J245" s="11"/>
      <c r="Q245" s="348">
        <f t="shared" si="32"/>
        <v>26.944563271205926</v>
      </c>
      <c r="R245" s="348">
        <f t="shared" si="33"/>
        <v>19.023911804488925</v>
      </c>
      <c r="S245" s="348">
        <f t="shared" si="34"/>
        <v>15.169904379414909</v>
      </c>
      <c r="T245" s="348">
        <f t="shared" si="35"/>
        <v>13.625025953108027</v>
      </c>
      <c r="U245" s="348">
        <f t="shared" si="36"/>
        <v>26.944563271205926</v>
      </c>
      <c r="V245" s="348">
        <f t="shared" si="37"/>
        <v>19.008783175104398</v>
      </c>
      <c r="W245" s="348">
        <f t="shared" si="38"/>
        <v>28.847384857194097</v>
      </c>
      <c r="X245" s="348">
        <f t="shared" si="39"/>
        <v>18.896731036669888</v>
      </c>
    </row>
    <row r="246" spans="1:24" x14ac:dyDescent="0.2">
      <c r="A246" s="407">
        <v>238</v>
      </c>
      <c r="B246" s="438">
        <v>27.009</v>
      </c>
      <c r="C246" s="438">
        <v>19.053000000000001</v>
      </c>
      <c r="D246" s="438">
        <v>15.33</v>
      </c>
      <c r="E246" s="438">
        <v>13.606</v>
      </c>
      <c r="F246" s="438">
        <v>27.009</v>
      </c>
      <c r="G246" s="438">
        <v>19.053000000000001</v>
      </c>
      <c r="H246" s="438">
        <v>29.05</v>
      </c>
      <c r="I246" s="438">
        <v>19.001000000000001</v>
      </c>
      <c r="J246" s="11"/>
      <c r="Q246" s="348">
        <f t="shared" si="32"/>
        <v>26.949537903992255</v>
      </c>
      <c r="R246" s="348">
        <f t="shared" si="33"/>
        <v>19.021899602535314</v>
      </c>
      <c r="S246" s="348">
        <f t="shared" si="34"/>
        <v>15.169904379414909</v>
      </c>
      <c r="T246" s="348">
        <f t="shared" si="35"/>
        <v>13.625025953108027</v>
      </c>
      <c r="U246" s="348">
        <f t="shared" si="36"/>
        <v>26.949537903992255</v>
      </c>
      <c r="V246" s="348">
        <f t="shared" si="37"/>
        <v>19.006780644179731</v>
      </c>
      <c r="W246" s="348">
        <f t="shared" si="38"/>
        <v>28.847384857194097</v>
      </c>
      <c r="X246" s="348">
        <f t="shared" si="39"/>
        <v>18.897725617664506</v>
      </c>
    </row>
    <row r="247" spans="1:24" x14ac:dyDescent="0.2">
      <c r="A247" s="407">
        <v>239</v>
      </c>
      <c r="B247" s="438">
        <v>27.013999999999999</v>
      </c>
      <c r="C247" s="438">
        <v>19.053000000000001</v>
      </c>
      <c r="D247" s="438">
        <v>15.333</v>
      </c>
      <c r="E247" s="438">
        <v>13.61</v>
      </c>
      <c r="F247" s="438">
        <v>27.013999999999999</v>
      </c>
      <c r="G247" s="438">
        <v>19.053000000000001</v>
      </c>
      <c r="H247" s="438">
        <v>29.052</v>
      </c>
      <c r="I247" s="438">
        <v>19.004999999999999</v>
      </c>
      <c r="J247" s="11"/>
      <c r="Q247" s="348">
        <f t="shared" si="32"/>
        <v>26.954512530990065</v>
      </c>
      <c r="R247" s="348">
        <f t="shared" si="33"/>
        <v>19.021899602535314</v>
      </c>
      <c r="S247" s="348">
        <f t="shared" si="34"/>
        <v>15.172902928228025</v>
      </c>
      <c r="T247" s="348">
        <f t="shared" si="35"/>
        <v>13.629029030085993</v>
      </c>
      <c r="U247" s="348">
        <f t="shared" si="36"/>
        <v>26.954512530990065</v>
      </c>
      <c r="V247" s="348">
        <f t="shared" si="37"/>
        <v>19.006780644179731</v>
      </c>
      <c r="W247" s="348">
        <f t="shared" si="38"/>
        <v>28.849378017997722</v>
      </c>
      <c r="X247" s="348">
        <f t="shared" si="39"/>
        <v>18.901703944617321</v>
      </c>
    </row>
    <row r="248" spans="1:24" x14ac:dyDescent="0.2">
      <c r="A248" s="407">
        <v>240</v>
      </c>
      <c r="B248" s="438">
        <v>27.021000000000001</v>
      </c>
      <c r="C248" s="438">
        <v>19.05</v>
      </c>
      <c r="D248" s="438">
        <v>15.336</v>
      </c>
      <c r="E248" s="438">
        <v>13.61</v>
      </c>
      <c r="F248" s="438">
        <v>27.021000000000001</v>
      </c>
      <c r="G248" s="438">
        <v>19.05</v>
      </c>
      <c r="H248" s="438">
        <v>29.058</v>
      </c>
      <c r="I248" s="438">
        <v>19.007999999999999</v>
      </c>
      <c r="J248" s="11"/>
      <c r="Q248" s="348">
        <f t="shared" si="32"/>
        <v>26.961476999069159</v>
      </c>
      <c r="R248" s="348">
        <f t="shared" si="33"/>
        <v>19.01888129424983</v>
      </c>
      <c r="S248" s="348">
        <f t="shared" si="34"/>
        <v>15.175901485160237</v>
      </c>
      <c r="T248" s="348">
        <f t="shared" si="35"/>
        <v>13.629029030085993</v>
      </c>
      <c r="U248" s="348">
        <f t="shared" si="36"/>
        <v>26.961476999069159</v>
      </c>
      <c r="V248" s="348">
        <f t="shared" si="37"/>
        <v>19.003776848167682</v>
      </c>
      <c r="W248" s="348">
        <f t="shared" si="38"/>
        <v>28.855357562594676</v>
      </c>
      <c r="X248" s="348">
        <f t="shared" si="39"/>
        <v>18.904687692955683</v>
      </c>
    </row>
    <row r="249" spans="1:24" x14ac:dyDescent="0.2">
      <c r="A249" s="407">
        <v>241</v>
      </c>
      <c r="B249" s="438">
        <v>27.021000000000001</v>
      </c>
      <c r="C249" s="438">
        <v>19.05</v>
      </c>
      <c r="D249" s="438">
        <v>15.333</v>
      </c>
      <c r="E249" s="438">
        <v>13.612</v>
      </c>
      <c r="F249" s="438">
        <v>27.021000000000001</v>
      </c>
      <c r="G249" s="438">
        <v>19.05</v>
      </c>
      <c r="H249" s="438">
        <v>29.059000000000001</v>
      </c>
      <c r="I249" s="438">
        <v>19.010999999999999</v>
      </c>
      <c r="J249" s="11"/>
      <c r="Q249" s="348">
        <f t="shared" si="32"/>
        <v>26.961476999069159</v>
      </c>
      <c r="R249" s="348">
        <f t="shared" si="33"/>
        <v>19.01888129424983</v>
      </c>
      <c r="S249" s="348">
        <f t="shared" si="34"/>
        <v>15.172902928228025</v>
      </c>
      <c r="T249" s="348">
        <f t="shared" si="35"/>
        <v>13.631030568086754</v>
      </c>
      <c r="U249" s="348">
        <f t="shared" si="36"/>
        <v>26.961476999069159</v>
      </c>
      <c r="V249" s="348">
        <f t="shared" si="37"/>
        <v>19.003776848167682</v>
      </c>
      <c r="W249" s="348">
        <f t="shared" si="38"/>
        <v>28.85635416242943</v>
      </c>
      <c r="X249" s="348">
        <f t="shared" si="39"/>
        <v>18.907671443972298</v>
      </c>
    </row>
    <row r="250" spans="1:24" x14ac:dyDescent="0.2">
      <c r="A250" s="407">
        <v>242</v>
      </c>
      <c r="B250" s="438">
        <v>27.018000000000001</v>
      </c>
      <c r="C250" s="438">
        <v>19.053999999999998</v>
      </c>
      <c r="D250" s="438">
        <v>15.334</v>
      </c>
      <c r="E250" s="438">
        <v>13.611000000000001</v>
      </c>
      <c r="F250" s="438">
        <v>27.018000000000001</v>
      </c>
      <c r="G250" s="438">
        <v>19.053999999999998</v>
      </c>
      <c r="H250" s="438">
        <v>29.065999999999999</v>
      </c>
      <c r="I250" s="438">
        <v>19.013000000000002</v>
      </c>
      <c r="J250" s="11"/>
      <c r="Q250" s="348">
        <f t="shared" si="32"/>
        <v>26.958492228423005</v>
      </c>
      <c r="R250" s="348">
        <f t="shared" si="33"/>
        <v>19.022905703869188</v>
      </c>
      <c r="S250" s="348">
        <f t="shared" si="34"/>
        <v>15.173902446303492</v>
      </c>
      <c r="T250" s="348">
        <f t="shared" si="35"/>
        <v>13.630029799127072</v>
      </c>
      <c r="U250" s="348">
        <f t="shared" si="36"/>
        <v>26.958492228423005</v>
      </c>
      <c r="V250" s="348">
        <f t="shared" si="37"/>
        <v>19.007781909617115</v>
      </c>
      <c r="W250" s="348">
        <f t="shared" si="38"/>
        <v>28.863330433818874</v>
      </c>
      <c r="X250" s="348">
        <f t="shared" si="39"/>
        <v>18.909660612804956</v>
      </c>
    </row>
    <row r="251" spans="1:24" x14ac:dyDescent="0.2">
      <c r="A251" s="407">
        <v>243</v>
      </c>
      <c r="B251" s="438">
        <v>27.018000000000001</v>
      </c>
      <c r="C251" s="438">
        <v>19.050999999999998</v>
      </c>
      <c r="D251" s="438">
        <v>15.334</v>
      </c>
      <c r="E251" s="438">
        <v>13.612</v>
      </c>
      <c r="F251" s="438">
        <v>27.018000000000001</v>
      </c>
      <c r="G251" s="438">
        <v>19.050999999999998</v>
      </c>
      <c r="H251" s="438">
        <v>29.068000000000001</v>
      </c>
      <c r="I251" s="438">
        <v>19.018000000000001</v>
      </c>
      <c r="J251" s="11"/>
      <c r="Q251" s="348">
        <f t="shared" si="32"/>
        <v>26.958492228423005</v>
      </c>
      <c r="R251" s="348">
        <f t="shared" si="33"/>
        <v>19.01988739772554</v>
      </c>
      <c r="S251" s="348">
        <f t="shared" si="34"/>
        <v>15.173902446303492</v>
      </c>
      <c r="T251" s="348">
        <f t="shared" si="35"/>
        <v>13.631030568086754</v>
      </c>
      <c r="U251" s="348">
        <f t="shared" si="36"/>
        <v>26.958492228423005</v>
      </c>
      <c r="V251" s="348">
        <f t="shared" si="37"/>
        <v>19.004778113454936</v>
      </c>
      <c r="W251" s="348">
        <f t="shared" si="38"/>
        <v>28.86532367753367</v>
      </c>
      <c r="X251" s="348">
        <f t="shared" si="39"/>
        <v>18.914633540096915</v>
      </c>
    </row>
    <row r="252" spans="1:24" x14ac:dyDescent="0.2">
      <c r="A252" s="407">
        <v>244</v>
      </c>
      <c r="B252" s="438">
        <v>27.023</v>
      </c>
      <c r="C252" s="438">
        <v>19.053999999999998</v>
      </c>
      <c r="D252" s="438">
        <v>15.339</v>
      </c>
      <c r="E252" s="438">
        <v>13.61</v>
      </c>
      <c r="F252" s="438">
        <v>27.023</v>
      </c>
      <c r="G252" s="438">
        <v>19.053999999999998</v>
      </c>
      <c r="H252" s="438">
        <v>29.07</v>
      </c>
      <c r="I252" s="438">
        <v>19.018000000000001</v>
      </c>
      <c r="J252" s="11"/>
      <c r="Q252" s="348">
        <f t="shared" si="32"/>
        <v>26.963466845010572</v>
      </c>
      <c r="R252" s="348">
        <f t="shared" si="33"/>
        <v>19.022905703869188</v>
      </c>
      <c r="S252" s="348">
        <f t="shared" si="34"/>
        <v>15.178900050207774</v>
      </c>
      <c r="T252" s="348">
        <f t="shared" si="35"/>
        <v>13.629029030085993</v>
      </c>
      <c r="U252" s="348">
        <f t="shared" si="36"/>
        <v>26.963466845010572</v>
      </c>
      <c r="V252" s="348">
        <f t="shared" si="37"/>
        <v>19.007781909617115</v>
      </c>
      <c r="W252" s="348">
        <f t="shared" si="38"/>
        <v>28.86731693161164</v>
      </c>
      <c r="X252" s="348">
        <f t="shared" si="39"/>
        <v>18.914633540096915</v>
      </c>
    </row>
    <row r="253" spans="1:24" x14ac:dyDescent="0.2">
      <c r="A253" s="407">
        <v>245</v>
      </c>
      <c r="B253" s="438">
        <v>27.027000000000001</v>
      </c>
      <c r="C253" s="438">
        <v>19.053999999999998</v>
      </c>
      <c r="D253" s="438">
        <v>15.34</v>
      </c>
      <c r="E253" s="438">
        <v>13.613</v>
      </c>
      <c r="F253" s="438">
        <v>27.027000000000001</v>
      </c>
      <c r="G253" s="438">
        <v>19.053999999999998</v>
      </c>
      <c r="H253" s="438">
        <v>29.07</v>
      </c>
      <c r="I253" s="438">
        <v>19.02</v>
      </c>
      <c r="J253" s="11"/>
      <c r="Q253" s="348">
        <f t="shared" si="32"/>
        <v>26.967446534119997</v>
      </c>
      <c r="R253" s="348">
        <f t="shared" si="33"/>
        <v>19.022905703869188</v>
      </c>
      <c r="S253" s="348">
        <f t="shared" si="34"/>
        <v>15.179899573693039</v>
      </c>
      <c r="T253" s="348">
        <f t="shared" si="35"/>
        <v>13.632031336965021</v>
      </c>
      <c r="U253" s="348">
        <f t="shared" si="36"/>
        <v>26.967446534119997</v>
      </c>
      <c r="V253" s="348">
        <f t="shared" si="37"/>
        <v>19.007781909617115</v>
      </c>
      <c r="W253" s="348">
        <f t="shared" si="38"/>
        <v>28.86731693161164</v>
      </c>
      <c r="X253" s="348">
        <f t="shared" si="39"/>
        <v>18.916622713098349</v>
      </c>
    </row>
    <row r="254" spans="1:24" x14ac:dyDescent="0.2">
      <c r="A254" s="407">
        <v>246</v>
      </c>
      <c r="B254" s="438">
        <v>27.026</v>
      </c>
      <c r="C254" s="438">
        <v>19.05</v>
      </c>
      <c r="D254" s="438">
        <v>15.340999999999999</v>
      </c>
      <c r="E254" s="438">
        <v>13.616</v>
      </c>
      <c r="F254" s="438">
        <v>27.026</v>
      </c>
      <c r="G254" s="438">
        <v>19.05</v>
      </c>
      <c r="H254" s="438">
        <v>29.073</v>
      </c>
      <c r="I254" s="438">
        <v>19.024000000000001</v>
      </c>
      <c r="J254" s="11"/>
      <c r="Q254" s="348">
        <f t="shared" si="32"/>
        <v>26.966451612189246</v>
      </c>
      <c r="R254" s="348">
        <f t="shared" si="33"/>
        <v>19.01888129424983</v>
      </c>
      <c r="S254" s="348">
        <f t="shared" si="34"/>
        <v>15.180899098079445</v>
      </c>
      <c r="T254" s="348">
        <f t="shared" si="35"/>
        <v>13.635033643111207</v>
      </c>
      <c r="U254" s="348">
        <f t="shared" si="36"/>
        <v>26.966451612189246</v>
      </c>
      <c r="V254" s="348">
        <f t="shared" si="37"/>
        <v>19.003776848167682</v>
      </c>
      <c r="W254" s="348">
        <f t="shared" si="38"/>
        <v>28.870306832159191</v>
      </c>
      <c r="X254" s="348">
        <f t="shared" si="39"/>
        <v>18.920601062676003</v>
      </c>
    </row>
    <row r="255" spans="1:24" x14ac:dyDescent="0.2">
      <c r="A255" s="407">
        <v>247</v>
      </c>
      <c r="B255" s="438">
        <v>27.027000000000001</v>
      </c>
      <c r="C255" s="438">
        <v>19.05</v>
      </c>
      <c r="D255" s="438">
        <v>15.343</v>
      </c>
      <c r="E255" s="438">
        <v>13.617000000000001</v>
      </c>
      <c r="F255" s="438">
        <v>27.027000000000001</v>
      </c>
      <c r="G255" s="438">
        <v>19.05</v>
      </c>
      <c r="H255" s="438">
        <v>29.074000000000002</v>
      </c>
      <c r="I255" s="438">
        <v>19.027000000000001</v>
      </c>
      <c r="J255" s="11"/>
      <c r="Q255" s="348">
        <f t="shared" si="32"/>
        <v>26.967446534119997</v>
      </c>
      <c r="R255" s="348">
        <f t="shared" si="33"/>
        <v>19.01888129424983</v>
      </c>
      <c r="S255" s="348">
        <f t="shared" si="34"/>
        <v>15.182898149555134</v>
      </c>
      <c r="T255" s="348">
        <f t="shared" si="35"/>
        <v>13.636034411663676</v>
      </c>
      <c r="U255" s="348">
        <f t="shared" si="36"/>
        <v>26.967446534119997</v>
      </c>
      <c r="V255" s="348">
        <f t="shared" si="37"/>
        <v>19.003776848167682</v>
      </c>
      <c r="W255" s="348">
        <f t="shared" si="38"/>
        <v>28.871303470856454</v>
      </c>
      <c r="X255" s="348">
        <f t="shared" si="39"/>
        <v>18.923584827987952</v>
      </c>
    </row>
    <row r="256" spans="1:24" x14ac:dyDescent="0.2">
      <c r="A256" s="407">
        <v>248</v>
      </c>
      <c r="B256" s="438">
        <v>27.033999999999999</v>
      </c>
      <c r="C256" s="438">
        <v>19.050999999999998</v>
      </c>
      <c r="D256" s="438">
        <v>15.345000000000001</v>
      </c>
      <c r="E256" s="438">
        <v>13.617000000000001</v>
      </c>
      <c r="F256" s="438">
        <v>27.033999999999999</v>
      </c>
      <c r="G256" s="438">
        <v>19.050999999999998</v>
      </c>
      <c r="H256" s="438">
        <v>29.081</v>
      </c>
      <c r="I256" s="438">
        <v>19.033000000000001</v>
      </c>
      <c r="J256" s="11"/>
      <c r="Q256" s="348">
        <f t="shared" si="32"/>
        <v>26.974410981168305</v>
      </c>
      <c r="R256" s="348">
        <f t="shared" si="33"/>
        <v>19.01988739772554</v>
      </c>
      <c r="S256" s="348">
        <f t="shared" si="34"/>
        <v>15.184897204633719</v>
      </c>
      <c r="T256" s="348">
        <f t="shared" si="35"/>
        <v>13.636034411663676</v>
      </c>
      <c r="U256" s="348">
        <f t="shared" si="36"/>
        <v>26.974410981168305</v>
      </c>
      <c r="V256" s="348">
        <f t="shared" si="37"/>
        <v>19.004778113454936</v>
      </c>
      <c r="W256" s="348">
        <f t="shared" si="38"/>
        <v>28.878280014274939</v>
      </c>
      <c r="X256" s="348">
        <f t="shared" si="39"/>
        <v>18.929552366660037</v>
      </c>
    </row>
    <row r="257" spans="1:24" x14ac:dyDescent="0.2">
      <c r="A257" s="407">
        <v>249</v>
      </c>
      <c r="B257" s="437">
        <v>27.035</v>
      </c>
      <c r="C257" s="438">
        <v>19.05</v>
      </c>
      <c r="D257" s="438">
        <v>15.343</v>
      </c>
      <c r="E257" s="438">
        <v>13.617000000000001</v>
      </c>
      <c r="F257" s="438">
        <v>27.035</v>
      </c>
      <c r="G257" s="438">
        <v>19.05</v>
      </c>
      <c r="H257" s="438">
        <v>29.082999999999998</v>
      </c>
      <c r="I257" s="438">
        <v>19.030999999999999</v>
      </c>
      <c r="J257" s="11"/>
      <c r="Q257" s="348">
        <f t="shared" si="32"/>
        <v>26.975405901251705</v>
      </c>
      <c r="R257" s="348">
        <f t="shared" si="33"/>
        <v>19.01888129424983</v>
      </c>
      <c r="S257" s="348">
        <f t="shared" si="34"/>
        <v>15.182898149555134</v>
      </c>
      <c r="T257" s="348">
        <f t="shared" si="35"/>
        <v>13.636034411663676</v>
      </c>
      <c r="U257" s="348">
        <f t="shared" si="36"/>
        <v>26.975405901251705</v>
      </c>
      <c r="V257" s="348">
        <f t="shared" si="37"/>
        <v>19.003776848167682</v>
      </c>
      <c r="W257" s="348">
        <f t="shared" si="38"/>
        <v>28.880273335709564</v>
      </c>
      <c r="X257" s="348">
        <f t="shared" si="39"/>
        <v>18.92756318591012</v>
      </c>
    </row>
    <row r="258" spans="1:24" x14ac:dyDescent="0.2">
      <c r="A258" s="407">
        <v>250</v>
      </c>
      <c r="B258" s="438">
        <v>27.024000000000001</v>
      </c>
      <c r="C258" s="437">
        <v>19.052</v>
      </c>
      <c r="D258" s="438">
        <v>15.340999999999999</v>
      </c>
      <c r="E258" s="438">
        <v>13.612</v>
      </c>
      <c r="F258" s="438">
        <v>27.024000000000001</v>
      </c>
      <c r="G258" s="438">
        <v>19.052</v>
      </c>
      <c r="H258" s="438">
        <v>29.077999999999999</v>
      </c>
      <c r="I258" s="437">
        <v>19.032</v>
      </c>
      <c r="J258" s="11"/>
      <c r="Q258" s="348">
        <f t="shared" si="32"/>
        <v>26.96446176763456</v>
      </c>
      <c r="R258" s="348">
        <f t="shared" si="33"/>
        <v>19.0208935004874</v>
      </c>
      <c r="S258" s="348">
        <f t="shared" si="34"/>
        <v>15.180899098079445</v>
      </c>
      <c r="T258" s="348">
        <f t="shared" si="35"/>
        <v>13.631030568086754</v>
      </c>
      <c r="U258" s="348">
        <f t="shared" si="36"/>
        <v>26.96446176763456</v>
      </c>
      <c r="V258" s="348">
        <f t="shared" si="37"/>
        <v>19.005779378792308</v>
      </c>
      <c r="W258" s="348">
        <f t="shared" si="38"/>
        <v>28.87529005155201</v>
      </c>
      <c r="X258" s="348">
        <f t="shared" si="39"/>
        <v>18.928557776135989</v>
      </c>
    </row>
    <row r="259" spans="1:24" x14ac:dyDescent="0.2">
      <c r="A259" s="407">
        <v>251</v>
      </c>
      <c r="B259" s="438">
        <v>27.035</v>
      </c>
      <c r="C259" s="438">
        <v>19.050999999999998</v>
      </c>
      <c r="D259" s="438">
        <v>15.346</v>
      </c>
      <c r="E259" s="437">
        <v>13.612</v>
      </c>
      <c r="F259" s="438">
        <v>27.035</v>
      </c>
      <c r="G259" s="438">
        <v>19.050999999999998</v>
      </c>
      <c r="H259" s="438">
        <v>29.082000000000001</v>
      </c>
      <c r="I259" s="438">
        <v>19.036000000000001</v>
      </c>
      <c r="J259" s="11"/>
      <c r="Q259" s="348">
        <f t="shared" si="32"/>
        <v>26.975405901251705</v>
      </c>
      <c r="R259" s="348">
        <f t="shared" si="33"/>
        <v>19.01988739772554</v>
      </c>
      <c r="S259" s="348">
        <f t="shared" si="34"/>
        <v>15.185896733523746</v>
      </c>
      <c r="T259" s="348">
        <f t="shared" si="35"/>
        <v>13.631030568086754</v>
      </c>
      <c r="U259" s="348">
        <f t="shared" si="36"/>
        <v>26.975405901251705</v>
      </c>
      <c r="V259" s="348">
        <f t="shared" si="37"/>
        <v>19.004778113454936</v>
      </c>
      <c r="W259" s="348">
        <f t="shared" si="38"/>
        <v>28.879276673696996</v>
      </c>
      <c r="X259" s="348">
        <f t="shared" si="39"/>
        <v>18.932536140021512</v>
      </c>
    </row>
    <row r="260" spans="1:24" x14ac:dyDescent="0.2">
      <c r="A260" s="407">
        <v>252</v>
      </c>
      <c r="B260" s="438">
        <v>27.036000000000001</v>
      </c>
      <c r="C260" s="438">
        <v>19.056000000000001</v>
      </c>
      <c r="D260" s="438">
        <v>15.345000000000001</v>
      </c>
      <c r="E260" s="438">
        <v>13.616</v>
      </c>
      <c r="F260" s="438">
        <v>27.036000000000001</v>
      </c>
      <c r="G260" s="438">
        <v>19.056000000000001</v>
      </c>
      <c r="H260" s="438">
        <v>29.081</v>
      </c>
      <c r="I260" s="438">
        <v>19.039000000000001</v>
      </c>
      <c r="J260" s="11"/>
      <c r="Q260" s="348">
        <f t="shared" si="32"/>
        <v>26.97640082110431</v>
      </c>
      <c r="R260" s="348">
        <f t="shared" si="33"/>
        <v>19.024917904394435</v>
      </c>
      <c r="S260" s="348">
        <f t="shared" si="34"/>
        <v>15.184897204633719</v>
      </c>
      <c r="T260" s="348">
        <f t="shared" si="35"/>
        <v>13.635033643111207</v>
      </c>
      <c r="U260" s="348">
        <f t="shared" si="36"/>
        <v>26.97640082110431</v>
      </c>
      <c r="V260" s="348">
        <f t="shared" si="37"/>
        <v>19.0097844406415</v>
      </c>
      <c r="W260" s="348">
        <f t="shared" si="38"/>
        <v>28.878280014274939</v>
      </c>
      <c r="X260" s="348">
        <f t="shared" si="39"/>
        <v>18.935519916067506</v>
      </c>
    </row>
    <row r="261" spans="1:24" x14ac:dyDescent="0.2">
      <c r="A261" s="407">
        <v>253</v>
      </c>
      <c r="B261" s="438">
        <v>27.032</v>
      </c>
      <c r="C261" s="438">
        <v>19.05</v>
      </c>
      <c r="D261" s="438">
        <v>15.340999999999999</v>
      </c>
      <c r="E261" s="438">
        <v>13.61</v>
      </c>
      <c r="F261" s="438">
        <v>27.032</v>
      </c>
      <c r="G261" s="438">
        <v>19.05</v>
      </c>
      <c r="H261" s="438">
        <v>29.082999999999998</v>
      </c>
      <c r="I261" s="438">
        <v>19.039000000000001</v>
      </c>
      <c r="J261" s="11"/>
      <c r="Q261" s="348">
        <f t="shared" si="32"/>
        <v>26.972421140309027</v>
      </c>
      <c r="R261" s="348">
        <f t="shared" si="33"/>
        <v>19.01888129424983</v>
      </c>
      <c r="S261" s="348">
        <f t="shared" si="34"/>
        <v>15.180899098079445</v>
      </c>
      <c r="T261" s="348">
        <f t="shared" si="35"/>
        <v>13.629029030085993</v>
      </c>
      <c r="U261" s="348">
        <f t="shared" si="36"/>
        <v>26.972421140309027</v>
      </c>
      <c r="V261" s="348">
        <f t="shared" si="37"/>
        <v>19.003776848167682</v>
      </c>
      <c r="W261" s="348">
        <f t="shared" si="38"/>
        <v>28.880273335709564</v>
      </c>
      <c r="X261" s="348">
        <f t="shared" si="39"/>
        <v>18.935519916067506</v>
      </c>
    </row>
    <row r="262" spans="1:24" x14ac:dyDescent="0.2">
      <c r="A262" s="407">
        <v>254</v>
      </c>
      <c r="B262" s="438">
        <v>27.033000000000001</v>
      </c>
      <c r="C262" s="438">
        <v>19.050999999999998</v>
      </c>
      <c r="D262" s="438">
        <v>15.343</v>
      </c>
      <c r="E262" s="438">
        <v>13.611000000000001</v>
      </c>
      <c r="F262" s="438">
        <v>27.033000000000001</v>
      </c>
      <c r="G262" s="438">
        <v>19.050999999999998</v>
      </c>
      <c r="H262" s="438">
        <v>29.085000000000001</v>
      </c>
      <c r="I262" s="438">
        <v>19.04</v>
      </c>
      <c r="J262" s="11"/>
      <c r="Q262" s="348">
        <f t="shared" si="32"/>
        <v>26.973416060854092</v>
      </c>
      <c r="R262" s="348">
        <f t="shared" si="33"/>
        <v>19.01988739772554</v>
      </c>
      <c r="S262" s="348">
        <f t="shared" si="34"/>
        <v>15.182898149555134</v>
      </c>
      <c r="T262" s="348">
        <f t="shared" si="35"/>
        <v>13.630029799127072</v>
      </c>
      <c r="U262" s="348">
        <f t="shared" si="36"/>
        <v>26.973416060854092</v>
      </c>
      <c r="V262" s="348">
        <f t="shared" si="37"/>
        <v>19.004778113454936</v>
      </c>
      <c r="W262" s="348">
        <f t="shared" si="38"/>
        <v>28.882266667506133</v>
      </c>
      <c r="X262" s="348">
        <f t="shared" si="39"/>
        <v>18.936514508679508</v>
      </c>
    </row>
    <row r="263" spans="1:24" x14ac:dyDescent="0.2">
      <c r="A263" s="407">
        <v>255</v>
      </c>
      <c r="B263" s="438">
        <v>27.039000000000001</v>
      </c>
      <c r="C263" s="438">
        <v>19.047999999999998</v>
      </c>
      <c r="D263" s="438">
        <v>15.343</v>
      </c>
      <c r="E263" s="438">
        <v>13.61</v>
      </c>
      <c r="F263" s="438">
        <v>27.039000000000001</v>
      </c>
      <c r="G263" s="438">
        <v>19.047999999999998</v>
      </c>
      <c r="H263" s="438">
        <v>29.085000000000001</v>
      </c>
      <c r="I263" s="438">
        <v>19.042000000000002</v>
      </c>
      <c r="J263" s="11"/>
      <c r="Q263" s="348">
        <f t="shared" si="32"/>
        <v>26.97938557927769</v>
      </c>
      <c r="R263" s="348">
        <f t="shared" si="33"/>
        <v>19.016869085157229</v>
      </c>
      <c r="S263" s="348">
        <f t="shared" si="34"/>
        <v>15.182898149555134</v>
      </c>
      <c r="T263" s="348">
        <f t="shared" si="35"/>
        <v>13.629029030085993</v>
      </c>
      <c r="U263" s="348">
        <f t="shared" si="36"/>
        <v>26.97938557927769</v>
      </c>
      <c r="V263" s="348">
        <f t="shared" si="37"/>
        <v>19.001774317743827</v>
      </c>
      <c r="W263" s="348">
        <f t="shared" si="38"/>
        <v>28.882266667506133</v>
      </c>
      <c r="X263" s="348">
        <f t="shared" si="39"/>
        <v>18.93850369479868</v>
      </c>
    </row>
    <row r="264" spans="1:24" x14ac:dyDescent="0.2">
      <c r="A264" s="407">
        <v>256</v>
      </c>
      <c r="B264" s="438">
        <v>27.041</v>
      </c>
      <c r="C264" s="438">
        <v>19.048999999999999</v>
      </c>
      <c r="D264" s="438">
        <v>15.343</v>
      </c>
      <c r="E264" s="438">
        <v>13.615</v>
      </c>
      <c r="F264" s="438">
        <v>27.041</v>
      </c>
      <c r="G264" s="438">
        <v>19.048999999999999</v>
      </c>
      <c r="H264" s="438">
        <v>29.085000000000001</v>
      </c>
      <c r="I264" s="438">
        <v>19.039000000000001</v>
      </c>
      <c r="J264" s="11"/>
      <c r="Q264" s="348">
        <f t="shared" si="32"/>
        <v>26.981375416906527</v>
      </c>
      <c r="R264" s="348">
        <f t="shared" si="33"/>
        <v>19.017875190060362</v>
      </c>
      <c r="S264" s="348">
        <f t="shared" si="34"/>
        <v>15.182898149555134</v>
      </c>
      <c r="T264" s="348">
        <f t="shared" si="35"/>
        <v>13.634032874477265</v>
      </c>
      <c r="U264" s="348">
        <f t="shared" si="36"/>
        <v>26.981375416906527</v>
      </c>
      <c r="V264" s="348">
        <f t="shared" si="37"/>
        <v>19.002775582930621</v>
      </c>
      <c r="W264" s="348">
        <f t="shared" si="38"/>
        <v>28.882266667506133</v>
      </c>
      <c r="X264" s="348">
        <f t="shared" si="39"/>
        <v>18.935519916067506</v>
      </c>
    </row>
    <row r="265" spans="1:24" x14ac:dyDescent="0.2">
      <c r="A265" s="407">
        <v>257</v>
      </c>
      <c r="B265" s="437">
        <v>27.041</v>
      </c>
      <c r="C265" s="438">
        <v>19.045999999999999</v>
      </c>
      <c r="D265" s="437">
        <v>15.342000000000001</v>
      </c>
      <c r="E265" s="438">
        <v>13.606999999999999</v>
      </c>
      <c r="F265" s="438">
        <v>27.041</v>
      </c>
      <c r="G265" s="438">
        <v>19.045999999999999</v>
      </c>
      <c r="H265" s="438">
        <v>29.085999999999999</v>
      </c>
      <c r="I265" s="438">
        <v>19.041</v>
      </c>
      <c r="J265" s="11"/>
      <c r="Q265" s="348">
        <f t="shared" si="32"/>
        <v>26.981375416906527</v>
      </c>
      <c r="R265" s="348">
        <f t="shared" si="33"/>
        <v>19.014856873210363</v>
      </c>
      <c r="S265" s="348">
        <f t="shared" si="34"/>
        <v>15.181898623366859</v>
      </c>
      <c r="T265" s="348">
        <f t="shared" si="35"/>
        <v>13.626026722474537</v>
      </c>
      <c r="U265" s="348">
        <f t="shared" si="36"/>
        <v>26.981375416906527</v>
      </c>
      <c r="V265" s="348">
        <f t="shared" si="37"/>
        <v>18.999771787521347</v>
      </c>
      <c r="W265" s="348">
        <f t="shared" si="38"/>
        <v>28.883263337290089</v>
      </c>
      <c r="X265" s="348">
        <f t="shared" si="39"/>
        <v>18.937509101589889</v>
      </c>
    </row>
    <row r="266" spans="1:24" x14ac:dyDescent="0.2">
      <c r="A266" s="407">
        <v>258</v>
      </c>
      <c r="B266" s="438">
        <v>27.032</v>
      </c>
      <c r="C266" s="438">
        <v>19.047000000000001</v>
      </c>
      <c r="D266" s="438">
        <v>15.339</v>
      </c>
      <c r="E266" s="438">
        <v>13.61</v>
      </c>
      <c r="F266" s="438">
        <v>27.032</v>
      </c>
      <c r="G266" s="438">
        <v>19.047000000000001</v>
      </c>
      <c r="H266" s="438">
        <v>29.082999999999998</v>
      </c>
      <c r="I266" s="438">
        <v>19.04</v>
      </c>
      <c r="J266" s="11"/>
      <c r="Q266" s="348">
        <f t="shared" ref="Q266:Q329" si="40">IFERROR(B266^4*$AB$9+B266^3*$AC$9+B266^2*$AD$9+B266^1*$AE$9+B266^0*$AF$9,"")</f>
        <v>26.972421140309027</v>
      </c>
      <c r="R266" s="348">
        <f t="shared" ref="R266:R329" si="41">IFERROR(C266^4*$AB$10+C266^3*$AC$10+C266^2*$AD$10+C266^1*$AE$10+C266^0*$AF$10,"")</f>
        <v>19.015862979540536</v>
      </c>
      <c r="S266" s="348">
        <f t="shared" ref="S266:S329" si="42">IFERROR(D266^4*$AB$11+D266^3*$AC$11+D266^2*$AD$11+D266^1*$AE$11+D266^0*$AF$11,"")</f>
        <v>15.178900050207774</v>
      </c>
      <c r="T266" s="348">
        <f t="shared" ref="T266:T329" si="43">IFERROR(E266^4*$AB$12+E266^3*$AC$12+E266^2*$AD$12+E266^1*$AE$12+E266^0*$AF$12,"")</f>
        <v>13.629029030085993</v>
      </c>
      <c r="U266" s="348">
        <f t="shared" ref="U266:U329" si="44">IFERROR(F266^4*$AB$13+F266^3*$AC$13+F266^2*$AD$13+F266^1*$AE$13+F266^0*$AF$13,"")</f>
        <v>26.972421140309027</v>
      </c>
      <c r="V266" s="348">
        <f t="shared" ref="V266:V329" si="45">IFERROR(G266^4*$AB$14+G266^3*$AC$14+G266^2*$AD$14+G266^1*$AE$14+G266^0*$AF$14,"")</f>
        <v>19.000773052607382</v>
      </c>
      <c r="W266" s="348">
        <f t="shared" ref="W266:W329" si="46">IFERROR(H266^4*$AB$15+H266^3*$AC$15+H266^2*$AD$15+H266^1*$AE$15+H266^0*$AF$15,"")</f>
        <v>28.880273335709564</v>
      </c>
      <c r="X266" s="348">
        <f t="shared" ref="X266:X329" si="47">IFERROR(I266^4*$AB$16+I266^3*$AC$16+I266^2*$AD$16+I266^1*$AE$16+I266^0*$AF$16,"")</f>
        <v>18.936514508679508</v>
      </c>
    </row>
    <row r="267" spans="1:24" x14ac:dyDescent="0.2">
      <c r="A267" s="407">
        <v>259</v>
      </c>
      <c r="B267" s="438">
        <v>27.035</v>
      </c>
      <c r="C267" s="438">
        <v>19.047000000000001</v>
      </c>
      <c r="D267" s="438">
        <v>15.340999999999999</v>
      </c>
      <c r="E267" s="438">
        <v>13.611000000000001</v>
      </c>
      <c r="F267" s="438">
        <v>27.035</v>
      </c>
      <c r="G267" s="438">
        <v>19.047000000000001</v>
      </c>
      <c r="H267" s="438">
        <v>29.085000000000001</v>
      </c>
      <c r="I267" s="438">
        <v>19.042999999999999</v>
      </c>
      <c r="J267" s="11"/>
      <c r="Q267" s="348">
        <f t="shared" si="40"/>
        <v>26.975405901251705</v>
      </c>
      <c r="R267" s="348">
        <f t="shared" si="41"/>
        <v>19.015862979540536</v>
      </c>
      <c r="S267" s="348">
        <f t="shared" si="42"/>
        <v>15.180899098079445</v>
      </c>
      <c r="T267" s="348">
        <f t="shared" si="43"/>
        <v>13.630029799127072</v>
      </c>
      <c r="U267" s="348">
        <f t="shared" si="44"/>
        <v>26.975405901251705</v>
      </c>
      <c r="V267" s="348">
        <f t="shared" si="45"/>
        <v>19.000773052607382</v>
      </c>
      <c r="W267" s="348">
        <f t="shared" si="46"/>
        <v>28.882266667506133</v>
      </c>
      <c r="X267" s="348">
        <f t="shared" si="47"/>
        <v>18.939498288305895</v>
      </c>
    </row>
    <row r="268" spans="1:24" x14ac:dyDescent="0.2">
      <c r="A268" s="407">
        <v>260</v>
      </c>
      <c r="B268" s="438">
        <v>27.033999999999999</v>
      </c>
      <c r="C268" s="438">
        <v>19.044</v>
      </c>
      <c r="D268" s="438">
        <v>15.343999999999999</v>
      </c>
      <c r="E268" s="438">
        <v>13.61</v>
      </c>
      <c r="F268" s="438">
        <v>27.033999999999999</v>
      </c>
      <c r="G268" s="438">
        <v>19.044</v>
      </c>
      <c r="H268" s="438">
        <v>29.088000000000001</v>
      </c>
      <c r="I268" s="438">
        <v>19.045000000000002</v>
      </c>
      <c r="J268" s="11"/>
      <c r="Q268" s="348">
        <f t="shared" si="40"/>
        <v>26.974410981168305</v>
      </c>
      <c r="R268" s="348">
        <f t="shared" si="41"/>
        <v>19.012844658409985</v>
      </c>
      <c r="S268" s="348">
        <f t="shared" si="42"/>
        <v>15.183897676644133</v>
      </c>
      <c r="T268" s="348">
        <f t="shared" si="43"/>
        <v>13.629029030085993</v>
      </c>
      <c r="U268" s="348">
        <f t="shared" si="44"/>
        <v>26.974410981168305</v>
      </c>
      <c r="V268" s="348">
        <f t="shared" si="45"/>
        <v>18.997769257500842</v>
      </c>
      <c r="W268" s="348">
        <f t="shared" si="46"/>
        <v>28.885256684629262</v>
      </c>
      <c r="X268" s="348">
        <f t="shared" si="47"/>
        <v>18.941487476215716</v>
      </c>
    </row>
    <row r="269" spans="1:24" x14ac:dyDescent="0.2">
      <c r="A269" s="407">
        <v>261</v>
      </c>
      <c r="B269" s="438">
        <v>27.039000000000001</v>
      </c>
      <c r="C269" s="438">
        <v>19.041</v>
      </c>
      <c r="D269" s="438">
        <v>15.343999999999999</v>
      </c>
      <c r="E269" s="438">
        <v>13.61</v>
      </c>
      <c r="F269" s="438">
        <v>27.039000000000001</v>
      </c>
      <c r="G269" s="438">
        <v>19.041</v>
      </c>
      <c r="H269" s="438">
        <v>29.088000000000001</v>
      </c>
      <c r="I269" s="438">
        <v>19.045000000000002</v>
      </c>
      <c r="J269" s="11"/>
      <c r="Q269" s="348">
        <f t="shared" si="40"/>
        <v>26.97938557927769</v>
      </c>
      <c r="R269" s="348">
        <f t="shared" si="41"/>
        <v>19.009826330860736</v>
      </c>
      <c r="S269" s="348">
        <f t="shared" si="42"/>
        <v>15.183897676644133</v>
      </c>
      <c r="T269" s="348">
        <f t="shared" si="43"/>
        <v>13.629029030085993</v>
      </c>
      <c r="U269" s="348">
        <f t="shared" si="44"/>
        <v>26.97938557927769</v>
      </c>
      <c r="V269" s="348">
        <f t="shared" si="45"/>
        <v>18.994765462850093</v>
      </c>
      <c r="W269" s="348">
        <f t="shared" si="46"/>
        <v>28.885256684629262</v>
      </c>
      <c r="X269" s="348">
        <f t="shared" si="47"/>
        <v>18.941487476215716</v>
      </c>
    </row>
    <row r="270" spans="1:24" x14ac:dyDescent="0.2">
      <c r="A270" s="407">
        <v>262</v>
      </c>
      <c r="B270" s="438">
        <v>27.03</v>
      </c>
      <c r="C270" s="438">
        <v>19.042000000000002</v>
      </c>
      <c r="D270" s="438">
        <v>15.342000000000001</v>
      </c>
      <c r="E270" s="438">
        <v>13.606999999999999</v>
      </c>
      <c r="F270" s="438">
        <v>27.03</v>
      </c>
      <c r="G270" s="437">
        <v>19.042000000000002</v>
      </c>
      <c r="H270" s="438">
        <v>29.091999999999999</v>
      </c>
      <c r="I270" s="438">
        <v>19.047000000000001</v>
      </c>
      <c r="J270" s="11"/>
      <c r="Q270" s="348">
        <f t="shared" si="40"/>
        <v>26.970431298526247</v>
      </c>
      <c r="R270" s="348">
        <f t="shared" si="41"/>
        <v>19.01083244075685</v>
      </c>
      <c r="S270" s="348">
        <f t="shared" si="42"/>
        <v>15.181898623366859</v>
      </c>
      <c r="T270" s="348">
        <f t="shared" si="43"/>
        <v>13.626026722474537</v>
      </c>
      <c r="U270" s="348">
        <f t="shared" si="44"/>
        <v>26.970431298526247</v>
      </c>
      <c r="V270" s="348">
        <f t="shared" si="45"/>
        <v>18.995766727682909</v>
      </c>
      <c r="W270" s="348">
        <f t="shared" si="46"/>
        <v>28.889243410392005</v>
      </c>
      <c r="X270" s="348">
        <f t="shared" si="47"/>
        <v>18.943476665319551</v>
      </c>
    </row>
    <row r="271" spans="1:24" x14ac:dyDescent="0.2">
      <c r="A271" s="407">
        <v>263</v>
      </c>
      <c r="B271" s="438">
        <v>27.027000000000001</v>
      </c>
      <c r="C271" s="438">
        <v>19.039000000000001</v>
      </c>
      <c r="D271" s="438">
        <v>15.339</v>
      </c>
      <c r="E271" s="438">
        <v>13.603</v>
      </c>
      <c r="F271" s="438">
        <v>27.027000000000001</v>
      </c>
      <c r="G271" s="438">
        <v>19.039000000000001</v>
      </c>
      <c r="H271" s="438">
        <v>29.088999999999999</v>
      </c>
      <c r="I271" s="438">
        <v>19.047000000000001</v>
      </c>
      <c r="J271" s="11"/>
      <c r="Q271" s="348">
        <f t="shared" si="40"/>
        <v>26.967446534119997</v>
      </c>
      <c r="R271" s="348">
        <f t="shared" si="41"/>
        <v>19.007814108929892</v>
      </c>
      <c r="S271" s="348">
        <f t="shared" si="42"/>
        <v>15.178900050207774</v>
      </c>
      <c r="T271" s="348">
        <f t="shared" si="43"/>
        <v>13.622023644520638</v>
      </c>
      <c r="U271" s="348">
        <f t="shared" si="44"/>
        <v>26.967446534119997</v>
      </c>
      <c r="V271" s="348">
        <f t="shared" si="45"/>
        <v>18.992762933337143</v>
      </c>
      <c r="W271" s="348">
        <f t="shared" si="46"/>
        <v>28.886253362184423</v>
      </c>
      <c r="X271" s="348">
        <f t="shared" si="47"/>
        <v>18.943476665319551</v>
      </c>
    </row>
    <row r="272" spans="1:24" x14ac:dyDescent="0.2">
      <c r="A272" s="407">
        <v>264</v>
      </c>
      <c r="B272" s="438">
        <v>27.027999999999999</v>
      </c>
      <c r="C272" s="437">
        <v>19.036000000000001</v>
      </c>
      <c r="D272" s="438">
        <v>15.337</v>
      </c>
      <c r="E272" s="438">
        <v>13.608000000000001</v>
      </c>
      <c r="F272" s="437">
        <v>27.027999999999999</v>
      </c>
      <c r="G272" s="438">
        <v>19.036000000000001</v>
      </c>
      <c r="H272" s="437">
        <v>29.091000000000001</v>
      </c>
      <c r="I272" s="438">
        <v>19.047999999999998</v>
      </c>
      <c r="J272" s="11"/>
      <c r="Q272" s="348">
        <f t="shared" si="40"/>
        <v>26.968441455819725</v>
      </c>
      <c r="R272" s="348">
        <f t="shared" si="41"/>
        <v>19.004795770688506</v>
      </c>
      <c r="S272" s="348">
        <f t="shared" si="42"/>
        <v>15.176901005941232</v>
      </c>
      <c r="T272" s="348">
        <f t="shared" si="43"/>
        <v>13.627027491759712</v>
      </c>
      <c r="U272" s="348">
        <f t="shared" si="44"/>
        <v>26.968441455819725</v>
      </c>
      <c r="V272" s="348">
        <f t="shared" si="45"/>
        <v>18.989759139450531</v>
      </c>
      <c r="W272" s="348">
        <f t="shared" si="46"/>
        <v>28.888246725065823</v>
      </c>
      <c r="X272" s="348">
        <f t="shared" si="47"/>
        <v>18.944471260319279</v>
      </c>
    </row>
    <row r="273" spans="1:24" x14ac:dyDescent="0.2">
      <c r="A273" s="407">
        <v>265</v>
      </c>
      <c r="B273" s="438">
        <v>27.032</v>
      </c>
      <c r="C273" s="438">
        <v>19.035</v>
      </c>
      <c r="D273" s="438">
        <v>15.335000000000001</v>
      </c>
      <c r="E273" s="438">
        <v>13.601000000000001</v>
      </c>
      <c r="F273" s="438">
        <v>27.032</v>
      </c>
      <c r="G273" s="438">
        <v>19.035</v>
      </c>
      <c r="H273" s="438">
        <v>29.094000000000001</v>
      </c>
      <c r="I273" s="438">
        <v>19.050999999999998</v>
      </c>
      <c r="J273" s="11"/>
      <c r="Q273" s="348">
        <f t="shared" si="40"/>
        <v>26.972421140309027</v>
      </c>
      <c r="R273" s="348">
        <f t="shared" si="41"/>
        <v>19.003789656516393</v>
      </c>
      <c r="S273" s="348">
        <f t="shared" si="42"/>
        <v>15.174901965280945</v>
      </c>
      <c r="T273" s="348">
        <f t="shared" si="43"/>
        <v>13.620022105055986</v>
      </c>
      <c r="U273" s="348">
        <f t="shared" si="44"/>
        <v>26.972421140309027</v>
      </c>
      <c r="V273" s="348">
        <f t="shared" si="45"/>
        <v>18.988757874924048</v>
      </c>
      <c r="W273" s="348">
        <f t="shared" si="46"/>
        <v>28.891236788815245</v>
      </c>
      <c r="X273" s="348">
        <f t="shared" si="47"/>
        <v>18.947455047110044</v>
      </c>
    </row>
    <row r="274" spans="1:24" x14ac:dyDescent="0.2">
      <c r="A274" s="407">
        <v>266</v>
      </c>
      <c r="B274" s="438">
        <v>27.030999999999999</v>
      </c>
      <c r="C274" s="438">
        <v>19.033999999999999</v>
      </c>
      <c r="D274" s="438">
        <v>15.337</v>
      </c>
      <c r="E274" s="438">
        <v>13.598000000000001</v>
      </c>
      <c r="F274" s="438">
        <v>27.030999999999999</v>
      </c>
      <c r="G274" s="438">
        <v>19.033999999999999</v>
      </c>
      <c r="H274" s="438">
        <v>29.097000000000001</v>
      </c>
      <c r="I274" s="438">
        <v>19.05</v>
      </c>
      <c r="J274" s="11"/>
      <c r="Q274" s="348">
        <f t="shared" si="40"/>
        <v>26.97142621953309</v>
      </c>
      <c r="R274" s="348">
        <f t="shared" si="41"/>
        <v>19.002783541631942</v>
      </c>
      <c r="S274" s="348">
        <f t="shared" si="42"/>
        <v>15.176901005941232</v>
      </c>
      <c r="T274" s="348">
        <f t="shared" si="43"/>
        <v>13.617019795249719</v>
      </c>
      <c r="U274" s="348">
        <f t="shared" si="44"/>
        <v>26.97142621953309</v>
      </c>
      <c r="V274" s="348">
        <f t="shared" si="45"/>
        <v>18.987756610448876</v>
      </c>
      <c r="W274" s="348">
        <f t="shared" si="46"/>
        <v>28.894226875876964</v>
      </c>
      <c r="X274" s="348">
        <f t="shared" si="47"/>
        <v>18.946460451214506</v>
      </c>
    </row>
    <row r="275" spans="1:24" x14ac:dyDescent="0.2">
      <c r="A275" s="407">
        <v>267</v>
      </c>
      <c r="B275" s="438">
        <v>27.027000000000001</v>
      </c>
      <c r="C275" s="438">
        <v>19.033999999999999</v>
      </c>
      <c r="D275" s="438">
        <v>15.335000000000001</v>
      </c>
      <c r="E275" s="438">
        <v>13.592000000000001</v>
      </c>
      <c r="F275" s="438">
        <v>27.027000000000001</v>
      </c>
      <c r="G275" s="438">
        <v>19.033999999999999</v>
      </c>
      <c r="H275" s="438">
        <v>29.100999999999999</v>
      </c>
      <c r="I275" s="438">
        <v>19.053000000000001</v>
      </c>
      <c r="J275" s="11"/>
      <c r="Q275" s="348">
        <f t="shared" si="40"/>
        <v>26.967446534119997</v>
      </c>
      <c r="R275" s="348">
        <f t="shared" si="41"/>
        <v>19.002783541631942</v>
      </c>
      <c r="S275" s="348">
        <f t="shared" si="42"/>
        <v>15.174901965280945</v>
      </c>
      <c r="T275" s="348">
        <f t="shared" si="43"/>
        <v>13.611015173445276</v>
      </c>
      <c r="U275" s="348">
        <f t="shared" si="44"/>
        <v>26.967446534119997</v>
      </c>
      <c r="V275" s="348">
        <f t="shared" si="45"/>
        <v>18.987756610448876</v>
      </c>
      <c r="W275" s="348">
        <f t="shared" si="46"/>
        <v>28.898213694888486</v>
      </c>
      <c r="X275" s="348">
        <f t="shared" si="47"/>
        <v>18.94944423979711</v>
      </c>
    </row>
    <row r="276" spans="1:24" x14ac:dyDescent="0.2">
      <c r="A276" s="407">
        <v>268</v>
      </c>
      <c r="B276" s="438">
        <v>27.033999999999999</v>
      </c>
      <c r="C276" s="438">
        <v>19.033000000000001</v>
      </c>
      <c r="D276" s="438">
        <v>15.336</v>
      </c>
      <c r="E276" s="438">
        <v>13.598000000000001</v>
      </c>
      <c r="F276" s="438">
        <v>27.033999999999999</v>
      </c>
      <c r="G276" s="438">
        <v>19.033000000000001</v>
      </c>
      <c r="H276" s="438">
        <v>29.105</v>
      </c>
      <c r="I276" s="438">
        <v>19.055</v>
      </c>
      <c r="J276" s="11"/>
      <c r="Q276" s="348">
        <f t="shared" si="40"/>
        <v>26.974410981168305</v>
      </c>
      <c r="R276" s="348">
        <f t="shared" si="41"/>
        <v>19.001777426035254</v>
      </c>
      <c r="S276" s="348">
        <f t="shared" si="42"/>
        <v>15.175901485160237</v>
      </c>
      <c r="T276" s="348">
        <f t="shared" si="43"/>
        <v>13.617019795249719</v>
      </c>
      <c r="U276" s="348">
        <f t="shared" si="44"/>
        <v>26.974410981168305</v>
      </c>
      <c r="V276" s="348">
        <f t="shared" si="45"/>
        <v>18.986755346025106</v>
      </c>
      <c r="W276" s="348">
        <f t="shared" si="46"/>
        <v>28.90220055534169</v>
      </c>
      <c r="X276" s="348">
        <f t="shared" si="47"/>
        <v>18.951433433678982</v>
      </c>
    </row>
    <row r="277" spans="1:24" x14ac:dyDescent="0.2">
      <c r="A277" s="407">
        <v>269</v>
      </c>
      <c r="B277" s="438">
        <v>27.027000000000001</v>
      </c>
      <c r="C277" s="438">
        <v>19.033999999999999</v>
      </c>
      <c r="D277" s="438">
        <v>15.335000000000001</v>
      </c>
      <c r="E277" s="437">
        <v>13.593999999999999</v>
      </c>
      <c r="F277" s="438">
        <v>27.027000000000001</v>
      </c>
      <c r="G277" s="438">
        <v>19.033999999999999</v>
      </c>
      <c r="H277" s="438">
        <v>29.109000000000002</v>
      </c>
      <c r="I277" s="438">
        <v>19.056000000000001</v>
      </c>
      <c r="J277" s="11"/>
      <c r="Q277" s="348">
        <f t="shared" si="40"/>
        <v>26.967446534119997</v>
      </c>
      <c r="R277" s="348">
        <f t="shared" si="41"/>
        <v>19.002783541631942</v>
      </c>
      <c r="S277" s="348">
        <f t="shared" si="42"/>
        <v>15.174901965280945</v>
      </c>
      <c r="T277" s="348">
        <f t="shared" si="43"/>
        <v>13.613016714371341</v>
      </c>
      <c r="U277" s="348">
        <f t="shared" si="44"/>
        <v>26.967446534119997</v>
      </c>
      <c r="V277" s="348">
        <f t="shared" si="45"/>
        <v>18.987756610448876</v>
      </c>
      <c r="W277" s="348">
        <f t="shared" si="46"/>
        <v>28.906187457235202</v>
      </c>
      <c r="X277" s="348">
        <f t="shared" si="47"/>
        <v>18.952428031068035</v>
      </c>
    </row>
    <row r="278" spans="1:24" x14ac:dyDescent="0.2">
      <c r="A278" s="407">
        <v>270</v>
      </c>
      <c r="B278" s="438">
        <v>27.033999999999999</v>
      </c>
      <c r="C278" s="438">
        <v>19.033000000000001</v>
      </c>
      <c r="D278" s="438">
        <v>15.337</v>
      </c>
      <c r="E278" s="438">
        <v>13.597</v>
      </c>
      <c r="F278" s="438">
        <v>27.033999999999999</v>
      </c>
      <c r="G278" s="438">
        <v>19.033000000000001</v>
      </c>
      <c r="H278" s="438">
        <v>29.113</v>
      </c>
      <c r="I278" s="438">
        <v>19.056000000000001</v>
      </c>
      <c r="J278" s="11"/>
      <c r="Q278" s="348">
        <f t="shared" si="40"/>
        <v>26.974410981168305</v>
      </c>
      <c r="R278" s="348">
        <f t="shared" si="41"/>
        <v>19.001777426035254</v>
      </c>
      <c r="S278" s="348">
        <f t="shared" si="42"/>
        <v>15.176901005941232</v>
      </c>
      <c r="T278" s="348">
        <f t="shared" si="43"/>
        <v>13.616019025151882</v>
      </c>
      <c r="U278" s="348">
        <f t="shared" si="44"/>
        <v>26.974410981168305</v>
      </c>
      <c r="V278" s="348">
        <f t="shared" si="45"/>
        <v>18.986755346025106</v>
      </c>
      <c r="W278" s="348">
        <f t="shared" si="46"/>
        <v>28.910174400567616</v>
      </c>
      <c r="X278" s="348">
        <f t="shared" si="47"/>
        <v>18.952428031068035</v>
      </c>
    </row>
    <row r="279" spans="1:24" x14ac:dyDescent="0.2">
      <c r="A279" s="407">
        <v>271</v>
      </c>
      <c r="B279" s="437">
        <v>27.029</v>
      </c>
      <c r="C279" s="438">
        <v>19.032</v>
      </c>
      <c r="D279" s="438">
        <v>15.333</v>
      </c>
      <c r="E279" s="438">
        <v>13.593999999999999</v>
      </c>
      <c r="F279" s="438">
        <v>27.029</v>
      </c>
      <c r="G279" s="438">
        <v>19.032</v>
      </c>
      <c r="H279" s="438">
        <v>29.117000000000001</v>
      </c>
      <c r="I279" s="438">
        <v>19.058</v>
      </c>
      <c r="J279" s="11"/>
      <c r="Q279" s="348">
        <f t="shared" si="40"/>
        <v>26.969436377288471</v>
      </c>
      <c r="R279" s="348">
        <f t="shared" si="41"/>
        <v>19.000771309726417</v>
      </c>
      <c r="S279" s="348">
        <f t="shared" si="42"/>
        <v>15.172902928228025</v>
      </c>
      <c r="T279" s="348">
        <f t="shared" si="43"/>
        <v>13.613016714371341</v>
      </c>
      <c r="U279" s="348">
        <f t="shared" si="44"/>
        <v>26.969436377288471</v>
      </c>
      <c r="V279" s="348">
        <f t="shared" si="45"/>
        <v>18.985754081652793</v>
      </c>
      <c r="W279" s="348">
        <f t="shared" si="46"/>
        <v>28.914161385337543</v>
      </c>
      <c r="X279" s="348">
        <f t="shared" si="47"/>
        <v>18.954417226742486</v>
      </c>
    </row>
    <row r="280" spans="1:24" x14ac:dyDescent="0.2">
      <c r="A280" s="407">
        <v>272</v>
      </c>
      <c r="B280" s="438">
        <v>27.026</v>
      </c>
      <c r="C280" s="438">
        <v>19.035</v>
      </c>
      <c r="D280" s="438">
        <v>15.332000000000001</v>
      </c>
      <c r="E280" s="438">
        <v>13.593999999999999</v>
      </c>
      <c r="F280" s="438">
        <v>27.026</v>
      </c>
      <c r="G280" s="438">
        <v>19.035</v>
      </c>
      <c r="H280" s="438">
        <v>29.123999999999999</v>
      </c>
      <c r="I280" s="438">
        <v>19.058</v>
      </c>
      <c r="J280" s="11"/>
      <c r="Q280" s="348">
        <f t="shared" si="40"/>
        <v>26.966451612189246</v>
      </c>
      <c r="R280" s="348">
        <f t="shared" si="41"/>
        <v>19.003789656516393</v>
      </c>
      <c r="S280" s="348">
        <f t="shared" si="42"/>
        <v>15.171903411054679</v>
      </c>
      <c r="T280" s="348">
        <f t="shared" si="43"/>
        <v>13.613016714371341</v>
      </c>
      <c r="U280" s="348">
        <f t="shared" si="44"/>
        <v>26.966451612189246</v>
      </c>
      <c r="V280" s="348">
        <f t="shared" si="45"/>
        <v>18.988757874924048</v>
      </c>
      <c r="W280" s="348">
        <f t="shared" si="46"/>
        <v>28.921138708389677</v>
      </c>
      <c r="X280" s="348">
        <f t="shared" si="47"/>
        <v>18.954417226742486</v>
      </c>
    </row>
    <row r="281" spans="1:24" x14ac:dyDescent="0.2">
      <c r="A281" s="407">
        <v>273</v>
      </c>
      <c r="B281" s="438">
        <v>27.032</v>
      </c>
      <c r="C281" s="438">
        <v>19.035</v>
      </c>
      <c r="D281" s="438">
        <v>15.333</v>
      </c>
      <c r="E281" s="438">
        <v>13.596</v>
      </c>
      <c r="F281" s="438">
        <v>27.032</v>
      </c>
      <c r="G281" s="438">
        <v>19.035</v>
      </c>
      <c r="H281" s="438">
        <v>29.131</v>
      </c>
      <c r="I281" s="438">
        <v>19.059999999999999</v>
      </c>
      <c r="J281" s="11"/>
      <c r="Q281" s="348">
        <f t="shared" si="40"/>
        <v>26.972421140309027</v>
      </c>
      <c r="R281" s="348">
        <f t="shared" si="41"/>
        <v>19.003789656516393</v>
      </c>
      <c r="S281" s="348">
        <f t="shared" si="42"/>
        <v>15.172902928228025</v>
      </c>
      <c r="T281" s="348">
        <f t="shared" si="43"/>
        <v>13.615018254972863</v>
      </c>
      <c r="U281" s="348">
        <f t="shared" si="44"/>
        <v>26.972421140309027</v>
      </c>
      <c r="V281" s="348">
        <f t="shared" si="45"/>
        <v>18.988757874924048</v>
      </c>
      <c r="W281" s="348">
        <f t="shared" si="46"/>
        <v>28.928116158332241</v>
      </c>
      <c r="X281" s="348">
        <f t="shared" si="47"/>
        <v>18.956406423612247</v>
      </c>
    </row>
    <row r="282" spans="1:24" x14ac:dyDescent="0.2">
      <c r="A282" s="407">
        <v>274</v>
      </c>
      <c r="B282" s="438">
        <v>27.036000000000001</v>
      </c>
      <c r="C282" s="438">
        <v>19.035</v>
      </c>
      <c r="D282" s="438">
        <v>15.337</v>
      </c>
      <c r="E282" s="438">
        <v>13.599</v>
      </c>
      <c r="F282" s="438">
        <v>27.036000000000001</v>
      </c>
      <c r="G282" s="438">
        <v>19.035</v>
      </c>
      <c r="H282" s="438">
        <v>29.135000000000002</v>
      </c>
      <c r="I282" s="438">
        <v>19.062999999999999</v>
      </c>
      <c r="J282" s="11"/>
      <c r="Q282" s="348">
        <f t="shared" si="40"/>
        <v>26.97640082110431</v>
      </c>
      <c r="R282" s="348">
        <f t="shared" si="41"/>
        <v>19.003789656516393</v>
      </c>
      <c r="S282" s="348">
        <f t="shared" si="42"/>
        <v>15.176901005941232</v>
      </c>
      <c r="T282" s="348">
        <f t="shared" si="43"/>
        <v>13.61802056526636</v>
      </c>
      <c r="U282" s="348">
        <f t="shared" si="44"/>
        <v>26.97640082110431</v>
      </c>
      <c r="V282" s="348">
        <f t="shared" si="45"/>
        <v>18.988757874924048</v>
      </c>
      <c r="W282" s="348">
        <f t="shared" si="46"/>
        <v>28.932103329553385</v>
      </c>
      <c r="X282" s="348">
        <f t="shared" si="47"/>
        <v>18.959390221158522</v>
      </c>
    </row>
    <row r="283" spans="1:24" x14ac:dyDescent="0.2">
      <c r="A283" s="407">
        <v>275</v>
      </c>
      <c r="B283" s="438">
        <v>27.027999999999999</v>
      </c>
      <c r="C283" s="438">
        <v>19.036999999999999</v>
      </c>
      <c r="D283" s="438">
        <v>15.333</v>
      </c>
      <c r="E283" s="438">
        <v>13.597</v>
      </c>
      <c r="F283" s="438">
        <v>27.027999999999999</v>
      </c>
      <c r="G283" s="438">
        <v>19.036999999999999</v>
      </c>
      <c r="H283" s="438">
        <v>29.135999999999999</v>
      </c>
      <c r="I283" s="438">
        <v>19.064</v>
      </c>
      <c r="J283" s="11"/>
      <c r="Q283" s="348">
        <f t="shared" si="40"/>
        <v>26.968441455819725</v>
      </c>
      <c r="R283" s="348">
        <f t="shared" si="41"/>
        <v>19.005801884148187</v>
      </c>
      <c r="S283" s="348">
        <f t="shared" si="42"/>
        <v>15.172902928228025</v>
      </c>
      <c r="T283" s="348">
        <f t="shared" si="43"/>
        <v>13.616019025151882</v>
      </c>
      <c r="U283" s="348">
        <f t="shared" si="44"/>
        <v>26.968441455819725</v>
      </c>
      <c r="V283" s="348">
        <f t="shared" si="45"/>
        <v>18.990760404028258</v>
      </c>
      <c r="W283" s="348">
        <f t="shared" si="46"/>
        <v>28.933100128832109</v>
      </c>
      <c r="X283" s="348">
        <f t="shared" si="47"/>
        <v>18.960384820938479</v>
      </c>
    </row>
    <row r="284" spans="1:24" x14ac:dyDescent="0.2">
      <c r="A284" s="407">
        <v>276</v>
      </c>
      <c r="B284" s="438">
        <v>27.032</v>
      </c>
      <c r="C284" s="438">
        <v>19.039000000000001</v>
      </c>
      <c r="D284" s="438">
        <v>15.334</v>
      </c>
      <c r="E284" s="438">
        <v>13.598000000000001</v>
      </c>
      <c r="F284" s="438">
        <v>27.032</v>
      </c>
      <c r="G284" s="438">
        <v>19.039000000000001</v>
      </c>
      <c r="H284" s="438">
        <v>29.140999999999998</v>
      </c>
      <c r="I284" s="438">
        <v>19.067</v>
      </c>
      <c r="J284" s="11"/>
      <c r="Q284" s="348">
        <f t="shared" si="40"/>
        <v>26.972421140309027</v>
      </c>
      <c r="R284" s="348">
        <f t="shared" si="41"/>
        <v>19.007814108929892</v>
      </c>
      <c r="S284" s="348">
        <f t="shared" si="42"/>
        <v>15.173902446303492</v>
      </c>
      <c r="T284" s="348">
        <f t="shared" si="43"/>
        <v>13.617019795249719</v>
      </c>
      <c r="U284" s="348">
        <f t="shared" si="44"/>
        <v>26.972421140309027</v>
      </c>
      <c r="V284" s="348">
        <f t="shared" si="45"/>
        <v>18.992762933337143</v>
      </c>
      <c r="W284" s="348">
        <f t="shared" si="46"/>
        <v>28.938084164065209</v>
      </c>
      <c r="X284" s="348">
        <f t="shared" si="47"/>
        <v>18.963368622072302</v>
      </c>
    </row>
    <row r="285" spans="1:24" x14ac:dyDescent="0.2">
      <c r="A285" s="407">
        <v>277</v>
      </c>
      <c r="B285" s="438">
        <v>27.033000000000001</v>
      </c>
      <c r="C285" s="438">
        <v>19.042000000000002</v>
      </c>
      <c r="D285" s="438">
        <v>15.335000000000001</v>
      </c>
      <c r="E285" s="438">
        <v>13.599</v>
      </c>
      <c r="F285" s="438">
        <v>27.033000000000001</v>
      </c>
      <c r="G285" s="438">
        <v>19.042000000000002</v>
      </c>
      <c r="H285" s="438">
        <v>29.140999999999998</v>
      </c>
      <c r="I285" s="438">
        <v>19.068000000000001</v>
      </c>
      <c r="J285" s="11"/>
      <c r="Q285" s="348">
        <f t="shared" si="40"/>
        <v>26.973416060854092</v>
      </c>
      <c r="R285" s="348">
        <f t="shared" si="41"/>
        <v>19.01083244075685</v>
      </c>
      <c r="S285" s="348">
        <f t="shared" si="42"/>
        <v>15.174901965280945</v>
      </c>
      <c r="T285" s="348">
        <f t="shared" si="43"/>
        <v>13.61802056526636</v>
      </c>
      <c r="U285" s="348">
        <f t="shared" si="44"/>
        <v>26.973416060854092</v>
      </c>
      <c r="V285" s="348">
        <f t="shared" si="45"/>
        <v>18.995766727682909</v>
      </c>
      <c r="W285" s="348">
        <f t="shared" si="46"/>
        <v>28.938084164065209</v>
      </c>
      <c r="X285" s="348">
        <f t="shared" si="47"/>
        <v>18.964363223048313</v>
      </c>
    </row>
    <row r="286" spans="1:24" x14ac:dyDescent="0.2">
      <c r="A286" s="407">
        <v>278</v>
      </c>
      <c r="B286" s="438">
        <v>27.030999999999999</v>
      </c>
      <c r="C286" s="438">
        <v>19.04</v>
      </c>
      <c r="D286" s="438">
        <v>15.334</v>
      </c>
      <c r="E286" s="438">
        <v>13.601000000000001</v>
      </c>
      <c r="F286" s="438">
        <v>27.030999999999999</v>
      </c>
      <c r="G286" s="438">
        <v>19.04</v>
      </c>
      <c r="H286" s="438">
        <v>29.141999999999999</v>
      </c>
      <c r="I286" s="438">
        <v>19.065999999999999</v>
      </c>
      <c r="J286" s="11"/>
      <c r="Q286" s="348">
        <f t="shared" si="40"/>
        <v>26.97142621953309</v>
      </c>
      <c r="R286" s="348">
        <f t="shared" si="41"/>
        <v>19.008820220251717</v>
      </c>
      <c r="S286" s="348">
        <f t="shared" si="42"/>
        <v>15.173902446303492</v>
      </c>
      <c r="T286" s="348">
        <f t="shared" si="43"/>
        <v>13.620022105055986</v>
      </c>
      <c r="U286" s="348">
        <f t="shared" si="44"/>
        <v>26.97142621953309</v>
      </c>
      <c r="V286" s="348">
        <f t="shared" si="45"/>
        <v>18.993764198068142</v>
      </c>
      <c r="W286" s="348">
        <f t="shared" si="46"/>
        <v>28.93908097887957</v>
      </c>
      <c r="X286" s="348">
        <f t="shared" si="47"/>
        <v>18.962374021395345</v>
      </c>
    </row>
    <row r="287" spans="1:24" x14ac:dyDescent="0.2">
      <c r="A287" s="407">
        <v>279</v>
      </c>
      <c r="B287" s="438">
        <v>27.035</v>
      </c>
      <c r="C287" s="438">
        <v>19.042999999999999</v>
      </c>
      <c r="D287" s="438">
        <v>15.337999999999999</v>
      </c>
      <c r="E287" s="438">
        <v>13.603999999999999</v>
      </c>
      <c r="F287" s="438">
        <v>27.035</v>
      </c>
      <c r="G287" s="438">
        <v>19.042999999999999</v>
      </c>
      <c r="H287" s="438">
        <v>29.146999999999998</v>
      </c>
      <c r="I287" s="438">
        <v>19.068999999999999</v>
      </c>
      <c r="J287" s="11"/>
      <c r="Q287" s="348">
        <f t="shared" si="40"/>
        <v>26.975405901251705</v>
      </c>
      <c r="R287" s="348">
        <f t="shared" si="41"/>
        <v>19.011838549939959</v>
      </c>
      <c r="S287" s="348">
        <f t="shared" si="42"/>
        <v>15.177900527623791</v>
      </c>
      <c r="T287" s="348">
        <f t="shared" si="43"/>
        <v>13.623024414131061</v>
      </c>
      <c r="U287" s="348">
        <f t="shared" si="44"/>
        <v>26.975405901251705</v>
      </c>
      <c r="V287" s="348">
        <f t="shared" si="45"/>
        <v>18.996767992566518</v>
      </c>
      <c r="W287" s="348">
        <f t="shared" si="46"/>
        <v>28.944065091788779</v>
      </c>
      <c r="X287" s="348">
        <f t="shared" si="47"/>
        <v>18.965357824323391</v>
      </c>
    </row>
    <row r="288" spans="1:24" x14ac:dyDescent="0.2">
      <c r="A288" s="407">
        <v>280</v>
      </c>
      <c r="B288" s="438">
        <v>27.036999999999999</v>
      </c>
      <c r="C288" s="438">
        <v>19.042999999999999</v>
      </c>
      <c r="D288" s="438">
        <v>15.337999999999999</v>
      </c>
      <c r="E288" s="438">
        <v>13.605</v>
      </c>
      <c r="F288" s="438">
        <v>27.036999999999999</v>
      </c>
      <c r="G288" s="438">
        <v>19.042999999999999</v>
      </c>
      <c r="H288" s="438">
        <v>29.151</v>
      </c>
      <c r="I288" s="438">
        <v>19.067</v>
      </c>
      <c r="J288" s="11"/>
      <c r="Q288" s="348">
        <f t="shared" si="40"/>
        <v>26.977395740726159</v>
      </c>
      <c r="R288" s="348">
        <f t="shared" si="41"/>
        <v>19.011838549939959</v>
      </c>
      <c r="S288" s="348">
        <f t="shared" si="42"/>
        <v>15.177900527623791</v>
      </c>
      <c r="T288" s="348">
        <f t="shared" si="43"/>
        <v>13.624025183660196</v>
      </c>
      <c r="U288" s="348">
        <f t="shared" si="44"/>
        <v>26.977395740726159</v>
      </c>
      <c r="V288" s="348">
        <f t="shared" si="45"/>
        <v>18.996767992566518</v>
      </c>
      <c r="W288" s="348">
        <f t="shared" si="46"/>
        <v>28.948052428719659</v>
      </c>
      <c r="X288" s="348">
        <f t="shared" si="47"/>
        <v>18.963368622072302</v>
      </c>
    </row>
    <row r="289" spans="1:24" x14ac:dyDescent="0.2">
      <c r="A289" s="407">
        <v>281</v>
      </c>
      <c r="B289" s="438">
        <v>27.033999999999999</v>
      </c>
      <c r="C289" s="438">
        <v>19.047000000000001</v>
      </c>
      <c r="D289" s="438">
        <v>15.334</v>
      </c>
      <c r="E289" s="438">
        <v>13.602</v>
      </c>
      <c r="F289" s="438">
        <v>27.033999999999999</v>
      </c>
      <c r="G289" s="438">
        <v>19.047000000000001</v>
      </c>
      <c r="H289" s="438">
        <v>29.15</v>
      </c>
      <c r="I289" s="438">
        <v>19.065999999999999</v>
      </c>
      <c r="J289" s="11"/>
      <c r="Q289" s="348">
        <f t="shared" si="40"/>
        <v>26.974410981168305</v>
      </c>
      <c r="R289" s="348">
        <f t="shared" si="41"/>
        <v>19.015862979540536</v>
      </c>
      <c r="S289" s="348">
        <f t="shared" si="42"/>
        <v>15.173902446303492</v>
      </c>
      <c r="T289" s="348">
        <f t="shared" si="43"/>
        <v>13.621022874828942</v>
      </c>
      <c r="U289" s="348">
        <f t="shared" si="44"/>
        <v>26.974410981168305</v>
      </c>
      <c r="V289" s="348">
        <f t="shared" si="45"/>
        <v>19.000773052607382</v>
      </c>
      <c r="W289" s="348">
        <f t="shared" si="46"/>
        <v>28.947055590603405</v>
      </c>
      <c r="X289" s="348">
        <f t="shared" si="47"/>
        <v>18.962374021395345</v>
      </c>
    </row>
    <row r="290" spans="1:24" x14ac:dyDescent="0.2">
      <c r="A290" s="407">
        <v>282</v>
      </c>
      <c r="B290" s="438">
        <v>27.030999999999999</v>
      </c>
      <c r="C290" s="438">
        <v>19.045999999999999</v>
      </c>
      <c r="D290" s="438">
        <v>15.336</v>
      </c>
      <c r="E290" s="438">
        <v>13.606999999999999</v>
      </c>
      <c r="F290" s="438">
        <v>27.030999999999999</v>
      </c>
      <c r="G290" s="438">
        <v>19.045999999999999</v>
      </c>
      <c r="H290" s="438">
        <v>29.149000000000001</v>
      </c>
      <c r="I290" s="438">
        <v>19.065999999999999</v>
      </c>
      <c r="J290" s="11"/>
      <c r="Q290" s="348">
        <f t="shared" si="40"/>
        <v>26.97142621953309</v>
      </c>
      <c r="R290" s="348">
        <f t="shared" si="41"/>
        <v>19.014856873210363</v>
      </c>
      <c r="S290" s="348">
        <f t="shared" si="42"/>
        <v>15.175901485160237</v>
      </c>
      <c r="T290" s="348">
        <f t="shared" si="43"/>
        <v>13.626026722474537</v>
      </c>
      <c r="U290" s="348">
        <f t="shared" si="44"/>
        <v>26.97142621953309</v>
      </c>
      <c r="V290" s="348">
        <f t="shared" si="45"/>
        <v>18.999771787521347</v>
      </c>
      <c r="W290" s="348">
        <f t="shared" si="46"/>
        <v>28.946058755076162</v>
      </c>
      <c r="X290" s="348">
        <f t="shared" si="47"/>
        <v>18.962374021395345</v>
      </c>
    </row>
    <row r="291" spans="1:24" x14ac:dyDescent="0.2">
      <c r="A291" s="407">
        <v>283</v>
      </c>
      <c r="B291" s="438">
        <v>27.036999999999999</v>
      </c>
      <c r="C291" s="438">
        <v>19.044</v>
      </c>
      <c r="D291" s="438">
        <v>15.337</v>
      </c>
      <c r="E291" s="438">
        <v>13.609</v>
      </c>
      <c r="F291" s="438">
        <v>27.036999999999999</v>
      </c>
      <c r="G291" s="438">
        <v>19.044</v>
      </c>
      <c r="H291" s="438">
        <v>29.146999999999998</v>
      </c>
      <c r="I291" s="438">
        <v>19.068000000000001</v>
      </c>
      <c r="J291" s="11"/>
      <c r="Q291" s="348">
        <f t="shared" si="40"/>
        <v>26.977395740726159</v>
      </c>
      <c r="R291" s="348">
        <f t="shared" si="41"/>
        <v>19.012844658409985</v>
      </c>
      <c r="S291" s="348">
        <f t="shared" si="42"/>
        <v>15.176901005941232</v>
      </c>
      <c r="T291" s="348">
        <f t="shared" si="43"/>
        <v>13.628028260963536</v>
      </c>
      <c r="U291" s="348">
        <f t="shared" si="44"/>
        <v>26.977395740726159</v>
      </c>
      <c r="V291" s="348">
        <f t="shared" si="45"/>
        <v>18.997769257500842</v>
      </c>
      <c r="W291" s="348">
        <f t="shared" si="46"/>
        <v>28.944065091788779</v>
      </c>
      <c r="X291" s="348">
        <f t="shared" si="47"/>
        <v>18.964363223048313</v>
      </c>
    </row>
    <row r="292" spans="1:24" x14ac:dyDescent="0.2">
      <c r="A292" s="407">
        <v>284</v>
      </c>
      <c r="B292" s="438">
        <v>27.039000000000001</v>
      </c>
      <c r="C292" s="438">
        <v>19.041</v>
      </c>
      <c r="D292" s="438">
        <v>15.34</v>
      </c>
      <c r="E292" s="438">
        <v>13.606999999999999</v>
      </c>
      <c r="F292" s="438">
        <v>27.039000000000001</v>
      </c>
      <c r="G292" s="438">
        <v>19.041</v>
      </c>
      <c r="H292" s="438">
        <v>29.151</v>
      </c>
      <c r="I292" s="438">
        <v>19.068999999999999</v>
      </c>
      <c r="J292" s="11"/>
      <c r="Q292" s="348">
        <f t="shared" si="40"/>
        <v>26.97938557927769</v>
      </c>
      <c r="R292" s="348">
        <f t="shared" si="41"/>
        <v>19.009826330860736</v>
      </c>
      <c r="S292" s="348">
        <f t="shared" si="42"/>
        <v>15.179899573693039</v>
      </c>
      <c r="T292" s="348">
        <f t="shared" si="43"/>
        <v>13.626026722474537</v>
      </c>
      <c r="U292" s="348">
        <f t="shared" si="44"/>
        <v>26.97938557927769</v>
      </c>
      <c r="V292" s="348">
        <f t="shared" si="45"/>
        <v>18.994765462850093</v>
      </c>
      <c r="W292" s="348">
        <f t="shared" si="46"/>
        <v>28.948052428719659</v>
      </c>
      <c r="X292" s="348">
        <f t="shared" si="47"/>
        <v>18.965357824323391</v>
      </c>
    </row>
    <row r="293" spans="1:24" x14ac:dyDescent="0.2">
      <c r="A293" s="407">
        <v>285</v>
      </c>
      <c r="B293" s="438">
        <v>27.033000000000001</v>
      </c>
      <c r="C293" s="438">
        <v>19.039000000000001</v>
      </c>
      <c r="D293" s="438">
        <v>15.340999999999999</v>
      </c>
      <c r="E293" s="438">
        <v>13.603999999999999</v>
      </c>
      <c r="F293" s="438">
        <v>27.033000000000001</v>
      </c>
      <c r="G293" s="438">
        <v>19.039000000000001</v>
      </c>
      <c r="H293" s="438">
        <v>29.152000000000001</v>
      </c>
      <c r="I293" s="438">
        <v>19.065000000000001</v>
      </c>
      <c r="J293" s="11"/>
      <c r="Q293" s="348">
        <f t="shared" si="40"/>
        <v>26.973416060854092</v>
      </c>
      <c r="R293" s="348">
        <f t="shared" si="41"/>
        <v>19.007814108929892</v>
      </c>
      <c r="S293" s="348">
        <f t="shared" si="42"/>
        <v>15.180899098079445</v>
      </c>
      <c r="T293" s="348">
        <f t="shared" si="43"/>
        <v>13.623024414131061</v>
      </c>
      <c r="U293" s="348">
        <f t="shared" si="44"/>
        <v>26.973416060854092</v>
      </c>
      <c r="V293" s="348">
        <f t="shared" si="45"/>
        <v>18.992762933337143</v>
      </c>
      <c r="W293" s="348">
        <f t="shared" si="46"/>
        <v>28.949049269424901</v>
      </c>
      <c r="X293" s="348">
        <f t="shared" si="47"/>
        <v>18.961379421017416</v>
      </c>
    </row>
    <row r="294" spans="1:24" x14ac:dyDescent="0.2">
      <c r="A294" s="407">
        <v>286</v>
      </c>
      <c r="B294" s="438">
        <v>27.039000000000001</v>
      </c>
      <c r="C294" s="438">
        <v>19.036999999999999</v>
      </c>
      <c r="D294" s="438">
        <v>15.339</v>
      </c>
      <c r="E294" s="438">
        <v>13.6</v>
      </c>
      <c r="F294" s="438">
        <v>27.039000000000001</v>
      </c>
      <c r="G294" s="438">
        <v>19.036999999999999</v>
      </c>
      <c r="H294" s="438">
        <v>29.155000000000001</v>
      </c>
      <c r="I294" s="438">
        <v>19.065999999999999</v>
      </c>
      <c r="J294" s="11"/>
      <c r="Q294" s="348">
        <f t="shared" si="40"/>
        <v>26.97938557927769</v>
      </c>
      <c r="R294" s="348">
        <f t="shared" si="41"/>
        <v>19.005801884148187</v>
      </c>
      <c r="S294" s="348">
        <f t="shared" si="42"/>
        <v>15.178900050207774</v>
      </c>
      <c r="T294" s="348">
        <f t="shared" si="43"/>
        <v>13.619021335201786</v>
      </c>
      <c r="U294" s="348">
        <f t="shared" si="44"/>
        <v>26.97938557927769</v>
      </c>
      <c r="V294" s="348">
        <f t="shared" si="45"/>
        <v>18.990760404028258</v>
      </c>
      <c r="W294" s="348">
        <f t="shared" si="46"/>
        <v>28.952039807074271</v>
      </c>
      <c r="X294" s="348">
        <f t="shared" si="47"/>
        <v>18.962374021395345</v>
      </c>
    </row>
    <row r="295" spans="1:24" x14ac:dyDescent="0.2">
      <c r="A295" s="407">
        <v>287</v>
      </c>
      <c r="B295" s="438">
        <v>27.038</v>
      </c>
      <c r="C295" s="438">
        <v>19.035</v>
      </c>
      <c r="D295" s="438">
        <v>15.337999999999999</v>
      </c>
      <c r="E295" s="438">
        <v>13.596</v>
      </c>
      <c r="F295" s="438">
        <v>27.038</v>
      </c>
      <c r="G295" s="438">
        <v>19.035</v>
      </c>
      <c r="H295" s="438">
        <v>29.158000000000001</v>
      </c>
      <c r="I295" s="438">
        <v>19.065999999999999</v>
      </c>
      <c r="J295" s="11"/>
      <c r="Q295" s="348">
        <f t="shared" si="40"/>
        <v>26.978390660117274</v>
      </c>
      <c r="R295" s="348">
        <f t="shared" si="41"/>
        <v>19.003789656516393</v>
      </c>
      <c r="S295" s="348">
        <f t="shared" si="42"/>
        <v>15.177900527623791</v>
      </c>
      <c r="T295" s="348">
        <f t="shared" si="43"/>
        <v>13.615018254972863</v>
      </c>
      <c r="U295" s="348">
        <f t="shared" si="44"/>
        <v>26.978390660117274</v>
      </c>
      <c r="V295" s="348">
        <f t="shared" si="45"/>
        <v>18.988757874924048</v>
      </c>
      <c r="W295" s="348">
        <f t="shared" si="46"/>
        <v>28.955030368023646</v>
      </c>
      <c r="X295" s="348">
        <f t="shared" si="47"/>
        <v>18.962374021395345</v>
      </c>
    </row>
    <row r="296" spans="1:24" x14ac:dyDescent="0.2">
      <c r="A296" s="407">
        <v>288</v>
      </c>
      <c r="B296" s="438">
        <v>27.039000000000001</v>
      </c>
      <c r="C296" s="438">
        <v>19.030999999999999</v>
      </c>
      <c r="D296" s="438">
        <v>15.336</v>
      </c>
      <c r="E296" s="438">
        <v>13.596</v>
      </c>
      <c r="F296" s="438">
        <v>27.039000000000001</v>
      </c>
      <c r="G296" s="438">
        <v>19.030999999999999</v>
      </c>
      <c r="H296" s="438">
        <v>29.161999999999999</v>
      </c>
      <c r="I296" s="438">
        <v>19.065000000000001</v>
      </c>
      <c r="J296" s="11"/>
      <c r="Q296" s="348">
        <f t="shared" si="40"/>
        <v>26.97938557927769</v>
      </c>
      <c r="R296" s="348">
        <f t="shared" si="41"/>
        <v>18.999765192705532</v>
      </c>
      <c r="S296" s="348">
        <f t="shared" si="42"/>
        <v>15.175901485160237</v>
      </c>
      <c r="T296" s="348">
        <f t="shared" si="43"/>
        <v>13.615018254972863</v>
      </c>
      <c r="U296" s="348">
        <f t="shared" si="44"/>
        <v>26.97938557927769</v>
      </c>
      <c r="V296" s="348">
        <f t="shared" si="45"/>
        <v>18.984752817332026</v>
      </c>
      <c r="W296" s="348">
        <f t="shared" si="46"/>
        <v>28.959017818866162</v>
      </c>
      <c r="X296" s="348">
        <f t="shared" si="47"/>
        <v>18.961379421017416</v>
      </c>
    </row>
    <row r="297" spans="1:24" x14ac:dyDescent="0.2">
      <c r="A297" s="407">
        <v>289</v>
      </c>
      <c r="B297" s="438">
        <v>27.036000000000001</v>
      </c>
      <c r="C297" s="438">
        <v>19.03</v>
      </c>
      <c r="D297" s="438">
        <v>15.336</v>
      </c>
      <c r="E297" s="438">
        <v>13.596</v>
      </c>
      <c r="F297" s="438">
        <v>27.036000000000001</v>
      </c>
      <c r="G297" s="438">
        <v>19.03</v>
      </c>
      <c r="H297" s="438">
        <v>29.166</v>
      </c>
      <c r="I297" s="437">
        <v>19.067</v>
      </c>
      <c r="J297" s="11"/>
      <c r="Q297" s="348">
        <f t="shared" si="40"/>
        <v>26.97640082110431</v>
      </c>
      <c r="R297" s="348">
        <f t="shared" si="41"/>
        <v>18.998759074972693</v>
      </c>
      <c r="S297" s="348">
        <f t="shared" si="42"/>
        <v>15.175901485160237</v>
      </c>
      <c r="T297" s="348">
        <f t="shared" si="43"/>
        <v>13.615018254972863</v>
      </c>
      <c r="U297" s="348">
        <f t="shared" si="44"/>
        <v>26.97640082110431</v>
      </c>
      <c r="V297" s="348">
        <f t="shared" si="45"/>
        <v>18.983751553062881</v>
      </c>
      <c r="W297" s="348">
        <f t="shared" si="46"/>
        <v>28.963005311128253</v>
      </c>
      <c r="X297" s="348">
        <f t="shared" si="47"/>
        <v>18.963368622072302</v>
      </c>
    </row>
    <row r="298" spans="1:24" x14ac:dyDescent="0.2">
      <c r="A298" s="407">
        <v>290</v>
      </c>
      <c r="B298" s="437">
        <v>27.042999999999999</v>
      </c>
      <c r="C298" s="438">
        <v>19.030999999999999</v>
      </c>
      <c r="D298" s="438">
        <v>15.335000000000001</v>
      </c>
      <c r="E298" s="438">
        <v>13.593999999999999</v>
      </c>
      <c r="F298" s="438">
        <v>27.042999999999999</v>
      </c>
      <c r="G298" s="438">
        <v>19.030999999999999</v>
      </c>
      <c r="H298" s="438">
        <v>29.164000000000001</v>
      </c>
      <c r="I298" s="438">
        <v>19.065000000000001</v>
      </c>
      <c r="J298" s="11"/>
      <c r="Q298" s="348">
        <f t="shared" si="40"/>
        <v>26.983365253612906</v>
      </c>
      <c r="R298" s="348">
        <f t="shared" si="41"/>
        <v>18.999765192705532</v>
      </c>
      <c r="S298" s="348">
        <f t="shared" si="42"/>
        <v>15.174901965280945</v>
      </c>
      <c r="T298" s="348">
        <f t="shared" si="43"/>
        <v>13.613016714371341</v>
      </c>
      <c r="U298" s="348">
        <f t="shared" si="44"/>
        <v>26.983365253612906</v>
      </c>
      <c r="V298" s="348">
        <f t="shared" si="45"/>
        <v>18.984752817332026</v>
      </c>
      <c r="W298" s="348">
        <f t="shared" si="46"/>
        <v>28.961011559819855</v>
      </c>
      <c r="X298" s="348">
        <f t="shared" si="47"/>
        <v>18.961379421017416</v>
      </c>
    </row>
    <row r="299" spans="1:24" x14ac:dyDescent="0.2">
      <c r="A299" s="407">
        <v>291</v>
      </c>
      <c r="B299" s="438">
        <v>27.044</v>
      </c>
      <c r="C299" s="438">
        <v>19.026</v>
      </c>
      <c r="D299" s="438">
        <v>15.337</v>
      </c>
      <c r="E299" s="438">
        <v>13.597</v>
      </c>
      <c r="F299" s="438">
        <v>27.044</v>
      </c>
      <c r="G299" s="438">
        <v>19.026</v>
      </c>
      <c r="H299" s="438">
        <v>29.170999999999999</v>
      </c>
      <c r="I299" s="438">
        <v>19.065000000000001</v>
      </c>
      <c r="J299" s="11"/>
      <c r="Q299" s="348">
        <f t="shared" si="40"/>
        <v>26.984360171620242</v>
      </c>
      <c r="R299" s="348">
        <f t="shared" si="41"/>
        <v>18.994734596923678</v>
      </c>
      <c r="S299" s="348">
        <f t="shared" si="42"/>
        <v>15.176901005941232</v>
      </c>
      <c r="T299" s="348">
        <f t="shared" si="43"/>
        <v>13.616019025151882</v>
      </c>
      <c r="U299" s="348">
        <f t="shared" si="44"/>
        <v>26.984360171620242</v>
      </c>
      <c r="V299" s="348">
        <f t="shared" si="45"/>
        <v>18.979746496503953</v>
      </c>
      <c r="W299" s="348">
        <f t="shared" si="46"/>
        <v>28.967989734699817</v>
      </c>
      <c r="X299" s="348">
        <f t="shared" si="47"/>
        <v>18.961379421017416</v>
      </c>
    </row>
    <row r="300" spans="1:24" x14ac:dyDescent="0.2">
      <c r="A300" s="407">
        <v>292</v>
      </c>
      <c r="B300" s="438">
        <v>27.045000000000002</v>
      </c>
      <c r="C300" s="438">
        <v>19.024000000000001</v>
      </c>
      <c r="D300" s="438">
        <v>15.336</v>
      </c>
      <c r="E300" s="438">
        <v>13.595000000000001</v>
      </c>
      <c r="F300" s="438">
        <v>27.045000000000002</v>
      </c>
      <c r="G300" s="438">
        <v>19.024000000000001</v>
      </c>
      <c r="H300" s="438">
        <v>29.170999999999999</v>
      </c>
      <c r="I300" s="438">
        <v>19.065999999999999</v>
      </c>
      <c r="J300" s="11"/>
      <c r="Q300" s="348">
        <f t="shared" si="40"/>
        <v>26.985355089397057</v>
      </c>
      <c r="R300" s="348">
        <f t="shared" si="41"/>
        <v>18.992722353629908</v>
      </c>
      <c r="S300" s="348">
        <f t="shared" si="42"/>
        <v>15.175901485160237</v>
      </c>
      <c r="T300" s="348">
        <f t="shared" si="43"/>
        <v>13.614017484712679</v>
      </c>
      <c r="U300" s="348">
        <f t="shared" si="44"/>
        <v>26.985355089397057</v>
      </c>
      <c r="V300" s="348">
        <f t="shared" si="45"/>
        <v>18.977743968536146</v>
      </c>
      <c r="W300" s="348">
        <f t="shared" si="46"/>
        <v>28.967989734699817</v>
      </c>
      <c r="X300" s="348">
        <f t="shared" si="47"/>
        <v>18.962374021395345</v>
      </c>
    </row>
    <row r="301" spans="1:24" x14ac:dyDescent="0.2">
      <c r="A301" s="407">
        <v>293</v>
      </c>
      <c r="B301" s="438">
        <v>27.039000000000001</v>
      </c>
      <c r="C301" s="437">
        <v>19.021000000000001</v>
      </c>
      <c r="D301" s="438">
        <v>15.335000000000001</v>
      </c>
      <c r="E301" s="438">
        <v>13.59</v>
      </c>
      <c r="F301" s="438">
        <v>27.039000000000001</v>
      </c>
      <c r="G301" s="438">
        <v>19.021000000000001</v>
      </c>
      <c r="H301" s="438">
        <v>29.169</v>
      </c>
      <c r="I301" s="438">
        <v>19.065000000000001</v>
      </c>
      <c r="J301" s="11"/>
      <c r="Q301" s="348">
        <f t="shared" si="40"/>
        <v>26.97938557927769</v>
      </c>
      <c r="R301" s="348">
        <f t="shared" si="41"/>
        <v>18.989703983354815</v>
      </c>
      <c r="S301" s="348">
        <f t="shared" si="42"/>
        <v>15.174901965280945</v>
      </c>
      <c r="T301" s="348">
        <f t="shared" si="43"/>
        <v>13.60901363219479</v>
      </c>
      <c r="U301" s="348">
        <f t="shared" si="44"/>
        <v>26.97938557927769</v>
      </c>
      <c r="V301" s="348">
        <f t="shared" si="45"/>
        <v>18.97474017697569</v>
      </c>
      <c r="W301" s="348">
        <f t="shared" si="46"/>
        <v>28.965995957505502</v>
      </c>
      <c r="X301" s="348">
        <f t="shared" si="47"/>
        <v>18.961379421017416</v>
      </c>
    </row>
    <row r="302" spans="1:24" x14ac:dyDescent="0.2">
      <c r="A302" s="407">
        <v>294</v>
      </c>
      <c r="B302" s="438">
        <v>27.045999999999999</v>
      </c>
      <c r="C302" s="438">
        <v>19.018999999999998</v>
      </c>
      <c r="D302" s="438">
        <v>15.33</v>
      </c>
      <c r="E302" s="437">
        <v>13.590999999999999</v>
      </c>
      <c r="F302" s="438">
        <v>27.045999999999999</v>
      </c>
      <c r="G302" s="438">
        <v>19.018999999999998</v>
      </c>
      <c r="H302" s="438">
        <v>29.173999999999999</v>
      </c>
      <c r="I302" s="438">
        <v>19.062000000000001</v>
      </c>
      <c r="J302" s="11"/>
      <c r="Q302" s="348">
        <f t="shared" si="40"/>
        <v>26.986350006943361</v>
      </c>
      <c r="R302" s="348">
        <f t="shared" si="41"/>
        <v>18.987691732949568</v>
      </c>
      <c r="S302" s="348">
        <f t="shared" si="42"/>
        <v>15.169904379414909</v>
      </c>
      <c r="T302" s="348">
        <f t="shared" si="43"/>
        <v>13.610014402860577</v>
      </c>
      <c r="U302" s="348">
        <f t="shared" si="44"/>
        <v>26.986350006943361</v>
      </c>
      <c r="V302" s="348">
        <f t="shared" si="45"/>
        <v>18.97273764953043</v>
      </c>
      <c r="W302" s="348">
        <f t="shared" si="46"/>
        <v>28.970980419905043</v>
      </c>
      <c r="X302" s="348">
        <f t="shared" si="47"/>
        <v>18.958395621677514</v>
      </c>
    </row>
    <row r="303" spans="1:24" x14ac:dyDescent="0.2">
      <c r="A303" s="407">
        <v>295</v>
      </c>
      <c r="B303" s="438">
        <v>27.042000000000002</v>
      </c>
      <c r="C303" s="438">
        <v>19.018999999999998</v>
      </c>
      <c r="D303" s="438">
        <v>15.33</v>
      </c>
      <c r="E303" s="438">
        <v>13.587999999999999</v>
      </c>
      <c r="F303" s="438">
        <v>27.042000000000002</v>
      </c>
      <c r="G303" s="438">
        <v>19.018999999999998</v>
      </c>
      <c r="H303" s="438">
        <v>29.173999999999999</v>
      </c>
      <c r="I303" s="438">
        <v>19.062999999999999</v>
      </c>
      <c r="J303" s="11"/>
      <c r="Q303" s="348">
        <f t="shared" si="40"/>
        <v>26.982370335375013</v>
      </c>
      <c r="R303" s="348">
        <f t="shared" si="41"/>
        <v>18.987691732949568</v>
      </c>
      <c r="S303" s="348">
        <f t="shared" si="42"/>
        <v>15.169904379414909</v>
      </c>
      <c r="T303" s="348">
        <f t="shared" si="43"/>
        <v>13.607012090620003</v>
      </c>
      <c r="U303" s="348">
        <f t="shared" si="44"/>
        <v>26.982370335375013</v>
      </c>
      <c r="V303" s="348">
        <f t="shared" si="45"/>
        <v>18.97273764953043</v>
      </c>
      <c r="W303" s="348">
        <f t="shared" si="46"/>
        <v>28.970980419905043</v>
      </c>
      <c r="X303" s="348">
        <f t="shared" si="47"/>
        <v>18.959390221158522</v>
      </c>
    </row>
    <row r="304" spans="1:24" x14ac:dyDescent="0.2">
      <c r="A304" s="407">
        <v>296</v>
      </c>
      <c r="B304" s="438">
        <v>27.047000000000001</v>
      </c>
      <c r="C304" s="438">
        <v>19.018000000000001</v>
      </c>
      <c r="D304" s="438">
        <v>15.33</v>
      </c>
      <c r="E304" s="438">
        <v>13.584</v>
      </c>
      <c r="F304" s="438">
        <v>27.047000000000001</v>
      </c>
      <c r="G304" s="438">
        <v>19.018000000000001</v>
      </c>
      <c r="H304" s="438">
        <v>29.175000000000001</v>
      </c>
      <c r="I304" s="438">
        <v>19.062000000000001</v>
      </c>
      <c r="J304" s="11"/>
      <c r="Q304" s="348">
        <f t="shared" si="40"/>
        <v>26.987344924259201</v>
      </c>
      <c r="R304" s="348">
        <f t="shared" si="41"/>
        <v>18.98668560668068</v>
      </c>
      <c r="S304" s="348">
        <f t="shared" si="42"/>
        <v>15.169904379414909</v>
      </c>
      <c r="T304" s="348">
        <f t="shared" si="43"/>
        <v>13.603009006498031</v>
      </c>
      <c r="U304" s="348">
        <f t="shared" si="44"/>
        <v>26.987344924259201</v>
      </c>
      <c r="V304" s="348">
        <f t="shared" si="45"/>
        <v>18.971736385886537</v>
      </c>
      <c r="W304" s="348">
        <f t="shared" si="46"/>
        <v>28.971977320150359</v>
      </c>
      <c r="X304" s="348">
        <f t="shared" si="47"/>
        <v>18.958395621677514</v>
      </c>
    </row>
    <row r="305" spans="1:24" x14ac:dyDescent="0.2">
      <c r="A305" s="407">
        <v>297</v>
      </c>
      <c r="B305" s="438">
        <v>27.045000000000002</v>
      </c>
      <c r="C305" s="438">
        <v>19.018000000000001</v>
      </c>
      <c r="D305" s="438">
        <v>15.33</v>
      </c>
      <c r="E305" s="438">
        <v>13.586</v>
      </c>
      <c r="F305" s="438">
        <v>27.045000000000002</v>
      </c>
      <c r="G305" s="438">
        <v>19.018000000000001</v>
      </c>
      <c r="H305" s="438">
        <v>29.177</v>
      </c>
      <c r="I305" s="438">
        <v>19.059999999999999</v>
      </c>
      <c r="J305" s="11"/>
      <c r="Q305" s="348">
        <f t="shared" si="40"/>
        <v>26.985355089397057</v>
      </c>
      <c r="R305" s="348">
        <f t="shared" si="41"/>
        <v>18.98668560668068</v>
      </c>
      <c r="S305" s="348">
        <f t="shared" si="42"/>
        <v>15.169904379414909</v>
      </c>
      <c r="T305" s="348">
        <f t="shared" si="43"/>
        <v>13.605010548721044</v>
      </c>
      <c r="U305" s="348">
        <f t="shared" si="44"/>
        <v>26.985355089397057</v>
      </c>
      <c r="V305" s="348">
        <f t="shared" si="45"/>
        <v>18.971736385886537</v>
      </c>
      <c r="W305" s="348">
        <f t="shared" si="46"/>
        <v>28.973971128406188</v>
      </c>
      <c r="X305" s="348">
        <f t="shared" si="47"/>
        <v>18.956406423612247</v>
      </c>
    </row>
    <row r="306" spans="1:24" x14ac:dyDescent="0.2">
      <c r="A306" s="407">
        <v>298</v>
      </c>
      <c r="B306" s="438">
        <v>27.042000000000002</v>
      </c>
      <c r="C306" s="438">
        <v>19.016999999999999</v>
      </c>
      <c r="D306" s="438">
        <v>15.329000000000001</v>
      </c>
      <c r="E306" s="438">
        <v>13.587999999999999</v>
      </c>
      <c r="F306" s="438">
        <v>27.042000000000002</v>
      </c>
      <c r="G306" s="438">
        <v>19.016999999999999</v>
      </c>
      <c r="H306" s="438">
        <v>29.178000000000001</v>
      </c>
      <c r="I306" s="438">
        <v>19.059000000000001</v>
      </c>
      <c r="J306" s="11"/>
      <c r="Q306" s="348">
        <f t="shared" si="40"/>
        <v>26.982370335375013</v>
      </c>
      <c r="R306" s="348">
        <f t="shared" si="41"/>
        <v>18.985679479701066</v>
      </c>
      <c r="S306" s="348">
        <f t="shared" si="42"/>
        <v>15.168904864948766</v>
      </c>
      <c r="T306" s="348">
        <f t="shared" si="43"/>
        <v>13.607012090620003</v>
      </c>
      <c r="U306" s="348">
        <f t="shared" si="44"/>
        <v>26.982370335375013</v>
      </c>
      <c r="V306" s="348">
        <f t="shared" si="45"/>
        <v>18.970735122295242</v>
      </c>
      <c r="W306" s="348">
        <f t="shared" si="46"/>
        <v>28.974968036416662</v>
      </c>
      <c r="X306" s="348">
        <f t="shared" si="47"/>
        <v>18.955411825027944</v>
      </c>
    </row>
    <row r="307" spans="1:24" x14ac:dyDescent="0.2">
      <c r="A307" s="407">
        <v>299</v>
      </c>
      <c r="B307" s="438">
        <v>27.052</v>
      </c>
      <c r="C307" s="438">
        <v>19.018000000000001</v>
      </c>
      <c r="D307" s="438">
        <v>15.333</v>
      </c>
      <c r="E307" s="438">
        <v>13.585000000000001</v>
      </c>
      <c r="F307" s="438">
        <v>27.052</v>
      </c>
      <c r="G307" s="437">
        <v>19.018000000000001</v>
      </c>
      <c r="H307" s="438">
        <v>29.18</v>
      </c>
      <c r="I307" s="438">
        <v>19.059000000000001</v>
      </c>
      <c r="J307" s="11"/>
      <c r="Q307" s="348">
        <f t="shared" si="40"/>
        <v>26.992319507382366</v>
      </c>
      <c r="R307" s="348">
        <f t="shared" si="41"/>
        <v>18.98668560668068</v>
      </c>
      <c r="S307" s="348">
        <f t="shared" si="42"/>
        <v>15.172902928228025</v>
      </c>
      <c r="T307" s="348">
        <f t="shared" si="43"/>
        <v>13.604009777650038</v>
      </c>
      <c r="U307" s="348">
        <f t="shared" si="44"/>
        <v>26.992319507382366</v>
      </c>
      <c r="V307" s="348">
        <f t="shared" si="45"/>
        <v>18.971736385886537</v>
      </c>
      <c r="W307" s="348">
        <f t="shared" si="46"/>
        <v>28.976961860202589</v>
      </c>
      <c r="X307" s="348">
        <f t="shared" si="47"/>
        <v>18.955411825027944</v>
      </c>
    </row>
    <row r="308" spans="1:24" x14ac:dyDescent="0.2">
      <c r="A308" s="407">
        <v>300</v>
      </c>
      <c r="B308" s="437">
        <v>27.042000000000002</v>
      </c>
      <c r="C308" s="438">
        <v>19.015999999999998</v>
      </c>
      <c r="D308" s="438">
        <v>15.331</v>
      </c>
      <c r="E308" s="438">
        <v>13.581</v>
      </c>
      <c r="F308" s="438">
        <v>27.042000000000002</v>
      </c>
      <c r="G308" s="438">
        <v>19.015999999999998</v>
      </c>
      <c r="H308" s="438">
        <v>29.177</v>
      </c>
      <c r="I308" s="438">
        <v>19.055</v>
      </c>
      <c r="J308" s="11"/>
      <c r="Q308" s="348">
        <f t="shared" si="40"/>
        <v>26.982370335375013</v>
      </c>
      <c r="R308" s="348">
        <f t="shared" si="41"/>
        <v>18.984673352010827</v>
      </c>
      <c r="S308" s="348">
        <f t="shared" si="42"/>
        <v>15.170903894783592</v>
      </c>
      <c r="T308" s="348">
        <f t="shared" si="43"/>
        <v>13.600006692556182</v>
      </c>
      <c r="U308" s="348">
        <f t="shared" si="44"/>
        <v>26.982370335375013</v>
      </c>
      <c r="V308" s="348">
        <f t="shared" si="45"/>
        <v>18.969733858756605</v>
      </c>
      <c r="W308" s="348">
        <f t="shared" si="46"/>
        <v>28.973971128406188</v>
      </c>
      <c r="X308" s="348">
        <f t="shared" si="47"/>
        <v>18.951433433678982</v>
      </c>
    </row>
    <row r="309" spans="1:24" x14ac:dyDescent="0.2">
      <c r="A309" s="407">
        <v>301</v>
      </c>
      <c r="B309" s="438">
        <v>27.05</v>
      </c>
      <c r="C309" s="437">
        <v>19.02</v>
      </c>
      <c r="D309" s="438">
        <v>15.331</v>
      </c>
      <c r="E309" s="437">
        <v>13.586</v>
      </c>
      <c r="F309" s="437">
        <v>27.05</v>
      </c>
      <c r="G309" s="437">
        <v>19.02</v>
      </c>
      <c r="H309" s="437">
        <v>29.175999999999998</v>
      </c>
      <c r="I309" s="438">
        <v>19.056000000000001</v>
      </c>
      <c r="J309" s="11"/>
      <c r="Q309" s="348">
        <f t="shared" si="40"/>
        <v>26.990329674824196</v>
      </c>
      <c r="R309" s="348">
        <f t="shared" si="41"/>
        <v>18.988697858507646</v>
      </c>
      <c r="S309" s="348">
        <f t="shared" si="42"/>
        <v>15.170903894783592</v>
      </c>
      <c r="T309" s="348">
        <f t="shared" si="43"/>
        <v>13.605010548721044</v>
      </c>
      <c r="U309" s="348">
        <f t="shared" si="44"/>
        <v>26.990329674824196</v>
      </c>
      <c r="V309" s="348">
        <f t="shared" si="45"/>
        <v>18.973738913226835</v>
      </c>
      <c r="W309" s="348">
        <f t="shared" si="46"/>
        <v>28.972974222984078</v>
      </c>
      <c r="X309" s="348">
        <f t="shared" si="47"/>
        <v>18.952428031068035</v>
      </c>
    </row>
    <row r="310" spans="1:24" x14ac:dyDescent="0.2">
      <c r="A310" s="407">
        <v>302</v>
      </c>
      <c r="B310" s="438">
        <v>27.045999999999999</v>
      </c>
      <c r="C310" s="438">
        <v>19.02</v>
      </c>
      <c r="D310" s="438">
        <v>15.329000000000001</v>
      </c>
      <c r="E310" s="438">
        <v>13.581</v>
      </c>
      <c r="F310" s="438">
        <v>27.045999999999999</v>
      </c>
      <c r="G310" s="438">
        <v>19.02</v>
      </c>
      <c r="H310" s="438">
        <v>29.175000000000001</v>
      </c>
      <c r="I310" s="438">
        <v>19.052</v>
      </c>
      <c r="J310" s="11"/>
      <c r="Q310" s="348">
        <f t="shared" si="40"/>
        <v>26.986350006943361</v>
      </c>
      <c r="R310" s="348">
        <f t="shared" si="41"/>
        <v>18.988697858507646</v>
      </c>
      <c r="S310" s="348">
        <f t="shared" si="42"/>
        <v>15.168904864948766</v>
      </c>
      <c r="T310" s="348">
        <f t="shared" si="43"/>
        <v>13.600006692556182</v>
      </c>
      <c r="U310" s="348">
        <f t="shared" si="44"/>
        <v>26.986350006943361</v>
      </c>
      <c r="V310" s="348">
        <f t="shared" si="45"/>
        <v>18.973738913226835</v>
      </c>
      <c r="W310" s="348">
        <f t="shared" si="46"/>
        <v>28.971977320150359</v>
      </c>
      <c r="X310" s="348">
        <f t="shared" si="47"/>
        <v>18.94844964330424</v>
      </c>
    </row>
    <row r="311" spans="1:24" x14ac:dyDescent="0.2">
      <c r="A311" s="407">
        <v>303</v>
      </c>
      <c r="B311" s="438">
        <v>27.052</v>
      </c>
      <c r="C311" s="438">
        <v>19.023</v>
      </c>
      <c r="D311" s="438">
        <v>15.331</v>
      </c>
      <c r="E311" s="438">
        <v>13.583</v>
      </c>
      <c r="F311" s="438">
        <v>27.052</v>
      </c>
      <c r="G311" s="438">
        <v>19.023</v>
      </c>
      <c r="H311" s="438">
        <v>29.175000000000001</v>
      </c>
      <c r="I311" s="438">
        <v>19.048999999999999</v>
      </c>
      <c r="J311" s="11"/>
      <c r="Q311" s="348">
        <f t="shared" si="40"/>
        <v>26.992319507382366</v>
      </c>
      <c r="R311" s="348">
        <f t="shared" si="41"/>
        <v>18.99171623091604</v>
      </c>
      <c r="S311" s="348">
        <f t="shared" si="42"/>
        <v>15.170903894783592</v>
      </c>
      <c r="T311" s="348">
        <f t="shared" si="43"/>
        <v>13.602008235265044</v>
      </c>
      <c r="U311" s="348">
        <f t="shared" si="44"/>
        <v>26.992319507382366</v>
      </c>
      <c r="V311" s="348">
        <f t="shared" si="45"/>
        <v>18.976742704630418</v>
      </c>
      <c r="W311" s="348">
        <f t="shared" si="46"/>
        <v>28.971977320150359</v>
      </c>
      <c r="X311" s="348">
        <f t="shared" si="47"/>
        <v>18.945465855617591</v>
      </c>
    </row>
    <row r="312" spans="1:24" x14ac:dyDescent="0.2">
      <c r="A312" s="407">
        <v>304</v>
      </c>
      <c r="B312" s="438">
        <v>27.045999999999999</v>
      </c>
      <c r="C312" s="438">
        <v>19.024000000000001</v>
      </c>
      <c r="D312" s="438">
        <v>15.327</v>
      </c>
      <c r="E312" s="438">
        <v>13.577999999999999</v>
      </c>
      <c r="F312" s="438">
        <v>27.045999999999999</v>
      </c>
      <c r="G312" s="438">
        <v>19.024000000000001</v>
      </c>
      <c r="H312" s="438">
        <v>29.169</v>
      </c>
      <c r="I312" s="438">
        <v>19.05</v>
      </c>
      <c r="J312" s="11"/>
      <c r="Q312" s="348">
        <f t="shared" si="40"/>
        <v>26.986350006943361</v>
      </c>
      <c r="R312" s="348">
        <f t="shared" si="41"/>
        <v>18.992722353629908</v>
      </c>
      <c r="S312" s="348">
        <f t="shared" si="42"/>
        <v>15.166905838724666</v>
      </c>
      <c r="T312" s="348">
        <f t="shared" si="43"/>
        <v>13.597004377885904</v>
      </c>
      <c r="U312" s="348">
        <f t="shared" si="44"/>
        <v>26.986350006943361</v>
      </c>
      <c r="V312" s="348">
        <f t="shared" si="45"/>
        <v>18.977743968536146</v>
      </c>
      <c r="W312" s="348">
        <f t="shared" si="46"/>
        <v>28.965995957505502</v>
      </c>
      <c r="X312" s="348">
        <f t="shared" si="47"/>
        <v>18.946460451214506</v>
      </c>
    </row>
    <row r="313" spans="1:24" x14ac:dyDescent="0.2">
      <c r="A313" s="407">
        <v>305</v>
      </c>
      <c r="B313" s="438">
        <v>27.045999999999999</v>
      </c>
      <c r="C313" s="438">
        <v>19.024999999999999</v>
      </c>
      <c r="D313" s="438">
        <v>15.326000000000001</v>
      </c>
      <c r="E313" s="438">
        <v>13.577999999999999</v>
      </c>
      <c r="F313" s="438">
        <v>27.045999999999999</v>
      </c>
      <c r="G313" s="438">
        <v>19.024999999999999</v>
      </c>
      <c r="H313" s="438">
        <v>29.17</v>
      </c>
      <c r="I313" s="438">
        <v>19.045000000000002</v>
      </c>
      <c r="J313" s="11"/>
      <c r="Q313" s="348">
        <f t="shared" si="40"/>
        <v>26.986350006943361</v>
      </c>
      <c r="R313" s="348">
        <f t="shared" si="41"/>
        <v>18.993728475632487</v>
      </c>
      <c r="S313" s="348">
        <f t="shared" si="42"/>
        <v>15.165906326966988</v>
      </c>
      <c r="T313" s="348">
        <f t="shared" si="43"/>
        <v>13.597004377885904</v>
      </c>
      <c r="U313" s="348">
        <f t="shared" si="44"/>
        <v>26.986350006943361</v>
      </c>
      <c r="V313" s="348">
        <f t="shared" si="45"/>
        <v>18.978745232494017</v>
      </c>
      <c r="W313" s="348">
        <f t="shared" si="46"/>
        <v>28.966992844808395</v>
      </c>
      <c r="X313" s="348">
        <f t="shared" si="47"/>
        <v>18.941487476215716</v>
      </c>
    </row>
    <row r="314" spans="1:24" x14ac:dyDescent="0.2">
      <c r="A314" s="407">
        <v>306</v>
      </c>
      <c r="B314" s="438">
        <v>27.053000000000001</v>
      </c>
      <c r="C314" s="438">
        <v>19.027999999999999</v>
      </c>
      <c r="D314" s="438">
        <v>15.324999999999999</v>
      </c>
      <c r="E314" s="438">
        <v>13.582000000000001</v>
      </c>
      <c r="F314" s="438">
        <v>27.053000000000001</v>
      </c>
      <c r="G314" s="438">
        <v>19.027999999999999</v>
      </c>
      <c r="H314" s="438">
        <v>29.172999999999998</v>
      </c>
      <c r="I314" s="438">
        <v>19.044</v>
      </c>
      <c r="J314" s="11"/>
      <c r="Q314" s="348">
        <f t="shared" si="40"/>
        <v>26.993314423315997</v>
      </c>
      <c r="R314" s="348">
        <f t="shared" si="41"/>
        <v>18.996746837371525</v>
      </c>
      <c r="S314" s="348">
        <f t="shared" si="42"/>
        <v>15.164906816112412</v>
      </c>
      <c r="T314" s="348">
        <f t="shared" si="43"/>
        <v>13.60100746395109</v>
      </c>
      <c r="U314" s="348">
        <f t="shared" si="44"/>
        <v>26.993314423315997</v>
      </c>
      <c r="V314" s="348">
        <f t="shared" si="45"/>
        <v>18.981749024679733</v>
      </c>
      <c r="W314" s="348">
        <f t="shared" si="46"/>
        <v>28.969983522248167</v>
      </c>
      <c r="X314" s="348">
        <f t="shared" si="47"/>
        <v>18.940492882111567</v>
      </c>
    </row>
    <row r="315" spans="1:24" x14ac:dyDescent="0.2">
      <c r="A315" s="407">
        <v>307</v>
      </c>
      <c r="B315" s="438">
        <v>27.052</v>
      </c>
      <c r="C315" s="438">
        <v>19.027999999999999</v>
      </c>
      <c r="D315" s="438">
        <v>15.327</v>
      </c>
      <c r="E315" s="438">
        <v>13.582000000000001</v>
      </c>
      <c r="F315" s="438">
        <v>27.052</v>
      </c>
      <c r="G315" s="438">
        <v>19.027999999999999</v>
      </c>
      <c r="H315" s="438">
        <v>29.170999999999999</v>
      </c>
      <c r="I315" s="438">
        <v>19.042000000000002</v>
      </c>
      <c r="J315" s="11"/>
      <c r="Q315" s="348">
        <f t="shared" si="40"/>
        <v>26.992319507382366</v>
      </c>
      <c r="R315" s="348">
        <f t="shared" si="41"/>
        <v>18.996746837371525</v>
      </c>
      <c r="S315" s="348">
        <f t="shared" si="42"/>
        <v>15.166905838724666</v>
      </c>
      <c r="T315" s="348">
        <f t="shared" si="43"/>
        <v>13.60100746395109</v>
      </c>
      <c r="U315" s="348">
        <f t="shared" si="44"/>
        <v>26.992319507382366</v>
      </c>
      <c r="V315" s="348">
        <f t="shared" si="45"/>
        <v>18.981749024679733</v>
      </c>
      <c r="W315" s="348">
        <f t="shared" si="46"/>
        <v>28.967989734699817</v>
      </c>
      <c r="X315" s="348">
        <f t="shared" si="47"/>
        <v>18.93850369479868</v>
      </c>
    </row>
    <row r="316" spans="1:24" x14ac:dyDescent="0.2">
      <c r="A316" s="407">
        <v>308</v>
      </c>
      <c r="B316" s="438">
        <v>27.047000000000001</v>
      </c>
      <c r="C316" s="438">
        <v>19.029</v>
      </c>
      <c r="D316" s="438">
        <v>15.326000000000001</v>
      </c>
      <c r="E316" s="438">
        <v>13.582000000000001</v>
      </c>
      <c r="F316" s="438">
        <v>27.047000000000001</v>
      </c>
      <c r="G316" s="438">
        <v>19.029</v>
      </c>
      <c r="H316" s="438">
        <v>29.169</v>
      </c>
      <c r="I316" s="438">
        <v>19.042000000000002</v>
      </c>
      <c r="J316" s="11"/>
      <c r="Q316" s="348">
        <f t="shared" si="40"/>
        <v>26.987344924259201</v>
      </c>
      <c r="R316" s="348">
        <f t="shared" si="41"/>
        <v>18.997752956527993</v>
      </c>
      <c r="S316" s="348">
        <f t="shared" si="42"/>
        <v>15.165906326966988</v>
      </c>
      <c r="T316" s="348">
        <f t="shared" si="43"/>
        <v>13.60100746395109</v>
      </c>
      <c r="U316" s="348">
        <f t="shared" si="44"/>
        <v>26.987344924259201</v>
      </c>
      <c r="V316" s="348">
        <f t="shared" si="45"/>
        <v>18.982750288845423</v>
      </c>
      <c r="W316" s="348">
        <f t="shared" si="46"/>
        <v>28.965995957505502</v>
      </c>
      <c r="X316" s="348">
        <f t="shared" si="47"/>
        <v>18.93850369479868</v>
      </c>
    </row>
    <row r="317" spans="1:24" x14ac:dyDescent="0.2">
      <c r="A317" s="407">
        <v>309</v>
      </c>
      <c r="B317" s="438">
        <v>27.042000000000002</v>
      </c>
      <c r="C317" s="438">
        <v>19.027999999999999</v>
      </c>
      <c r="D317" s="438">
        <v>15.324999999999999</v>
      </c>
      <c r="E317" s="438">
        <v>13.585000000000001</v>
      </c>
      <c r="F317" s="438">
        <v>27.042000000000002</v>
      </c>
      <c r="G317" s="438">
        <v>19.027999999999999</v>
      </c>
      <c r="H317" s="438">
        <v>29.164999999999999</v>
      </c>
      <c r="I317" s="438">
        <v>19.042000000000002</v>
      </c>
      <c r="J317" s="11"/>
      <c r="Q317" s="348">
        <f t="shared" si="40"/>
        <v>26.982370335375013</v>
      </c>
      <c r="R317" s="348">
        <f t="shared" si="41"/>
        <v>18.996746837371525</v>
      </c>
      <c r="S317" s="348">
        <f t="shared" si="42"/>
        <v>15.164906816112412</v>
      </c>
      <c r="T317" s="348">
        <f t="shared" si="43"/>
        <v>13.604009777650038</v>
      </c>
      <c r="U317" s="348">
        <f t="shared" si="44"/>
        <v>26.982370335375013</v>
      </c>
      <c r="V317" s="348">
        <f t="shared" si="45"/>
        <v>18.981749024679733</v>
      </c>
      <c r="W317" s="348">
        <f t="shared" si="46"/>
        <v>28.962008434179729</v>
      </c>
      <c r="X317" s="348">
        <f t="shared" si="47"/>
        <v>18.93850369479868</v>
      </c>
    </row>
    <row r="318" spans="1:24" x14ac:dyDescent="0.2">
      <c r="A318" s="407">
        <v>310</v>
      </c>
      <c r="B318" s="438">
        <v>27.05</v>
      </c>
      <c r="C318" s="438">
        <v>19.032</v>
      </c>
      <c r="D318" s="438">
        <v>15.33</v>
      </c>
      <c r="E318" s="438">
        <v>13.584</v>
      </c>
      <c r="F318" s="438">
        <v>27.05</v>
      </c>
      <c r="G318" s="438">
        <v>19.032</v>
      </c>
      <c r="H318" s="438">
        <v>29.164999999999999</v>
      </c>
      <c r="I318" s="438">
        <v>19.041</v>
      </c>
      <c r="J318" s="11"/>
      <c r="Q318" s="348">
        <f t="shared" si="40"/>
        <v>26.990329674824196</v>
      </c>
      <c r="R318" s="348">
        <f t="shared" si="41"/>
        <v>19.000771309726417</v>
      </c>
      <c r="S318" s="348">
        <f t="shared" si="42"/>
        <v>15.169904379414909</v>
      </c>
      <c r="T318" s="348">
        <f t="shared" si="43"/>
        <v>13.603009006498031</v>
      </c>
      <c r="U318" s="348">
        <f t="shared" si="44"/>
        <v>26.990329674824196</v>
      </c>
      <c r="V318" s="348">
        <f t="shared" si="45"/>
        <v>18.985754081652793</v>
      </c>
      <c r="W318" s="348">
        <f t="shared" si="46"/>
        <v>28.962008434179729</v>
      </c>
      <c r="X318" s="348">
        <f t="shared" si="47"/>
        <v>18.937509101589889</v>
      </c>
    </row>
    <row r="319" spans="1:24" x14ac:dyDescent="0.2">
      <c r="A319" s="407">
        <v>311</v>
      </c>
      <c r="B319" s="438">
        <v>27.048999999999999</v>
      </c>
      <c r="C319" s="438">
        <v>19.032</v>
      </c>
      <c r="D319" s="438">
        <v>15.329000000000001</v>
      </c>
      <c r="E319" s="438">
        <v>13.587</v>
      </c>
      <c r="F319" s="438">
        <v>27.048999999999999</v>
      </c>
      <c r="G319" s="438">
        <v>19.032</v>
      </c>
      <c r="H319" s="438">
        <v>29.161000000000001</v>
      </c>
      <c r="I319" s="438">
        <v>19.036999999999999</v>
      </c>
      <c r="J319" s="11"/>
      <c r="Q319" s="348">
        <f t="shared" si="40"/>
        <v>26.98933475819959</v>
      </c>
      <c r="R319" s="348">
        <f t="shared" si="41"/>
        <v>19.000771309726417</v>
      </c>
      <c r="S319" s="348">
        <f t="shared" si="42"/>
        <v>15.168904864948766</v>
      </c>
      <c r="T319" s="348">
        <f t="shared" si="43"/>
        <v>13.606011319711039</v>
      </c>
      <c r="U319" s="348">
        <f t="shared" si="44"/>
        <v>26.98933475819959</v>
      </c>
      <c r="V319" s="348">
        <f t="shared" si="45"/>
        <v>18.985754081652793</v>
      </c>
      <c r="W319" s="348">
        <f t="shared" si="46"/>
        <v>28.958020952272385</v>
      </c>
      <c r="X319" s="348">
        <f t="shared" si="47"/>
        <v>18.933530731738529</v>
      </c>
    </row>
    <row r="320" spans="1:24" x14ac:dyDescent="0.2">
      <c r="A320" s="407">
        <v>312</v>
      </c>
      <c r="B320" s="438">
        <v>27.041</v>
      </c>
      <c r="C320" s="438">
        <v>19.033999999999999</v>
      </c>
      <c r="D320" s="438">
        <v>15.324999999999999</v>
      </c>
      <c r="E320" s="438">
        <v>13.589</v>
      </c>
      <c r="F320" s="438">
        <v>27.041</v>
      </c>
      <c r="G320" s="438">
        <v>19.033999999999999</v>
      </c>
      <c r="H320" s="438">
        <v>29.158000000000001</v>
      </c>
      <c r="I320" s="438">
        <v>19.036000000000001</v>
      </c>
      <c r="J320" s="11"/>
      <c r="Q320" s="348">
        <f t="shared" si="40"/>
        <v>26.981375416906527</v>
      </c>
      <c r="R320" s="348">
        <f t="shared" si="41"/>
        <v>19.002783541631942</v>
      </c>
      <c r="S320" s="348">
        <f t="shared" si="42"/>
        <v>15.164906816112412</v>
      </c>
      <c r="T320" s="348">
        <f t="shared" si="43"/>
        <v>13.608012861447927</v>
      </c>
      <c r="U320" s="348">
        <f t="shared" si="44"/>
        <v>26.981375416906527</v>
      </c>
      <c r="V320" s="348">
        <f t="shared" si="45"/>
        <v>18.987756610448876</v>
      </c>
      <c r="W320" s="348">
        <f t="shared" si="46"/>
        <v>28.955030368023646</v>
      </c>
      <c r="X320" s="348">
        <f t="shared" si="47"/>
        <v>18.932536140021512</v>
      </c>
    </row>
    <row r="321" spans="1:24" x14ac:dyDescent="0.2">
      <c r="A321" s="407">
        <v>313</v>
      </c>
      <c r="B321" s="438">
        <v>27.05</v>
      </c>
      <c r="C321" s="438">
        <v>19.039000000000001</v>
      </c>
      <c r="D321" s="438">
        <v>15.327999999999999</v>
      </c>
      <c r="E321" s="438">
        <v>13.592000000000001</v>
      </c>
      <c r="F321" s="438">
        <v>27.05</v>
      </c>
      <c r="G321" s="438">
        <v>19.039000000000001</v>
      </c>
      <c r="H321" s="438">
        <v>29.152000000000001</v>
      </c>
      <c r="I321" s="438">
        <v>19.036999999999999</v>
      </c>
      <c r="J321" s="11"/>
      <c r="Q321" s="348">
        <f t="shared" si="40"/>
        <v>26.990329674824196</v>
      </c>
      <c r="R321" s="348">
        <f t="shared" si="41"/>
        <v>19.007814108929892</v>
      </c>
      <c r="S321" s="348">
        <f t="shared" si="42"/>
        <v>15.167905351385304</v>
      </c>
      <c r="T321" s="348">
        <f t="shared" si="43"/>
        <v>13.611015173445276</v>
      </c>
      <c r="U321" s="348">
        <f t="shared" si="44"/>
        <v>26.990329674824196</v>
      </c>
      <c r="V321" s="348">
        <f t="shared" si="45"/>
        <v>18.992762933337143</v>
      </c>
      <c r="W321" s="348">
        <f t="shared" si="46"/>
        <v>28.949049269424901</v>
      </c>
      <c r="X321" s="348">
        <f t="shared" si="47"/>
        <v>18.933530731738529</v>
      </c>
    </row>
    <row r="322" spans="1:24" x14ac:dyDescent="0.2">
      <c r="A322" s="407">
        <v>314</v>
      </c>
      <c r="B322" s="437">
        <v>27.045999999999999</v>
      </c>
      <c r="C322" s="438">
        <v>19.038</v>
      </c>
      <c r="D322" s="438">
        <v>15.326000000000001</v>
      </c>
      <c r="E322" s="438">
        <v>13.59</v>
      </c>
      <c r="F322" s="438">
        <v>27.045999999999999</v>
      </c>
      <c r="G322" s="438">
        <v>19.038</v>
      </c>
      <c r="H322" s="438">
        <v>29.148</v>
      </c>
      <c r="I322" s="438">
        <v>19.033999999999999</v>
      </c>
      <c r="J322" s="11"/>
      <c r="Q322" s="348">
        <f t="shared" si="40"/>
        <v>26.986350006943361</v>
      </c>
      <c r="R322" s="348">
        <f t="shared" si="41"/>
        <v>19.006807996895354</v>
      </c>
      <c r="S322" s="348">
        <f t="shared" si="42"/>
        <v>15.165906326966988</v>
      </c>
      <c r="T322" s="348">
        <f t="shared" si="43"/>
        <v>13.60901363219479</v>
      </c>
      <c r="U322" s="348">
        <f t="shared" si="44"/>
        <v>26.986350006943361</v>
      </c>
      <c r="V322" s="348">
        <f t="shared" si="45"/>
        <v>18.991761668657151</v>
      </c>
      <c r="W322" s="348">
        <f t="shared" si="46"/>
        <v>28.945061922137942</v>
      </c>
      <c r="X322" s="348">
        <f t="shared" si="47"/>
        <v>18.930546957482289</v>
      </c>
    </row>
    <row r="323" spans="1:24" x14ac:dyDescent="0.2">
      <c r="A323" s="407">
        <v>315</v>
      </c>
      <c r="B323" s="438">
        <v>27.050999999999998</v>
      </c>
      <c r="C323" s="437">
        <v>19.04</v>
      </c>
      <c r="D323" s="437">
        <v>15.327999999999999</v>
      </c>
      <c r="E323" s="438">
        <v>13.589</v>
      </c>
      <c r="F323" s="438">
        <v>27.050999999999998</v>
      </c>
      <c r="G323" s="438">
        <v>19.04</v>
      </c>
      <c r="H323" s="438">
        <v>29.148</v>
      </c>
      <c r="I323" s="438">
        <v>19.032</v>
      </c>
      <c r="J323" s="11"/>
      <c r="Q323" s="348">
        <f t="shared" si="40"/>
        <v>26.99132459121844</v>
      </c>
      <c r="R323" s="348">
        <f t="shared" si="41"/>
        <v>19.008820220251717</v>
      </c>
      <c r="S323" s="348">
        <f t="shared" si="42"/>
        <v>15.167905351385304</v>
      </c>
      <c r="T323" s="348">
        <f t="shared" si="43"/>
        <v>13.608012861447927</v>
      </c>
      <c r="U323" s="348">
        <f t="shared" si="44"/>
        <v>26.99132459121844</v>
      </c>
      <c r="V323" s="348">
        <f t="shared" si="45"/>
        <v>18.993764198068142</v>
      </c>
      <c r="W323" s="348">
        <f t="shared" si="46"/>
        <v>28.945061922137942</v>
      </c>
      <c r="X323" s="348">
        <f t="shared" si="47"/>
        <v>18.928557776135989</v>
      </c>
    </row>
    <row r="324" spans="1:24" x14ac:dyDescent="0.2">
      <c r="A324" s="407">
        <v>316</v>
      </c>
      <c r="B324" s="438">
        <v>27.048999999999999</v>
      </c>
      <c r="C324" s="438">
        <v>19.039000000000001</v>
      </c>
      <c r="D324" s="438">
        <v>15.327999999999999</v>
      </c>
      <c r="E324" s="438">
        <v>13.592000000000001</v>
      </c>
      <c r="F324" s="438">
        <v>27.048999999999999</v>
      </c>
      <c r="G324" s="438">
        <v>19.039000000000001</v>
      </c>
      <c r="H324" s="438">
        <v>29.143999999999998</v>
      </c>
      <c r="I324" s="438">
        <v>19.027999999999999</v>
      </c>
      <c r="J324" s="11"/>
      <c r="Q324" s="348">
        <f t="shared" si="40"/>
        <v>26.98933475819959</v>
      </c>
      <c r="R324" s="348">
        <f t="shared" si="41"/>
        <v>19.007814108929892</v>
      </c>
      <c r="S324" s="348">
        <f t="shared" si="42"/>
        <v>15.167905351385304</v>
      </c>
      <c r="T324" s="348">
        <f t="shared" si="43"/>
        <v>13.611015173445276</v>
      </c>
      <c r="U324" s="348">
        <f t="shared" si="44"/>
        <v>26.98933475819959</v>
      </c>
      <c r="V324" s="348">
        <f t="shared" si="45"/>
        <v>18.992762933337143</v>
      </c>
      <c r="W324" s="348">
        <f t="shared" si="46"/>
        <v>28.941074616275838</v>
      </c>
      <c r="X324" s="348">
        <f t="shared" si="47"/>
        <v>18.924579417021345</v>
      </c>
    </row>
    <row r="325" spans="1:24" x14ac:dyDescent="0.2">
      <c r="A325" s="407">
        <v>317</v>
      </c>
      <c r="B325" s="438">
        <v>27.050999999999998</v>
      </c>
      <c r="C325" s="438">
        <v>19.04</v>
      </c>
      <c r="D325" s="438">
        <v>15.33</v>
      </c>
      <c r="E325" s="438">
        <v>13.59</v>
      </c>
      <c r="F325" s="438">
        <v>27.050999999999998</v>
      </c>
      <c r="G325" s="438">
        <v>19.04</v>
      </c>
      <c r="H325" s="438">
        <v>29.140999999999998</v>
      </c>
      <c r="I325" s="438">
        <v>19.024999999999999</v>
      </c>
      <c r="J325" s="11"/>
      <c r="Q325" s="348">
        <f t="shared" si="40"/>
        <v>26.99132459121844</v>
      </c>
      <c r="R325" s="348">
        <f t="shared" si="41"/>
        <v>19.008820220251717</v>
      </c>
      <c r="S325" s="348">
        <f t="shared" si="42"/>
        <v>15.169904379414909</v>
      </c>
      <c r="T325" s="348">
        <f t="shared" si="43"/>
        <v>13.60901363219479</v>
      </c>
      <c r="U325" s="348">
        <f t="shared" si="44"/>
        <v>26.99132459121844</v>
      </c>
      <c r="V325" s="348">
        <f t="shared" si="45"/>
        <v>18.993764198068142</v>
      </c>
      <c r="W325" s="348">
        <f t="shared" si="46"/>
        <v>28.938084164065209</v>
      </c>
      <c r="X325" s="348">
        <f t="shared" si="47"/>
        <v>18.921595650815298</v>
      </c>
    </row>
    <row r="326" spans="1:24" x14ac:dyDescent="0.2">
      <c r="A326" s="407">
        <v>318</v>
      </c>
      <c r="B326" s="438">
        <v>27.042000000000002</v>
      </c>
      <c r="C326" s="438">
        <v>19.039000000000001</v>
      </c>
      <c r="D326" s="438">
        <v>15.329000000000001</v>
      </c>
      <c r="E326" s="438">
        <v>13.589</v>
      </c>
      <c r="F326" s="438">
        <v>27.042000000000002</v>
      </c>
      <c r="G326" s="438">
        <v>19.039000000000001</v>
      </c>
      <c r="H326" s="438">
        <v>29.141999999999999</v>
      </c>
      <c r="I326" s="438">
        <v>19.024999999999999</v>
      </c>
      <c r="J326" s="11"/>
      <c r="Q326" s="348">
        <f t="shared" si="40"/>
        <v>26.982370335375013</v>
      </c>
      <c r="R326" s="348">
        <f t="shared" si="41"/>
        <v>19.007814108929892</v>
      </c>
      <c r="S326" s="348">
        <f t="shared" si="42"/>
        <v>15.168904864948766</v>
      </c>
      <c r="T326" s="348">
        <f t="shared" si="43"/>
        <v>13.608012861447927</v>
      </c>
      <c r="U326" s="348">
        <f t="shared" si="44"/>
        <v>26.982370335375013</v>
      </c>
      <c r="V326" s="348">
        <f t="shared" si="45"/>
        <v>18.992762933337143</v>
      </c>
      <c r="W326" s="348">
        <f t="shared" si="46"/>
        <v>28.93908097887957</v>
      </c>
      <c r="X326" s="348">
        <f t="shared" si="47"/>
        <v>18.921595650815298</v>
      </c>
    </row>
    <row r="327" spans="1:24" x14ac:dyDescent="0.2">
      <c r="A327" s="407">
        <v>319</v>
      </c>
      <c r="B327" s="438">
        <v>27.042999999999999</v>
      </c>
      <c r="C327" s="438">
        <v>19.035</v>
      </c>
      <c r="D327" s="438">
        <v>15.327</v>
      </c>
      <c r="E327" s="438">
        <v>13.587999999999999</v>
      </c>
      <c r="F327" s="438">
        <v>27.042999999999999</v>
      </c>
      <c r="G327" s="438">
        <v>19.035</v>
      </c>
      <c r="H327" s="438">
        <v>29.135000000000002</v>
      </c>
      <c r="I327" s="438">
        <v>19.023</v>
      </c>
      <c r="J327" s="11"/>
      <c r="Q327" s="348">
        <f t="shared" si="40"/>
        <v>26.983365253612906</v>
      </c>
      <c r="R327" s="348">
        <f t="shared" si="41"/>
        <v>19.003789656516393</v>
      </c>
      <c r="S327" s="348">
        <f t="shared" si="42"/>
        <v>15.166905838724666</v>
      </c>
      <c r="T327" s="348">
        <f t="shared" si="43"/>
        <v>13.607012090620003</v>
      </c>
      <c r="U327" s="348">
        <f t="shared" si="44"/>
        <v>26.983365253612906</v>
      </c>
      <c r="V327" s="348">
        <f t="shared" si="45"/>
        <v>18.988757874924048</v>
      </c>
      <c r="W327" s="348">
        <f t="shared" si="46"/>
        <v>28.932103329553385</v>
      </c>
      <c r="X327" s="348">
        <f t="shared" si="47"/>
        <v>18.919606474834676</v>
      </c>
    </row>
    <row r="328" spans="1:24" x14ac:dyDescent="0.2">
      <c r="A328" s="407">
        <v>320</v>
      </c>
      <c r="B328" s="438">
        <v>27.045999999999999</v>
      </c>
      <c r="C328" s="438">
        <v>19.033999999999999</v>
      </c>
      <c r="D328" s="438">
        <v>15.331</v>
      </c>
      <c r="E328" s="438">
        <v>13.589</v>
      </c>
      <c r="F328" s="438">
        <v>27.045999999999999</v>
      </c>
      <c r="G328" s="438">
        <v>19.033999999999999</v>
      </c>
      <c r="H328" s="438">
        <v>29.135999999999999</v>
      </c>
      <c r="I328" s="438">
        <v>19.021999999999998</v>
      </c>
      <c r="J328" s="11"/>
      <c r="Q328" s="348">
        <f t="shared" si="40"/>
        <v>26.986350006943361</v>
      </c>
      <c r="R328" s="348">
        <f t="shared" si="41"/>
        <v>19.002783541631942</v>
      </c>
      <c r="S328" s="348">
        <f t="shared" si="42"/>
        <v>15.170903894783592</v>
      </c>
      <c r="T328" s="348">
        <f t="shared" si="43"/>
        <v>13.608012861447927</v>
      </c>
      <c r="U328" s="348">
        <f t="shared" si="44"/>
        <v>26.986350006943361</v>
      </c>
      <c r="V328" s="348">
        <f t="shared" si="45"/>
        <v>18.987756610448876</v>
      </c>
      <c r="W328" s="348">
        <f t="shared" si="46"/>
        <v>28.933100128832109</v>
      </c>
      <c r="X328" s="348">
        <f t="shared" si="47"/>
        <v>18.918611887291309</v>
      </c>
    </row>
    <row r="329" spans="1:24" x14ac:dyDescent="0.2">
      <c r="A329" s="407">
        <v>321</v>
      </c>
      <c r="B329" s="438">
        <v>27.052</v>
      </c>
      <c r="C329" s="438">
        <v>19.030999999999999</v>
      </c>
      <c r="D329" s="438">
        <v>15.331</v>
      </c>
      <c r="E329" s="438">
        <v>13.582000000000001</v>
      </c>
      <c r="F329" s="438">
        <v>27.052</v>
      </c>
      <c r="G329" s="438">
        <v>19.030999999999999</v>
      </c>
      <c r="H329" s="438">
        <v>29.131</v>
      </c>
      <c r="I329" s="438">
        <v>19.018999999999998</v>
      </c>
      <c r="J329" s="11"/>
      <c r="Q329" s="348">
        <f t="shared" si="40"/>
        <v>26.992319507382366</v>
      </c>
      <c r="R329" s="348">
        <f t="shared" si="41"/>
        <v>18.999765192705532</v>
      </c>
      <c r="S329" s="348">
        <f t="shared" si="42"/>
        <v>15.170903894783592</v>
      </c>
      <c r="T329" s="348">
        <f t="shared" si="43"/>
        <v>13.60100746395109</v>
      </c>
      <c r="U329" s="348">
        <f t="shared" si="44"/>
        <v>26.992319507382366</v>
      </c>
      <c r="V329" s="348">
        <f t="shared" si="45"/>
        <v>18.984752817332026</v>
      </c>
      <c r="W329" s="348">
        <f t="shared" si="46"/>
        <v>28.928116158332241</v>
      </c>
      <c r="X329" s="348">
        <f t="shared" si="47"/>
        <v>18.915628126448702</v>
      </c>
    </row>
    <row r="330" spans="1:24" x14ac:dyDescent="0.2">
      <c r="A330" s="407">
        <v>322</v>
      </c>
      <c r="B330" s="438">
        <v>27.047000000000001</v>
      </c>
      <c r="C330" s="438">
        <v>19.030999999999999</v>
      </c>
      <c r="D330" s="438">
        <v>15.324999999999999</v>
      </c>
      <c r="E330" s="438">
        <v>13.584</v>
      </c>
      <c r="F330" s="438">
        <v>27.047000000000001</v>
      </c>
      <c r="G330" s="438">
        <v>19.030999999999999</v>
      </c>
      <c r="H330" s="438">
        <v>29.126999999999999</v>
      </c>
      <c r="I330" s="438">
        <v>19.018999999999998</v>
      </c>
      <c r="J330" s="11"/>
      <c r="Q330" s="348">
        <f t="shared" ref="Q330:Q393" si="48">IFERROR(B330^4*$AB$9+B330^3*$AC$9+B330^2*$AD$9+B330^1*$AE$9+B330^0*$AF$9,"")</f>
        <v>26.987344924259201</v>
      </c>
      <c r="R330" s="348">
        <f t="shared" ref="R330:R393" si="49">IFERROR(C330^4*$AB$10+C330^3*$AC$10+C330^2*$AD$10+C330^1*$AE$10+C330^0*$AF$10,"")</f>
        <v>18.999765192705532</v>
      </c>
      <c r="S330" s="348">
        <f t="shared" ref="S330:S393" si="50">IFERROR(D330^4*$AB$11+D330^3*$AC$11+D330^2*$AD$11+D330^1*$AE$11+D330^0*$AF$11,"")</f>
        <v>15.164906816112412</v>
      </c>
      <c r="T330" s="348">
        <f t="shared" ref="T330:T393" si="51">IFERROR(E330^4*$AB$12+E330^3*$AC$12+E330^2*$AD$12+E330^1*$AE$12+E330^0*$AF$12,"")</f>
        <v>13.603009006498031</v>
      </c>
      <c r="U330" s="348">
        <f t="shared" ref="U330:U393" si="52">IFERROR(F330^4*$AB$13+F330^3*$AC$13+F330^2*$AD$13+F330^1*$AE$13+F330^0*$AF$13,"")</f>
        <v>26.987344924259201</v>
      </c>
      <c r="V330" s="348">
        <f t="shared" ref="V330:V393" si="53">IFERROR(G330^4*$AB$14+G330^3*$AC$14+G330^2*$AD$14+G330^1*$AE$14+G330^0*$AF$14,"")</f>
        <v>18.984752817332026</v>
      </c>
      <c r="W330" s="348">
        <f t="shared" ref="W330:W393" si="54">IFERROR(H330^4*$AB$15+H330^3*$AC$15+H330^2*$AD$15+H330^1*$AE$15+H330^0*$AF$15,"")</f>
        <v>28.924129028542193</v>
      </c>
      <c r="X330" s="348">
        <f t="shared" ref="X330:X393" si="55">IFERROR(I330^4*$AB$16+I330^3*$AC$16+I330^2*$AD$16+I330^1*$AE$16+I330^0*$AF$16,"")</f>
        <v>18.915628126448702</v>
      </c>
    </row>
    <row r="331" spans="1:24" x14ac:dyDescent="0.2">
      <c r="A331" s="407">
        <v>323</v>
      </c>
      <c r="B331" s="438">
        <v>27.048999999999999</v>
      </c>
      <c r="C331" s="438">
        <v>19.029</v>
      </c>
      <c r="D331" s="438">
        <v>15.327999999999999</v>
      </c>
      <c r="E331" s="438">
        <v>13.582000000000001</v>
      </c>
      <c r="F331" s="438">
        <v>27.048999999999999</v>
      </c>
      <c r="G331" s="438">
        <v>19.029</v>
      </c>
      <c r="H331" s="438">
        <v>29.123000000000001</v>
      </c>
      <c r="I331" s="438">
        <v>19.018000000000001</v>
      </c>
      <c r="J331" s="11"/>
      <c r="Q331" s="348">
        <f t="shared" si="48"/>
        <v>26.98933475819959</v>
      </c>
      <c r="R331" s="348">
        <f t="shared" si="49"/>
        <v>18.997752956527993</v>
      </c>
      <c r="S331" s="348">
        <f t="shared" si="50"/>
        <v>15.167905351385304</v>
      </c>
      <c r="T331" s="348">
        <f t="shared" si="51"/>
        <v>13.60100746395109</v>
      </c>
      <c r="U331" s="348">
        <f t="shared" si="52"/>
        <v>26.98933475819959</v>
      </c>
      <c r="V331" s="348">
        <f t="shared" si="53"/>
        <v>18.982750288845423</v>
      </c>
      <c r="W331" s="348">
        <f t="shared" si="54"/>
        <v>28.920141940184681</v>
      </c>
      <c r="X331" s="348">
        <f t="shared" si="55"/>
        <v>18.914633540096915</v>
      </c>
    </row>
    <row r="332" spans="1:24" x14ac:dyDescent="0.2">
      <c r="A332" s="407">
        <v>324</v>
      </c>
      <c r="B332" s="438">
        <v>27.041</v>
      </c>
      <c r="C332" s="438">
        <v>19.029</v>
      </c>
      <c r="D332" s="438">
        <v>15.323</v>
      </c>
      <c r="E332" s="438">
        <v>13.582000000000001</v>
      </c>
      <c r="F332" s="438">
        <v>27.041</v>
      </c>
      <c r="G332" s="438">
        <v>19.029</v>
      </c>
      <c r="H332" s="438">
        <v>29.120999999999999</v>
      </c>
      <c r="I332" s="438">
        <v>19.015000000000001</v>
      </c>
      <c r="J332" s="11"/>
      <c r="Q332" s="348">
        <f t="shared" si="48"/>
        <v>26.981375416906527</v>
      </c>
      <c r="R332" s="348">
        <f t="shared" si="49"/>
        <v>18.997752956527993</v>
      </c>
      <c r="S332" s="348">
        <f t="shared" si="50"/>
        <v>15.162907797113119</v>
      </c>
      <c r="T332" s="348">
        <f t="shared" si="51"/>
        <v>13.60100746395109</v>
      </c>
      <c r="U332" s="348">
        <f t="shared" si="52"/>
        <v>26.981375416906527</v>
      </c>
      <c r="V332" s="348">
        <f t="shared" si="53"/>
        <v>18.982750288845423</v>
      </c>
      <c r="W332" s="348">
        <f t="shared" si="54"/>
        <v>28.918148411543569</v>
      </c>
      <c r="X332" s="348">
        <f t="shared" si="55"/>
        <v>18.911649782828444</v>
      </c>
    </row>
    <row r="333" spans="1:24" x14ac:dyDescent="0.2">
      <c r="A333" s="407">
        <v>325</v>
      </c>
      <c r="B333" s="438">
        <v>27.044</v>
      </c>
      <c r="C333" s="438">
        <v>19.03</v>
      </c>
      <c r="D333" s="438">
        <v>15.321</v>
      </c>
      <c r="E333" s="438">
        <v>13.579000000000001</v>
      </c>
      <c r="F333" s="438">
        <v>27.044</v>
      </c>
      <c r="G333" s="438">
        <v>19.03</v>
      </c>
      <c r="H333" s="438">
        <v>29.122</v>
      </c>
      <c r="I333" s="437">
        <v>19.010999999999999</v>
      </c>
      <c r="J333" s="11"/>
      <c r="Q333" s="348">
        <f t="shared" si="48"/>
        <v>26.984360171620242</v>
      </c>
      <c r="R333" s="348">
        <f t="shared" si="49"/>
        <v>18.998759074972693</v>
      </c>
      <c r="S333" s="348">
        <f t="shared" si="50"/>
        <v>15.160908781727908</v>
      </c>
      <c r="T333" s="348">
        <f t="shared" si="51"/>
        <v>13.598005149523575</v>
      </c>
      <c r="U333" s="348">
        <f t="shared" si="52"/>
        <v>26.984360171620242</v>
      </c>
      <c r="V333" s="348">
        <f t="shared" si="53"/>
        <v>18.983751553062881</v>
      </c>
      <c r="W333" s="348">
        <f t="shared" si="54"/>
        <v>28.919145174569298</v>
      </c>
      <c r="X333" s="348">
        <f t="shared" si="55"/>
        <v>18.907671443972298</v>
      </c>
    </row>
    <row r="334" spans="1:24" x14ac:dyDescent="0.2">
      <c r="A334" s="407">
        <v>326</v>
      </c>
      <c r="B334" s="438">
        <v>27.042000000000002</v>
      </c>
      <c r="C334" s="438">
        <v>19.030999999999999</v>
      </c>
      <c r="D334" s="438">
        <v>15.324999999999999</v>
      </c>
      <c r="E334" s="437">
        <v>13.583</v>
      </c>
      <c r="F334" s="437">
        <v>27.042000000000002</v>
      </c>
      <c r="G334" s="437">
        <v>19.030999999999999</v>
      </c>
      <c r="H334" s="437">
        <v>29.119</v>
      </c>
      <c r="I334" s="438">
        <v>19.009</v>
      </c>
      <c r="J334" s="11"/>
      <c r="Q334" s="348">
        <f t="shared" si="48"/>
        <v>26.982370335375013</v>
      </c>
      <c r="R334" s="348">
        <f t="shared" si="49"/>
        <v>18.999765192705532</v>
      </c>
      <c r="S334" s="348">
        <f t="shared" si="50"/>
        <v>15.164906816112412</v>
      </c>
      <c r="T334" s="348">
        <f t="shared" si="51"/>
        <v>13.602008235265044</v>
      </c>
      <c r="U334" s="348">
        <f t="shared" si="52"/>
        <v>26.982370335375013</v>
      </c>
      <c r="V334" s="348">
        <f t="shared" si="53"/>
        <v>18.984752817332026</v>
      </c>
      <c r="W334" s="348">
        <f t="shared" si="54"/>
        <v>28.916154893261133</v>
      </c>
      <c r="X334" s="348">
        <f t="shared" si="55"/>
        <v>18.905682276330271</v>
      </c>
    </row>
    <row r="335" spans="1:24" x14ac:dyDescent="0.2">
      <c r="A335" s="407">
        <v>327</v>
      </c>
      <c r="B335" s="438">
        <v>27.047999999999998</v>
      </c>
      <c r="C335" s="438">
        <v>19.033000000000001</v>
      </c>
      <c r="D335" s="438">
        <v>15.323</v>
      </c>
      <c r="E335" s="438">
        <v>13.582000000000001</v>
      </c>
      <c r="F335" s="438">
        <v>27.047999999999998</v>
      </c>
      <c r="G335" s="438">
        <v>19.033000000000001</v>
      </c>
      <c r="H335" s="438">
        <v>29.117999999999999</v>
      </c>
      <c r="I335" s="438">
        <v>19.007999999999999</v>
      </c>
      <c r="J335" s="11"/>
      <c r="Q335" s="348">
        <f t="shared" si="48"/>
        <v>26.988339841344601</v>
      </c>
      <c r="R335" s="348">
        <f t="shared" si="49"/>
        <v>19.001777426035254</v>
      </c>
      <c r="S335" s="348">
        <f t="shared" si="50"/>
        <v>15.162907797113119</v>
      </c>
      <c r="T335" s="348">
        <f t="shared" si="51"/>
        <v>13.60100746395109</v>
      </c>
      <c r="U335" s="348">
        <f t="shared" si="52"/>
        <v>26.988339841344601</v>
      </c>
      <c r="V335" s="348">
        <f t="shared" si="53"/>
        <v>18.986755346025106</v>
      </c>
      <c r="W335" s="348">
        <f t="shared" si="54"/>
        <v>28.915158138004468</v>
      </c>
      <c r="X335" s="348">
        <f t="shared" si="55"/>
        <v>18.904687692955683</v>
      </c>
    </row>
    <row r="336" spans="1:24" x14ac:dyDescent="0.2">
      <c r="A336" s="407">
        <v>328</v>
      </c>
      <c r="B336" s="438">
        <v>27.050999999999998</v>
      </c>
      <c r="C336" s="438">
        <v>19.033999999999999</v>
      </c>
      <c r="D336" s="438">
        <v>15.331</v>
      </c>
      <c r="E336" s="438">
        <v>13.584</v>
      </c>
      <c r="F336" s="438">
        <v>27.050999999999998</v>
      </c>
      <c r="G336" s="438">
        <v>19.033999999999999</v>
      </c>
      <c r="H336" s="438">
        <v>29.117000000000001</v>
      </c>
      <c r="I336" s="438">
        <v>19.007000000000001</v>
      </c>
      <c r="J336" s="11"/>
      <c r="Q336" s="348">
        <f t="shared" si="48"/>
        <v>26.99132459121844</v>
      </c>
      <c r="R336" s="348">
        <f t="shared" si="49"/>
        <v>19.002783541631942</v>
      </c>
      <c r="S336" s="348">
        <f t="shared" si="50"/>
        <v>15.170903894783592</v>
      </c>
      <c r="T336" s="348">
        <f t="shared" si="51"/>
        <v>13.603009006498031</v>
      </c>
      <c r="U336" s="348">
        <f t="shared" si="52"/>
        <v>26.99132459121844</v>
      </c>
      <c r="V336" s="348">
        <f t="shared" si="53"/>
        <v>18.987756610448876</v>
      </c>
      <c r="W336" s="348">
        <f t="shared" si="54"/>
        <v>28.914161385337543</v>
      </c>
      <c r="X336" s="348">
        <f t="shared" si="55"/>
        <v>18.903693109878681</v>
      </c>
    </row>
    <row r="337" spans="1:24" x14ac:dyDescent="0.2">
      <c r="A337" s="407">
        <v>329</v>
      </c>
      <c r="B337" s="438">
        <v>27.041</v>
      </c>
      <c r="C337" s="438">
        <v>19.033000000000001</v>
      </c>
      <c r="D337" s="438">
        <v>15.324999999999999</v>
      </c>
      <c r="E337" s="438">
        <v>13.583</v>
      </c>
      <c r="F337" s="438">
        <v>27.041</v>
      </c>
      <c r="G337" s="438">
        <v>19.033000000000001</v>
      </c>
      <c r="H337" s="438">
        <v>29.116</v>
      </c>
      <c r="I337" s="438">
        <v>19.007999999999999</v>
      </c>
      <c r="J337" s="11"/>
      <c r="Q337" s="348">
        <f t="shared" si="48"/>
        <v>26.981375416906527</v>
      </c>
      <c r="R337" s="348">
        <f t="shared" si="49"/>
        <v>19.001777426035254</v>
      </c>
      <c r="S337" s="348">
        <f t="shared" si="50"/>
        <v>15.164906816112412</v>
      </c>
      <c r="T337" s="348">
        <f t="shared" si="51"/>
        <v>13.602008235265044</v>
      </c>
      <c r="U337" s="348">
        <f t="shared" si="52"/>
        <v>26.981375416906527</v>
      </c>
      <c r="V337" s="348">
        <f t="shared" si="53"/>
        <v>18.986755346025106</v>
      </c>
      <c r="W337" s="348">
        <f t="shared" si="54"/>
        <v>28.913164635260372</v>
      </c>
      <c r="X337" s="348">
        <f t="shared" si="55"/>
        <v>18.904687692955683</v>
      </c>
    </row>
    <row r="338" spans="1:24" x14ac:dyDescent="0.2">
      <c r="A338" s="407">
        <v>330</v>
      </c>
      <c r="B338" s="438">
        <v>27.041</v>
      </c>
      <c r="C338" s="438">
        <v>19.029</v>
      </c>
      <c r="D338" s="438">
        <v>15.326000000000001</v>
      </c>
      <c r="E338" s="438">
        <v>13.584</v>
      </c>
      <c r="F338" s="438">
        <v>27.041</v>
      </c>
      <c r="G338" s="438">
        <v>19.029</v>
      </c>
      <c r="H338" s="438">
        <v>29.117000000000001</v>
      </c>
      <c r="I338" s="438">
        <v>19.007000000000001</v>
      </c>
      <c r="J338" s="11"/>
      <c r="Q338" s="348">
        <f t="shared" si="48"/>
        <v>26.981375416906527</v>
      </c>
      <c r="R338" s="348">
        <f t="shared" si="49"/>
        <v>18.997752956527993</v>
      </c>
      <c r="S338" s="348">
        <f t="shared" si="50"/>
        <v>15.165906326966988</v>
      </c>
      <c r="T338" s="348">
        <f t="shared" si="51"/>
        <v>13.603009006498031</v>
      </c>
      <c r="U338" s="348">
        <f t="shared" si="52"/>
        <v>26.981375416906527</v>
      </c>
      <c r="V338" s="348">
        <f t="shared" si="53"/>
        <v>18.982750288845423</v>
      </c>
      <c r="W338" s="348">
        <f t="shared" si="54"/>
        <v>28.914161385337543</v>
      </c>
      <c r="X338" s="348">
        <f t="shared" si="55"/>
        <v>18.903693109878681</v>
      </c>
    </row>
    <row r="339" spans="1:24" x14ac:dyDescent="0.2">
      <c r="A339" s="407">
        <v>331</v>
      </c>
      <c r="B339" s="438">
        <v>27.048999999999999</v>
      </c>
      <c r="C339" s="438">
        <v>19.029</v>
      </c>
      <c r="D339" s="438">
        <v>15.327</v>
      </c>
      <c r="E339" s="438">
        <v>13.586</v>
      </c>
      <c r="F339" s="438">
        <v>27.048999999999999</v>
      </c>
      <c r="G339" s="438">
        <v>19.029</v>
      </c>
      <c r="H339" s="438">
        <v>29.117999999999999</v>
      </c>
      <c r="I339" s="438">
        <v>19.007000000000001</v>
      </c>
      <c r="J339" s="11"/>
      <c r="Q339" s="348">
        <f t="shared" si="48"/>
        <v>26.98933475819959</v>
      </c>
      <c r="R339" s="348">
        <f t="shared" si="49"/>
        <v>18.997752956527993</v>
      </c>
      <c r="S339" s="348">
        <f t="shared" si="50"/>
        <v>15.166905838724666</v>
      </c>
      <c r="T339" s="348">
        <f t="shared" si="51"/>
        <v>13.605010548721044</v>
      </c>
      <c r="U339" s="348">
        <f t="shared" si="52"/>
        <v>26.98933475819959</v>
      </c>
      <c r="V339" s="348">
        <f t="shared" si="53"/>
        <v>18.982750288845423</v>
      </c>
      <c r="W339" s="348">
        <f t="shared" si="54"/>
        <v>28.915158138004468</v>
      </c>
      <c r="X339" s="348">
        <f t="shared" si="55"/>
        <v>18.903693109878681</v>
      </c>
    </row>
    <row r="340" spans="1:24" x14ac:dyDescent="0.2">
      <c r="A340" s="407">
        <v>332</v>
      </c>
      <c r="B340" s="438">
        <v>27.050999999999998</v>
      </c>
      <c r="C340" s="438">
        <v>19.029</v>
      </c>
      <c r="D340" s="438">
        <v>15.327999999999999</v>
      </c>
      <c r="E340" s="438">
        <v>13.585000000000001</v>
      </c>
      <c r="F340" s="438">
        <v>27.050999999999998</v>
      </c>
      <c r="G340" s="438">
        <v>19.029</v>
      </c>
      <c r="H340" s="438">
        <v>29.119</v>
      </c>
      <c r="I340" s="438">
        <v>19.010000000000002</v>
      </c>
      <c r="J340" s="11"/>
      <c r="Q340" s="348">
        <f t="shared" si="48"/>
        <v>26.99132459121844</v>
      </c>
      <c r="R340" s="348">
        <f t="shared" si="49"/>
        <v>18.997752956527993</v>
      </c>
      <c r="S340" s="348">
        <f t="shared" si="50"/>
        <v>15.167905351385304</v>
      </c>
      <c r="T340" s="348">
        <f t="shared" si="51"/>
        <v>13.604009777650038</v>
      </c>
      <c r="U340" s="348">
        <f t="shared" si="52"/>
        <v>26.99132459121844</v>
      </c>
      <c r="V340" s="348">
        <f t="shared" si="53"/>
        <v>18.982750288845423</v>
      </c>
      <c r="W340" s="348">
        <f t="shared" si="54"/>
        <v>28.916154893261133</v>
      </c>
      <c r="X340" s="348">
        <f t="shared" si="55"/>
        <v>18.90667686000247</v>
      </c>
    </row>
    <row r="341" spans="1:24" x14ac:dyDescent="0.2">
      <c r="A341" s="407">
        <v>333</v>
      </c>
      <c r="B341" s="437">
        <v>27.045999999999999</v>
      </c>
      <c r="C341" s="438">
        <v>19.027000000000001</v>
      </c>
      <c r="D341" s="438">
        <v>15.327999999999999</v>
      </c>
      <c r="E341" s="438">
        <v>13.587</v>
      </c>
      <c r="F341" s="438">
        <v>27.045999999999999</v>
      </c>
      <c r="G341" s="438">
        <v>19.027000000000001</v>
      </c>
      <c r="H341" s="438">
        <v>29.117000000000001</v>
      </c>
      <c r="I341" s="438">
        <v>19.004999999999999</v>
      </c>
      <c r="J341" s="11"/>
      <c r="Q341" s="348">
        <f t="shared" si="48"/>
        <v>26.986350006943361</v>
      </c>
      <c r="R341" s="348">
        <f t="shared" si="49"/>
        <v>18.995740717503388</v>
      </c>
      <c r="S341" s="348">
        <f t="shared" si="50"/>
        <v>15.167905351385304</v>
      </c>
      <c r="T341" s="348">
        <f t="shared" si="51"/>
        <v>13.606011319711039</v>
      </c>
      <c r="U341" s="348">
        <f t="shared" si="52"/>
        <v>26.986350006943361</v>
      </c>
      <c r="V341" s="348">
        <f t="shared" si="53"/>
        <v>18.980747760565887</v>
      </c>
      <c r="W341" s="348">
        <f t="shared" si="54"/>
        <v>28.914161385337543</v>
      </c>
      <c r="X341" s="348">
        <f t="shared" si="55"/>
        <v>18.901703944617321</v>
      </c>
    </row>
    <row r="342" spans="1:24" x14ac:dyDescent="0.2">
      <c r="A342" s="407">
        <v>334</v>
      </c>
      <c r="B342" s="438">
        <v>27.05</v>
      </c>
      <c r="C342" s="438">
        <v>19.03</v>
      </c>
      <c r="D342" s="438">
        <v>15.327</v>
      </c>
      <c r="E342" s="438">
        <v>13.589</v>
      </c>
      <c r="F342" s="438">
        <v>27.05</v>
      </c>
      <c r="G342" s="438">
        <v>19.03</v>
      </c>
      <c r="H342" s="438">
        <v>29.12</v>
      </c>
      <c r="I342" s="438">
        <v>19.004000000000001</v>
      </c>
      <c r="J342" s="11"/>
      <c r="Q342" s="348">
        <f t="shared" si="48"/>
        <v>26.990329674824196</v>
      </c>
      <c r="R342" s="348">
        <f t="shared" si="49"/>
        <v>18.998759074972693</v>
      </c>
      <c r="S342" s="348">
        <f t="shared" si="50"/>
        <v>15.166905838724666</v>
      </c>
      <c r="T342" s="348">
        <f t="shared" si="51"/>
        <v>13.608012861447927</v>
      </c>
      <c r="U342" s="348">
        <f t="shared" si="52"/>
        <v>26.990329674824196</v>
      </c>
      <c r="V342" s="348">
        <f t="shared" si="53"/>
        <v>18.983751553062881</v>
      </c>
      <c r="W342" s="348">
        <f t="shared" si="54"/>
        <v>28.917151651107506</v>
      </c>
      <c r="X342" s="348">
        <f t="shared" si="55"/>
        <v>18.900709362432917</v>
      </c>
    </row>
    <row r="343" spans="1:24" x14ac:dyDescent="0.2">
      <c r="A343" s="407">
        <v>335</v>
      </c>
      <c r="B343" s="438">
        <v>27.042000000000002</v>
      </c>
      <c r="C343" s="438">
        <v>19.024999999999999</v>
      </c>
      <c r="D343" s="438">
        <v>15.327999999999999</v>
      </c>
      <c r="E343" s="438">
        <v>13.587999999999999</v>
      </c>
      <c r="F343" s="438">
        <v>27.042000000000002</v>
      </c>
      <c r="G343" s="438">
        <v>19.024999999999999</v>
      </c>
      <c r="H343" s="438">
        <v>29.117999999999999</v>
      </c>
      <c r="I343" s="438">
        <v>19.001000000000001</v>
      </c>
      <c r="J343" s="11"/>
      <c r="Q343" s="348">
        <f t="shared" si="48"/>
        <v>26.982370335375013</v>
      </c>
      <c r="R343" s="348">
        <f t="shared" si="49"/>
        <v>18.993728475632487</v>
      </c>
      <c r="S343" s="348">
        <f t="shared" si="50"/>
        <v>15.167905351385304</v>
      </c>
      <c r="T343" s="348">
        <f t="shared" si="51"/>
        <v>13.607012090620003</v>
      </c>
      <c r="U343" s="348">
        <f t="shared" si="52"/>
        <v>26.982370335375013</v>
      </c>
      <c r="V343" s="348">
        <f t="shared" si="53"/>
        <v>18.978745232494017</v>
      </c>
      <c r="W343" s="348">
        <f t="shared" si="54"/>
        <v>28.915158138004468</v>
      </c>
      <c r="X343" s="348">
        <f t="shared" si="55"/>
        <v>18.897725617664506</v>
      </c>
    </row>
    <row r="344" spans="1:24" x14ac:dyDescent="0.2">
      <c r="A344" s="407">
        <v>336</v>
      </c>
      <c r="B344" s="438">
        <v>27.047000000000001</v>
      </c>
      <c r="C344" s="437">
        <v>19.027999999999999</v>
      </c>
      <c r="D344" s="438">
        <v>15.329000000000001</v>
      </c>
      <c r="E344" s="438">
        <v>13.590999999999999</v>
      </c>
      <c r="F344" s="438">
        <v>27.047000000000001</v>
      </c>
      <c r="G344" s="438">
        <v>19.027999999999999</v>
      </c>
      <c r="H344" s="438">
        <v>29.12</v>
      </c>
      <c r="I344" s="438">
        <v>19.001999999999999</v>
      </c>
      <c r="J344" s="11"/>
      <c r="Q344" s="348">
        <f t="shared" si="48"/>
        <v>26.987344924259201</v>
      </c>
      <c r="R344" s="348">
        <f t="shared" si="49"/>
        <v>18.996746837371525</v>
      </c>
      <c r="S344" s="348">
        <f t="shared" si="50"/>
        <v>15.168904864948766</v>
      </c>
      <c r="T344" s="348">
        <f t="shared" si="51"/>
        <v>13.610014402860577</v>
      </c>
      <c r="U344" s="348">
        <f t="shared" si="52"/>
        <v>26.987344924259201</v>
      </c>
      <c r="V344" s="348">
        <f t="shared" si="53"/>
        <v>18.981749024679733</v>
      </c>
      <c r="W344" s="348">
        <f t="shared" si="54"/>
        <v>28.917151651107506</v>
      </c>
      <c r="X344" s="348">
        <f t="shared" si="55"/>
        <v>18.898720198956532</v>
      </c>
    </row>
    <row r="345" spans="1:24" x14ac:dyDescent="0.2">
      <c r="A345" s="407">
        <v>337</v>
      </c>
      <c r="B345" s="438">
        <v>27.053000000000001</v>
      </c>
      <c r="C345" s="438">
        <v>19.027999999999999</v>
      </c>
      <c r="D345" s="437">
        <v>15.329000000000001</v>
      </c>
      <c r="E345" s="438">
        <v>13.593</v>
      </c>
      <c r="F345" s="438">
        <v>27.053000000000001</v>
      </c>
      <c r="G345" s="438">
        <v>19.027999999999999</v>
      </c>
      <c r="H345" s="438">
        <v>29.122</v>
      </c>
      <c r="I345" s="438">
        <v>19.003</v>
      </c>
      <c r="J345" s="11"/>
      <c r="Q345" s="348">
        <f t="shared" si="48"/>
        <v>26.993314423315997</v>
      </c>
      <c r="R345" s="348">
        <f t="shared" si="49"/>
        <v>18.996746837371525</v>
      </c>
      <c r="S345" s="348">
        <f t="shared" si="50"/>
        <v>15.168904864948766</v>
      </c>
      <c r="T345" s="348">
        <f t="shared" si="51"/>
        <v>13.612015943948869</v>
      </c>
      <c r="U345" s="348">
        <f t="shared" si="52"/>
        <v>26.993314423315997</v>
      </c>
      <c r="V345" s="348">
        <f t="shared" si="53"/>
        <v>18.981749024679733</v>
      </c>
      <c r="W345" s="348">
        <f t="shared" si="54"/>
        <v>28.919145174569298</v>
      </c>
      <c r="X345" s="348">
        <f t="shared" si="55"/>
        <v>18.899714780545995</v>
      </c>
    </row>
    <row r="346" spans="1:24" x14ac:dyDescent="0.2">
      <c r="A346" s="407">
        <v>338</v>
      </c>
      <c r="B346" s="438">
        <v>27.053999999999998</v>
      </c>
      <c r="C346" s="438">
        <v>19.03</v>
      </c>
      <c r="D346" s="438">
        <v>15.33</v>
      </c>
      <c r="E346" s="438">
        <v>13.590999999999999</v>
      </c>
      <c r="F346" s="438">
        <v>27.053999999999998</v>
      </c>
      <c r="G346" s="438">
        <v>19.03</v>
      </c>
      <c r="H346" s="438">
        <v>29.122</v>
      </c>
      <c r="I346" s="438">
        <v>18.998000000000001</v>
      </c>
      <c r="J346" s="11"/>
      <c r="Q346" s="348">
        <f t="shared" si="48"/>
        <v>26.994309339019352</v>
      </c>
      <c r="R346" s="348">
        <f t="shared" si="49"/>
        <v>18.998759074972693</v>
      </c>
      <c r="S346" s="348">
        <f t="shared" si="50"/>
        <v>15.169904379414909</v>
      </c>
      <c r="T346" s="348">
        <f t="shared" si="51"/>
        <v>13.610014402860577</v>
      </c>
      <c r="U346" s="348">
        <f t="shared" si="52"/>
        <v>26.994309339019352</v>
      </c>
      <c r="V346" s="348">
        <f t="shared" si="53"/>
        <v>18.983751553062881</v>
      </c>
      <c r="W346" s="348">
        <f t="shared" si="54"/>
        <v>28.919145174569298</v>
      </c>
      <c r="X346" s="348">
        <f t="shared" si="55"/>
        <v>18.89474187557278</v>
      </c>
    </row>
    <row r="347" spans="1:24" x14ac:dyDescent="0.2">
      <c r="A347" s="407">
        <v>339</v>
      </c>
      <c r="B347" s="438">
        <v>27.045000000000002</v>
      </c>
      <c r="C347" s="438">
        <v>19.027999999999999</v>
      </c>
      <c r="D347" s="438">
        <v>15.327999999999999</v>
      </c>
      <c r="E347" s="438">
        <v>13.590999999999999</v>
      </c>
      <c r="F347" s="438">
        <v>27.045000000000002</v>
      </c>
      <c r="G347" s="438">
        <v>19.027999999999999</v>
      </c>
      <c r="H347" s="438">
        <v>29.116</v>
      </c>
      <c r="I347" s="438">
        <v>18.998000000000001</v>
      </c>
      <c r="J347" s="11"/>
      <c r="Q347" s="348">
        <f t="shared" si="48"/>
        <v>26.985355089397057</v>
      </c>
      <c r="R347" s="348">
        <f t="shared" si="49"/>
        <v>18.996746837371525</v>
      </c>
      <c r="S347" s="348">
        <f t="shared" si="50"/>
        <v>15.167905351385304</v>
      </c>
      <c r="T347" s="348">
        <f t="shared" si="51"/>
        <v>13.610014402860577</v>
      </c>
      <c r="U347" s="348">
        <f t="shared" si="52"/>
        <v>26.985355089397057</v>
      </c>
      <c r="V347" s="348">
        <f t="shared" si="53"/>
        <v>18.981749024679733</v>
      </c>
      <c r="W347" s="348">
        <f t="shared" si="54"/>
        <v>28.913164635260372</v>
      </c>
      <c r="X347" s="348">
        <f t="shared" si="55"/>
        <v>18.89474187557278</v>
      </c>
    </row>
    <row r="348" spans="1:24" x14ac:dyDescent="0.2">
      <c r="A348" s="407">
        <v>340</v>
      </c>
      <c r="B348" s="438">
        <v>27.045999999999999</v>
      </c>
      <c r="C348" s="438">
        <v>19.027000000000001</v>
      </c>
      <c r="D348" s="438">
        <v>15.327999999999999</v>
      </c>
      <c r="E348" s="438">
        <v>13.587</v>
      </c>
      <c r="F348" s="438">
        <v>27.045999999999999</v>
      </c>
      <c r="G348" s="438">
        <v>19.027000000000001</v>
      </c>
      <c r="H348" s="438">
        <v>29.113</v>
      </c>
      <c r="I348" s="438">
        <v>18.997</v>
      </c>
      <c r="J348" s="11"/>
      <c r="Q348" s="348">
        <f t="shared" si="48"/>
        <v>26.986350006943361</v>
      </c>
      <c r="R348" s="348">
        <f t="shared" si="49"/>
        <v>18.995740717503388</v>
      </c>
      <c r="S348" s="348">
        <f t="shared" si="50"/>
        <v>15.167905351385304</v>
      </c>
      <c r="T348" s="348">
        <f t="shared" si="51"/>
        <v>13.606011319711039</v>
      </c>
      <c r="U348" s="348">
        <f t="shared" si="52"/>
        <v>26.986350006943361</v>
      </c>
      <c r="V348" s="348">
        <f t="shared" si="53"/>
        <v>18.980747760565887</v>
      </c>
      <c r="W348" s="348">
        <f t="shared" si="54"/>
        <v>28.910174400567616</v>
      </c>
      <c r="X348" s="348">
        <f t="shared" si="55"/>
        <v>18.893747295470238</v>
      </c>
    </row>
    <row r="349" spans="1:24" x14ac:dyDescent="0.2">
      <c r="A349" s="407">
        <v>341</v>
      </c>
      <c r="B349" s="438">
        <v>27.052</v>
      </c>
      <c r="C349" s="438">
        <v>19.029</v>
      </c>
      <c r="D349" s="438">
        <v>15.327999999999999</v>
      </c>
      <c r="E349" s="438">
        <v>13.589</v>
      </c>
      <c r="F349" s="438">
        <v>27.052</v>
      </c>
      <c r="G349" s="438">
        <v>19.029</v>
      </c>
      <c r="H349" s="438">
        <v>29.111000000000001</v>
      </c>
      <c r="I349" s="438">
        <v>18.995000000000001</v>
      </c>
      <c r="J349" s="11"/>
      <c r="Q349" s="348">
        <f t="shared" si="48"/>
        <v>26.992319507382366</v>
      </c>
      <c r="R349" s="348">
        <f t="shared" si="49"/>
        <v>18.997752956527993</v>
      </c>
      <c r="S349" s="348">
        <f t="shared" si="50"/>
        <v>15.167905351385304</v>
      </c>
      <c r="T349" s="348">
        <f t="shared" si="51"/>
        <v>13.608012861447927</v>
      </c>
      <c r="U349" s="348">
        <f t="shared" si="52"/>
        <v>26.992319507382366</v>
      </c>
      <c r="V349" s="348">
        <f t="shared" si="53"/>
        <v>18.982750288845423</v>
      </c>
      <c r="W349" s="348">
        <f t="shared" si="54"/>
        <v>28.908180923721631</v>
      </c>
      <c r="X349" s="348">
        <f t="shared" si="55"/>
        <v>18.891758136157062</v>
      </c>
    </row>
    <row r="350" spans="1:24" x14ac:dyDescent="0.2">
      <c r="A350" s="407">
        <v>342</v>
      </c>
      <c r="B350" s="438">
        <v>27.047000000000001</v>
      </c>
      <c r="C350" s="438">
        <v>19.024999999999999</v>
      </c>
      <c r="D350" s="438">
        <v>15.327</v>
      </c>
      <c r="E350" s="438">
        <v>13.587999999999999</v>
      </c>
      <c r="F350" s="438">
        <v>27.047000000000001</v>
      </c>
      <c r="G350" s="438">
        <v>19.024999999999999</v>
      </c>
      <c r="H350" s="438">
        <v>29.109000000000002</v>
      </c>
      <c r="I350" s="438">
        <v>18.995999999999999</v>
      </c>
      <c r="J350" s="11"/>
      <c r="Q350" s="348">
        <f t="shared" si="48"/>
        <v>26.987344924259201</v>
      </c>
      <c r="R350" s="348">
        <f t="shared" si="49"/>
        <v>18.993728475632487</v>
      </c>
      <c r="S350" s="348">
        <f t="shared" si="50"/>
        <v>15.166905838724666</v>
      </c>
      <c r="T350" s="348">
        <f t="shared" si="51"/>
        <v>13.607012090620003</v>
      </c>
      <c r="U350" s="348">
        <f t="shared" si="52"/>
        <v>26.987344924259201</v>
      </c>
      <c r="V350" s="348">
        <f t="shared" si="53"/>
        <v>18.978745232494017</v>
      </c>
      <c r="W350" s="348">
        <f t="shared" si="54"/>
        <v>28.906187457235202</v>
      </c>
      <c r="X350" s="348">
        <f t="shared" si="55"/>
        <v>18.892752715665008</v>
      </c>
    </row>
    <row r="351" spans="1:24" x14ac:dyDescent="0.2">
      <c r="A351" s="407">
        <v>343</v>
      </c>
      <c r="B351" s="437">
        <v>27.048999999999999</v>
      </c>
      <c r="C351" s="438">
        <v>19.027000000000001</v>
      </c>
      <c r="D351" s="438">
        <v>15.327999999999999</v>
      </c>
      <c r="E351" s="438">
        <v>13.590999999999999</v>
      </c>
      <c r="F351" s="438">
        <v>27.048999999999999</v>
      </c>
      <c r="G351" s="438">
        <v>19.027000000000001</v>
      </c>
      <c r="H351" s="438">
        <v>29.109000000000002</v>
      </c>
      <c r="I351" s="438">
        <v>18.992999999999999</v>
      </c>
      <c r="J351" s="11"/>
      <c r="Q351" s="348">
        <f t="shared" si="48"/>
        <v>26.98933475819959</v>
      </c>
      <c r="R351" s="348">
        <f t="shared" si="49"/>
        <v>18.995740717503388</v>
      </c>
      <c r="S351" s="348">
        <f t="shared" si="50"/>
        <v>15.167905351385304</v>
      </c>
      <c r="T351" s="348">
        <f t="shared" si="51"/>
        <v>13.610014402860577</v>
      </c>
      <c r="U351" s="348">
        <f t="shared" si="52"/>
        <v>26.98933475819959</v>
      </c>
      <c r="V351" s="348">
        <f t="shared" si="53"/>
        <v>18.980747760565887</v>
      </c>
      <c r="W351" s="348">
        <f t="shared" si="54"/>
        <v>28.906187457235202</v>
      </c>
      <c r="X351" s="348">
        <f t="shared" si="55"/>
        <v>18.889768978032919</v>
      </c>
    </row>
    <row r="352" spans="1:24" x14ac:dyDescent="0.2">
      <c r="A352" s="407">
        <v>344</v>
      </c>
      <c r="B352" s="438">
        <v>27.058</v>
      </c>
      <c r="C352" s="438">
        <v>19.027999999999999</v>
      </c>
      <c r="D352" s="438">
        <v>15.331</v>
      </c>
      <c r="E352" s="438">
        <v>13.590999999999999</v>
      </c>
      <c r="F352" s="438">
        <v>27.058</v>
      </c>
      <c r="G352" s="438">
        <v>19.027999999999999</v>
      </c>
      <c r="H352" s="438">
        <v>29.105</v>
      </c>
      <c r="I352" s="438">
        <v>18.991</v>
      </c>
      <c r="J352" s="11"/>
      <c r="Q352" s="348">
        <f t="shared" si="48"/>
        <v>26.998288999530708</v>
      </c>
      <c r="R352" s="348">
        <f t="shared" si="49"/>
        <v>18.996746837371525</v>
      </c>
      <c r="S352" s="348">
        <f t="shared" si="50"/>
        <v>15.170903894783592</v>
      </c>
      <c r="T352" s="348">
        <f t="shared" si="51"/>
        <v>13.610014402860577</v>
      </c>
      <c r="U352" s="348">
        <f t="shared" si="52"/>
        <v>26.998288999530708</v>
      </c>
      <c r="V352" s="348">
        <f t="shared" si="53"/>
        <v>18.981749024679733</v>
      </c>
      <c r="W352" s="348">
        <f t="shared" si="54"/>
        <v>28.90220055534169</v>
      </c>
      <c r="X352" s="348">
        <f t="shared" si="55"/>
        <v>18.887779821097624</v>
      </c>
    </row>
    <row r="353" spans="1:24" x14ac:dyDescent="0.2">
      <c r="A353" s="407">
        <v>345</v>
      </c>
      <c r="B353" s="438">
        <v>27.047000000000001</v>
      </c>
      <c r="C353" s="438">
        <v>19.029</v>
      </c>
      <c r="D353" s="438">
        <v>15.329000000000001</v>
      </c>
      <c r="E353" s="438">
        <v>13.589</v>
      </c>
      <c r="F353" s="438">
        <v>27.047000000000001</v>
      </c>
      <c r="G353" s="438">
        <v>19.029</v>
      </c>
      <c r="H353" s="438">
        <v>29.106000000000002</v>
      </c>
      <c r="I353" s="438">
        <v>18.989999999999998</v>
      </c>
      <c r="J353" s="11"/>
      <c r="Q353" s="348">
        <f t="shared" si="48"/>
        <v>26.987344924259201</v>
      </c>
      <c r="R353" s="348">
        <f t="shared" si="49"/>
        <v>18.997752956527993</v>
      </c>
      <c r="S353" s="348">
        <f t="shared" si="50"/>
        <v>15.168904864948766</v>
      </c>
      <c r="T353" s="348">
        <f t="shared" si="51"/>
        <v>13.608012861447927</v>
      </c>
      <c r="U353" s="348">
        <f t="shared" si="52"/>
        <v>26.987344924259201</v>
      </c>
      <c r="V353" s="348">
        <f t="shared" si="53"/>
        <v>18.982750288845423</v>
      </c>
      <c r="W353" s="348">
        <f t="shared" si="54"/>
        <v>28.903197276930097</v>
      </c>
      <c r="X353" s="348">
        <f t="shared" si="55"/>
        <v>18.886785243075728</v>
      </c>
    </row>
    <row r="354" spans="1:24" x14ac:dyDescent="0.2">
      <c r="A354" s="407">
        <v>346</v>
      </c>
      <c r="B354" s="438">
        <v>27.050999999999998</v>
      </c>
      <c r="C354" s="438">
        <v>19.027000000000001</v>
      </c>
      <c r="D354" s="438">
        <v>15.329000000000001</v>
      </c>
      <c r="E354" s="438">
        <v>13.587999999999999</v>
      </c>
      <c r="F354" s="438">
        <v>27.050999999999998</v>
      </c>
      <c r="G354" s="438">
        <v>19.027000000000001</v>
      </c>
      <c r="H354" s="438">
        <v>29.100999999999999</v>
      </c>
      <c r="I354" s="438">
        <v>18.989999999999998</v>
      </c>
      <c r="J354" s="11"/>
      <c r="Q354" s="348">
        <f t="shared" si="48"/>
        <v>26.99132459121844</v>
      </c>
      <c r="R354" s="348">
        <f t="shared" si="49"/>
        <v>18.995740717503388</v>
      </c>
      <c r="S354" s="348">
        <f t="shared" si="50"/>
        <v>15.168904864948766</v>
      </c>
      <c r="T354" s="348">
        <f t="shared" si="51"/>
        <v>13.607012090620003</v>
      </c>
      <c r="U354" s="348">
        <f t="shared" si="52"/>
        <v>26.99132459121844</v>
      </c>
      <c r="V354" s="348">
        <f t="shared" si="53"/>
        <v>18.980747760565887</v>
      </c>
      <c r="W354" s="348">
        <f t="shared" si="54"/>
        <v>28.898213694888486</v>
      </c>
      <c r="X354" s="348">
        <f t="shared" si="55"/>
        <v>18.886785243075728</v>
      </c>
    </row>
    <row r="355" spans="1:24" x14ac:dyDescent="0.2">
      <c r="A355" s="407">
        <v>347</v>
      </c>
      <c r="B355" s="438">
        <v>27.053000000000001</v>
      </c>
      <c r="C355" s="438">
        <v>19.027999999999999</v>
      </c>
      <c r="D355" s="438">
        <v>15.329000000000001</v>
      </c>
      <c r="E355" s="438">
        <v>13.592000000000001</v>
      </c>
      <c r="F355" s="438">
        <v>27.053000000000001</v>
      </c>
      <c r="G355" s="438">
        <v>19.027999999999999</v>
      </c>
      <c r="H355" s="438">
        <v>29.106000000000002</v>
      </c>
      <c r="I355" s="438">
        <v>18.989000000000001</v>
      </c>
      <c r="J355" s="11"/>
      <c r="Q355" s="348">
        <f t="shared" si="48"/>
        <v>26.993314423315997</v>
      </c>
      <c r="R355" s="348">
        <f t="shared" si="49"/>
        <v>18.996746837371525</v>
      </c>
      <c r="S355" s="348">
        <f t="shared" si="50"/>
        <v>15.168904864948766</v>
      </c>
      <c r="T355" s="348">
        <f t="shared" si="51"/>
        <v>13.611015173445276</v>
      </c>
      <c r="U355" s="348">
        <f t="shared" si="52"/>
        <v>26.993314423315997</v>
      </c>
      <c r="V355" s="348">
        <f t="shared" si="53"/>
        <v>18.981749024679733</v>
      </c>
      <c r="W355" s="348">
        <f t="shared" si="54"/>
        <v>28.903197276930097</v>
      </c>
      <c r="X355" s="348">
        <f t="shared" si="55"/>
        <v>18.885790665350967</v>
      </c>
    </row>
    <row r="356" spans="1:24" x14ac:dyDescent="0.2">
      <c r="A356" s="407">
        <v>348</v>
      </c>
      <c r="B356" s="438">
        <v>27.047000000000001</v>
      </c>
      <c r="C356" s="438">
        <v>19.027000000000001</v>
      </c>
      <c r="D356" s="438">
        <v>15.326000000000001</v>
      </c>
      <c r="E356" s="438">
        <v>13.587999999999999</v>
      </c>
      <c r="F356" s="438">
        <v>27.047000000000001</v>
      </c>
      <c r="G356" s="438">
        <v>19.027000000000001</v>
      </c>
      <c r="H356" s="438">
        <v>29.108000000000001</v>
      </c>
      <c r="I356" s="438">
        <v>18.989999999999998</v>
      </c>
      <c r="J356" s="11"/>
      <c r="Q356" s="348">
        <f t="shared" si="48"/>
        <v>26.987344924259201</v>
      </c>
      <c r="R356" s="348">
        <f t="shared" si="49"/>
        <v>18.995740717503388</v>
      </c>
      <c r="S356" s="348">
        <f t="shared" si="50"/>
        <v>15.165906326966988</v>
      </c>
      <c r="T356" s="348">
        <f t="shared" si="51"/>
        <v>13.607012090620003</v>
      </c>
      <c r="U356" s="348">
        <f t="shared" si="52"/>
        <v>26.987344924259201</v>
      </c>
      <c r="V356" s="348">
        <f t="shared" si="53"/>
        <v>18.980747760565887</v>
      </c>
      <c r="W356" s="348">
        <f t="shared" si="54"/>
        <v>28.905190727876867</v>
      </c>
      <c r="X356" s="348">
        <f t="shared" si="55"/>
        <v>18.886785243075728</v>
      </c>
    </row>
    <row r="357" spans="1:24" x14ac:dyDescent="0.2">
      <c r="A357" s="407">
        <v>349</v>
      </c>
      <c r="B357" s="438">
        <v>27.053000000000001</v>
      </c>
      <c r="C357" s="438">
        <v>19.027000000000001</v>
      </c>
      <c r="D357" s="438">
        <v>15.327999999999999</v>
      </c>
      <c r="E357" s="438">
        <v>13.589</v>
      </c>
      <c r="F357" s="438">
        <v>27.053000000000001</v>
      </c>
      <c r="G357" s="438">
        <v>19.027000000000001</v>
      </c>
      <c r="H357" s="438">
        <v>29.106000000000002</v>
      </c>
      <c r="I357" s="438">
        <v>18.986999999999998</v>
      </c>
      <c r="J357" s="11"/>
      <c r="Q357" s="348">
        <f t="shared" si="48"/>
        <v>26.993314423315997</v>
      </c>
      <c r="R357" s="348">
        <f t="shared" si="49"/>
        <v>18.995740717503388</v>
      </c>
      <c r="S357" s="348">
        <f t="shared" si="50"/>
        <v>15.167905351385304</v>
      </c>
      <c r="T357" s="348">
        <f t="shared" si="51"/>
        <v>13.608012861447927</v>
      </c>
      <c r="U357" s="348">
        <f t="shared" si="52"/>
        <v>26.993314423315997</v>
      </c>
      <c r="V357" s="348">
        <f t="shared" si="53"/>
        <v>18.980747760565887</v>
      </c>
      <c r="W357" s="348">
        <f t="shared" si="54"/>
        <v>28.903197276930097</v>
      </c>
      <c r="X357" s="348">
        <f t="shared" si="55"/>
        <v>18.883801510792747</v>
      </c>
    </row>
    <row r="358" spans="1:24" x14ac:dyDescent="0.2">
      <c r="A358" s="407">
        <v>350</v>
      </c>
      <c r="B358" s="438">
        <v>27.052</v>
      </c>
      <c r="C358" s="437">
        <v>19.026</v>
      </c>
      <c r="D358" s="438">
        <v>15.326000000000001</v>
      </c>
      <c r="E358" s="438">
        <v>13.586</v>
      </c>
      <c r="F358" s="438">
        <v>27.052</v>
      </c>
      <c r="G358" s="438">
        <v>19.026</v>
      </c>
      <c r="H358" s="438">
        <v>29.109000000000002</v>
      </c>
      <c r="I358" s="437">
        <v>18.991</v>
      </c>
      <c r="J358" s="11"/>
      <c r="Q358" s="348">
        <f t="shared" si="48"/>
        <v>26.992319507382366</v>
      </c>
      <c r="R358" s="348">
        <f t="shared" si="49"/>
        <v>18.994734596923678</v>
      </c>
      <c r="S358" s="348">
        <f t="shared" si="50"/>
        <v>15.165906326966988</v>
      </c>
      <c r="T358" s="348">
        <f t="shared" si="51"/>
        <v>13.605010548721044</v>
      </c>
      <c r="U358" s="348">
        <f t="shared" si="52"/>
        <v>26.992319507382366</v>
      </c>
      <c r="V358" s="348">
        <f t="shared" si="53"/>
        <v>18.979746496503953</v>
      </c>
      <c r="W358" s="348">
        <f t="shared" si="54"/>
        <v>28.906187457235202</v>
      </c>
      <c r="X358" s="348">
        <f t="shared" si="55"/>
        <v>18.887779821097624</v>
      </c>
    </row>
    <row r="359" spans="1:24" x14ac:dyDescent="0.2">
      <c r="A359" s="407">
        <v>351</v>
      </c>
      <c r="B359" s="438">
        <v>27.05</v>
      </c>
      <c r="C359" s="438">
        <v>19.027000000000001</v>
      </c>
      <c r="D359" s="438">
        <v>15.327</v>
      </c>
      <c r="E359" s="437">
        <v>13.587999999999999</v>
      </c>
      <c r="F359" s="438">
        <v>27.05</v>
      </c>
      <c r="G359" s="438">
        <v>19.027000000000001</v>
      </c>
      <c r="H359" s="438">
        <v>29.108000000000001</v>
      </c>
      <c r="I359" s="438">
        <v>18.986999999999998</v>
      </c>
      <c r="J359" s="11"/>
      <c r="Q359" s="348">
        <f t="shared" si="48"/>
        <v>26.990329674824196</v>
      </c>
      <c r="R359" s="348">
        <f t="shared" si="49"/>
        <v>18.995740717503388</v>
      </c>
      <c r="S359" s="348">
        <f t="shared" si="50"/>
        <v>15.166905838724666</v>
      </c>
      <c r="T359" s="348">
        <f t="shared" si="51"/>
        <v>13.607012090620003</v>
      </c>
      <c r="U359" s="348">
        <f t="shared" si="52"/>
        <v>26.990329674824196</v>
      </c>
      <c r="V359" s="348">
        <f t="shared" si="53"/>
        <v>18.980747760565887</v>
      </c>
      <c r="W359" s="348">
        <f t="shared" si="54"/>
        <v>28.905190727876867</v>
      </c>
      <c r="X359" s="348">
        <f t="shared" si="55"/>
        <v>18.883801510792747</v>
      </c>
    </row>
    <row r="360" spans="1:24" x14ac:dyDescent="0.2">
      <c r="A360" s="407">
        <v>352</v>
      </c>
      <c r="B360" s="438">
        <v>27.041</v>
      </c>
      <c r="C360" s="438">
        <v>19.024999999999999</v>
      </c>
      <c r="D360" s="438">
        <v>15.323</v>
      </c>
      <c r="E360" s="438">
        <v>13.586</v>
      </c>
      <c r="F360" s="438">
        <v>27.041</v>
      </c>
      <c r="G360" s="438">
        <v>19.024999999999999</v>
      </c>
      <c r="H360" s="438">
        <v>29.106000000000002</v>
      </c>
      <c r="I360" s="438">
        <v>18.986999999999998</v>
      </c>
      <c r="J360" s="11"/>
      <c r="Q360" s="348">
        <f t="shared" si="48"/>
        <v>26.981375416906527</v>
      </c>
      <c r="R360" s="348">
        <f t="shared" si="49"/>
        <v>18.993728475632487</v>
      </c>
      <c r="S360" s="348">
        <f t="shared" si="50"/>
        <v>15.162907797113119</v>
      </c>
      <c r="T360" s="348">
        <f t="shared" si="51"/>
        <v>13.605010548721044</v>
      </c>
      <c r="U360" s="348">
        <f t="shared" si="52"/>
        <v>26.981375416906527</v>
      </c>
      <c r="V360" s="348">
        <f t="shared" si="53"/>
        <v>18.978745232494017</v>
      </c>
      <c r="W360" s="348">
        <f t="shared" si="54"/>
        <v>28.903197276930097</v>
      </c>
      <c r="X360" s="348">
        <f t="shared" si="55"/>
        <v>18.883801510792747</v>
      </c>
    </row>
    <row r="361" spans="1:24" x14ac:dyDescent="0.2">
      <c r="A361" s="407">
        <v>353</v>
      </c>
      <c r="B361" s="438">
        <v>27.042999999999999</v>
      </c>
      <c r="C361" s="438">
        <v>19.024999999999999</v>
      </c>
      <c r="D361" s="438">
        <v>15.326000000000001</v>
      </c>
      <c r="E361" s="438">
        <v>13.581</v>
      </c>
      <c r="F361" s="438">
        <v>27.042999999999999</v>
      </c>
      <c r="G361" s="438">
        <v>19.024999999999999</v>
      </c>
      <c r="H361" s="438">
        <v>29.106000000000002</v>
      </c>
      <c r="I361" s="438">
        <v>18.986000000000001</v>
      </c>
      <c r="J361" s="11"/>
      <c r="Q361" s="348">
        <f t="shared" si="48"/>
        <v>26.983365253612906</v>
      </c>
      <c r="R361" s="348">
        <f t="shared" si="49"/>
        <v>18.993728475632487</v>
      </c>
      <c r="S361" s="348">
        <f t="shared" si="50"/>
        <v>15.165906326966988</v>
      </c>
      <c r="T361" s="348">
        <f t="shared" si="51"/>
        <v>13.600006692556182</v>
      </c>
      <c r="U361" s="348">
        <f t="shared" si="52"/>
        <v>26.983365253612906</v>
      </c>
      <c r="V361" s="348">
        <f t="shared" si="53"/>
        <v>18.978745232494017</v>
      </c>
      <c r="W361" s="348">
        <f t="shared" si="54"/>
        <v>28.903197276930097</v>
      </c>
      <c r="X361" s="348">
        <f t="shared" si="55"/>
        <v>18.882806933959245</v>
      </c>
    </row>
    <row r="362" spans="1:24" x14ac:dyDescent="0.2">
      <c r="A362" s="407">
        <v>354</v>
      </c>
      <c r="B362" s="438">
        <v>27.038</v>
      </c>
      <c r="C362" s="438">
        <v>19.024000000000001</v>
      </c>
      <c r="D362" s="438">
        <v>15.321</v>
      </c>
      <c r="E362" s="438">
        <v>13.579000000000001</v>
      </c>
      <c r="F362" s="438">
        <v>27.038</v>
      </c>
      <c r="G362" s="438">
        <v>19.024000000000001</v>
      </c>
      <c r="H362" s="438">
        <v>29.103999999999999</v>
      </c>
      <c r="I362" s="438">
        <v>18.986000000000001</v>
      </c>
      <c r="J362" s="11"/>
      <c r="Q362" s="348">
        <f t="shared" si="48"/>
        <v>26.978390660117274</v>
      </c>
      <c r="R362" s="348">
        <f t="shared" si="49"/>
        <v>18.992722353629908</v>
      </c>
      <c r="S362" s="348">
        <f t="shared" si="50"/>
        <v>15.160908781727908</v>
      </c>
      <c r="T362" s="348">
        <f t="shared" si="51"/>
        <v>13.598005149523575</v>
      </c>
      <c r="U362" s="348">
        <f t="shared" si="52"/>
        <v>26.978390660117274</v>
      </c>
      <c r="V362" s="348">
        <f t="shared" si="53"/>
        <v>18.977743968536146</v>
      </c>
      <c r="W362" s="348">
        <f t="shared" si="54"/>
        <v>28.90120383634331</v>
      </c>
      <c r="X362" s="348">
        <f t="shared" si="55"/>
        <v>18.882806933959245</v>
      </c>
    </row>
    <row r="363" spans="1:24" x14ac:dyDescent="0.2">
      <c r="A363" s="407">
        <v>355</v>
      </c>
      <c r="B363" s="438">
        <v>27.042999999999999</v>
      </c>
      <c r="C363" s="438">
        <v>19.027000000000001</v>
      </c>
      <c r="D363" s="438">
        <v>15.326000000000001</v>
      </c>
      <c r="E363" s="438">
        <v>13.582000000000001</v>
      </c>
      <c r="F363" s="438">
        <v>27.042999999999999</v>
      </c>
      <c r="G363" s="438">
        <v>19.027000000000001</v>
      </c>
      <c r="H363" s="438">
        <v>29.108000000000001</v>
      </c>
      <c r="I363" s="438">
        <v>18.986999999999998</v>
      </c>
      <c r="J363" s="11"/>
      <c r="Q363" s="348">
        <f t="shared" si="48"/>
        <v>26.983365253612906</v>
      </c>
      <c r="R363" s="348">
        <f t="shared" si="49"/>
        <v>18.995740717503388</v>
      </c>
      <c r="S363" s="348">
        <f t="shared" si="50"/>
        <v>15.165906326966988</v>
      </c>
      <c r="T363" s="348">
        <f t="shared" si="51"/>
        <v>13.60100746395109</v>
      </c>
      <c r="U363" s="348">
        <f t="shared" si="52"/>
        <v>26.983365253612906</v>
      </c>
      <c r="V363" s="348">
        <f t="shared" si="53"/>
        <v>18.980747760565887</v>
      </c>
      <c r="W363" s="348">
        <f t="shared" si="54"/>
        <v>28.905190727876867</v>
      </c>
      <c r="X363" s="348">
        <f t="shared" si="55"/>
        <v>18.883801510792747</v>
      </c>
    </row>
    <row r="364" spans="1:24" x14ac:dyDescent="0.2">
      <c r="A364" s="407">
        <v>356</v>
      </c>
      <c r="B364" s="438">
        <v>27.038</v>
      </c>
      <c r="C364" s="438">
        <v>19.023</v>
      </c>
      <c r="D364" s="438">
        <v>15.323</v>
      </c>
      <c r="E364" s="438">
        <v>13.581</v>
      </c>
      <c r="F364" s="438">
        <v>27.038</v>
      </c>
      <c r="G364" s="438">
        <v>19.023</v>
      </c>
      <c r="H364" s="438">
        <v>29.105</v>
      </c>
      <c r="I364" s="438">
        <v>18.986000000000001</v>
      </c>
      <c r="J364" s="11"/>
      <c r="Q364" s="348">
        <f t="shared" si="48"/>
        <v>26.978390660117274</v>
      </c>
      <c r="R364" s="348">
        <f t="shared" si="49"/>
        <v>18.99171623091604</v>
      </c>
      <c r="S364" s="348">
        <f t="shared" si="50"/>
        <v>15.162907797113119</v>
      </c>
      <c r="T364" s="348">
        <f t="shared" si="51"/>
        <v>13.600006692556182</v>
      </c>
      <c r="U364" s="348">
        <f t="shared" si="52"/>
        <v>26.978390660117274</v>
      </c>
      <c r="V364" s="348">
        <f t="shared" si="53"/>
        <v>18.976742704630418</v>
      </c>
      <c r="W364" s="348">
        <f t="shared" si="54"/>
        <v>28.90220055534169</v>
      </c>
      <c r="X364" s="348">
        <f t="shared" si="55"/>
        <v>18.882806933959245</v>
      </c>
    </row>
    <row r="365" spans="1:24" x14ac:dyDescent="0.2">
      <c r="A365" s="407">
        <v>357</v>
      </c>
      <c r="B365" s="437">
        <v>27.036000000000001</v>
      </c>
      <c r="C365" s="438">
        <v>19.024000000000001</v>
      </c>
      <c r="D365" s="438">
        <v>15.324999999999999</v>
      </c>
      <c r="E365" s="438">
        <v>13.581</v>
      </c>
      <c r="F365" s="438">
        <v>27.036000000000001</v>
      </c>
      <c r="G365" s="438">
        <v>19.024000000000001</v>
      </c>
      <c r="H365" s="438">
        <v>29.105</v>
      </c>
      <c r="I365" s="438">
        <v>18.984999999999999</v>
      </c>
      <c r="J365" s="11"/>
      <c r="Q365" s="348">
        <f t="shared" si="48"/>
        <v>26.97640082110431</v>
      </c>
      <c r="R365" s="348">
        <f t="shared" si="49"/>
        <v>18.992722353629908</v>
      </c>
      <c r="S365" s="348">
        <f t="shared" si="50"/>
        <v>15.164906816112412</v>
      </c>
      <c r="T365" s="348">
        <f t="shared" si="51"/>
        <v>13.600006692556182</v>
      </c>
      <c r="U365" s="348">
        <f t="shared" si="52"/>
        <v>26.97640082110431</v>
      </c>
      <c r="V365" s="348">
        <f t="shared" si="53"/>
        <v>18.977743968536146</v>
      </c>
      <c r="W365" s="348">
        <f t="shared" si="54"/>
        <v>28.90220055534169</v>
      </c>
      <c r="X365" s="348">
        <f t="shared" si="55"/>
        <v>18.881812357422771</v>
      </c>
    </row>
    <row r="366" spans="1:24" x14ac:dyDescent="0.2">
      <c r="A366" s="407">
        <v>358</v>
      </c>
      <c r="B366" s="438">
        <v>27.04</v>
      </c>
      <c r="C366" s="438">
        <v>19.024000000000001</v>
      </c>
      <c r="D366" s="438">
        <v>15.321</v>
      </c>
      <c r="E366" s="438">
        <v>13.577999999999999</v>
      </c>
      <c r="F366" s="438">
        <v>27.04</v>
      </c>
      <c r="G366" s="438">
        <v>19.024000000000001</v>
      </c>
      <c r="H366" s="438">
        <v>29.106000000000002</v>
      </c>
      <c r="I366" s="438">
        <v>18.981000000000002</v>
      </c>
      <c r="J366" s="11"/>
      <c r="Q366" s="348">
        <f t="shared" si="48"/>
        <v>26.980380498207431</v>
      </c>
      <c r="R366" s="348">
        <f t="shared" si="49"/>
        <v>18.992722353629908</v>
      </c>
      <c r="S366" s="348">
        <f t="shared" si="50"/>
        <v>15.160908781727908</v>
      </c>
      <c r="T366" s="348">
        <f t="shared" si="51"/>
        <v>13.597004377885904</v>
      </c>
      <c r="U366" s="348">
        <f t="shared" si="52"/>
        <v>26.980380498207431</v>
      </c>
      <c r="V366" s="348">
        <f t="shared" si="53"/>
        <v>18.977743968536146</v>
      </c>
      <c r="W366" s="348">
        <f t="shared" si="54"/>
        <v>28.903197276930097</v>
      </c>
      <c r="X366" s="348">
        <f t="shared" si="55"/>
        <v>18.877834054246758</v>
      </c>
    </row>
    <row r="367" spans="1:24" x14ac:dyDescent="0.2">
      <c r="A367" s="407">
        <v>359</v>
      </c>
      <c r="B367" s="438">
        <v>27.038</v>
      </c>
      <c r="C367" s="438">
        <v>19.024999999999999</v>
      </c>
      <c r="D367" s="438">
        <v>15.324999999999999</v>
      </c>
      <c r="E367" s="438">
        <v>13.577</v>
      </c>
      <c r="F367" s="438">
        <v>27.038</v>
      </c>
      <c r="G367" s="438">
        <v>19.024999999999999</v>
      </c>
      <c r="H367" s="438">
        <v>29.111000000000001</v>
      </c>
      <c r="I367" s="438">
        <v>18.98</v>
      </c>
      <c r="J367" s="11"/>
      <c r="Q367" s="348">
        <f t="shared" si="48"/>
        <v>26.978390660117274</v>
      </c>
      <c r="R367" s="348">
        <f t="shared" si="49"/>
        <v>18.993728475632487</v>
      </c>
      <c r="S367" s="348">
        <f t="shared" si="50"/>
        <v>15.164906816112412</v>
      </c>
      <c r="T367" s="348">
        <f t="shared" si="51"/>
        <v>13.596003606167343</v>
      </c>
      <c r="U367" s="348">
        <f t="shared" si="52"/>
        <v>26.978390660117274</v>
      </c>
      <c r="V367" s="348">
        <f t="shared" si="53"/>
        <v>18.978745232494017</v>
      </c>
      <c r="W367" s="348">
        <f t="shared" si="54"/>
        <v>28.908180923721631</v>
      </c>
      <c r="X367" s="348">
        <f t="shared" si="55"/>
        <v>18.876839479195091</v>
      </c>
    </row>
    <row r="368" spans="1:24" x14ac:dyDescent="0.2">
      <c r="A368" s="407">
        <v>360</v>
      </c>
      <c r="B368" s="438">
        <v>27.035</v>
      </c>
      <c r="C368" s="438">
        <v>19.021000000000001</v>
      </c>
      <c r="D368" s="438">
        <v>15.32</v>
      </c>
      <c r="E368" s="438">
        <v>13.571999999999999</v>
      </c>
      <c r="F368" s="438">
        <v>27.035</v>
      </c>
      <c r="G368" s="438">
        <v>19.021000000000001</v>
      </c>
      <c r="H368" s="438">
        <v>29.111000000000001</v>
      </c>
      <c r="I368" s="438">
        <v>18.981999999999999</v>
      </c>
      <c r="J368" s="11"/>
      <c r="Q368" s="348">
        <f t="shared" si="48"/>
        <v>26.975405901251705</v>
      </c>
      <c r="R368" s="348">
        <f t="shared" si="49"/>
        <v>18.989703983354815</v>
      </c>
      <c r="S368" s="348">
        <f t="shared" si="50"/>
        <v>15.159909275390936</v>
      </c>
      <c r="T368" s="348">
        <f t="shared" si="51"/>
        <v>13.590999746361726</v>
      </c>
      <c r="U368" s="348">
        <f t="shared" si="52"/>
        <v>26.975405901251705</v>
      </c>
      <c r="V368" s="348">
        <f t="shared" si="53"/>
        <v>18.97474017697569</v>
      </c>
      <c r="W368" s="348">
        <f t="shared" si="54"/>
        <v>28.908180923721631</v>
      </c>
      <c r="X368" s="348">
        <f t="shared" si="55"/>
        <v>18.878828629595329</v>
      </c>
    </row>
    <row r="369" spans="1:24" x14ac:dyDescent="0.2">
      <c r="A369" s="407">
        <v>361</v>
      </c>
      <c r="B369" s="438">
        <v>27.030999999999999</v>
      </c>
      <c r="C369" s="438">
        <v>19.024999999999999</v>
      </c>
      <c r="D369" s="438">
        <v>15.319000000000001</v>
      </c>
      <c r="E369" s="438">
        <v>13.576000000000001</v>
      </c>
      <c r="F369" s="438">
        <v>27.030999999999999</v>
      </c>
      <c r="G369" s="438">
        <v>19.024999999999999</v>
      </c>
      <c r="H369" s="438">
        <v>29.114999999999998</v>
      </c>
      <c r="I369" s="438">
        <v>18.981000000000002</v>
      </c>
      <c r="J369" s="11"/>
      <c r="Q369" s="348">
        <f t="shared" si="48"/>
        <v>26.97142621953309</v>
      </c>
      <c r="R369" s="348">
        <f t="shared" si="49"/>
        <v>18.993728475632487</v>
      </c>
      <c r="S369" s="348">
        <f t="shared" si="50"/>
        <v>15.158909769957901</v>
      </c>
      <c r="T369" s="348">
        <f t="shared" si="51"/>
        <v>13.595002834367909</v>
      </c>
      <c r="U369" s="348">
        <f t="shared" si="52"/>
        <v>26.97142621953309</v>
      </c>
      <c r="V369" s="348">
        <f t="shared" si="53"/>
        <v>18.978745232494017</v>
      </c>
      <c r="W369" s="348">
        <f t="shared" si="54"/>
        <v>28.912167887772974</v>
      </c>
      <c r="X369" s="348">
        <f t="shared" si="55"/>
        <v>18.877834054246758</v>
      </c>
    </row>
    <row r="370" spans="1:24" x14ac:dyDescent="0.2">
      <c r="A370" s="407">
        <v>362</v>
      </c>
      <c r="B370" s="438">
        <v>27.038</v>
      </c>
      <c r="C370" s="438">
        <v>19.026</v>
      </c>
      <c r="D370" s="438">
        <v>15.32</v>
      </c>
      <c r="E370" s="438">
        <v>13.577999999999999</v>
      </c>
      <c r="F370" s="438">
        <v>27.038</v>
      </c>
      <c r="G370" s="437">
        <v>19.026</v>
      </c>
      <c r="H370" s="438">
        <v>29.114000000000001</v>
      </c>
      <c r="I370" s="438">
        <v>18.984999999999999</v>
      </c>
      <c r="J370" s="11"/>
      <c r="Q370" s="348">
        <f t="shared" si="48"/>
        <v>26.978390660117274</v>
      </c>
      <c r="R370" s="348">
        <f t="shared" si="49"/>
        <v>18.994734596923678</v>
      </c>
      <c r="S370" s="348">
        <f t="shared" si="50"/>
        <v>15.159909275390936</v>
      </c>
      <c r="T370" s="348">
        <f t="shared" si="51"/>
        <v>13.597004377885904</v>
      </c>
      <c r="U370" s="348">
        <f t="shared" si="52"/>
        <v>26.978390660117274</v>
      </c>
      <c r="V370" s="348">
        <f t="shared" si="53"/>
        <v>18.979746496503953</v>
      </c>
      <c r="W370" s="348">
        <f t="shared" si="54"/>
        <v>28.911171142875386</v>
      </c>
      <c r="X370" s="348">
        <f t="shared" si="55"/>
        <v>18.881812357422771</v>
      </c>
    </row>
    <row r="371" spans="1:24" x14ac:dyDescent="0.2">
      <c r="A371" s="407">
        <v>363</v>
      </c>
      <c r="B371" s="438">
        <v>27.03</v>
      </c>
      <c r="C371" s="438">
        <v>19.027999999999999</v>
      </c>
      <c r="D371" s="438">
        <v>15.32</v>
      </c>
      <c r="E371" s="438">
        <v>13.579000000000001</v>
      </c>
      <c r="F371" s="438">
        <v>27.03</v>
      </c>
      <c r="G371" s="438">
        <v>19.027999999999999</v>
      </c>
      <c r="H371" s="438">
        <v>29.114000000000001</v>
      </c>
      <c r="I371" s="438">
        <v>18.981000000000002</v>
      </c>
      <c r="J371" s="11"/>
      <c r="Q371" s="348">
        <f t="shared" si="48"/>
        <v>26.970431298526247</v>
      </c>
      <c r="R371" s="348">
        <f t="shared" si="49"/>
        <v>18.996746837371525</v>
      </c>
      <c r="S371" s="348">
        <f t="shared" si="50"/>
        <v>15.159909275390936</v>
      </c>
      <c r="T371" s="348">
        <f t="shared" si="51"/>
        <v>13.598005149523575</v>
      </c>
      <c r="U371" s="348">
        <f t="shared" si="52"/>
        <v>26.970431298526247</v>
      </c>
      <c r="V371" s="348">
        <f t="shared" si="53"/>
        <v>18.981749024679733</v>
      </c>
      <c r="W371" s="348">
        <f t="shared" si="54"/>
        <v>28.911171142875386</v>
      </c>
      <c r="X371" s="348">
        <f t="shared" si="55"/>
        <v>18.877834054246758</v>
      </c>
    </row>
    <row r="372" spans="1:24" x14ac:dyDescent="0.2">
      <c r="A372" s="407">
        <v>364</v>
      </c>
      <c r="B372" s="438">
        <v>27.03</v>
      </c>
      <c r="C372" s="437">
        <v>19.029</v>
      </c>
      <c r="D372" s="438">
        <v>15.319000000000001</v>
      </c>
      <c r="E372" s="438">
        <v>13.574999999999999</v>
      </c>
      <c r="F372" s="437">
        <v>27.03</v>
      </c>
      <c r="G372" s="438">
        <v>19.029</v>
      </c>
      <c r="H372" s="437">
        <v>29.113</v>
      </c>
      <c r="I372" s="438">
        <v>18.983000000000001</v>
      </c>
      <c r="J372" s="11"/>
      <c r="Q372" s="348">
        <f t="shared" si="48"/>
        <v>26.970431298526247</v>
      </c>
      <c r="R372" s="348">
        <f t="shared" si="49"/>
        <v>18.997752956527993</v>
      </c>
      <c r="S372" s="348">
        <f t="shared" si="50"/>
        <v>15.158909769957901</v>
      </c>
      <c r="T372" s="348">
        <f t="shared" si="51"/>
        <v>13.594002062487613</v>
      </c>
      <c r="U372" s="348">
        <f t="shared" si="52"/>
        <v>26.970431298526247</v>
      </c>
      <c r="V372" s="348">
        <f t="shared" si="53"/>
        <v>18.982750288845423</v>
      </c>
      <c r="W372" s="348">
        <f t="shared" si="54"/>
        <v>28.910174400567616</v>
      </c>
      <c r="X372" s="348">
        <f t="shared" si="55"/>
        <v>18.879823205240843</v>
      </c>
    </row>
    <row r="373" spans="1:24" x14ac:dyDescent="0.2">
      <c r="A373" s="407">
        <v>365</v>
      </c>
      <c r="B373" s="438">
        <v>27.035</v>
      </c>
      <c r="C373" s="438">
        <v>19.033000000000001</v>
      </c>
      <c r="D373" s="438">
        <v>15.321999999999999</v>
      </c>
      <c r="E373" s="438">
        <v>13.581</v>
      </c>
      <c r="F373" s="438">
        <v>27.035</v>
      </c>
      <c r="G373" s="438">
        <v>19.033000000000001</v>
      </c>
      <c r="H373" s="438">
        <v>29.111999999999998</v>
      </c>
      <c r="I373" s="438">
        <v>18.981999999999999</v>
      </c>
      <c r="J373" s="11"/>
      <c r="Q373" s="348">
        <f t="shared" si="48"/>
        <v>26.975405901251705</v>
      </c>
      <c r="R373" s="348">
        <f t="shared" si="49"/>
        <v>19.001777426035254</v>
      </c>
      <c r="S373" s="348">
        <f t="shared" si="50"/>
        <v>15.161908288968682</v>
      </c>
      <c r="T373" s="348">
        <f t="shared" si="51"/>
        <v>13.600006692556182</v>
      </c>
      <c r="U373" s="348">
        <f t="shared" si="52"/>
        <v>26.975405901251705</v>
      </c>
      <c r="V373" s="348">
        <f t="shared" si="53"/>
        <v>18.986755346025106</v>
      </c>
      <c r="W373" s="348">
        <f t="shared" si="54"/>
        <v>28.909177660849686</v>
      </c>
      <c r="X373" s="348">
        <f t="shared" si="55"/>
        <v>18.878828629595329</v>
      </c>
    </row>
    <row r="374" spans="1:24" x14ac:dyDescent="0.2">
      <c r="A374" s="407">
        <v>366</v>
      </c>
      <c r="B374" s="438">
        <v>27.027000000000001</v>
      </c>
      <c r="C374" s="438">
        <v>19.030999999999999</v>
      </c>
      <c r="D374" s="438">
        <v>15.318</v>
      </c>
      <c r="E374" s="438">
        <v>13.582000000000001</v>
      </c>
      <c r="F374" s="438">
        <v>27.027000000000001</v>
      </c>
      <c r="G374" s="438">
        <v>19.030999999999999</v>
      </c>
      <c r="H374" s="438">
        <v>29.113</v>
      </c>
      <c r="I374" s="438">
        <v>18.981000000000002</v>
      </c>
      <c r="J374" s="11"/>
      <c r="Q374" s="348">
        <f t="shared" si="48"/>
        <v>26.967446534119997</v>
      </c>
      <c r="R374" s="348">
        <f t="shared" si="49"/>
        <v>18.999765192705532</v>
      </c>
      <c r="S374" s="348">
        <f t="shared" si="50"/>
        <v>15.157910265428947</v>
      </c>
      <c r="T374" s="348">
        <f t="shared" si="51"/>
        <v>13.60100746395109</v>
      </c>
      <c r="U374" s="348">
        <f t="shared" si="52"/>
        <v>26.967446534119997</v>
      </c>
      <c r="V374" s="348">
        <f t="shared" si="53"/>
        <v>18.984752817332026</v>
      </c>
      <c r="W374" s="348">
        <f t="shared" si="54"/>
        <v>28.910174400567616</v>
      </c>
      <c r="X374" s="348">
        <f t="shared" si="55"/>
        <v>18.877834054246758</v>
      </c>
    </row>
    <row r="375" spans="1:24" x14ac:dyDescent="0.2">
      <c r="A375" s="407">
        <v>367</v>
      </c>
      <c r="B375" s="438">
        <v>27.033999999999999</v>
      </c>
      <c r="C375" s="438">
        <v>19.027999999999999</v>
      </c>
      <c r="D375" s="437">
        <v>15.321999999999999</v>
      </c>
      <c r="E375" s="438">
        <v>13.581</v>
      </c>
      <c r="F375" s="438">
        <v>27.033999999999999</v>
      </c>
      <c r="G375" s="438">
        <v>19.027999999999999</v>
      </c>
      <c r="H375" s="438">
        <v>29.114999999999998</v>
      </c>
      <c r="I375" s="438">
        <v>18.98</v>
      </c>
      <c r="J375" s="11"/>
      <c r="Q375" s="348">
        <f t="shared" si="48"/>
        <v>26.974410981168305</v>
      </c>
      <c r="R375" s="348">
        <f t="shared" si="49"/>
        <v>18.996746837371525</v>
      </c>
      <c r="S375" s="348">
        <f t="shared" si="50"/>
        <v>15.161908288968682</v>
      </c>
      <c r="T375" s="348">
        <f t="shared" si="51"/>
        <v>13.600006692556182</v>
      </c>
      <c r="U375" s="348">
        <f t="shared" si="52"/>
        <v>26.974410981168305</v>
      </c>
      <c r="V375" s="348">
        <f t="shared" si="53"/>
        <v>18.981749024679733</v>
      </c>
      <c r="W375" s="348">
        <f t="shared" si="54"/>
        <v>28.912167887772974</v>
      </c>
      <c r="X375" s="348">
        <f t="shared" si="55"/>
        <v>18.876839479195091</v>
      </c>
    </row>
    <row r="376" spans="1:24" x14ac:dyDescent="0.2">
      <c r="A376" s="407">
        <v>368</v>
      </c>
      <c r="B376" s="438">
        <v>27.032</v>
      </c>
      <c r="C376" s="438">
        <v>19.030999999999999</v>
      </c>
      <c r="D376" s="438">
        <v>15.321</v>
      </c>
      <c r="E376" s="438">
        <v>13.585000000000001</v>
      </c>
      <c r="F376" s="438">
        <v>27.032</v>
      </c>
      <c r="G376" s="438">
        <v>19.030999999999999</v>
      </c>
      <c r="H376" s="438">
        <v>29.11</v>
      </c>
      <c r="I376" s="438">
        <v>18.978000000000002</v>
      </c>
      <c r="J376" s="11"/>
      <c r="Q376" s="348">
        <f t="shared" si="48"/>
        <v>26.972421140309027</v>
      </c>
      <c r="R376" s="348">
        <f t="shared" si="49"/>
        <v>18.999765192705532</v>
      </c>
      <c r="S376" s="348">
        <f t="shared" si="50"/>
        <v>15.160908781727908</v>
      </c>
      <c r="T376" s="348">
        <f t="shared" si="51"/>
        <v>13.604009777650038</v>
      </c>
      <c r="U376" s="348">
        <f t="shared" si="52"/>
        <v>26.972421140309027</v>
      </c>
      <c r="V376" s="348">
        <f t="shared" si="53"/>
        <v>18.984752817332026</v>
      </c>
      <c r="W376" s="348">
        <f t="shared" si="54"/>
        <v>28.907184189183461</v>
      </c>
      <c r="X376" s="348">
        <f t="shared" si="55"/>
        <v>18.874850329982394</v>
      </c>
    </row>
    <row r="377" spans="1:24" x14ac:dyDescent="0.2">
      <c r="A377" s="407">
        <v>369</v>
      </c>
      <c r="B377" s="438">
        <v>27.027000000000001</v>
      </c>
      <c r="C377" s="438">
        <v>19.029</v>
      </c>
      <c r="D377" s="438">
        <v>15.323</v>
      </c>
      <c r="E377" s="437">
        <v>13.584</v>
      </c>
      <c r="F377" s="438">
        <v>27.027000000000001</v>
      </c>
      <c r="G377" s="438">
        <v>19.029</v>
      </c>
      <c r="H377" s="438">
        <v>29.109000000000002</v>
      </c>
      <c r="I377" s="438">
        <v>18.978000000000002</v>
      </c>
      <c r="J377" s="11"/>
      <c r="Q377" s="348">
        <f t="shared" si="48"/>
        <v>26.967446534119997</v>
      </c>
      <c r="R377" s="348">
        <f t="shared" si="49"/>
        <v>18.997752956527993</v>
      </c>
      <c r="S377" s="348">
        <f t="shared" si="50"/>
        <v>15.162907797113119</v>
      </c>
      <c r="T377" s="348">
        <f t="shared" si="51"/>
        <v>13.603009006498031</v>
      </c>
      <c r="U377" s="348">
        <f t="shared" si="52"/>
        <v>26.967446534119997</v>
      </c>
      <c r="V377" s="348">
        <f t="shared" si="53"/>
        <v>18.982750288845423</v>
      </c>
      <c r="W377" s="348">
        <f t="shared" si="54"/>
        <v>28.906187457235202</v>
      </c>
      <c r="X377" s="348">
        <f t="shared" si="55"/>
        <v>18.874850329982394</v>
      </c>
    </row>
    <row r="378" spans="1:24" x14ac:dyDescent="0.2">
      <c r="A378" s="407">
        <v>370</v>
      </c>
      <c r="B378" s="438">
        <v>27.033999999999999</v>
      </c>
      <c r="C378" s="438">
        <v>19.033999999999999</v>
      </c>
      <c r="D378" s="438">
        <v>15.324</v>
      </c>
      <c r="E378" s="438">
        <v>13.583</v>
      </c>
      <c r="F378" s="438">
        <v>27.033999999999999</v>
      </c>
      <c r="G378" s="438">
        <v>19.033999999999999</v>
      </c>
      <c r="H378" s="438">
        <v>29.111999999999998</v>
      </c>
      <c r="I378" s="438">
        <v>18.978999999999999</v>
      </c>
      <c r="J378" s="11"/>
      <c r="Q378" s="348">
        <f t="shared" si="48"/>
        <v>26.974410981168305</v>
      </c>
      <c r="R378" s="348">
        <f t="shared" si="49"/>
        <v>19.002783541631942</v>
      </c>
      <c r="S378" s="348">
        <f t="shared" si="50"/>
        <v>15.163907306161075</v>
      </c>
      <c r="T378" s="348">
        <f t="shared" si="51"/>
        <v>13.602008235265044</v>
      </c>
      <c r="U378" s="348">
        <f t="shared" si="52"/>
        <v>26.974410981168305</v>
      </c>
      <c r="V378" s="348">
        <f t="shared" si="53"/>
        <v>18.987756610448876</v>
      </c>
      <c r="W378" s="348">
        <f t="shared" si="54"/>
        <v>28.909177660849686</v>
      </c>
      <c r="X378" s="348">
        <f t="shared" si="55"/>
        <v>18.87584490444031</v>
      </c>
    </row>
    <row r="379" spans="1:24" x14ac:dyDescent="0.2">
      <c r="A379" s="407">
        <v>371</v>
      </c>
      <c r="B379" s="438">
        <v>27.033000000000001</v>
      </c>
      <c r="C379" s="438">
        <v>19.033999999999999</v>
      </c>
      <c r="D379" s="438">
        <v>15.324</v>
      </c>
      <c r="E379" s="438">
        <v>13.587</v>
      </c>
      <c r="F379" s="438">
        <v>27.033000000000001</v>
      </c>
      <c r="G379" s="438">
        <v>19.033999999999999</v>
      </c>
      <c r="H379" s="438">
        <v>29.109000000000002</v>
      </c>
      <c r="I379" s="438">
        <v>18.977</v>
      </c>
      <c r="J379" s="11"/>
      <c r="Q379" s="348">
        <f t="shared" si="48"/>
        <v>26.973416060854092</v>
      </c>
      <c r="R379" s="348">
        <f t="shared" si="49"/>
        <v>19.002783541631942</v>
      </c>
      <c r="S379" s="348">
        <f t="shared" si="50"/>
        <v>15.163907306161075</v>
      </c>
      <c r="T379" s="348">
        <f t="shared" si="51"/>
        <v>13.606011319711039</v>
      </c>
      <c r="U379" s="348">
        <f t="shared" si="52"/>
        <v>26.973416060854092</v>
      </c>
      <c r="V379" s="348">
        <f t="shared" si="53"/>
        <v>18.987756610448876</v>
      </c>
      <c r="W379" s="348">
        <f t="shared" si="54"/>
        <v>28.906187457235202</v>
      </c>
      <c r="X379" s="348">
        <f t="shared" si="55"/>
        <v>18.873855755821314</v>
      </c>
    </row>
    <row r="380" spans="1:24" x14ac:dyDescent="0.2">
      <c r="A380" s="407">
        <v>372</v>
      </c>
      <c r="B380" s="438">
        <v>27.035</v>
      </c>
      <c r="C380" s="438">
        <v>19.036000000000001</v>
      </c>
      <c r="D380" s="438">
        <v>15.326000000000001</v>
      </c>
      <c r="E380" s="438">
        <v>13.587999999999999</v>
      </c>
      <c r="F380" s="438">
        <v>27.035</v>
      </c>
      <c r="G380" s="438">
        <v>19.036000000000001</v>
      </c>
      <c r="H380" s="438">
        <v>29.111999999999998</v>
      </c>
      <c r="I380" s="438">
        <v>18.977</v>
      </c>
      <c r="J380" s="11"/>
      <c r="Q380" s="348">
        <f t="shared" si="48"/>
        <v>26.975405901251705</v>
      </c>
      <c r="R380" s="348">
        <f t="shared" si="49"/>
        <v>19.004795770688506</v>
      </c>
      <c r="S380" s="348">
        <f t="shared" si="50"/>
        <v>15.165906326966988</v>
      </c>
      <c r="T380" s="348">
        <f t="shared" si="51"/>
        <v>13.607012090620003</v>
      </c>
      <c r="U380" s="348">
        <f t="shared" si="52"/>
        <v>26.975405901251705</v>
      </c>
      <c r="V380" s="348">
        <f t="shared" si="53"/>
        <v>18.989759139450531</v>
      </c>
      <c r="W380" s="348">
        <f t="shared" si="54"/>
        <v>28.909177660849686</v>
      </c>
      <c r="X380" s="348">
        <f t="shared" si="55"/>
        <v>18.873855755821314</v>
      </c>
    </row>
    <row r="381" spans="1:24" x14ac:dyDescent="0.2">
      <c r="A381" s="407">
        <v>373</v>
      </c>
      <c r="B381" s="438">
        <v>27.033000000000001</v>
      </c>
      <c r="C381" s="438">
        <v>19.035</v>
      </c>
      <c r="D381" s="438">
        <v>15.327</v>
      </c>
      <c r="E381" s="438">
        <v>13.584</v>
      </c>
      <c r="F381" s="438">
        <v>27.033000000000001</v>
      </c>
      <c r="G381" s="438">
        <v>19.035</v>
      </c>
      <c r="H381" s="438">
        <v>29.11</v>
      </c>
      <c r="I381" s="438">
        <v>18.974</v>
      </c>
      <c r="J381" s="11"/>
      <c r="Q381" s="348">
        <f t="shared" si="48"/>
        <v>26.973416060854092</v>
      </c>
      <c r="R381" s="348">
        <f t="shared" si="49"/>
        <v>19.003789656516393</v>
      </c>
      <c r="S381" s="348">
        <f t="shared" si="50"/>
        <v>15.166905838724666</v>
      </c>
      <c r="T381" s="348">
        <f t="shared" si="51"/>
        <v>13.603009006498031</v>
      </c>
      <c r="U381" s="348">
        <f t="shared" si="52"/>
        <v>26.973416060854092</v>
      </c>
      <c r="V381" s="348">
        <f t="shared" si="53"/>
        <v>18.988757874924048</v>
      </c>
      <c r="W381" s="348">
        <f t="shared" si="54"/>
        <v>28.907184189183461</v>
      </c>
      <c r="X381" s="348">
        <f t="shared" si="55"/>
        <v>18.87087203511884</v>
      </c>
    </row>
    <row r="382" spans="1:24" x14ac:dyDescent="0.2">
      <c r="A382" s="407">
        <v>374</v>
      </c>
      <c r="B382" s="438">
        <v>27.032</v>
      </c>
      <c r="C382" s="438">
        <v>19.036000000000001</v>
      </c>
      <c r="D382" s="438">
        <v>15.324</v>
      </c>
      <c r="E382" s="438">
        <v>13.583</v>
      </c>
      <c r="F382" s="438">
        <v>27.032</v>
      </c>
      <c r="G382" s="438">
        <v>19.036000000000001</v>
      </c>
      <c r="H382" s="438">
        <v>29.111999999999998</v>
      </c>
      <c r="I382" s="438">
        <v>18.974</v>
      </c>
      <c r="J382" s="11"/>
      <c r="Q382" s="348">
        <f t="shared" si="48"/>
        <v>26.972421140309027</v>
      </c>
      <c r="R382" s="348">
        <f t="shared" si="49"/>
        <v>19.004795770688506</v>
      </c>
      <c r="S382" s="348">
        <f t="shared" si="50"/>
        <v>15.163907306161075</v>
      </c>
      <c r="T382" s="348">
        <f t="shared" si="51"/>
        <v>13.602008235265044</v>
      </c>
      <c r="U382" s="348">
        <f t="shared" si="52"/>
        <v>26.972421140309027</v>
      </c>
      <c r="V382" s="348">
        <f t="shared" si="53"/>
        <v>18.989759139450531</v>
      </c>
      <c r="W382" s="348">
        <f t="shared" si="54"/>
        <v>28.909177660849686</v>
      </c>
      <c r="X382" s="348">
        <f t="shared" si="55"/>
        <v>18.87087203511884</v>
      </c>
    </row>
    <row r="383" spans="1:24" x14ac:dyDescent="0.2">
      <c r="A383" s="407">
        <v>375</v>
      </c>
      <c r="B383" s="438">
        <v>27.027000000000001</v>
      </c>
      <c r="C383" s="438">
        <v>19.035</v>
      </c>
      <c r="D383" s="438">
        <v>15.327</v>
      </c>
      <c r="E383" s="438">
        <v>13.587</v>
      </c>
      <c r="F383" s="438">
        <v>27.027000000000001</v>
      </c>
      <c r="G383" s="438">
        <v>19.035</v>
      </c>
      <c r="H383" s="438">
        <v>29.108000000000001</v>
      </c>
      <c r="I383" s="438">
        <v>18.972999999999999</v>
      </c>
      <c r="J383" s="11"/>
      <c r="Q383" s="348">
        <f t="shared" si="48"/>
        <v>26.967446534119997</v>
      </c>
      <c r="R383" s="348">
        <f t="shared" si="49"/>
        <v>19.003789656516393</v>
      </c>
      <c r="S383" s="348">
        <f t="shared" si="50"/>
        <v>15.166905838724666</v>
      </c>
      <c r="T383" s="348">
        <f t="shared" si="51"/>
        <v>13.606011319711039</v>
      </c>
      <c r="U383" s="348">
        <f t="shared" si="52"/>
        <v>26.967446534119997</v>
      </c>
      <c r="V383" s="348">
        <f t="shared" si="53"/>
        <v>18.988757874924048</v>
      </c>
      <c r="W383" s="348">
        <f t="shared" si="54"/>
        <v>28.905190727876867</v>
      </c>
      <c r="X383" s="348">
        <f t="shared" si="55"/>
        <v>18.869877462144856</v>
      </c>
    </row>
    <row r="384" spans="1:24" x14ac:dyDescent="0.2">
      <c r="A384" s="407">
        <v>376</v>
      </c>
      <c r="B384" s="437">
        <v>27.021999999999998</v>
      </c>
      <c r="C384" s="438">
        <v>19.035</v>
      </c>
      <c r="D384" s="438">
        <v>15.324999999999999</v>
      </c>
      <c r="E384" s="438">
        <v>13.582000000000001</v>
      </c>
      <c r="F384" s="438">
        <v>27.021999999999998</v>
      </c>
      <c r="G384" s="438">
        <v>19.035</v>
      </c>
      <c r="H384" s="438">
        <v>29.108000000000001</v>
      </c>
      <c r="I384" s="438">
        <v>18.975000000000001</v>
      </c>
      <c r="J384" s="11"/>
      <c r="Q384" s="348">
        <f t="shared" si="48"/>
        <v>26.962471922155444</v>
      </c>
      <c r="R384" s="348">
        <f t="shared" si="49"/>
        <v>19.003789656516393</v>
      </c>
      <c r="S384" s="348">
        <f t="shared" si="50"/>
        <v>15.164906816112412</v>
      </c>
      <c r="T384" s="348">
        <f t="shared" si="51"/>
        <v>13.60100746395109</v>
      </c>
      <c r="U384" s="348">
        <f t="shared" si="52"/>
        <v>26.962471922155444</v>
      </c>
      <c r="V384" s="348">
        <f t="shared" si="53"/>
        <v>18.988757874924048</v>
      </c>
      <c r="W384" s="348">
        <f t="shared" si="54"/>
        <v>28.905190727876867</v>
      </c>
      <c r="X384" s="348">
        <f t="shared" si="55"/>
        <v>18.871866608389563</v>
      </c>
    </row>
    <row r="385" spans="1:24" x14ac:dyDescent="0.2">
      <c r="A385" s="407">
        <v>377</v>
      </c>
      <c r="B385" s="438">
        <v>27.033999999999999</v>
      </c>
      <c r="C385" s="438">
        <v>19.033999999999999</v>
      </c>
      <c r="D385" s="438">
        <v>15.324999999999999</v>
      </c>
      <c r="E385" s="438">
        <v>13.584</v>
      </c>
      <c r="F385" s="438">
        <v>27.033999999999999</v>
      </c>
      <c r="G385" s="438">
        <v>19.033999999999999</v>
      </c>
      <c r="H385" s="438">
        <v>29.106999999999999</v>
      </c>
      <c r="I385" s="438">
        <v>18.975000000000001</v>
      </c>
      <c r="J385" s="11"/>
      <c r="Q385" s="348">
        <f t="shared" si="48"/>
        <v>26.974410981168305</v>
      </c>
      <c r="R385" s="348">
        <f t="shared" si="49"/>
        <v>19.002783541631942</v>
      </c>
      <c r="S385" s="348">
        <f t="shared" si="50"/>
        <v>15.164906816112412</v>
      </c>
      <c r="T385" s="348">
        <f t="shared" si="51"/>
        <v>13.603009006498031</v>
      </c>
      <c r="U385" s="348">
        <f t="shared" si="52"/>
        <v>26.974410981168305</v>
      </c>
      <c r="V385" s="348">
        <f t="shared" si="53"/>
        <v>18.987756610448876</v>
      </c>
      <c r="W385" s="348">
        <f t="shared" si="54"/>
        <v>28.904194001108493</v>
      </c>
      <c r="X385" s="348">
        <f t="shared" si="55"/>
        <v>18.871866608389563</v>
      </c>
    </row>
    <row r="386" spans="1:24" x14ac:dyDescent="0.2">
      <c r="A386" s="407">
        <v>378</v>
      </c>
      <c r="B386" s="438">
        <v>27.03</v>
      </c>
      <c r="C386" s="438">
        <v>19.033000000000001</v>
      </c>
      <c r="D386" s="438">
        <v>15.324999999999999</v>
      </c>
      <c r="E386" s="438">
        <v>13.583</v>
      </c>
      <c r="F386" s="438">
        <v>27.03</v>
      </c>
      <c r="G386" s="438">
        <v>19.033000000000001</v>
      </c>
      <c r="H386" s="438">
        <v>29.105</v>
      </c>
      <c r="I386" s="438">
        <v>18.975000000000001</v>
      </c>
      <c r="J386" s="11"/>
      <c r="Q386" s="348">
        <f t="shared" si="48"/>
        <v>26.970431298526247</v>
      </c>
      <c r="R386" s="348">
        <f t="shared" si="49"/>
        <v>19.001777426035254</v>
      </c>
      <c r="S386" s="348">
        <f t="shared" si="50"/>
        <v>15.164906816112412</v>
      </c>
      <c r="T386" s="348">
        <f t="shared" si="51"/>
        <v>13.602008235265044</v>
      </c>
      <c r="U386" s="348">
        <f t="shared" si="52"/>
        <v>26.970431298526247</v>
      </c>
      <c r="V386" s="348">
        <f t="shared" si="53"/>
        <v>18.986755346025106</v>
      </c>
      <c r="W386" s="348">
        <f t="shared" si="54"/>
        <v>28.90220055534169</v>
      </c>
      <c r="X386" s="348">
        <f t="shared" si="55"/>
        <v>18.871866608389563</v>
      </c>
    </row>
    <row r="387" spans="1:24" x14ac:dyDescent="0.2">
      <c r="A387" s="407">
        <v>379</v>
      </c>
      <c r="B387" s="438">
        <v>27.027000000000001</v>
      </c>
      <c r="C387" s="438">
        <v>19.033000000000001</v>
      </c>
      <c r="D387" s="438">
        <v>15.323</v>
      </c>
      <c r="E387" s="438">
        <v>13.581</v>
      </c>
      <c r="F387" s="438">
        <v>27.027000000000001</v>
      </c>
      <c r="G387" s="438">
        <v>19.033000000000001</v>
      </c>
      <c r="H387" s="438">
        <v>29.111999999999998</v>
      </c>
      <c r="I387" s="438">
        <v>18.978999999999999</v>
      </c>
      <c r="J387" s="11"/>
      <c r="Q387" s="348">
        <f t="shared" si="48"/>
        <v>26.967446534119997</v>
      </c>
      <c r="R387" s="348">
        <f t="shared" si="49"/>
        <v>19.001777426035254</v>
      </c>
      <c r="S387" s="348">
        <f t="shared" si="50"/>
        <v>15.162907797113119</v>
      </c>
      <c r="T387" s="348">
        <f t="shared" si="51"/>
        <v>13.600006692556182</v>
      </c>
      <c r="U387" s="348">
        <f t="shared" si="52"/>
        <v>26.967446534119997</v>
      </c>
      <c r="V387" s="348">
        <f t="shared" si="53"/>
        <v>18.986755346025106</v>
      </c>
      <c r="W387" s="348">
        <f t="shared" si="54"/>
        <v>28.909177660849686</v>
      </c>
      <c r="X387" s="348">
        <f t="shared" si="55"/>
        <v>18.87584490444031</v>
      </c>
    </row>
    <row r="388" spans="1:24" x14ac:dyDescent="0.2">
      <c r="A388" s="407">
        <v>380</v>
      </c>
      <c r="B388" s="438">
        <v>27.024000000000001</v>
      </c>
      <c r="C388" s="438">
        <v>19.033000000000001</v>
      </c>
      <c r="D388" s="438">
        <v>15.326000000000001</v>
      </c>
      <c r="E388" s="438">
        <v>13.582000000000001</v>
      </c>
      <c r="F388" s="438">
        <v>27.024000000000001</v>
      </c>
      <c r="G388" s="438">
        <v>19.033000000000001</v>
      </c>
      <c r="H388" s="438">
        <v>29.11</v>
      </c>
      <c r="I388" s="438">
        <v>18.975999999999999</v>
      </c>
      <c r="J388" s="11"/>
      <c r="Q388" s="348">
        <f t="shared" si="48"/>
        <v>26.96446176763456</v>
      </c>
      <c r="R388" s="348">
        <f t="shared" si="49"/>
        <v>19.001777426035254</v>
      </c>
      <c r="S388" s="348">
        <f t="shared" si="50"/>
        <v>15.165906326966988</v>
      </c>
      <c r="T388" s="348">
        <f t="shared" si="51"/>
        <v>13.60100746395109</v>
      </c>
      <c r="U388" s="348">
        <f t="shared" si="52"/>
        <v>26.96446176763456</v>
      </c>
      <c r="V388" s="348">
        <f t="shared" si="53"/>
        <v>18.986755346025106</v>
      </c>
      <c r="W388" s="348">
        <f t="shared" si="54"/>
        <v>28.907184189183461</v>
      </c>
      <c r="X388" s="348">
        <f t="shared" si="55"/>
        <v>18.872861181957042</v>
      </c>
    </row>
    <row r="389" spans="1:24" x14ac:dyDescent="0.2">
      <c r="A389" s="407">
        <v>381</v>
      </c>
      <c r="B389" s="438">
        <v>27.023</v>
      </c>
      <c r="C389" s="438">
        <v>19.033000000000001</v>
      </c>
      <c r="D389" s="438">
        <v>15.323</v>
      </c>
      <c r="E389" s="438">
        <v>13.582000000000001</v>
      </c>
      <c r="F389" s="438">
        <v>27.023</v>
      </c>
      <c r="G389" s="438">
        <v>19.033000000000001</v>
      </c>
      <c r="H389" s="438">
        <v>29.108000000000001</v>
      </c>
      <c r="I389" s="438">
        <v>18.978999999999999</v>
      </c>
      <c r="J389" s="11"/>
      <c r="Q389" s="348">
        <f t="shared" si="48"/>
        <v>26.963466845010572</v>
      </c>
      <c r="R389" s="348">
        <f t="shared" si="49"/>
        <v>19.001777426035254</v>
      </c>
      <c r="S389" s="348">
        <f t="shared" si="50"/>
        <v>15.162907797113119</v>
      </c>
      <c r="T389" s="348">
        <f t="shared" si="51"/>
        <v>13.60100746395109</v>
      </c>
      <c r="U389" s="348">
        <f t="shared" si="52"/>
        <v>26.963466845010572</v>
      </c>
      <c r="V389" s="348">
        <f t="shared" si="53"/>
        <v>18.986755346025106</v>
      </c>
      <c r="W389" s="348">
        <f t="shared" si="54"/>
        <v>28.905190727876867</v>
      </c>
      <c r="X389" s="348">
        <f t="shared" si="55"/>
        <v>18.87584490444031</v>
      </c>
    </row>
    <row r="390" spans="1:24" x14ac:dyDescent="0.2">
      <c r="A390" s="407">
        <v>382</v>
      </c>
      <c r="B390" s="438">
        <v>27.02</v>
      </c>
      <c r="C390" s="438">
        <v>19.032</v>
      </c>
      <c r="D390" s="438">
        <v>15.321999999999999</v>
      </c>
      <c r="E390" s="438">
        <v>13.587</v>
      </c>
      <c r="F390" s="438">
        <v>27.02</v>
      </c>
      <c r="G390" s="438">
        <v>19.032</v>
      </c>
      <c r="H390" s="438">
        <v>29.106000000000002</v>
      </c>
      <c r="I390" s="438">
        <v>18.98</v>
      </c>
      <c r="J390" s="11"/>
      <c r="Q390" s="348">
        <f t="shared" si="48"/>
        <v>26.960482075751671</v>
      </c>
      <c r="R390" s="348">
        <f t="shared" si="49"/>
        <v>19.000771309726417</v>
      </c>
      <c r="S390" s="348">
        <f t="shared" si="50"/>
        <v>15.161908288968682</v>
      </c>
      <c r="T390" s="348">
        <f t="shared" si="51"/>
        <v>13.606011319711039</v>
      </c>
      <c r="U390" s="348">
        <f t="shared" si="52"/>
        <v>26.960482075751671</v>
      </c>
      <c r="V390" s="348">
        <f t="shared" si="53"/>
        <v>18.985754081652793</v>
      </c>
      <c r="W390" s="348">
        <f t="shared" si="54"/>
        <v>28.903197276930097</v>
      </c>
      <c r="X390" s="348">
        <f t="shared" si="55"/>
        <v>18.876839479195091</v>
      </c>
    </row>
    <row r="391" spans="1:24" x14ac:dyDescent="0.2">
      <c r="A391" s="407">
        <v>383</v>
      </c>
      <c r="B391" s="438">
        <v>27.030999999999999</v>
      </c>
      <c r="C391" s="438">
        <v>19.03</v>
      </c>
      <c r="D391" s="438">
        <v>15.327999999999999</v>
      </c>
      <c r="E391" s="438">
        <v>13.586</v>
      </c>
      <c r="F391" s="438">
        <v>27.030999999999999</v>
      </c>
      <c r="G391" s="438">
        <v>19.03</v>
      </c>
      <c r="H391" s="438">
        <v>29.11</v>
      </c>
      <c r="I391" s="438">
        <v>18.984000000000002</v>
      </c>
      <c r="J391" s="11"/>
      <c r="Q391" s="348">
        <f t="shared" si="48"/>
        <v>26.97142621953309</v>
      </c>
      <c r="R391" s="348">
        <f t="shared" si="49"/>
        <v>18.998759074972693</v>
      </c>
      <c r="S391" s="348">
        <f t="shared" si="50"/>
        <v>15.167905351385304</v>
      </c>
      <c r="T391" s="348">
        <f t="shared" si="51"/>
        <v>13.605010548721044</v>
      </c>
      <c r="U391" s="348">
        <f t="shared" si="52"/>
        <v>26.97142621953309</v>
      </c>
      <c r="V391" s="348">
        <f t="shared" si="53"/>
        <v>18.983751553062881</v>
      </c>
      <c r="W391" s="348">
        <f t="shared" si="54"/>
        <v>28.907184189183461</v>
      </c>
      <c r="X391" s="348">
        <f t="shared" si="55"/>
        <v>18.880817781183314</v>
      </c>
    </row>
    <row r="392" spans="1:24" x14ac:dyDescent="0.2">
      <c r="A392" s="407">
        <v>384</v>
      </c>
      <c r="B392" s="437">
        <v>27.023</v>
      </c>
      <c r="C392" s="438">
        <v>19.027999999999999</v>
      </c>
      <c r="D392" s="438">
        <v>15.324999999999999</v>
      </c>
      <c r="E392" s="438">
        <v>13.583</v>
      </c>
      <c r="F392" s="438">
        <v>27.023</v>
      </c>
      <c r="G392" s="438">
        <v>19.027999999999999</v>
      </c>
      <c r="H392" s="438">
        <v>29.106000000000002</v>
      </c>
      <c r="I392" s="438">
        <v>18.984000000000002</v>
      </c>
      <c r="J392" s="11"/>
      <c r="Q392" s="348">
        <f t="shared" si="48"/>
        <v>26.963466845010572</v>
      </c>
      <c r="R392" s="348">
        <f t="shared" si="49"/>
        <v>18.996746837371525</v>
      </c>
      <c r="S392" s="348">
        <f t="shared" si="50"/>
        <v>15.164906816112412</v>
      </c>
      <c r="T392" s="348">
        <f t="shared" si="51"/>
        <v>13.602008235265044</v>
      </c>
      <c r="U392" s="348">
        <f t="shared" si="52"/>
        <v>26.963466845010572</v>
      </c>
      <c r="V392" s="348">
        <f t="shared" si="53"/>
        <v>18.981749024679733</v>
      </c>
      <c r="W392" s="348">
        <f t="shared" si="54"/>
        <v>28.903197276930097</v>
      </c>
      <c r="X392" s="348">
        <f t="shared" si="55"/>
        <v>18.880817781183314</v>
      </c>
    </row>
    <row r="393" spans="1:24" x14ac:dyDescent="0.2">
      <c r="A393" s="407">
        <v>385</v>
      </c>
      <c r="B393" s="438">
        <v>27.024000000000001</v>
      </c>
      <c r="C393" s="438">
        <v>19.027999999999999</v>
      </c>
      <c r="D393" s="438">
        <v>15.324999999999999</v>
      </c>
      <c r="E393" s="438">
        <v>13.582000000000001</v>
      </c>
      <c r="F393" s="438">
        <v>27.024000000000001</v>
      </c>
      <c r="G393" s="438">
        <v>19.027999999999999</v>
      </c>
      <c r="H393" s="438">
        <v>29.109000000000002</v>
      </c>
      <c r="I393" s="438">
        <v>18.983000000000001</v>
      </c>
      <c r="J393" s="11"/>
      <c r="Q393" s="348">
        <f t="shared" si="48"/>
        <v>26.96446176763456</v>
      </c>
      <c r="R393" s="348">
        <f t="shared" si="49"/>
        <v>18.996746837371525</v>
      </c>
      <c r="S393" s="348">
        <f t="shared" si="50"/>
        <v>15.164906816112412</v>
      </c>
      <c r="T393" s="348">
        <f t="shared" si="51"/>
        <v>13.60100746395109</v>
      </c>
      <c r="U393" s="348">
        <f t="shared" si="52"/>
        <v>26.96446176763456</v>
      </c>
      <c r="V393" s="348">
        <f t="shared" si="53"/>
        <v>18.981749024679733</v>
      </c>
      <c r="W393" s="348">
        <f t="shared" si="54"/>
        <v>28.906187457235202</v>
      </c>
      <c r="X393" s="348">
        <f t="shared" si="55"/>
        <v>18.879823205240843</v>
      </c>
    </row>
    <row r="394" spans="1:24" x14ac:dyDescent="0.2">
      <c r="A394" s="407">
        <v>386</v>
      </c>
      <c r="B394" s="438">
        <v>27.021000000000001</v>
      </c>
      <c r="C394" s="438">
        <v>19.023</v>
      </c>
      <c r="D394" s="438">
        <v>15.323</v>
      </c>
      <c r="E394" s="438">
        <v>13.581</v>
      </c>
      <c r="F394" s="438">
        <v>27.021000000000001</v>
      </c>
      <c r="G394" s="438">
        <v>19.023</v>
      </c>
      <c r="H394" s="438">
        <v>29.106999999999999</v>
      </c>
      <c r="I394" s="438">
        <v>18.984999999999999</v>
      </c>
      <c r="J394" s="11"/>
      <c r="Q394" s="348">
        <f t="shared" ref="Q394:Q457" si="56">IFERROR(B394^4*$AB$9+B394^3*$AC$9+B394^2*$AD$9+B394^1*$AE$9+B394^0*$AF$9,"")</f>
        <v>26.961476999069159</v>
      </c>
      <c r="R394" s="348">
        <f t="shared" ref="R394:R457" si="57">IFERROR(C394^4*$AB$10+C394^3*$AC$10+C394^2*$AD$10+C394^1*$AE$10+C394^0*$AF$10,"")</f>
        <v>18.99171623091604</v>
      </c>
      <c r="S394" s="348">
        <f t="shared" ref="S394:S457" si="58">IFERROR(D394^4*$AB$11+D394^3*$AC$11+D394^2*$AD$11+D394^1*$AE$11+D394^0*$AF$11,"")</f>
        <v>15.162907797113119</v>
      </c>
      <c r="T394" s="348">
        <f t="shared" ref="T394:T457" si="59">IFERROR(E394^4*$AB$12+E394^3*$AC$12+E394^2*$AD$12+E394^1*$AE$12+E394^0*$AF$12,"")</f>
        <v>13.600006692556182</v>
      </c>
      <c r="U394" s="348">
        <f t="shared" ref="U394:U457" si="60">IFERROR(F394^4*$AB$13+F394^3*$AC$13+F394^2*$AD$13+F394^1*$AE$13+F394^0*$AF$13,"")</f>
        <v>26.961476999069159</v>
      </c>
      <c r="V394" s="348">
        <f t="shared" ref="V394:V457" si="61">IFERROR(G394^4*$AB$14+G394^3*$AC$14+G394^2*$AD$14+G394^1*$AE$14+G394^0*$AF$14,"")</f>
        <v>18.976742704630418</v>
      </c>
      <c r="W394" s="348">
        <f t="shared" ref="W394:W457" si="62">IFERROR(H394^4*$AB$15+H394^3*$AC$15+H394^2*$AD$15+H394^1*$AE$15+H394^0*$AF$15,"")</f>
        <v>28.904194001108493</v>
      </c>
      <c r="X394" s="348">
        <f t="shared" ref="X394:X457" si="63">IFERROR(I394^4*$AB$16+I394^3*$AC$16+I394^2*$AD$16+I394^1*$AE$16+I394^0*$AF$16,"")</f>
        <v>18.881812357422771</v>
      </c>
    </row>
    <row r="395" spans="1:24" x14ac:dyDescent="0.2">
      <c r="A395" s="407">
        <v>387</v>
      </c>
      <c r="B395" s="438">
        <v>27.030999999999999</v>
      </c>
      <c r="C395" s="438">
        <v>19.021000000000001</v>
      </c>
      <c r="D395" s="438">
        <v>15.321</v>
      </c>
      <c r="E395" s="438">
        <v>13.577999999999999</v>
      </c>
      <c r="F395" s="438">
        <v>27.030999999999999</v>
      </c>
      <c r="G395" s="438">
        <v>19.021000000000001</v>
      </c>
      <c r="H395" s="438">
        <v>29.106000000000002</v>
      </c>
      <c r="I395" s="438">
        <v>18.984999999999999</v>
      </c>
      <c r="J395" s="11"/>
      <c r="Q395" s="348">
        <f t="shared" si="56"/>
        <v>26.97142621953309</v>
      </c>
      <c r="R395" s="348">
        <f t="shared" si="57"/>
        <v>18.989703983354815</v>
      </c>
      <c r="S395" s="348">
        <f t="shared" si="58"/>
        <v>15.160908781727908</v>
      </c>
      <c r="T395" s="348">
        <f t="shared" si="59"/>
        <v>13.597004377885904</v>
      </c>
      <c r="U395" s="348">
        <f t="shared" si="60"/>
        <v>26.97142621953309</v>
      </c>
      <c r="V395" s="348">
        <f t="shared" si="61"/>
        <v>18.97474017697569</v>
      </c>
      <c r="W395" s="348">
        <f t="shared" si="62"/>
        <v>28.903197276930097</v>
      </c>
      <c r="X395" s="348">
        <f t="shared" si="63"/>
        <v>18.881812357422771</v>
      </c>
    </row>
    <row r="396" spans="1:24" x14ac:dyDescent="0.2">
      <c r="A396" s="407">
        <v>388</v>
      </c>
      <c r="B396" s="438">
        <v>27.032</v>
      </c>
      <c r="C396" s="438">
        <v>19.015999999999998</v>
      </c>
      <c r="D396" s="438">
        <v>15.324</v>
      </c>
      <c r="E396" s="438">
        <v>13.574</v>
      </c>
      <c r="F396" s="438">
        <v>27.032</v>
      </c>
      <c r="G396" s="438">
        <v>19.015999999999998</v>
      </c>
      <c r="H396" s="438">
        <v>29.106000000000002</v>
      </c>
      <c r="I396" s="438">
        <v>18.989000000000001</v>
      </c>
      <c r="J396" s="11"/>
      <c r="Q396" s="348">
        <f t="shared" si="56"/>
        <v>26.972421140309027</v>
      </c>
      <c r="R396" s="348">
        <f t="shared" si="57"/>
        <v>18.984673352010827</v>
      </c>
      <c r="S396" s="348">
        <f t="shared" si="58"/>
        <v>15.163907306161075</v>
      </c>
      <c r="T396" s="348">
        <f t="shared" si="59"/>
        <v>13.593001290526475</v>
      </c>
      <c r="U396" s="348">
        <f t="shared" si="60"/>
        <v>26.972421140309027</v>
      </c>
      <c r="V396" s="348">
        <f t="shared" si="61"/>
        <v>18.969733858756605</v>
      </c>
      <c r="W396" s="348">
        <f t="shared" si="62"/>
        <v>28.903197276930097</v>
      </c>
      <c r="X396" s="348">
        <f t="shared" si="63"/>
        <v>18.885790665350967</v>
      </c>
    </row>
    <row r="397" spans="1:24" x14ac:dyDescent="0.2">
      <c r="A397" s="407">
        <v>389</v>
      </c>
      <c r="B397" s="438">
        <v>27.023</v>
      </c>
      <c r="C397" s="438">
        <v>19.010999999999999</v>
      </c>
      <c r="D397" s="438">
        <v>15.319000000000001</v>
      </c>
      <c r="E397" s="438">
        <v>13.569000000000001</v>
      </c>
      <c r="F397" s="438">
        <v>27.023</v>
      </c>
      <c r="G397" s="438">
        <v>19.010999999999999</v>
      </c>
      <c r="H397" s="438">
        <v>29.105</v>
      </c>
      <c r="I397" s="437">
        <v>18.992000000000001</v>
      </c>
      <c r="J397" s="11"/>
      <c r="Q397" s="348">
        <f t="shared" si="56"/>
        <v>26.963466845010572</v>
      </c>
      <c r="R397" s="348">
        <f t="shared" si="57"/>
        <v>18.979642702903607</v>
      </c>
      <c r="S397" s="348">
        <f t="shared" si="58"/>
        <v>15.158909769957901</v>
      </c>
      <c r="T397" s="348">
        <f t="shared" si="59"/>
        <v>13.587997429508658</v>
      </c>
      <c r="U397" s="348">
        <f t="shared" si="60"/>
        <v>26.963466845010572</v>
      </c>
      <c r="V397" s="348">
        <f t="shared" si="61"/>
        <v>18.964727541856103</v>
      </c>
      <c r="W397" s="348">
        <f t="shared" si="62"/>
        <v>28.90220055534169</v>
      </c>
      <c r="X397" s="348">
        <f t="shared" si="63"/>
        <v>18.888774399416679</v>
      </c>
    </row>
    <row r="398" spans="1:24" x14ac:dyDescent="0.2">
      <c r="A398" s="407">
        <v>390</v>
      </c>
      <c r="B398" s="438">
        <v>27.02</v>
      </c>
      <c r="C398" s="438">
        <v>19.009</v>
      </c>
      <c r="D398" s="438">
        <v>15.317</v>
      </c>
      <c r="E398" s="438">
        <v>13.568</v>
      </c>
      <c r="F398" s="438">
        <v>27.02</v>
      </c>
      <c r="G398" s="438">
        <v>19.009</v>
      </c>
      <c r="H398" s="438">
        <v>29.103999999999999</v>
      </c>
      <c r="I398" s="438">
        <v>18.991</v>
      </c>
      <c r="J398" s="11"/>
      <c r="Q398" s="348">
        <f t="shared" si="56"/>
        <v>26.960482075751671</v>
      </c>
      <c r="R398" s="348">
        <f t="shared" si="57"/>
        <v>18.977630438289687</v>
      </c>
      <c r="S398" s="348">
        <f t="shared" si="58"/>
        <v>15.156910761804214</v>
      </c>
      <c r="T398" s="348">
        <f t="shared" si="59"/>
        <v>13.586996657062775</v>
      </c>
      <c r="U398" s="348">
        <f t="shared" si="60"/>
        <v>26.960482075751671</v>
      </c>
      <c r="V398" s="348">
        <f t="shared" si="61"/>
        <v>18.962725015467203</v>
      </c>
      <c r="W398" s="348">
        <f t="shared" si="62"/>
        <v>28.90120383634331</v>
      </c>
      <c r="X398" s="348">
        <f t="shared" si="63"/>
        <v>18.887779821097624</v>
      </c>
    </row>
    <row r="399" spans="1:24" x14ac:dyDescent="0.2">
      <c r="A399" s="407">
        <v>391</v>
      </c>
      <c r="B399" s="438">
        <v>27.021000000000001</v>
      </c>
      <c r="C399" s="438">
        <v>19.007000000000001</v>
      </c>
      <c r="D399" s="438">
        <v>15.319000000000001</v>
      </c>
      <c r="E399" s="438">
        <v>13.563000000000001</v>
      </c>
      <c r="F399" s="438">
        <v>27.021000000000001</v>
      </c>
      <c r="G399" s="438">
        <v>19.007000000000001</v>
      </c>
      <c r="H399" s="438">
        <v>29.106000000000002</v>
      </c>
      <c r="I399" s="438">
        <v>18.998000000000001</v>
      </c>
      <c r="J399" s="11"/>
      <c r="Q399" s="348">
        <f t="shared" si="56"/>
        <v>26.961476999069159</v>
      </c>
      <c r="R399" s="348">
        <f t="shared" si="57"/>
        <v>18.975618170836306</v>
      </c>
      <c r="S399" s="348">
        <f t="shared" si="58"/>
        <v>15.158909769957901</v>
      </c>
      <c r="T399" s="348">
        <f t="shared" si="59"/>
        <v>13.58199279362263</v>
      </c>
      <c r="U399" s="348">
        <f t="shared" si="60"/>
        <v>26.961476999069159</v>
      </c>
      <c r="V399" s="348">
        <f t="shared" si="61"/>
        <v>18.960722489291381</v>
      </c>
      <c r="W399" s="348">
        <f t="shared" si="62"/>
        <v>28.903197276930097</v>
      </c>
      <c r="X399" s="348">
        <f t="shared" si="63"/>
        <v>18.89474187557278</v>
      </c>
    </row>
    <row r="400" spans="1:24" x14ac:dyDescent="0.2">
      <c r="A400" s="407">
        <v>392</v>
      </c>
      <c r="B400" s="438">
        <v>27.03</v>
      </c>
      <c r="C400" s="438">
        <v>19.003</v>
      </c>
      <c r="D400" s="438">
        <v>15.317</v>
      </c>
      <c r="E400" s="438">
        <v>13.567</v>
      </c>
      <c r="F400" s="438">
        <v>27.03</v>
      </c>
      <c r="G400" s="438">
        <v>19.003</v>
      </c>
      <c r="H400" s="438">
        <v>29.103999999999999</v>
      </c>
      <c r="I400" s="438">
        <v>18.998999999999999</v>
      </c>
      <c r="J400" s="11"/>
      <c r="Q400" s="348">
        <f t="shared" si="56"/>
        <v>26.970431298526247</v>
      </c>
      <c r="R400" s="348">
        <f t="shared" si="57"/>
        <v>18.971593627414247</v>
      </c>
      <c r="S400" s="348">
        <f t="shared" si="58"/>
        <v>15.156910761804214</v>
      </c>
      <c r="T400" s="348">
        <f t="shared" si="59"/>
        <v>13.585995884536159</v>
      </c>
      <c r="U400" s="348">
        <f t="shared" si="60"/>
        <v>26.970431298526247</v>
      </c>
      <c r="V400" s="348">
        <f t="shared" si="61"/>
        <v>18.956717437581364</v>
      </c>
      <c r="W400" s="348">
        <f t="shared" si="62"/>
        <v>28.90120383634331</v>
      </c>
      <c r="X400" s="348">
        <f t="shared" si="63"/>
        <v>18.895736455972656</v>
      </c>
    </row>
    <row r="401" spans="1:24" x14ac:dyDescent="0.2">
      <c r="A401" s="407">
        <v>393</v>
      </c>
      <c r="B401" s="438">
        <v>27.027999999999999</v>
      </c>
      <c r="C401" s="437">
        <v>19.004999999999999</v>
      </c>
      <c r="D401" s="438">
        <v>15.318</v>
      </c>
      <c r="E401" s="438">
        <v>13.565</v>
      </c>
      <c r="F401" s="438">
        <v>27.027999999999999</v>
      </c>
      <c r="G401" s="438">
        <v>19.004999999999999</v>
      </c>
      <c r="H401" s="438">
        <v>29.108000000000001</v>
      </c>
      <c r="I401" s="438">
        <v>19.001999999999999</v>
      </c>
      <c r="J401" s="11"/>
      <c r="Q401" s="348">
        <f t="shared" si="56"/>
        <v>26.968441455819725</v>
      </c>
      <c r="R401" s="348">
        <f t="shared" si="57"/>
        <v>18.973605900544239</v>
      </c>
      <c r="S401" s="348">
        <f t="shared" si="58"/>
        <v>15.157910265428947</v>
      </c>
      <c r="T401" s="348">
        <f t="shared" si="59"/>
        <v>13.583994339240775</v>
      </c>
      <c r="U401" s="348">
        <f t="shared" si="60"/>
        <v>26.968441455819725</v>
      </c>
      <c r="V401" s="348">
        <f t="shared" si="61"/>
        <v>18.95871996332923</v>
      </c>
      <c r="W401" s="348">
        <f t="shared" si="62"/>
        <v>28.905190727876867</v>
      </c>
      <c r="X401" s="348">
        <f t="shared" si="63"/>
        <v>18.898720198956532</v>
      </c>
    </row>
    <row r="402" spans="1:24" x14ac:dyDescent="0.2">
      <c r="A402" s="407">
        <v>394</v>
      </c>
      <c r="B402" s="438">
        <v>27.018999999999998</v>
      </c>
      <c r="C402" s="438">
        <v>19.004000000000001</v>
      </c>
      <c r="D402" s="438">
        <v>15.316000000000001</v>
      </c>
      <c r="E402" s="437">
        <v>13.561</v>
      </c>
      <c r="F402" s="438">
        <v>27.018999999999998</v>
      </c>
      <c r="G402" s="438">
        <v>19.004000000000001</v>
      </c>
      <c r="H402" s="438">
        <v>29.106000000000002</v>
      </c>
      <c r="I402" s="438">
        <v>19.004000000000001</v>
      </c>
      <c r="J402" s="11"/>
      <c r="Q402" s="348">
        <f t="shared" si="56"/>
        <v>26.959487152202961</v>
      </c>
      <c r="R402" s="348">
        <f t="shared" si="57"/>
        <v>18.972599764333935</v>
      </c>
      <c r="S402" s="348">
        <f t="shared" si="58"/>
        <v>15.155911259083842</v>
      </c>
      <c r="T402" s="348">
        <f t="shared" si="59"/>
        <v>13.579991247681848</v>
      </c>
      <c r="U402" s="348">
        <f t="shared" si="60"/>
        <v>26.959487152202961</v>
      </c>
      <c r="V402" s="348">
        <f t="shared" si="61"/>
        <v>18.957718700428476</v>
      </c>
      <c r="W402" s="348">
        <f t="shared" si="62"/>
        <v>28.903197276930097</v>
      </c>
      <c r="X402" s="348">
        <f t="shared" si="63"/>
        <v>18.900709362432917</v>
      </c>
    </row>
    <row r="403" spans="1:24" x14ac:dyDescent="0.2">
      <c r="A403" s="407">
        <v>395</v>
      </c>
      <c r="B403" s="438">
        <v>27.02</v>
      </c>
      <c r="C403" s="438">
        <v>19.001000000000001</v>
      </c>
      <c r="D403" s="438">
        <v>15.315</v>
      </c>
      <c r="E403" s="438">
        <v>13.561999999999999</v>
      </c>
      <c r="F403" s="438">
        <v>27.02</v>
      </c>
      <c r="G403" s="438">
        <v>19.001000000000001</v>
      </c>
      <c r="H403" s="438">
        <v>29.106999999999999</v>
      </c>
      <c r="I403" s="438">
        <v>19.004999999999999</v>
      </c>
      <c r="J403" s="11"/>
      <c r="Q403" s="348">
        <f t="shared" si="56"/>
        <v>26.960482075751671</v>
      </c>
      <c r="R403" s="348">
        <f t="shared" si="57"/>
        <v>18.96958135144709</v>
      </c>
      <c r="S403" s="348">
        <f t="shared" si="58"/>
        <v>15.154911757267969</v>
      </c>
      <c r="T403" s="348">
        <f t="shared" si="59"/>
        <v>13.580992020692561</v>
      </c>
      <c r="U403" s="348">
        <f t="shared" si="60"/>
        <v>26.960482075751671</v>
      </c>
      <c r="V403" s="348">
        <f t="shared" si="61"/>
        <v>18.954714912048374</v>
      </c>
      <c r="W403" s="348">
        <f t="shared" si="62"/>
        <v>28.904194001108493</v>
      </c>
      <c r="X403" s="348">
        <f t="shared" si="63"/>
        <v>18.901703944617321</v>
      </c>
    </row>
    <row r="404" spans="1:24" x14ac:dyDescent="0.2">
      <c r="A404" s="407">
        <v>396</v>
      </c>
      <c r="B404" s="438">
        <v>27.024999999999999</v>
      </c>
      <c r="C404" s="438">
        <v>19.001000000000001</v>
      </c>
      <c r="D404" s="438">
        <v>15.311999999999999</v>
      </c>
      <c r="E404" s="438">
        <v>13.557</v>
      </c>
      <c r="F404" s="438">
        <v>27.024999999999999</v>
      </c>
      <c r="G404" s="438">
        <v>19.001000000000001</v>
      </c>
      <c r="H404" s="438">
        <v>29.103000000000002</v>
      </c>
      <c r="I404" s="438">
        <v>19.007000000000001</v>
      </c>
      <c r="J404" s="11"/>
      <c r="Q404" s="348">
        <f t="shared" si="56"/>
        <v>26.965456690027438</v>
      </c>
      <c r="R404" s="348">
        <f t="shared" si="57"/>
        <v>18.96958135144709</v>
      </c>
      <c r="S404" s="348">
        <f t="shared" si="58"/>
        <v>15.151913257248752</v>
      </c>
      <c r="T404" s="348">
        <f t="shared" si="59"/>
        <v>13.57598815483286</v>
      </c>
      <c r="U404" s="348">
        <f t="shared" si="60"/>
        <v>26.965456690027438</v>
      </c>
      <c r="V404" s="348">
        <f t="shared" si="61"/>
        <v>18.954714912048374</v>
      </c>
      <c r="W404" s="348">
        <f t="shared" si="62"/>
        <v>28.900207119934969</v>
      </c>
      <c r="X404" s="348">
        <f t="shared" si="63"/>
        <v>18.903693109878681</v>
      </c>
    </row>
    <row r="405" spans="1:24" x14ac:dyDescent="0.2">
      <c r="A405" s="407">
        <v>397</v>
      </c>
      <c r="B405" s="438">
        <v>27.026</v>
      </c>
      <c r="C405" s="438">
        <v>19</v>
      </c>
      <c r="D405" s="438">
        <v>15.314</v>
      </c>
      <c r="E405" s="438">
        <v>13.557</v>
      </c>
      <c r="F405" s="438">
        <v>27.026</v>
      </c>
      <c r="G405" s="438">
        <v>19</v>
      </c>
      <c r="H405" s="438">
        <v>29.102</v>
      </c>
      <c r="I405" s="438">
        <v>19.010000000000002</v>
      </c>
      <c r="J405" s="11"/>
      <c r="Q405" s="348">
        <f t="shared" si="56"/>
        <v>26.966451612189246</v>
      </c>
      <c r="R405" s="348">
        <f t="shared" si="57"/>
        <v>18.968575212399813</v>
      </c>
      <c r="S405" s="348">
        <f t="shared" si="58"/>
        <v>15.153912256356737</v>
      </c>
      <c r="T405" s="348">
        <f t="shared" si="59"/>
        <v>13.57598815483286</v>
      </c>
      <c r="U405" s="348">
        <f t="shared" si="60"/>
        <v>26.966451612189246</v>
      </c>
      <c r="V405" s="348">
        <f t="shared" si="61"/>
        <v>18.953713649362644</v>
      </c>
      <c r="W405" s="348">
        <f t="shared" si="62"/>
        <v>28.899210406116683</v>
      </c>
      <c r="X405" s="348">
        <f t="shared" si="63"/>
        <v>18.90667686000247</v>
      </c>
    </row>
    <row r="406" spans="1:24" x14ac:dyDescent="0.2">
      <c r="A406" s="407">
        <v>398</v>
      </c>
      <c r="B406" s="437">
        <v>27.018000000000001</v>
      </c>
      <c r="C406" s="438">
        <v>19.001999999999999</v>
      </c>
      <c r="D406" s="438">
        <v>15.313000000000001</v>
      </c>
      <c r="E406" s="438">
        <v>13.558999999999999</v>
      </c>
      <c r="F406" s="438">
        <v>27.018000000000001</v>
      </c>
      <c r="G406" s="438">
        <v>19.001999999999999</v>
      </c>
      <c r="H406" s="438">
        <v>29.103000000000002</v>
      </c>
      <c r="I406" s="438">
        <v>19.007999999999999</v>
      </c>
      <c r="J406" s="11"/>
      <c r="Q406" s="348">
        <f t="shared" si="56"/>
        <v>26.958492228423005</v>
      </c>
      <c r="R406" s="348">
        <f t="shared" si="57"/>
        <v>18.970587489785267</v>
      </c>
      <c r="S406" s="348">
        <f t="shared" si="58"/>
        <v>15.152912756350286</v>
      </c>
      <c r="T406" s="348">
        <f t="shared" si="59"/>
        <v>13.577989701418549</v>
      </c>
      <c r="U406" s="348">
        <f t="shared" si="60"/>
        <v>26.958492228423005</v>
      </c>
      <c r="V406" s="348">
        <f t="shared" si="61"/>
        <v>18.95571617478797</v>
      </c>
      <c r="W406" s="348">
        <f t="shared" si="62"/>
        <v>28.900207119934969</v>
      </c>
      <c r="X406" s="348">
        <f t="shared" si="63"/>
        <v>18.904687692955683</v>
      </c>
    </row>
    <row r="407" spans="1:24" x14ac:dyDescent="0.2">
      <c r="A407" s="407">
        <v>399</v>
      </c>
      <c r="B407" s="438">
        <v>27.024999999999999</v>
      </c>
      <c r="C407" s="438">
        <v>19.001999999999999</v>
      </c>
      <c r="D407" s="438">
        <v>15.313000000000001</v>
      </c>
      <c r="E407" s="438">
        <v>13.558999999999999</v>
      </c>
      <c r="F407" s="438">
        <v>27.024999999999999</v>
      </c>
      <c r="G407" s="437">
        <v>19.001999999999999</v>
      </c>
      <c r="H407" s="438">
        <v>29.106999999999999</v>
      </c>
      <c r="I407" s="438">
        <v>19.013999999999999</v>
      </c>
      <c r="J407" s="11"/>
      <c r="Q407" s="348">
        <f t="shared" si="56"/>
        <v>26.965456690027438</v>
      </c>
      <c r="R407" s="348">
        <f t="shared" si="57"/>
        <v>18.970587489785267</v>
      </c>
      <c r="S407" s="348">
        <f t="shared" si="58"/>
        <v>15.152912756350286</v>
      </c>
      <c r="T407" s="348">
        <f t="shared" si="59"/>
        <v>13.577989701418549</v>
      </c>
      <c r="U407" s="348">
        <f t="shared" si="60"/>
        <v>26.965456690027438</v>
      </c>
      <c r="V407" s="348">
        <f t="shared" si="61"/>
        <v>18.95571617478797</v>
      </c>
      <c r="W407" s="348">
        <f t="shared" si="62"/>
        <v>28.904194001108493</v>
      </c>
      <c r="X407" s="348">
        <f t="shared" si="63"/>
        <v>18.910655197667833</v>
      </c>
    </row>
    <row r="408" spans="1:24" x14ac:dyDescent="0.2">
      <c r="A408" s="407">
        <v>400</v>
      </c>
      <c r="B408" s="438">
        <v>27.016999999999999</v>
      </c>
      <c r="C408" s="438">
        <v>19.004999999999999</v>
      </c>
      <c r="D408" s="438">
        <v>15.313000000000001</v>
      </c>
      <c r="E408" s="438">
        <v>13.558</v>
      </c>
      <c r="F408" s="438">
        <v>27.016999999999999</v>
      </c>
      <c r="G408" s="438">
        <v>19.004999999999999</v>
      </c>
      <c r="H408" s="438">
        <v>29.105</v>
      </c>
      <c r="I408" s="438">
        <v>19.012</v>
      </c>
      <c r="J408" s="11"/>
      <c r="Q408" s="348">
        <f t="shared" si="56"/>
        <v>26.95749730441176</v>
      </c>
      <c r="R408" s="348">
        <f t="shared" si="57"/>
        <v>18.973605900544239</v>
      </c>
      <c r="S408" s="348">
        <f t="shared" si="58"/>
        <v>15.152912756350286</v>
      </c>
      <c r="T408" s="348">
        <f t="shared" si="59"/>
        <v>13.576988928165996</v>
      </c>
      <c r="U408" s="348">
        <f t="shared" si="60"/>
        <v>26.95749730441176</v>
      </c>
      <c r="V408" s="348">
        <f t="shared" si="61"/>
        <v>18.95871996332923</v>
      </c>
      <c r="W408" s="348">
        <f t="shared" si="62"/>
        <v>28.90220055534169</v>
      </c>
      <c r="X408" s="348">
        <f t="shared" si="63"/>
        <v>18.908666028239786</v>
      </c>
    </row>
    <row r="409" spans="1:24" x14ac:dyDescent="0.2">
      <c r="A409" s="407">
        <v>401</v>
      </c>
      <c r="B409" s="438">
        <v>27.015999999999998</v>
      </c>
      <c r="C409" s="437">
        <v>19.006</v>
      </c>
      <c r="D409" s="438">
        <v>15.307</v>
      </c>
      <c r="E409" s="437">
        <v>13.554</v>
      </c>
      <c r="F409" s="437">
        <v>27.015999999999998</v>
      </c>
      <c r="G409" s="437">
        <v>19.006</v>
      </c>
      <c r="H409" s="437">
        <v>29.103999999999999</v>
      </c>
      <c r="I409" s="438">
        <v>19.013999999999999</v>
      </c>
      <c r="J409" s="11"/>
      <c r="Q409" s="348">
        <f t="shared" si="56"/>
        <v>26.956502380169212</v>
      </c>
      <c r="R409" s="348">
        <f t="shared" si="57"/>
        <v>18.974612036045063</v>
      </c>
      <c r="S409" s="348">
        <f t="shared" si="58"/>
        <v>15.146915775319799</v>
      </c>
      <c r="T409" s="348">
        <f t="shared" si="59"/>
        <v>13.572985834350108</v>
      </c>
      <c r="U409" s="348">
        <f t="shared" si="60"/>
        <v>26.956502380169212</v>
      </c>
      <c r="V409" s="348">
        <f t="shared" si="61"/>
        <v>18.959721226283559</v>
      </c>
      <c r="W409" s="348">
        <f t="shared" si="62"/>
        <v>28.90120383634331</v>
      </c>
      <c r="X409" s="348">
        <f t="shared" si="63"/>
        <v>18.910655197667833</v>
      </c>
    </row>
    <row r="410" spans="1:24" x14ac:dyDescent="0.2">
      <c r="A410" s="407">
        <v>402</v>
      </c>
      <c r="B410" s="438">
        <v>27.013000000000002</v>
      </c>
      <c r="C410" s="438">
        <v>19.006</v>
      </c>
      <c r="D410" s="438">
        <v>15.307</v>
      </c>
      <c r="E410" s="438">
        <v>13.558999999999999</v>
      </c>
      <c r="F410" s="438">
        <v>27.013000000000002</v>
      </c>
      <c r="G410" s="438">
        <v>19.006</v>
      </c>
      <c r="H410" s="438">
        <v>29.1</v>
      </c>
      <c r="I410" s="438">
        <v>19.012</v>
      </c>
      <c r="J410" s="11"/>
      <c r="Q410" s="348">
        <f t="shared" si="56"/>
        <v>26.953517606053413</v>
      </c>
      <c r="R410" s="348">
        <f t="shared" si="57"/>
        <v>18.974612036045063</v>
      </c>
      <c r="S410" s="348">
        <f t="shared" si="58"/>
        <v>15.146915775319799</v>
      </c>
      <c r="T410" s="348">
        <f t="shared" si="59"/>
        <v>13.577989701418549</v>
      </c>
      <c r="U410" s="348">
        <f t="shared" si="60"/>
        <v>26.953517606053413</v>
      </c>
      <c r="V410" s="348">
        <f t="shared" si="61"/>
        <v>18.959721226283559</v>
      </c>
      <c r="W410" s="348">
        <f t="shared" si="62"/>
        <v>28.897216986250395</v>
      </c>
      <c r="X410" s="348">
        <f t="shared" si="63"/>
        <v>18.908666028239786</v>
      </c>
    </row>
    <row r="411" spans="1:24" x14ac:dyDescent="0.2">
      <c r="A411" s="407">
        <v>403</v>
      </c>
      <c r="B411" s="438">
        <v>27.016999999999999</v>
      </c>
      <c r="C411" s="438">
        <v>19.010000000000002</v>
      </c>
      <c r="D411" s="438">
        <v>15.308</v>
      </c>
      <c r="E411" s="438">
        <v>13.558999999999999</v>
      </c>
      <c r="F411" s="438">
        <v>27.016999999999999</v>
      </c>
      <c r="G411" s="438">
        <v>19.010000000000002</v>
      </c>
      <c r="H411" s="438">
        <v>29.103999999999999</v>
      </c>
      <c r="I411" s="438">
        <v>19.013999999999999</v>
      </c>
      <c r="J411" s="11"/>
      <c r="Q411" s="348">
        <f t="shared" si="56"/>
        <v>26.95749730441176</v>
      </c>
      <c r="R411" s="348">
        <f t="shared" si="57"/>
        <v>18.978636570951629</v>
      </c>
      <c r="S411" s="348">
        <f t="shared" si="58"/>
        <v>15.147915269894629</v>
      </c>
      <c r="T411" s="348">
        <f t="shared" si="59"/>
        <v>13.577989701418549</v>
      </c>
      <c r="U411" s="348">
        <f t="shared" si="60"/>
        <v>26.95749730441176</v>
      </c>
      <c r="V411" s="348">
        <f t="shared" si="61"/>
        <v>18.963726278635058</v>
      </c>
      <c r="W411" s="348">
        <f t="shared" si="62"/>
        <v>28.90120383634331</v>
      </c>
      <c r="X411" s="348">
        <f t="shared" si="63"/>
        <v>18.910655197667833</v>
      </c>
    </row>
    <row r="412" spans="1:24" x14ac:dyDescent="0.2">
      <c r="A412" s="407">
        <v>404</v>
      </c>
      <c r="B412" s="438">
        <v>27.013999999999999</v>
      </c>
      <c r="C412" s="438">
        <v>19.010000000000002</v>
      </c>
      <c r="D412" s="438">
        <v>15.31</v>
      </c>
      <c r="E412" s="438">
        <v>13.558</v>
      </c>
      <c r="F412" s="438">
        <v>27.013999999999999</v>
      </c>
      <c r="G412" s="438">
        <v>19.010000000000002</v>
      </c>
      <c r="H412" s="438">
        <v>29.105</v>
      </c>
      <c r="I412" s="438">
        <v>19.012</v>
      </c>
      <c r="J412" s="11"/>
      <c r="Q412" s="348">
        <f t="shared" si="56"/>
        <v>26.954512530990065</v>
      </c>
      <c r="R412" s="348">
        <f t="shared" si="57"/>
        <v>18.978636570951629</v>
      </c>
      <c r="S412" s="348">
        <f t="shared" si="58"/>
        <v>15.149914261761012</v>
      </c>
      <c r="T412" s="348">
        <f t="shared" si="59"/>
        <v>13.576988928165996</v>
      </c>
      <c r="U412" s="348">
        <f t="shared" si="60"/>
        <v>26.954512530990065</v>
      </c>
      <c r="V412" s="348">
        <f t="shared" si="61"/>
        <v>18.963726278635058</v>
      </c>
      <c r="W412" s="348">
        <f t="shared" si="62"/>
        <v>28.90220055534169</v>
      </c>
      <c r="X412" s="348">
        <f t="shared" si="63"/>
        <v>18.908666028239786</v>
      </c>
    </row>
    <row r="413" spans="1:24" x14ac:dyDescent="0.2">
      <c r="A413" s="407">
        <v>405</v>
      </c>
      <c r="B413" s="438">
        <v>27.015000000000001</v>
      </c>
      <c r="C413" s="438">
        <v>19.009</v>
      </c>
      <c r="D413" s="438">
        <v>15.311999999999999</v>
      </c>
      <c r="E413" s="438">
        <v>13.564</v>
      </c>
      <c r="F413" s="438">
        <v>27.015000000000001</v>
      </c>
      <c r="G413" s="438">
        <v>19.009</v>
      </c>
      <c r="H413" s="438">
        <v>29.106000000000002</v>
      </c>
      <c r="I413" s="438">
        <v>19.012</v>
      </c>
      <c r="J413" s="11"/>
      <c r="Q413" s="348">
        <f t="shared" si="56"/>
        <v>26.955507455695326</v>
      </c>
      <c r="R413" s="348">
        <f t="shared" si="57"/>
        <v>18.977630438289687</v>
      </c>
      <c r="S413" s="348">
        <f t="shared" si="58"/>
        <v>15.151913257248752</v>
      </c>
      <c r="T413" s="348">
        <f t="shared" si="59"/>
        <v>13.582993566472041</v>
      </c>
      <c r="U413" s="348">
        <f t="shared" si="60"/>
        <v>26.955507455695326</v>
      </c>
      <c r="V413" s="348">
        <f t="shared" si="61"/>
        <v>18.962725015467203</v>
      </c>
      <c r="W413" s="348">
        <f t="shared" si="62"/>
        <v>28.903197276930097</v>
      </c>
      <c r="X413" s="348">
        <f t="shared" si="63"/>
        <v>18.908666028239786</v>
      </c>
    </row>
    <row r="414" spans="1:24" x14ac:dyDescent="0.2">
      <c r="A414" s="407">
        <v>406</v>
      </c>
      <c r="B414" s="438">
        <v>27.015999999999998</v>
      </c>
      <c r="C414" s="438">
        <v>19.013999999999999</v>
      </c>
      <c r="D414" s="438">
        <v>15.313000000000001</v>
      </c>
      <c r="E414" s="438">
        <v>13.565</v>
      </c>
      <c r="F414" s="438">
        <v>27.015999999999998</v>
      </c>
      <c r="G414" s="438">
        <v>19.013999999999999</v>
      </c>
      <c r="H414" s="438">
        <v>29.103999999999999</v>
      </c>
      <c r="I414" s="438">
        <v>19.013999999999999</v>
      </c>
      <c r="J414" s="11"/>
      <c r="Q414" s="348">
        <f t="shared" si="56"/>
        <v>26.956502380169212</v>
      </c>
      <c r="R414" s="348">
        <f t="shared" si="57"/>
        <v>18.982661094498862</v>
      </c>
      <c r="S414" s="348">
        <f t="shared" si="58"/>
        <v>15.152912756350286</v>
      </c>
      <c r="T414" s="348">
        <f t="shared" si="59"/>
        <v>13.583994339240775</v>
      </c>
      <c r="U414" s="348">
        <f t="shared" si="60"/>
        <v>26.956502380169212</v>
      </c>
      <c r="V414" s="348">
        <f t="shared" si="61"/>
        <v>18.967731331837651</v>
      </c>
      <c r="W414" s="348">
        <f t="shared" si="62"/>
        <v>28.90120383634331</v>
      </c>
      <c r="X414" s="348">
        <f t="shared" si="63"/>
        <v>18.910655197667833</v>
      </c>
    </row>
    <row r="415" spans="1:24" x14ac:dyDescent="0.2">
      <c r="A415" s="407">
        <v>407</v>
      </c>
      <c r="B415" s="438">
        <v>27.006</v>
      </c>
      <c r="C415" s="438">
        <v>19.015000000000001</v>
      </c>
      <c r="D415" s="438">
        <v>15.308999999999999</v>
      </c>
      <c r="E415" s="438">
        <v>13.564</v>
      </c>
      <c r="F415" s="438">
        <v>27.006</v>
      </c>
      <c r="G415" s="438">
        <v>19.015000000000001</v>
      </c>
      <c r="H415" s="438">
        <v>29.100999999999999</v>
      </c>
      <c r="I415" s="438">
        <v>19.016999999999999</v>
      </c>
      <c r="J415" s="11"/>
      <c r="Q415" s="348">
        <f t="shared" si="56"/>
        <v>26.94655312501531</v>
      </c>
      <c r="R415" s="348">
        <f t="shared" si="57"/>
        <v>18.983667223610066</v>
      </c>
      <c r="S415" s="348">
        <f t="shared" si="58"/>
        <v>15.148914765375078</v>
      </c>
      <c r="T415" s="348">
        <f t="shared" si="59"/>
        <v>13.582993566472041</v>
      </c>
      <c r="U415" s="348">
        <f t="shared" si="60"/>
        <v>26.94655312501531</v>
      </c>
      <c r="V415" s="348">
        <f t="shared" si="61"/>
        <v>18.968732595270723</v>
      </c>
      <c r="W415" s="348">
        <f t="shared" si="62"/>
        <v>28.898213694888486</v>
      </c>
      <c r="X415" s="348">
        <f t="shared" si="63"/>
        <v>18.913638954042955</v>
      </c>
    </row>
    <row r="416" spans="1:24" x14ac:dyDescent="0.2">
      <c r="A416" s="407">
        <v>408</v>
      </c>
      <c r="B416" s="438">
        <v>27.013000000000002</v>
      </c>
      <c r="C416" s="438">
        <v>19.015999999999998</v>
      </c>
      <c r="D416" s="438">
        <v>15.316000000000001</v>
      </c>
      <c r="E416" s="438">
        <v>13.571999999999999</v>
      </c>
      <c r="F416" s="438">
        <v>27.013000000000002</v>
      </c>
      <c r="G416" s="438">
        <v>19.015999999999998</v>
      </c>
      <c r="H416" s="438">
        <v>29.099</v>
      </c>
      <c r="I416" s="438">
        <v>19.018000000000001</v>
      </c>
      <c r="J416" s="11"/>
      <c r="Q416" s="348">
        <f t="shared" si="56"/>
        <v>26.953517606053413</v>
      </c>
      <c r="R416" s="348">
        <f t="shared" si="57"/>
        <v>18.984673352010827</v>
      </c>
      <c r="S416" s="348">
        <f t="shared" si="58"/>
        <v>15.155911259083842</v>
      </c>
      <c r="T416" s="348">
        <f t="shared" si="59"/>
        <v>13.590999746361726</v>
      </c>
      <c r="U416" s="348">
        <f t="shared" si="60"/>
        <v>26.953517606053413</v>
      </c>
      <c r="V416" s="348">
        <f t="shared" si="61"/>
        <v>18.969733858756605</v>
      </c>
      <c r="W416" s="348">
        <f t="shared" si="62"/>
        <v>28.896220280202428</v>
      </c>
      <c r="X416" s="348">
        <f t="shared" si="63"/>
        <v>18.914633540096915</v>
      </c>
    </row>
    <row r="417" spans="1:24" x14ac:dyDescent="0.2">
      <c r="A417" s="407">
        <v>409</v>
      </c>
      <c r="B417" s="438">
        <v>27.003</v>
      </c>
      <c r="C417" s="438">
        <v>19.018999999999998</v>
      </c>
      <c r="D417" s="438">
        <v>15.31</v>
      </c>
      <c r="E417" s="438">
        <v>13.567</v>
      </c>
      <c r="F417" s="438">
        <v>27.003</v>
      </c>
      <c r="G417" s="438">
        <v>19.018999999999998</v>
      </c>
      <c r="H417" s="438">
        <v>29.097000000000001</v>
      </c>
      <c r="I417" s="438">
        <v>19.015000000000001</v>
      </c>
      <c r="J417" s="11"/>
      <c r="Q417" s="348">
        <f t="shared" si="56"/>
        <v>26.943568343953718</v>
      </c>
      <c r="R417" s="348">
        <f t="shared" si="57"/>
        <v>18.987691732949568</v>
      </c>
      <c r="S417" s="348">
        <f t="shared" si="58"/>
        <v>15.149914261761012</v>
      </c>
      <c r="T417" s="348">
        <f t="shared" si="59"/>
        <v>13.585995884536159</v>
      </c>
      <c r="U417" s="348">
        <f t="shared" si="60"/>
        <v>26.943568343953718</v>
      </c>
      <c r="V417" s="348">
        <f t="shared" si="61"/>
        <v>18.97273764953043</v>
      </c>
      <c r="W417" s="348">
        <f t="shared" si="62"/>
        <v>28.894226875876964</v>
      </c>
      <c r="X417" s="348">
        <f t="shared" si="63"/>
        <v>18.911649782828444</v>
      </c>
    </row>
    <row r="418" spans="1:24" x14ac:dyDescent="0.2">
      <c r="A418" s="407">
        <v>410</v>
      </c>
      <c r="B418" s="438">
        <v>27.007999999999999</v>
      </c>
      <c r="C418" s="438">
        <v>19.023</v>
      </c>
      <c r="D418" s="438">
        <v>15.317</v>
      </c>
      <c r="E418" s="438">
        <v>13.571</v>
      </c>
      <c r="F418" s="438">
        <v>27.007999999999999</v>
      </c>
      <c r="G418" s="438">
        <v>19.023</v>
      </c>
      <c r="H418" s="438">
        <v>29.1</v>
      </c>
      <c r="I418" s="438">
        <v>19.016999999999999</v>
      </c>
      <c r="J418" s="11"/>
      <c r="Q418" s="348">
        <f t="shared" si="56"/>
        <v>26.948542977898185</v>
      </c>
      <c r="R418" s="348">
        <f t="shared" si="57"/>
        <v>18.99171623091604</v>
      </c>
      <c r="S418" s="348">
        <f t="shared" si="58"/>
        <v>15.156910761804214</v>
      </c>
      <c r="T418" s="348">
        <f t="shared" si="59"/>
        <v>13.589998974158148</v>
      </c>
      <c r="U418" s="348">
        <f t="shared" si="60"/>
        <v>26.948542977898185</v>
      </c>
      <c r="V418" s="348">
        <f t="shared" si="61"/>
        <v>18.976742704630418</v>
      </c>
      <c r="W418" s="348">
        <f t="shared" si="62"/>
        <v>28.897216986250395</v>
      </c>
      <c r="X418" s="348">
        <f t="shared" si="63"/>
        <v>18.913638954042955</v>
      </c>
    </row>
    <row r="419" spans="1:24" x14ac:dyDescent="0.2">
      <c r="A419" s="407">
        <v>411</v>
      </c>
      <c r="B419" s="438">
        <v>27.007999999999999</v>
      </c>
      <c r="C419" s="438">
        <v>19.026</v>
      </c>
      <c r="D419" s="438">
        <v>15.311999999999999</v>
      </c>
      <c r="E419" s="438">
        <v>13.571</v>
      </c>
      <c r="F419" s="438">
        <v>27.007999999999999</v>
      </c>
      <c r="G419" s="438">
        <v>19.026</v>
      </c>
      <c r="H419" s="438">
        <v>29.097999999999999</v>
      </c>
      <c r="I419" s="438">
        <v>19.015999999999998</v>
      </c>
      <c r="J419" s="11"/>
      <c r="Q419" s="348">
        <f t="shared" si="56"/>
        <v>26.948542977898185</v>
      </c>
      <c r="R419" s="348">
        <f t="shared" si="57"/>
        <v>18.994734596923678</v>
      </c>
      <c r="S419" s="348">
        <f t="shared" si="58"/>
        <v>15.151913257248752</v>
      </c>
      <c r="T419" s="348">
        <f t="shared" si="59"/>
        <v>13.589998974158148</v>
      </c>
      <c r="U419" s="348">
        <f t="shared" si="60"/>
        <v>26.948542977898185</v>
      </c>
      <c r="V419" s="348">
        <f t="shared" si="61"/>
        <v>18.979746496503953</v>
      </c>
      <c r="W419" s="348">
        <f t="shared" si="62"/>
        <v>28.895223576744609</v>
      </c>
      <c r="X419" s="348">
        <f t="shared" si="63"/>
        <v>18.912644368286809</v>
      </c>
    </row>
    <row r="420" spans="1:24" x14ac:dyDescent="0.2">
      <c r="A420" s="407">
        <v>412</v>
      </c>
      <c r="B420" s="438">
        <v>27.009</v>
      </c>
      <c r="C420" s="438">
        <v>19.030999999999999</v>
      </c>
      <c r="D420" s="438">
        <v>15.315</v>
      </c>
      <c r="E420" s="438">
        <v>13.573</v>
      </c>
      <c r="F420" s="438">
        <v>27.009</v>
      </c>
      <c r="G420" s="438">
        <v>19.030999999999999</v>
      </c>
      <c r="H420" s="438">
        <v>29.100999999999999</v>
      </c>
      <c r="I420" s="438">
        <v>19.015999999999998</v>
      </c>
      <c r="J420" s="11"/>
      <c r="Q420" s="348">
        <f t="shared" si="56"/>
        <v>26.949537903992255</v>
      </c>
      <c r="R420" s="348">
        <f t="shared" si="57"/>
        <v>18.999765192705532</v>
      </c>
      <c r="S420" s="348">
        <f t="shared" si="58"/>
        <v>15.154911757267969</v>
      </c>
      <c r="T420" s="348">
        <f t="shared" si="59"/>
        <v>13.592000518484507</v>
      </c>
      <c r="U420" s="348">
        <f t="shared" si="60"/>
        <v>26.949537903992255</v>
      </c>
      <c r="V420" s="348">
        <f t="shared" si="61"/>
        <v>18.984752817332026</v>
      </c>
      <c r="W420" s="348">
        <f t="shared" si="62"/>
        <v>28.898213694888486</v>
      </c>
      <c r="X420" s="348">
        <f t="shared" si="63"/>
        <v>18.912644368286809</v>
      </c>
    </row>
    <row r="421" spans="1:24" x14ac:dyDescent="0.2">
      <c r="A421" s="407">
        <v>413</v>
      </c>
      <c r="B421" s="438">
        <v>26.998000000000001</v>
      </c>
      <c r="C421" s="438">
        <v>19.032</v>
      </c>
      <c r="D421" s="438">
        <v>15.311</v>
      </c>
      <c r="E421" s="438">
        <v>13.571999999999999</v>
      </c>
      <c r="F421" s="438">
        <v>26.998000000000001</v>
      </c>
      <c r="G421" s="438">
        <v>19.032</v>
      </c>
      <c r="H421" s="438">
        <v>29.097000000000001</v>
      </c>
      <c r="I421" s="438">
        <v>19.013999999999999</v>
      </c>
      <c r="J421" s="11"/>
      <c r="Q421" s="348">
        <f t="shared" si="56"/>
        <v>26.938593704216402</v>
      </c>
      <c r="R421" s="348">
        <f t="shared" si="57"/>
        <v>19.000771309726417</v>
      </c>
      <c r="S421" s="348">
        <f t="shared" si="58"/>
        <v>15.150913759052282</v>
      </c>
      <c r="T421" s="348">
        <f t="shared" si="59"/>
        <v>13.590999746361726</v>
      </c>
      <c r="U421" s="348">
        <f t="shared" si="60"/>
        <v>26.938593704216402</v>
      </c>
      <c r="V421" s="348">
        <f t="shared" si="61"/>
        <v>18.985754081652793</v>
      </c>
      <c r="W421" s="348">
        <f t="shared" si="62"/>
        <v>28.894226875876964</v>
      </c>
      <c r="X421" s="348">
        <f t="shared" si="63"/>
        <v>18.910655197667833</v>
      </c>
    </row>
    <row r="422" spans="1:24" x14ac:dyDescent="0.2">
      <c r="A422" s="407">
        <v>414</v>
      </c>
      <c r="B422" s="438">
        <v>27.001000000000001</v>
      </c>
      <c r="C422" s="438">
        <v>19.033999999999999</v>
      </c>
      <c r="D422" s="438">
        <v>15.311999999999999</v>
      </c>
      <c r="E422" s="438">
        <v>13.571</v>
      </c>
      <c r="F422" s="438">
        <v>27.001000000000001</v>
      </c>
      <c r="G422" s="438">
        <v>19.033999999999999</v>
      </c>
      <c r="H422" s="438">
        <v>29.097000000000001</v>
      </c>
      <c r="I422" s="438">
        <v>19.015999999999998</v>
      </c>
      <c r="J422" s="11"/>
      <c r="Q422" s="348">
        <f t="shared" si="56"/>
        <v>26.941578488754139</v>
      </c>
      <c r="R422" s="348">
        <f t="shared" si="57"/>
        <v>19.002783541631942</v>
      </c>
      <c r="S422" s="348">
        <f t="shared" si="58"/>
        <v>15.151913257248752</v>
      </c>
      <c r="T422" s="348">
        <f t="shared" si="59"/>
        <v>13.589998974158148</v>
      </c>
      <c r="U422" s="348">
        <f t="shared" si="60"/>
        <v>26.941578488754139</v>
      </c>
      <c r="V422" s="348">
        <f t="shared" si="61"/>
        <v>18.987756610448876</v>
      </c>
      <c r="W422" s="348">
        <f t="shared" si="62"/>
        <v>28.894226875876964</v>
      </c>
      <c r="X422" s="348">
        <f t="shared" si="63"/>
        <v>18.912644368286809</v>
      </c>
    </row>
    <row r="423" spans="1:24" x14ac:dyDescent="0.2">
      <c r="A423" s="407">
        <v>415</v>
      </c>
      <c r="B423" s="438">
        <v>27.003</v>
      </c>
      <c r="C423" s="437">
        <v>19.039000000000001</v>
      </c>
      <c r="D423" s="438">
        <v>15.314</v>
      </c>
      <c r="E423" s="438">
        <v>13.57</v>
      </c>
      <c r="F423" s="438">
        <v>27.003</v>
      </c>
      <c r="G423" s="438">
        <v>19.039000000000001</v>
      </c>
      <c r="H423" s="438">
        <v>29.097999999999999</v>
      </c>
      <c r="I423" s="438">
        <v>19.016999999999999</v>
      </c>
      <c r="J423" s="11"/>
      <c r="Q423" s="348">
        <f t="shared" si="56"/>
        <v>26.943568343953718</v>
      </c>
      <c r="R423" s="348">
        <f t="shared" si="57"/>
        <v>19.007814108929892</v>
      </c>
      <c r="S423" s="348">
        <f t="shared" si="58"/>
        <v>15.153912256356737</v>
      </c>
      <c r="T423" s="348">
        <f t="shared" si="59"/>
        <v>13.588998201873785</v>
      </c>
      <c r="U423" s="348">
        <f t="shared" si="60"/>
        <v>26.943568343953718</v>
      </c>
      <c r="V423" s="348">
        <f t="shared" si="61"/>
        <v>18.992762933337143</v>
      </c>
      <c r="W423" s="348">
        <f t="shared" si="62"/>
        <v>28.895223576744609</v>
      </c>
      <c r="X423" s="348">
        <f t="shared" si="63"/>
        <v>18.913638954042955</v>
      </c>
    </row>
    <row r="424" spans="1:24" x14ac:dyDescent="0.2">
      <c r="A424" s="407">
        <v>416</v>
      </c>
      <c r="B424" s="438">
        <v>27</v>
      </c>
      <c r="C424" s="438">
        <v>19.038</v>
      </c>
      <c r="D424" s="438">
        <v>15.313000000000001</v>
      </c>
      <c r="E424" s="438">
        <v>13.571</v>
      </c>
      <c r="F424" s="438">
        <v>27</v>
      </c>
      <c r="G424" s="438">
        <v>19.038</v>
      </c>
      <c r="H424" s="438">
        <v>29.096</v>
      </c>
      <c r="I424" s="438">
        <v>19.018999999999998</v>
      </c>
      <c r="J424" s="11"/>
      <c r="Q424" s="348">
        <f t="shared" si="56"/>
        <v>26.940583560806701</v>
      </c>
      <c r="R424" s="348">
        <f t="shared" si="57"/>
        <v>19.006807996895354</v>
      </c>
      <c r="S424" s="348">
        <f t="shared" si="58"/>
        <v>15.152912756350286</v>
      </c>
      <c r="T424" s="348">
        <f t="shared" si="59"/>
        <v>13.589998974158148</v>
      </c>
      <c r="U424" s="348">
        <f t="shared" si="60"/>
        <v>26.940583560806701</v>
      </c>
      <c r="V424" s="348">
        <f t="shared" si="61"/>
        <v>18.991761668657151</v>
      </c>
      <c r="W424" s="348">
        <f t="shared" si="62"/>
        <v>28.893230177599506</v>
      </c>
      <c r="X424" s="348">
        <f t="shared" si="63"/>
        <v>18.915628126448702</v>
      </c>
    </row>
    <row r="425" spans="1:24" x14ac:dyDescent="0.2">
      <c r="A425" s="407">
        <v>417</v>
      </c>
      <c r="B425" s="437">
        <v>26.994</v>
      </c>
      <c r="C425" s="438">
        <v>19.039000000000001</v>
      </c>
      <c r="D425" s="438">
        <v>15.311999999999999</v>
      </c>
      <c r="E425" s="438">
        <v>13.569000000000001</v>
      </c>
      <c r="F425" s="438">
        <v>26.994</v>
      </c>
      <c r="G425" s="438">
        <v>19.039000000000001</v>
      </c>
      <c r="H425" s="438">
        <v>29.094000000000001</v>
      </c>
      <c r="I425" s="438">
        <v>19.021000000000001</v>
      </c>
      <c r="J425" s="11"/>
      <c r="Q425" s="348">
        <f t="shared" si="56"/>
        <v>26.934613988253275</v>
      </c>
      <c r="R425" s="348">
        <f t="shared" si="57"/>
        <v>19.007814108929892</v>
      </c>
      <c r="S425" s="348">
        <f t="shared" si="58"/>
        <v>15.151913257248752</v>
      </c>
      <c r="T425" s="348">
        <f t="shared" si="59"/>
        <v>13.587997429508658</v>
      </c>
      <c r="U425" s="348">
        <f t="shared" si="60"/>
        <v>26.934613988253275</v>
      </c>
      <c r="V425" s="348">
        <f t="shared" si="61"/>
        <v>18.992762933337143</v>
      </c>
      <c r="W425" s="348">
        <f t="shared" si="62"/>
        <v>28.891236788815245</v>
      </c>
      <c r="X425" s="348">
        <f t="shared" si="63"/>
        <v>18.91761730004588</v>
      </c>
    </row>
    <row r="426" spans="1:24" x14ac:dyDescent="0.2">
      <c r="A426" s="407">
        <v>418</v>
      </c>
      <c r="B426" s="438">
        <v>27.003</v>
      </c>
      <c r="C426" s="438">
        <v>19.036999999999999</v>
      </c>
      <c r="D426" s="438">
        <v>15.313000000000001</v>
      </c>
      <c r="E426" s="438">
        <v>13.571999999999999</v>
      </c>
      <c r="F426" s="438">
        <v>27.003</v>
      </c>
      <c r="G426" s="438">
        <v>19.036999999999999</v>
      </c>
      <c r="H426" s="438">
        <v>29.097999999999999</v>
      </c>
      <c r="I426" s="438">
        <v>19.021000000000001</v>
      </c>
      <c r="J426" s="11"/>
      <c r="Q426" s="348">
        <f t="shared" si="56"/>
        <v>26.943568343953718</v>
      </c>
      <c r="R426" s="348">
        <f t="shared" si="57"/>
        <v>19.005801884148187</v>
      </c>
      <c r="S426" s="348">
        <f t="shared" si="58"/>
        <v>15.152912756350286</v>
      </c>
      <c r="T426" s="348">
        <f t="shared" si="59"/>
        <v>13.590999746361726</v>
      </c>
      <c r="U426" s="348">
        <f t="shared" si="60"/>
        <v>26.943568343953718</v>
      </c>
      <c r="V426" s="348">
        <f t="shared" si="61"/>
        <v>18.990760404028258</v>
      </c>
      <c r="W426" s="348">
        <f t="shared" si="62"/>
        <v>28.895223576744609</v>
      </c>
      <c r="X426" s="348">
        <f t="shared" si="63"/>
        <v>18.91761730004588</v>
      </c>
    </row>
    <row r="427" spans="1:24" x14ac:dyDescent="0.2">
      <c r="A427" s="407">
        <v>419</v>
      </c>
      <c r="B427" s="438">
        <v>27.001000000000001</v>
      </c>
      <c r="C427" s="438">
        <v>19.039000000000001</v>
      </c>
      <c r="D427" s="438">
        <v>15.311999999999999</v>
      </c>
      <c r="E427" s="438">
        <v>13.576000000000001</v>
      </c>
      <c r="F427" s="438">
        <v>27.001000000000001</v>
      </c>
      <c r="G427" s="438">
        <v>19.039000000000001</v>
      </c>
      <c r="H427" s="438">
        <v>29.094999999999999</v>
      </c>
      <c r="I427" s="438">
        <v>19.021999999999998</v>
      </c>
      <c r="J427" s="11"/>
      <c r="Q427" s="348">
        <f t="shared" si="56"/>
        <v>26.941578488754139</v>
      </c>
      <c r="R427" s="348">
        <f t="shared" si="57"/>
        <v>19.007814108929892</v>
      </c>
      <c r="S427" s="348">
        <f t="shared" si="58"/>
        <v>15.151913257248752</v>
      </c>
      <c r="T427" s="348">
        <f t="shared" si="59"/>
        <v>13.595002834367909</v>
      </c>
      <c r="U427" s="348">
        <f t="shared" si="60"/>
        <v>26.941578488754139</v>
      </c>
      <c r="V427" s="348">
        <f t="shared" si="61"/>
        <v>18.992762933337143</v>
      </c>
      <c r="W427" s="348">
        <f t="shared" si="62"/>
        <v>28.892233481912257</v>
      </c>
      <c r="X427" s="348">
        <f t="shared" si="63"/>
        <v>18.918611887291309</v>
      </c>
    </row>
    <row r="428" spans="1:24" x14ac:dyDescent="0.2">
      <c r="A428" s="407">
        <v>420</v>
      </c>
      <c r="B428" s="438">
        <v>27.003</v>
      </c>
      <c r="C428" s="438">
        <v>19.038</v>
      </c>
      <c r="D428" s="438">
        <v>15.314</v>
      </c>
      <c r="E428" s="438">
        <v>13.574</v>
      </c>
      <c r="F428" s="438">
        <v>27.003</v>
      </c>
      <c r="G428" s="438">
        <v>19.038</v>
      </c>
      <c r="H428" s="438">
        <v>29.099</v>
      </c>
      <c r="I428" s="438">
        <v>19.024000000000001</v>
      </c>
      <c r="J428" s="11"/>
      <c r="Q428" s="348">
        <f t="shared" si="56"/>
        <v>26.943568343953718</v>
      </c>
      <c r="R428" s="348">
        <f t="shared" si="57"/>
        <v>19.006807996895354</v>
      </c>
      <c r="S428" s="348">
        <f t="shared" si="58"/>
        <v>15.153912256356737</v>
      </c>
      <c r="T428" s="348">
        <f t="shared" si="59"/>
        <v>13.593001290526475</v>
      </c>
      <c r="U428" s="348">
        <f t="shared" si="60"/>
        <v>26.943568343953718</v>
      </c>
      <c r="V428" s="348">
        <f t="shared" si="61"/>
        <v>18.991761668657151</v>
      </c>
      <c r="W428" s="348">
        <f t="shared" si="62"/>
        <v>28.896220280202428</v>
      </c>
      <c r="X428" s="348">
        <f t="shared" si="63"/>
        <v>18.920601062676003</v>
      </c>
    </row>
    <row r="429" spans="1:24" x14ac:dyDescent="0.2">
      <c r="A429" s="407">
        <v>421</v>
      </c>
      <c r="B429" s="438">
        <v>26.991</v>
      </c>
      <c r="C429" s="438">
        <v>19.038</v>
      </c>
      <c r="D429" s="438">
        <v>15.31</v>
      </c>
      <c r="E429" s="438">
        <v>13.574999999999999</v>
      </c>
      <c r="F429" s="438">
        <v>26.991</v>
      </c>
      <c r="G429" s="438">
        <v>19.038</v>
      </c>
      <c r="H429" s="438">
        <v>29.096</v>
      </c>
      <c r="I429" s="438">
        <v>19.024000000000001</v>
      </c>
      <c r="J429" s="11"/>
      <c r="Q429" s="348">
        <f t="shared" si="56"/>
        <v>26.931629198845314</v>
      </c>
      <c r="R429" s="348">
        <f t="shared" si="57"/>
        <v>19.006807996895354</v>
      </c>
      <c r="S429" s="348">
        <f t="shared" si="58"/>
        <v>15.149914261761012</v>
      </c>
      <c r="T429" s="348">
        <f t="shared" si="59"/>
        <v>13.594002062487613</v>
      </c>
      <c r="U429" s="348">
        <f t="shared" si="60"/>
        <v>26.931629198845314</v>
      </c>
      <c r="V429" s="348">
        <f t="shared" si="61"/>
        <v>18.991761668657151</v>
      </c>
      <c r="W429" s="348">
        <f t="shared" si="62"/>
        <v>28.893230177599506</v>
      </c>
      <c r="X429" s="348">
        <f t="shared" si="63"/>
        <v>18.920601062676003</v>
      </c>
    </row>
    <row r="430" spans="1:24" x14ac:dyDescent="0.2">
      <c r="A430" s="407">
        <v>422</v>
      </c>
      <c r="B430" s="438">
        <v>27</v>
      </c>
      <c r="C430" s="438">
        <v>19.036000000000001</v>
      </c>
      <c r="D430" s="438">
        <v>15.308999999999999</v>
      </c>
      <c r="E430" s="438">
        <v>13.58</v>
      </c>
      <c r="F430" s="438">
        <v>27</v>
      </c>
      <c r="G430" s="438">
        <v>19.036000000000001</v>
      </c>
      <c r="H430" s="438">
        <v>29.096</v>
      </c>
      <c r="I430" s="438">
        <v>19.02</v>
      </c>
      <c r="J430" s="11"/>
      <c r="Q430" s="348">
        <f t="shared" si="56"/>
        <v>26.940583560806701</v>
      </c>
      <c r="R430" s="348">
        <f t="shared" si="57"/>
        <v>19.004795770688506</v>
      </c>
      <c r="S430" s="348">
        <f t="shared" si="58"/>
        <v>15.148914765375078</v>
      </c>
      <c r="T430" s="348">
        <f t="shared" si="59"/>
        <v>13.599005921080339</v>
      </c>
      <c r="U430" s="348">
        <f t="shared" si="60"/>
        <v>26.940583560806701</v>
      </c>
      <c r="V430" s="348">
        <f t="shared" si="61"/>
        <v>18.989759139450531</v>
      </c>
      <c r="W430" s="348">
        <f t="shared" si="62"/>
        <v>28.893230177599506</v>
      </c>
      <c r="X430" s="348">
        <f t="shared" si="63"/>
        <v>18.916622713098349</v>
      </c>
    </row>
    <row r="431" spans="1:24" x14ac:dyDescent="0.2">
      <c r="A431" s="407">
        <v>423</v>
      </c>
      <c r="B431" s="438">
        <v>26.998999999999999</v>
      </c>
      <c r="C431" s="438">
        <v>19.036999999999999</v>
      </c>
      <c r="D431" s="438">
        <v>15.31</v>
      </c>
      <c r="E431" s="438">
        <v>13.58</v>
      </c>
      <c r="F431" s="438">
        <v>26.998999999999999</v>
      </c>
      <c r="G431" s="438">
        <v>19.036999999999999</v>
      </c>
      <c r="H431" s="438">
        <v>29.094999999999999</v>
      </c>
      <c r="I431" s="438">
        <v>19.021999999999998</v>
      </c>
      <c r="J431" s="11"/>
      <c r="Q431" s="348">
        <f t="shared" si="56"/>
        <v>26.939588632627466</v>
      </c>
      <c r="R431" s="348">
        <f t="shared" si="57"/>
        <v>19.005801884148187</v>
      </c>
      <c r="S431" s="348">
        <f t="shared" si="58"/>
        <v>15.149914261761012</v>
      </c>
      <c r="T431" s="348">
        <f t="shared" si="59"/>
        <v>13.599005921080339</v>
      </c>
      <c r="U431" s="348">
        <f t="shared" si="60"/>
        <v>26.939588632627466</v>
      </c>
      <c r="V431" s="348">
        <f t="shared" si="61"/>
        <v>18.990760404028258</v>
      </c>
      <c r="W431" s="348">
        <f t="shared" si="62"/>
        <v>28.892233481912257</v>
      </c>
      <c r="X431" s="348">
        <f t="shared" si="63"/>
        <v>18.918611887291309</v>
      </c>
    </row>
    <row r="432" spans="1:24" x14ac:dyDescent="0.2">
      <c r="A432" s="407">
        <v>424</v>
      </c>
      <c r="B432" s="438">
        <v>27.003</v>
      </c>
      <c r="C432" s="438">
        <v>19.038</v>
      </c>
      <c r="D432" s="438">
        <v>15.308999999999999</v>
      </c>
      <c r="E432" s="438">
        <v>13.576000000000001</v>
      </c>
      <c r="F432" s="438">
        <v>27.003</v>
      </c>
      <c r="G432" s="438">
        <v>19.038</v>
      </c>
      <c r="H432" s="438">
        <v>29.097999999999999</v>
      </c>
      <c r="I432" s="438">
        <v>19.023</v>
      </c>
      <c r="J432" s="11"/>
      <c r="Q432" s="348">
        <f t="shared" si="56"/>
        <v>26.943568343953718</v>
      </c>
      <c r="R432" s="348">
        <f t="shared" si="57"/>
        <v>19.006807996895354</v>
      </c>
      <c r="S432" s="348">
        <f t="shared" si="58"/>
        <v>15.148914765375078</v>
      </c>
      <c r="T432" s="348">
        <f t="shared" si="59"/>
        <v>13.595002834367909</v>
      </c>
      <c r="U432" s="348">
        <f t="shared" si="60"/>
        <v>26.943568343953718</v>
      </c>
      <c r="V432" s="348">
        <f t="shared" si="61"/>
        <v>18.991761668657151</v>
      </c>
      <c r="W432" s="348">
        <f t="shared" si="62"/>
        <v>28.895223576744609</v>
      </c>
      <c r="X432" s="348">
        <f t="shared" si="63"/>
        <v>18.919606474834676</v>
      </c>
    </row>
    <row r="433" spans="1:24" x14ac:dyDescent="0.2">
      <c r="A433" s="407">
        <v>425</v>
      </c>
      <c r="B433" s="438">
        <v>26.998999999999999</v>
      </c>
      <c r="C433" s="438">
        <v>19.033999999999999</v>
      </c>
      <c r="D433" s="437">
        <v>15.311</v>
      </c>
      <c r="E433" s="438">
        <v>13.577999999999999</v>
      </c>
      <c r="F433" s="438">
        <v>26.998999999999999</v>
      </c>
      <c r="G433" s="438">
        <v>19.033999999999999</v>
      </c>
      <c r="H433" s="438">
        <v>29.094999999999999</v>
      </c>
      <c r="I433" s="437">
        <v>19.021000000000001</v>
      </c>
      <c r="J433" s="11"/>
      <c r="Q433" s="348">
        <f t="shared" si="56"/>
        <v>26.939588632627466</v>
      </c>
      <c r="R433" s="348">
        <f t="shared" si="57"/>
        <v>19.002783541631942</v>
      </c>
      <c r="S433" s="348">
        <f t="shared" si="58"/>
        <v>15.150913759052282</v>
      </c>
      <c r="T433" s="348">
        <f t="shared" si="59"/>
        <v>13.597004377885904</v>
      </c>
      <c r="U433" s="348">
        <f t="shared" si="60"/>
        <v>26.939588632627466</v>
      </c>
      <c r="V433" s="348">
        <f t="shared" si="61"/>
        <v>18.987756610448876</v>
      </c>
      <c r="W433" s="348">
        <f t="shared" si="62"/>
        <v>28.892233481912257</v>
      </c>
      <c r="X433" s="348">
        <f t="shared" si="63"/>
        <v>18.91761730004588</v>
      </c>
    </row>
    <row r="434" spans="1:24" x14ac:dyDescent="0.2">
      <c r="A434" s="407">
        <v>426</v>
      </c>
      <c r="B434" s="438">
        <v>26.998999999999999</v>
      </c>
      <c r="C434" s="438">
        <v>19.033000000000001</v>
      </c>
      <c r="D434" s="438">
        <v>15.311999999999999</v>
      </c>
      <c r="E434" s="437">
        <v>13.577999999999999</v>
      </c>
      <c r="F434" s="437">
        <v>26.998999999999999</v>
      </c>
      <c r="G434" s="437">
        <v>19.033000000000001</v>
      </c>
      <c r="H434" s="437">
        <v>29.097999999999999</v>
      </c>
      <c r="I434" s="438">
        <v>19.021999999999998</v>
      </c>
      <c r="J434" s="11"/>
      <c r="Q434" s="348">
        <f t="shared" si="56"/>
        <v>26.939588632627466</v>
      </c>
      <c r="R434" s="348">
        <f t="shared" si="57"/>
        <v>19.001777426035254</v>
      </c>
      <c r="S434" s="348">
        <f t="shared" si="58"/>
        <v>15.151913257248752</v>
      </c>
      <c r="T434" s="348">
        <f t="shared" si="59"/>
        <v>13.597004377885904</v>
      </c>
      <c r="U434" s="348">
        <f t="shared" si="60"/>
        <v>26.939588632627466</v>
      </c>
      <c r="V434" s="348">
        <f t="shared" si="61"/>
        <v>18.986755346025106</v>
      </c>
      <c r="W434" s="348">
        <f t="shared" si="62"/>
        <v>28.895223576744609</v>
      </c>
      <c r="X434" s="348">
        <f t="shared" si="63"/>
        <v>18.918611887291309</v>
      </c>
    </row>
    <row r="435" spans="1:24" x14ac:dyDescent="0.2">
      <c r="A435" s="407">
        <v>427</v>
      </c>
      <c r="B435" s="437">
        <v>27.001999999999999</v>
      </c>
      <c r="C435" s="438">
        <v>19.03</v>
      </c>
      <c r="D435" s="438">
        <v>15.311999999999999</v>
      </c>
      <c r="E435" s="438">
        <v>13.577999999999999</v>
      </c>
      <c r="F435" s="438">
        <v>27.001999999999999</v>
      </c>
      <c r="G435" s="438">
        <v>19.03</v>
      </c>
      <c r="H435" s="438">
        <v>29.097999999999999</v>
      </c>
      <c r="I435" s="438">
        <v>19.024000000000001</v>
      </c>
      <c r="J435" s="11"/>
      <c r="Q435" s="348">
        <f t="shared" si="56"/>
        <v>26.942573416469799</v>
      </c>
      <c r="R435" s="348">
        <f t="shared" si="57"/>
        <v>18.998759074972693</v>
      </c>
      <c r="S435" s="348">
        <f t="shared" si="58"/>
        <v>15.151913257248752</v>
      </c>
      <c r="T435" s="348">
        <f t="shared" si="59"/>
        <v>13.597004377885904</v>
      </c>
      <c r="U435" s="348">
        <f t="shared" si="60"/>
        <v>26.942573416469799</v>
      </c>
      <c r="V435" s="348">
        <f t="shared" si="61"/>
        <v>18.983751553062881</v>
      </c>
      <c r="W435" s="348">
        <f t="shared" si="62"/>
        <v>28.895223576744609</v>
      </c>
      <c r="X435" s="348">
        <f t="shared" si="63"/>
        <v>18.920601062676003</v>
      </c>
    </row>
    <row r="436" spans="1:24" x14ac:dyDescent="0.2">
      <c r="A436" s="407">
        <v>428</v>
      </c>
      <c r="B436" s="438">
        <v>26.995999999999999</v>
      </c>
      <c r="C436" s="438">
        <v>19.027000000000001</v>
      </c>
      <c r="D436" s="438">
        <v>15.311</v>
      </c>
      <c r="E436" s="438">
        <v>13.579000000000001</v>
      </c>
      <c r="F436" s="438">
        <v>26.995999999999999</v>
      </c>
      <c r="G436" s="438">
        <v>19.027000000000001</v>
      </c>
      <c r="H436" s="438">
        <v>29.096</v>
      </c>
      <c r="I436" s="438">
        <v>19.021999999999998</v>
      </c>
      <c r="J436" s="11"/>
      <c r="Q436" s="348">
        <f t="shared" si="56"/>
        <v>26.93660384669867</v>
      </c>
      <c r="R436" s="348">
        <f t="shared" si="57"/>
        <v>18.995740717503388</v>
      </c>
      <c r="S436" s="348">
        <f t="shared" si="58"/>
        <v>15.150913759052282</v>
      </c>
      <c r="T436" s="348">
        <f t="shared" si="59"/>
        <v>13.598005149523575</v>
      </c>
      <c r="U436" s="348">
        <f t="shared" si="60"/>
        <v>26.93660384669867</v>
      </c>
      <c r="V436" s="348">
        <f t="shared" si="61"/>
        <v>18.980747760565887</v>
      </c>
      <c r="W436" s="348">
        <f t="shared" si="62"/>
        <v>28.893230177599506</v>
      </c>
      <c r="X436" s="348">
        <f t="shared" si="63"/>
        <v>18.918611887291309</v>
      </c>
    </row>
    <row r="437" spans="1:24" x14ac:dyDescent="0.2">
      <c r="A437" s="407">
        <v>429</v>
      </c>
      <c r="B437" s="438">
        <v>27.004999999999999</v>
      </c>
      <c r="C437" s="438">
        <v>19.029</v>
      </c>
      <c r="D437" s="438">
        <v>15.317</v>
      </c>
      <c r="E437" s="438">
        <v>13.58</v>
      </c>
      <c r="F437" s="438">
        <v>27.004999999999999</v>
      </c>
      <c r="G437" s="438">
        <v>19.029</v>
      </c>
      <c r="H437" s="438">
        <v>29.097999999999999</v>
      </c>
      <c r="I437" s="438">
        <v>19.018999999999998</v>
      </c>
      <c r="J437" s="11"/>
      <c r="Q437" s="348">
        <f t="shared" si="56"/>
        <v>26.945558198226443</v>
      </c>
      <c r="R437" s="348">
        <f t="shared" si="57"/>
        <v>18.997752956527993</v>
      </c>
      <c r="S437" s="348">
        <f t="shared" si="58"/>
        <v>15.156910761804214</v>
      </c>
      <c r="T437" s="348">
        <f t="shared" si="59"/>
        <v>13.599005921080339</v>
      </c>
      <c r="U437" s="348">
        <f t="shared" si="60"/>
        <v>26.945558198226443</v>
      </c>
      <c r="V437" s="348">
        <f t="shared" si="61"/>
        <v>18.982750288845423</v>
      </c>
      <c r="W437" s="348">
        <f t="shared" si="62"/>
        <v>28.895223576744609</v>
      </c>
      <c r="X437" s="348">
        <f t="shared" si="63"/>
        <v>18.915628126448702</v>
      </c>
    </row>
    <row r="438" spans="1:24" x14ac:dyDescent="0.2">
      <c r="A438" s="407">
        <v>430</v>
      </c>
      <c r="B438" s="438">
        <v>27</v>
      </c>
      <c r="C438" s="438">
        <v>19.027000000000001</v>
      </c>
      <c r="D438" s="438">
        <v>15.316000000000001</v>
      </c>
      <c r="E438" s="438">
        <v>13.58</v>
      </c>
      <c r="F438" s="438">
        <v>27</v>
      </c>
      <c r="G438" s="438">
        <v>19.027000000000001</v>
      </c>
      <c r="H438" s="438">
        <v>29.094999999999999</v>
      </c>
      <c r="I438" s="438">
        <v>19.018999999999998</v>
      </c>
      <c r="J438" s="11"/>
      <c r="Q438" s="348">
        <f t="shared" si="56"/>
        <v>26.940583560806701</v>
      </c>
      <c r="R438" s="348">
        <f t="shared" si="57"/>
        <v>18.995740717503388</v>
      </c>
      <c r="S438" s="348">
        <f t="shared" si="58"/>
        <v>15.155911259083842</v>
      </c>
      <c r="T438" s="348">
        <f t="shared" si="59"/>
        <v>13.599005921080339</v>
      </c>
      <c r="U438" s="348">
        <f t="shared" si="60"/>
        <v>26.940583560806701</v>
      </c>
      <c r="V438" s="348">
        <f t="shared" si="61"/>
        <v>18.980747760565887</v>
      </c>
      <c r="W438" s="348">
        <f t="shared" si="62"/>
        <v>28.892233481912257</v>
      </c>
      <c r="X438" s="348">
        <f t="shared" si="63"/>
        <v>18.915628126448702</v>
      </c>
    </row>
    <row r="439" spans="1:24" x14ac:dyDescent="0.2">
      <c r="A439" s="407">
        <v>431</v>
      </c>
      <c r="B439" s="438">
        <v>27.004000000000001</v>
      </c>
      <c r="C439" s="438">
        <v>19.024000000000001</v>
      </c>
      <c r="D439" s="438">
        <v>15.315</v>
      </c>
      <c r="E439" s="438">
        <v>13.581</v>
      </c>
      <c r="F439" s="438">
        <v>27.004000000000001</v>
      </c>
      <c r="G439" s="438">
        <v>19.024000000000001</v>
      </c>
      <c r="H439" s="438">
        <v>29.1</v>
      </c>
      <c r="I439" s="438">
        <v>19.021000000000001</v>
      </c>
      <c r="J439" s="11"/>
      <c r="Q439" s="348">
        <f t="shared" si="56"/>
        <v>26.944563271205926</v>
      </c>
      <c r="R439" s="348">
        <f t="shared" si="57"/>
        <v>18.992722353629908</v>
      </c>
      <c r="S439" s="348">
        <f t="shared" si="58"/>
        <v>15.154911757267969</v>
      </c>
      <c r="T439" s="348">
        <f t="shared" si="59"/>
        <v>13.600006692556182</v>
      </c>
      <c r="U439" s="348">
        <f t="shared" si="60"/>
        <v>26.944563271205926</v>
      </c>
      <c r="V439" s="348">
        <f t="shared" si="61"/>
        <v>18.977743968536146</v>
      </c>
      <c r="W439" s="348">
        <f t="shared" si="62"/>
        <v>28.897216986250395</v>
      </c>
      <c r="X439" s="348">
        <f t="shared" si="63"/>
        <v>18.91761730004588</v>
      </c>
    </row>
    <row r="440" spans="1:24" x14ac:dyDescent="0.2">
      <c r="A440" s="407">
        <v>432</v>
      </c>
      <c r="B440" s="438">
        <v>26.997</v>
      </c>
      <c r="C440" s="438">
        <v>19.024999999999999</v>
      </c>
      <c r="D440" s="438">
        <v>15.313000000000001</v>
      </c>
      <c r="E440" s="438">
        <v>13.574999999999999</v>
      </c>
      <c r="F440" s="438">
        <v>26.997</v>
      </c>
      <c r="G440" s="438">
        <v>19.024999999999999</v>
      </c>
      <c r="H440" s="438">
        <v>29.094000000000001</v>
      </c>
      <c r="I440" s="438">
        <v>19.018999999999998</v>
      </c>
      <c r="J440" s="11"/>
      <c r="Q440" s="348">
        <f t="shared" si="56"/>
        <v>26.93759877557348</v>
      </c>
      <c r="R440" s="348">
        <f t="shared" si="57"/>
        <v>18.993728475632487</v>
      </c>
      <c r="S440" s="348">
        <f t="shared" si="58"/>
        <v>15.152912756350286</v>
      </c>
      <c r="T440" s="348">
        <f t="shared" si="59"/>
        <v>13.594002062487613</v>
      </c>
      <c r="U440" s="348">
        <f t="shared" si="60"/>
        <v>26.93759877557348</v>
      </c>
      <c r="V440" s="348">
        <f t="shared" si="61"/>
        <v>18.978745232494017</v>
      </c>
      <c r="W440" s="348">
        <f t="shared" si="62"/>
        <v>28.891236788815245</v>
      </c>
      <c r="X440" s="348">
        <f t="shared" si="63"/>
        <v>18.915628126448702</v>
      </c>
    </row>
    <row r="441" spans="1:24" x14ac:dyDescent="0.2">
      <c r="A441" s="407">
        <v>433</v>
      </c>
      <c r="B441" s="438">
        <v>27.003</v>
      </c>
      <c r="C441" s="438">
        <v>19.021999999999998</v>
      </c>
      <c r="D441" s="438">
        <v>15.315</v>
      </c>
      <c r="E441" s="438">
        <v>13.574999999999999</v>
      </c>
      <c r="F441" s="438">
        <v>27.003</v>
      </c>
      <c r="G441" s="438">
        <v>19.021999999999998</v>
      </c>
      <c r="H441" s="438">
        <v>29.099</v>
      </c>
      <c r="I441" s="438">
        <v>19.018999999999998</v>
      </c>
      <c r="J441" s="11"/>
      <c r="Q441" s="348">
        <f t="shared" si="56"/>
        <v>26.943568343953718</v>
      </c>
      <c r="R441" s="348">
        <f t="shared" si="57"/>
        <v>18.990710107490976</v>
      </c>
      <c r="S441" s="348">
        <f t="shared" si="58"/>
        <v>15.154911757267969</v>
      </c>
      <c r="T441" s="348">
        <f t="shared" si="59"/>
        <v>13.594002062487613</v>
      </c>
      <c r="U441" s="348">
        <f t="shared" si="60"/>
        <v>26.943568343953718</v>
      </c>
      <c r="V441" s="348">
        <f t="shared" si="61"/>
        <v>18.975741440776904</v>
      </c>
      <c r="W441" s="348">
        <f t="shared" si="62"/>
        <v>28.896220280202428</v>
      </c>
      <c r="X441" s="348">
        <f t="shared" si="63"/>
        <v>18.915628126448702</v>
      </c>
    </row>
    <row r="442" spans="1:24" x14ac:dyDescent="0.2">
      <c r="A442" s="407">
        <v>434</v>
      </c>
      <c r="B442" s="438">
        <v>27</v>
      </c>
      <c r="C442" s="438">
        <v>19.024000000000001</v>
      </c>
      <c r="D442" s="438">
        <v>15.313000000000001</v>
      </c>
      <c r="E442" s="438">
        <v>13.577999999999999</v>
      </c>
      <c r="F442" s="438">
        <v>27</v>
      </c>
      <c r="G442" s="438">
        <v>19.024000000000001</v>
      </c>
      <c r="H442" s="438">
        <v>29.094000000000001</v>
      </c>
      <c r="I442" s="438">
        <v>19.016999999999999</v>
      </c>
      <c r="J442" s="11"/>
      <c r="Q442" s="348">
        <f t="shared" si="56"/>
        <v>26.940583560806701</v>
      </c>
      <c r="R442" s="348">
        <f t="shared" si="57"/>
        <v>18.992722353629908</v>
      </c>
      <c r="S442" s="348">
        <f t="shared" si="58"/>
        <v>15.152912756350286</v>
      </c>
      <c r="T442" s="348">
        <f t="shared" si="59"/>
        <v>13.597004377885904</v>
      </c>
      <c r="U442" s="348">
        <f t="shared" si="60"/>
        <v>26.940583560806701</v>
      </c>
      <c r="V442" s="348">
        <f t="shared" si="61"/>
        <v>18.977743968536146</v>
      </c>
      <c r="W442" s="348">
        <f t="shared" si="62"/>
        <v>28.891236788815245</v>
      </c>
      <c r="X442" s="348">
        <f t="shared" si="63"/>
        <v>18.913638954042955</v>
      </c>
    </row>
    <row r="443" spans="1:24" x14ac:dyDescent="0.2">
      <c r="A443" s="407">
        <v>435</v>
      </c>
      <c r="B443" s="438">
        <v>26.995999999999999</v>
      </c>
      <c r="C443" s="438">
        <v>19.021999999999998</v>
      </c>
      <c r="D443" s="438">
        <v>15.313000000000001</v>
      </c>
      <c r="E443" s="438">
        <v>13.577</v>
      </c>
      <c r="F443" s="438">
        <v>26.995999999999999</v>
      </c>
      <c r="G443" s="438">
        <v>19.021999999999998</v>
      </c>
      <c r="H443" s="438">
        <v>29.094000000000001</v>
      </c>
      <c r="I443" s="438">
        <v>19.016999999999999</v>
      </c>
      <c r="J443" s="11"/>
      <c r="Q443" s="348">
        <f t="shared" si="56"/>
        <v>26.93660384669867</v>
      </c>
      <c r="R443" s="348">
        <f t="shared" si="57"/>
        <v>18.990710107490976</v>
      </c>
      <c r="S443" s="348">
        <f t="shared" si="58"/>
        <v>15.152912756350286</v>
      </c>
      <c r="T443" s="348">
        <f t="shared" si="59"/>
        <v>13.596003606167343</v>
      </c>
      <c r="U443" s="348">
        <f t="shared" si="60"/>
        <v>26.93660384669867</v>
      </c>
      <c r="V443" s="348">
        <f t="shared" si="61"/>
        <v>18.975741440776904</v>
      </c>
      <c r="W443" s="348">
        <f t="shared" si="62"/>
        <v>28.891236788815245</v>
      </c>
      <c r="X443" s="348">
        <f t="shared" si="63"/>
        <v>18.913638954042955</v>
      </c>
    </row>
    <row r="444" spans="1:24" x14ac:dyDescent="0.2">
      <c r="A444" s="407">
        <v>436</v>
      </c>
      <c r="B444" s="438">
        <v>26.995999999999999</v>
      </c>
      <c r="C444" s="437">
        <v>19.023</v>
      </c>
      <c r="D444" s="438">
        <v>15.314</v>
      </c>
      <c r="E444" s="438">
        <v>13.574999999999999</v>
      </c>
      <c r="F444" s="438">
        <v>26.995999999999999</v>
      </c>
      <c r="G444" s="438">
        <v>19.023</v>
      </c>
      <c r="H444" s="438">
        <v>29.088999999999999</v>
      </c>
      <c r="I444" s="438">
        <v>19.018000000000001</v>
      </c>
      <c r="J444" s="11"/>
      <c r="Q444" s="348">
        <f t="shared" si="56"/>
        <v>26.93660384669867</v>
      </c>
      <c r="R444" s="348">
        <f t="shared" si="57"/>
        <v>18.99171623091604</v>
      </c>
      <c r="S444" s="348">
        <f t="shared" si="58"/>
        <v>15.153912256356737</v>
      </c>
      <c r="T444" s="348">
        <f t="shared" si="59"/>
        <v>13.594002062487613</v>
      </c>
      <c r="U444" s="348">
        <f t="shared" si="60"/>
        <v>26.93660384669867</v>
      </c>
      <c r="V444" s="348">
        <f t="shared" si="61"/>
        <v>18.976742704630418</v>
      </c>
      <c r="W444" s="348">
        <f t="shared" si="62"/>
        <v>28.886253362184423</v>
      </c>
      <c r="X444" s="348">
        <f t="shared" si="63"/>
        <v>18.914633540096915</v>
      </c>
    </row>
    <row r="445" spans="1:24" x14ac:dyDescent="0.2">
      <c r="A445" s="407">
        <v>437</v>
      </c>
      <c r="B445" s="438">
        <v>26.997</v>
      </c>
      <c r="C445" s="438">
        <v>19.024999999999999</v>
      </c>
      <c r="D445" s="438">
        <v>15.314</v>
      </c>
      <c r="E445" s="438">
        <v>13.577999999999999</v>
      </c>
      <c r="F445" s="438">
        <v>26.997</v>
      </c>
      <c r="G445" s="438">
        <v>19.024999999999999</v>
      </c>
      <c r="H445" s="438">
        <v>29.09</v>
      </c>
      <c r="I445" s="438">
        <v>19.016999999999999</v>
      </c>
      <c r="J445" s="11"/>
      <c r="Q445" s="348">
        <f t="shared" si="56"/>
        <v>26.93759877557348</v>
      </c>
      <c r="R445" s="348">
        <f t="shared" si="57"/>
        <v>18.993728475632487</v>
      </c>
      <c r="S445" s="348">
        <f t="shared" si="58"/>
        <v>15.153912256356737</v>
      </c>
      <c r="T445" s="348">
        <f t="shared" si="59"/>
        <v>13.597004377885904</v>
      </c>
      <c r="U445" s="348">
        <f t="shared" si="60"/>
        <v>26.93759877557348</v>
      </c>
      <c r="V445" s="348">
        <f t="shared" si="61"/>
        <v>18.978745232494017</v>
      </c>
      <c r="W445" s="348">
        <f t="shared" si="62"/>
        <v>28.887250042329956</v>
      </c>
      <c r="X445" s="348">
        <f t="shared" si="63"/>
        <v>18.913638954042955</v>
      </c>
    </row>
    <row r="446" spans="1:24" x14ac:dyDescent="0.2">
      <c r="A446" s="407">
        <v>438</v>
      </c>
      <c r="B446" s="438">
        <v>26.995999999999999</v>
      </c>
      <c r="C446" s="438">
        <v>19.024999999999999</v>
      </c>
      <c r="D446" s="438">
        <v>15.313000000000001</v>
      </c>
      <c r="E446" s="438">
        <v>13.58</v>
      </c>
      <c r="F446" s="438">
        <v>26.995999999999999</v>
      </c>
      <c r="G446" s="438">
        <v>19.024999999999999</v>
      </c>
      <c r="H446" s="438">
        <v>29.088999999999999</v>
      </c>
      <c r="I446" s="438">
        <v>19.015999999999998</v>
      </c>
      <c r="J446" s="11"/>
      <c r="Q446" s="348">
        <f t="shared" si="56"/>
        <v>26.93660384669867</v>
      </c>
      <c r="R446" s="348">
        <f t="shared" si="57"/>
        <v>18.993728475632487</v>
      </c>
      <c r="S446" s="348">
        <f t="shared" si="58"/>
        <v>15.152912756350286</v>
      </c>
      <c r="T446" s="348">
        <f t="shared" si="59"/>
        <v>13.599005921080339</v>
      </c>
      <c r="U446" s="348">
        <f t="shared" si="60"/>
        <v>26.93660384669867</v>
      </c>
      <c r="V446" s="348">
        <f t="shared" si="61"/>
        <v>18.978745232494017</v>
      </c>
      <c r="W446" s="348">
        <f t="shared" si="62"/>
        <v>28.886253362184423</v>
      </c>
      <c r="X446" s="348">
        <f t="shared" si="63"/>
        <v>18.912644368286809</v>
      </c>
    </row>
    <row r="447" spans="1:24" x14ac:dyDescent="0.2">
      <c r="A447" s="407">
        <v>439</v>
      </c>
      <c r="B447" s="438">
        <v>27.004999999999999</v>
      </c>
      <c r="C447" s="438">
        <v>19.024000000000001</v>
      </c>
      <c r="D447" s="438">
        <v>15.318</v>
      </c>
      <c r="E447" s="438">
        <v>13.583</v>
      </c>
      <c r="F447" s="438">
        <v>27.004999999999999</v>
      </c>
      <c r="G447" s="438">
        <v>19.024000000000001</v>
      </c>
      <c r="H447" s="438">
        <v>29.088000000000001</v>
      </c>
      <c r="I447" s="438">
        <v>19.015000000000001</v>
      </c>
      <c r="J447" s="11"/>
      <c r="Q447" s="348">
        <f t="shared" si="56"/>
        <v>26.945558198226443</v>
      </c>
      <c r="R447" s="348">
        <f t="shared" si="57"/>
        <v>18.992722353629908</v>
      </c>
      <c r="S447" s="348">
        <f t="shared" si="58"/>
        <v>15.157910265428947</v>
      </c>
      <c r="T447" s="348">
        <f t="shared" si="59"/>
        <v>13.602008235265044</v>
      </c>
      <c r="U447" s="348">
        <f t="shared" si="60"/>
        <v>26.945558198226443</v>
      </c>
      <c r="V447" s="348">
        <f t="shared" si="61"/>
        <v>18.977743968536146</v>
      </c>
      <c r="W447" s="348">
        <f t="shared" si="62"/>
        <v>28.885256684629262</v>
      </c>
      <c r="X447" s="348">
        <f t="shared" si="63"/>
        <v>18.911649782828444</v>
      </c>
    </row>
    <row r="448" spans="1:24" x14ac:dyDescent="0.2">
      <c r="A448" s="407">
        <v>440</v>
      </c>
      <c r="B448" s="438">
        <v>27.003</v>
      </c>
      <c r="C448" s="438">
        <v>19.024000000000001</v>
      </c>
      <c r="D448" s="438">
        <v>15.314</v>
      </c>
      <c r="E448" s="438">
        <v>13.579000000000001</v>
      </c>
      <c r="F448" s="438">
        <v>27.003</v>
      </c>
      <c r="G448" s="438">
        <v>19.024000000000001</v>
      </c>
      <c r="H448" s="438">
        <v>29.09</v>
      </c>
      <c r="I448" s="438">
        <v>19.018000000000001</v>
      </c>
      <c r="J448" s="11"/>
      <c r="Q448" s="348">
        <f t="shared" si="56"/>
        <v>26.943568343953718</v>
      </c>
      <c r="R448" s="348">
        <f t="shared" si="57"/>
        <v>18.992722353629908</v>
      </c>
      <c r="S448" s="348">
        <f t="shared" si="58"/>
        <v>15.153912256356737</v>
      </c>
      <c r="T448" s="348">
        <f t="shared" si="59"/>
        <v>13.598005149523575</v>
      </c>
      <c r="U448" s="348">
        <f t="shared" si="60"/>
        <v>26.943568343953718</v>
      </c>
      <c r="V448" s="348">
        <f t="shared" si="61"/>
        <v>18.977743968536146</v>
      </c>
      <c r="W448" s="348">
        <f t="shared" si="62"/>
        <v>28.887250042329956</v>
      </c>
      <c r="X448" s="348">
        <f t="shared" si="63"/>
        <v>18.914633540096915</v>
      </c>
    </row>
    <row r="449" spans="1:24" x14ac:dyDescent="0.2">
      <c r="A449" s="407">
        <v>441</v>
      </c>
      <c r="B449" s="437">
        <v>27.006</v>
      </c>
      <c r="C449" s="438">
        <v>19.024000000000001</v>
      </c>
      <c r="D449" s="438">
        <v>15.315</v>
      </c>
      <c r="E449" s="438">
        <v>13.571</v>
      </c>
      <c r="F449" s="438">
        <v>27.006</v>
      </c>
      <c r="G449" s="438">
        <v>19.024000000000001</v>
      </c>
      <c r="H449" s="438">
        <v>29.093</v>
      </c>
      <c r="I449" s="438">
        <v>19.018000000000001</v>
      </c>
      <c r="J449" s="11"/>
      <c r="Q449" s="348">
        <f t="shared" si="56"/>
        <v>26.94655312501531</v>
      </c>
      <c r="R449" s="348">
        <f t="shared" si="57"/>
        <v>18.992722353629908</v>
      </c>
      <c r="S449" s="348">
        <f t="shared" si="58"/>
        <v>15.154911757267969</v>
      </c>
      <c r="T449" s="348">
        <f t="shared" si="59"/>
        <v>13.589998974158148</v>
      </c>
      <c r="U449" s="348">
        <f t="shared" si="60"/>
        <v>26.94655312501531</v>
      </c>
      <c r="V449" s="348">
        <f t="shared" si="61"/>
        <v>18.977743968536146</v>
      </c>
      <c r="W449" s="348">
        <f t="shared" si="62"/>
        <v>28.890240098308492</v>
      </c>
      <c r="X449" s="348">
        <f t="shared" si="63"/>
        <v>18.914633540096915</v>
      </c>
    </row>
    <row r="450" spans="1:24" x14ac:dyDescent="0.2">
      <c r="A450" s="407">
        <v>442</v>
      </c>
      <c r="B450" s="438">
        <v>27.003</v>
      </c>
      <c r="C450" s="438">
        <v>19.024999999999999</v>
      </c>
      <c r="D450" s="438">
        <v>15.315</v>
      </c>
      <c r="E450" s="438">
        <v>13.573</v>
      </c>
      <c r="F450" s="438">
        <v>27.003</v>
      </c>
      <c r="G450" s="438">
        <v>19.024999999999999</v>
      </c>
      <c r="H450" s="438">
        <v>29.091000000000001</v>
      </c>
      <c r="I450" s="438">
        <v>19.018000000000001</v>
      </c>
      <c r="J450" s="11"/>
      <c r="Q450" s="348">
        <f t="shared" si="56"/>
        <v>26.943568343953718</v>
      </c>
      <c r="R450" s="348">
        <f t="shared" si="57"/>
        <v>18.993728475632487</v>
      </c>
      <c r="S450" s="348">
        <f t="shared" si="58"/>
        <v>15.154911757267969</v>
      </c>
      <c r="T450" s="348">
        <f t="shared" si="59"/>
        <v>13.592000518484507</v>
      </c>
      <c r="U450" s="348">
        <f t="shared" si="60"/>
        <v>26.943568343953718</v>
      </c>
      <c r="V450" s="348">
        <f t="shared" si="61"/>
        <v>18.978745232494017</v>
      </c>
      <c r="W450" s="348">
        <f t="shared" si="62"/>
        <v>28.888246725065823</v>
      </c>
      <c r="X450" s="348">
        <f t="shared" si="63"/>
        <v>18.914633540096915</v>
      </c>
    </row>
    <row r="451" spans="1:24" x14ac:dyDescent="0.2">
      <c r="A451" s="407">
        <v>443</v>
      </c>
      <c r="B451" s="438">
        <v>26.995999999999999</v>
      </c>
      <c r="C451" s="438">
        <v>19.02</v>
      </c>
      <c r="D451" s="438">
        <v>15.311</v>
      </c>
      <c r="E451" s="438">
        <v>13.568</v>
      </c>
      <c r="F451" s="438">
        <v>26.995999999999999</v>
      </c>
      <c r="G451" s="438">
        <v>19.02</v>
      </c>
      <c r="H451" s="438">
        <v>29.094000000000001</v>
      </c>
      <c r="I451" s="438">
        <v>19.018999999999998</v>
      </c>
      <c r="J451" s="11"/>
      <c r="Q451" s="348">
        <f t="shared" si="56"/>
        <v>26.93660384669867</v>
      </c>
      <c r="R451" s="348">
        <f t="shared" si="57"/>
        <v>18.988697858507646</v>
      </c>
      <c r="S451" s="348">
        <f t="shared" si="58"/>
        <v>15.150913759052282</v>
      </c>
      <c r="T451" s="348">
        <f t="shared" si="59"/>
        <v>13.586996657062775</v>
      </c>
      <c r="U451" s="348">
        <f t="shared" si="60"/>
        <v>26.93660384669867</v>
      </c>
      <c r="V451" s="348">
        <f t="shared" si="61"/>
        <v>18.973738913226835</v>
      </c>
      <c r="W451" s="348">
        <f t="shared" si="62"/>
        <v>28.891236788815245</v>
      </c>
      <c r="X451" s="348">
        <f t="shared" si="63"/>
        <v>18.915628126448702</v>
      </c>
    </row>
    <row r="452" spans="1:24" x14ac:dyDescent="0.2">
      <c r="A452" s="407">
        <v>444</v>
      </c>
      <c r="B452" s="438">
        <v>27</v>
      </c>
      <c r="C452" s="438">
        <v>19.024000000000001</v>
      </c>
      <c r="D452" s="438">
        <v>15.311999999999999</v>
      </c>
      <c r="E452" s="438">
        <v>13.571</v>
      </c>
      <c r="F452" s="438">
        <v>27</v>
      </c>
      <c r="G452" s="438">
        <v>19.024000000000001</v>
      </c>
      <c r="H452" s="438">
        <v>29.096</v>
      </c>
      <c r="I452" s="438">
        <v>19.023</v>
      </c>
      <c r="J452" s="11"/>
      <c r="Q452" s="348">
        <f t="shared" si="56"/>
        <v>26.940583560806701</v>
      </c>
      <c r="R452" s="348">
        <f t="shared" si="57"/>
        <v>18.992722353629908</v>
      </c>
      <c r="S452" s="348">
        <f t="shared" si="58"/>
        <v>15.151913257248752</v>
      </c>
      <c r="T452" s="348">
        <f t="shared" si="59"/>
        <v>13.589998974158148</v>
      </c>
      <c r="U452" s="348">
        <f t="shared" si="60"/>
        <v>26.940583560806701</v>
      </c>
      <c r="V452" s="348">
        <f t="shared" si="61"/>
        <v>18.977743968536146</v>
      </c>
      <c r="W452" s="348">
        <f t="shared" si="62"/>
        <v>28.893230177599506</v>
      </c>
      <c r="X452" s="348">
        <f t="shared" si="63"/>
        <v>18.919606474834676</v>
      </c>
    </row>
    <row r="453" spans="1:24" x14ac:dyDescent="0.2">
      <c r="A453" s="407">
        <v>445</v>
      </c>
      <c r="B453" s="438">
        <v>27.003</v>
      </c>
      <c r="C453" s="438">
        <v>19.024000000000001</v>
      </c>
      <c r="D453" s="438">
        <v>15.311</v>
      </c>
      <c r="E453" s="438">
        <v>13.571</v>
      </c>
      <c r="F453" s="438">
        <v>27.003</v>
      </c>
      <c r="G453" s="438">
        <v>19.024000000000001</v>
      </c>
      <c r="H453" s="438">
        <v>29.102</v>
      </c>
      <c r="I453" s="438">
        <v>19.021999999999998</v>
      </c>
      <c r="J453" s="11"/>
      <c r="Q453" s="348">
        <f t="shared" si="56"/>
        <v>26.943568343953718</v>
      </c>
      <c r="R453" s="348">
        <f t="shared" si="57"/>
        <v>18.992722353629908</v>
      </c>
      <c r="S453" s="348">
        <f t="shared" si="58"/>
        <v>15.150913759052282</v>
      </c>
      <c r="T453" s="348">
        <f t="shared" si="59"/>
        <v>13.589998974158148</v>
      </c>
      <c r="U453" s="348">
        <f t="shared" si="60"/>
        <v>26.943568343953718</v>
      </c>
      <c r="V453" s="348">
        <f t="shared" si="61"/>
        <v>18.977743968536146</v>
      </c>
      <c r="W453" s="348">
        <f t="shared" si="62"/>
        <v>28.899210406116683</v>
      </c>
      <c r="X453" s="348">
        <f t="shared" si="63"/>
        <v>18.918611887291309</v>
      </c>
    </row>
    <row r="454" spans="1:24" x14ac:dyDescent="0.2">
      <c r="A454" s="407">
        <v>446</v>
      </c>
      <c r="B454" s="438">
        <v>26.997</v>
      </c>
      <c r="C454" s="438">
        <v>19.023</v>
      </c>
      <c r="D454" s="438">
        <v>15.311999999999999</v>
      </c>
      <c r="E454" s="438">
        <v>13.571</v>
      </c>
      <c r="F454" s="438">
        <v>26.997</v>
      </c>
      <c r="G454" s="438">
        <v>19.023</v>
      </c>
      <c r="H454" s="438">
        <v>29.102</v>
      </c>
      <c r="I454" s="438">
        <v>19.021999999999998</v>
      </c>
      <c r="J454" s="11"/>
      <c r="Q454" s="348">
        <f t="shared" si="56"/>
        <v>26.93759877557348</v>
      </c>
      <c r="R454" s="348">
        <f t="shared" si="57"/>
        <v>18.99171623091604</v>
      </c>
      <c r="S454" s="348">
        <f t="shared" si="58"/>
        <v>15.151913257248752</v>
      </c>
      <c r="T454" s="348">
        <f t="shared" si="59"/>
        <v>13.589998974158148</v>
      </c>
      <c r="U454" s="348">
        <f t="shared" si="60"/>
        <v>26.93759877557348</v>
      </c>
      <c r="V454" s="348">
        <f t="shared" si="61"/>
        <v>18.976742704630418</v>
      </c>
      <c r="W454" s="348">
        <f t="shared" si="62"/>
        <v>28.899210406116683</v>
      </c>
      <c r="X454" s="348">
        <f t="shared" si="63"/>
        <v>18.918611887291309</v>
      </c>
    </row>
    <row r="455" spans="1:24" x14ac:dyDescent="0.2">
      <c r="A455" s="407">
        <v>447</v>
      </c>
      <c r="B455" s="438">
        <v>27.004999999999999</v>
      </c>
      <c r="C455" s="438">
        <v>19.024999999999999</v>
      </c>
      <c r="D455" s="438">
        <v>15.313000000000001</v>
      </c>
      <c r="E455" s="438">
        <v>13.577</v>
      </c>
      <c r="F455" s="438">
        <v>27.004999999999999</v>
      </c>
      <c r="G455" s="438">
        <v>19.024999999999999</v>
      </c>
      <c r="H455" s="438">
        <v>29.108000000000001</v>
      </c>
      <c r="I455" s="438">
        <v>19.024999999999999</v>
      </c>
      <c r="J455" s="11"/>
      <c r="Q455" s="348">
        <f t="shared" si="56"/>
        <v>26.945558198226443</v>
      </c>
      <c r="R455" s="348">
        <f t="shared" si="57"/>
        <v>18.993728475632487</v>
      </c>
      <c r="S455" s="348">
        <f t="shared" si="58"/>
        <v>15.152912756350286</v>
      </c>
      <c r="T455" s="348">
        <f t="shared" si="59"/>
        <v>13.596003606167343</v>
      </c>
      <c r="U455" s="348">
        <f t="shared" si="60"/>
        <v>26.945558198226443</v>
      </c>
      <c r="V455" s="348">
        <f t="shared" si="61"/>
        <v>18.978745232494017</v>
      </c>
      <c r="W455" s="348">
        <f t="shared" si="62"/>
        <v>28.905190727876867</v>
      </c>
      <c r="X455" s="348">
        <f t="shared" si="63"/>
        <v>18.921595650815298</v>
      </c>
    </row>
    <row r="456" spans="1:24" x14ac:dyDescent="0.2">
      <c r="A456" s="407">
        <v>448</v>
      </c>
      <c r="B456" s="438">
        <v>26.995000000000001</v>
      </c>
      <c r="C456" s="438">
        <v>19.018999999999998</v>
      </c>
      <c r="D456" s="438">
        <v>15.313000000000001</v>
      </c>
      <c r="E456" s="438">
        <v>13.574999999999999</v>
      </c>
      <c r="F456" s="438">
        <v>26.995000000000001</v>
      </c>
      <c r="G456" s="438">
        <v>19.018999999999998</v>
      </c>
      <c r="H456" s="438">
        <v>29.108000000000001</v>
      </c>
      <c r="I456" s="438">
        <v>19.026</v>
      </c>
      <c r="J456" s="11"/>
      <c r="Q456" s="348">
        <f t="shared" si="56"/>
        <v>26.935608917591946</v>
      </c>
      <c r="R456" s="348">
        <f t="shared" si="57"/>
        <v>18.987691732949568</v>
      </c>
      <c r="S456" s="348">
        <f t="shared" si="58"/>
        <v>15.152912756350286</v>
      </c>
      <c r="T456" s="348">
        <f t="shared" si="59"/>
        <v>13.594002062487613</v>
      </c>
      <c r="U456" s="348">
        <f t="shared" si="60"/>
        <v>26.935608917591946</v>
      </c>
      <c r="V456" s="348">
        <f t="shared" si="61"/>
        <v>18.97273764953043</v>
      </c>
      <c r="W456" s="348">
        <f t="shared" si="62"/>
        <v>28.905190727876867</v>
      </c>
      <c r="X456" s="348">
        <f t="shared" si="63"/>
        <v>18.92259023925261</v>
      </c>
    </row>
    <row r="457" spans="1:24" x14ac:dyDescent="0.2">
      <c r="A457" s="407">
        <v>449</v>
      </c>
      <c r="B457" s="438">
        <v>26.997</v>
      </c>
      <c r="C457" s="438">
        <v>19.015999999999998</v>
      </c>
      <c r="D457" s="438">
        <v>15.311</v>
      </c>
      <c r="E457" s="438">
        <v>13.571</v>
      </c>
      <c r="F457" s="438">
        <v>26.997</v>
      </c>
      <c r="G457" s="438">
        <v>19.015999999999998</v>
      </c>
      <c r="H457" s="438">
        <v>29.111999999999998</v>
      </c>
      <c r="I457" s="438">
        <v>19.024999999999999</v>
      </c>
      <c r="J457" s="11"/>
      <c r="Q457" s="348">
        <f t="shared" si="56"/>
        <v>26.93759877557348</v>
      </c>
      <c r="R457" s="348">
        <f t="shared" si="57"/>
        <v>18.984673352010827</v>
      </c>
      <c r="S457" s="348">
        <f t="shared" si="58"/>
        <v>15.150913759052282</v>
      </c>
      <c r="T457" s="348">
        <f t="shared" si="59"/>
        <v>13.589998974158148</v>
      </c>
      <c r="U457" s="348">
        <f t="shared" si="60"/>
        <v>26.93759877557348</v>
      </c>
      <c r="V457" s="348">
        <f t="shared" si="61"/>
        <v>18.969733858756605</v>
      </c>
      <c r="W457" s="348">
        <f t="shared" si="62"/>
        <v>28.909177660849686</v>
      </c>
      <c r="X457" s="348">
        <f t="shared" si="63"/>
        <v>18.921595650815298</v>
      </c>
    </row>
    <row r="458" spans="1:24" x14ac:dyDescent="0.2">
      <c r="A458" s="407">
        <v>450</v>
      </c>
      <c r="B458" s="438">
        <v>27.004999999999999</v>
      </c>
      <c r="C458" s="437">
        <v>19.018999999999998</v>
      </c>
      <c r="D458" s="438">
        <v>15.316000000000001</v>
      </c>
      <c r="E458" s="438">
        <v>13.571</v>
      </c>
      <c r="F458" s="438">
        <v>27.004999999999999</v>
      </c>
      <c r="G458" s="438">
        <v>19.018999999999998</v>
      </c>
      <c r="H458" s="438">
        <v>29.111000000000001</v>
      </c>
      <c r="I458" s="437">
        <v>19.024999999999999</v>
      </c>
      <c r="J458" s="11"/>
      <c r="Q458" s="348">
        <f t="shared" ref="Q458:Q521" si="64">IFERROR(B458^4*$AB$9+B458^3*$AC$9+B458^2*$AD$9+B458^1*$AE$9+B458^0*$AF$9,"")</f>
        <v>26.945558198226443</v>
      </c>
      <c r="R458" s="348">
        <f t="shared" ref="R458:R521" si="65">IFERROR(C458^4*$AB$10+C458^3*$AC$10+C458^2*$AD$10+C458^1*$AE$10+C458^0*$AF$10,"")</f>
        <v>18.987691732949568</v>
      </c>
      <c r="S458" s="348">
        <f t="shared" ref="S458:S521" si="66">IFERROR(D458^4*$AB$11+D458^3*$AC$11+D458^2*$AD$11+D458^1*$AE$11+D458^0*$AF$11,"")</f>
        <v>15.155911259083842</v>
      </c>
      <c r="T458" s="348">
        <f t="shared" ref="T458:T521" si="67">IFERROR(E458^4*$AB$12+E458^3*$AC$12+E458^2*$AD$12+E458^1*$AE$12+E458^0*$AF$12,"")</f>
        <v>13.589998974158148</v>
      </c>
      <c r="U458" s="348">
        <f t="shared" ref="U458:U521" si="68">IFERROR(F458^4*$AB$13+F458^3*$AC$13+F458^2*$AD$13+F458^1*$AE$13+F458^0*$AF$13,"")</f>
        <v>26.945558198226443</v>
      </c>
      <c r="V458" s="348">
        <f t="shared" ref="V458:V521" si="69">IFERROR(G458^4*$AB$14+G458^3*$AC$14+G458^2*$AD$14+G458^1*$AE$14+G458^0*$AF$14,"")</f>
        <v>18.97273764953043</v>
      </c>
      <c r="W458" s="348">
        <f t="shared" ref="W458:W521" si="70">IFERROR(H458^4*$AB$15+H458^3*$AC$15+H458^2*$AD$15+H458^1*$AE$15+H458^0*$AF$15,"")</f>
        <v>28.908180923721631</v>
      </c>
      <c r="X458" s="348">
        <f t="shared" ref="X458:X521" si="71">IFERROR(I458^4*$AB$16+I458^3*$AC$16+I458^2*$AD$16+I458^1*$AE$16+I458^0*$AF$16,"")</f>
        <v>18.921595650815298</v>
      </c>
    </row>
    <row r="459" spans="1:24" x14ac:dyDescent="0.2">
      <c r="A459" s="407">
        <v>451</v>
      </c>
      <c r="B459" s="438">
        <v>27.001999999999999</v>
      </c>
      <c r="C459" s="438">
        <v>19.015000000000001</v>
      </c>
      <c r="D459" s="438">
        <v>15.314</v>
      </c>
      <c r="E459" s="437">
        <v>13.57</v>
      </c>
      <c r="F459" s="438">
        <v>27.001999999999999</v>
      </c>
      <c r="G459" s="438">
        <v>19.015000000000001</v>
      </c>
      <c r="H459" s="438">
        <v>29.113</v>
      </c>
      <c r="I459" s="438">
        <v>19.027000000000001</v>
      </c>
      <c r="J459" s="11"/>
      <c r="Q459" s="348">
        <f t="shared" si="64"/>
        <v>26.942573416469799</v>
      </c>
      <c r="R459" s="348">
        <f t="shared" si="65"/>
        <v>18.983667223610066</v>
      </c>
      <c r="S459" s="348">
        <f t="shared" si="66"/>
        <v>15.153912256356737</v>
      </c>
      <c r="T459" s="348">
        <f t="shared" si="67"/>
        <v>13.588998201873785</v>
      </c>
      <c r="U459" s="348">
        <f t="shared" si="68"/>
        <v>26.942573416469799</v>
      </c>
      <c r="V459" s="348">
        <f t="shared" si="69"/>
        <v>18.968732595270723</v>
      </c>
      <c r="W459" s="348">
        <f t="shared" si="70"/>
        <v>28.910174400567616</v>
      </c>
      <c r="X459" s="348">
        <f t="shared" si="71"/>
        <v>18.923584827987952</v>
      </c>
    </row>
    <row r="460" spans="1:24" x14ac:dyDescent="0.2">
      <c r="A460" s="407">
        <v>452</v>
      </c>
      <c r="B460" s="438">
        <v>26.994</v>
      </c>
      <c r="C460" s="438">
        <v>19.015999999999998</v>
      </c>
      <c r="D460" s="438">
        <v>15.31</v>
      </c>
      <c r="E460" s="438">
        <v>13.571</v>
      </c>
      <c r="F460" s="438">
        <v>26.994</v>
      </c>
      <c r="G460" s="438">
        <v>19.015999999999998</v>
      </c>
      <c r="H460" s="438">
        <v>29.116</v>
      </c>
      <c r="I460" s="438">
        <v>19.026</v>
      </c>
      <c r="J460" s="11"/>
      <c r="Q460" s="348">
        <f t="shared" si="64"/>
        <v>26.934613988253275</v>
      </c>
      <c r="R460" s="348">
        <f t="shared" si="65"/>
        <v>18.984673352010827</v>
      </c>
      <c r="S460" s="348">
        <f t="shared" si="66"/>
        <v>15.149914261761012</v>
      </c>
      <c r="T460" s="348">
        <f t="shared" si="67"/>
        <v>13.589998974158148</v>
      </c>
      <c r="U460" s="348">
        <f t="shared" si="68"/>
        <v>26.934613988253275</v>
      </c>
      <c r="V460" s="348">
        <f t="shared" si="69"/>
        <v>18.969733858756605</v>
      </c>
      <c r="W460" s="348">
        <f t="shared" si="70"/>
        <v>28.913164635260372</v>
      </c>
      <c r="X460" s="348">
        <f t="shared" si="71"/>
        <v>18.92259023925261</v>
      </c>
    </row>
    <row r="461" spans="1:24" x14ac:dyDescent="0.2">
      <c r="A461" s="407">
        <v>453</v>
      </c>
      <c r="B461" s="438">
        <v>26.994</v>
      </c>
      <c r="C461" s="438">
        <v>19.013999999999999</v>
      </c>
      <c r="D461" s="437">
        <v>15.311</v>
      </c>
      <c r="E461" s="438">
        <v>13.566000000000001</v>
      </c>
      <c r="F461" s="438">
        <v>26.994</v>
      </c>
      <c r="G461" s="438">
        <v>19.013999999999999</v>
      </c>
      <c r="H461" s="438">
        <v>29.114999999999998</v>
      </c>
      <c r="I461" s="438">
        <v>19.026</v>
      </c>
      <c r="J461" s="11"/>
      <c r="Q461" s="348">
        <f t="shared" si="64"/>
        <v>26.934613988253275</v>
      </c>
      <c r="R461" s="348">
        <f t="shared" si="65"/>
        <v>18.982661094498862</v>
      </c>
      <c r="S461" s="348">
        <f t="shared" si="66"/>
        <v>15.150913759052282</v>
      </c>
      <c r="T461" s="348">
        <f t="shared" si="67"/>
        <v>13.584995111928821</v>
      </c>
      <c r="U461" s="348">
        <f t="shared" si="68"/>
        <v>26.934613988253275</v>
      </c>
      <c r="V461" s="348">
        <f t="shared" si="69"/>
        <v>18.967731331837651</v>
      </c>
      <c r="W461" s="348">
        <f t="shared" si="70"/>
        <v>28.912167887772974</v>
      </c>
      <c r="X461" s="348">
        <f t="shared" si="71"/>
        <v>18.92259023925261</v>
      </c>
    </row>
    <row r="462" spans="1:24" x14ac:dyDescent="0.2">
      <c r="A462" s="407">
        <v>454</v>
      </c>
      <c r="B462" s="438">
        <v>26.995000000000001</v>
      </c>
      <c r="C462" s="438">
        <v>19.010999999999999</v>
      </c>
      <c r="D462" s="438">
        <v>15.31</v>
      </c>
      <c r="E462" s="438">
        <v>13.568</v>
      </c>
      <c r="F462" s="438">
        <v>26.995000000000001</v>
      </c>
      <c r="G462" s="438">
        <v>19.010999999999999</v>
      </c>
      <c r="H462" s="438">
        <v>29.116</v>
      </c>
      <c r="I462" s="438">
        <v>19.029</v>
      </c>
      <c r="J462" s="11"/>
      <c r="Q462" s="348">
        <f t="shared" si="64"/>
        <v>26.935608917591946</v>
      </c>
      <c r="R462" s="348">
        <f t="shared" si="65"/>
        <v>18.979642702903607</v>
      </c>
      <c r="S462" s="348">
        <f t="shared" si="66"/>
        <v>15.149914261761012</v>
      </c>
      <c r="T462" s="348">
        <f t="shared" si="67"/>
        <v>13.586996657062775</v>
      </c>
      <c r="U462" s="348">
        <f t="shared" si="68"/>
        <v>26.935608917591946</v>
      </c>
      <c r="V462" s="348">
        <f t="shared" si="69"/>
        <v>18.964727541856103</v>
      </c>
      <c r="W462" s="348">
        <f t="shared" si="70"/>
        <v>28.913164635260372</v>
      </c>
      <c r="X462" s="348">
        <f t="shared" si="71"/>
        <v>18.925574006352825</v>
      </c>
    </row>
    <row r="463" spans="1:24" x14ac:dyDescent="0.2">
      <c r="A463" s="407">
        <v>455</v>
      </c>
      <c r="B463" s="438">
        <v>27.001000000000001</v>
      </c>
      <c r="C463" s="438">
        <v>19.010999999999999</v>
      </c>
      <c r="D463" s="438">
        <v>15.311</v>
      </c>
      <c r="E463" s="438">
        <v>13.567</v>
      </c>
      <c r="F463" s="438">
        <v>27.001000000000001</v>
      </c>
      <c r="G463" s="438">
        <v>19.010999999999999</v>
      </c>
      <c r="H463" s="438">
        <v>29.122</v>
      </c>
      <c r="I463" s="438">
        <v>19.03</v>
      </c>
      <c r="J463" s="11"/>
      <c r="Q463" s="348">
        <f t="shared" si="64"/>
        <v>26.941578488754139</v>
      </c>
      <c r="R463" s="348">
        <f t="shared" si="65"/>
        <v>18.979642702903607</v>
      </c>
      <c r="S463" s="348">
        <f t="shared" si="66"/>
        <v>15.150913759052282</v>
      </c>
      <c r="T463" s="348">
        <f t="shared" si="67"/>
        <v>13.585995884536159</v>
      </c>
      <c r="U463" s="348">
        <f t="shared" si="68"/>
        <v>26.941578488754139</v>
      </c>
      <c r="V463" s="348">
        <f t="shared" si="69"/>
        <v>18.964727541856103</v>
      </c>
      <c r="W463" s="348">
        <f t="shared" si="70"/>
        <v>28.919145174569298</v>
      </c>
      <c r="X463" s="348">
        <f t="shared" si="71"/>
        <v>18.92656859598241</v>
      </c>
    </row>
    <row r="464" spans="1:24" x14ac:dyDescent="0.2">
      <c r="A464" s="407">
        <v>456</v>
      </c>
      <c r="B464" s="438">
        <v>27</v>
      </c>
      <c r="C464" s="438">
        <v>19.012</v>
      </c>
      <c r="D464" s="438">
        <v>15.31</v>
      </c>
      <c r="E464" s="438">
        <v>13.568</v>
      </c>
      <c r="F464" s="438">
        <v>27</v>
      </c>
      <c r="G464" s="438">
        <v>19.012</v>
      </c>
      <c r="H464" s="438">
        <v>29.123999999999999</v>
      </c>
      <c r="I464" s="438">
        <v>19.033000000000001</v>
      </c>
      <c r="J464" s="11"/>
      <c r="Q464" s="348">
        <f t="shared" si="64"/>
        <v>26.940583560806701</v>
      </c>
      <c r="R464" s="348">
        <f t="shared" si="65"/>
        <v>18.980648834145544</v>
      </c>
      <c r="S464" s="348">
        <f t="shared" si="66"/>
        <v>15.149914261761012</v>
      </c>
      <c r="T464" s="348">
        <f t="shared" si="67"/>
        <v>13.586996657062775</v>
      </c>
      <c r="U464" s="348">
        <f t="shared" si="68"/>
        <v>26.940583560806701</v>
      </c>
      <c r="V464" s="348">
        <f t="shared" si="69"/>
        <v>18.965728805130269</v>
      </c>
      <c r="W464" s="348">
        <f t="shared" si="70"/>
        <v>28.921138708389677</v>
      </c>
      <c r="X464" s="348">
        <f t="shared" si="71"/>
        <v>18.929552366660037</v>
      </c>
    </row>
    <row r="465" spans="1:24" x14ac:dyDescent="0.2">
      <c r="A465" s="407">
        <v>457</v>
      </c>
      <c r="B465" s="438">
        <v>26.992000000000001</v>
      </c>
      <c r="C465" s="438">
        <v>19.012</v>
      </c>
      <c r="D465" s="438">
        <v>15.307</v>
      </c>
      <c r="E465" s="438">
        <v>13.564</v>
      </c>
      <c r="F465" s="438">
        <v>26.992000000000001</v>
      </c>
      <c r="G465" s="438">
        <v>19.012</v>
      </c>
      <c r="H465" s="438">
        <v>29.129000000000001</v>
      </c>
      <c r="I465" s="438">
        <v>19.033000000000001</v>
      </c>
      <c r="J465" s="11"/>
      <c r="Q465" s="348">
        <f t="shared" si="64"/>
        <v>26.93262412887999</v>
      </c>
      <c r="R465" s="348">
        <f t="shared" si="65"/>
        <v>18.980648834145544</v>
      </c>
      <c r="S465" s="348">
        <f t="shared" si="66"/>
        <v>15.146915775319799</v>
      </c>
      <c r="T465" s="348">
        <f t="shared" si="67"/>
        <v>13.582993566472041</v>
      </c>
      <c r="U465" s="348">
        <f t="shared" si="68"/>
        <v>26.93262412887999</v>
      </c>
      <c r="V465" s="348">
        <f t="shared" si="69"/>
        <v>18.965728805130269</v>
      </c>
      <c r="W465" s="348">
        <f t="shared" si="70"/>
        <v>28.926122588258245</v>
      </c>
      <c r="X465" s="348">
        <f t="shared" si="71"/>
        <v>18.929552366660037</v>
      </c>
    </row>
    <row r="466" spans="1:24" x14ac:dyDescent="0.2">
      <c r="A466" s="407">
        <v>458</v>
      </c>
      <c r="B466" s="438">
        <v>26.992000000000001</v>
      </c>
      <c r="C466" s="438">
        <v>19.013999999999999</v>
      </c>
      <c r="D466" s="438">
        <v>15.308999999999999</v>
      </c>
      <c r="E466" s="438">
        <v>13.563000000000001</v>
      </c>
      <c r="F466" s="438">
        <v>26.992000000000001</v>
      </c>
      <c r="G466" s="438">
        <v>19.013999999999999</v>
      </c>
      <c r="H466" s="438">
        <v>29.128</v>
      </c>
      <c r="I466" s="438">
        <v>19.033999999999999</v>
      </c>
      <c r="J466" s="11"/>
      <c r="Q466" s="348">
        <f t="shared" si="64"/>
        <v>26.93262412887999</v>
      </c>
      <c r="R466" s="348">
        <f t="shared" si="65"/>
        <v>18.982661094498862</v>
      </c>
      <c r="S466" s="348">
        <f t="shared" si="66"/>
        <v>15.148914765375078</v>
      </c>
      <c r="T466" s="348">
        <f t="shared" si="67"/>
        <v>13.58199279362263</v>
      </c>
      <c r="U466" s="348">
        <f t="shared" si="68"/>
        <v>26.93262412887999</v>
      </c>
      <c r="V466" s="348">
        <f t="shared" si="69"/>
        <v>18.967731331837651</v>
      </c>
      <c r="W466" s="348">
        <f t="shared" si="70"/>
        <v>28.925125807105463</v>
      </c>
      <c r="X466" s="348">
        <f t="shared" si="71"/>
        <v>18.930546957482289</v>
      </c>
    </row>
    <row r="467" spans="1:24" x14ac:dyDescent="0.2">
      <c r="A467" s="407">
        <v>459</v>
      </c>
      <c r="B467" s="438">
        <v>26.99</v>
      </c>
      <c r="C467" s="438">
        <v>19.013999999999999</v>
      </c>
      <c r="D467" s="438">
        <v>15.308</v>
      </c>
      <c r="E467" s="438">
        <v>13.568</v>
      </c>
      <c r="F467" s="438">
        <v>26.99</v>
      </c>
      <c r="G467" s="438">
        <v>19.013999999999999</v>
      </c>
      <c r="H467" s="438">
        <v>29.132000000000001</v>
      </c>
      <c r="I467" s="438">
        <v>19.036000000000001</v>
      </c>
      <c r="J467" s="11"/>
      <c r="Q467" s="348">
        <f t="shared" si="64"/>
        <v>26.930634268578576</v>
      </c>
      <c r="R467" s="348">
        <f t="shared" si="65"/>
        <v>18.982661094498862</v>
      </c>
      <c r="S467" s="348">
        <f t="shared" si="66"/>
        <v>15.147915269894629</v>
      </c>
      <c r="T467" s="348">
        <f t="shared" si="67"/>
        <v>13.586996657062775</v>
      </c>
      <c r="U467" s="348">
        <f t="shared" si="68"/>
        <v>26.930634268578576</v>
      </c>
      <c r="V467" s="348">
        <f t="shared" si="69"/>
        <v>18.967731331837651</v>
      </c>
      <c r="W467" s="348">
        <f t="shared" si="70"/>
        <v>28.929112947253422</v>
      </c>
      <c r="X467" s="348">
        <f t="shared" si="71"/>
        <v>18.932536140021512</v>
      </c>
    </row>
    <row r="468" spans="1:24" x14ac:dyDescent="0.2">
      <c r="A468" s="407">
        <v>460</v>
      </c>
      <c r="B468" s="437">
        <v>26.991</v>
      </c>
      <c r="C468" s="438">
        <v>19.013999999999999</v>
      </c>
      <c r="D468" s="438">
        <v>15.31</v>
      </c>
      <c r="E468" s="438">
        <v>13.568</v>
      </c>
      <c r="F468" s="438">
        <v>26.991</v>
      </c>
      <c r="G468" s="438">
        <v>19.013999999999999</v>
      </c>
      <c r="H468" s="438">
        <v>29.135999999999999</v>
      </c>
      <c r="I468" s="438">
        <v>19.036000000000001</v>
      </c>
      <c r="J468" s="11"/>
      <c r="Q468" s="348">
        <f t="shared" si="64"/>
        <v>26.931629198845314</v>
      </c>
      <c r="R468" s="348">
        <f t="shared" si="65"/>
        <v>18.982661094498862</v>
      </c>
      <c r="S468" s="348">
        <f t="shared" si="66"/>
        <v>15.149914261761012</v>
      </c>
      <c r="T468" s="348">
        <f t="shared" si="67"/>
        <v>13.586996657062775</v>
      </c>
      <c r="U468" s="348">
        <f t="shared" si="68"/>
        <v>26.931629198845314</v>
      </c>
      <c r="V468" s="348">
        <f t="shared" si="69"/>
        <v>18.967731331837651</v>
      </c>
      <c r="W468" s="348">
        <f t="shared" si="70"/>
        <v>28.933100128832109</v>
      </c>
      <c r="X468" s="348">
        <f t="shared" si="71"/>
        <v>18.932536140021512</v>
      </c>
    </row>
    <row r="469" spans="1:24" x14ac:dyDescent="0.2">
      <c r="A469" s="407">
        <v>461</v>
      </c>
      <c r="B469" s="438">
        <v>26.991</v>
      </c>
      <c r="C469" s="438">
        <v>19.016999999999999</v>
      </c>
      <c r="D469" s="438">
        <v>15.313000000000001</v>
      </c>
      <c r="E469" s="438">
        <v>13.57</v>
      </c>
      <c r="F469" s="438">
        <v>26.991</v>
      </c>
      <c r="G469" s="438">
        <v>19.016999999999999</v>
      </c>
      <c r="H469" s="438">
        <v>29.135000000000002</v>
      </c>
      <c r="I469" s="438">
        <v>19.036999999999999</v>
      </c>
      <c r="J469" s="11"/>
      <c r="Q469" s="348">
        <f t="shared" si="64"/>
        <v>26.931629198845314</v>
      </c>
      <c r="R469" s="348">
        <f t="shared" si="65"/>
        <v>18.985679479701066</v>
      </c>
      <c r="S469" s="348">
        <f t="shared" si="66"/>
        <v>15.152912756350286</v>
      </c>
      <c r="T469" s="348">
        <f t="shared" si="67"/>
        <v>13.588998201873785</v>
      </c>
      <c r="U469" s="348">
        <f t="shared" si="68"/>
        <v>26.931629198845314</v>
      </c>
      <c r="V469" s="348">
        <f t="shared" si="69"/>
        <v>18.970735122295242</v>
      </c>
      <c r="W469" s="348">
        <f t="shared" si="70"/>
        <v>28.932103329553385</v>
      </c>
      <c r="X469" s="348">
        <f t="shared" si="71"/>
        <v>18.933530731738529</v>
      </c>
    </row>
    <row r="470" spans="1:24" x14ac:dyDescent="0.2">
      <c r="A470" s="407">
        <v>462</v>
      </c>
      <c r="B470" s="438">
        <v>26.991</v>
      </c>
      <c r="C470" s="438">
        <v>19.021000000000001</v>
      </c>
      <c r="D470" s="438">
        <v>15.316000000000001</v>
      </c>
      <c r="E470" s="438">
        <v>13.573</v>
      </c>
      <c r="F470" s="438">
        <v>26.991</v>
      </c>
      <c r="G470" s="437">
        <v>19.021000000000001</v>
      </c>
      <c r="H470" s="438">
        <v>29.141999999999999</v>
      </c>
      <c r="I470" s="438">
        <v>19.04</v>
      </c>
      <c r="J470" s="11"/>
      <c r="Q470" s="348">
        <f t="shared" si="64"/>
        <v>26.931629198845314</v>
      </c>
      <c r="R470" s="348">
        <f t="shared" si="65"/>
        <v>18.989703983354815</v>
      </c>
      <c r="S470" s="348">
        <f t="shared" si="66"/>
        <v>15.155911259083842</v>
      </c>
      <c r="T470" s="348">
        <f t="shared" si="67"/>
        <v>13.592000518484507</v>
      </c>
      <c r="U470" s="348">
        <f t="shared" si="68"/>
        <v>26.931629198845314</v>
      </c>
      <c r="V470" s="348">
        <f t="shared" si="69"/>
        <v>18.97474017697569</v>
      </c>
      <c r="W470" s="348">
        <f t="shared" si="70"/>
        <v>28.93908097887957</v>
      </c>
      <c r="X470" s="348">
        <f t="shared" si="71"/>
        <v>18.936514508679508</v>
      </c>
    </row>
    <row r="471" spans="1:24" x14ac:dyDescent="0.2">
      <c r="A471" s="407">
        <v>463</v>
      </c>
      <c r="B471" s="438">
        <v>26.988</v>
      </c>
      <c r="C471" s="438">
        <v>19.021999999999998</v>
      </c>
      <c r="D471" s="438">
        <v>15.311999999999999</v>
      </c>
      <c r="E471" s="438">
        <v>13.57</v>
      </c>
      <c r="F471" s="438">
        <v>26.988</v>
      </c>
      <c r="G471" s="438">
        <v>19.021999999999998</v>
      </c>
      <c r="H471" s="438">
        <v>29.140999999999998</v>
      </c>
      <c r="I471" s="438">
        <v>19.04</v>
      </c>
      <c r="J471" s="11"/>
      <c r="Q471" s="348">
        <f t="shared" si="64"/>
        <v>26.928644407348816</v>
      </c>
      <c r="R471" s="348">
        <f t="shared" si="65"/>
        <v>18.990710107490976</v>
      </c>
      <c r="S471" s="348">
        <f t="shared" si="66"/>
        <v>15.151913257248752</v>
      </c>
      <c r="T471" s="348">
        <f t="shared" si="67"/>
        <v>13.588998201873785</v>
      </c>
      <c r="U471" s="348">
        <f t="shared" si="68"/>
        <v>26.928644407348816</v>
      </c>
      <c r="V471" s="348">
        <f t="shared" si="69"/>
        <v>18.975741440776904</v>
      </c>
      <c r="W471" s="348">
        <f t="shared" si="70"/>
        <v>28.938084164065209</v>
      </c>
      <c r="X471" s="348">
        <f t="shared" si="71"/>
        <v>18.936514508679508</v>
      </c>
    </row>
    <row r="472" spans="1:24" x14ac:dyDescent="0.2">
      <c r="A472" s="407">
        <v>464</v>
      </c>
      <c r="B472" s="438">
        <v>26.992999999999999</v>
      </c>
      <c r="C472" s="437">
        <v>19.024999999999999</v>
      </c>
      <c r="D472" s="438">
        <v>15.313000000000001</v>
      </c>
      <c r="E472" s="438">
        <v>13.577</v>
      </c>
      <c r="F472" s="437">
        <v>26.992999999999999</v>
      </c>
      <c r="G472" s="438">
        <v>19.024999999999999</v>
      </c>
      <c r="H472" s="437">
        <v>29.15</v>
      </c>
      <c r="I472" s="438">
        <v>19.042000000000002</v>
      </c>
      <c r="J472" s="11"/>
      <c r="Q472" s="348">
        <f t="shared" si="64"/>
        <v>26.933619058682634</v>
      </c>
      <c r="R472" s="348">
        <f t="shared" si="65"/>
        <v>18.993728475632487</v>
      </c>
      <c r="S472" s="348">
        <f t="shared" si="66"/>
        <v>15.152912756350286</v>
      </c>
      <c r="T472" s="348">
        <f t="shared" si="67"/>
        <v>13.596003606167343</v>
      </c>
      <c r="U472" s="348">
        <f t="shared" si="68"/>
        <v>26.933619058682634</v>
      </c>
      <c r="V472" s="348">
        <f t="shared" si="69"/>
        <v>18.978745232494017</v>
      </c>
      <c r="W472" s="348">
        <f t="shared" si="70"/>
        <v>28.947055590603405</v>
      </c>
      <c r="X472" s="348">
        <f t="shared" si="71"/>
        <v>18.93850369479868</v>
      </c>
    </row>
    <row r="473" spans="1:24" x14ac:dyDescent="0.2">
      <c r="A473" s="407">
        <v>465</v>
      </c>
      <c r="B473" s="438">
        <v>26.989000000000001</v>
      </c>
      <c r="C473" s="438">
        <v>19.027000000000001</v>
      </c>
      <c r="D473" s="438">
        <v>15.314</v>
      </c>
      <c r="E473" s="438">
        <v>13.576000000000001</v>
      </c>
      <c r="F473" s="438">
        <v>26.989000000000001</v>
      </c>
      <c r="G473" s="438">
        <v>19.027000000000001</v>
      </c>
      <c r="H473" s="438">
        <v>29.152999999999999</v>
      </c>
      <c r="I473" s="438">
        <v>19.042000000000002</v>
      </c>
      <c r="J473" s="11"/>
      <c r="Q473" s="348">
        <f t="shared" si="64"/>
        <v>26.929639338079756</v>
      </c>
      <c r="R473" s="348">
        <f t="shared" si="65"/>
        <v>18.995740717503388</v>
      </c>
      <c r="S473" s="348">
        <f t="shared" si="66"/>
        <v>15.153912256356737</v>
      </c>
      <c r="T473" s="348">
        <f t="shared" si="67"/>
        <v>13.595002834367909</v>
      </c>
      <c r="U473" s="348">
        <f t="shared" si="68"/>
        <v>26.929639338079756</v>
      </c>
      <c r="V473" s="348">
        <f t="shared" si="69"/>
        <v>18.980747760565887</v>
      </c>
      <c r="W473" s="348">
        <f t="shared" si="70"/>
        <v>28.95004611271909</v>
      </c>
      <c r="X473" s="348">
        <f t="shared" si="71"/>
        <v>18.93850369479868</v>
      </c>
    </row>
    <row r="474" spans="1:24" x14ac:dyDescent="0.2">
      <c r="A474" s="407">
        <v>466</v>
      </c>
      <c r="B474" s="438">
        <v>26.986999999999998</v>
      </c>
      <c r="C474" s="438">
        <v>19.029</v>
      </c>
      <c r="D474" s="438">
        <v>15.31</v>
      </c>
      <c r="E474" s="438">
        <v>13.576000000000001</v>
      </c>
      <c r="F474" s="438">
        <v>26.986999999999998</v>
      </c>
      <c r="G474" s="438">
        <v>19.029</v>
      </c>
      <c r="H474" s="438">
        <v>29.155000000000001</v>
      </c>
      <c r="I474" s="438">
        <v>19.045000000000002</v>
      </c>
      <c r="J474" s="11"/>
      <c r="Q474" s="348">
        <f t="shared" si="64"/>
        <v>26.927649476385728</v>
      </c>
      <c r="R474" s="348">
        <f t="shared" si="65"/>
        <v>18.997752956527993</v>
      </c>
      <c r="S474" s="348">
        <f t="shared" si="66"/>
        <v>15.149914261761012</v>
      </c>
      <c r="T474" s="348">
        <f t="shared" si="67"/>
        <v>13.595002834367909</v>
      </c>
      <c r="U474" s="348">
        <f t="shared" si="68"/>
        <v>26.927649476385728</v>
      </c>
      <c r="V474" s="348">
        <f t="shared" si="69"/>
        <v>18.982750288845423</v>
      </c>
      <c r="W474" s="348">
        <f t="shared" si="70"/>
        <v>28.952039807074271</v>
      </c>
      <c r="X474" s="348">
        <f t="shared" si="71"/>
        <v>18.941487476215716</v>
      </c>
    </row>
    <row r="475" spans="1:24" x14ac:dyDescent="0.2">
      <c r="A475" s="407">
        <v>467</v>
      </c>
      <c r="B475" s="438">
        <v>26.981999999999999</v>
      </c>
      <c r="C475" s="438">
        <v>19.03</v>
      </c>
      <c r="D475" s="438">
        <v>15.31</v>
      </c>
      <c r="E475" s="438">
        <v>13.571</v>
      </c>
      <c r="F475" s="438">
        <v>26.981999999999999</v>
      </c>
      <c r="G475" s="438">
        <v>19.03</v>
      </c>
      <c r="H475" s="438">
        <v>29.158000000000001</v>
      </c>
      <c r="I475" s="438">
        <v>19.045000000000002</v>
      </c>
      <c r="J475" s="11"/>
      <c r="Q475" s="348">
        <f t="shared" si="64"/>
        <v>26.922674818087103</v>
      </c>
      <c r="R475" s="348">
        <f t="shared" si="65"/>
        <v>18.998759074972693</v>
      </c>
      <c r="S475" s="348">
        <f t="shared" si="66"/>
        <v>15.149914261761012</v>
      </c>
      <c r="T475" s="348">
        <f t="shared" si="67"/>
        <v>13.589998974158148</v>
      </c>
      <c r="U475" s="348">
        <f t="shared" si="68"/>
        <v>26.922674818087103</v>
      </c>
      <c r="V475" s="348">
        <f t="shared" si="69"/>
        <v>18.983751553062881</v>
      </c>
      <c r="W475" s="348">
        <f t="shared" si="70"/>
        <v>28.955030368023646</v>
      </c>
      <c r="X475" s="348">
        <f t="shared" si="71"/>
        <v>18.941487476215716</v>
      </c>
    </row>
    <row r="476" spans="1:24" x14ac:dyDescent="0.2">
      <c r="A476" s="407">
        <v>468</v>
      </c>
      <c r="B476" s="438">
        <v>26.99</v>
      </c>
      <c r="C476" s="438">
        <v>19.030999999999999</v>
      </c>
      <c r="D476" s="438">
        <v>15.314</v>
      </c>
      <c r="E476" s="438">
        <v>13.574</v>
      </c>
      <c r="F476" s="438">
        <v>26.99</v>
      </c>
      <c r="G476" s="438">
        <v>19.030999999999999</v>
      </c>
      <c r="H476" s="438">
        <v>29.16</v>
      </c>
      <c r="I476" s="438">
        <v>19.045000000000002</v>
      </c>
      <c r="J476" s="11"/>
      <c r="Q476" s="348">
        <f t="shared" si="64"/>
        <v>26.930634268578576</v>
      </c>
      <c r="R476" s="348">
        <f t="shared" si="65"/>
        <v>18.999765192705532</v>
      </c>
      <c r="S476" s="348">
        <f t="shared" si="66"/>
        <v>15.153912256356737</v>
      </c>
      <c r="T476" s="348">
        <f t="shared" si="67"/>
        <v>13.593001290526475</v>
      </c>
      <c r="U476" s="348">
        <f t="shared" si="68"/>
        <v>26.930634268578576</v>
      </c>
      <c r="V476" s="348">
        <f t="shared" si="69"/>
        <v>18.984752817332026</v>
      </c>
      <c r="W476" s="348">
        <f t="shared" si="70"/>
        <v>28.95702408826736</v>
      </c>
      <c r="X476" s="348">
        <f t="shared" si="71"/>
        <v>18.941487476215716</v>
      </c>
    </row>
    <row r="477" spans="1:24" x14ac:dyDescent="0.2">
      <c r="A477" s="407">
        <v>469</v>
      </c>
      <c r="B477" s="438">
        <v>26.978999999999999</v>
      </c>
      <c r="C477" s="438">
        <v>19.032</v>
      </c>
      <c r="D477" s="438">
        <v>15.31</v>
      </c>
      <c r="E477" s="437">
        <v>13.573</v>
      </c>
      <c r="F477" s="438">
        <v>26.978999999999999</v>
      </c>
      <c r="G477" s="438">
        <v>19.032</v>
      </c>
      <c r="H477" s="438">
        <v>29.161000000000001</v>
      </c>
      <c r="I477" s="438">
        <v>19.045999999999999</v>
      </c>
      <c r="J477" s="11"/>
      <c r="Q477" s="348">
        <f t="shared" si="64"/>
        <v>26.919690020320328</v>
      </c>
      <c r="R477" s="348">
        <f t="shared" si="65"/>
        <v>19.000771309726417</v>
      </c>
      <c r="S477" s="348">
        <f t="shared" si="66"/>
        <v>15.149914261761012</v>
      </c>
      <c r="T477" s="348">
        <f t="shared" si="67"/>
        <v>13.592000518484507</v>
      </c>
      <c r="U477" s="348">
        <f t="shared" si="68"/>
        <v>26.919690020320328</v>
      </c>
      <c r="V477" s="348">
        <f t="shared" si="69"/>
        <v>18.985754081652793</v>
      </c>
      <c r="W477" s="348">
        <f t="shared" si="70"/>
        <v>28.958020952272385</v>
      </c>
      <c r="X477" s="348">
        <f t="shared" si="71"/>
        <v>18.942482070618368</v>
      </c>
    </row>
    <row r="478" spans="1:24" x14ac:dyDescent="0.2">
      <c r="A478" s="407">
        <v>470</v>
      </c>
      <c r="B478" s="437">
        <v>26.978999999999999</v>
      </c>
      <c r="C478" s="438">
        <v>19.030999999999999</v>
      </c>
      <c r="D478" s="438">
        <v>15.308999999999999</v>
      </c>
      <c r="E478" s="438">
        <v>13.581</v>
      </c>
      <c r="F478" s="438">
        <v>26.978999999999999</v>
      </c>
      <c r="G478" s="438">
        <v>19.030999999999999</v>
      </c>
      <c r="H478" s="438">
        <v>29.16</v>
      </c>
      <c r="I478" s="438">
        <v>19.047000000000001</v>
      </c>
      <c r="J478" s="11"/>
      <c r="Q478" s="348">
        <f t="shared" si="64"/>
        <v>26.919690020320328</v>
      </c>
      <c r="R478" s="348">
        <f t="shared" si="65"/>
        <v>18.999765192705532</v>
      </c>
      <c r="S478" s="348">
        <f t="shared" si="66"/>
        <v>15.148914765375078</v>
      </c>
      <c r="T478" s="348">
        <f t="shared" si="67"/>
        <v>13.600006692556182</v>
      </c>
      <c r="U478" s="348">
        <f t="shared" si="68"/>
        <v>26.919690020320328</v>
      </c>
      <c r="V478" s="348">
        <f t="shared" si="69"/>
        <v>18.984752817332026</v>
      </c>
      <c r="W478" s="348">
        <f t="shared" si="70"/>
        <v>28.95702408826736</v>
      </c>
      <c r="X478" s="348">
        <f t="shared" si="71"/>
        <v>18.943476665319551</v>
      </c>
    </row>
    <row r="479" spans="1:24" x14ac:dyDescent="0.2">
      <c r="A479" s="407">
        <v>471</v>
      </c>
      <c r="B479" s="438">
        <v>26.977</v>
      </c>
      <c r="C479" s="438">
        <v>19.032</v>
      </c>
      <c r="D479" s="438">
        <v>15.311</v>
      </c>
      <c r="E479" s="438">
        <v>13.581</v>
      </c>
      <c r="F479" s="438">
        <v>26.977</v>
      </c>
      <c r="G479" s="438">
        <v>19.032</v>
      </c>
      <c r="H479" s="438">
        <v>29.167000000000002</v>
      </c>
      <c r="I479" s="438">
        <v>19.047000000000001</v>
      </c>
      <c r="J479" s="11"/>
      <c r="Q479" s="348">
        <f t="shared" si="64"/>
        <v>26.917700153980512</v>
      </c>
      <c r="R479" s="348">
        <f t="shared" si="65"/>
        <v>19.000771309726417</v>
      </c>
      <c r="S479" s="348">
        <f t="shared" si="66"/>
        <v>15.150913759052282</v>
      </c>
      <c r="T479" s="348">
        <f t="shared" si="67"/>
        <v>13.600006692556182</v>
      </c>
      <c r="U479" s="348">
        <f t="shared" si="68"/>
        <v>26.917700153980512</v>
      </c>
      <c r="V479" s="348">
        <f t="shared" si="69"/>
        <v>18.985754081652793</v>
      </c>
      <c r="W479" s="348">
        <f t="shared" si="70"/>
        <v>28.964002190665408</v>
      </c>
      <c r="X479" s="348">
        <f t="shared" si="71"/>
        <v>18.943476665319551</v>
      </c>
    </row>
    <row r="480" spans="1:24" x14ac:dyDescent="0.2">
      <c r="A480" s="407">
        <v>472</v>
      </c>
      <c r="B480" s="438">
        <v>26.977</v>
      </c>
      <c r="C480" s="438">
        <v>19.03</v>
      </c>
      <c r="D480" s="438">
        <v>15.311</v>
      </c>
      <c r="E480" s="438">
        <v>13.576000000000001</v>
      </c>
      <c r="F480" s="438">
        <v>26.977</v>
      </c>
      <c r="G480" s="438">
        <v>19.03</v>
      </c>
      <c r="H480" s="438">
        <v>29.167999999999999</v>
      </c>
      <c r="I480" s="438">
        <v>19.047999999999998</v>
      </c>
      <c r="J480" s="11"/>
      <c r="Q480" s="348">
        <f t="shared" si="64"/>
        <v>26.917700153980512</v>
      </c>
      <c r="R480" s="348">
        <f t="shared" si="65"/>
        <v>18.998759074972693</v>
      </c>
      <c r="S480" s="348">
        <f t="shared" si="66"/>
        <v>15.150913759052282</v>
      </c>
      <c r="T480" s="348">
        <f t="shared" si="67"/>
        <v>13.595002834367909</v>
      </c>
      <c r="U480" s="348">
        <f t="shared" si="68"/>
        <v>26.917700153980512</v>
      </c>
      <c r="V480" s="348">
        <f t="shared" si="69"/>
        <v>18.983751553062881</v>
      </c>
      <c r="W480" s="348">
        <f t="shared" si="70"/>
        <v>28.964999072791166</v>
      </c>
      <c r="X480" s="348">
        <f t="shared" si="71"/>
        <v>18.944471260319279</v>
      </c>
    </row>
    <row r="481" spans="1:24" x14ac:dyDescent="0.2">
      <c r="A481" s="407">
        <v>473</v>
      </c>
      <c r="B481" s="438">
        <v>26.984000000000002</v>
      </c>
      <c r="C481" s="438">
        <v>19.033999999999999</v>
      </c>
      <c r="D481" s="438">
        <v>15.314</v>
      </c>
      <c r="E481" s="438">
        <v>13.577</v>
      </c>
      <c r="F481" s="438">
        <v>26.984000000000002</v>
      </c>
      <c r="G481" s="438">
        <v>19.033999999999999</v>
      </c>
      <c r="H481" s="438">
        <v>29.169</v>
      </c>
      <c r="I481" s="438">
        <v>19.05</v>
      </c>
      <c r="J481" s="11"/>
      <c r="Q481" s="348">
        <f t="shared" si="64"/>
        <v>26.924664682103309</v>
      </c>
      <c r="R481" s="348">
        <f t="shared" si="65"/>
        <v>19.002783541631942</v>
      </c>
      <c r="S481" s="348">
        <f t="shared" si="66"/>
        <v>15.153912256356737</v>
      </c>
      <c r="T481" s="348">
        <f t="shared" si="67"/>
        <v>13.596003606167343</v>
      </c>
      <c r="U481" s="348">
        <f t="shared" si="68"/>
        <v>26.924664682103309</v>
      </c>
      <c r="V481" s="348">
        <f t="shared" si="69"/>
        <v>18.987756610448876</v>
      </c>
      <c r="W481" s="348">
        <f t="shared" si="70"/>
        <v>28.965995957505502</v>
      </c>
      <c r="X481" s="348">
        <f t="shared" si="71"/>
        <v>18.946460451214506</v>
      </c>
    </row>
    <row r="482" spans="1:24" x14ac:dyDescent="0.2">
      <c r="A482" s="407">
        <v>474</v>
      </c>
      <c r="B482" s="438">
        <v>26.986000000000001</v>
      </c>
      <c r="C482" s="438">
        <v>19.033999999999999</v>
      </c>
      <c r="D482" s="438">
        <v>15.316000000000001</v>
      </c>
      <c r="E482" s="438">
        <v>13.582000000000001</v>
      </c>
      <c r="F482" s="438">
        <v>26.986000000000001</v>
      </c>
      <c r="G482" s="438">
        <v>19.033999999999999</v>
      </c>
      <c r="H482" s="438">
        <v>29.167999999999999</v>
      </c>
      <c r="I482" s="438">
        <v>19.048999999999999</v>
      </c>
      <c r="J482" s="11"/>
      <c r="Q482" s="348">
        <f t="shared" si="64"/>
        <v>26.92665454519047</v>
      </c>
      <c r="R482" s="348">
        <f t="shared" si="65"/>
        <v>19.002783541631942</v>
      </c>
      <c r="S482" s="348">
        <f t="shared" si="66"/>
        <v>15.155911259083842</v>
      </c>
      <c r="T482" s="348">
        <f t="shared" si="67"/>
        <v>13.60100746395109</v>
      </c>
      <c r="U482" s="348">
        <f t="shared" si="68"/>
        <v>26.92665454519047</v>
      </c>
      <c r="V482" s="348">
        <f t="shared" si="69"/>
        <v>18.987756610448876</v>
      </c>
      <c r="W482" s="348">
        <f t="shared" si="70"/>
        <v>28.964999072791166</v>
      </c>
      <c r="X482" s="348">
        <f t="shared" si="71"/>
        <v>18.945465855617591</v>
      </c>
    </row>
    <row r="483" spans="1:24" x14ac:dyDescent="0.2">
      <c r="A483" s="407">
        <v>475</v>
      </c>
      <c r="B483" s="438">
        <v>26.975999999999999</v>
      </c>
      <c r="C483" s="438">
        <v>19.036000000000001</v>
      </c>
      <c r="D483" s="438">
        <v>15.311999999999999</v>
      </c>
      <c r="E483" s="438">
        <v>13.576000000000001</v>
      </c>
      <c r="F483" s="438">
        <v>26.975999999999999</v>
      </c>
      <c r="G483" s="438">
        <v>19.036000000000001</v>
      </c>
      <c r="H483" s="438">
        <v>29.169</v>
      </c>
      <c r="I483" s="438">
        <v>19.047000000000001</v>
      </c>
      <c r="J483" s="11"/>
      <c r="Q483" s="348">
        <f t="shared" si="64"/>
        <v>26.916705220461917</v>
      </c>
      <c r="R483" s="348">
        <f t="shared" si="65"/>
        <v>19.004795770688506</v>
      </c>
      <c r="S483" s="348">
        <f t="shared" si="66"/>
        <v>15.151913257248752</v>
      </c>
      <c r="T483" s="348">
        <f t="shared" si="67"/>
        <v>13.595002834367909</v>
      </c>
      <c r="U483" s="348">
        <f t="shared" si="68"/>
        <v>26.916705220461917</v>
      </c>
      <c r="V483" s="348">
        <f t="shared" si="69"/>
        <v>18.989759139450531</v>
      </c>
      <c r="W483" s="348">
        <f t="shared" si="70"/>
        <v>28.965995957505502</v>
      </c>
      <c r="X483" s="348">
        <f t="shared" si="71"/>
        <v>18.943476665319551</v>
      </c>
    </row>
    <row r="484" spans="1:24" x14ac:dyDescent="0.2">
      <c r="A484" s="407">
        <v>476</v>
      </c>
      <c r="B484" s="438">
        <v>26.986999999999998</v>
      </c>
      <c r="C484" s="438">
        <v>19.035</v>
      </c>
      <c r="D484" s="438">
        <v>15.317</v>
      </c>
      <c r="E484" s="438">
        <v>13.585000000000001</v>
      </c>
      <c r="F484" s="438">
        <v>26.986999999999998</v>
      </c>
      <c r="G484" s="438">
        <v>19.035</v>
      </c>
      <c r="H484" s="438">
        <v>29.172999999999998</v>
      </c>
      <c r="I484" s="438">
        <v>19.048999999999999</v>
      </c>
      <c r="J484" s="11"/>
      <c r="Q484" s="348">
        <f t="shared" si="64"/>
        <v>26.927649476385728</v>
      </c>
      <c r="R484" s="348">
        <f t="shared" si="65"/>
        <v>19.003789656516393</v>
      </c>
      <c r="S484" s="348">
        <f t="shared" si="66"/>
        <v>15.156910761804214</v>
      </c>
      <c r="T484" s="348">
        <f t="shared" si="67"/>
        <v>13.604009777650038</v>
      </c>
      <c r="U484" s="348">
        <f t="shared" si="68"/>
        <v>26.927649476385728</v>
      </c>
      <c r="V484" s="348">
        <f t="shared" si="69"/>
        <v>18.988757874924048</v>
      </c>
      <c r="W484" s="348">
        <f t="shared" si="70"/>
        <v>28.969983522248167</v>
      </c>
      <c r="X484" s="348">
        <f t="shared" si="71"/>
        <v>18.945465855617591</v>
      </c>
    </row>
    <row r="485" spans="1:24" x14ac:dyDescent="0.2">
      <c r="A485" s="407">
        <v>477</v>
      </c>
      <c r="B485" s="438">
        <v>26.977</v>
      </c>
      <c r="C485" s="438">
        <v>19.036999999999999</v>
      </c>
      <c r="D485" s="438">
        <v>15.311999999999999</v>
      </c>
      <c r="E485" s="438">
        <v>13.579000000000001</v>
      </c>
      <c r="F485" s="438">
        <v>26.977</v>
      </c>
      <c r="G485" s="438">
        <v>19.036999999999999</v>
      </c>
      <c r="H485" s="438">
        <v>29.167999999999999</v>
      </c>
      <c r="I485" s="438">
        <v>19.047999999999998</v>
      </c>
      <c r="J485" s="11"/>
      <c r="Q485" s="348">
        <f t="shared" si="64"/>
        <v>26.917700153980512</v>
      </c>
      <c r="R485" s="348">
        <f t="shared" si="65"/>
        <v>19.005801884148187</v>
      </c>
      <c r="S485" s="348">
        <f t="shared" si="66"/>
        <v>15.151913257248752</v>
      </c>
      <c r="T485" s="348">
        <f t="shared" si="67"/>
        <v>13.598005149523575</v>
      </c>
      <c r="U485" s="348">
        <f t="shared" si="68"/>
        <v>26.917700153980512</v>
      </c>
      <c r="V485" s="348">
        <f t="shared" si="69"/>
        <v>18.990760404028258</v>
      </c>
      <c r="W485" s="348">
        <f t="shared" si="70"/>
        <v>28.964999072791166</v>
      </c>
      <c r="X485" s="348">
        <f t="shared" si="71"/>
        <v>18.944471260319279</v>
      </c>
    </row>
    <row r="486" spans="1:24" x14ac:dyDescent="0.2">
      <c r="A486" s="407">
        <v>478</v>
      </c>
      <c r="B486" s="438">
        <v>26.981000000000002</v>
      </c>
      <c r="C486" s="438">
        <v>19.036999999999999</v>
      </c>
      <c r="D486" s="438">
        <v>15.313000000000001</v>
      </c>
      <c r="E486" s="438">
        <v>13.587</v>
      </c>
      <c r="F486" s="438">
        <v>26.981000000000002</v>
      </c>
      <c r="G486" s="438">
        <v>19.036999999999999</v>
      </c>
      <c r="H486" s="438">
        <v>29.170999999999999</v>
      </c>
      <c r="I486" s="438">
        <v>19.047000000000001</v>
      </c>
      <c r="J486" s="11"/>
      <c r="Q486" s="348">
        <f t="shared" si="64"/>
        <v>26.921679885730537</v>
      </c>
      <c r="R486" s="348">
        <f t="shared" si="65"/>
        <v>19.005801884148187</v>
      </c>
      <c r="S486" s="348">
        <f t="shared" si="66"/>
        <v>15.152912756350286</v>
      </c>
      <c r="T486" s="348">
        <f t="shared" si="67"/>
        <v>13.606011319711039</v>
      </c>
      <c r="U486" s="348">
        <f t="shared" si="68"/>
        <v>26.921679885730537</v>
      </c>
      <c r="V486" s="348">
        <f t="shared" si="69"/>
        <v>18.990760404028258</v>
      </c>
      <c r="W486" s="348">
        <f t="shared" si="70"/>
        <v>28.967989734699817</v>
      </c>
      <c r="X486" s="348">
        <f t="shared" si="71"/>
        <v>18.943476665319551</v>
      </c>
    </row>
    <row r="487" spans="1:24" x14ac:dyDescent="0.2">
      <c r="A487" s="407">
        <v>479</v>
      </c>
      <c r="B487" s="438">
        <v>26.984999999999999</v>
      </c>
      <c r="C487" s="438">
        <v>19.039000000000001</v>
      </c>
      <c r="D487" s="438">
        <v>15.319000000000001</v>
      </c>
      <c r="E487" s="438">
        <v>13.586</v>
      </c>
      <c r="F487" s="438">
        <v>26.984999999999999</v>
      </c>
      <c r="G487" s="438">
        <v>19.039000000000001</v>
      </c>
      <c r="H487" s="438">
        <v>29.167000000000002</v>
      </c>
      <c r="I487" s="438">
        <v>19.045999999999999</v>
      </c>
      <c r="J487" s="11"/>
      <c r="Q487" s="348">
        <f t="shared" si="64"/>
        <v>26.925659613763003</v>
      </c>
      <c r="R487" s="348">
        <f t="shared" si="65"/>
        <v>19.007814108929892</v>
      </c>
      <c r="S487" s="348">
        <f t="shared" si="66"/>
        <v>15.158909769957901</v>
      </c>
      <c r="T487" s="348">
        <f t="shared" si="67"/>
        <v>13.605010548721044</v>
      </c>
      <c r="U487" s="348">
        <f t="shared" si="68"/>
        <v>26.925659613763003</v>
      </c>
      <c r="V487" s="348">
        <f t="shared" si="69"/>
        <v>18.992762933337143</v>
      </c>
      <c r="W487" s="348">
        <f t="shared" si="70"/>
        <v>28.964002190665408</v>
      </c>
      <c r="X487" s="348">
        <f t="shared" si="71"/>
        <v>18.942482070618368</v>
      </c>
    </row>
    <row r="488" spans="1:24" x14ac:dyDescent="0.2">
      <c r="A488" s="407">
        <v>480</v>
      </c>
      <c r="B488" s="438">
        <v>26.988</v>
      </c>
      <c r="C488" s="438">
        <v>19.042999999999999</v>
      </c>
      <c r="D488" s="438">
        <v>15.316000000000001</v>
      </c>
      <c r="E488" s="438">
        <v>13.587999999999999</v>
      </c>
      <c r="F488" s="438">
        <v>26.988</v>
      </c>
      <c r="G488" s="438">
        <v>19.042999999999999</v>
      </c>
      <c r="H488" s="438">
        <v>29.170999999999999</v>
      </c>
      <c r="I488" s="438">
        <v>19.045999999999999</v>
      </c>
      <c r="J488" s="11"/>
      <c r="Q488" s="348">
        <f t="shared" si="64"/>
        <v>26.928644407348816</v>
      </c>
      <c r="R488" s="348">
        <f t="shared" si="65"/>
        <v>19.011838549939959</v>
      </c>
      <c r="S488" s="348">
        <f t="shared" si="66"/>
        <v>15.155911259083842</v>
      </c>
      <c r="T488" s="348">
        <f t="shared" si="67"/>
        <v>13.607012090620003</v>
      </c>
      <c r="U488" s="348">
        <f t="shared" si="68"/>
        <v>26.928644407348816</v>
      </c>
      <c r="V488" s="348">
        <f t="shared" si="69"/>
        <v>18.996767992566518</v>
      </c>
      <c r="W488" s="348">
        <f t="shared" si="70"/>
        <v>28.967989734699817</v>
      </c>
      <c r="X488" s="348">
        <f t="shared" si="71"/>
        <v>18.942482070618368</v>
      </c>
    </row>
    <row r="489" spans="1:24" x14ac:dyDescent="0.2">
      <c r="A489" s="407">
        <v>481</v>
      </c>
      <c r="B489" s="438">
        <v>26.98</v>
      </c>
      <c r="C489" s="438">
        <v>19.04</v>
      </c>
      <c r="D489" s="438">
        <v>15.316000000000001</v>
      </c>
      <c r="E489" s="438">
        <v>13.585000000000001</v>
      </c>
      <c r="F489" s="438">
        <v>26.98</v>
      </c>
      <c r="G489" s="438">
        <v>19.04</v>
      </c>
      <c r="H489" s="438">
        <v>29.170999999999999</v>
      </c>
      <c r="I489" s="438">
        <v>19.045999999999999</v>
      </c>
      <c r="J489" s="11"/>
      <c r="Q489" s="348">
        <f t="shared" si="64"/>
        <v>26.920684953141624</v>
      </c>
      <c r="R489" s="348">
        <f t="shared" si="65"/>
        <v>19.008820220251717</v>
      </c>
      <c r="S489" s="348">
        <f t="shared" si="66"/>
        <v>15.155911259083842</v>
      </c>
      <c r="T489" s="348">
        <f t="shared" si="67"/>
        <v>13.604009777650038</v>
      </c>
      <c r="U489" s="348">
        <f t="shared" si="68"/>
        <v>26.920684953141624</v>
      </c>
      <c r="V489" s="348">
        <f t="shared" si="69"/>
        <v>18.993764198068142</v>
      </c>
      <c r="W489" s="348">
        <f t="shared" si="70"/>
        <v>28.967989734699817</v>
      </c>
      <c r="X489" s="348">
        <f t="shared" si="71"/>
        <v>18.942482070618368</v>
      </c>
    </row>
    <row r="490" spans="1:24" x14ac:dyDescent="0.2">
      <c r="A490" s="407">
        <v>482</v>
      </c>
      <c r="B490" s="438">
        <v>26.992000000000001</v>
      </c>
      <c r="C490" s="438">
        <v>19.042000000000002</v>
      </c>
      <c r="D490" s="438">
        <v>15.321</v>
      </c>
      <c r="E490" s="438">
        <v>13.587</v>
      </c>
      <c r="F490" s="438">
        <v>26.992000000000001</v>
      </c>
      <c r="G490" s="438">
        <v>19.042000000000002</v>
      </c>
      <c r="H490" s="438">
        <v>29.169</v>
      </c>
      <c r="I490" s="438">
        <v>19.045999999999999</v>
      </c>
      <c r="J490" s="11"/>
      <c r="Q490" s="348">
        <f t="shared" si="64"/>
        <v>26.93262412887999</v>
      </c>
      <c r="R490" s="348">
        <f t="shared" si="65"/>
        <v>19.01083244075685</v>
      </c>
      <c r="S490" s="348">
        <f t="shared" si="66"/>
        <v>15.160908781727908</v>
      </c>
      <c r="T490" s="348">
        <f t="shared" si="67"/>
        <v>13.606011319711039</v>
      </c>
      <c r="U490" s="348">
        <f t="shared" si="68"/>
        <v>26.93262412887999</v>
      </c>
      <c r="V490" s="348">
        <f t="shared" si="69"/>
        <v>18.995766727682909</v>
      </c>
      <c r="W490" s="348">
        <f t="shared" si="70"/>
        <v>28.965995957505502</v>
      </c>
      <c r="X490" s="348">
        <f t="shared" si="71"/>
        <v>18.942482070618368</v>
      </c>
    </row>
    <row r="491" spans="1:24" x14ac:dyDescent="0.2">
      <c r="A491" s="407">
        <v>483</v>
      </c>
      <c r="B491" s="438">
        <v>26.986999999999998</v>
      </c>
      <c r="C491" s="438">
        <v>19.042999999999999</v>
      </c>
      <c r="D491" s="437">
        <v>15.318</v>
      </c>
      <c r="E491" s="438">
        <v>13.587999999999999</v>
      </c>
      <c r="F491" s="438">
        <v>26.986999999999998</v>
      </c>
      <c r="G491" s="438">
        <v>19.042999999999999</v>
      </c>
      <c r="H491" s="438">
        <v>29.163</v>
      </c>
      <c r="I491" s="438">
        <v>19.042999999999999</v>
      </c>
      <c r="J491" s="11"/>
      <c r="Q491" s="348">
        <f t="shared" si="64"/>
        <v>26.927649476385728</v>
      </c>
      <c r="R491" s="348">
        <f t="shared" si="65"/>
        <v>19.011838549939959</v>
      </c>
      <c r="S491" s="348">
        <f t="shared" si="66"/>
        <v>15.157910265428947</v>
      </c>
      <c r="T491" s="348">
        <f t="shared" si="67"/>
        <v>13.607012090620003</v>
      </c>
      <c r="U491" s="348">
        <f t="shared" si="68"/>
        <v>26.927649476385728</v>
      </c>
      <c r="V491" s="348">
        <f t="shared" si="69"/>
        <v>18.996767992566518</v>
      </c>
      <c r="W491" s="348">
        <f t="shared" si="70"/>
        <v>28.960014688048659</v>
      </c>
      <c r="X491" s="348">
        <f t="shared" si="71"/>
        <v>18.939498288305895</v>
      </c>
    </row>
    <row r="492" spans="1:24" x14ac:dyDescent="0.2">
      <c r="A492" s="407">
        <v>484</v>
      </c>
      <c r="B492" s="437">
        <v>26.983000000000001</v>
      </c>
      <c r="C492" s="438">
        <v>19.042999999999999</v>
      </c>
      <c r="D492" s="438">
        <v>15.318</v>
      </c>
      <c r="E492" s="438">
        <v>13.586</v>
      </c>
      <c r="F492" s="438">
        <v>26.983000000000001</v>
      </c>
      <c r="G492" s="438">
        <v>19.042999999999999</v>
      </c>
      <c r="H492" s="438">
        <v>29.161999999999999</v>
      </c>
      <c r="I492" s="438">
        <v>19.038</v>
      </c>
      <c r="J492" s="11"/>
      <c r="Q492" s="348">
        <f t="shared" si="64"/>
        <v>26.923669750211349</v>
      </c>
      <c r="R492" s="348">
        <f t="shared" si="65"/>
        <v>19.011838549939959</v>
      </c>
      <c r="S492" s="348">
        <f t="shared" si="66"/>
        <v>15.157910265428947</v>
      </c>
      <c r="T492" s="348">
        <f t="shared" si="67"/>
        <v>13.605010548721044</v>
      </c>
      <c r="U492" s="348">
        <f t="shared" si="68"/>
        <v>26.923669750211349</v>
      </c>
      <c r="V492" s="348">
        <f t="shared" si="69"/>
        <v>18.996767992566518</v>
      </c>
      <c r="W492" s="348">
        <f t="shared" si="70"/>
        <v>28.959017818866162</v>
      </c>
      <c r="X492" s="348">
        <f t="shared" si="71"/>
        <v>18.934525323753853</v>
      </c>
    </row>
    <row r="493" spans="1:24" x14ac:dyDescent="0.2">
      <c r="A493" s="407">
        <v>485</v>
      </c>
      <c r="B493" s="438">
        <v>26.991</v>
      </c>
      <c r="C493" s="438">
        <v>19.042999999999999</v>
      </c>
      <c r="D493" s="438">
        <v>15.32</v>
      </c>
      <c r="E493" s="438">
        <v>13.589</v>
      </c>
      <c r="F493" s="438">
        <v>26.991</v>
      </c>
      <c r="G493" s="438">
        <v>19.042999999999999</v>
      </c>
      <c r="H493" s="438">
        <v>29.161000000000001</v>
      </c>
      <c r="I493" s="438">
        <v>19.042999999999999</v>
      </c>
      <c r="J493" s="11"/>
      <c r="Q493" s="348">
        <f t="shared" si="64"/>
        <v>26.931629198845314</v>
      </c>
      <c r="R493" s="348">
        <f t="shared" si="65"/>
        <v>19.011838549939959</v>
      </c>
      <c r="S493" s="348">
        <f t="shared" si="66"/>
        <v>15.159909275390936</v>
      </c>
      <c r="T493" s="348">
        <f t="shared" si="67"/>
        <v>13.608012861447927</v>
      </c>
      <c r="U493" s="348">
        <f t="shared" si="68"/>
        <v>26.931629198845314</v>
      </c>
      <c r="V493" s="348">
        <f t="shared" si="69"/>
        <v>18.996767992566518</v>
      </c>
      <c r="W493" s="348">
        <f t="shared" si="70"/>
        <v>28.958020952272385</v>
      </c>
      <c r="X493" s="348">
        <f t="shared" si="71"/>
        <v>18.939498288305895</v>
      </c>
    </row>
    <row r="494" spans="1:24" x14ac:dyDescent="0.2">
      <c r="A494" s="407">
        <v>486</v>
      </c>
      <c r="B494" s="438">
        <v>26.992999999999999</v>
      </c>
      <c r="C494" s="438">
        <v>19.045999999999999</v>
      </c>
      <c r="D494" s="438">
        <v>15.318</v>
      </c>
      <c r="E494" s="438">
        <v>13.585000000000001</v>
      </c>
      <c r="F494" s="438">
        <v>26.992999999999999</v>
      </c>
      <c r="G494" s="438">
        <v>19.045999999999999</v>
      </c>
      <c r="H494" s="438">
        <v>29.155999999999999</v>
      </c>
      <c r="I494" s="438">
        <v>19.038</v>
      </c>
      <c r="J494" s="11"/>
      <c r="Q494" s="348">
        <f t="shared" si="64"/>
        <v>26.933619058682634</v>
      </c>
      <c r="R494" s="348">
        <f t="shared" si="65"/>
        <v>19.014856873210363</v>
      </c>
      <c r="S494" s="348">
        <f t="shared" si="66"/>
        <v>15.157910265428947</v>
      </c>
      <c r="T494" s="348">
        <f t="shared" si="67"/>
        <v>13.604009777650038</v>
      </c>
      <c r="U494" s="348">
        <f t="shared" si="68"/>
        <v>26.933619058682634</v>
      </c>
      <c r="V494" s="348">
        <f t="shared" si="69"/>
        <v>18.999771787521347</v>
      </c>
      <c r="W494" s="348">
        <f t="shared" si="70"/>
        <v>28.953036658135201</v>
      </c>
      <c r="X494" s="348">
        <f t="shared" si="71"/>
        <v>18.934525323753853</v>
      </c>
    </row>
    <row r="495" spans="1:24" x14ac:dyDescent="0.2">
      <c r="A495" s="407">
        <v>487</v>
      </c>
      <c r="B495" s="438">
        <v>26.988</v>
      </c>
      <c r="C495" s="438">
        <v>19.045000000000002</v>
      </c>
      <c r="D495" s="438">
        <v>15.318</v>
      </c>
      <c r="E495" s="438">
        <v>13.587</v>
      </c>
      <c r="F495" s="438">
        <v>26.988</v>
      </c>
      <c r="G495" s="438">
        <v>19.045000000000002</v>
      </c>
      <c r="H495" s="438">
        <v>29.152000000000001</v>
      </c>
      <c r="I495" s="438">
        <v>19.036000000000001</v>
      </c>
      <c r="J495" s="11"/>
      <c r="Q495" s="348">
        <f t="shared" si="64"/>
        <v>26.928644407348816</v>
      </c>
      <c r="R495" s="348">
        <f t="shared" si="65"/>
        <v>19.013850766166815</v>
      </c>
      <c r="S495" s="348">
        <f t="shared" si="66"/>
        <v>15.157910265428947</v>
      </c>
      <c r="T495" s="348">
        <f t="shared" si="67"/>
        <v>13.606011319711039</v>
      </c>
      <c r="U495" s="348">
        <f t="shared" si="68"/>
        <v>26.928644407348816</v>
      </c>
      <c r="V495" s="348">
        <f t="shared" si="69"/>
        <v>18.998770522485813</v>
      </c>
      <c r="W495" s="348">
        <f t="shared" si="70"/>
        <v>28.949049269424901</v>
      </c>
      <c r="X495" s="348">
        <f t="shared" si="71"/>
        <v>18.932536140021512</v>
      </c>
    </row>
    <row r="496" spans="1:24" x14ac:dyDescent="0.2">
      <c r="A496" s="407">
        <v>488</v>
      </c>
      <c r="B496" s="438">
        <v>26.981999999999999</v>
      </c>
      <c r="C496" s="438">
        <v>19.042000000000002</v>
      </c>
      <c r="D496" s="438">
        <v>15.316000000000001</v>
      </c>
      <c r="E496" s="438">
        <v>13.585000000000001</v>
      </c>
      <c r="F496" s="438">
        <v>26.981999999999999</v>
      </c>
      <c r="G496" s="438">
        <v>19.042000000000002</v>
      </c>
      <c r="H496" s="438">
        <v>29.149000000000001</v>
      </c>
      <c r="I496" s="438">
        <v>19.035</v>
      </c>
      <c r="J496" s="11"/>
      <c r="Q496" s="348">
        <f t="shared" si="64"/>
        <v>26.922674818087103</v>
      </c>
      <c r="R496" s="348">
        <f t="shared" si="65"/>
        <v>19.01083244075685</v>
      </c>
      <c r="S496" s="348">
        <f t="shared" si="66"/>
        <v>15.155911259083842</v>
      </c>
      <c r="T496" s="348">
        <f t="shared" si="67"/>
        <v>13.604009777650038</v>
      </c>
      <c r="U496" s="348">
        <f t="shared" si="68"/>
        <v>26.922674818087103</v>
      </c>
      <c r="V496" s="348">
        <f t="shared" si="69"/>
        <v>18.995766727682909</v>
      </c>
      <c r="W496" s="348">
        <f t="shared" si="70"/>
        <v>28.946058755076162</v>
      </c>
      <c r="X496" s="348">
        <f t="shared" si="71"/>
        <v>18.931541548602773</v>
      </c>
    </row>
    <row r="497" spans="1:24" x14ac:dyDescent="0.2">
      <c r="A497" s="407">
        <v>489</v>
      </c>
      <c r="B497" s="438">
        <v>26.984000000000002</v>
      </c>
      <c r="C497" s="438">
        <v>19.045999999999999</v>
      </c>
      <c r="D497" s="438">
        <v>15.32</v>
      </c>
      <c r="E497" s="438">
        <v>13.586</v>
      </c>
      <c r="F497" s="438">
        <v>26.984000000000002</v>
      </c>
      <c r="G497" s="438">
        <v>19.045999999999999</v>
      </c>
      <c r="H497" s="438">
        <v>29.146999999999998</v>
      </c>
      <c r="I497" s="437">
        <v>19.036000000000001</v>
      </c>
      <c r="J497" s="11"/>
      <c r="Q497" s="348">
        <f t="shared" si="64"/>
        <v>26.924664682103309</v>
      </c>
      <c r="R497" s="348">
        <f t="shared" si="65"/>
        <v>19.014856873210363</v>
      </c>
      <c r="S497" s="348">
        <f t="shared" si="66"/>
        <v>15.159909275390936</v>
      </c>
      <c r="T497" s="348">
        <f t="shared" si="67"/>
        <v>13.605010548721044</v>
      </c>
      <c r="U497" s="348">
        <f t="shared" si="68"/>
        <v>26.924664682103309</v>
      </c>
      <c r="V497" s="348">
        <f t="shared" si="69"/>
        <v>18.999771787521347</v>
      </c>
      <c r="W497" s="348">
        <f t="shared" si="70"/>
        <v>28.944065091788779</v>
      </c>
      <c r="X497" s="348">
        <f t="shared" si="71"/>
        <v>18.932536140021512</v>
      </c>
    </row>
    <row r="498" spans="1:24" x14ac:dyDescent="0.2">
      <c r="A498" s="407">
        <v>490</v>
      </c>
      <c r="B498" s="438">
        <v>26.981999999999999</v>
      </c>
      <c r="C498" s="438">
        <v>19.05</v>
      </c>
      <c r="D498" s="438">
        <v>15.32</v>
      </c>
      <c r="E498" s="438">
        <v>13.587</v>
      </c>
      <c r="F498" s="438">
        <v>26.981999999999999</v>
      </c>
      <c r="G498" s="438">
        <v>19.05</v>
      </c>
      <c r="H498" s="438">
        <v>29.143000000000001</v>
      </c>
      <c r="I498" s="438">
        <v>19.033000000000001</v>
      </c>
      <c r="J498" s="11"/>
      <c r="Q498" s="348">
        <f t="shared" si="64"/>
        <v>26.922674818087103</v>
      </c>
      <c r="R498" s="348">
        <f t="shared" si="65"/>
        <v>19.01888129424983</v>
      </c>
      <c r="S498" s="348">
        <f t="shared" si="66"/>
        <v>15.159909275390936</v>
      </c>
      <c r="T498" s="348">
        <f t="shared" si="67"/>
        <v>13.606011319711039</v>
      </c>
      <c r="U498" s="348">
        <f t="shared" si="68"/>
        <v>26.922674818087103</v>
      </c>
      <c r="V498" s="348">
        <f t="shared" si="69"/>
        <v>19.003776848167682</v>
      </c>
      <c r="W498" s="348">
        <f t="shared" si="70"/>
        <v>28.940077796283123</v>
      </c>
      <c r="X498" s="348">
        <f t="shared" si="71"/>
        <v>18.929552366660037</v>
      </c>
    </row>
    <row r="499" spans="1:24" x14ac:dyDescent="0.2">
      <c r="A499" s="407">
        <v>491</v>
      </c>
      <c r="B499" s="438">
        <v>26.991</v>
      </c>
      <c r="C499" s="438">
        <v>19.05</v>
      </c>
      <c r="D499" s="438">
        <v>15.321</v>
      </c>
      <c r="E499" s="438">
        <v>13.596</v>
      </c>
      <c r="F499" s="438">
        <v>26.991</v>
      </c>
      <c r="G499" s="438">
        <v>19.05</v>
      </c>
      <c r="H499" s="438">
        <v>29.145</v>
      </c>
      <c r="I499" s="438">
        <v>19.033999999999999</v>
      </c>
      <c r="J499" s="11"/>
      <c r="Q499" s="348">
        <f t="shared" si="64"/>
        <v>26.931629198845314</v>
      </c>
      <c r="R499" s="348">
        <f t="shared" si="65"/>
        <v>19.01888129424983</v>
      </c>
      <c r="S499" s="348">
        <f t="shared" si="66"/>
        <v>15.160908781727908</v>
      </c>
      <c r="T499" s="348">
        <f t="shared" si="67"/>
        <v>13.615018254972863</v>
      </c>
      <c r="U499" s="348">
        <f t="shared" si="68"/>
        <v>26.931629198845314</v>
      </c>
      <c r="V499" s="348">
        <f t="shared" si="69"/>
        <v>19.003776848167682</v>
      </c>
      <c r="W499" s="348">
        <f t="shared" si="70"/>
        <v>28.942071438857706</v>
      </c>
      <c r="X499" s="348">
        <f t="shared" si="71"/>
        <v>18.930546957482289</v>
      </c>
    </row>
    <row r="500" spans="1:24" x14ac:dyDescent="0.2">
      <c r="A500" s="407">
        <v>492</v>
      </c>
      <c r="B500" s="438">
        <v>26.989000000000001</v>
      </c>
      <c r="C500" s="438">
        <v>19.048999999999999</v>
      </c>
      <c r="D500" s="438">
        <v>15.321999999999999</v>
      </c>
      <c r="E500" s="438">
        <v>13.589</v>
      </c>
      <c r="F500" s="438">
        <v>26.989000000000001</v>
      </c>
      <c r="G500" s="438">
        <v>19.048999999999999</v>
      </c>
      <c r="H500" s="438">
        <v>29.141999999999999</v>
      </c>
      <c r="I500" s="438">
        <v>19.033000000000001</v>
      </c>
      <c r="J500" s="11"/>
      <c r="Q500" s="348">
        <f t="shared" si="64"/>
        <v>26.929639338079756</v>
      </c>
      <c r="R500" s="348">
        <f t="shared" si="65"/>
        <v>19.017875190060362</v>
      </c>
      <c r="S500" s="348">
        <f t="shared" si="66"/>
        <v>15.161908288968682</v>
      </c>
      <c r="T500" s="348">
        <f t="shared" si="67"/>
        <v>13.608012861447927</v>
      </c>
      <c r="U500" s="348">
        <f t="shared" si="68"/>
        <v>26.929639338079756</v>
      </c>
      <c r="V500" s="348">
        <f t="shared" si="69"/>
        <v>19.002775582930621</v>
      </c>
      <c r="W500" s="348">
        <f t="shared" si="70"/>
        <v>28.93908097887957</v>
      </c>
      <c r="X500" s="348">
        <f t="shared" si="71"/>
        <v>18.929552366660037</v>
      </c>
    </row>
    <row r="501" spans="1:24" x14ac:dyDescent="0.2">
      <c r="A501" s="407">
        <v>493</v>
      </c>
      <c r="B501" s="438">
        <v>26.989000000000001</v>
      </c>
      <c r="C501" s="437">
        <v>19.05</v>
      </c>
      <c r="D501" s="438">
        <v>15.323</v>
      </c>
      <c r="E501" s="438">
        <v>13.597</v>
      </c>
      <c r="F501" s="438">
        <v>26.989000000000001</v>
      </c>
      <c r="G501" s="438">
        <v>19.05</v>
      </c>
      <c r="H501" s="438">
        <v>29.135999999999999</v>
      </c>
      <c r="I501" s="438">
        <v>19.030999999999999</v>
      </c>
      <c r="J501" s="11"/>
      <c r="Q501" s="348">
        <f t="shared" si="64"/>
        <v>26.929639338079756</v>
      </c>
      <c r="R501" s="348">
        <f t="shared" si="65"/>
        <v>19.01888129424983</v>
      </c>
      <c r="S501" s="348">
        <f t="shared" si="66"/>
        <v>15.162907797113119</v>
      </c>
      <c r="T501" s="348">
        <f t="shared" si="67"/>
        <v>13.616019025151882</v>
      </c>
      <c r="U501" s="348">
        <f t="shared" si="68"/>
        <v>26.929639338079756</v>
      </c>
      <c r="V501" s="348">
        <f t="shared" si="69"/>
        <v>19.003776848167682</v>
      </c>
      <c r="W501" s="348">
        <f t="shared" si="70"/>
        <v>28.933100128832109</v>
      </c>
      <c r="X501" s="348">
        <f t="shared" si="71"/>
        <v>18.92756318591012</v>
      </c>
    </row>
    <row r="502" spans="1:24" x14ac:dyDescent="0.2">
      <c r="A502" s="407">
        <v>494</v>
      </c>
      <c r="B502" s="438">
        <v>26.99</v>
      </c>
      <c r="C502" s="438">
        <v>19.05</v>
      </c>
      <c r="D502" s="438">
        <v>15.319000000000001</v>
      </c>
      <c r="E502" s="437">
        <v>13.593</v>
      </c>
      <c r="F502" s="438">
        <v>26.99</v>
      </c>
      <c r="G502" s="438">
        <v>19.05</v>
      </c>
      <c r="H502" s="438">
        <v>29.14</v>
      </c>
      <c r="I502" s="438">
        <v>19.03</v>
      </c>
      <c r="J502" s="11"/>
      <c r="Q502" s="348">
        <f t="shared" si="64"/>
        <v>26.930634268578576</v>
      </c>
      <c r="R502" s="348">
        <f t="shared" si="65"/>
        <v>19.01888129424983</v>
      </c>
      <c r="S502" s="348">
        <f t="shared" si="66"/>
        <v>15.158909769957901</v>
      </c>
      <c r="T502" s="348">
        <f t="shared" si="67"/>
        <v>13.612015943948869</v>
      </c>
      <c r="U502" s="348">
        <f t="shared" si="68"/>
        <v>26.930634268578576</v>
      </c>
      <c r="V502" s="348">
        <f t="shared" si="69"/>
        <v>19.003776848167682</v>
      </c>
      <c r="W502" s="348">
        <f t="shared" si="70"/>
        <v>28.93708735184007</v>
      </c>
      <c r="X502" s="348">
        <f t="shared" si="71"/>
        <v>18.92656859598241</v>
      </c>
    </row>
    <row r="503" spans="1:24" x14ac:dyDescent="0.2">
      <c r="A503" s="407">
        <v>495</v>
      </c>
      <c r="B503" s="438">
        <v>26.981999999999999</v>
      </c>
      <c r="C503" s="438">
        <v>19.048999999999999</v>
      </c>
      <c r="D503" s="438">
        <v>15.32</v>
      </c>
      <c r="E503" s="438">
        <v>13.592000000000001</v>
      </c>
      <c r="F503" s="438">
        <v>26.981999999999999</v>
      </c>
      <c r="G503" s="438">
        <v>19.048999999999999</v>
      </c>
      <c r="H503" s="438">
        <v>29.135999999999999</v>
      </c>
      <c r="I503" s="438">
        <v>19.027000000000001</v>
      </c>
      <c r="J503" s="11"/>
      <c r="Q503" s="348">
        <f t="shared" si="64"/>
        <v>26.922674818087103</v>
      </c>
      <c r="R503" s="348">
        <f t="shared" si="65"/>
        <v>19.017875190060362</v>
      </c>
      <c r="S503" s="348">
        <f t="shared" si="66"/>
        <v>15.159909275390936</v>
      </c>
      <c r="T503" s="348">
        <f t="shared" si="67"/>
        <v>13.611015173445276</v>
      </c>
      <c r="U503" s="348">
        <f t="shared" si="68"/>
        <v>26.922674818087103</v>
      </c>
      <c r="V503" s="348">
        <f t="shared" si="69"/>
        <v>19.002775582930621</v>
      </c>
      <c r="W503" s="348">
        <f t="shared" si="70"/>
        <v>28.933100128832109</v>
      </c>
      <c r="X503" s="348">
        <f t="shared" si="71"/>
        <v>18.923584827987952</v>
      </c>
    </row>
    <row r="504" spans="1:24" x14ac:dyDescent="0.2">
      <c r="A504" s="407">
        <v>496</v>
      </c>
      <c r="B504" s="438">
        <v>26.978999999999999</v>
      </c>
      <c r="C504" s="438">
        <v>19.047000000000001</v>
      </c>
      <c r="D504" s="438">
        <v>15.32</v>
      </c>
      <c r="E504" s="438">
        <v>13.59</v>
      </c>
      <c r="F504" s="438">
        <v>26.978999999999999</v>
      </c>
      <c r="G504" s="438">
        <v>19.047000000000001</v>
      </c>
      <c r="H504" s="438">
        <v>29.129000000000001</v>
      </c>
      <c r="I504" s="438">
        <v>19.029</v>
      </c>
      <c r="J504" s="11"/>
      <c r="Q504" s="348">
        <f t="shared" si="64"/>
        <v>26.919690020320328</v>
      </c>
      <c r="R504" s="348">
        <f t="shared" si="65"/>
        <v>19.015862979540536</v>
      </c>
      <c r="S504" s="348">
        <f t="shared" si="66"/>
        <v>15.159909275390936</v>
      </c>
      <c r="T504" s="348">
        <f t="shared" si="67"/>
        <v>13.60901363219479</v>
      </c>
      <c r="U504" s="348">
        <f t="shared" si="68"/>
        <v>26.919690020320328</v>
      </c>
      <c r="V504" s="348">
        <f t="shared" si="69"/>
        <v>19.000773052607382</v>
      </c>
      <c r="W504" s="348">
        <f t="shared" si="70"/>
        <v>28.926122588258245</v>
      </c>
      <c r="X504" s="348">
        <f t="shared" si="71"/>
        <v>18.925574006352825</v>
      </c>
    </row>
    <row r="505" spans="1:24" x14ac:dyDescent="0.2">
      <c r="A505" s="407">
        <v>497</v>
      </c>
      <c r="B505" s="438">
        <v>26.988</v>
      </c>
      <c r="C505" s="438">
        <v>19.048999999999999</v>
      </c>
      <c r="D505" s="438">
        <v>15.323</v>
      </c>
      <c r="E505" s="438">
        <v>13.592000000000001</v>
      </c>
      <c r="F505" s="438">
        <v>26.988</v>
      </c>
      <c r="G505" s="438">
        <v>19.048999999999999</v>
      </c>
      <c r="H505" s="438">
        <v>29.126999999999999</v>
      </c>
      <c r="I505" s="438">
        <v>19.027999999999999</v>
      </c>
      <c r="J505" s="11"/>
      <c r="Q505" s="348">
        <f t="shared" si="64"/>
        <v>26.928644407348816</v>
      </c>
      <c r="R505" s="348">
        <f t="shared" si="65"/>
        <v>19.017875190060362</v>
      </c>
      <c r="S505" s="348">
        <f t="shared" si="66"/>
        <v>15.162907797113119</v>
      </c>
      <c r="T505" s="348">
        <f t="shared" si="67"/>
        <v>13.611015173445276</v>
      </c>
      <c r="U505" s="348">
        <f t="shared" si="68"/>
        <v>26.928644407348816</v>
      </c>
      <c r="V505" s="348">
        <f t="shared" si="69"/>
        <v>19.002775582930621</v>
      </c>
      <c r="W505" s="348">
        <f t="shared" si="70"/>
        <v>28.924129028542193</v>
      </c>
      <c r="X505" s="348">
        <f t="shared" si="71"/>
        <v>18.924579417021345</v>
      </c>
    </row>
    <row r="506" spans="1:24" x14ac:dyDescent="0.2">
      <c r="A506" s="407">
        <v>498</v>
      </c>
      <c r="B506" s="438">
        <v>26.984000000000002</v>
      </c>
      <c r="C506" s="438">
        <v>19.048999999999999</v>
      </c>
      <c r="D506" s="438">
        <v>15.32</v>
      </c>
      <c r="E506" s="438">
        <v>13.59</v>
      </c>
      <c r="F506" s="438">
        <v>26.984000000000002</v>
      </c>
      <c r="G506" s="438">
        <v>19.048999999999999</v>
      </c>
      <c r="H506" s="438">
        <v>29.126999999999999</v>
      </c>
      <c r="I506" s="438">
        <v>19.026</v>
      </c>
      <c r="J506" s="11"/>
      <c r="Q506" s="348">
        <f t="shared" si="64"/>
        <v>26.924664682103309</v>
      </c>
      <c r="R506" s="348">
        <f t="shared" si="65"/>
        <v>19.017875190060362</v>
      </c>
      <c r="S506" s="348">
        <f t="shared" si="66"/>
        <v>15.159909275390936</v>
      </c>
      <c r="T506" s="348">
        <f t="shared" si="67"/>
        <v>13.60901363219479</v>
      </c>
      <c r="U506" s="348">
        <f t="shared" si="68"/>
        <v>26.924664682103309</v>
      </c>
      <c r="V506" s="348">
        <f t="shared" si="69"/>
        <v>19.002775582930621</v>
      </c>
      <c r="W506" s="348">
        <f t="shared" si="70"/>
        <v>28.924129028542193</v>
      </c>
      <c r="X506" s="348">
        <f t="shared" si="71"/>
        <v>18.92259023925261</v>
      </c>
    </row>
    <row r="507" spans="1:24" x14ac:dyDescent="0.2">
      <c r="A507" s="407">
        <v>499</v>
      </c>
      <c r="B507" s="438">
        <v>26.984000000000002</v>
      </c>
      <c r="C507" s="438">
        <v>19.052</v>
      </c>
      <c r="D507" s="438">
        <v>15.323</v>
      </c>
      <c r="E507" s="438">
        <v>13.593999999999999</v>
      </c>
      <c r="F507" s="438">
        <v>26.984000000000002</v>
      </c>
      <c r="G507" s="437">
        <v>19.052</v>
      </c>
      <c r="H507" s="438">
        <v>29.125</v>
      </c>
      <c r="I507" s="438">
        <v>19.024999999999999</v>
      </c>
      <c r="J507" s="11"/>
      <c r="Q507" s="348">
        <f t="shared" si="64"/>
        <v>26.924664682103309</v>
      </c>
      <c r="R507" s="348">
        <f t="shared" si="65"/>
        <v>19.0208935004874</v>
      </c>
      <c r="S507" s="348">
        <f t="shared" si="66"/>
        <v>15.162907797113119</v>
      </c>
      <c r="T507" s="348">
        <f t="shared" si="67"/>
        <v>13.613016714371341</v>
      </c>
      <c r="U507" s="348">
        <f t="shared" si="68"/>
        <v>26.924664682103309</v>
      </c>
      <c r="V507" s="348">
        <f t="shared" si="69"/>
        <v>19.005779378792308</v>
      </c>
      <c r="W507" s="348">
        <f t="shared" si="70"/>
        <v>28.922135479184277</v>
      </c>
      <c r="X507" s="348">
        <f t="shared" si="71"/>
        <v>18.921595650815298</v>
      </c>
    </row>
    <row r="508" spans="1:24" x14ac:dyDescent="0.2">
      <c r="A508" s="407">
        <v>500</v>
      </c>
      <c r="B508" s="438">
        <v>26.978999999999999</v>
      </c>
      <c r="C508" s="438">
        <v>19.05</v>
      </c>
      <c r="D508" s="438">
        <v>15.316000000000001</v>
      </c>
      <c r="E508" s="438">
        <v>13.590999999999999</v>
      </c>
      <c r="F508" s="438">
        <v>26.978999999999999</v>
      </c>
      <c r="G508" s="438">
        <v>19.05</v>
      </c>
      <c r="H508" s="438">
        <v>29.120999999999999</v>
      </c>
      <c r="I508" s="438">
        <v>19.024999999999999</v>
      </c>
      <c r="J508" s="11"/>
      <c r="Q508" s="348">
        <f t="shared" si="64"/>
        <v>26.919690020320328</v>
      </c>
      <c r="R508" s="348">
        <f t="shared" si="65"/>
        <v>19.01888129424983</v>
      </c>
      <c r="S508" s="348">
        <f t="shared" si="66"/>
        <v>15.155911259083842</v>
      </c>
      <c r="T508" s="348">
        <f t="shared" si="67"/>
        <v>13.610014402860577</v>
      </c>
      <c r="U508" s="348">
        <f t="shared" si="68"/>
        <v>26.919690020320328</v>
      </c>
      <c r="V508" s="348">
        <f t="shared" si="69"/>
        <v>19.003776848167682</v>
      </c>
      <c r="W508" s="348">
        <f t="shared" si="70"/>
        <v>28.918148411543569</v>
      </c>
      <c r="X508" s="348">
        <f t="shared" si="71"/>
        <v>18.921595650815298</v>
      </c>
    </row>
    <row r="509" spans="1:24" x14ac:dyDescent="0.2">
      <c r="A509" s="407">
        <v>501</v>
      </c>
      <c r="B509" s="438">
        <v>26.98</v>
      </c>
      <c r="C509" s="437">
        <v>19.048999999999999</v>
      </c>
      <c r="D509" s="438">
        <v>15.319000000000001</v>
      </c>
      <c r="E509" s="437">
        <v>13.587</v>
      </c>
      <c r="F509" s="437">
        <v>26.98</v>
      </c>
      <c r="G509" s="437">
        <v>19.048999999999999</v>
      </c>
      <c r="H509" s="437">
        <v>29.122</v>
      </c>
      <c r="I509" s="438">
        <v>19.021000000000001</v>
      </c>
      <c r="J509" s="11"/>
      <c r="Q509" s="348">
        <f t="shared" si="64"/>
        <v>26.920684953141624</v>
      </c>
      <c r="R509" s="348">
        <f t="shared" si="65"/>
        <v>19.017875190060362</v>
      </c>
      <c r="S509" s="348">
        <f t="shared" si="66"/>
        <v>15.158909769957901</v>
      </c>
      <c r="T509" s="348">
        <f t="shared" si="67"/>
        <v>13.606011319711039</v>
      </c>
      <c r="U509" s="348">
        <f t="shared" si="68"/>
        <v>26.920684953141624</v>
      </c>
      <c r="V509" s="348">
        <f t="shared" si="69"/>
        <v>19.002775582930621</v>
      </c>
      <c r="W509" s="348">
        <f t="shared" si="70"/>
        <v>28.919145174569298</v>
      </c>
      <c r="X509" s="348">
        <f t="shared" si="71"/>
        <v>18.91761730004588</v>
      </c>
    </row>
    <row r="510" spans="1:24" x14ac:dyDescent="0.2">
      <c r="A510" s="407">
        <v>502</v>
      </c>
      <c r="B510" s="438">
        <v>26.975999999999999</v>
      </c>
      <c r="C510" s="438">
        <v>19.05</v>
      </c>
      <c r="D510" s="438">
        <v>15.316000000000001</v>
      </c>
      <c r="E510" s="438">
        <v>13.583</v>
      </c>
      <c r="F510" s="438">
        <v>26.975999999999999</v>
      </c>
      <c r="G510" s="438">
        <v>19.05</v>
      </c>
      <c r="H510" s="438">
        <v>29.117000000000001</v>
      </c>
      <c r="I510" s="438">
        <v>19.02</v>
      </c>
      <c r="J510" s="11"/>
      <c r="Q510" s="348">
        <f t="shared" si="64"/>
        <v>26.916705220461917</v>
      </c>
      <c r="R510" s="348">
        <f t="shared" si="65"/>
        <v>19.01888129424983</v>
      </c>
      <c r="S510" s="348">
        <f t="shared" si="66"/>
        <v>15.155911259083842</v>
      </c>
      <c r="T510" s="348">
        <f t="shared" si="67"/>
        <v>13.602008235265044</v>
      </c>
      <c r="U510" s="348">
        <f t="shared" si="68"/>
        <v>26.916705220461917</v>
      </c>
      <c r="V510" s="348">
        <f t="shared" si="69"/>
        <v>19.003776848167682</v>
      </c>
      <c r="W510" s="348">
        <f t="shared" si="70"/>
        <v>28.914161385337543</v>
      </c>
      <c r="X510" s="348">
        <f t="shared" si="71"/>
        <v>18.916622713098349</v>
      </c>
    </row>
    <row r="511" spans="1:24" x14ac:dyDescent="0.2">
      <c r="A511" s="407">
        <v>503</v>
      </c>
      <c r="B511" s="437">
        <v>26.986999999999998</v>
      </c>
      <c r="C511" s="438">
        <v>19.050999999999998</v>
      </c>
      <c r="D511" s="438">
        <v>15.32</v>
      </c>
      <c r="E511" s="438">
        <v>13.587</v>
      </c>
      <c r="F511" s="438">
        <v>26.986999999999998</v>
      </c>
      <c r="G511" s="438">
        <v>19.050999999999998</v>
      </c>
      <c r="H511" s="438">
        <v>29.114999999999998</v>
      </c>
      <c r="I511" s="438">
        <v>19.021000000000001</v>
      </c>
      <c r="J511" s="11"/>
      <c r="Q511" s="348">
        <f t="shared" si="64"/>
        <v>26.927649476385728</v>
      </c>
      <c r="R511" s="348">
        <f t="shared" si="65"/>
        <v>19.01988739772554</v>
      </c>
      <c r="S511" s="348">
        <f t="shared" si="66"/>
        <v>15.159909275390936</v>
      </c>
      <c r="T511" s="348">
        <f t="shared" si="67"/>
        <v>13.606011319711039</v>
      </c>
      <c r="U511" s="348">
        <f t="shared" si="68"/>
        <v>26.927649476385728</v>
      </c>
      <c r="V511" s="348">
        <f t="shared" si="69"/>
        <v>19.004778113454936</v>
      </c>
      <c r="W511" s="348">
        <f t="shared" si="70"/>
        <v>28.912167887772974</v>
      </c>
      <c r="X511" s="348">
        <f t="shared" si="71"/>
        <v>18.91761730004588</v>
      </c>
    </row>
    <row r="512" spans="1:24" x14ac:dyDescent="0.2">
      <c r="A512" s="407">
        <v>504</v>
      </c>
      <c r="B512" s="438">
        <v>26.977</v>
      </c>
      <c r="C512" s="438">
        <v>19.050999999999998</v>
      </c>
      <c r="D512" s="438">
        <v>15.318</v>
      </c>
      <c r="E512" s="438">
        <v>13.584</v>
      </c>
      <c r="F512" s="438">
        <v>26.977</v>
      </c>
      <c r="G512" s="438">
        <v>19.050999999999998</v>
      </c>
      <c r="H512" s="438">
        <v>29.114000000000001</v>
      </c>
      <c r="I512" s="438">
        <v>19.02</v>
      </c>
      <c r="J512" s="11"/>
      <c r="Q512" s="348">
        <f t="shared" si="64"/>
        <v>26.917700153980512</v>
      </c>
      <c r="R512" s="348">
        <f t="shared" si="65"/>
        <v>19.01988739772554</v>
      </c>
      <c r="S512" s="348">
        <f t="shared" si="66"/>
        <v>15.157910265428947</v>
      </c>
      <c r="T512" s="348">
        <f t="shared" si="67"/>
        <v>13.603009006498031</v>
      </c>
      <c r="U512" s="348">
        <f t="shared" si="68"/>
        <v>26.917700153980512</v>
      </c>
      <c r="V512" s="348">
        <f t="shared" si="69"/>
        <v>19.004778113454936</v>
      </c>
      <c r="W512" s="348">
        <f t="shared" si="70"/>
        <v>28.911171142875386</v>
      </c>
      <c r="X512" s="348">
        <f t="shared" si="71"/>
        <v>18.916622713098349</v>
      </c>
    </row>
    <row r="513" spans="1:24" x14ac:dyDescent="0.2">
      <c r="A513" s="407">
        <v>505</v>
      </c>
      <c r="B513" s="438">
        <v>26.986000000000001</v>
      </c>
      <c r="C513" s="438">
        <v>19.053000000000001</v>
      </c>
      <c r="D513" s="438">
        <v>15.32</v>
      </c>
      <c r="E513" s="438">
        <v>13.587999999999999</v>
      </c>
      <c r="F513" s="438">
        <v>26.986000000000001</v>
      </c>
      <c r="G513" s="438">
        <v>19.053000000000001</v>
      </c>
      <c r="H513" s="438">
        <v>29.113</v>
      </c>
      <c r="I513" s="438">
        <v>19.016999999999999</v>
      </c>
      <c r="J513" s="11"/>
      <c r="Q513" s="348">
        <f t="shared" si="64"/>
        <v>26.92665454519047</v>
      </c>
      <c r="R513" s="348">
        <f t="shared" si="65"/>
        <v>19.021899602535314</v>
      </c>
      <c r="S513" s="348">
        <f t="shared" si="66"/>
        <v>15.159909275390936</v>
      </c>
      <c r="T513" s="348">
        <f t="shared" si="67"/>
        <v>13.607012090620003</v>
      </c>
      <c r="U513" s="348">
        <f t="shared" si="68"/>
        <v>26.92665454519047</v>
      </c>
      <c r="V513" s="348">
        <f t="shared" si="69"/>
        <v>19.006780644179731</v>
      </c>
      <c r="W513" s="348">
        <f t="shared" si="70"/>
        <v>28.910174400567616</v>
      </c>
      <c r="X513" s="348">
        <f t="shared" si="71"/>
        <v>18.913638954042955</v>
      </c>
    </row>
    <row r="514" spans="1:24" x14ac:dyDescent="0.2">
      <c r="A514" s="407">
        <v>506</v>
      </c>
      <c r="B514" s="438">
        <v>26.981999999999999</v>
      </c>
      <c r="C514" s="438">
        <v>19.053999999999998</v>
      </c>
      <c r="D514" s="438">
        <v>15.319000000000001</v>
      </c>
      <c r="E514" s="438">
        <v>13.587</v>
      </c>
      <c r="F514" s="438">
        <v>26.981999999999999</v>
      </c>
      <c r="G514" s="438">
        <v>19.053999999999998</v>
      </c>
      <c r="H514" s="438">
        <v>29.114999999999998</v>
      </c>
      <c r="I514" s="438">
        <v>19.018000000000001</v>
      </c>
      <c r="J514" s="11"/>
      <c r="Q514" s="348">
        <f t="shared" si="64"/>
        <v>26.922674818087103</v>
      </c>
      <c r="R514" s="348">
        <f t="shared" si="65"/>
        <v>19.022905703869188</v>
      </c>
      <c r="S514" s="348">
        <f t="shared" si="66"/>
        <v>15.158909769957901</v>
      </c>
      <c r="T514" s="348">
        <f t="shared" si="67"/>
        <v>13.606011319711039</v>
      </c>
      <c r="U514" s="348">
        <f t="shared" si="68"/>
        <v>26.922674818087103</v>
      </c>
      <c r="V514" s="348">
        <f t="shared" si="69"/>
        <v>19.007781909617115</v>
      </c>
      <c r="W514" s="348">
        <f t="shared" si="70"/>
        <v>28.912167887772974</v>
      </c>
      <c r="X514" s="348">
        <f t="shared" si="71"/>
        <v>18.914633540096915</v>
      </c>
    </row>
    <row r="515" spans="1:24" x14ac:dyDescent="0.2">
      <c r="A515" s="407">
        <v>507</v>
      </c>
      <c r="B515" s="438">
        <v>26.984000000000002</v>
      </c>
      <c r="C515" s="438">
        <v>19.053000000000001</v>
      </c>
      <c r="D515" s="438">
        <v>15.32</v>
      </c>
      <c r="E515" s="438">
        <v>13.59</v>
      </c>
      <c r="F515" s="438">
        <v>26.984000000000002</v>
      </c>
      <c r="G515" s="438">
        <v>19.053000000000001</v>
      </c>
      <c r="H515" s="438">
        <v>29.11</v>
      </c>
      <c r="I515" s="438">
        <v>19.016999999999999</v>
      </c>
      <c r="J515" s="11"/>
      <c r="Q515" s="348">
        <f t="shared" si="64"/>
        <v>26.924664682103309</v>
      </c>
      <c r="R515" s="348">
        <f t="shared" si="65"/>
        <v>19.021899602535314</v>
      </c>
      <c r="S515" s="348">
        <f t="shared" si="66"/>
        <v>15.159909275390936</v>
      </c>
      <c r="T515" s="348">
        <f t="shared" si="67"/>
        <v>13.60901363219479</v>
      </c>
      <c r="U515" s="348">
        <f t="shared" si="68"/>
        <v>26.924664682103309</v>
      </c>
      <c r="V515" s="348">
        <f t="shared" si="69"/>
        <v>19.006780644179731</v>
      </c>
      <c r="W515" s="348">
        <f t="shared" si="70"/>
        <v>28.907184189183461</v>
      </c>
      <c r="X515" s="348">
        <f t="shared" si="71"/>
        <v>18.913638954042955</v>
      </c>
    </row>
    <row r="516" spans="1:24" x14ac:dyDescent="0.2">
      <c r="A516" s="407">
        <v>508</v>
      </c>
      <c r="B516" s="438">
        <v>26.98</v>
      </c>
      <c r="C516" s="438">
        <v>19.055</v>
      </c>
      <c r="D516" s="438">
        <v>15.317</v>
      </c>
      <c r="E516" s="438">
        <v>13.59</v>
      </c>
      <c r="F516" s="438">
        <v>26.98</v>
      </c>
      <c r="G516" s="438">
        <v>19.055</v>
      </c>
      <c r="H516" s="438">
        <v>29.108000000000001</v>
      </c>
      <c r="I516" s="438">
        <v>19.016999999999999</v>
      </c>
      <c r="J516" s="11"/>
      <c r="Q516" s="348">
        <f t="shared" si="64"/>
        <v>26.920684953141624</v>
      </c>
      <c r="R516" s="348">
        <f t="shared" si="65"/>
        <v>19.023911804488925</v>
      </c>
      <c r="S516" s="348">
        <f t="shared" si="66"/>
        <v>15.156910761804214</v>
      </c>
      <c r="T516" s="348">
        <f t="shared" si="67"/>
        <v>13.60901363219479</v>
      </c>
      <c r="U516" s="348">
        <f t="shared" si="68"/>
        <v>26.920684953141624</v>
      </c>
      <c r="V516" s="348">
        <f t="shared" si="69"/>
        <v>19.008783175104398</v>
      </c>
      <c r="W516" s="348">
        <f t="shared" si="70"/>
        <v>28.905190727876867</v>
      </c>
      <c r="X516" s="348">
        <f t="shared" si="71"/>
        <v>18.913638954042955</v>
      </c>
    </row>
    <row r="517" spans="1:24" x14ac:dyDescent="0.2">
      <c r="A517" s="407">
        <v>509</v>
      </c>
      <c r="B517" s="438">
        <v>26.984000000000002</v>
      </c>
      <c r="C517" s="438">
        <v>19.055</v>
      </c>
      <c r="D517" s="438">
        <v>15.319000000000001</v>
      </c>
      <c r="E517" s="438">
        <v>13.596</v>
      </c>
      <c r="F517" s="438">
        <v>26.984000000000002</v>
      </c>
      <c r="G517" s="438">
        <v>19.055</v>
      </c>
      <c r="H517" s="438">
        <v>29.100999999999999</v>
      </c>
      <c r="I517" s="438">
        <v>19.013999999999999</v>
      </c>
      <c r="J517" s="11"/>
      <c r="Q517" s="348">
        <f t="shared" si="64"/>
        <v>26.924664682103309</v>
      </c>
      <c r="R517" s="348">
        <f t="shared" si="65"/>
        <v>19.023911804488925</v>
      </c>
      <c r="S517" s="348">
        <f t="shared" si="66"/>
        <v>15.158909769957901</v>
      </c>
      <c r="T517" s="348">
        <f t="shared" si="67"/>
        <v>13.615018254972863</v>
      </c>
      <c r="U517" s="348">
        <f t="shared" si="68"/>
        <v>26.924664682103309</v>
      </c>
      <c r="V517" s="348">
        <f t="shared" si="69"/>
        <v>19.008783175104398</v>
      </c>
      <c r="W517" s="348">
        <f t="shared" si="70"/>
        <v>28.898213694888486</v>
      </c>
      <c r="X517" s="348">
        <f t="shared" si="71"/>
        <v>18.910655197667833</v>
      </c>
    </row>
    <row r="518" spans="1:24" x14ac:dyDescent="0.2">
      <c r="A518" s="407">
        <v>510</v>
      </c>
      <c r="B518" s="438">
        <v>26.975000000000001</v>
      </c>
      <c r="C518" s="438">
        <v>19.056999999999999</v>
      </c>
      <c r="D518" s="438">
        <v>15.316000000000001</v>
      </c>
      <c r="E518" s="438">
        <v>13.592000000000001</v>
      </c>
      <c r="F518" s="438">
        <v>26.975000000000001</v>
      </c>
      <c r="G518" s="438">
        <v>19.056999999999999</v>
      </c>
      <c r="H518" s="438">
        <v>29.100999999999999</v>
      </c>
      <c r="I518" s="438">
        <v>19.012</v>
      </c>
      <c r="J518" s="11"/>
      <c r="Q518" s="348">
        <f t="shared" si="64"/>
        <v>26.915710286710841</v>
      </c>
      <c r="R518" s="348">
        <f t="shared" si="65"/>
        <v>19.025924003585619</v>
      </c>
      <c r="S518" s="348">
        <f t="shared" si="66"/>
        <v>15.155911259083842</v>
      </c>
      <c r="T518" s="348">
        <f t="shared" si="67"/>
        <v>13.611015173445276</v>
      </c>
      <c r="U518" s="348">
        <f t="shared" si="68"/>
        <v>26.915710286710841</v>
      </c>
      <c r="V518" s="348">
        <f t="shared" si="69"/>
        <v>19.010785706228347</v>
      </c>
      <c r="W518" s="348">
        <f t="shared" si="70"/>
        <v>28.898213694888486</v>
      </c>
      <c r="X518" s="348">
        <f t="shared" si="71"/>
        <v>18.908666028239786</v>
      </c>
    </row>
    <row r="519" spans="1:24" x14ac:dyDescent="0.2">
      <c r="A519" s="407">
        <v>511</v>
      </c>
      <c r="B519" s="437">
        <v>26.981999999999999</v>
      </c>
      <c r="C519" s="438">
        <v>19.053999999999998</v>
      </c>
      <c r="D519" s="438">
        <v>15.321999999999999</v>
      </c>
      <c r="E519" s="438">
        <v>13.592000000000001</v>
      </c>
      <c r="F519" s="438">
        <v>26.981999999999999</v>
      </c>
      <c r="G519" s="438">
        <v>19.053999999999998</v>
      </c>
      <c r="H519" s="438">
        <v>29.097000000000001</v>
      </c>
      <c r="I519" s="438">
        <v>19.009</v>
      </c>
      <c r="J519" s="11"/>
      <c r="Q519" s="348">
        <f t="shared" si="64"/>
        <v>26.922674818087103</v>
      </c>
      <c r="R519" s="348">
        <f t="shared" si="65"/>
        <v>19.022905703869188</v>
      </c>
      <c r="S519" s="348">
        <f t="shared" si="66"/>
        <v>15.161908288968682</v>
      </c>
      <c r="T519" s="348">
        <f t="shared" si="67"/>
        <v>13.611015173445276</v>
      </c>
      <c r="U519" s="348">
        <f t="shared" si="68"/>
        <v>26.922674818087103</v>
      </c>
      <c r="V519" s="348">
        <f t="shared" si="69"/>
        <v>19.007781909617115</v>
      </c>
      <c r="W519" s="348">
        <f t="shared" si="70"/>
        <v>28.894226875876964</v>
      </c>
      <c r="X519" s="348">
        <f t="shared" si="71"/>
        <v>18.905682276330271</v>
      </c>
    </row>
    <row r="520" spans="1:24" x14ac:dyDescent="0.2">
      <c r="A520" s="407">
        <v>512</v>
      </c>
      <c r="B520" s="438">
        <v>26.978999999999999</v>
      </c>
      <c r="C520" s="438">
        <v>19.058</v>
      </c>
      <c r="D520" s="438">
        <v>15.319000000000001</v>
      </c>
      <c r="E520" s="438">
        <v>13.593</v>
      </c>
      <c r="F520" s="438">
        <v>26.978999999999999</v>
      </c>
      <c r="G520" s="438">
        <v>19.058</v>
      </c>
      <c r="H520" s="438">
        <v>29.094000000000001</v>
      </c>
      <c r="I520" s="438">
        <v>19.009</v>
      </c>
      <c r="J520" s="11"/>
      <c r="Q520" s="348">
        <f t="shared" si="64"/>
        <v>26.919690020320328</v>
      </c>
      <c r="R520" s="348">
        <f t="shared" si="65"/>
        <v>19.02693010206238</v>
      </c>
      <c r="S520" s="348">
        <f t="shared" si="66"/>
        <v>15.158909769957901</v>
      </c>
      <c r="T520" s="348">
        <f t="shared" si="67"/>
        <v>13.612015943948869</v>
      </c>
      <c r="U520" s="348">
        <f t="shared" si="68"/>
        <v>26.919690020320328</v>
      </c>
      <c r="V520" s="348">
        <f t="shared" si="69"/>
        <v>19.011786971864865</v>
      </c>
      <c r="W520" s="348">
        <f t="shared" si="70"/>
        <v>28.891236788815245</v>
      </c>
      <c r="X520" s="348">
        <f t="shared" si="71"/>
        <v>18.905682276330271</v>
      </c>
    </row>
    <row r="521" spans="1:24" x14ac:dyDescent="0.2">
      <c r="A521" s="407">
        <v>513</v>
      </c>
      <c r="B521" s="438">
        <v>26.978999999999999</v>
      </c>
      <c r="C521" s="438">
        <v>19.055</v>
      </c>
      <c r="D521" s="438">
        <v>15.318</v>
      </c>
      <c r="E521" s="438">
        <v>13.593999999999999</v>
      </c>
      <c r="F521" s="438">
        <v>26.978999999999999</v>
      </c>
      <c r="G521" s="438">
        <v>19.055</v>
      </c>
      <c r="H521" s="438">
        <v>29.091000000000001</v>
      </c>
      <c r="I521" s="438">
        <v>19.007999999999999</v>
      </c>
      <c r="J521" s="11"/>
      <c r="Q521" s="348">
        <f t="shared" si="64"/>
        <v>26.919690020320328</v>
      </c>
      <c r="R521" s="348">
        <f t="shared" si="65"/>
        <v>19.023911804488925</v>
      </c>
      <c r="S521" s="348">
        <f t="shared" si="66"/>
        <v>15.157910265428947</v>
      </c>
      <c r="T521" s="348">
        <f t="shared" si="67"/>
        <v>13.613016714371341</v>
      </c>
      <c r="U521" s="348">
        <f t="shared" si="68"/>
        <v>26.919690020320328</v>
      </c>
      <c r="V521" s="348">
        <f t="shared" si="69"/>
        <v>19.008783175104398</v>
      </c>
      <c r="W521" s="348">
        <f t="shared" si="70"/>
        <v>28.888246725065823</v>
      </c>
      <c r="X521" s="348">
        <f t="shared" si="71"/>
        <v>18.904687692955683</v>
      </c>
    </row>
    <row r="522" spans="1:24" x14ac:dyDescent="0.2">
      <c r="A522" s="407">
        <v>514</v>
      </c>
      <c r="B522" s="438">
        <v>26.978000000000002</v>
      </c>
      <c r="C522" s="438">
        <v>19.058</v>
      </c>
      <c r="D522" s="438">
        <v>15.316000000000001</v>
      </c>
      <c r="E522" s="438">
        <v>13.592000000000001</v>
      </c>
      <c r="F522" s="438">
        <v>26.978000000000002</v>
      </c>
      <c r="G522" s="438">
        <v>19.058</v>
      </c>
      <c r="H522" s="438">
        <v>29.087</v>
      </c>
      <c r="I522" s="438">
        <v>19.006</v>
      </c>
      <c r="J522" s="11"/>
      <c r="Q522" s="348">
        <f t="shared" ref="Q522:Q585" si="72">IFERROR(B522^4*$AB$9+B522^3*$AC$9+B522^2*$AD$9+B522^1*$AE$9+B522^0*$AF$9,"")</f>
        <v>26.918695087266638</v>
      </c>
      <c r="R522" s="348">
        <f t="shared" ref="R522:R585" si="73">IFERROR(C522^4*$AB$10+C522^3*$AC$10+C522^2*$AD$10+C522^1*$AE$10+C522^0*$AF$10,"")</f>
        <v>19.02693010206238</v>
      </c>
      <c r="S522" s="348">
        <f t="shared" ref="S522:S585" si="74">IFERROR(D522^4*$AB$11+D522^3*$AC$11+D522^2*$AD$11+D522^1*$AE$11+D522^0*$AF$11,"")</f>
        <v>15.155911259083842</v>
      </c>
      <c r="T522" s="348">
        <f t="shared" ref="T522:T585" si="75">IFERROR(E522^4*$AB$12+E522^3*$AC$12+E522^2*$AD$12+E522^1*$AE$12+E522^0*$AF$12,"")</f>
        <v>13.611015173445276</v>
      </c>
      <c r="U522" s="348">
        <f t="shared" ref="U522:U585" si="76">IFERROR(F522^4*$AB$13+F522^3*$AC$13+F522^2*$AD$13+F522^1*$AE$13+F522^0*$AF$13,"")</f>
        <v>26.918695087266638</v>
      </c>
      <c r="V522" s="348">
        <f t="shared" ref="V522:V585" si="77">IFERROR(G522^4*$AB$14+G522^3*$AC$14+G522^2*$AD$14+G522^1*$AE$14+G522^0*$AF$14,"")</f>
        <v>19.011786971864865</v>
      </c>
      <c r="W522" s="348">
        <f t="shared" ref="W522:W585" si="78">IFERROR(H522^4*$AB$15+H522^3*$AC$15+H522^2*$AD$15+H522^1*$AE$15+H522^0*$AF$15,"")</f>
        <v>28.884260009664477</v>
      </c>
      <c r="X522" s="348">
        <f t="shared" ref="X522:X585" si="79">IFERROR(I522^4*$AB$16+I522^3*$AC$16+I522^2*$AD$16+I522^1*$AE$16+I522^0*$AF$16,"")</f>
        <v>18.902698527099236</v>
      </c>
    </row>
    <row r="523" spans="1:24" x14ac:dyDescent="0.2">
      <c r="A523" s="407">
        <v>515</v>
      </c>
      <c r="B523" s="438">
        <v>26.978999999999999</v>
      </c>
      <c r="C523" s="437">
        <v>19.056000000000001</v>
      </c>
      <c r="D523" s="438">
        <v>15.319000000000001</v>
      </c>
      <c r="E523" s="438">
        <v>13.590999999999999</v>
      </c>
      <c r="F523" s="438">
        <v>26.978999999999999</v>
      </c>
      <c r="G523" s="438">
        <v>19.056000000000001</v>
      </c>
      <c r="H523" s="438">
        <v>29.087</v>
      </c>
      <c r="I523" s="438">
        <v>19.007000000000001</v>
      </c>
      <c r="J523" s="11"/>
      <c r="Q523" s="348">
        <f t="shared" si="72"/>
        <v>26.919690020320328</v>
      </c>
      <c r="R523" s="348">
        <f t="shared" si="73"/>
        <v>19.024917904394435</v>
      </c>
      <c r="S523" s="348">
        <f t="shared" si="74"/>
        <v>15.158909769957901</v>
      </c>
      <c r="T523" s="348">
        <f t="shared" si="75"/>
        <v>13.610014402860577</v>
      </c>
      <c r="U523" s="348">
        <f t="shared" si="76"/>
        <v>26.919690020320328</v>
      </c>
      <c r="V523" s="348">
        <f t="shared" si="77"/>
        <v>19.0097844406415</v>
      </c>
      <c r="W523" s="348">
        <f t="shared" si="78"/>
        <v>28.884260009664477</v>
      </c>
      <c r="X523" s="348">
        <f t="shared" si="79"/>
        <v>18.903693109878681</v>
      </c>
    </row>
    <row r="524" spans="1:24" x14ac:dyDescent="0.2">
      <c r="A524" s="407">
        <v>516</v>
      </c>
      <c r="B524" s="438">
        <v>26.978999999999999</v>
      </c>
      <c r="C524" s="438">
        <v>19.059000000000001</v>
      </c>
      <c r="D524" s="438">
        <v>15.32</v>
      </c>
      <c r="E524" s="438">
        <v>13.595000000000001</v>
      </c>
      <c r="F524" s="438">
        <v>26.978999999999999</v>
      </c>
      <c r="G524" s="438">
        <v>19.059000000000001</v>
      </c>
      <c r="H524" s="438">
        <v>29.088000000000001</v>
      </c>
      <c r="I524" s="438">
        <v>19.007000000000001</v>
      </c>
      <c r="J524" s="11"/>
      <c r="Q524" s="348">
        <f t="shared" si="72"/>
        <v>26.919690020320328</v>
      </c>
      <c r="R524" s="348">
        <f t="shared" si="73"/>
        <v>19.02793619982463</v>
      </c>
      <c r="S524" s="348">
        <f t="shared" si="74"/>
        <v>15.159909275390936</v>
      </c>
      <c r="T524" s="348">
        <f t="shared" si="75"/>
        <v>13.614017484712679</v>
      </c>
      <c r="U524" s="348">
        <f t="shared" si="76"/>
        <v>26.919690020320328</v>
      </c>
      <c r="V524" s="348">
        <f t="shared" si="77"/>
        <v>19.012788237550978</v>
      </c>
      <c r="W524" s="348">
        <f t="shared" si="78"/>
        <v>28.885256684629262</v>
      </c>
      <c r="X524" s="348">
        <f t="shared" si="79"/>
        <v>18.903693109878681</v>
      </c>
    </row>
    <row r="525" spans="1:24" x14ac:dyDescent="0.2">
      <c r="A525" s="407">
        <v>517</v>
      </c>
      <c r="B525" s="438">
        <v>26.984999999999999</v>
      </c>
      <c r="C525" s="438">
        <v>19.056000000000001</v>
      </c>
      <c r="D525" s="438">
        <v>15.319000000000001</v>
      </c>
      <c r="E525" s="438">
        <v>13.592000000000001</v>
      </c>
      <c r="F525" s="438">
        <v>26.984999999999999</v>
      </c>
      <c r="G525" s="438">
        <v>19.056000000000001</v>
      </c>
      <c r="H525" s="438">
        <v>29.085000000000001</v>
      </c>
      <c r="I525" s="438">
        <v>19.004000000000001</v>
      </c>
      <c r="J525" s="11"/>
      <c r="Q525" s="348">
        <f t="shared" si="72"/>
        <v>26.925659613763003</v>
      </c>
      <c r="R525" s="348">
        <f t="shared" si="73"/>
        <v>19.024917904394435</v>
      </c>
      <c r="S525" s="348">
        <f t="shared" si="74"/>
        <v>15.158909769957901</v>
      </c>
      <c r="T525" s="348">
        <f t="shared" si="75"/>
        <v>13.611015173445276</v>
      </c>
      <c r="U525" s="348">
        <f t="shared" si="76"/>
        <v>26.925659613763003</v>
      </c>
      <c r="V525" s="348">
        <f t="shared" si="77"/>
        <v>19.0097844406415</v>
      </c>
      <c r="W525" s="348">
        <f t="shared" si="78"/>
        <v>28.882266667506133</v>
      </c>
      <c r="X525" s="348">
        <f t="shared" si="79"/>
        <v>18.900709362432917</v>
      </c>
    </row>
    <row r="526" spans="1:24" x14ac:dyDescent="0.2">
      <c r="A526" s="407">
        <v>518</v>
      </c>
      <c r="B526" s="438">
        <v>26.978000000000002</v>
      </c>
      <c r="C526" s="438">
        <v>19.056999999999999</v>
      </c>
      <c r="D526" s="438">
        <v>15.318</v>
      </c>
      <c r="E526" s="438">
        <v>13.597</v>
      </c>
      <c r="F526" s="438">
        <v>26.978000000000002</v>
      </c>
      <c r="G526" s="438">
        <v>19.056999999999999</v>
      </c>
      <c r="H526" s="438">
        <v>29.085999999999999</v>
      </c>
      <c r="I526" s="438">
        <v>19.004000000000001</v>
      </c>
      <c r="J526" s="11"/>
      <c r="Q526" s="348">
        <f t="shared" si="72"/>
        <v>26.918695087266638</v>
      </c>
      <c r="R526" s="348">
        <f t="shared" si="73"/>
        <v>19.025924003585619</v>
      </c>
      <c r="S526" s="348">
        <f t="shared" si="74"/>
        <v>15.157910265428947</v>
      </c>
      <c r="T526" s="348">
        <f t="shared" si="75"/>
        <v>13.616019025151882</v>
      </c>
      <c r="U526" s="348">
        <f t="shared" si="76"/>
        <v>26.918695087266638</v>
      </c>
      <c r="V526" s="348">
        <f t="shared" si="77"/>
        <v>19.010785706228347</v>
      </c>
      <c r="W526" s="348">
        <f t="shared" si="78"/>
        <v>28.883263337290089</v>
      </c>
      <c r="X526" s="348">
        <f t="shared" si="79"/>
        <v>18.900709362432917</v>
      </c>
    </row>
    <row r="527" spans="1:24" x14ac:dyDescent="0.2">
      <c r="A527" s="407">
        <v>519</v>
      </c>
      <c r="B527" s="438">
        <v>26.978000000000002</v>
      </c>
      <c r="C527" s="438">
        <v>19.056999999999999</v>
      </c>
      <c r="D527" s="438">
        <v>15.317</v>
      </c>
      <c r="E527" s="438">
        <v>13.593999999999999</v>
      </c>
      <c r="F527" s="438">
        <v>26.978000000000002</v>
      </c>
      <c r="G527" s="438">
        <v>19.056999999999999</v>
      </c>
      <c r="H527" s="438">
        <v>29.088999999999999</v>
      </c>
      <c r="I527" s="438">
        <v>19.004000000000001</v>
      </c>
      <c r="J527" s="11"/>
      <c r="Q527" s="348">
        <f t="shared" si="72"/>
        <v>26.918695087266638</v>
      </c>
      <c r="R527" s="348">
        <f t="shared" si="73"/>
        <v>19.025924003585619</v>
      </c>
      <c r="S527" s="348">
        <f t="shared" si="74"/>
        <v>15.156910761804214</v>
      </c>
      <c r="T527" s="348">
        <f t="shared" si="75"/>
        <v>13.613016714371341</v>
      </c>
      <c r="U527" s="348">
        <f t="shared" si="76"/>
        <v>26.918695087266638</v>
      </c>
      <c r="V527" s="348">
        <f t="shared" si="77"/>
        <v>19.010785706228347</v>
      </c>
      <c r="W527" s="348">
        <f t="shared" si="78"/>
        <v>28.886253362184423</v>
      </c>
      <c r="X527" s="348">
        <f t="shared" si="79"/>
        <v>18.900709362432917</v>
      </c>
    </row>
    <row r="528" spans="1:24" x14ac:dyDescent="0.2">
      <c r="A528" s="407">
        <v>520</v>
      </c>
      <c r="B528" s="438">
        <v>26.984000000000002</v>
      </c>
      <c r="C528" s="438">
        <v>19.055</v>
      </c>
      <c r="D528" s="438">
        <v>15.317</v>
      </c>
      <c r="E528" s="438">
        <v>13.595000000000001</v>
      </c>
      <c r="F528" s="438">
        <v>26.984000000000002</v>
      </c>
      <c r="G528" s="438">
        <v>19.055</v>
      </c>
      <c r="H528" s="438">
        <v>29.09</v>
      </c>
      <c r="I528" s="438">
        <v>19.007999999999999</v>
      </c>
      <c r="J528" s="11"/>
      <c r="Q528" s="348">
        <f t="shared" si="72"/>
        <v>26.924664682103309</v>
      </c>
      <c r="R528" s="348">
        <f t="shared" si="73"/>
        <v>19.023911804488925</v>
      </c>
      <c r="S528" s="348">
        <f t="shared" si="74"/>
        <v>15.156910761804214</v>
      </c>
      <c r="T528" s="348">
        <f t="shared" si="75"/>
        <v>13.614017484712679</v>
      </c>
      <c r="U528" s="348">
        <f t="shared" si="76"/>
        <v>26.924664682103309</v>
      </c>
      <c r="V528" s="348">
        <f t="shared" si="77"/>
        <v>19.008783175104398</v>
      </c>
      <c r="W528" s="348">
        <f t="shared" si="78"/>
        <v>28.887250042329956</v>
      </c>
      <c r="X528" s="348">
        <f t="shared" si="79"/>
        <v>18.904687692955683</v>
      </c>
    </row>
    <row r="529" spans="1:24" x14ac:dyDescent="0.2">
      <c r="A529" s="407">
        <v>521</v>
      </c>
      <c r="B529" s="438">
        <v>26.977</v>
      </c>
      <c r="C529" s="438">
        <v>19.052</v>
      </c>
      <c r="D529" s="438">
        <v>15.318</v>
      </c>
      <c r="E529" s="438">
        <v>13.592000000000001</v>
      </c>
      <c r="F529" s="438">
        <v>26.977</v>
      </c>
      <c r="G529" s="438">
        <v>19.052</v>
      </c>
      <c r="H529" s="438">
        <v>29.085999999999999</v>
      </c>
      <c r="I529" s="438">
        <v>19.006</v>
      </c>
      <c r="J529" s="11"/>
      <c r="Q529" s="348">
        <f t="shared" si="72"/>
        <v>26.917700153980512</v>
      </c>
      <c r="R529" s="348">
        <f t="shared" si="73"/>
        <v>19.0208935004874</v>
      </c>
      <c r="S529" s="348">
        <f t="shared" si="74"/>
        <v>15.157910265428947</v>
      </c>
      <c r="T529" s="348">
        <f t="shared" si="75"/>
        <v>13.611015173445276</v>
      </c>
      <c r="U529" s="348">
        <f t="shared" si="76"/>
        <v>26.917700153980512</v>
      </c>
      <c r="V529" s="348">
        <f t="shared" si="77"/>
        <v>19.005779378792308</v>
      </c>
      <c r="W529" s="348">
        <f t="shared" si="78"/>
        <v>28.883263337290089</v>
      </c>
      <c r="X529" s="348">
        <f t="shared" si="79"/>
        <v>18.902698527099236</v>
      </c>
    </row>
    <row r="530" spans="1:24" x14ac:dyDescent="0.2">
      <c r="A530" s="407">
        <v>522</v>
      </c>
      <c r="B530" s="438">
        <v>26.975999999999999</v>
      </c>
      <c r="C530" s="438">
        <v>19.059999999999999</v>
      </c>
      <c r="D530" s="438">
        <v>15.319000000000001</v>
      </c>
      <c r="E530" s="438">
        <v>13.599</v>
      </c>
      <c r="F530" s="438">
        <v>26.975999999999999</v>
      </c>
      <c r="G530" s="438">
        <v>19.059999999999999</v>
      </c>
      <c r="H530" s="438">
        <v>29.084</v>
      </c>
      <c r="I530" s="438">
        <v>19.007000000000001</v>
      </c>
      <c r="J530" s="11"/>
      <c r="Q530" s="348">
        <f t="shared" si="72"/>
        <v>26.916705220461917</v>
      </c>
      <c r="R530" s="348">
        <f t="shared" si="73"/>
        <v>19.028942296872273</v>
      </c>
      <c r="S530" s="348">
        <f t="shared" si="74"/>
        <v>15.158909769957901</v>
      </c>
      <c r="T530" s="348">
        <f t="shared" si="75"/>
        <v>13.61802056526636</v>
      </c>
      <c r="U530" s="348">
        <f t="shared" si="76"/>
        <v>26.916705220461917</v>
      </c>
      <c r="V530" s="348">
        <f t="shared" si="77"/>
        <v>19.01378950328661</v>
      </c>
      <c r="W530" s="348">
        <f t="shared" si="78"/>
        <v>28.881270000312615</v>
      </c>
      <c r="X530" s="348">
        <f t="shared" si="79"/>
        <v>18.903693109878681</v>
      </c>
    </row>
    <row r="531" spans="1:24" x14ac:dyDescent="0.2">
      <c r="A531" s="407">
        <v>523</v>
      </c>
      <c r="B531" s="438">
        <v>26.975999999999999</v>
      </c>
      <c r="C531" s="438">
        <v>19.053999999999998</v>
      </c>
      <c r="D531" s="438">
        <v>15.32</v>
      </c>
      <c r="E531" s="438">
        <v>13.599</v>
      </c>
      <c r="F531" s="438">
        <v>26.975999999999999</v>
      </c>
      <c r="G531" s="438">
        <v>19.053999999999998</v>
      </c>
      <c r="H531" s="438">
        <v>29.084</v>
      </c>
      <c r="I531" s="438">
        <v>19.004000000000001</v>
      </c>
      <c r="J531" s="11"/>
      <c r="Q531" s="348">
        <f t="shared" si="72"/>
        <v>26.916705220461917</v>
      </c>
      <c r="R531" s="348">
        <f t="shared" si="73"/>
        <v>19.022905703869188</v>
      </c>
      <c r="S531" s="348">
        <f t="shared" si="74"/>
        <v>15.159909275390936</v>
      </c>
      <c r="T531" s="348">
        <f t="shared" si="75"/>
        <v>13.61802056526636</v>
      </c>
      <c r="U531" s="348">
        <f t="shared" si="76"/>
        <v>26.916705220461917</v>
      </c>
      <c r="V531" s="348">
        <f t="shared" si="77"/>
        <v>19.007781909617115</v>
      </c>
      <c r="W531" s="348">
        <f t="shared" si="78"/>
        <v>28.881270000312615</v>
      </c>
      <c r="X531" s="348">
        <f t="shared" si="79"/>
        <v>18.900709362432917</v>
      </c>
    </row>
    <row r="532" spans="1:24" x14ac:dyDescent="0.2">
      <c r="A532" s="407">
        <v>524</v>
      </c>
      <c r="B532" s="438">
        <v>26.986000000000001</v>
      </c>
      <c r="C532" s="438">
        <v>19.059000000000001</v>
      </c>
      <c r="D532" s="438">
        <v>15.321</v>
      </c>
      <c r="E532" s="438">
        <v>13.601000000000001</v>
      </c>
      <c r="F532" s="438">
        <v>26.986000000000001</v>
      </c>
      <c r="G532" s="438">
        <v>19.059000000000001</v>
      </c>
      <c r="H532" s="438">
        <v>29.09</v>
      </c>
      <c r="I532" s="438">
        <v>19.009</v>
      </c>
      <c r="J532" s="11"/>
      <c r="Q532" s="348">
        <f t="shared" si="72"/>
        <v>26.92665454519047</v>
      </c>
      <c r="R532" s="348">
        <f t="shared" si="73"/>
        <v>19.02793619982463</v>
      </c>
      <c r="S532" s="348">
        <f t="shared" si="74"/>
        <v>15.160908781727908</v>
      </c>
      <c r="T532" s="348">
        <f t="shared" si="75"/>
        <v>13.620022105055986</v>
      </c>
      <c r="U532" s="348">
        <f t="shared" si="76"/>
        <v>26.92665454519047</v>
      </c>
      <c r="V532" s="348">
        <f t="shared" si="77"/>
        <v>19.012788237550978</v>
      </c>
      <c r="W532" s="348">
        <f t="shared" si="78"/>
        <v>28.887250042329956</v>
      </c>
      <c r="X532" s="348">
        <f t="shared" si="79"/>
        <v>18.905682276330271</v>
      </c>
    </row>
    <row r="533" spans="1:24" x14ac:dyDescent="0.2">
      <c r="A533" s="407">
        <v>525</v>
      </c>
      <c r="B533" s="437">
        <v>26.981999999999999</v>
      </c>
      <c r="C533" s="438">
        <v>19.055</v>
      </c>
      <c r="D533" s="438">
        <v>15.323</v>
      </c>
      <c r="E533" s="438">
        <v>13.598000000000001</v>
      </c>
      <c r="F533" s="438">
        <v>26.981999999999999</v>
      </c>
      <c r="G533" s="438">
        <v>19.055</v>
      </c>
      <c r="H533" s="438">
        <v>29.088999999999999</v>
      </c>
      <c r="I533" s="437">
        <v>19.009</v>
      </c>
      <c r="J533" s="11"/>
      <c r="Q533" s="348">
        <f t="shared" si="72"/>
        <v>26.922674818087103</v>
      </c>
      <c r="R533" s="348">
        <f t="shared" si="73"/>
        <v>19.023911804488925</v>
      </c>
      <c r="S533" s="348">
        <f t="shared" si="74"/>
        <v>15.162907797113119</v>
      </c>
      <c r="T533" s="348">
        <f t="shared" si="75"/>
        <v>13.617019795249719</v>
      </c>
      <c r="U533" s="348">
        <f t="shared" si="76"/>
        <v>26.922674818087103</v>
      </c>
      <c r="V533" s="348">
        <f t="shared" si="77"/>
        <v>19.008783175104398</v>
      </c>
      <c r="W533" s="348">
        <f t="shared" si="78"/>
        <v>28.886253362184423</v>
      </c>
      <c r="X533" s="348">
        <f t="shared" si="79"/>
        <v>18.905682276330271</v>
      </c>
    </row>
    <row r="534" spans="1:24" x14ac:dyDescent="0.2">
      <c r="A534" s="407">
        <v>526</v>
      </c>
      <c r="B534" s="438">
        <v>26.981000000000002</v>
      </c>
      <c r="C534" s="438">
        <v>19.058</v>
      </c>
      <c r="D534" s="438">
        <v>15.319000000000001</v>
      </c>
      <c r="E534" s="437">
        <v>13.597</v>
      </c>
      <c r="F534" s="437">
        <v>26.981000000000002</v>
      </c>
      <c r="G534" s="437">
        <v>19.058</v>
      </c>
      <c r="H534" s="437">
        <v>29.091000000000001</v>
      </c>
      <c r="I534" s="438">
        <v>19.010999999999999</v>
      </c>
      <c r="J534" s="11"/>
      <c r="Q534" s="348">
        <f t="shared" si="72"/>
        <v>26.921679885730537</v>
      </c>
      <c r="R534" s="348">
        <f t="shared" si="73"/>
        <v>19.02693010206238</v>
      </c>
      <c r="S534" s="348">
        <f t="shared" si="74"/>
        <v>15.158909769957901</v>
      </c>
      <c r="T534" s="348">
        <f t="shared" si="75"/>
        <v>13.616019025151882</v>
      </c>
      <c r="U534" s="348">
        <f t="shared" si="76"/>
        <v>26.921679885730537</v>
      </c>
      <c r="V534" s="348">
        <f t="shared" si="77"/>
        <v>19.011786971864865</v>
      </c>
      <c r="W534" s="348">
        <f t="shared" si="78"/>
        <v>28.888246725065823</v>
      </c>
      <c r="X534" s="348">
        <f t="shared" si="79"/>
        <v>18.907671443972298</v>
      </c>
    </row>
    <row r="535" spans="1:24" x14ac:dyDescent="0.2">
      <c r="A535" s="407">
        <v>527</v>
      </c>
      <c r="B535" s="438">
        <v>26.98</v>
      </c>
      <c r="C535" s="438">
        <v>19.059000000000001</v>
      </c>
      <c r="D535" s="438">
        <v>15.321999999999999</v>
      </c>
      <c r="E535" s="438">
        <v>13.599</v>
      </c>
      <c r="F535" s="438">
        <v>26.98</v>
      </c>
      <c r="G535" s="438">
        <v>19.059000000000001</v>
      </c>
      <c r="H535" s="438">
        <v>29.09</v>
      </c>
      <c r="I535" s="438">
        <v>19.010000000000002</v>
      </c>
      <c r="J535" s="11"/>
      <c r="Q535" s="348">
        <f t="shared" si="72"/>
        <v>26.920684953141624</v>
      </c>
      <c r="R535" s="348">
        <f t="shared" si="73"/>
        <v>19.02793619982463</v>
      </c>
      <c r="S535" s="348">
        <f t="shared" si="74"/>
        <v>15.161908288968682</v>
      </c>
      <c r="T535" s="348">
        <f t="shared" si="75"/>
        <v>13.61802056526636</v>
      </c>
      <c r="U535" s="348">
        <f t="shared" si="76"/>
        <v>26.920684953141624</v>
      </c>
      <c r="V535" s="348">
        <f t="shared" si="77"/>
        <v>19.012788237550978</v>
      </c>
      <c r="W535" s="348">
        <f t="shared" si="78"/>
        <v>28.887250042329956</v>
      </c>
      <c r="X535" s="348">
        <f t="shared" si="79"/>
        <v>18.90667686000247</v>
      </c>
    </row>
    <row r="536" spans="1:24" x14ac:dyDescent="0.2">
      <c r="A536" s="407">
        <v>528</v>
      </c>
      <c r="B536" s="438">
        <v>26.986000000000001</v>
      </c>
      <c r="C536" s="438">
        <v>19.061</v>
      </c>
      <c r="D536" s="438">
        <v>15.324999999999999</v>
      </c>
      <c r="E536" s="438">
        <v>13.6</v>
      </c>
      <c r="F536" s="438">
        <v>26.986000000000001</v>
      </c>
      <c r="G536" s="438">
        <v>19.061</v>
      </c>
      <c r="H536" s="438">
        <v>29.096</v>
      </c>
      <c r="I536" s="438">
        <v>19.009</v>
      </c>
      <c r="J536" s="11"/>
      <c r="Q536" s="348">
        <f t="shared" si="72"/>
        <v>26.92665454519047</v>
      </c>
      <c r="R536" s="348">
        <f t="shared" si="73"/>
        <v>19.029948393205213</v>
      </c>
      <c r="S536" s="348">
        <f t="shared" si="74"/>
        <v>15.164906816112412</v>
      </c>
      <c r="T536" s="348">
        <f t="shared" si="75"/>
        <v>13.619021335201786</v>
      </c>
      <c r="U536" s="348">
        <f t="shared" si="76"/>
        <v>26.92665454519047</v>
      </c>
      <c r="V536" s="348">
        <f t="shared" si="77"/>
        <v>19.014790769071691</v>
      </c>
      <c r="W536" s="348">
        <f t="shared" si="78"/>
        <v>28.893230177599506</v>
      </c>
      <c r="X536" s="348">
        <f t="shared" si="79"/>
        <v>18.905682276330271</v>
      </c>
    </row>
    <row r="537" spans="1:24" x14ac:dyDescent="0.2">
      <c r="A537" s="407">
        <v>529</v>
      </c>
      <c r="B537" s="438">
        <v>26.99</v>
      </c>
      <c r="C537" s="438">
        <v>19.062000000000001</v>
      </c>
      <c r="D537" s="438">
        <v>15.327</v>
      </c>
      <c r="E537" s="438">
        <v>13.603999999999999</v>
      </c>
      <c r="F537" s="438">
        <v>26.99</v>
      </c>
      <c r="G537" s="438">
        <v>19.062000000000001</v>
      </c>
      <c r="H537" s="438">
        <v>29.094000000000001</v>
      </c>
      <c r="I537" s="438">
        <v>19.012</v>
      </c>
      <c r="J537" s="11"/>
      <c r="Q537" s="348">
        <f t="shared" si="72"/>
        <v>26.930634268578576</v>
      </c>
      <c r="R537" s="348">
        <f t="shared" si="73"/>
        <v>19.030954488823355</v>
      </c>
      <c r="S537" s="348">
        <f t="shared" si="74"/>
        <v>15.166905838724666</v>
      </c>
      <c r="T537" s="348">
        <f t="shared" si="75"/>
        <v>13.623024414131061</v>
      </c>
      <c r="U537" s="348">
        <f t="shared" si="76"/>
        <v>26.930634268578576</v>
      </c>
      <c r="V537" s="348">
        <f t="shared" si="77"/>
        <v>19.015792034906141</v>
      </c>
      <c r="W537" s="348">
        <f t="shared" si="78"/>
        <v>28.891236788815245</v>
      </c>
      <c r="X537" s="348">
        <f t="shared" si="79"/>
        <v>18.908666028239786</v>
      </c>
    </row>
    <row r="538" spans="1:24" x14ac:dyDescent="0.2">
      <c r="A538" s="407">
        <v>530</v>
      </c>
      <c r="B538" s="438">
        <v>26.992999999999999</v>
      </c>
      <c r="C538" s="438">
        <v>19.059999999999999</v>
      </c>
      <c r="D538" s="438">
        <v>15.326000000000001</v>
      </c>
      <c r="E538" s="438">
        <v>13.605</v>
      </c>
      <c r="F538" s="438">
        <v>26.992999999999999</v>
      </c>
      <c r="G538" s="438">
        <v>19.059999999999999</v>
      </c>
      <c r="H538" s="438">
        <v>29.097000000000001</v>
      </c>
      <c r="I538" s="438">
        <v>19.013999999999999</v>
      </c>
      <c r="J538" s="11"/>
      <c r="Q538" s="348">
        <f t="shared" si="72"/>
        <v>26.933619058682634</v>
      </c>
      <c r="R538" s="348">
        <f t="shared" si="73"/>
        <v>19.028942296872273</v>
      </c>
      <c r="S538" s="348">
        <f t="shared" si="74"/>
        <v>15.165906326966988</v>
      </c>
      <c r="T538" s="348">
        <f t="shared" si="75"/>
        <v>13.624025183660196</v>
      </c>
      <c r="U538" s="348">
        <f t="shared" si="76"/>
        <v>26.933619058682634</v>
      </c>
      <c r="V538" s="348">
        <f t="shared" si="77"/>
        <v>19.01378950328661</v>
      </c>
      <c r="W538" s="348">
        <f t="shared" si="78"/>
        <v>28.894226875876964</v>
      </c>
      <c r="X538" s="348">
        <f t="shared" si="79"/>
        <v>18.910655197667833</v>
      </c>
    </row>
    <row r="539" spans="1:24" x14ac:dyDescent="0.2">
      <c r="A539" s="407">
        <v>531</v>
      </c>
      <c r="B539" s="438">
        <v>26.983000000000001</v>
      </c>
      <c r="C539" s="438">
        <v>19.065999999999999</v>
      </c>
      <c r="D539" s="438">
        <v>15.326000000000001</v>
      </c>
      <c r="E539" s="438">
        <v>13.609</v>
      </c>
      <c r="F539" s="438">
        <v>26.983000000000001</v>
      </c>
      <c r="G539" s="438">
        <v>19.065999999999999</v>
      </c>
      <c r="H539" s="438">
        <v>29.097000000000001</v>
      </c>
      <c r="I539" s="438">
        <v>19.013999999999999</v>
      </c>
      <c r="J539" s="11"/>
      <c r="Q539" s="348">
        <f t="shared" si="72"/>
        <v>26.923669750211349</v>
      </c>
      <c r="R539" s="348">
        <f t="shared" si="73"/>
        <v>19.034978864146051</v>
      </c>
      <c r="S539" s="348">
        <f t="shared" si="74"/>
        <v>15.165906326966988</v>
      </c>
      <c r="T539" s="348">
        <f t="shared" si="75"/>
        <v>13.628028260963536</v>
      </c>
      <c r="U539" s="348">
        <f t="shared" si="76"/>
        <v>26.923669750211349</v>
      </c>
      <c r="V539" s="348">
        <f t="shared" si="77"/>
        <v>19.019797098736159</v>
      </c>
      <c r="W539" s="348">
        <f t="shared" si="78"/>
        <v>28.894226875876964</v>
      </c>
      <c r="X539" s="348">
        <f t="shared" si="79"/>
        <v>18.910655197667833</v>
      </c>
    </row>
    <row r="540" spans="1:24" x14ac:dyDescent="0.2">
      <c r="A540" s="407">
        <v>532</v>
      </c>
      <c r="B540" s="438">
        <v>26.984999999999999</v>
      </c>
      <c r="C540" s="438">
        <v>19.062999999999999</v>
      </c>
      <c r="D540" s="438">
        <v>15.327</v>
      </c>
      <c r="E540" s="438">
        <v>13.609</v>
      </c>
      <c r="F540" s="438">
        <v>26.984999999999999</v>
      </c>
      <c r="G540" s="438">
        <v>19.062999999999999</v>
      </c>
      <c r="H540" s="438">
        <v>29.102</v>
      </c>
      <c r="I540" s="438">
        <v>19.012</v>
      </c>
      <c r="J540" s="11"/>
      <c r="Q540" s="348">
        <f t="shared" si="72"/>
        <v>26.925659613763003</v>
      </c>
      <c r="R540" s="348">
        <f t="shared" si="73"/>
        <v>19.031960583726601</v>
      </c>
      <c r="S540" s="348">
        <f t="shared" si="74"/>
        <v>15.166905838724666</v>
      </c>
      <c r="T540" s="348">
        <f t="shared" si="75"/>
        <v>13.628028260963536</v>
      </c>
      <c r="U540" s="348">
        <f t="shared" si="76"/>
        <v>26.925659613763003</v>
      </c>
      <c r="V540" s="348">
        <f t="shared" si="77"/>
        <v>19.016793300789889</v>
      </c>
      <c r="W540" s="348">
        <f t="shared" si="78"/>
        <v>28.899210406116683</v>
      </c>
      <c r="X540" s="348">
        <f t="shared" si="79"/>
        <v>18.908666028239786</v>
      </c>
    </row>
    <row r="541" spans="1:24" x14ac:dyDescent="0.2">
      <c r="A541" s="407">
        <v>533</v>
      </c>
      <c r="B541" s="438">
        <v>26.989000000000001</v>
      </c>
      <c r="C541" s="438">
        <v>19.065000000000001</v>
      </c>
      <c r="D541" s="438">
        <v>15.329000000000001</v>
      </c>
      <c r="E541" s="438">
        <v>13.609</v>
      </c>
      <c r="F541" s="438">
        <v>26.989000000000001</v>
      </c>
      <c r="G541" s="438">
        <v>19.065000000000001</v>
      </c>
      <c r="H541" s="438">
        <v>29.102</v>
      </c>
      <c r="I541" s="438">
        <v>19.015000000000001</v>
      </c>
      <c r="J541" s="11"/>
      <c r="Q541" s="348">
        <f t="shared" si="72"/>
        <v>26.929639338079756</v>
      </c>
      <c r="R541" s="348">
        <f t="shared" si="73"/>
        <v>19.033972771388051</v>
      </c>
      <c r="S541" s="348">
        <f t="shared" si="74"/>
        <v>15.168904864948766</v>
      </c>
      <c r="T541" s="348">
        <f t="shared" si="75"/>
        <v>13.628028260963536</v>
      </c>
      <c r="U541" s="348">
        <f t="shared" si="76"/>
        <v>26.929639338079756</v>
      </c>
      <c r="V541" s="348">
        <f t="shared" si="77"/>
        <v>19.018795832704974</v>
      </c>
      <c r="W541" s="348">
        <f t="shared" si="78"/>
        <v>28.899210406116683</v>
      </c>
      <c r="X541" s="348">
        <f t="shared" si="79"/>
        <v>18.911649782828444</v>
      </c>
    </row>
    <row r="542" spans="1:24" x14ac:dyDescent="0.2">
      <c r="A542" s="407">
        <v>534</v>
      </c>
      <c r="B542" s="438">
        <v>26.989000000000001</v>
      </c>
      <c r="C542" s="438">
        <v>19.065999999999999</v>
      </c>
      <c r="D542" s="438">
        <v>15.329000000000001</v>
      </c>
      <c r="E542" s="438">
        <v>13.606999999999999</v>
      </c>
      <c r="F542" s="438">
        <v>26.989000000000001</v>
      </c>
      <c r="G542" s="438">
        <v>19.065999999999999</v>
      </c>
      <c r="H542" s="438">
        <v>29.106000000000002</v>
      </c>
      <c r="I542" s="438">
        <v>19.015000000000001</v>
      </c>
      <c r="J542" s="11"/>
      <c r="Q542" s="348">
        <f t="shared" si="72"/>
        <v>26.929639338079756</v>
      </c>
      <c r="R542" s="348">
        <f t="shared" si="73"/>
        <v>19.034978864146051</v>
      </c>
      <c r="S542" s="348">
        <f t="shared" si="74"/>
        <v>15.168904864948766</v>
      </c>
      <c r="T542" s="348">
        <f t="shared" si="75"/>
        <v>13.626026722474537</v>
      </c>
      <c r="U542" s="348">
        <f t="shared" si="76"/>
        <v>26.929639338079756</v>
      </c>
      <c r="V542" s="348">
        <f t="shared" si="77"/>
        <v>19.019797098736159</v>
      </c>
      <c r="W542" s="348">
        <f t="shared" si="78"/>
        <v>28.903197276930097</v>
      </c>
      <c r="X542" s="348">
        <f t="shared" si="79"/>
        <v>18.911649782828444</v>
      </c>
    </row>
    <row r="543" spans="1:24" x14ac:dyDescent="0.2">
      <c r="A543" s="407">
        <v>535</v>
      </c>
      <c r="B543" s="438">
        <v>26.994</v>
      </c>
      <c r="C543" s="438">
        <v>19.065999999999999</v>
      </c>
      <c r="D543" s="438">
        <v>15.33</v>
      </c>
      <c r="E543" s="438">
        <v>13.606</v>
      </c>
      <c r="F543" s="438">
        <v>26.994</v>
      </c>
      <c r="G543" s="438">
        <v>19.065999999999999</v>
      </c>
      <c r="H543" s="438">
        <v>29.106000000000002</v>
      </c>
      <c r="I543" s="438">
        <v>19.013999999999999</v>
      </c>
      <c r="J543" s="11"/>
      <c r="Q543" s="348">
        <f t="shared" si="72"/>
        <v>26.934613988253275</v>
      </c>
      <c r="R543" s="348">
        <f t="shared" si="73"/>
        <v>19.034978864146051</v>
      </c>
      <c r="S543" s="348">
        <f t="shared" si="74"/>
        <v>15.169904379414909</v>
      </c>
      <c r="T543" s="348">
        <f t="shared" si="75"/>
        <v>13.625025953108027</v>
      </c>
      <c r="U543" s="348">
        <f t="shared" si="76"/>
        <v>26.934613988253275</v>
      </c>
      <c r="V543" s="348">
        <f t="shared" si="77"/>
        <v>19.019797098736159</v>
      </c>
      <c r="W543" s="348">
        <f t="shared" si="78"/>
        <v>28.903197276930097</v>
      </c>
      <c r="X543" s="348">
        <f t="shared" si="79"/>
        <v>18.910655197667833</v>
      </c>
    </row>
    <row r="544" spans="1:24" x14ac:dyDescent="0.2">
      <c r="A544" s="407">
        <v>536</v>
      </c>
      <c r="B544" s="438">
        <v>26.992999999999999</v>
      </c>
      <c r="C544" s="437">
        <v>19.065000000000001</v>
      </c>
      <c r="D544" s="438">
        <v>15.33</v>
      </c>
      <c r="E544" s="438">
        <v>13.603999999999999</v>
      </c>
      <c r="F544" s="438">
        <v>26.992999999999999</v>
      </c>
      <c r="G544" s="438">
        <v>19.065000000000001</v>
      </c>
      <c r="H544" s="438">
        <v>29.109000000000002</v>
      </c>
      <c r="I544" s="438">
        <v>19.013999999999999</v>
      </c>
      <c r="J544" s="11"/>
      <c r="Q544" s="348">
        <f t="shared" si="72"/>
        <v>26.933619058682634</v>
      </c>
      <c r="R544" s="348">
        <f t="shared" si="73"/>
        <v>19.033972771388051</v>
      </c>
      <c r="S544" s="348">
        <f t="shared" si="74"/>
        <v>15.169904379414909</v>
      </c>
      <c r="T544" s="348">
        <f t="shared" si="75"/>
        <v>13.623024414131061</v>
      </c>
      <c r="U544" s="348">
        <f t="shared" si="76"/>
        <v>26.933619058682634</v>
      </c>
      <c r="V544" s="348">
        <f t="shared" si="77"/>
        <v>19.018795832704974</v>
      </c>
      <c r="W544" s="348">
        <f t="shared" si="78"/>
        <v>28.906187457235202</v>
      </c>
      <c r="X544" s="348">
        <f t="shared" si="79"/>
        <v>18.910655197667833</v>
      </c>
    </row>
    <row r="545" spans="1:24" x14ac:dyDescent="0.2">
      <c r="A545" s="407">
        <v>537</v>
      </c>
      <c r="B545" s="438">
        <v>26.998999999999999</v>
      </c>
      <c r="C545" s="438">
        <v>19.062999999999999</v>
      </c>
      <c r="D545" s="438">
        <v>15.333</v>
      </c>
      <c r="E545" s="438">
        <v>13.605</v>
      </c>
      <c r="F545" s="438">
        <v>26.998999999999999</v>
      </c>
      <c r="G545" s="438">
        <v>19.062999999999999</v>
      </c>
      <c r="H545" s="438">
        <v>29.108000000000001</v>
      </c>
      <c r="I545" s="438">
        <v>19.015999999999998</v>
      </c>
      <c r="J545" s="11"/>
      <c r="Q545" s="348">
        <f t="shared" si="72"/>
        <v>26.939588632627466</v>
      </c>
      <c r="R545" s="348">
        <f t="shared" si="73"/>
        <v>19.031960583726601</v>
      </c>
      <c r="S545" s="348">
        <f t="shared" si="74"/>
        <v>15.172902928228025</v>
      </c>
      <c r="T545" s="348">
        <f t="shared" si="75"/>
        <v>13.624025183660196</v>
      </c>
      <c r="U545" s="348">
        <f t="shared" si="76"/>
        <v>26.939588632627466</v>
      </c>
      <c r="V545" s="348">
        <f t="shared" si="77"/>
        <v>19.016793300789889</v>
      </c>
      <c r="W545" s="348">
        <f t="shared" si="78"/>
        <v>28.905190727876867</v>
      </c>
      <c r="X545" s="348">
        <f t="shared" si="79"/>
        <v>18.912644368286809</v>
      </c>
    </row>
    <row r="546" spans="1:24" x14ac:dyDescent="0.2">
      <c r="A546" s="407">
        <v>538</v>
      </c>
      <c r="B546" s="438">
        <v>26.988</v>
      </c>
      <c r="C546" s="438">
        <v>19.062000000000001</v>
      </c>
      <c r="D546" s="438">
        <v>15.332000000000001</v>
      </c>
      <c r="E546" s="438">
        <v>13.608000000000001</v>
      </c>
      <c r="F546" s="438">
        <v>26.988</v>
      </c>
      <c r="G546" s="438">
        <v>19.062000000000001</v>
      </c>
      <c r="H546" s="438">
        <v>29.108000000000001</v>
      </c>
      <c r="I546" s="438">
        <v>19.016999999999999</v>
      </c>
      <c r="J546" s="11"/>
      <c r="Q546" s="348">
        <f t="shared" si="72"/>
        <v>26.928644407348816</v>
      </c>
      <c r="R546" s="348">
        <f t="shared" si="73"/>
        <v>19.030954488823355</v>
      </c>
      <c r="S546" s="348">
        <f t="shared" si="74"/>
        <v>15.171903411054679</v>
      </c>
      <c r="T546" s="348">
        <f t="shared" si="75"/>
        <v>13.627027491759712</v>
      </c>
      <c r="U546" s="348">
        <f t="shared" si="76"/>
        <v>26.928644407348816</v>
      </c>
      <c r="V546" s="348">
        <f t="shared" si="77"/>
        <v>19.015792034906141</v>
      </c>
      <c r="W546" s="348">
        <f t="shared" si="78"/>
        <v>28.905190727876867</v>
      </c>
      <c r="X546" s="348">
        <f t="shared" si="79"/>
        <v>18.913638954042955</v>
      </c>
    </row>
    <row r="547" spans="1:24" x14ac:dyDescent="0.2">
      <c r="A547" s="407">
        <v>539</v>
      </c>
      <c r="B547" s="438">
        <v>26.998999999999999</v>
      </c>
      <c r="C547" s="438">
        <v>19.059000000000001</v>
      </c>
      <c r="D547" s="438">
        <v>15.335000000000001</v>
      </c>
      <c r="E547" s="438">
        <v>13.611000000000001</v>
      </c>
      <c r="F547" s="438">
        <v>26.998999999999999</v>
      </c>
      <c r="G547" s="438">
        <v>19.059000000000001</v>
      </c>
      <c r="H547" s="438">
        <v>29.103999999999999</v>
      </c>
      <c r="I547" s="438">
        <v>19.013999999999999</v>
      </c>
      <c r="J547" s="11"/>
      <c r="Q547" s="348">
        <f t="shared" si="72"/>
        <v>26.939588632627466</v>
      </c>
      <c r="R547" s="348">
        <f t="shared" si="73"/>
        <v>19.02793619982463</v>
      </c>
      <c r="S547" s="348">
        <f t="shared" si="74"/>
        <v>15.174901965280945</v>
      </c>
      <c r="T547" s="348">
        <f t="shared" si="75"/>
        <v>13.630029799127072</v>
      </c>
      <c r="U547" s="348">
        <f t="shared" si="76"/>
        <v>26.939588632627466</v>
      </c>
      <c r="V547" s="348">
        <f t="shared" si="77"/>
        <v>19.012788237550978</v>
      </c>
      <c r="W547" s="348">
        <f t="shared" si="78"/>
        <v>28.90120383634331</v>
      </c>
      <c r="X547" s="348">
        <f t="shared" si="79"/>
        <v>18.910655197667833</v>
      </c>
    </row>
    <row r="548" spans="1:24" x14ac:dyDescent="0.2">
      <c r="A548" s="407">
        <v>540</v>
      </c>
      <c r="B548" s="438">
        <v>26.994</v>
      </c>
      <c r="C548" s="438">
        <v>19.058</v>
      </c>
      <c r="D548" s="438">
        <v>15.336</v>
      </c>
      <c r="E548" s="438">
        <v>13.603</v>
      </c>
      <c r="F548" s="438">
        <v>26.994</v>
      </c>
      <c r="G548" s="438">
        <v>19.058</v>
      </c>
      <c r="H548" s="438">
        <v>29.105</v>
      </c>
      <c r="I548" s="438">
        <v>19.013999999999999</v>
      </c>
      <c r="J548" s="11"/>
      <c r="Q548" s="348">
        <f t="shared" si="72"/>
        <v>26.934613988253275</v>
      </c>
      <c r="R548" s="348">
        <f t="shared" si="73"/>
        <v>19.02693010206238</v>
      </c>
      <c r="S548" s="348">
        <f t="shared" si="74"/>
        <v>15.175901485160237</v>
      </c>
      <c r="T548" s="348">
        <f t="shared" si="75"/>
        <v>13.622023644520638</v>
      </c>
      <c r="U548" s="348">
        <f t="shared" si="76"/>
        <v>26.934613988253275</v>
      </c>
      <c r="V548" s="348">
        <f t="shared" si="77"/>
        <v>19.011786971864865</v>
      </c>
      <c r="W548" s="348">
        <f t="shared" si="78"/>
        <v>28.90220055534169</v>
      </c>
      <c r="X548" s="348">
        <f t="shared" si="79"/>
        <v>18.910655197667833</v>
      </c>
    </row>
    <row r="549" spans="1:24" x14ac:dyDescent="0.2">
      <c r="A549" s="407">
        <v>541</v>
      </c>
      <c r="B549" s="438">
        <v>26.995999999999999</v>
      </c>
      <c r="C549" s="438">
        <v>19.053000000000001</v>
      </c>
      <c r="D549" s="437">
        <v>15.336</v>
      </c>
      <c r="E549" s="438">
        <v>13.603999999999999</v>
      </c>
      <c r="F549" s="438">
        <v>26.995999999999999</v>
      </c>
      <c r="G549" s="438">
        <v>19.053000000000001</v>
      </c>
      <c r="H549" s="438">
        <v>29.106000000000002</v>
      </c>
      <c r="I549" s="438">
        <v>19.016999999999999</v>
      </c>
      <c r="J549" s="11"/>
      <c r="Q549" s="348">
        <f t="shared" si="72"/>
        <v>26.93660384669867</v>
      </c>
      <c r="R549" s="348">
        <f t="shared" si="73"/>
        <v>19.021899602535314</v>
      </c>
      <c r="S549" s="348">
        <f t="shared" si="74"/>
        <v>15.175901485160237</v>
      </c>
      <c r="T549" s="348">
        <f t="shared" si="75"/>
        <v>13.623024414131061</v>
      </c>
      <c r="U549" s="348">
        <f t="shared" si="76"/>
        <v>26.93660384669867</v>
      </c>
      <c r="V549" s="348">
        <f t="shared" si="77"/>
        <v>19.006780644179731</v>
      </c>
      <c r="W549" s="348">
        <f t="shared" si="78"/>
        <v>28.903197276930097</v>
      </c>
      <c r="X549" s="348">
        <f t="shared" si="79"/>
        <v>18.913638954042955</v>
      </c>
    </row>
    <row r="550" spans="1:24" x14ac:dyDescent="0.2">
      <c r="A550" s="407">
        <v>542</v>
      </c>
      <c r="B550" s="438">
        <v>26.994</v>
      </c>
      <c r="C550" s="438">
        <v>19.050999999999998</v>
      </c>
      <c r="D550" s="438">
        <v>15.334</v>
      </c>
      <c r="E550" s="438">
        <v>13.601000000000001</v>
      </c>
      <c r="F550" s="438">
        <v>26.994</v>
      </c>
      <c r="G550" s="438">
        <v>19.050999999999998</v>
      </c>
      <c r="H550" s="438">
        <v>29.100999999999999</v>
      </c>
      <c r="I550" s="438">
        <v>19.012</v>
      </c>
      <c r="J550" s="11"/>
      <c r="Q550" s="348">
        <f t="shared" si="72"/>
        <v>26.934613988253275</v>
      </c>
      <c r="R550" s="348">
        <f t="shared" si="73"/>
        <v>19.01988739772554</v>
      </c>
      <c r="S550" s="348">
        <f t="shared" si="74"/>
        <v>15.173902446303492</v>
      </c>
      <c r="T550" s="348">
        <f t="shared" si="75"/>
        <v>13.620022105055986</v>
      </c>
      <c r="U550" s="348">
        <f t="shared" si="76"/>
        <v>26.934613988253275</v>
      </c>
      <c r="V550" s="348">
        <f t="shared" si="77"/>
        <v>19.004778113454936</v>
      </c>
      <c r="W550" s="348">
        <f t="shared" si="78"/>
        <v>28.898213694888486</v>
      </c>
      <c r="X550" s="348">
        <f t="shared" si="79"/>
        <v>18.908666028239786</v>
      </c>
    </row>
    <row r="551" spans="1:24" x14ac:dyDescent="0.2">
      <c r="A551" s="407">
        <v>543</v>
      </c>
      <c r="B551" s="438">
        <v>27</v>
      </c>
      <c r="C551" s="438">
        <v>19.047999999999998</v>
      </c>
      <c r="D551" s="438">
        <v>15.335000000000001</v>
      </c>
      <c r="E551" s="438">
        <v>13.603</v>
      </c>
      <c r="F551" s="438">
        <v>27</v>
      </c>
      <c r="G551" s="438">
        <v>19.047999999999998</v>
      </c>
      <c r="H551" s="438">
        <v>29.103000000000002</v>
      </c>
      <c r="I551" s="438">
        <v>19.015999999999998</v>
      </c>
      <c r="J551" s="11"/>
      <c r="Q551" s="348">
        <f t="shared" si="72"/>
        <v>26.940583560806701</v>
      </c>
      <c r="R551" s="348">
        <f t="shared" si="73"/>
        <v>19.016869085157229</v>
      </c>
      <c r="S551" s="348">
        <f t="shared" si="74"/>
        <v>15.174901965280945</v>
      </c>
      <c r="T551" s="348">
        <f t="shared" si="75"/>
        <v>13.622023644520638</v>
      </c>
      <c r="U551" s="348">
        <f t="shared" si="76"/>
        <v>26.940583560806701</v>
      </c>
      <c r="V551" s="348">
        <f t="shared" si="77"/>
        <v>19.001774317743827</v>
      </c>
      <c r="W551" s="348">
        <f t="shared" si="78"/>
        <v>28.900207119934969</v>
      </c>
      <c r="X551" s="348">
        <f t="shared" si="79"/>
        <v>18.912644368286809</v>
      </c>
    </row>
    <row r="552" spans="1:24" x14ac:dyDescent="0.2">
      <c r="A552" s="407">
        <v>544</v>
      </c>
      <c r="B552" s="437">
        <v>26.998000000000001</v>
      </c>
      <c r="C552" s="438">
        <v>19.045000000000002</v>
      </c>
      <c r="D552" s="438">
        <v>15.335000000000001</v>
      </c>
      <c r="E552" s="438">
        <v>13.598000000000001</v>
      </c>
      <c r="F552" s="438">
        <v>26.998000000000001</v>
      </c>
      <c r="G552" s="438">
        <v>19.045000000000002</v>
      </c>
      <c r="H552" s="438">
        <v>29.103999999999999</v>
      </c>
      <c r="I552" s="438">
        <v>19.018000000000001</v>
      </c>
      <c r="J552" s="11"/>
      <c r="Q552" s="348">
        <f t="shared" si="72"/>
        <v>26.938593704216402</v>
      </c>
      <c r="R552" s="348">
        <f t="shared" si="73"/>
        <v>19.013850766166815</v>
      </c>
      <c r="S552" s="348">
        <f t="shared" si="74"/>
        <v>15.174901965280945</v>
      </c>
      <c r="T552" s="348">
        <f t="shared" si="75"/>
        <v>13.617019795249719</v>
      </c>
      <c r="U552" s="348">
        <f t="shared" si="76"/>
        <v>26.938593704216402</v>
      </c>
      <c r="V552" s="348">
        <f t="shared" si="77"/>
        <v>18.998770522485813</v>
      </c>
      <c r="W552" s="348">
        <f t="shared" si="78"/>
        <v>28.90120383634331</v>
      </c>
      <c r="X552" s="348">
        <f t="shared" si="79"/>
        <v>18.914633540096915</v>
      </c>
    </row>
    <row r="553" spans="1:24" x14ac:dyDescent="0.2">
      <c r="A553" s="407">
        <v>545</v>
      </c>
      <c r="B553" s="438">
        <v>26.998000000000001</v>
      </c>
      <c r="C553" s="438">
        <v>19.045999999999999</v>
      </c>
      <c r="D553" s="438">
        <v>15.334</v>
      </c>
      <c r="E553" s="438">
        <v>13.593999999999999</v>
      </c>
      <c r="F553" s="438">
        <v>26.998000000000001</v>
      </c>
      <c r="G553" s="438">
        <v>19.045999999999999</v>
      </c>
      <c r="H553" s="438">
        <v>29.099</v>
      </c>
      <c r="I553" s="438">
        <v>19.015999999999998</v>
      </c>
      <c r="J553" s="11"/>
      <c r="Q553" s="348">
        <f t="shared" si="72"/>
        <v>26.938593704216402</v>
      </c>
      <c r="R553" s="348">
        <f t="shared" si="73"/>
        <v>19.014856873210363</v>
      </c>
      <c r="S553" s="348">
        <f t="shared" si="74"/>
        <v>15.173902446303492</v>
      </c>
      <c r="T553" s="348">
        <f t="shared" si="75"/>
        <v>13.613016714371341</v>
      </c>
      <c r="U553" s="348">
        <f t="shared" si="76"/>
        <v>26.938593704216402</v>
      </c>
      <c r="V553" s="348">
        <f t="shared" si="77"/>
        <v>18.999771787521347</v>
      </c>
      <c r="W553" s="348">
        <f t="shared" si="78"/>
        <v>28.896220280202428</v>
      </c>
      <c r="X553" s="348">
        <f t="shared" si="79"/>
        <v>18.912644368286809</v>
      </c>
    </row>
    <row r="554" spans="1:24" x14ac:dyDescent="0.2">
      <c r="A554" s="407">
        <v>546</v>
      </c>
      <c r="B554" s="438">
        <v>26.995000000000001</v>
      </c>
      <c r="C554" s="438">
        <v>19.041</v>
      </c>
      <c r="D554" s="438">
        <v>15.334</v>
      </c>
      <c r="E554" s="438">
        <v>13.590999999999999</v>
      </c>
      <c r="F554" s="438">
        <v>26.995000000000001</v>
      </c>
      <c r="G554" s="438">
        <v>19.041</v>
      </c>
      <c r="H554" s="438">
        <v>29.106999999999999</v>
      </c>
      <c r="I554" s="438">
        <v>19.015000000000001</v>
      </c>
      <c r="J554" s="11"/>
      <c r="Q554" s="348">
        <f t="shared" si="72"/>
        <v>26.935608917591946</v>
      </c>
      <c r="R554" s="348">
        <f t="shared" si="73"/>
        <v>19.009826330860736</v>
      </c>
      <c r="S554" s="348">
        <f t="shared" si="74"/>
        <v>15.173902446303492</v>
      </c>
      <c r="T554" s="348">
        <f t="shared" si="75"/>
        <v>13.610014402860577</v>
      </c>
      <c r="U554" s="348">
        <f t="shared" si="76"/>
        <v>26.935608917591946</v>
      </c>
      <c r="V554" s="348">
        <f t="shared" si="77"/>
        <v>18.994765462850093</v>
      </c>
      <c r="W554" s="348">
        <f t="shared" si="78"/>
        <v>28.904194001108493</v>
      </c>
      <c r="X554" s="348">
        <f t="shared" si="79"/>
        <v>18.911649782828444</v>
      </c>
    </row>
    <row r="555" spans="1:24" x14ac:dyDescent="0.2">
      <c r="A555" s="407">
        <v>547</v>
      </c>
      <c r="B555" s="438">
        <v>26.991</v>
      </c>
      <c r="C555" s="438">
        <v>19.042000000000002</v>
      </c>
      <c r="D555" s="438">
        <v>15.332000000000001</v>
      </c>
      <c r="E555" s="438">
        <v>13.593999999999999</v>
      </c>
      <c r="F555" s="438">
        <v>26.991</v>
      </c>
      <c r="G555" s="438">
        <v>19.042000000000002</v>
      </c>
      <c r="H555" s="438">
        <v>29.105</v>
      </c>
      <c r="I555" s="438">
        <v>19.016999999999999</v>
      </c>
      <c r="J555" s="11"/>
      <c r="Q555" s="348">
        <f t="shared" si="72"/>
        <v>26.931629198845314</v>
      </c>
      <c r="R555" s="348">
        <f t="shared" si="73"/>
        <v>19.01083244075685</v>
      </c>
      <c r="S555" s="348">
        <f t="shared" si="74"/>
        <v>15.171903411054679</v>
      </c>
      <c r="T555" s="348">
        <f t="shared" si="75"/>
        <v>13.613016714371341</v>
      </c>
      <c r="U555" s="348">
        <f t="shared" si="76"/>
        <v>26.931629198845314</v>
      </c>
      <c r="V555" s="348">
        <f t="shared" si="77"/>
        <v>18.995766727682909</v>
      </c>
      <c r="W555" s="348">
        <f t="shared" si="78"/>
        <v>28.90220055534169</v>
      </c>
      <c r="X555" s="348">
        <f t="shared" si="79"/>
        <v>18.913638954042955</v>
      </c>
    </row>
    <row r="556" spans="1:24" x14ac:dyDescent="0.2">
      <c r="A556" s="407">
        <v>548</v>
      </c>
      <c r="B556" s="438">
        <v>26.994</v>
      </c>
      <c r="C556" s="438">
        <v>19.041</v>
      </c>
      <c r="D556" s="438">
        <v>15.331</v>
      </c>
      <c r="E556" s="438">
        <v>13.590999999999999</v>
      </c>
      <c r="F556" s="438">
        <v>26.994</v>
      </c>
      <c r="G556" s="438">
        <v>19.041</v>
      </c>
      <c r="H556" s="438">
        <v>29.106000000000002</v>
      </c>
      <c r="I556" s="438">
        <v>19.016999999999999</v>
      </c>
      <c r="J556" s="11"/>
      <c r="Q556" s="348">
        <f t="shared" si="72"/>
        <v>26.934613988253275</v>
      </c>
      <c r="R556" s="348">
        <f t="shared" si="73"/>
        <v>19.009826330860736</v>
      </c>
      <c r="S556" s="348">
        <f t="shared" si="74"/>
        <v>15.170903894783592</v>
      </c>
      <c r="T556" s="348">
        <f t="shared" si="75"/>
        <v>13.610014402860577</v>
      </c>
      <c r="U556" s="348">
        <f t="shared" si="76"/>
        <v>26.934613988253275</v>
      </c>
      <c r="V556" s="348">
        <f t="shared" si="77"/>
        <v>18.994765462850093</v>
      </c>
      <c r="W556" s="348">
        <f t="shared" si="78"/>
        <v>28.903197276930097</v>
      </c>
      <c r="X556" s="348">
        <f t="shared" si="79"/>
        <v>18.913638954042955</v>
      </c>
    </row>
    <row r="557" spans="1:24" x14ac:dyDescent="0.2">
      <c r="A557" s="407">
        <v>549</v>
      </c>
      <c r="B557" s="438">
        <v>26.99</v>
      </c>
      <c r="C557" s="438">
        <v>19.04</v>
      </c>
      <c r="D557" s="438">
        <v>15.327999999999999</v>
      </c>
      <c r="E557" s="438">
        <v>13.587</v>
      </c>
      <c r="F557" s="438">
        <v>26.99</v>
      </c>
      <c r="G557" s="438">
        <v>19.04</v>
      </c>
      <c r="H557" s="438">
        <v>29.109000000000002</v>
      </c>
      <c r="I557" s="438">
        <v>19.018000000000001</v>
      </c>
      <c r="J557" s="11"/>
      <c r="Q557" s="348">
        <f t="shared" si="72"/>
        <v>26.930634268578576</v>
      </c>
      <c r="R557" s="348">
        <f t="shared" si="73"/>
        <v>19.008820220251717</v>
      </c>
      <c r="S557" s="348">
        <f t="shared" si="74"/>
        <v>15.167905351385304</v>
      </c>
      <c r="T557" s="348">
        <f t="shared" si="75"/>
        <v>13.606011319711039</v>
      </c>
      <c r="U557" s="348">
        <f t="shared" si="76"/>
        <v>26.930634268578576</v>
      </c>
      <c r="V557" s="348">
        <f t="shared" si="77"/>
        <v>18.993764198068142</v>
      </c>
      <c r="W557" s="348">
        <f t="shared" si="78"/>
        <v>28.906187457235202</v>
      </c>
      <c r="X557" s="348">
        <f t="shared" si="79"/>
        <v>18.914633540096915</v>
      </c>
    </row>
    <row r="558" spans="1:24" x14ac:dyDescent="0.2">
      <c r="A558" s="407">
        <v>550</v>
      </c>
      <c r="B558" s="438">
        <v>26.992000000000001</v>
      </c>
      <c r="C558" s="437">
        <v>19.04</v>
      </c>
      <c r="D558" s="438">
        <v>15.327999999999999</v>
      </c>
      <c r="E558" s="438">
        <v>13.587999999999999</v>
      </c>
      <c r="F558" s="438">
        <v>26.992000000000001</v>
      </c>
      <c r="G558" s="438">
        <v>19.04</v>
      </c>
      <c r="H558" s="438">
        <v>29.11</v>
      </c>
      <c r="I558" s="437">
        <v>19.018999999999998</v>
      </c>
      <c r="J558" s="11"/>
      <c r="Q558" s="348">
        <f t="shared" si="72"/>
        <v>26.93262412887999</v>
      </c>
      <c r="R558" s="348">
        <f t="shared" si="73"/>
        <v>19.008820220251717</v>
      </c>
      <c r="S558" s="348">
        <f t="shared" si="74"/>
        <v>15.167905351385304</v>
      </c>
      <c r="T558" s="348">
        <f t="shared" si="75"/>
        <v>13.607012090620003</v>
      </c>
      <c r="U558" s="348">
        <f t="shared" si="76"/>
        <v>26.93262412887999</v>
      </c>
      <c r="V558" s="348">
        <f t="shared" si="77"/>
        <v>18.993764198068142</v>
      </c>
      <c r="W558" s="348">
        <f t="shared" si="78"/>
        <v>28.907184189183461</v>
      </c>
      <c r="X558" s="348">
        <f t="shared" si="79"/>
        <v>18.915628126448702</v>
      </c>
    </row>
    <row r="559" spans="1:24" x14ac:dyDescent="0.2">
      <c r="A559" s="407">
        <v>551</v>
      </c>
      <c r="B559" s="438">
        <v>26.986000000000001</v>
      </c>
      <c r="C559" s="438">
        <v>19.038</v>
      </c>
      <c r="D559" s="438">
        <v>15.327</v>
      </c>
      <c r="E559" s="437">
        <v>13.585000000000001</v>
      </c>
      <c r="F559" s="438">
        <v>26.986000000000001</v>
      </c>
      <c r="G559" s="438">
        <v>19.038</v>
      </c>
      <c r="H559" s="438">
        <v>29.111999999999998</v>
      </c>
      <c r="I559" s="438">
        <v>19.018999999999998</v>
      </c>
      <c r="J559" s="11"/>
      <c r="Q559" s="348">
        <f t="shared" si="72"/>
        <v>26.92665454519047</v>
      </c>
      <c r="R559" s="348">
        <f t="shared" si="73"/>
        <v>19.006807996895354</v>
      </c>
      <c r="S559" s="348">
        <f t="shared" si="74"/>
        <v>15.166905838724666</v>
      </c>
      <c r="T559" s="348">
        <f t="shared" si="75"/>
        <v>13.604009777650038</v>
      </c>
      <c r="U559" s="348">
        <f t="shared" si="76"/>
        <v>26.92665454519047</v>
      </c>
      <c r="V559" s="348">
        <f t="shared" si="77"/>
        <v>18.991761668657151</v>
      </c>
      <c r="W559" s="348">
        <f t="shared" si="78"/>
        <v>28.909177660849686</v>
      </c>
      <c r="X559" s="348">
        <f t="shared" si="79"/>
        <v>18.915628126448702</v>
      </c>
    </row>
    <row r="560" spans="1:24" x14ac:dyDescent="0.2">
      <c r="A560" s="407">
        <v>552</v>
      </c>
      <c r="B560" s="438">
        <v>26.984000000000002</v>
      </c>
      <c r="C560" s="438">
        <v>19.04</v>
      </c>
      <c r="D560" s="438">
        <v>15.323</v>
      </c>
      <c r="E560" s="438">
        <v>13.581</v>
      </c>
      <c r="F560" s="438">
        <v>26.984000000000002</v>
      </c>
      <c r="G560" s="438">
        <v>19.04</v>
      </c>
      <c r="H560" s="438">
        <v>29.11</v>
      </c>
      <c r="I560" s="438">
        <v>19.02</v>
      </c>
      <c r="J560" s="11"/>
      <c r="Q560" s="348">
        <f t="shared" si="72"/>
        <v>26.924664682103309</v>
      </c>
      <c r="R560" s="348">
        <f t="shared" si="73"/>
        <v>19.008820220251717</v>
      </c>
      <c r="S560" s="348">
        <f t="shared" si="74"/>
        <v>15.162907797113119</v>
      </c>
      <c r="T560" s="348">
        <f t="shared" si="75"/>
        <v>13.600006692556182</v>
      </c>
      <c r="U560" s="348">
        <f t="shared" si="76"/>
        <v>26.924664682103309</v>
      </c>
      <c r="V560" s="348">
        <f t="shared" si="77"/>
        <v>18.993764198068142</v>
      </c>
      <c r="W560" s="348">
        <f t="shared" si="78"/>
        <v>28.907184189183461</v>
      </c>
      <c r="X560" s="348">
        <f t="shared" si="79"/>
        <v>18.916622713098349</v>
      </c>
    </row>
    <row r="561" spans="1:24" x14ac:dyDescent="0.2">
      <c r="A561" s="407">
        <v>553</v>
      </c>
      <c r="B561" s="438">
        <v>26.989000000000001</v>
      </c>
      <c r="C561" s="438">
        <v>19.042999999999999</v>
      </c>
      <c r="D561" s="438">
        <v>15.327</v>
      </c>
      <c r="E561" s="438">
        <v>13.584</v>
      </c>
      <c r="F561" s="438">
        <v>26.989000000000001</v>
      </c>
      <c r="G561" s="438">
        <v>19.042999999999999</v>
      </c>
      <c r="H561" s="438">
        <v>29.117999999999999</v>
      </c>
      <c r="I561" s="438">
        <v>19.021000000000001</v>
      </c>
      <c r="J561" s="11"/>
      <c r="Q561" s="348">
        <f t="shared" si="72"/>
        <v>26.929639338079756</v>
      </c>
      <c r="R561" s="348">
        <f t="shared" si="73"/>
        <v>19.011838549939959</v>
      </c>
      <c r="S561" s="348">
        <f t="shared" si="74"/>
        <v>15.166905838724666</v>
      </c>
      <c r="T561" s="348">
        <f t="shared" si="75"/>
        <v>13.603009006498031</v>
      </c>
      <c r="U561" s="348">
        <f t="shared" si="76"/>
        <v>26.929639338079756</v>
      </c>
      <c r="V561" s="348">
        <f t="shared" si="77"/>
        <v>18.996767992566518</v>
      </c>
      <c r="W561" s="348">
        <f t="shared" si="78"/>
        <v>28.915158138004468</v>
      </c>
      <c r="X561" s="348">
        <f t="shared" si="79"/>
        <v>18.91761730004588</v>
      </c>
    </row>
    <row r="562" spans="1:24" x14ac:dyDescent="0.2">
      <c r="A562" s="407">
        <v>554</v>
      </c>
      <c r="B562" s="437">
        <v>26.989000000000001</v>
      </c>
      <c r="C562" s="438">
        <v>19.038</v>
      </c>
      <c r="D562" s="438">
        <v>15.321999999999999</v>
      </c>
      <c r="E562" s="438">
        <v>13.584</v>
      </c>
      <c r="F562" s="438">
        <v>26.989000000000001</v>
      </c>
      <c r="G562" s="438">
        <v>19.038</v>
      </c>
      <c r="H562" s="438">
        <v>29.12</v>
      </c>
      <c r="I562" s="438">
        <v>19.021000000000001</v>
      </c>
      <c r="J562" s="11"/>
      <c r="Q562" s="348">
        <f t="shared" si="72"/>
        <v>26.929639338079756</v>
      </c>
      <c r="R562" s="348">
        <f t="shared" si="73"/>
        <v>19.006807996895354</v>
      </c>
      <c r="S562" s="348">
        <f t="shared" si="74"/>
        <v>15.161908288968682</v>
      </c>
      <c r="T562" s="348">
        <f t="shared" si="75"/>
        <v>13.603009006498031</v>
      </c>
      <c r="U562" s="348">
        <f t="shared" si="76"/>
        <v>26.929639338079756</v>
      </c>
      <c r="V562" s="348">
        <f t="shared" si="77"/>
        <v>18.991761668657151</v>
      </c>
      <c r="W562" s="348">
        <f t="shared" si="78"/>
        <v>28.917151651107506</v>
      </c>
      <c r="X562" s="348">
        <f t="shared" si="79"/>
        <v>18.91761730004588</v>
      </c>
    </row>
    <row r="563" spans="1:24" x14ac:dyDescent="0.2">
      <c r="A563" s="407">
        <v>555</v>
      </c>
      <c r="B563" s="438">
        <v>26.986000000000001</v>
      </c>
      <c r="C563" s="438">
        <v>19.042999999999999</v>
      </c>
      <c r="D563" s="438">
        <v>15.324</v>
      </c>
      <c r="E563" s="438">
        <v>13.59</v>
      </c>
      <c r="F563" s="438">
        <v>26.986000000000001</v>
      </c>
      <c r="G563" s="438">
        <v>19.042999999999999</v>
      </c>
      <c r="H563" s="438">
        <v>29.120999999999999</v>
      </c>
      <c r="I563" s="438">
        <v>19.023</v>
      </c>
      <c r="J563" s="11"/>
      <c r="Q563" s="348">
        <f t="shared" si="72"/>
        <v>26.92665454519047</v>
      </c>
      <c r="R563" s="348">
        <f t="shared" si="73"/>
        <v>19.011838549939959</v>
      </c>
      <c r="S563" s="348">
        <f t="shared" si="74"/>
        <v>15.163907306161075</v>
      </c>
      <c r="T563" s="348">
        <f t="shared" si="75"/>
        <v>13.60901363219479</v>
      </c>
      <c r="U563" s="348">
        <f t="shared" si="76"/>
        <v>26.92665454519047</v>
      </c>
      <c r="V563" s="348">
        <f t="shared" si="77"/>
        <v>18.996767992566518</v>
      </c>
      <c r="W563" s="348">
        <f t="shared" si="78"/>
        <v>28.918148411543569</v>
      </c>
      <c r="X563" s="348">
        <f t="shared" si="79"/>
        <v>18.919606474834676</v>
      </c>
    </row>
    <row r="564" spans="1:24" x14ac:dyDescent="0.2">
      <c r="A564" s="407">
        <v>556</v>
      </c>
      <c r="B564" s="438">
        <v>26.986000000000001</v>
      </c>
      <c r="C564" s="438">
        <v>19.04</v>
      </c>
      <c r="D564" s="438">
        <v>15.324</v>
      </c>
      <c r="E564" s="438">
        <v>13.585000000000001</v>
      </c>
      <c r="F564" s="438">
        <v>26.986000000000001</v>
      </c>
      <c r="G564" s="438">
        <v>19.04</v>
      </c>
      <c r="H564" s="438">
        <v>29.125</v>
      </c>
      <c r="I564" s="438">
        <v>19.024000000000001</v>
      </c>
      <c r="J564" s="11"/>
      <c r="Q564" s="348">
        <f t="shared" si="72"/>
        <v>26.92665454519047</v>
      </c>
      <c r="R564" s="348">
        <f t="shared" si="73"/>
        <v>19.008820220251717</v>
      </c>
      <c r="S564" s="348">
        <f t="shared" si="74"/>
        <v>15.163907306161075</v>
      </c>
      <c r="T564" s="348">
        <f t="shared" si="75"/>
        <v>13.604009777650038</v>
      </c>
      <c r="U564" s="348">
        <f t="shared" si="76"/>
        <v>26.92665454519047</v>
      </c>
      <c r="V564" s="348">
        <f t="shared" si="77"/>
        <v>18.993764198068142</v>
      </c>
      <c r="W564" s="348">
        <f t="shared" si="78"/>
        <v>28.922135479184277</v>
      </c>
      <c r="X564" s="348">
        <f t="shared" si="79"/>
        <v>18.920601062676003</v>
      </c>
    </row>
    <row r="565" spans="1:24" x14ac:dyDescent="0.2">
      <c r="A565" s="407">
        <v>557</v>
      </c>
      <c r="B565" s="438">
        <v>26.988</v>
      </c>
      <c r="C565" s="438">
        <v>19.041</v>
      </c>
      <c r="D565" s="438">
        <v>15.323</v>
      </c>
      <c r="E565" s="438">
        <v>13.583</v>
      </c>
      <c r="F565" s="438">
        <v>26.988</v>
      </c>
      <c r="G565" s="438">
        <v>19.041</v>
      </c>
      <c r="H565" s="438">
        <v>29.126000000000001</v>
      </c>
      <c r="I565" s="438">
        <v>19.024000000000001</v>
      </c>
      <c r="J565" s="11"/>
      <c r="Q565" s="348">
        <f t="shared" si="72"/>
        <v>26.928644407348816</v>
      </c>
      <c r="R565" s="348">
        <f t="shared" si="73"/>
        <v>19.009826330860736</v>
      </c>
      <c r="S565" s="348">
        <f t="shared" si="74"/>
        <v>15.162907797113119</v>
      </c>
      <c r="T565" s="348">
        <f t="shared" si="75"/>
        <v>13.602008235265044</v>
      </c>
      <c r="U565" s="348">
        <f t="shared" si="76"/>
        <v>26.928644407348816</v>
      </c>
      <c r="V565" s="348">
        <f t="shared" si="77"/>
        <v>18.994765462850093</v>
      </c>
      <c r="W565" s="348">
        <f t="shared" si="78"/>
        <v>28.923132252568461</v>
      </c>
      <c r="X565" s="348">
        <f t="shared" si="79"/>
        <v>18.920601062676003</v>
      </c>
    </row>
    <row r="566" spans="1:24" x14ac:dyDescent="0.2">
      <c r="A566" s="407">
        <v>558</v>
      </c>
      <c r="B566" s="438">
        <v>26.981000000000002</v>
      </c>
      <c r="C566" s="438">
        <v>19.036000000000001</v>
      </c>
      <c r="D566" s="438">
        <v>15.321999999999999</v>
      </c>
      <c r="E566" s="438">
        <v>13.585000000000001</v>
      </c>
      <c r="F566" s="438">
        <v>26.981000000000002</v>
      </c>
      <c r="G566" s="438">
        <v>19.036000000000001</v>
      </c>
      <c r="H566" s="438">
        <v>29.125</v>
      </c>
      <c r="I566" s="438">
        <v>19.027999999999999</v>
      </c>
      <c r="J566" s="11"/>
      <c r="Q566" s="348">
        <f t="shared" si="72"/>
        <v>26.921679885730537</v>
      </c>
      <c r="R566" s="348">
        <f t="shared" si="73"/>
        <v>19.004795770688506</v>
      </c>
      <c r="S566" s="348">
        <f t="shared" si="74"/>
        <v>15.161908288968682</v>
      </c>
      <c r="T566" s="348">
        <f t="shared" si="75"/>
        <v>13.604009777650038</v>
      </c>
      <c r="U566" s="348">
        <f t="shared" si="76"/>
        <v>26.921679885730537</v>
      </c>
      <c r="V566" s="348">
        <f t="shared" si="77"/>
        <v>18.989759139450531</v>
      </c>
      <c r="W566" s="348">
        <f t="shared" si="78"/>
        <v>28.922135479184277</v>
      </c>
      <c r="X566" s="348">
        <f t="shared" si="79"/>
        <v>18.924579417021345</v>
      </c>
    </row>
    <row r="567" spans="1:24" x14ac:dyDescent="0.2">
      <c r="A567" s="407">
        <v>559</v>
      </c>
      <c r="B567" s="438">
        <v>26.978999999999999</v>
      </c>
      <c r="C567" s="438">
        <v>19.038</v>
      </c>
      <c r="D567" s="438">
        <v>15.32</v>
      </c>
      <c r="E567" s="438">
        <v>13.584</v>
      </c>
      <c r="F567" s="438">
        <v>26.978999999999999</v>
      </c>
      <c r="G567" s="438">
        <v>19.038</v>
      </c>
      <c r="H567" s="438">
        <v>29.123999999999999</v>
      </c>
      <c r="I567" s="438">
        <v>19.027999999999999</v>
      </c>
      <c r="J567" s="11"/>
      <c r="Q567" s="348">
        <f t="shared" si="72"/>
        <v>26.919690020320328</v>
      </c>
      <c r="R567" s="348">
        <f t="shared" si="73"/>
        <v>19.006807996895354</v>
      </c>
      <c r="S567" s="348">
        <f t="shared" si="74"/>
        <v>15.159909275390936</v>
      </c>
      <c r="T567" s="348">
        <f t="shared" si="75"/>
        <v>13.603009006498031</v>
      </c>
      <c r="U567" s="348">
        <f t="shared" si="76"/>
        <v>26.919690020320328</v>
      </c>
      <c r="V567" s="348">
        <f t="shared" si="77"/>
        <v>18.991761668657151</v>
      </c>
      <c r="W567" s="348">
        <f t="shared" si="78"/>
        <v>28.921138708389677</v>
      </c>
      <c r="X567" s="348">
        <f t="shared" si="79"/>
        <v>18.924579417021345</v>
      </c>
    </row>
    <row r="568" spans="1:24" x14ac:dyDescent="0.2">
      <c r="A568" s="407">
        <v>560</v>
      </c>
      <c r="B568" s="438">
        <v>26.975999999999999</v>
      </c>
      <c r="C568" s="438">
        <v>19.038</v>
      </c>
      <c r="D568" s="438">
        <v>15.318</v>
      </c>
      <c r="E568" s="438">
        <v>13.577999999999999</v>
      </c>
      <c r="F568" s="438">
        <v>26.975999999999999</v>
      </c>
      <c r="G568" s="438">
        <v>19.038</v>
      </c>
      <c r="H568" s="438">
        <v>29.129000000000001</v>
      </c>
      <c r="I568" s="438">
        <v>19.027999999999999</v>
      </c>
      <c r="J568" s="11"/>
      <c r="Q568" s="348">
        <f t="shared" si="72"/>
        <v>26.916705220461917</v>
      </c>
      <c r="R568" s="348">
        <f t="shared" si="73"/>
        <v>19.006807996895354</v>
      </c>
      <c r="S568" s="348">
        <f t="shared" si="74"/>
        <v>15.157910265428947</v>
      </c>
      <c r="T568" s="348">
        <f t="shared" si="75"/>
        <v>13.597004377885904</v>
      </c>
      <c r="U568" s="348">
        <f t="shared" si="76"/>
        <v>26.916705220461917</v>
      </c>
      <c r="V568" s="348">
        <f t="shared" si="77"/>
        <v>18.991761668657151</v>
      </c>
      <c r="W568" s="348">
        <f t="shared" si="78"/>
        <v>28.926122588258245</v>
      </c>
      <c r="X568" s="348">
        <f t="shared" si="79"/>
        <v>18.924579417021345</v>
      </c>
    </row>
    <row r="569" spans="1:24" x14ac:dyDescent="0.2">
      <c r="A569" s="407">
        <v>561</v>
      </c>
      <c r="B569" s="438">
        <v>26.978000000000002</v>
      </c>
      <c r="C569" s="438">
        <v>19.036999999999999</v>
      </c>
      <c r="D569" s="438">
        <v>15.32</v>
      </c>
      <c r="E569" s="438">
        <v>13.579000000000001</v>
      </c>
      <c r="F569" s="438">
        <v>26.978000000000002</v>
      </c>
      <c r="G569" s="438">
        <v>19.036999999999999</v>
      </c>
      <c r="H569" s="438">
        <v>29.129000000000001</v>
      </c>
      <c r="I569" s="438">
        <v>19.03</v>
      </c>
      <c r="J569" s="11"/>
      <c r="Q569" s="348">
        <f t="shared" si="72"/>
        <v>26.918695087266638</v>
      </c>
      <c r="R569" s="348">
        <f t="shared" si="73"/>
        <v>19.005801884148187</v>
      </c>
      <c r="S569" s="348">
        <f t="shared" si="74"/>
        <v>15.159909275390936</v>
      </c>
      <c r="T569" s="348">
        <f t="shared" si="75"/>
        <v>13.598005149523575</v>
      </c>
      <c r="U569" s="348">
        <f t="shared" si="76"/>
        <v>26.918695087266638</v>
      </c>
      <c r="V569" s="348">
        <f t="shared" si="77"/>
        <v>18.990760404028258</v>
      </c>
      <c r="W569" s="348">
        <f t="shared" si="78"/>
        <v>28.926122588258245</v>
      </c>
      <c r="X569" s="348">
        <f t="shared" si="79"/>
        <v>18.92656859598241</v>
      </c>
    </row>
    <row r="570" spans="1:24" x14ac:dyDescent="0.2">
      <c r="A570" s="407">
        <v>562</v>
      </c>
      <c r="B570" s="438">
        <v>26.984000000000002</v>
      </c>
      <c r="C570" s="438">
        <v>19.035</v>
      </c>
      <c r="D570" s="438">
        <v>15.32</v>
      </c>
      <c r="E570" s="438">
        <v>13.581</v>
      </c>
      <c r="F570" s="438">
        <v>26.984000000000002</v>
      </c>
      <c r="G570" s="437">
        <v>19.035</v>
      </c>
      <c r="H570" s="438">
        <v>29.131</v>
      </c>
      <c r="I570" s="438">
        <v>19.03</v>
      </c>
      <c r="J570" s="11"/>
      <c r="Q570" s="348">
        <f t="shared" si="72"/>
        <v>26.924664682103309</v>
      </c>
      <c r="R570" s="348">
        <f t="shared" si="73"/>
        <v>19.003789656516393</v>
      </c>
      <c r="S570" s="348">
        <f t="shared" si="74"/>
        <v>15.159909275390936</v>
      </c>
      <c r="T570" s="348">
        <f t="shared" si="75"/>
        <v>13.600006692556182</v>
      </c>
      <c r="U570" s="348">
        <f t="shared" si="76"/>
        <v>26.924664682103309</v>
      </c>
      <c r="V570" s="348">
        <f t="shared" si="77"/>
        <v>18.988757874924048</v>
      </c>
      <c r="W570" s="348">
        <f t="shared" si="78"/>
        <v>28.928116158332241</v>
      </c>
      <c r="X570" s="348">
        <f t="shared" si="79"/>
        <v>18.92656859598241</v>
      </c>
    </row>
    <row r="571" spans="1:24" x14ac:dyDescent="0.2">
      <c r="A571" s="407">
        <v>563</v>
      </c>
      <c r="B571" s="438">
        <v>26.984000000000002</v>
      </c>
      <c r="C571" s="438">
        <v>19.036000000000001</v>
      </c>
      <c r="D571" s="437">
        <v>15.316000000000001</v>
      </c>
      <c r="E571" s="438">
        <v>13.58</v>
      </c>
      <c r="F571" s="438">
        <v>26.984000000000002</v>
      </c>
      <c r="G571" s="438">
        <v>19.036000000000001</v>
      </c>
      <c r="H571" s="438">
        <v>29.132999999999999</v>
      </c>
      <c r="I571" s="438">
        <v>19.032</v>
      </c>
      <c r="J571" s="11"/>
      <c r="Q571" s="348">
        <f t="shared" si="72"/>
        <v>26.924664682103309</v>
      </c>
      <c r="R571" s="348">
        <f t="shared" si="73"/>
        <v>19.004795770688506</v>
      </c>
      <c r="S571" s="348">
        <f t="shared" si="74"/>
        <v>15.155911259083842</v>
      </c>
      <c r="T571" s="348">
        <f t="shared" si="75"/>
        <v>13.599005921080339</v>
      </c>
      <c r="U571" s="348">
        <f t="shared" si="76"/>
        <v>26.924664682103309</v>
      </c>
      <c r="V571" s="348">
        <f t="shared" si="77"/>
        <v>18.989759139450531</v>
      </c>
      <c r="W571" s="348">
        <f t="shared" si="78"/>
        <v>28.93010973876402</v>
      </c>
      <c r="X571" s="348">
        <f t="shared" si="79"/>
        <v>18.928557776135989</v>
      </c>
    </row>
    <row r="572" spans="1:24" x14ac:dyDescent="0.2">
      <c r="A572" s="407">
        <v>564</v>
      </c>
      <c r="B572" s="438">
        <v>26.975000000000001</v>
      </c>
      <c r="C572" s="437">
        <v>19.03</v>
      </c>
      <c r="D572" s="438">
        <v>15.317</v>
      </c>
      <c r="E572" s="438">
        <v>13.576000000000001</v>
      </c>
      <c r="F572" s="437">
        <v>26.975000000000001</v>
      </c>
      <c r="G572" s="438">
        <v>19.03</v>
      </c>
      <c r="H572" s="437">
        <v>29.132999999999999</v>
      </c>
      <c r="I572" s="438">
        <v>19.033000000000001</v>
      </c>
      <c r="J572" s="11"/>
      <c r="Q572" s="348">
        <f t="shared" si="72"/>
        <v>26.915710286710841</v>
      </c>
      <c r="R572" s="348">
        <f t="shared" si="73"/>
        <v>18.998759074972693</v>
      </c>
      <c r="S572" s="348">
        <f t="shared" si="74"/>
        <v>15.156910761804214</v>
      </c>
      <c r="T572" s="348">
        <f t="shared" si="75"/>
        <v>13.595002834367909</v>
      </c>
      <c r="U572" s="348">
        <f t="shared" si="76"/>
        <v>26.915710286710841</v>
      </c>
      <c r="V572" s="348">
        <f t="shared" si="77"/>
        <v>18.983751553062881</v>
      </c>
      <c r="W572" s="348">
        <f t="shared" si="78"/>
        <v>28.93010973876402</v>
      </c>
      <c r="X572" s="348">
        <f t="shared" si="79"/>
        <v>18.929552366660037</v>
      </c>
    </row>
    <row r="573" spans="1:24" x14ac:dyDescent="0.2">
      <c r="A573" s="407">
        <v>565</v>
      </c>
      <c r="B573" s="438">
        <v>26.984000000000002</v>
      </c>
      <c r="C573" s="438">
        <v>19.033000000000001</v>
      </c>
      <c r="D573" s="438">
        <v>15.319000000000001</v>
      </c>
      <c r="E573" s="438">
        <v>13.577999999999999</v>
      </c>
      <c r="F573" s="438">
        <v>26.984000000000002</v>
      </c>
      <c r="G573" s="438">
        <v>19.033000000000001</v>
      </c>
      <c r="H573" s="438">
        <v>29.132999999999999</v>
      </c>
      <c r="I573" s="438">
        <v>19.035</v>
      </c>
      <c r="J573" s="11"/>
      <c r="Q573" s="348">
        <f t="shared" si="72"/>
        <v>26.924664682103309</v>
      </c>
      <c r="R573" s="348">
        <f t="shared" si="73"/>
        <v>19.001777426035254</v>
      </c>
      <c r="S573" s="348">
        <f t="shared" si="74"/>
        <v>15.158909769957901</v>
      </c>
      <c r="T573" s="348">
        <f t="shared" si="75"/>
        <v>13.597004377885904</v>
      </c>
      <c r="U573" s="348">
        <f t="shared" si="76"/>
        <v>26.924664682103309</v>
      </c>
      <c r="V573" s="348">
        <f t="shared" si="77"/>
        <v>18.986755346025106</v>
      </c>
      <c r="W573" s="348">
        <f t="shared" si="78"/>
        <v>28.93010973876402</v>
      </c>
      <c r="X573" s="348">
        <f t="shared" si="79"/>
        <v>18.931541548602773</v>
      </c>
    </row>
    <row r="574" spans="1:24" x14ac:dyDescent="0.2">
      <c r="A574" s="407">
        <v>566</v>
      </c>
      <c r="B574" s="438">
        <v>26.981000000000002</v>
      </c>
      <c r="C574" s="438">
        <v>19.033999999999999</v>
      </c>
      <c r="D574" s="438">
        <v>15.316000000000001</v>
      </c>
      <c r="E574" s="438">
        <v>13.582000000000001</v>
      </c>
      <c r="F574" s="438">
        <v>26.981000000000002</v>
      </c>
      <c r="G574" s="438">
        <v>19.033999999999999</v>
      </c>
      <c r="H574" s="438">
        <v>29.132000000000001</v>
      </c>
      <c r="I574" s="438">
        <v>19.038</v>
      </c>
      <c r="J574" s="11"/>
      <c r="Q574" s="348">
        <f t="shared" si="72"/>
        <v>26.921679885730537</v>
      </c>
      <c r="R574" s="348">
        <f t="shared" si="73"/>
        <v>19.002783541631942</v>
      </c>
      <c r="S574" s="348">
        <f t="shared" si="74"/>
        <v>15.155911259083842</v>
      </c>
      <c r="T574" s="348">
        <f t="shared" si="75"/>
        <v>13.60100746395109</v>
      </c>
      <c r="U574" s="348">
        <f t="shared" si="76"/>
        <v>26.921679885730537</v>
      </c>
      <c r="V574" s="348">
        <f t="shared" si="77"/>
        <v>18.987756610448876</v>
      </c>
      <c r="W574" s="348">
        <f t="shared" si="78"/>
        <v>28.929112947253422</v>
      </c>
      <c r="X574" s="348">
        <f t="shared" si="79"/>
        <v>18.934525323753853</v>
      </c>
    </row>
    <row r="575" spans="1:24" x14ac:dyDescent="0.2">
      <c r="A575" s="407">
        <v>567</v>
      </c>
      <c r="B575" s="438">
        <v>26.981999999999999</v>
      </c>
      <c r="C575" s="438">
        <v>19.032</v>
      </c>
      <c r="D575" s="438">
        <v>15.316000000000001</v>
      </c>
      <c r="E575" s="438">
        <v>13.582000000000001</v>
      </c>
      <c r="F575" s="438">
        <v>26.981999999999999</v>
      </c>
      <c r="G575" s="438">
        <v>19.032</v>
      </c>
      <c r="H575" s="438">
        <v>29.132999999999999</v>
      </c>
      <c r="I575" s="438">
        <v>19.036999999999999</v>
      </c>
      <c r="J575" s="11"/>
      <c r="Q575" s="348">
        <f t="shared" si="72"/>
        <v>26.922674818087103</v>
      </c>
      <c r="R575" s="348">
        <f t="shared" si="73"/>
        <v>19.000771309726417</v>
      </c>
      <c r="S575" s="348">
        <f t="shared" si="74"/>
        <v>15.155911259083842</v>
      </c>
      <c r="T575" s="348">
        <f t="shared" si="75"/>
        <v>13.60100746395109</v>
      </c>
      <c r="U575" s="348">
        <f t="shared" si="76"/>
        <v>26.922674818087103</v>
      </c>
      <c r="V575" s="348">
        <f t="shared" si="77"/>
        <v>18.985754081652793</v>
      </c>
      <c r="W575" s="348">
        <f t="shared" si="78"/>
        <v>28.93010973876402</v>
      </c>
      <c r="X575" s="348">
        <f t="shared" si="79"/>
        <v>18.933530731738529</v>
      </c>
    </row>
    <row r="576" spans="1:24" x14ac:dyDescent="0.2">
      <c r="A576" s="407">
        <v>568</v>
      </c>
      <c r="B576" s="437">
        <v>26.984000000000002</v>
      </c>
      <c r="C576" s="438">
        <v>19.033999999999999</v>
      </c>
      <c r="D576" s="438">
        <v>15.318</v>
      </c>
      <c r="E576" s="438">
        <v>13.581</v>
      </c>
      <c r="F576" s="438">
        <v>26.984000000000002</v>
      </c>
      <c r="G576" s="438">
        <v>19.033999999999999</v>
      </c>
      <c r="H576" s="438">
        <v>29.135999999999999</v>
      </c>
      <c r="I576" s="438">
        <v>19.036000000000001</v>
      </c>
      <c r="J576" s="11"/>
      <c r="Q576" s="348">
        <f t="shared" si="72"/>
        <v>26.924664682103309</v>
      </c>
      <c r="R576" s="348">
        <f t="shared" si="73"/>
        <v>19.002783541631942</v>
      </c>
      <c r="S576" s="348">
        <f t="shared" si="74"/>
        <v>15.157910265428947</v>
      </c>
      <c r="T576" s="348">
        <f t="shared" si="75"/>
        <v>13.600006692556182</v>
      </c>
      <c r="U576" s="348">
        <f t="shared" si="76"/>
        <v>26.924664682103309</v>
      </c>
      <c r="V576" s="348">
        <f t="shared" si="77"/>
        <v>18.987756610448876</v>
      </c>
      <c r="W576" s="348">
        <f t="shared" si="78"/>
        <v>28.933100128832109</v>
      </c>
      <c r="X576" s="348">
        <f t="shared" si="79"/>
        <v>18.932536140021512</v>
      </c>
    </row>
    <row r="577" spans="1:24" x14ac:dyDescent="0.2">
      <c r="A577" s="407">
        <v>569</v>
      </c>
      <c r="B577" s="438">
        <v>26.977</v>
      </c>
      <c r="C577" s="438">
        <v>19.030999999999999</v>
      </c>
      <c r="D577" s="438">
        <v>15.315</v>
      </c>
      <c r="E577" s="437">
        <v>13.581</v>
      </c>
      <c r="F577" s="438">
        <v>26.977</v>
      </c>
      <c r="G577" s="438">
        <v>19.030999999999999</v>
      </c>
      <c r="H577" s="438">
        <v>29.135000000000002</v>
      </c>
      <c r="I577" s="438">
        <v>19.038</v>
      </c>
      <c r="J577" s="11"/>
      <c r="Q577" s="348">
        <f t="shared" si="72"/>
        <v>26.917700153980512</v>
      </c>
      <c r="R577" s="348">
        <f t="shared" si="73"/>
        <v>18.999765192705532</v>
      </c>
      <c r="S577" s="348">
        <f t="shared" si="74"/>
        <v>15.154911757267969</v>
      </c>
      <c r="T577" s="348">
        <f t="shared" si="75"/>
        <v>13.600006692556182</v>
      </c>
      <c r="U577" s="348">
        <f t="shared" si="76"/>
        <v>26.917700153980512</v>
      </c>
      <c r="V577" s="348">
        <f t="shared" si="77"/>
        <v>18.984752817332026</v>
      </c>
      <c r="W577" s="348">
        <f t="shared" si="78"/>
        <v>28.932103329553385</v>
      </c>
      <c r="X577" s="348">
        <f t="shared" si="79"/>
        <v>18.934525323753853</v>
      </c>
    </row>
    <row r="578" spans="1:24" x14ac:dyDescent="0.2">
      <c r="A578" s="407">
        <v>570</v>
      </c>
      <c r="B578" s="438">
        <v>26.98</v>
      </c>
      <c r="C578" s="438">
        <v>19.033999999999999</v>
      </c>
      <c r="D578" s="438">
        <v>15.318</v>
      </c>
      <c r="E578" s="438">
        <v>13.577999999999999</v>
      </c>
      <c r="F578" s="438">
        <v>26.98</v>
      </c>
      <c r="G578" s="438">
        <v>19.033999999999999</v>
      </c>
      <c r="H578" s="438">
        <v>29.137</v>
      </c>
      <c r="I578" s="438">
        <v>19.039000000000001</v>
      </c>
      <c r="J578" s="11"/>
      <c r="Q578" s="348">
        <f t="shared" si="72"/>
        <v>26.920684953141624</v>
      </c>
      <c r="R578" s="348">
        <f t="shared" si="73"/>
        <v>19.002783541631942</v>
      </c>
      <c r="S578" s="348">
        <f t="shared" si="74"/>
        <v>15.157910265428947</v>
      </c>
      <c r="T578" s="348">
        <f t="shared" si="75"/>
        <v>13.597004377885904</v>
      </c>
      <c r="U578" s="348">
        <f t="shared" si="76"/>
        <v>26.920684953141624</v>
      </c>
      <c r="V578" s="348">
        <f t="shared" si="77"/>
        <v>18.987756610448876</v>
      </c>
      <c r="W578" s="348">
        <f t="shared" si="78"/>
        <v>28.934096930700161</v>
      </c>
      <c r="X578" s="348">
        <f t="shared" si="79"/>
        <v>18.935519916067506</v>
      </c>
    </row>
    <row r="579" spans="1:24" x14ac:dyDescent="0.2">
      <c r="A579" s="407">
        <v>571</v>
      </c>
      <c r="B579" s="438">
        <v>26.984999999999999</v>
      </c>
      <c r="C579" s="438">
        <v>19.033999999999999</v>
      </c>
      <c r="D579" s="438">
        <v>15.318</v>
      </c>
      <c r="E579" s="438">
        <v>13.581</v>
      </c>
      <c r="F579" s="438">
        <v>26.984999999999999</v>
      </c>
      <c r="G579" s="438">
        <v>19.033999999999999</v>
      </c>
      <c r="H579" s="438">
        <v>29.132999999999999</v>
      </c>
      <c r="I579" s="438">
        <v>19.041</v>
      </c>
      <c r="J579" s="11"/>
      <c r="Q579" s="348">
        <f t="shared" si="72"/>
        <v>26.925659613763003</v>
      </c>
      <c r="R579" s="348">
        <f t="shared" si="73"/>
        <v>19.002783541631942</v>
      </c>
      <c r="S579" s="348">
        <f t="shared" si="74"/>
        <v>15.157910265428947</v>
      </c>
      <c r="T579" s="348">
        <f t="shared" si="75"/>
        <v>13.600006692556182</v>
      </c>
      <c r="U579" s="348">
        <f t="shared" si="76"/>
        <v>26.925659613763003</v>
      </c>
      <c r="V579" s="348">
        <f t="shared" si="77"/>
        <v>18.987756610448876</v>
      </c>
      <c r="W579" s="348">
        <f t="shared" si="78"/>
        <v>28.93010973876402</v>
      </c>
      <c r="X579" s="348">
        <f t="shared" si="79"/>
        <v>18.937509101589889</v>
      </c>
    </row>
    <row r="580" spans="1:24" x14ac:dyDescent="0.2">
      <c r="A580" s="407">
        <v>572</v>
      </c>
      <c r="B580" s="438">
        <v>26.983000000000001</v>
      </c>
      <c r="C580" s="438">
        <v>19.032</v>
      </c>
      <c r="D580" s="438">
        <v>15.317</v>
      </c>
      <c r="E580" s="438">
        <v>13.583</v>
      </c>
      <c r="F580" s="438">
        <v>26.983000000000001</v>
      </c>
      <c r="G580" s="438">
        <v>19.032</v>
      </c>
      <c r="H580" s="438">
        <v>29.137</v>
      </c>
      <c r="I580" s="438">
        <v>19.041</v>
      </c>
      <c r="J580" s="11"/>
      <c r="Q580" s="348">
        <f t="shared" si="72"/>
        <v>26.923669750211349</v>
      </c>
      <c r="R580" s="348">
        <f t="shared" si="73"/>
        <v>19.000771309726417</v>
      </c>
      <c r="S580" s="348">
        <f t="shared" si="74"/>
        <v>15.156910761804214</v>
      </c>
      <c r="T580" s="348">
        <f t="shared" si="75"/>
        <v>13.602008235265044</v>
      </c>
      <c r="U580" s="348">
        <f t="shared" si="76"/>
        <v>26.923669750211349</v>
      </c>
      <c r="V580" s="348">
        <f t="shared" si="77"/>
        <v>18.985754081652793</v>
      </c>
      <c r="W580" s="348">
        <f t="shared" si="78"/>
        <v>28.934096930700161</v>
      </c>
      <c r="X580" s="348">
        <f t="shared" si="79"/>
        <v>18.937509101589889</v>
      </c>
    </row>
    <row r="581" spans="1:24" x14ac:dyDescent="0.2">
      <c r="A581" s="407">
        <v>573</v>
      </c>
      <c r="B581" s="438">
        <v>26.978999999999999</v>
      </c>
      <c r="C581" s="438">
        <v>19.033999999999999</v>
      </c>
      <c r="D581" s="438">
        <v>15.31</v>
      </c>
      <c r="E581" s="438">
        <v>13.577999999999999</v>
      </c>
      <c r="F581" s="438">
        <v>26.978999999999999</v>
      </c>
      <c r="G581" s="438">
        <v>19.033999999999999</v>
      </c>
      <c r="H581" s="438">
        <v>29.135999999999999</v>
      </c>
      <c r="I581" s="438">
        <v>19.041</v>
      </c>
      <c r="J581" s="11"/>
      <c r="Q581" s="348">
        <f t="shared" si="72"/>
        <v>26.919690020320328</v>
      </c>
      <c r="R581" s="348">
        <f t="shared" si="73"/>
        <v>19.002783541631942</v>
      </c>
      <c r="S581" s="348">
        <f t="shared" si="74"/>
        <v>15.149914261761012</v>
      </c>
      <c r="T581" s="348">
        <f t="shared" si="75"/>
        <v>13.597004377885904</v>
      </c>
      <c r="U581" s="348">
        <f t="shared" si="76"/>
        <v>26.919690020320328</v>
      </c>
      <c r="V581" s="348">
        <f t="shared" si="77"/>
        <v>18.987756610448876</v>
      </c>
      <c r="W581" s="348">
        <f t="shared" si="78"/>
        <v>28.933100128832109</v>
      </c>
      <c r="X581" s="348">
        <f t="shared" si="79"/>
        <v>18.937509101589889</v>
      </c>
    </row>
    <row r="582" spans="1:24" x14ac:dyDescent="0.2">
      <c r="A582" s="407">
        <v>574</v>
      </c>
      <c r="B582" s="438">
        <v>26.986999999999998</v>
      </c>
      <c r="C582" s="438">
        <v>19.033999999999999</v>
      </c>
      <c r="D582" s="438">
        <v>15.318</v>
      </c>
      <c r="E582" s="438">
        <v>13.577999999999999</v>
      </c>
      <c r="F582" s="438">
        <v>26.986999999999998</v>
      </c>
      <c r="G582" s="438">
        <v>19.033999999999999</v>
      </c>
      <c r="H582" s="438">
        <v>29.134</v>
      </c>
      <c r="I582" s="438">
        <v>19.042000000000002</v>
      </c>
      <c r="J582" s="11"/>
      <c r="Q582" s="348">
        <f t="shared" si="72"/>
        <v>26.927649476385728</v>
      </c>
      <c r="R582" s="348">
        <f t="shared" si="73"/>
        <v>19.002783541631942</v>
      </c>
      <c r="S582" s="348">
        <f t="shared" si="74"/>
        <v>15.157910265428947</v>
      </c>
      <c r="T582" s="348">
        <f t="shared" si="75"/>
        <v>13.597004377885904</v>
      </c>
      <c r="U582" s="348">
        <f t="shared" si="76"/>
        <v>26.927649476385728</v>
      </c>
      <c r="V582" s="348">
        <f t="shared" si="77"/>
        <v>18.987756610448876</v>
      </c>
      <c r="W582" s="348">
        <f t="shared" si="78"/>
        <v>28.931106532864014</v>
      </c>
      <c r="X582" s="348">
        <f t="shared" si="79"/>
        <v>18.93850369479868</v>
      </c>
    </row>
    <row r="583" spans="1:24" x14ac:dyDescent="0.2">
      <c r="A583" s="407">
        <v>575</v>
      </c>
      <c r="B583" s="438">
        <v>26.981999999999999</v>
      </c>
      <c r="C583" s="438">
        <v>19.035</v>
      </c>
      <c r="D583" s="438">
        <v>15.313000000000001</v>
      </c>
      <c r="E583" s="438">
        <v>13.581</v>
      </c>
      <c r="F583" s="438">
        <v>26.981999999999999</v>
      </c>
      <c r="G583" s="438">
        <v>19.035</v>
      </c>
      <c r="H583" s="438">
        <v>29.137</v>
      </c>
      <c r="I583" s="438">
        <v>19.041</v>
      </c>
      <c r="J583" s="11"/>
      <c r="Q583" s="348">
        <f t="shared" si="72"/>
        <v>26.922674818087103</v>
      </c>
      <c r="R583" s="348">
        <f t="shared" si="73"/>
        <v>19.003789656516393</v>
      </c>
      <c r="S583" s="348">
        <f t="shared" si="74"/>
        <v>15.152912756350286</v>
      </c>
      <c r="T583" s="348">
        <f t="shared" si="75"/>
        <v>13.600006692556182</v>
      </c>
      <c r="U583" s="348">
        <f t="shared" si="76"/>
        <v>26.922674818087103</v>
      </c>
      <c r="V583" s="348">
        <f t="shared" si="77"/>
        <v>18.988757874924048</v>
      </c>
      <c r="W583" s="348">
        <f t="shared" si="78"/>
        <v>28.934096930700161</v>
      </c>
      <c r="X583" s="348">
        <f t="shared" si="79"/>
        <v>18.937509101589889</v>
      </c>
    </row>
    <row r="584" spans="1:24" x14ac:dyDescent="0.2">
      <c r="A584" s="407">
        <v>576</v>
      </c>
      <c r="B584" s="438">
        <v>26.981000000000002</v>
      </c>
      <c r="C584" s="438">
        <v>19.036999999999999</v>
      </c>
      <c r="D584" s="438">
        <v>15.311999999999999</v>
      </c>
      <c r="E584" s="438">
        <v>13.577999999999999</v>
      </c>
      <c r="F584" s="438">
        <v>26.981000000000002</v>
      </c>
      <c r="G584" s="438">
        <v>19.036999999999999</v>
      </c>
      <c r="H584" s="438">
        <v>29.135000000000002</v>
      </c>
      <c r="I584" s="438">
        <v>19.038</v>
      </c>
      <c r="J584" s="11"/>
      <c r="Q584" s="348">
        <f t="shared" si="72"/>
        <v>26.921679885730537</v>
      </c>
      <c r="R584" s="348">
        <f t="shared" si="73"/>
        <v>19.005801884148187</v>
      </c>
      <c r="S584" s="348">
        <f t="shared" si="74"/>
        <v>15.151913257248752</v>
      </c>
      <c r="T584" s="348">
        <f t="shared" si="75"/>
        <v>13.597004377885904</v>
      </c>
      <c r="U584" s="348">
        <f t="shared" si="76"/>
        <v>26.921679885730537</v>
      </c>
      <c r="V584" s="348">
        <f t="shared" si="77"/>
        <v>18.990760404028258</v>
      </c>
      <c r="W584" s="348">
        <f t="shared" si="78"/>
        <v>28.932103329553385</v>
      </c>
      <c r="X584" s="348">
        <f t="shared" si="79"/>
        <v>18.934525323753853</v>
      </c>
    </row>
    <row r="585" spans="1:24" x14ac:dyDescent="0.2">
      <c r="A585" s="407">
        <v>577</v>
      </c>
      <c r="B585" s="438">
        <v>26.986999999999998</v>
      </c>
      <c r="C585" s="438">
        <v>19.04</v>
      </c>
      <c r="D585" s="438">
        <v>15.315</v>
      </c>
      <c r="E585" s="438">
        <v>13.582000000000001</v>
      </c>
      <c r="F585" s="438">
        <v>26.986999999999998</v>
      </c>
      <c r="G585" s="438">
        <v>19.04</v>
      </c>
      <c r="H585" s="438">
        <v>29.131</v>
      </c>
      <c r="I585" s="438">
        <v>19.038</v>
      </c>
      <c r="J585" s="11"/>
      <c r="Q585" s="348">
        <f t="shared" si="72"/>
        <v>26.927649476385728</v>
      </c>
      <c r="R585" s="348">
        <f t="shared" si="73"/>
        <v>19.008820220251717</v>
      </c>
      <c r="S585" s="348">
        <f t="shared" si="74"/>
        <v>15.154911757267969</v>
      </c>
      <c r="T585" s="348">
        <f t="shared" si="75"/>
        <v>13.60100746395109</v>
      </c>
      <c r="U585" s="348">
        <f t="shared" si="76"/>
        <v>26.927649476385728</v>
      </c>
      <c r="V585" s="348">
        <f t="shared" si="77"/>
        <v>18.993764198068142</v>
      </c>
      <c r="W585" s="348">
        <f t="shared" si="78"/>
        <v>28.928116158332241</v>
      </c>
      <c r="X585" s="348">
        <f t="shared" si="79"/>
        <v>18.934525323753853</v>
      </c>
    </row>
    <row r="586" spans="1:24" x14ac:dyDescent="0.2">
      <c r="A586" s="407">
        <v>578</v>
      </c>
      <c r="B586" s="438">
        <v>26.988</v>
      </c>
      <c r="C586" s="438">
        <v>19.039000000000001</v>
      </c>
      <c r="D586" s="438">
        <v>15.315</v>
      </c>
      <c r="E586" s="438">
        <v>13.583</v>
      </c>
      <c r="F586" s="438">
        <v>26.988</v>
      </c>
      <c r="G586" s="438">
        <v>19.039000000000001</v>
      </c>
      <c r="H586" s="438">
        <v>29.132000000000001</v>
      </c>
      <c r="I586" s="438">
        <v>19.038</v>
      </c>
      <c r="J586" s="11"/>
      <c r="Q586" s="348">
        <f t="shared" ref="Q586:Q649" si="80">IFERROR(B586^4*$AB$9+B586^3*$AC$9+B586^2*$AD$9+B586^1*$AE$9+B586^0*$AF$9,"")</f>
        <v>26.928644407348816</v>
      </c>
      <c r="R586" s="348">
        <f t="shared" ref="R586:R649" si="81">IFERROR(C586^4*$AB$10+C586^3*$AC$10+C586^2*$AD$10+C586^1*$AE$10+C586^0*$AF$10,"")</f>
        <v>19.007814108929892</v>
      </c>
      <c r="S586" s="348">
        <f t="shared" ref="S586:S649" si="82">IFERROR(D586^4*$AB$11+D586^3*$AC$11+D586^2*$AD$11+D586^1*$AE$11+D586^0*$AF$11,"")</f>
        <v>15.154911757267969</v>
      </c>
      <c r="T586" s="348">
        <f t="shared" ref="T586:T649" si="83">IFERROR(E586^4*$AB$12+E586^3*$AC$12+E586^2*$AD$12+E586^1*$AE$12+E586^0*$AF$12,"")</f>
        <v>13.602008235265044</v>
      </c>
      <c r="U586" s="348">
        <f t="shared" ref="U586:U649" si="84">IFERROR(F586^4*$AB$13+F586^3*$AC$13+F586^2*$AD$13+F586^1*$AE$13+F586^0*$AF$13,"")</f>
        <v>26.928644407348816</v>
      </c>
      <c r="V586" s="348">
        <f t="shared" ref="V586:V649" si="85">IFERROR(G586^4*$AB$14+G586^3*$AC$14+G586^2*$AD$14+G586^1*$AE$14+G586^0*$AF$14,"")</f>
        <v>18.992762933337143</v>
      </c>
      <c r="W586" s="348">
        <f t="shared" ref="W586:W649" si="86">IFERROR(H586^4*$AB$15+H586^3*$AC$15+H586^2*$AD$15+H586^1*$AE$15+H586^0*$AF$15,"")</f>
        <v>28.929112947253422</v>
      </c>
      <c r="X586" s="348">
        <f t="shared" ref="X586:X649" si="87">IFERROR(I586^4*$AB$16+I586^3*$AC$16+I586^2*$AD$16+I586^1*$AE$16+I586^0*$AF$16,"")</f>
        <v>18.934525323753853</v>
      </c>
    </row>
    <row r="587" spans="1:24" x14ac:dyDescent="0.2">
      <c r="A587" s="407">
        <v>579</v>
      </c>
      <c r="B587" s="438">
        <v>26.981999999999999</v>
      </c>
      <c r="C587" s="438">
        <v>19.041</v>
      </c>
      <c r="D587" s="438">
        <v>15.314</v>
      </c>
      <c r="E587" s="438">
        <v>13.583</v>
      </c>
      <c r="F587" s="438">
        <v>26.981999999999999</v>
      </c>
      <c r="G587" s="438">
        <v>19.041</v>
      </c>
      <c r="H587" s="438">
        <v>29.123999999999999</v>
      </c>
      <c r="I587" s="438">
        <v>19.035</v>
      </c>
      <c r="J587" s="11"/>
      <c r="Q587" s="348">
        <f t="shared" si="80"/>
        <v>26.922674818087103</v>
      </c>
      <c r="R587" s="348">
        <f t="shared" si="81"/>
        <v>19.009826330860736</v>
      </c>
      <c r="S587" s="348">
        <f t="shared" si="82"/>
        <v>15.153912256356737</v>
      </c>
      <c r="T587" s="348">
        <f t="shared" si="83"/>
        <v>13.602008235265044</v>
      </c>
      <c r="U587" s="348">
        <f t="shared" si="84"/>
        <v>26.922674818087103</v>
      </c>
      <c r="V587" s="348">
        <f t="shared" si="85"/>
        <v>18.994765462850093</v>
      </c>
      <c r="W587" s="348">
        <f t="shared" si="86"/>
        <v>28.921138708389677</v>
      </c>
      <c r="X587" s="348">
        <f t="shared" si="87"/>
        <v>18.931541548602773</v>
      </c>
    </row>
    <row r="588" spans="1:24" x14ac:dyDescent="0.2">
      <c r="A588" s="407">
        <v>580</v>
      </c>
      <c r="B588" s="438">
        <v>26.981999999999999</v>
      </c>
      <c r="C588" s="438">
        <v>19.041</v>
      </c>
      <c r="D588" s="438">
        <v>15.315</v>
      </c>
      <c r="E588" s="438">
        <v>13.581</v>
      </c>
      <c r="F588" s="438">
        <v>26.981999999999999</v>
      </c>
      <c r="G588" s="438">
        <v>19.041</v>
      </c>
      <c r="H588" s="438">
        <v>29.12</v>
      </c>
      <c r="I588" s="438">
        <v>19.035</v>
      </c>
      <c r="J588" s="11"/>
      <c r="Q588" s="348">
        <f t="shared" si="80"/>
        <v>26.922674818087103</v>
      </c>
      <c r="R588" s="348">
        <f t="shared" si="81"/>
        <v>19.009826330860736</v>
      </c>
      <c r="S588" s="348">
        <f t="shared" si="82"/>
        <v>15.154911757267969</v>
      </c>
      <c r="T588" s="348">
        <f t="shared" si="83"/>
        <v>13.600006692556182</v>
      </c>
      <c r="U588" s="348">
        <f t="shared" si="84"/>
        <v>26.922674818087103</v>
      </c>
      <c r="V588" s="348">
        <f t="shared" si="85"/>
        <v>18.994765462850093</v>
      </c>
      <c r="W588" s="348">
        <f t="shared" si="86"/>
        <v>28.917151651107506</v>
      </c>
      <c r="X588" s="348">
        <f t="shared" si="87"/>
        <v>18.931541548602773</v>
      </c>
    </row>
    <row r="589" spans="1:24" x14ac:dyDescent="0.2">
      <c r="A589" s="407">
        <v>581</v>
      </c>
      <c r="B589" s="438">
        <v>26.99</v>
      </c>
      <c r="C589" s="438">
        <v>19.039000000000001</v>
      </c>
      <c r="D589" s="438">
        <v>15.316000000000001</v>
      </c>
      <c r="E589" s="438">
        <v>13.584</v>
      </c>
      <c r="F589" s="438">
        <v>26.99</v>
      </c>
      <c r="G589" s="438">
        <v>19.039000000000001</v>
      </c>
      <c r="H589" s="438">
        <v>29.114000000000001</v>
      </c>
      <c r="I589" s="438">
        <v>19.033999999999999</v>
      </c>
      <c r="J589" s="11"/>
      <c r="Q589" s="348">
        <f t="shared" si="80"/>
        <v>26.930634268578576</v>
      </c>
      <c r="R589" s="348">
        <f t="shared" si="81"/>
        <v>19.007814108929892</v>
      </c>
      <c r="S589" s="348">
        <f t="shared" si="82"/>
        <v>15.155911259083842</v>
      </c>
      <c r="T589" s="348">
        <f t="shared" si="83"/>
        <v>13.603009006498031</v>
      </c>
      <c r="U589" s="348">
        <f t="shared" si="84"/>
        <v>26.930634268578576</v>
      </c>
      <c r="V589" s="348">
        <f t="shared" si="85"/>
        <v>18.992762933337143</v>
      </c>
      <c r="W589" s="348">
        <f t="shared" si="86"/>
        <v>28.911171142875386</v>
      </c>
      <c r="X589" s="348">
        <f t="shared" si="87"/>
        <v>18.930546957482289</v>
      </c>
    </row>
    <row r="590" spans="1:24" x14ac:dyDescent="0.2">
      <c r="A590" s="407">
        <v>582</v>
      </c>
      <c r="B590" s="438">
        <v>26.986000000000001</v>
      </c>
      <c r="C590" s="438">
        <v>19.041</v>
      </c>
      <c r="D590" s="438">
        <v>15.311</v>
      </c>
      <c r="E590" s="438">
        <v>13.584</v>
      </c>
      <c r="F590" s="438">
        <v>26.986000000000001</v>
      </c>
      <c r="G590" s="438">
        <v>19.041</v>
      </c>
      <c r="H590" s="438">
        <v>29.111000000000001</v>
      </c>
      <c r="I590" s="438">
        <v>19.032</v>
      </c>
      <c r="J590" s="11"/>
      <c r="Q590" s="348">
        <f t="shared" si="80"/>
        <v>26.92665454519047</v>
      </c>
      <c r="R590" s="348">
        <f t="shared" si="81"/>
        <v>19.009826330860736</v>
      </c>
      <c r="S590" s="348">
        <f t="shared" si="82"/>
        <v>15.150913759052282</v>
      </c>
      <c r="T590" s="348">
        <f t="shared" si="83"/>
        <v>13.603009006498031</v>
      </c>
      <c r="U590" s="348">
        <f t="shared" si="84"/>
        <v>26.92665454519047</v>
      </c>
      <c r="V590" s="348">
        <f t="shared" si="85"/>
        <v>18.994765462850093</v>
      </c>
      <c r="W590" s="348">
        <f t="shared" si="86"/>
        <v>28.908180923721631</v>
      </c>
      <c r="X590" s="348">
        <f t="shared" si="87"/>
        <v>18.928557776135989</v>
      </c>
    </row>
    <row r="591" spans="1:24" x14ac:dyDescent="0.2">
      <c r="A591" s="407">
        <v>583</v>
      </c>
      <c r="B591" s="438">
        <v>26.986999999999998</v>
      </c>
      <c r="C591" s="438">
        <v>19.042999999999999</v>
      </c>
      <c r="D591" s="438">
        <v>15.315</v>
      </c>
      <c r="E591" s="438">
        <v>13.582000000000001</v>
      </c>
      <c r="F591" s="438">
        <v>26.986999999999998</v>
      </c>
      <c r="G591" s="438">
        <v>19.042999999999999</v>
      </c>
      <c r="H591" s="438">
        <v>29.109000000000002</v>
      </c>
      <c r="I591" s="438">
        <v>19.030999999999999</v>
      </c>
      <c r="J591" s="11"/>
      <c r="Q591" s="348">
        <f t="shared" si="80"/>
        <v>26.927649476385728</v>
      </c>
      <c r="R591" s="348">
        <f t="shared" si="81"/>
        <v>19.011838549939959</v>
      </c>
      <c r="S591" s="348">
        <f t="shared" si="82"/>
        <v>15.154911757267969</v>
      </c>
      <c r="T591" s="348">
        <f t="shared" si="83"/>
        <v>13.60100746395109</v>
      </c>
      <c r="U591" s="348">
        <f t="shared" si="84"/>
        <v>26.927649476385728</v>
      </c>
      <c r="V591" s="348">
        <f t="shared" si="85"/>
        <v>18.996767992566518</v>
      </c>
      <c r="W591" s="348">
        <f t="shared" si="86"/>
        <v>28.906187457235202</v>
      </c>
      <c r="X591" s="348">
        <f t="shared" si="87"/>
        <v>18.92756318591012</v>
      </c>
    </row>
    <row r="592" spans="1:24" x14ac:dyDescent="0.2">
      <c r="A592" s="407">
        <v>584</v>
      </c>
      <c r="B592" s="438">
        <v>26.992999999999999</v>
      </c>
      <c r="C592" s="438">
        <v>19.041</v>
      </c>
      <c r="D592" s="438">
        <v>15.316000000000001</v>
      </c>
      <c r="E592" s="438">
        <v>13.582000000000001</v>
      </c>
      <c r="F592" s="438">
        <v>26.992999999999999</v>
      </c>
      <c r="G592" s="438">
        <v>19.041</v>
      </c>
      <c r="H592" s="438">
        <v>29.106999999999999</v>
      </c>
      <c r="I592" s="438">
        <v>19.030999999999999</v>
      </c>
      <c r="J592" s="11"/>
      <c r="Q592" s="348">
        <f t="shared" si="80"/>
        <v>26.933619058682634</v>
      </c>
      <c r="R592" s="348">
        <f t="shared" si="81"/>
        <v>19.009826330860736</v>
      </c>
      <c r="S592" s="348">
        <f t="shared" si="82"/>
        <v>15.155911259083842</v>
      </c>
      <c r="T592" s="348">
        <f t="shared" si="83"/>
        <v>13.60100746395109</v>
      </c>
      <c r="U592" s="348">
        <f t="shared" si="84"/>
        <v>26.933619058682634</v>
      </c>
      <c r="V592" s="348">
        <f t="shared" si="85"/>
        <v>18.994765462850093</v>
      </c>
      <c r="W592" s="348">
        <f t="shared" si="86"/>
        <v>28.904194001108493</v>
      </c>
      <c r="X592" s="348">
        <f t="shared" si="87"/>
        <v>18.92756318591012</v>
      </c>
    </row>
    <row r="593" spans="1:24" x14ac:dyDescent="0.2">
      <c r="A593" s="407">
        <v>585</v>
      </c>
      <c r="B593" s="438">
        <v>26.986999999999998</v>
      </c>
      <c r="C593" s="438">
        <v>19.04</v>
      </c>
      <c r="D593" s="438">
        <v>15.316000000000001</v>
      </c>
      <c r="E593" s="438">
        <v>13.582000000000001</v>
      </c>
      <c r="F593" s="438">
        <v>26.986999999999998</v>
      </c>
      <c r="G593" s="438">
        <v>19.04</v>
      </c>
      <c r="H593" s="438">
        <v>29.097999999999999</v>
      </c>
      <c r="I593" s="438">
        <v>19.029</v>
      </c>
      <c r="J593" s="11"/>
      <c r="Q593" s="348">
        <f t="shared" si="80"/>
        <v>26.927649476385728</v>
      </c>
      <c r="R593" s="348">
        <f t="shared" si="81"/>
        <v>19.008820220251717</v>
      </c>
      <c r="S593" s="348">
        <f t="shared" si="82"/>
        <v>15.155911259083842</v>
      </c>
      <c r="T593" s="348">
        <f t="shared" si="83"/>
        <v>13.60100746395109</v>
      </c>
      <c r="U593" s="348">
        <f t="shared" si="84"/>
        <v>26.927649476385728</v>
      </c>
      <c r="V593" s="348">
        <f t="shared" si="85"/>
        <v>18.993764198068142</v>
      </c>
      <c r="W593" s="348">
        <f t="shared" si="86"/>
        <v>28.895223576744609</v>
      </c>
      <c r="X593" s="348">
        <f t="shared" si="87"/>
        <v>18.925574006352825</v>
      </c>
    </row>
    <row r="594" spans="1:24" x14ac:dyDescent="0.2">
      <c r="A594" s="407">
        <v>586</v>
      </c>
      <c r="B594" s="438">
        <v>26.997</v>
      </c>
      <c r="C594" s="438">
        <v>19.042000000000002</v>
      </c>
      <c r="D594" s="438">
        <v>15.321</v>
      </c>
      <c r="E594" s="438">
        <v>13.586</v>
      </c>
      <c r="F594" s="438">
        <v>26.997</v>
      </c>
      <c r="G594" s="438">
        <v>19.042000000000002</v>
      </c>
      <c r="H594" s="438">
        <v>29.093</v>
      </c>
      <c r="I594" s="438">
        <v>19.029</v>
      </c>
      <c r="J594" s="11"/>
      <c r="Q594" s="348">
        <f t="shared" si="80"/>
        <v>26.93759877557348</v>
      </c>
      <c r="R594" s="348">
        <f t="shared" si="81"/>
        <v>19.01083244075685</v>
      </c>
      <c r="S594" s="348">
        <f t="shared" si="82"/>
        <v>15.160908781727908</v>
      </c>
      <c r="T594" s="348">
        <f t="shared" si="83"/>
        <v>13.605010548721044</v>
      </c>
      <c r="U594" s="348">
        <f t="shared" si="84"/>
        <v>26.93759877557348</v>
      </c>
      <c r="V594" s="348">
        <f t="shared" si="85"/>
        <v>18.995766727682909</v>
      </c>
      <c r="W594" s="348">
        <f t="shared" si="86"/>
        <v>28.890240098308492</v>
      </c>
      <c r="X594" s="348">
        <f t="shared" si="87"/>
        <v>18.925574006352825</v>
      </c>
    </row>
    <row r="595" spans="1:24" x14ac:dyDescent="0.2">
      <c r="A595" s="407">
        <v>587</v>
      </c>
      <c r="B595" s="437">
        <v>26.994</v>
      </c>
      <c r="C595" s="438">
        <v>19.041</v>
      </c>
      <c r="D595" s="438">
        <v>15.318</v>
      </c>
      <c r="E595" s="438">
        <v>13.587</v>
      </c>
      <c r="F595" s="438">
        <v>26.994</v>
      </c>
      <c r="G595" s="438">
        <v>19.041</v>
      </c>
      <c r="H595" s="438">
        <v>29.087</v>
      </c>
      <c r="I595" s="438">
        <v>19.027000000000001</v>
      </c>
      <c r="J595" s="11"/>
      <c r="Q595" s="348">
        <f t="shared" si="80"/>
        <v>26.934613988253275</v>
      </c>
      <c r="R595" s="348">
        <f t="shared" si="81"/>
        <v>19.009826330860736</v>
      </c>
      <c r="S595" s="348">
        <f t="shared" si="82"/>
        <v>15.157910265428947</v>
      </c>
      <c r="T595" s="348">
        <f t="shared" si="83"/>
        <v>13.606011319711039</v>
      </c>
      <c r="U595" s="348">
        <f t="shared" si="84"/>
        <v>26.934613988253275</v>
      </c>
      <c r="V595" s="348">
        <f t="shared" si="85"/>
        <v>18.994765462850093</v>
      </c>
      <c r="W595" s="348">
        <f t="shared" si="86"/>
        <v>28.884260009664477</v>
      </c>
      <c r="X595" s="348">
        <f t="shared" si="87"/>
        <v>18.923584827987952</v>
      </c>
    </row>
    <row r="596" spans="1:24" x14ac:dyDescent="0.2">
      <c r="A596" s="407">
        <v>588</v>
      </c>
      <c r="B596" s="438">
        <v>26.994</v>
      </c>
      <c r="C596" s="438">
        <v>19.041</v>
      </c>
      <c r="D596" s="438">
        <v>15.319000000000001</v>
      </c>
      <c r="E596" s="438">
        <v>13.59</v>
      </c>
      <c r="F596" s="438">
        <v>26.994</v>
      </c>
      <c r="G596" s="438">
        <v>19.041</v>
      </c>
      <c r="H596" s="438">
        <v>29.084</v>
      </c>
      <c r="I596" s="438">
        <v>19.024000000000001</v>
      </c>
      <c r="J596" s="11"/>
      <c r="Q596" s="348">
        <f t="shared" si="80"/>
        <v>26.934613988253275</v>
      </c>
      <c r="R596" s="348">
        <f t="shared" si="81"/>
        <v>19.009826330860736</v>
      </c>
      <c r="S596" s="348">
        <f t="shared" si="82"/>
        <v>15.158909769957901</v>
      </c>
      <c r="T596" s="348">
        <f t="shared" si="83"/>
        <v>13.60901363219479</v>
      </c>
      <c r="U596" s="348">
        <f t="shared" si="84"/>
        <v>26.934613988253275</v>
      </c>
      <c r="V596" s="348">
        <f t="shared" si="85"/>
        <v>18.994765462850093</v>
      </c>
      <c r="W596" s="348">
        <f t="shared" si="86"/>
        <v>28.881270000312615</v>
      </c>
      <c r="X596" s="348">
        <f t="shared" si="87"/>
        <v>18.920601062676003</v>
      </c>
    </row>
    <row r="597" spans="1:24" x14ac:dyDescent="0.2">
      <c r="A597" s="407">
        <v>589</v>
      </c>
      <c r="B597" s="438">
        <v>26.992999999999999</v>
      </c>
      <c r="C597" s="438">
        <v>19.042999999999999</v>
      </c>
      <c r="D597" s="438">
        <v>15.317</v>
      </c>
      <c r="E597" s="438">
        <v>13.586</v>
      </c>
      <c r="F597" s="438">
        <v>26.992999999999999</v>
      </c>
      <c r="G597" s="438">
        <v>19.042999999999999</v>
      </c>
      <c r="H597" s="438">
        <v>29.08</v>
      </c>
      <c r="I597" s="437">
        <v>19.021999999999998</v>
      </c>
      <c r="J597" s="11"/>
      <c r="Q597" s="348">
        <f t="shared" si="80"/>
        <v>26.933619058682634</v>
      </c>
      <c r="R597" s="348">
        <f t="shared" si="81"/>
        <v>19.011838549939959</v>
      </c>
      <c r="S597" s="348">
        <f t="shared" si="82"/>
        <v>15.156910761804214</v>
      </c>
      <c r="T597" s="348">
        <f t="shared" si="83"/>
        <v>13.605010548721044</v>
      </c>
      <c r="U597" s="348">
        <f t="shared" si="84"/>
        <v>26.933619058682634</v>
      </c>
      <c r="V597" s="348">
        <f t="shared" si="85"/>
        <v>18.996767992566518</v>
      </c>
      <c r="W597" s="348">
        <f t="shared" si="86"/>
        <v>28.877283357443407</v>
      </c>
      <c r="X597" s="348">
        <f t="shared" si="87"/>
        <v>18.918611887291309</v>
      </c>
    </row>
    <row r="598" spans="1:24" x14ac:dyDescent="0.2">
      <c r="A598" s="407">
        <v>590</v>
      </c>
      <c r="B598" s="438">
        <v>26.997</v>
      </c>
      <c r="C598" s="438">
        <v>19.042000000000002</v>
      </c>
      <c r="D598" s="438">
        <v>15.32</v>
      </c>
      <c r="E598" s="438">
        <v>13.589</v>
      </c>
      <c r="F598" s="438">
        <v>26.997</v>
      </c>
      <c r="G598" s="438">
        <v>19.042000000000002</v>
      </c>
      <c r="H598" s="438">
        <v>29.074999999999999</v>
      </c>
      <c r="I598" s="438">
        <v>19.02</v>
      </c>
      <c r="J598" s="11"/>
      <c r="Q598" s="348">
        <f t="shared" si="80"/>
        <v>26.93759877557348</v>
      </c>
      <c r="R598" s="348">
        <f t="shared" si="81"/>
        <v>19.01083244075685</v>
      </c>
      <c r="S598" s="348">
        <f t="shared" si="82"/>
        <v>15.159909275390936</v>
      </c>
      <c r="T598" s="348">
        <f t="shared" si="83"/>
        <v>13.608012861447927</v>
      </c>
      <c r="U598" s="348">
        <f t="shared" si="84"/>
        <v>26.93759877557348</v>
      </c>
      <c r="V598" s="348">
        <f t="shared" si="85"/>
        <v>18.995766727682909</v>
      </c>
      <c r="W598" s="348">
        <f t="shared" si="86"/>
        <v>28.872300112144384</v>
      </c>
      <c r="X598" s="348">
        <f t="shared" si="87"/>
        <v>18.916622713098349</v>
      </c>
    </row>
    <row r="599" spans="1:24" x14ac:dyDescent="0.2">
      <c r="A599" s="407">
        <v>591</v>
      </c>
      <c r="B599" s="438">
        <v>26.991</v>
      </c>
      <c r="C599" s="438">
        <v>19.039000000000001</v>
      </c>
      <c r="D599" s="438">
        <v>15.318</v>
      </c>
      <c r="E599" s="438">
        <v>13.585000000000001</v>
      </c>
      <c r="F599" s="438">
        <v>26.991</v>
      </c>
      <c r="G599" s="438">
        <v>19.039000000000001</v>
      </c>
      <c r="H599" s="438">
        <v>29.068000000000001</v>
      </c>
      <c r="I599" s="438">
        <v>19.018999999999998</v>
      </c>
      <c r="J599" s="11"/>
      <c r="Q599" s="348">
        <f t="shared" si="80"/>
        <v>26.931629198845314</v>
      </c>
      <c r="R599" s="348">
        <f t="shared" si="81"/>
        <v>19.007814108929892</v>
      </c>
      <c r="S599" s="348">
        <f t="shared" si="82"/>
        <v>15.157910265428947</v>
      </c>
      <c r="T599" s="348">
        <f t="shared" si="83"/>
        <v>13.604009777650038</v>
      </c>
      <c r="U599" s="348">
        <f t="shared" si="84"/>
        <v>26.931629198845314</v>
      </c>
      <c r="V599" s="348">
        <f t="shared" si="85"/>
        <v>18.992762933337143</v>
      </c>
      <c r="W599" s="348">
        <f t="shared" si="86"/>
        <v>28.86532367753367</v>
      </c>
      <c r="X599" s="348">
        <f t="shared" si="87"/>
        <v>18.915628126448702</v>
      </c>
    </row>
    <row r="600" spans="1:24" x14ac:dyDescent="0.2">
      <c r="A600" s="407">
        <v>592</v>
      </c>
      <c r="B600" s="438">
        <v>26.995999999999999</v>
      </c>
      <c r="C600" s="438">
        <v>19.041</v>
      </c>
      <c r="D600" s="438">
        <v>15.321</v>
      </c>
      <c r="E600" s="438">
        <v>13.587</v>
      </c>
      <c r="F600" s="438">
        <v>26.995999999999999</v>
      </c>
      <c r="G600" s="438">
        <v>19.041</v>
      </c>
      <c r="H600" s="438">
        <v>29.064</v>
      </c>
      <c r="I600" s="438">
        <v>19.018999999999998</v>
      </c>
      <c r="J600" s="11"/>
      <c r="Q600" s="348">
        <f t="shared" si="80"/>
        <v>26.93660384669867</v>
      </c>
      <c r="R600" s="348">
        <f t="shared" si="81"/>
        <v>19.009826330860736</v>
      </c>
      <c r="S600" s="348">
        <f t="shared" si="82"/>
        <v>15.160908781727908</v>
      </c>
      <c r="T600" s="348">
        <f t="shared" si="83"/>
        <v>13.606011319711039</v>
      </c>
      <c r="U600" s="348">
        <f t="shared" si="84"/>
        <v>26.93660384669867</v>
      </c>
      <c r="V600" s="348">
        <f t="shared" si="85"/>
        <v>18.994765462850093</v>
      </c>
      <c r="W600" s="348">
        <f t="shared" si="86"/>
        <v>28.861337200467421</v>
      </c>
      <c r="X600" s="348">
        <f t="shared" si="87"/>
        <v>18.915628126448702</v>
      </c>
    </row>
    <row r="601" spans="1:24" x14ac:dyDescent="0.2">
      <c r="A601" s="407">
        <v>593</v>
      </c>
      <c r="B601" s="438">
        <v>26.997</v>
      </c>
      <c r="C601" s="437">
        <v>19.042000000000002</v>
      </c>
      <c r="D601" s="437">
        <v>15.32</v>
      </c>
      <c r="E601" s="438">
        <v>13.584</v>
      </c>
      <c r="F601" s="438">
        <v>26.997</v>
      </c>
      <c r="G601" s="438">
        <v>19.042000000000002</v>
      </c>
      <c r="H601" s="438">
        <v>29.06</v>
      </c>
      <c r="I601" s="438">
        <v>19.02</v>
      </c>
      <c r="J601" s="11"/>
      <c r="Q601" s="348">
        <f t="shared" si="80"/>
        <v>26.93759877557348</v>
      </c>
      <c r="R601" s="348">
        <f t="shared" si="81"/>
        <v>19.01083244075685</v>
      </c>
      <c r="S601" s="348">
        <f t="shared" si="82"/>
        <v>15.159909275390936</v>
      </c>
      <c r="T601" s="348">
        <f t="shared" si="83"/>
        <v>13.603009006498031</v>
      </c>
      <c r="U601" s="348">
        <f t="shared" si="84"/>
        <v>26.93759877557348</v>
      </c>
      <c r="V601" s="348">
        <f t="shared" si="85"/>
        <v>18.995766727682909</v>
      </c>
      <c r="W601" s="348">
        <f t="shared" si="86"/>
        <v>28.857350764855159</v>
      </c>
      <c r="X601" s="348">
        <f t="shared" si="87"/>
        <v>18.916622713098349</v>
      </c>
    </row>
    <row r="602" spans="1:24" x14ac:dyDescent="0.2">
      <c r="A602" s="407">
        <v>594</v>
      </c>
      <c r="B602" s="438">
        <v>26.995000000000001</v>
      </c>
      <c r="C602" s="438">
        <v>19.04</v>
      </c>
      <c r="D602" s="438">
        <v>15.32</v>
      </c>
      <c r="E602" s="437">
        <v>13.584</v>
      </c>
      <c r="F602" s="438">
        <v>26.995000000000001</v>
      </c>
      <c r="G602" s="438">
        <v>19.04</v>
      </c>
      <c r="H602" s="438">
        <v>29.056000000000001</v>
      </c>
      <c r="I602" s="438">
        <v>19.016999999999999</v>
      </c>
      <c r="J602" s="11"/>
      <c r="Q602" s="348">
        <f t="shared" si="80"/>
        <v>26.935608917591946</v>
      </c>
      <c r="R602" s="348">
        <f t="shared" si="81"/>
        <v>19.008820220251717</v>
      </c>
      <c r="S602" s="348">
        <f t="shared" si="82"/>
        <v>15.159909275390936</v>
      </c>
      <c r="T602" s="348">
        <f t="shared" si="83"/>
        <v>13.603009006498031</v>
      </c>
      <c r="U602" s="348">
        <f t="shared" si="84"/>
        <v>26.935608917591946</v>
      </c>
      <c r="V602" s="348">
        <f t="shared" si="85"/>
        <v>18.993764198068142</v>
      </c>
      <c r="W602" s="348">
        <f t="shared" si="86"/>
        <v>28.85336437069817</v>
      </c>
      <c r="X602" s="348">
        <f t="shared" si="87"/>
        <v>18.913638954042955</v>
      </c>
    </row>
    <row r="603" spans="1:24" x14ac:dyDescent="0.2">
      <c r="A603" s="407">
        <v>595</v>
      </c>
      <c r="B603" s="438">
        <v>27</v>
      </c>
      <c r="C603" s="438">
        <v>19.039000000000001</v>
      </c>
      <c r="D603" s="438">
        <v>15.316000000000001</v>
      </c>
      <c r="E603" s="438">
        <v>13.581</v>
      </c>
      <c r="F603" s="438">
        <v>27</v>
      </c>
      <c r="G603" s="438">
        <v>19.039000000000001</v>
      </c>
      <c r="H603" s="438">
        <v>29.053000000000001</v>
      </c>
      <c r="I603" s="438">
        <v>19.015000000000001</v>
      </c>
      <c r="J603" s="11"/>
      <c r="Q603" s="348">
        <f t="shared" si="80"/>
        <v>26.940583560806701</v>
      </c>
      <c r="R603" s="348">
        <f t="shared" si="81"/>
        <v>19.007814108929892</v>
      </c>
      <c r="S603" s="348">
        <f t="shared" si="82"/>
        <v>15.155911259083842</v>
      </c>
      <c r="T603" s="348">
        <f t="shared" si="83"/>
        <v>13.600006692556182</v>
      </c>
      <c r="U603" s="348">
        <f t="shared" si="84"/>
        <v>26.940583560806701</v>
      </c>
      <c r="V603" s="348">
        <f t="shared" si="85"/>
        <v>18.992762933337143</v>
      </c>
      <c r="W603" s="348">
        <f t="shared" si="86"/>
        <v>28.850374602286212</v>
      </c>
      <c r="X603" s="348">
        <f t="shared" si="87"/>
        <v>18.911649782828444</v>
      </c>
    </row>
    <row r="604" spans="1:24" x14ac:dyDescent="0.2">
      <c r="A604" s="407">
        <v>596</v>
      </c>
      <c r="B604" s="438">
        <v>26.998000000000001</v>
      </c>
      <c r="C604" s="438">
        <v>19.04</v>
      </c>
      <c r="D604" s="438">
        <v>15.319000000000001</v>
      </c>
      <c r="E604" s="438">
        <v>13.583</v>
      </c>
      <c r="F604" s="438">
        <v>26.998000000000001</v>
      </c>
      <c r="G604" s="438">
        <v>19.04</v>
      </c>
      <c r="H604" s="438">
        <v>29.047000000000001</v>
      </c>
      <c r="I604" s="438">
        <v>19.016999999999999</v>
      </c>
      <c r="J604" s="11"/>
      <c r="Q604" s="348">
        <f t="shared" si="80"/>
        <v>26.938593704216402</v>
      </c>
      <c r="R604" s="348">
        <f t="shared" si="81"/>
        <v>19.008820220251717</v>
      </c>
      <c r="S604" s="348">
        <f t="shared" si="82"/>
        <v>15.158909769957901</v>
      </c>
      <c r="T604" s="348">
        <f t="shared" si="83"/>
        <v>13.602008235265044</v>
      </c>
      <c r="U604" s="348">
        <f t="shared" si="84"/>
        <v>26.938593704216402</v>
      </c>
      <c r="V604" s="348">
        <f t="shared" si="85"/>
        <v>18.993764198068142</v>
      </c>
      <c r="W604" s="348">
        <f t="shared" si="86"/>
        <v>28.844395135422349</v>
      </c>
      <c r="X604" s="348">
        <f t="shared" si="87"/>
        <v>18.913638954042955</v>
      </c>
    </row>
    <row r="605" spans="1:24" x14ac:dyDescent="0.2">
      <c r="A605" s="407">
        <v>597</v>
      </c>
      <c r="B605" s="437">
        <v>26.992000000000001</v>
      </c>
      <c r="C605" s="438">
        <v>19.035</v>
      </c>
      <c r="D605" s="438">
        <v>15.317</v>
      </c>
      <c r="E605" s="438">
        <v>13.584</v>
      </c>
      <c r="F605" s="438">
        <v>26.992000000000001</v>
      </c>
      <c r="G605" s="438">
        <v>19.035</v>
      </c>
      <c r="H605" s="438">
        <v>29.045999999999999</v>
      </c>
      <c r="I605" s="438">
        <v>19.012</v>
      </c>
      <c r="J605" s="11"/>
      <c r="Q605" s="348">
        <f t="shared" si="80"/>
        <v>26.93262412887999</v>
      </c>
      <c r="R605" s="348">
        <f t="shared" si="81"/>
        <v>19.003789656516393</v>
      </c>
      <c r="S605" s="348">
        <f t="shared" si="82"/>
        <v>15.156910761804214</v>
      </c>
      <c r="T605" s="348">
        <f t="shared" si="83"/>
        <v>13.603009006498031</v>
      </c>
      <c r="U605" s="348">
        <f t="shared" si="84"/>
        <v>26.93262412887999</v>
      </c>
      <c r="V605" s="348">
        <f t="shared" si="85"/>
        <v>18.988757874924048</v>
      </c>
      <c r="W605" s="348">
        <f t="shared" si="86"/>
        <v>28.843398566680822</v>
      </c>
      <c r="X605" s="348">
        <f t="shared" si="87"/>
        <v>18.908666028239786</v>
      </c>
    </row>
    <row r="606" spans="1:24" x14ac:dyDescent="0.2">
      <c r="A606" s="407">
        <v>598</v>
      </c>
      <c r="B606" s="438">
        <v>26.992999999999999</v>
      </c>
      <c r="C606" s="438">
        <v>19.033999999999999</v>
      </c>
      <c r="D606" s="438">
        <v>15.319000000000001</v>
      </c>
      <c r="E606" s="438">
        <v>13.582000000000001</v>
      </c>
      <c r="F606" s="438">
        <v>26.992999999999999</v>
      </c>
      <c r="G606" s="438">
        <v>19.033999999999999</v>
      </c>
      <c r="H606" s="438">
        <v>29.042999999999999</v>
      </c>
      <c r="I606" s="438">
        <v>19.013999999999999</v>
      </c>
      <c r="J606" s="11"/>
      <c r="Q606" s="348">
        <f t="shared" si="80"/>
        <v>26.933619058682634</v>
      </c>
      <c r="R606" s="348">
        <f t="shared" si="81"/>
        <v>19.002783541631942</v>
      </c>
      <c r="S606" s="348">
        <f t="shared" si="82"/>
        <v>15.158909769957901</v>
      </c>
      <c r="T606" s="348">
        <f t="shared" si="83"/>
        <v>13.60100746395109</v>
      </c>
      <c r="U606" s="348">
        <f t="shared" si="84"/>
        <v>26.933619058682634</v>
      </c>
      <c r="V606" s="348">
        <f t="shared" si="85"/>
        <v>18.987756610448876</v>
      </c>
      <c r="W606" s="348">
        <f t="shared" si="86"/>
        <v>28.840408876003718</v>
      </c>
      <c r="X606" s="348">
        <f t="shared" si="87"/>
        <v>18.910655197667833</v>
      </c>
    </row>
    <row r="607" spans="1:24" x14ac:dyDescent="0.2">
      <c r="A607" s="407">
        <v>599</v>
      </c>
      <c r="B607" s="438">
        <v>26.997</v>
      </c>
      <c r="C607" s="438">
        <v>19.035</v>
      </c>
      <c r="D607" s="438">
        <v>15.319000000000001</v>
      </c>
      <c r="E607" s="438">
        <v>13.579000000000001</v>
      </c>
      <c r="F607" s="438">
        <v>26.997</v>
      </c>
      <c r="G607" s="437">
        <v>19.035</v>
      </c>
      <c r="H607" s="438">
        <v>29.042000000000002</v>
      </c>
      <c r="I607" s="438">
        <v>19.015999999999998</v>
      </c>
      <c r="J607" s="11"/>
      <c r="Q607" s="348">
        <f t="shared" si="80"/>
        <v>26.93759877557348</v>
      </c>
      <c r="R607" s="348">
        <f t="shared" si="81"/>
        <v>19.003789656516393</v>
      </c>
      <c r="S607" s="348">
        <f t="shared" si="82"/>
        <v>15.158909769957901</v>
      </c>
      <c r="T607" s="348">
        <f t="shared" si="83"/>
        <v>13.598005149523575</v>
      </c>
      <c r="U607" s="348">
        <f t="shared" si="84"/>
        <v>26.93759877557348</v>
      </c>
      <c r="V607" s="348">
        <f t="shared" si="85"/>
        <v>18.988757874924048</v>
      </c>
      <c r="W607" s="348">
        <f t="shared" si="86"/>
        <v>28.839412317627232</v>
      </c>
      <c r="X607" s="348">
        <f t="shared" si="87"/>
        <v>18.912644368286809</v>
      </c>
    </row>
    <row r="608" spans="1:24" x14ac:dyDescent="0.2">
      <c r="A608" s="407">
        <v>600</v>
      </c>
      <c r="B608" s="438">
        <v>26.991</v>
      </c>
      <c r="C608" s="438">
        <v>19.035</v>
      </c>
      <c r="D608" s="438">
        <v>15.319000000000001</v>
      </c>
      <c r="E608" s="438">
        <v>13.577999999999999</v>
      </c>
      <c r="F608" s="438">
        <v>26.991</v>
      </c>
      <c r="G608" s="438">
        <v>19.035</v>
      </c>
      <c r="H608" s="438">
        <v>29.044</v>
      </c>
      <c r="I608" s="438">
        <v>19.016999999999999</v>
      </c>
      <c r="J608" s="11"/>
      <c r="Q608" s="348">
        <f t="shared" si="80"/>
        <v>26.931629198845314</v>
      </c>
      <c r="R608" s="348">
        <f t="shared" si="81"/>
        <v>19.003789656516393</v>
      </c>
      <c r="S608" s="348">
        <f t="shared" si="82"/>
        <v>15.158909769957901</v>
      </c>
      <c r="T608" s="348">
        <f t="shared" si="83"/>
        <v>13.597004377885904</v>
      </c>
      <c r="U608" s="348">
        <f t="shared" si="84"/>
        <v>26.931629198845314</v>
      </c>
      <c r="V608" s="348">
        <f t="shared" si="85"/>
        <v>18.988757874924048</v>
      </c>
      <c r="W608" s="348">
        <f t="shared" si="86"/>
        <v>28.841405436971492</v>
      </c>
      <c r="X608" s="348">
        <f t="shared" si="87"/>
        <v>18.913638954042955</v>
      </c>
    </row>
    <row r="609" spans="1:24" x14ac:dyDescent="0.2">
      <c r="A609" s="407">
        <v>601</v>
      </c>
      <c r="B609" s="438">
        <v>26.992999999999999</v>
      </c>
      <c r="C609" s="437">
        <v>19.035</v>
      </c>
      <c r="D609" s="438">
        <v>15.319000000000001</v>
      </c>
      <c r="E609" s="437">
        <v>13.582000000000001</v>
      </c>
      <c r="F609" s="437">
        <v>26.992999999999999</v>
      </c>
      <c r="G609" s="437">
        <v>19.035</v>
      </c>
      <c r="H609" s="437">
        <v>29.05</v>
      </c>
      <c r="I609" s="438">
        <v>19.015999999999998</v>
      </c>
      <c r="J609" s="11"/>
      <c r="Q609" s="348">
        <f t="shared" si="80"/>
        <v>26.933619058682634</v>
      </c>
      <c r="R609" s="348">
        <f t="shared" si="81"/>
        <v>19.003789656516393</v>
      </c>
      <c r="S609" s="348">
        <f t="shared" si="82"/>
        <v>15.158909769957901</v>
      </c>
      <c r="T609" s="348">
        <f t="shared" si="83"/>
        <v>13.60100746395109</v>
      </c>
      <c r="U609" s="348">
        <f t="shared" si="84"/>
        <v>26.933619058682634</v>
      </c>
      <c r="V609" s="348">
        <f t="shared" si="85"/>
        <v>18.988757874924048</v>
      </c>
      <c r="W609" s="348">
        <f t="shared" si="86"/>
        <v>28.847384857194097</v>
      </c>
      <c r="X609" s="348">
        <f t="shared" si="87"/>
        <v>18.912644368286809</v>
      </c>
    </row>
    <row r="610" spans="1:24" x14ac:dyDescent="0.2">
      <c r="A610" s="407">
        <v>602</v>
      </c>
      <c r="B610" s="438">
        <v>26.984999999999999</v>
      </c>
      <c r="C610" s="438">
        <v>19.033999999999999</v>
      </c>
      <c r="D610" s="438">
        <v>15.315</v>
      </c>
      <c r="E610" s="438">
        <v>13.58</v>
      </c>
      <c r="F610" s="438">
        <v>26.984999999999999</v>
      </c>
      <c r="G610" s="438">
        <v>19.033999999999999</v>
      </c>
      <c r="H610" s="438">
        <v>29.047000000000001</v>
      </c>
      <c r="I610" s="438">
        <v>19.016999999999999</v>
      </c>
      <c r="J610" s="11"/>
      <c r="Q610" s="348">
        <f t="shared" si="80"/>
        <v>26.925659613763003</v>
      </c>
      <c r="R610" s="348">
        <f t="shared" si="81"/>
        <v>19.002783541631942</v>
      </c>
      <c r="S610" s="348">
        <f t="shared" si="82"/>
        <v>15.154911757267969</v>
      </c>
      <c r="T610" s="348">
        <f t="shared" si="83"/>
        <v>13.599005921080339</v>
      </c>
      <c r="U610" s="348">
        <f t="shared" si="84"/>
        <v>26.925659613763003</v>
      </c>
      <c r="V610" s="348">
        <f t="shared" si="85"/>
        <v>18.987756610448876</v>
      </c>
      <c r="W610" s="348">
        <f t="shared" si="86"/>
        <v>28.844395135422349</v>
      </c>
      <c r="X610" s="348">
        <f t="shared" si="87"/>
        <v>18.913638954042955</v>
      </c>
    </row>
    <row r="611" spans="1:24" x14ac:dyDescent="0.2">
      <c r="A611" s="407">
        <v>603</v>
      </c>
      <c r="B611" s="438">
        <v>26.989000000000001</v>
      </c>
      <c r="C611" s="438">
        <v>19.036999999999999</v>
      </c>
      <c r="D611" s="438">
        <v>15.314</v>
      </c>
      <c r="E611" s="438">
        <v>13.582000000000001</v>
      </c>
      <c r="F611" s="438">
        <v>26.989000000000001</v>
      </c>
      <c r="G611" s="438">
        <v>19.036999999999999</v>
      </c>
      <c r="H611" s="438">
        <v>29.042999999999999</v>
      </c>
      <c r="I611" s="438">
        <v>19.021000000000001</v>
      </c>
      <c r="J611" s="11"/>
      <c r="Q611" s="348">
        <f t="shared" si="80"/>
        <v>26.929639338079756</v>
      </c>
      <c r="R611" s="348">
        <f t="shared" si="81"/>
        <v>19.005801884148187</v>
      </c>
      <c r="S611" s="348">
        <f t="shared" si="82"/>
        <v>15.153912256356737</v>
      </c>
      <c r="T611" s="348">
        <f t="shared" si="83"/>
        <v>13.60100746395109</v>
      </c>
      <c r="U611" s="348">
        <f t="shared" si="84"/>
        <v>26.929639338079756</v>
      </c>
      <c r="V611" s="348">
        <f t="shared" si="85"/>
        <v>18.990760404028258</v>
      </c>
      <c r="W611" s="348">
        <f t="shared" si="86"/>
        <v>28.840408876003718</v>
      </c>
      <c r="X611" s="348">
        <f t="shared" si="87"/>
        <v>18.91761730004588</v>
      </c>
    </row>
    <row r="612" spans="1:24" x14ac:dyDescent="0.2">
      <c r="A612" s="407">
        <v>604</v>
      </c>
      <c r="B612" s="438">
        <v>26.989000000000001</v>
      </c>
      <c r="C612" s="438">
        <v>19.036000000000001</v>
      </c>
      <c r="D612" s="438">
        <v>15.318</v>
      </c>
      <c r="E612" s="438">
        <v>13.577</v>
      </c>
      <c r="F612" s="438">
        <v>26.989000000000001</v>
      </c>
      <c r="G612" s="438">
        <v>19.036000000000001</v>
      </c>
      <c r="H612" s="438">
        <v>29.045000000000002</v>
      </c>
      <c r="I612" s="438">
        <v>19.023</v>
      </c>
      <c r="J612" s="11"/>
      <c r="Q612" s="348">
        <f t="shared" si="80"/>
        <v>26.929639338079756</v>
      </c>
      <c r="R612" s="348">
        <f t="shared" si="81"/>
        <v>19.004795770688506</v>
      </c>
      <c r="S612" s="348">
        <f t="shared" si="82"/>
        <v>15.157910265428947</v>
      </c>
      <c r="T612" s="348">
        <f t="shared" si="83"/>
        <v>13.596003606167343</v>
      </c>
      <c r="U612" s="348">
        <f t="shared" si="84"/>
        <v>26.929639338079756</v>
      </c>
      <c r="V612" s="348">
        <f t="shared" si="85"/>
        <v>18.989759139450531</v>
      </c>
      <c r="W612" s="348">
        <f t="shared" si="86"/>
        <v>28.842402000530534</v>
      </c>
      <c r="X612" s="348">
        <f t="shared" si="87"/>
        <v>18.919606474834676</v>
      </c>
    </row>
    <row r="613" spans="1:24" x14ac:dyDescent="0.2">
      <c r="A613" s="407">
        <v>605</v>
      </c>
      <c r="B613" s="438">
        <v>26.988</v>
      </c>
      <c r="C613" s="438">
        <v>19.036000000000001</v>
      </c>
      <c r="D613" s="438">
        <v>15.317</v>
      </c>
      <c r="E613" s="438">
        <v>13.579000000000001</v>
      </c>
      <c r="F613" s="438">
        <v>26.988</v>
      </c>
      <c r="G613" s="438">
        <v>19.036000000000001</v>
      </c>
      <c r="H613" s="438">
        <v>29.048999999999999</v>
      </c>
      <c r="I613" s="438">
        <v>19.026</v>
      </c>
      <c r="J613" s="11"/>
      <c r="Q613" s="348">
        <f t="shared" si="80"/>
        <v>26.928644407348816</v>
      </c>
      <c r="R613" s="348">
        <f t="shared" si="81"/>
        <v>19.004795770688506</v>
      </c>
      <c r="S613" s="348">
        <f t="shared" si="82"/>
        <v>15.156910761804214</v>
      </c>
      <c r="T613" s="348">
        <f t="shared" si="83"/>
        <v>13.598005149523575</v>
      </c>
      <c r="U613" s="348">
        <f t="shared" si="84"/>
        <v>26.928644407348816</v>
      </c>
      <c r="V613" s="348">
        <f t="shared" si="85"/>
        <v>18.989759139450531</v>
      </c>
      <c r="W613" s="348">
        <f t="shared" si="86"/>
        <v>28.846388280678998</v>
      </c>
      <c r="X613" s="348">
        <f t="shared" si="87"/>
        <v>18.92259023925261</v>
      </c>
    </row>
    <row r="614" spans="1:24" x14ac:dyDescent="0.2">
      <c r="A614" s="407">
        <v>606</v>
      </c>
      <c r="B614" s="438">
        <v>26.986999999999998</v>
      </c>
      <c r="C614" s="438">
        <v>19.036999999999999</v>
      </c>
      <c r="D614" s="438">
        <v>15.319000000000001</v>
      </c>
      <c r="E614" s="438">
        <v>13.579000000000001</v>
      </c>
      <c r="F614" s="438">
        <v>26.986999999999998</v>
      </c>
      <c r="G614" s="438">
        <v>19.036999999999999</v>
      </c>
      <c r="H614" s="438">
        <v>29.047999999999998</v>
      </c>
      <c r="I614" s="438">
        <v>19.026</v>
      </c>
      <c r="J614" s="11"/>
      <c r="Q614" s="348">
        <f t="shared" si="80"/>
        <v>26.927649476385728</v>
      </c>
      <c r="R614" s="348">
        <f t="shared" si="81"/>
        <v>19.005801884148187</v>
      </c>
      <c r="S614" s="348">
        <f t="shared" si="82"/>
        <v>15.158909769957901</v>
      </c>
      <c r="T614" s="348">
        <f t="shared" si="83"/>
        <v>13.598005149523575</v>
      </c>
      <c r="U614" s="348">
        <f t="shared" si="84"/>
        <v>26.927649476385728</v>
      </c>
      <c r="V614" s="348">
        <f t="shared" si="85"/>
        <v>18.990760404028258</v>
      </c>
      <c r="W614" s="348">
        <f t="shared" si="86"/>
        <v>28.845391706755077</v>
      </c>
      <c r="X614" s="348">
        <f t="shared" si="87"/>
        <v>18.92259023925261</v>
      </c>
    </row>
    <row r="615" spans="1:24" x14ac:dyDescent="0.2">
      <c r="A615" s="407">
        <v>607</v>
      </c>
      <c r="B615" s="438">
        <v>26.978000000000002</v>
      </c>
      <c r="C615" s="438">
        <v>19.042000000000002</v>
      </c>
      <c r="D615" s="438">
        <v>15.316000000000001</v>
      </c>
      <c r="E615" s="438">
        <v>13.579000000000001</v>
      </c>
      <c r="F615" s="438">
        <v>26.978000000000002</v>
      </c>
      <c r="G615" s="438">
        <v>19.042000000000002</v>
      </c>
      <c r="H615" s="438">
        <v>29.048999999999999</v>
      </c>
      <c r="I615" s="438">
        <v>19.026</v>
      </c>
      <c r="J615" s="11"/>
      <c r="Q615" s="348">
        <f t="shared" si="80"/>
        <v>26.918695087266638</v>
      </c>
      <c r="R615" s="348">
        <f t="shared" si="81"/>
        <v>19.01083244075685</v>
      </c>
      <c r="S615" s="348">
        <f t="shared" si="82"/>
        <v>15.155911259083842</v>
      </c>
      <c r="T615" s="348">
        <f t="shared" si="83"/>
        <v>13.598005149523575</v>
      </c>
      <c r="U615" s="348">
        <f t="shared" si="84"/>
        <v>26.918695087266638</v>
      </c>
      <c r="V615" s="348">
        <f t="shared" si="85"/>
        <v>18.995766727682909</v>
      </c>
      <c r="W615" s="348">
        <f t="shared" si="86"/>
        <v>28.846388280678998</v>
      </c>
      <c r="X615" s="348">
        <f t="shared" si="87"/>
        <v>18.92259023925261</v>
      </c>
    </row>
    <row r="616" spans="1:24" x14ac:dyDescent="0.2">
      <c r="A616" s="407">
        <v>608</v>
      </c>
      <c r="B616" s="438">
        <v>26.986000000000001</v>
      </c>
      <c r="C616" s="438">
        <v>19.042999999999999</v>
      </c>
      <c r="D616" s="438">
        <v>15.319000000000001</v>
      </c>
      <c r="E616" s="438">
        <v>13.58</v>
      </c>
      <c r="F616" s="438">
        <v>26.986000000000001</v>
      </c>
      <c r="G616" s="438">
        <v>19.042999999999999</v>
      </c>
      <c r="H616" s="438">
        <v>29.05</v>
      </c>
      <c r="I616" s="438">
        <v>19.027999999999999</v>
      </c>
      <c r="J616" s="11"/>
      <c r="Q616" s="348">
        <f t="shared" si="80"/>
        <v>26.92665454519047</v>
      </c>
      <c r="R616" s="348">
        <f t="shared" si="81"/>
        <v>19.011838549939959</v>
      </c>
      <c r="S616" s="348">
        <f t="shared" si="82"/>
        <v>15.158909769957901</v>
      </c>
      <c r="T616" s="348">
        <f t="shared" si="83"/>
        <v>13.599005921080339</v>
      </c>
      <c r="U616" s="348">
        <f t="shared" si="84"/>
        <v>26.92665454519047</v>
      </c>
      <c r="V616" s="348">
        <f t="shared" si="85"/>
        <v>18.996767992566518</v>
      </c>
      <c r="W616" s="348">
        <f t="shared" si="86"/>
        <v>28.847384857194097</v>
      </c>
      <c r="X616" s="348">
        <f t="shared" si="87"/>
        <v>18.924579417021345</v>
      </c>
    </row>
    <row r="617" spans="1:24" x14ac:dyDescent="0.2">
      <c r="A617" s="407">
        <v>609</v>
      </c>
      <c r="B617" s="438">
        <v>26.98</v>
      </c>
      <c r="C617" s="438">
        <v>19.045000000000002</v>
      </c>
      <c r="D617" s="438">
        <v>15.311</v>
      </c>
      <c r="E617" s="438">
        <v>13.581</v>
      </c>
      <c r="F617" s="438">
        <v>26.98</v>
      </c>
      <c r="G617" s="438">
        <v>19.045000000000002</v>
      </c>
      <c r="H617" s="438">
        <v>29.047999999999998</v>
      </c>
      <c r="I617" s="438">
        <v>19.029</v>
      </c>
      <c r="J617" s="11"/>
      <c r="Q617" s="348">
        <f t="shared" si="80"/>
        <v>26.920684953141624</v>
      </c>
      <c r="R617" s="348">
        <f t="shared" si="81"/>
        <v>19.013850766166815</v>
      </c>
      <c r="S617" s="348">
        <f t="shared" si="82"/>
        <v>15.150913759052282</v>
      </c>
      <c r="T617" s="348">
        <f t="shared" si="83"/>
        <v>13.600006692556182</v>
      </c>
      <c r="U617" s="348">
        <f t="shared" si="84"/>
        <v>26.920684953141624</v>
      </c>
      <c r="V617" s="348">
        <f t="shared" si="85"/>
        <v>18.998770522485813</v>
      </c>
      <c r="W617" s="348">
        <f t="shared" si="86"/>
        <v>28.845391706755077</v>
      </c>
      <c r="X617" s="348">
        <f t="shared" si="87"/>
        <v>18.925574006352825</v>
      </c>
    </row>
    <row r="618" spans="1:24" x14ac:dyDescent="0.2">
      <c r="A618" s="407">
        <v>610</v>
      </c>
      <c r="B618" s="438">
        <v>26.977</v>
      </c>
      <c r="C618" s="438">
        <v>19.044</v>
      </c>
      <c r="D618" s="438">
        <v>15.313000000000001</v>
      </c>
      <c r="E618" s="438">
        <v>13.58</v>
      </c>
      <c r="F618" s="438">
        <v>26.977</v>
      </c>
      <c r="G618" s="438">
        <v>19.044</v>
      </c>
      <c r="H618" s="438">
        <v>29.044</v>
      </c>
      <c r="I618" s="438">
        <v>19.030999999999999</v>
      </c>
      <c r="J618" s="11"/>
      <c r="Q618" s="348">
        <f t="shared" si="80"/>
        <v>26.917700153980512</v>
      </c>
      <c r="R618" s="348">
        <f t="shared" si="81"/>
        <v>19.012844658409985</v>
      </c>
      <c r="S618" s="348">
        <f t="shared" si="82"/>
        <v>15.152912756350286</v>
      </c>
      <c r="T618" s="348">
        <f t="shared" si="83"/>
        <v>13.599005921080339</v>
      </c>
      <c r="U618" s="348">
        <f t="shared" si="84"/>
        <v>26.917700153980512</v>
      </c>
      <c r="V618" s="348">
        <f t="shared" si="85"/>
        <v>18.997769257500842</v>
      </c>
      <c r="W618" s="348">
        <f t="shared" si="86"/>
        <v>28.841405436971492</v>
      </c>
      <c r="X618" s="348">
        <f t="shared" si="87"/>
        <v>18.92756318591012</v>
      </c>
    </row>
    <row r="619" spans="1:24" x14ac:dyDescent="0.2">
      <c r="A619" s="407">
        <v>611</v>
      </c>
      <c r="B619" s="437">
        <v>26.975999999999999</v>
      </c>
      <c r="C619" s="438">
        <v>19.05</v>
      </c>
      <c r="D619" s="438">
        <v>15.311999999999999</v>
      </c>
      <c r="E619" s="438">
        <v>13.58</v>
      </c>
      <c r="F619" s="438">
        <v>26.975999999999999</v>
      </c>
      <c r="G619" s="438">
        <v>19.05</v>
      </c>
      <c r="H619" s="438">
        <v>29.045999999999999</v>
      </c>
      <c r="I619" s="438">
        <v>19.033000000000001</v>
      </c>
      <c r="J619" s="11"/>
      <c r="Q619" s="348">
        <f t="shared" si="80"/>
        <v>26.916705220461917</v>
      </c>
      <c r="R619" s="348">
        <f t="shared" si="81"/>
        <v>19.01888129424983</v>
      </c>
      <c r="S619" s="348">
        <f t="shared" si="82"/>
        <v>15.151913257248752</v>
      </c>
      <c r="T619" s="348">
        <f t="shared" si="83"/>
        <v>13.599005921080339</v>
      </c>
      <c r="U619" s="348">
        <f t="shared" si="84"/>
        <v>26.916705220461917</v>
      </c>
      <c r="V619" s="348">
        <f t="shared" si="85"/>
        <v>19.003776848167682</v>
      </c>
      <c r="W619" s="348">
        <f t="shared" si="86"/>
        <v>28.843398566680822</v>
      </c>
      <c r="X619" s="348">
        <f t="shared" si="87"/>
        <v>18.929552366660037</v>
      </c>
    </row>
    <row r="620" spans="1:24" x14ac:dyDescent="0.2">
      <c r="A620" s="407">
        <v>612</v>
      </c>
      <c r="B620" s="438">
        <v>26.978000000000002</v>
      </c>
      <c r="C620" s="438">
        <v>19.048999999999999</v>
      </c>
      <c r="D620" s="438">
        <v>15.314</v>
      </c>
      <c r="E620" s="438">
        <v>13.582000000000001</v>
      </c>
      <c r="F620" s="438">
        <v>26.978000000000002</v>
      </c>
      <c r="G620" s="438">
        <v>19.048999999999999</v>
      </c>
      <c r="H620" s="438">
        <v>29.05</v>
      </c>
      <c r="I620" s="438">
        <v>19.035</v>
      </c>
      <c r="J620" s="11"/>
      <c r="Q620" s="348">
        <f t="shared" si="80"/>
        <v>26.918695087266638</v>
      </c>
      <c r="R620" s="348">
        <f t="shared" si="81"/>
        <v>19.017875190060362</v>
      </c>
      <c r="S620" s="348">
        <f t="shared" si="82"/>
        <v>15.153912256356737</v>
      </c>
      <c r="T620" s="348">
        <f t="shared" si="83"/>
        <v>13.60100746395109</v>
      </c>
      <c r="U620" s="348">
        <f t="shared" si="84"/>
        <v>26.918695087266638</v>
      </c>
      <c r="V620" s="348">
        <f t="shared" si="85"/>
        <v>19.002775582930621</v>
      </c>
      <c r="W620" s="348">
        <f t="shared" si="86"/>
        <v>28.847384857194097</v>
      </c>
      <c r="X620" s="348">
        <f t="shared" si="87"/>
        <v>18.931541548602773</v>
      </c>
    </row>
    <row r="621" spans="1:24" x14ac:dyDescent="0.2">
      <c r="A621" s="407">
        <v>613</v>
      </c>
      <c r="B621" s="438">
        <v>26.98</v>
      </c>
      <c r="C621" s="438">
        <v>19.050999999999998</v>
      </c>
      <c r="D621" s="438">
        <v>15.313000000000001</v>
      </c>
      <c r="E621" s="438">
        <v>13.584</v>
      </c>
      <c r="F621" s="438">
        <v>26.98</v>
      </c>
      <c r="G621" s="438">
        <v>19.050999999999998</v>
      </c>
      <c r="H621" s="438">
        <v>29.050999999999998</v>
      </c>
      <c r="I621" s="438">
        <v>19.033999999999999</v>
      </c>
      <c r="J621" s="11"/>
      <c r="Q621" s="348">
        <f t="shared" si="80"/>
        <v>26.920684953141624</v>
      </c>
      <c r="R621" s="348">
        <f t="shared" si="81"/>
        <v>19.01988739772554</v>
      </c>
      <c r="S621" s="348">
        <f t="shared" si="82"/>
        <v>15.152912756350286</v>
      </c>
      <c r="T621" s="348">
        <f t="shared" si="83"/>
        <v>13.603009006498031</v>
      </c>
      <c r="U621" s="348">
        <f t="shared" si="84"/>
        <v>26.920684953141624</v>
      </c>
      <c r="V621" s="348">
        <f t="shared" si="85"/>
        <v>19.004778113454936</v>
      </c>
      <c r="W621" s="348">
        <f t="shared" si="86"/>
        <v>28.84838143630034</v>
      </c>
      <c r="X621" s="348">
        <f t="shared" si="87"/>
        <v>18.930546957482289</v>
      </c>
    </row>
    <row r="622" spans="1:24" x14ac:dyDescent="0.2">
      <c r="A622" s="407">
        <v>614</v>
      </c>
      <c r="B622" s="438">
        <v>26.981000000000002</v>
      </c>
      <c r="C622" s="438">
        <v>19.05</v>
      </c>
      <c r="D622" s="438">
        <v>15.314</v>
      </c>
      <c r="E622" s="438">
        <v>13.58</v>
      </c>
      <c r="F622" s="438">
        <v>26.981000000000002</v>
      </c>
      <c r="G622" s="438">
        <v>19.05</v>
      </c>
      <c r="H622" s="438">
        <v>29.053999999999998</v>
      </c>
      <c r="I622" s="438">
        <v>19.036000000000001</v>
      </c>
      <c r="J622" s="11"/>
      <c r="Q622" s="348">
        <f t="shared" si="80"/>
        <v>26.921679885730537</v>
      </c>
      <c r="R622" s="348">
        <f t="shared" si="81"/>
        <v>19.01888129424983</v>
      </c>
      <c r="S622" s="348">
        <f t="shared" si="82"/>
        <v>15.153912256356737</v>
      </c>
      <c r="T622" s="348">
        <f t="shared" si="83"/>
        <v>13.599005921080339</v>
      </c>
      <c r="U622" s="348">
        <f t="shared" si="84"/>
        <v>26.921679885730537</v>
      </c>
      <c r="V622" s="348">
        <f t="shared" si="85"/>
        <v>19.003776848167682</v>
      </c>
      <c r="W622" s="348">
        <f t="shared" si="86"/>
        <v>28.851371189165796</v>
      </c>
      <c r="X622" s="348">
        <f t="shared" si="87"/>
        <v>18.932536140021512</v>
      </c>
    </row>
    <row r="623" spans="1:24" x14ac:dyDescent="0.2">
      <c r="A623" s="407">
        <v>615</v>
      </c>
      <c r="B623" s="438">
        <v>26.975999999999999</v>
      </c>
      <c r="C623" s="437">
        <v>19.053000000000001</v>
      </c>
      <c r="D623" s="438">
        <v>15.311</v>
      </c>
      <c r="E623" s="438">
        <v>13.581</v>
      </c>
      <c r="F623" s="438">
        <v>26.975999999999999</v>
      </c>
      <c r="G623" s="438">
        <v>19.053000000000001</v>
      </c>
      <c r="H623" s="438">
        <v>29.055</v>
      </c>
      <c r="I623" s="438">
        <v>19.036999999999999</v>
      </c>
      <c r="J623" s="11"/>
      <c r="Q623" s="348">
        <f t="shared" si="80"/>
        <v>26.916705220461917</v>
      </c>
      <c r="R623" s="348">
        <f t="shared" si="81"/>
        <v>19.021899602535314</v>
      </c>
      <c r="S623" s="348">
        <f t="shared" si="82"/>
        <v>15.150913759052282</v>
      </c>
      <c r="T623" s="348">
        <f t="shared" si="83"/>
        <v>13.600006692556182</v>
      </c>
      <c r="U623" s="348">
        <f t="shared" si="84"/>
        <v>26.916705220461917</v>
      </c>
      <c r="V623" s="348">
        <f t="shared" si="85"/>
        <v>19.006780644179731</v>
      </c>
      <c r="W623" s="348">
        <f t="shared" si="86"/>
        <v>28.852367778636456</v>
      </c>
      <c r="X623" s="348">
        <f t="shared" si="87"/>
        <v>18.933530731738529</v>
      </c>
    </row>
    <row r="624" spans="1:24" x14ac:dyDescent="0.2">
      <c r="A624" s="407">
        <v>616</v>
      </c>
      <c r="B624" s="438">
        <v>26.981000000000002</v>
      </c>
      <c r="C624" s="438">
        <v>19.052</v>
      </c>
      <c r="D624" s="438">
        <v>15.313000000000001</v>
      </c>
      <c r="E624" s="438">
        <v>13.581</v>
      </c>
      <c r="F624" s="438">
        <v>26.981000000000002</v>
      </c>
      <c r="G624" s="438">
        <v>19.052</v>
      </c>
      <c r="H624" s="438">
        <v>29.053999999999998</v>
      </c>
      <c r="I624" s="438">
        <v>19.04</v>
      </c>
      <c r="J624" s="11"/>
      <c r="Q624" s="348">
        <f t="shared" si="80"/>
        <v>26.921679885730537</v>
      </c>
      <c r="R624" s="348">
        <f t="shared" si="81"/>
        <v>19.0208935004874</v>
      </c>
      <c r="S624" s="348">
        <f t="shared" si="82"/>
        <v>15.152912756350286</v>
      </c>
      <c r="T624" s="348">
        <f t="shared" si="83"/>
        <v>13.600006692556182</v>
      </c>
      <c r="U624" s="348">
        <f t="shared" si="84"/>
        <v>26.921679885730537</v>
      </c>
      <c r="V624" s="348">
        <f t="shared" si="85"/>
        <v>19.005779378792308</v>
      </c>
      <c r="W624" s="348">
        <f t="shared" si="86"/>
        <v>28.851371189165796</v>
      </c>
      <c r="X624" s="348">
        <f t="shared" si="87"/>
        <v>18.936514508679508</v>
      </c>
    </row>
    <row r="625" spans="1:24" x14ac:dyDescent="0.2">
      <c r="A625" s="407">
        <v>617</v>
      </c>
      <c r="B625" s="438">
        <v>26.974</v>
      </c>
      <c r="C625" s="438">
        <v>19.053999999999998</v>
      </c>
      <c r="D625" s="438">
        <v>15.31</v>
      </c>
      <c r="E625" s="438">
        <v>13.584</v>
      </c>
      <c r="F625" s="438">
        <v>26.974</v>
      </c>
      <c r="G625" s="438">
        <v>19.053999999999998</v>
      </c>
      <c r="H625" s="438">
        <v>29.059000000000001</v>
      </c>
      <c r="I625" s="438">
        <v>19.042999999999999</v>
      </c>
      <c r="J625" s="11"/>
      <c r="Q625" s="348">
        <f t="shared" si="80"/>
        <v>26.914715352727239</v>
      </c>
      <c r="R625" s="348">
        <f t="shared" si="81"/>
        <v>19.022905703869188</v>
      </c>
      <c r="S625" s="348">
        <f t="shared" si="82"/>
        <v>15.149914261761012</v>
      </c>
      <c r="T625" s="348">
        <f t="shared" si="83"/>
        <v>13.603009006498031</v>
      </c>
      <c r="U625" s="348">
        <f t="shared" si="84"/>
        <v>26.914715352727239</v>
      </c>
      <c r="V625" s="348">
        <f t="shared" si="85"/>
        <v>19.007781909617115</v>
      </c>
      <c r="W625" s="348">
        <f t="shared" si="86"/>
        <v>28.85635416242943</v>
      </c>
      <c r="X625" s="348">
        <f t="shared" si="87"/>
        <v>18.939498288305895</v>
      </c>
    </row>
    <row r="626" spans="1:24" x14ac:dyDescent="0.2">
      <c r="A626" s="407">
        <v>618</v>
      </c>
      <c r="B626" s="438">
        <v>26.98</v>
      </c>
      <c r="C626" s="438">
        <v>19.05</v>
      </c>
      <c r="D626" s="438">
        <v>15.318</v>
      </c>
      <c r="E626" s="438">
        <v>13.583</v>
      </c>
      <c r="F626" s="438">
        <v>26.98</v>
      </c>
      <c r="G626" s="438">
        <v>19.05</v>
      </c>
      <c r="H626" s="438">
        <v>29.061</v>
      </c>
      <c r="I626" s="438">
        <v>19.047000000000001</v>
      </c>
      <c r="J626" s="11"/>
      <c r="Q626" s="348">
        <f t="shared" si="80"/>
        <v>26.920684953141624</v>
      </c>
      <c r="R626" s="348">
        <f t="shared" si="81"/>
        <v>19.01888129424983</v>
      </c>
      <c r="S626" s="348">
        <f t="shared" si="82"/>
        <v>15.157910265428947</v>
      </c>
      <c r="T626" s="348">
        <f t="shared" si="83"/>
        <v>13.602008235265044</v>
      </c>
      <c r="U626" s="348">
        <f t="shared" si="84"/>
        <v>26.920684953141624</v>
      </c>
      <c r="V626" s="348">
        <f t="shared" si="85"/>
        <v>19.003776848167682</v>
      </c>
      <c r="W626" s="348">
        <f t="shared" si="86"/>
        <v>28.85834736987184</v>
      </c>
      <c r="X626" s="348">
        <f t="shared" si="87"/>
        <v>18.943476665319551</v>
      </c>
    </row>
    <row r="627" spans="1:24" x14ac:dyDescent="0.2">
      <c r="A627" s="407">
        <v>619</v>
      </c>
      <c r="B627" s="438">
        <v>26.981999999999999</v>
      </c>
      <c r="C627" s="438">
        <v>19.053000000000001</v>
      </c>
      <c r="D627" s="438">
        <v>15.318</v>
      </c>
      <c r="E627" s="438">
        <v>13.587999999999999</v>
      </c>
      <c r="F627" s="438">
        <v>26.981999999999999</v>
      </c>
      <c r="G627" s="438">
        <v>19.053000000000001</v>
      </c>
      <c r="H627" s="438">
        <v>29.068999999999999</v>
      </c>
      <c r="I627" s="438">
        <v>19.047000000000001</v>
      </c>
      <c r="J627" s="11"/>
      <c r="Q627" s="348">
        <f t="shared" si="80"/>
        <v>26.922674818087103</v>
      </c>
      <c r="R627" s="348">
        <f t="shared" si="81"/>
        <v>19.021899602535314</v>
      </c>
      <c r="S627" s="348">
        <f t="shared" si="82"/>
        <v>15.157910265428947</v>
      </c>
      <c r="T627" s="348">
        <f t="shared" si="83"/>
        <v>13.607012090620003</v>
      </c>
      <c r="U627" s="348">
        <f t="shared" si="84"/>
        <v>26.922674818087103</v>
      </c>
      <c r="V627" s="348">
        <f t="shared" si="85"/>
        <v>19.006780644179731</v>
      </c>
      <c r="W627" s="348">
        <f t="shared" si="86"/>
        <v>28.866320303277266</v>
      </c>
      <c r="X627" s="348">
        <f t="shared" si="87"/>
        <v>18.943476665319551</v>
      </c>
    </row>
    <row r="628" spans="1:24" x14ac:dyDescent="0.2">
      <c r="A628" s="407">
        <v>620</v>
      </c>
      <c r="B628" s="438">
        <v>26.97</v>
      </c>
      <c r="C628" s="438">
        <v>19.053999999999998</v>
      </c>
      <c r="D628" s="438">
        <v>15.315</v>
      </c>
      <c r="E628" s="438">
        <v>13.589</v>
      </c>
      <c r="F628" s="438">
        <v>26.97</v>
      </c>
      <c r="G628" s="438">
        <v>19.053999999999998</v>
      </c>
      <c r="H628" s="438">
        <v>29.074000000000002</v>
      </c>
      <c r="I628" s="438">
        <v>19.050999999999998</v>
      </c>
      <c r="J628" s="11"/>
      <c r="Q628" s="348">
        <f t="shared" si="80"/>
        <v>26.910735614467065</v>
      </c>
      <c r="R628" s="348">
        <f t="shared" si="81"/>
        <v>19.022905703869188</v>
      </c>
      <c r="S628" s="348">
        <f t="shared" si="82"/>
        <v>15.154911757267969</v>
      </c>
      <c r="T628" s="348">
        <f t="shared" si="83"/>
        <v>13.608012861447927</v>
      </c>
      <c r="U628" s="348">
        <f t="shared" si="84"/>
        <v>26.910735614467065</v>
      </c>
      <c r="V628" s="348">
        <f t="shared" si="85"/>
        <v>19.007781909617115</v>
      </c>
      <c r="W628" s="348">
        <f t="shared" si="86"/>
        <v>28.871303470856454</v>
      </c>
      <c r="X628" s="348">
        <f t="shared" si="87"/>
        <v>18.947455047110044</v>
      </c>
    </row>
    <row r="629" spans="1:24" x14ac:dyDescent="0.2">
      <c r="A629" s="407">
        <v>621</v>
      </c>
      <c r="B629" s="438">
        <v>26.98</v>
      </c>
      <c r="C629" s="438">
        <v>19.055</v>
      </c>
      <c r="D629" s="438">
        <v>15.319000000000001</v>
      </c>
      <c r="E629" s="438">
        <v>13.593</v>
      </c>
      <c r="F629" s="438">
        <v>26.98</v>
      </c>
      <c r="G629" s="438">
        <v>19.055</v>
      </c>
      <c r="H629" s="438">
        <v>29.077999999999999</v>
      </c>
      <c r="I629" s="438">
        <v>19.053999999999998</v>
      </c>
      <c r="J629" s="11"/>
      <c r="Q629" s="348">
        <f t="shared" si="80"/>
        <v>26.920684953141624</v>
      </c>
      <c r="R629" s="348">
        <f t="shared" si="81"/>
        <v>19.023911804488925</v>
      </c>
      <c r="S629" s="348">
        <f t="shared" si="82"/>
        <v>15.158909769957901</v>
      </c>
      <c r="T629" s="348">
        <f t="shared" si="83"/>
        <v>13.612015943948869</v>
      </c>
      <c r="U629" s="348">
        <f t="shared" si="84"/>
        <v>26.920684953141624</v>
      </c>
      <c r="V629" s="348">
        <f t="shared" si="85"/>
        <v>19.008783175104398</v>
      </c>
      <c r="W629" s="348">
        <f t="shared" si="86"/>
        <v>28.87529005155201</v>
      </c>
      <c r="X629" s="348">
        <f t="shared" si="87"/>
        <v>18.950438836588681</v>
      </c>
    </row>
    <row r="630" spans="1:24" x14ac:dyDescent="0.2">
      <c r="A630" s="407">
        <v>622</v>
      </c>
      <c r="B630" s="438">
        <v>26.972000000000001</v>
      </c>
      <c r="C630" s="438">
        <v>19.053999999999998</v>
      </c>
      <c r="D630" s="438">
        <v>15.319000000000001</v>
      </c>
      <c r="E630" s="438">
        <v>13.590999999999999</v>
      </c>
      <c r="F630" s="438">
        <v>26.972000000000001</v>
      </c>
      <c r="G630" s="438">
        <v>19.053999999999998</v>
      </c>
      <c r="H630" s="438">
        <v>29.077999999999999</v>
      </c>
      <c r="I630" s="438">
        <v>19.05</v>
      </c>
      <c r="J630" s="11"/>
      <c r="Q630" s="348">
        <f t="shared" si="80"/>
        <v>26.912725484062367</v>
      </c>
      <c r="R630" s="348">
        <f t="shared" si="81"/>
        <v>19.022905703869188</v>
      </c>
      <c r="S630" s="348">
        <f t="shared" si="82"/>
        <v>15.158909769957901</v>
      </c>
      <c r="T630" s="348">
        <f t="shared" si="83"/>
        <v>13.610014402860577</v>
      </c>
      <c r="U630" s="348">
        <f t="shared" si="84"/>
        <v>26.912725484062367</v>
      </c>
      <c r="V630" s="348">
        <f t="shared" si="85"/>
        <v>19.007781909617115</v>
      </c>
      <c r="W630" s="348">
        <f t="shared" si="86"/>
        <v>28.87529005155201</v>
      </c>
      <c r="X630" s="348">
        <f t="shared" si="87"/>
        <v>18.946460451214506</v>
      </c>
    </row>
    <row r="631" spans="1:24" x14ac:dyDescent="0.2">
      <c r="A631" s="407">
        <v>623</v>
      </c>
      <c r="B631" s="438">
        <v>26.972999999999999</v>
      </c>
      <c r="C631" s="438">
        <v>19.056000000000001</v>
      </c>
      <c r="D631" s="438">
        <v>15.32</v>
      </c>
      <c r="E631" s="438">
        <v>13.595000000000001</v>
      </c>
      <c r="F631" s="438">
        <v>26.972999999999999</v>
      </c>
      <c r="G631" s="438">
        <v>19.056000000000001</v>
      </c>
      <c r="H631" s="438">
        <v>29.082999999999998</v>
      </c>
      <c r="I631" s="438">
        <v>19.056000000000001</v>
      </c>
      <c r="J631" s="11"/>
      <c r="Q631" s="348">
        <f t="shared" si="80"/>
        <v>26.913720418511087</v>
      </c>
      <c r="R631" s="348">
        <f t="shared" si="81"/>
        <v>19.024917904394435</v>
      </c>
      <c r="S631" s="348">
        <f t="shared" si="82"/>
        <v>15.159909275390936</v>
      </c>
      <c r="T631" s="348">
        <f t="shared" si="83"/>
        <v>13.614017484712679</v>
      </c>
      <c r="U631" s="348">
        <f t="shared" si="84"/>
        <v>26.913720418511087</v>
      </c>
      <c r="V631" s="348">
        <f t="shared" si="85"/>
        <v>19.0097844406415</v>
      </c>
      <c r="W631" s="348">
        <f t="shared" si="86"/>
        <v>28.880273335709564</v>
      </c>
      <c r="X631" s="348">
        <f t="shared" si="87"/>
        <v>18.952428031068035</v>
      </c>
    </row>
    <row r="632" spans="1:24" x14ac:dyDescent="0.2">
      <c r="A632" s="407">
        <v>624</v>
      </c>
      <c r="B632" s="438">
        <v>26.978000000000002</v>
      </c>
      <c r="C632" s="438">
        <v>19.055</v>
      </c>
      <c r="D632" s="438">
        <v>15.321</v>
      </c>
      <c r="E632" s="438">
        <v>13.593999999999999</v>
      </c>
      <c r="F632" s="438">
        <v>26.978000000000002</v>
      </c>
      <c r="G632" s="438">
        <v>19.055</v>
      </c>
      <c r="H632" s="438">
        <v>29.088000000000001</v>
      </c>
      <c r="I632" s="438">
        <v>19.056999999999999</v>
      </c>
      <c r="J632" s="11"/>
      <c r="Q632" s="348">
        <f t="shared" si="80"/>
        <v>26.918695087266638</v>
      </c>
      <c r="R632" s="348">
        <f t="shared" si="81"/>
        <v>19.023911804488925</v>
      </c>
      <c r="S632" s="348">
        <f t="shared" si="82"/>
        <v>15.160908781727908</v>
      </c>
      <c r="T632" s="348">
        <f t="shared" si="83"/>
        <v>13.613016714371341</v>
      </c>
      <c r="U632" s="348">
        <f t="shared" si="84"/>
        <v>26.918695087266638</v>
      </c>
      <c r="V632" s="348">
        <f t="shared" si="85"/>
        <v>19.008783175104398</v>
      </c>
      <c r="W632" s="348">
        <f t="shared" si="86"/>
        <v>28.885256684629262</v>
      </c>
      <c r="X632" s="348">
        <f t="shared" si="87"/>
        <v>18.95342262875586</v>
      </c>
    </row>
    <row r="633" spans="1:24" x14ac:dyDescent="0.2">
      <c r="A633" s="407">
        <v>625</v>
      </c>
      <c r="B633" s="438">
        <v>26.984000000000002</v>
      </c>
      <c r="C633" s="438">
        <v>19.059000000000001</v>
      </c>
      <c r="D633" s="438">
        <v>15.323</v>
      </c>
      <c r="E633" s="438">
        <v>13.592000000000001</v>
      </c>
      <c r="F633" s="438">
        <v>26.984000000000002</v>
      </c>
      <c r="G633" s="438">
        <v>19.059000000000001</v>
      </c>
      <c r="H633" s="438">
        <v>29.091999999999999</v>
      </c>
      <c r="I633" s="437">
        <v>19.062000000000001</v>
      </c>
      <c r="J633" s="11"/>
      <c r="Q633" s="348">
        <f t="shared" si="80"/>
        <v>26.924664682103309</v>
      </c>
      <c r="R633" s="348">
        <f t="shared" si="81"/>
        <v>19.02793619982463</v>
      </c>
      <c r="S633" s="348">
        <f t="shared" si="82"/>
        <v>15.162907797113119</v>
      </c>
      <c r="T633" s="348">
        <f t="shared" si="83"/>
        <v>13.611015173445276</v>
      </c>
      <c r="U633" s="348">
        <f t="shared" si="84"/>
        <v>26.924664682103309</v>
      </c>
      <c r="V633" s="348">
        <f t="shared" si="85"/>
        <v>19.012788237550978</v>
      </c>
      <c r="W633" s="348">
        <f t="shared" si="86"/>
        <v>28.889243410392005</v>
      </c>
      <c r="X633" s="348">
        <f t="shared" si="87"/>
        <v>18.958395621677514</v>
      </c>
    </row>
    <row r="634" spans="1:24" x14ac:dyDescent="0.2">
      <c r="A634" s="407">
        <v>626</v>
      </c>
      <c r="B634" s="438">
        <v>26.981000000000002</v>
      </c>
      <c r="C634" s="438">
        <v>19.058</v>
      </c>
      <c r="D634" s="438">
        <v>15.321</v>
      </c>
      <c r="E634" s="437">
        <v>13.598000000000001</v>
      </c>
      <c r="F634" s="437">
        <v>26.981000000000002</v>
      </c>
      <c r="G634" s="437">
        <v>19.058</v>
      </c>
      <c r="H634" s="437">
        <v>29.094999999999999</v>
      </c>
      <c r="I634" s="438">
        <v>19.062999999999999</v>
      </c>
      <c r="J634" s="11"/>
      <c r="Q634" s="348">
        <f t="shared" si="80"/>
        <v>26.921679885730537</v>
      </c>
      <c r="R634" s="348">
        <f t="shared" si="81"/>
        <v>19.02693010206238</v>
      </c>
      <c r="S634" s="348">
        <f t="shared" si="82"/>
        <v>15.160908781727908</v>
      </c>
      <c r="T634" s="348">
        <f t="shared" si="83"/>
        <v>13.617019795249719</v>
      </c>
      <c r="U634" s="348">
        <f t="shared" si="84"/>
        <v>26.921679885730537</v>
      </c>
      <c r="V634" s="348">
        <f t="shared" si="85"/>
        <v>19.011786971864865</v>
      </c>
      <c r="W634" s="348">
        <f t="shared" si="86"/>
        <v>28.892233481912257</v>
      </c>
      <c r="X634" s="348">
        <f t="shared" si="87"/>
        <v>18.959390221158522</v>
      </c>
    </row>
    <row r="635" spans="1:24" x14ac:dyDescent="0.2">
      <c r="A635" s="407">
        <v>627</v>
      </c>
      <c r="B635" s="438">
        <v>26.981999999999999</v>
      </c>
      <c r="C635" s="438">
        <v>19.059000000000001</v>
      </c>
      <c r="D635" s="438">
        <v>15.324</v>
      </c>
      <c r="E635" s="438">
        <v>13.597</v>
      </c>
      <c r="F635" s="438">
        <v>26.981999999999999</v>
      </c>
      <c r="G635" s="438">
        <v>19.059000000000001</v>
      </c>
      <c r="H635" s="438">
        <v>29.1</v>
      </c>
      <c r="I635" s="438">
        <v>19.065000000000001</v>
      </c>
      <c r="J635" s="11"/>
      <c r="Q635" s="348">
        <f t="shared" si="80"/>
        <v>26.922674818087103</v>
      </c>
      <c r="R635" s="348">
        <f t="shared" si="81"/>
        <v>19.02793619982463</v>
      </c>
      <c r="S635" s="348">
        <f t="shared" si="82"/>
        <v>15.163907306161075</v>
      </c>
      <c r="T635" s="348">
        <f t="shared" si="83"/>
        <v>13.616019025151882</v>
      </c>
      <c r="U635" s="348">
        <f t="shared" si="84"/>
        <v>26.922674818087103</v>
      </c>
      <c r="V635" s="348">
        <f t="shared" si="85"/>
        <v>19.012788237550978</v>
      </c>
      <c r="W635" s="348">
        <f t="shared" si="86"/>
        <v>28.897216986250395</v>
      </c>
      <c r="X635" s="348">
        <f t="shared" si="87"/>
        <v>18.961379421017416</v>
      </c>
    </row>
    <row r="636" spans="1:24" x14ac:dyDescent="0.2">
      <c r="A636" s="407">
        <v>628</v>
      </c>
      <c r="B636" s="438">
        <v>26.974</v>
      </c>
      <c r="C636" s="438">
        <v>19.056999999999999</v>
      </c>
      <c r="D636" s="438">
        <v>15.318</v>
      </c>
      <c r="E636" s="438">
        <v>13.595000000000001</v>
      </c>
      <c r="F636" s="438">
        <v>26.974</v>
      </c>
      <c r="G636" s="438">
        <v>19.056999999999999</v>
      </c>
      <c r="H636" s="438">
        <v>29.100999999999999</v>
      </c>
      <c r="I636" s="438">
        <v>19.067</v>
      </c>
      <c r="J636" s="11"/>
      <c r="Q636" s="348">
        <f t="shared" si="80"/>
        <v>26.914715352727239</v>
      </c>
      <c r="R636" s="348">
        <f t="shared" si="81"/>
        <v>19.025924003585619</v>
      </c>
      <c r="S636" s="348">
        <f t="shared" si="82"/>
        <v>15.157910265428947</v>
      </c>
      <c r="T636" s="348">
        <f t="shared" si="83"/>
        <v>13.614017484712679</v>
      </c>
      <c r="U636" s="348">
        <f t="shared" si="84"/>
        <v>26.914715352727239</v>
      </c>
      <c r="V636" s="348">
        <f t="shared" si="85"/>
        <v>19.010785706228347</v>
      </c>
      <c r="W636" s="348">
        <f t="shared" si="86"/>
        <v>28.898213694888486</v>
      </c>
      <c r="X636" s="348">
        <f t="shared" si="87"/>
        <v>18.963368622072302</v>
      </c>
    </row>
    <row r="637" spans="1:24" x14ac:dyDescent="0.2">
      <c r="A637" s="407">
        <v>629</v>
      </c>
      <c r="B637" s="438">
        <v>26.977</v>
      </c>
      <c r="C637" s="438">
        <v>19.056000000000001</v>
      </c>
      <c r="D637" s="438">
        <v>15.321999999999999</v>
      </c>
      <c r="E637" s="438">
        <v>13.595000000000001</v>
      </c>
      <c r="F637" s="438">
        <v>26.977</v>
      </c>
      <c r="G637" s="438">
        <v>19.056000000000001</v>
      </c>
      <c r="H637" s="438">
        <v>29.103999999999999</v>
      </c>
      <c r="I637" s="438">
        <v>19.071999999999999</v>
      </c>
      <c r="J637" s="11"/>
      <c r="Q637" s="348">
        <f t="shared" si="80"/>
        <v>26.917700153980512</v>
      </c>
      <c r="R637" s="348">
        <f t="shared" si="81"/>
        <v>19.024917904394435</v>
      </c>
      <c r="S637" s="348">
        <f t="shared" si="82"/>
        <v>15.161908288968682</v>
      </c>
      <c r="T637" s="348">
        <f t="shared" si="83"/>
        <v>13.614017484712679</v>
      </c>
      <c r="U637" s="348">
        <f t="shared" si="84"/>
        <v>26.917700153980512</v>
      </c>
      <c r="V637" s="348">
        <f t="shared" si="85"/>
        <v>19.0097844406415</v>
      </c>
      <c r="W637" s="348">
        <f t="shared" si="86"/>
        <v>28.90120383634331</v>
      </c>
      <c r="X637" s="348">
        <f t="shared" si="87"/>
        <v>18.968341629943335</v>
      </c>
    </row>
    <row r="638" spans="1:24" x14ac:dyDescent="0.2">
      <c r="A638" s="407">
        <v>630</v>
      </c>
      <c r="B638" s="437">
        <v>26.974</v>
      </c>
      <c r="C638" s="438">
        <v>19.055</v>
      </c>
      <c r="D638" s="438">
        <v>15.323</v>
      </c>
      <c r="E638" s="438">
        <v>13.596</v>
      </c>
      <c r="F638" s="438">
        <v>26.974</v>
      </c>
      <c r="G638" s="438">
        <v>19.055</v>
      </c>
      <c r="H638" s="438">
        <v>29.106999999999999</v>
      </c>
      <c r="I638" s="438">
        <v>19.071999999999999</v>
      </c>
      <c r="J638" s="11"/>
      <c r="Q638" s="348">
        <f t="shared" si="80"/>
        <v>26.914715352727239</v>
      </c>
      <c r="R638" s="348">
        <f t="shared" si="81"/>
        <v>19.023911804488925</v>
      </c>
      <c r="S638" s="348">
        <f t="shared" si="82"/>
        <v>15.162907797113119</v>
      </c>
      <c r="T638" s="348">
        <f t="shared" si="83"/>
        <v>13.615018254972863</v>
      </c>
      <c r="U638" s="348">
        <f t="shared" si="84"/>
        <v>26.914715352727239</v>
      </c>
      <c r="V638" s="348">
        <f t="shared" si="85"/>
        <v>19.008783175104398</v>
      </c>
      <c r="W638" s="348">
        <f t="shared" si="86"/>
        <v>28.904194001108493</v>
      </c>
      <c r="X638" s="348">
        <f t="shared" si="87"/>
        <v>18.968341629943335</v>
      </c>
    </row>
    <row r="639" spans="1:24" x14ac:dyDescent="0.2">
      <c r="A639" s="407">
        <v>631</v>
      </c>
      <c r="B639" s="438">
        <v>26.972000000000001</v>
      </c>
      <c r="C639" s="438">
        <v>19.053999999999998</v>
      </c>
      <c r="D639" s="438">
        <v>15.324</v>
      </c>
      <c r="E639" s="438">
        <v>13.595000000000001</v>
      </c>
      <c r="F639" s="438">
        <v>26.972000000000001</v>
      </c>
      <c r="G639" s="438">
        <v>19.053999999999998</v>
      </c>
      <c r="H639" s="438">
        <v>29.105</v>
      </c>
      <c r="I639" s="438">
        <v>19.074999999999999</v>
      </c>
      <c r="J639" s="11"/>
      <c r="Q639" s="348">
        <f t="shared" si="80"/>
        <v>26.912725484062367</v>
      </c>
      <c r="R639" s="348">
        <f t="shared" si="81"/>
        <v>19.022905703869188</v>
      </c>
      <c r="S639" s="348">
        <f t="shared" si="82"/>
        <v>15.163907306161075</v>
      </c>
      <c r="T639" s="348">
        <f t="shared" si="83"/>
        <v>13.614017484712679</v>
      </c>
      <c r="U639" s="348">
        <f t="shared" si="84"/>
        <v>26.912725484062367</v>
      </c>
      <c r="V639" s="348">
        <f t="shared" si="85"/>
        <v>19.007781909617115</v>
      </c>
      <c r="W639" s="348">
        <f t="shared" si="86"/>
        <v>28.90220055534169</v>
      </c>
      <c r="X639" s="348">
        <f t="shared" si="87"/>
        <v>18.971325438255839</v>
      </c>
    </row>
    <row r="640" spans="1:24" x14ac:dyDescent="0.2">
      <c r="A640" s="407">
        <v>632</v>
      </c>
      <c r="B640" s="438">
        <v>26.98</v>
      </c>
      <c r="C640" s="438">
        <v>19.053999999999998</v>
      </c>
      <c r="D640" s="438">
        <v>15.324999999999999</v>
      </c>
      <c r="E640" s="438">
        <v>13.597</v>
      </c>
      <c r="F640" s="438">
        <v>26.98</v>
      </c>
      <c r="G640" s="438">
        <v>19.053999999999998</v>
      </c>
      <c r="H640" s="438">
        <v>29.11</v>
      </c>
      <c r="I640" s="438">
        <v>19.074999999999999</v>
      </c>
      <c r="J640" s="11"/>
      <c r="Q640" s="348">
        <f t="shared" si="80"/>
        <v>26.920684953141624</v>
      </c>
      <c r="R640" s="348">
        <f t="shared" si="81"/>
        <v>19.022905703869188</v>
      </c>
      <c r="S640" s="348">
        <f t="shared" si="82"/>
        <v>15.164906816112412</v>
      </c>
      <c r="T640" s="348">
        <f t="shared" si="83"/>
        <v>13.616019025151882</v>
      </c>
      <c r="U640" s="348">
        <f t="shared" si="84"/>
        <v>26.920684953141624</v>
      </c>
      <c r="V640" s="348">
        <f t="shared" si="85"/>
        <v>19.007781909617115</v>
      </c>
      <c r="W640" s="348">
        <f t="shared" si="86"/>
        <v>28.907184189183461</v>
      </c>
      <c r="X640" s="348">
        <f t="shared" si="87"/>
        <v>18.971325438255839</v>
      </c>
    </row>
    <row r="641" spans="1:24" x14ac:dyDescent="0.2">
      <c r="A641" s="407">
        <v>633</v>
      </c>
      <c r="B641" s="438">
        <v>26.981999999999999</v>
      </c>
      <c r="C641" s="438">
        <v>19.053000000000001</v>
      </c>
      <c r="D641" s="438">
        <v>15.327</v>
      </c>
      <c r="E641" s="438">
        <v>13.6</v>
      </c>
      <c r="F641" s="438">
        <v>26.981999999999999</v>
      </c>
      <c r="G641" s="438">
        <v>19.053000000000001</v>
      </c>
      <c r="H641" s="438">
        <v>29.111000000000001</v>
      </c>
      <c r="I641" s="438">
        <v>19.077999999999999</v>
      </c>
      <c r="J641" s="11"/>
      <c r="Q641" s="348">
        <f t="shared" si="80"/>
        <v>26.922674818087103</v>
      </c>
      <c r="R641" s="348">
        <f t="shared" si="81"/>
        <v>19.021899602535314</v>
      </c>
      <c r="S641" s="348">
        <f t="shared" si="82"/>
        <v>15.166905838724666</v>
      </c>
      <c r="T641" s="348">
        <f t="shared" si="83"/>
        <v>13.619021335201786</v>
      </c>
      <c r="U641" s="348">
        <f t="shared" si="84"/>
        <v>26.922674818087103</v>
      </c>
      <c r="V641" s="348">
        <f t="shared" si="85"/>
        <v>19.006780644179731</v>
      </c>
      <c r="W641" s="348">
        <f t="shared" si="86"/>
        <v>28.908180923721631</v>
      </c>
      <c r="X641" s="348">
        <f t="shared" si="87"/>
        <v>18.97430924926158</v>
      </c>
    </row>
    <row r="642" spans="1:24" x14ac:dyDescent="0.2">
      <c r="A642" s="407">
        <v>634</v>
      </c>
      <c r="B642" s="438">
        <v>26.975999999999999</v>
      </c>
      <c r="C642" s="438">
        <v>19.052</v>
      </c>
      <c r="D642" s="438">
        <v>15.324</v>
      </c>
      <c r="E642" s="438">
        <v>13.599</v>
      </c>
      <c r="F642" s="438">
        <v>26.975999999999999</v>
      </c>
      <c r="G642" s="438">
        <v>19.052</v>
      </c>
      <c r="H642" s="438">
        <v>29.11</v>
      </c>
      <c r="I642" s="438">
        <v>19.079000000000001</v>
      </c>
      <c r="J642" s="11"/>
      <c r="Q642" s="348">
        <f t="shared" si="80"/>
        <v>26.916705220461917</v>
      </c>
      <c r="R642" s="348">
        <f t="shared" si="81"/>
        <v>19.0208935004874</v>
      </c>
      <c r="S642" s="348">
        <f t="shared" si="82"/>
        <v>15.163907306161075</v>
      </c>
      <c r="T642" s="348">
        <f t="shared" si="83"/>
        <v>13.61802056526636</v>
      </c>
      <c r="U642" s="348">
        <f t="shared" si="84"/>
        <v>26.916705220461917</v>
      </c>
      <c r="V642" s="348">
        <f t="shared" si="85"/>
        <v>19.005779378792308</v>
      </c>
      <c r="W642" s="348">
        <f t="shared" si="86"/>
        <v>28.907184189183461</v>
      </c>
      <c r="X642" s="348">
        <f t="shared" si="87"/>
        <v>18.975303853528775</v>
      </c>
    </row>
    <row r="643" spans="1:24" x14ac:dyDescent="0.2">
      <c r="A643" s="407">
        <v>635</v>
      </c>
      <c r="B643" s="438">
        <v>26.981999999999999</v>
      </c>
      <c r="C643" s="438">
        <v>19.048999999999999</v>
      </c>
      <c r="D643" s="438">
        <v>15.324999999999999</v>
      </c>
      <c r="E643" s="438">
        <v>13.6</v>
      </c>
      <c r="F643" s="438">
        <v>26.981999999999999</v>
      </c>
      <c r="G643" s="438">
        <v>19.048999999999999</v>
      </c>
      <c r="H643" s="438">
        <v>29.117000000000001</v>
      </c>
      <c r="I643" s="438">
        <v>19.077999999999999</v>
      </c>
      <c r="J643" s="11"/>
      <c r="Q643" s="348">
        <f t="shared" si="80"/>
        <v>26.922674818087103</v>
      </c>
      <c r="R643" s="348">
        <f t="shared" si="81"/>
        <v>19.017875190060362</v>
      </c>
      <c r="S643" s="348">
        <f t="shared" si="82"/>
        <v>15.164906816112412</v>
      </c>
      <c r="T643" s="348">
        <f t="shared" si="83"/>
        <v>13.619021335201786</v>
      </c>
      <c r="U643" s="348">
        <f t="shared" si="84"/>
        <v>26.922674818087103</v>
      </c>
      <c r="V643" s="348">
        <f t="shared" si="85"/>
        <v>19.002775582930621</v>
      </c>
      <c r="W643" s="348">
        <f t="shared" si="86"/>
        <v>28.914161385337543</v>
      </c>
      <c r="X643" s="348">
        <f t="shared" si="87"/>
        <v>18.97430924926158</v>
      </c>
    </row>
    <row r="644" spans="1:24" x14ac:dyDescent="0.2">
      <c r="A644" s="407">
        <v>636</v>
      </c>
      <c r="B644" s="438">
        <v>26.972000000000001</v>
      </c>
      <c r="C644" s="437">
        <v>19.048999999999999</v>
      </c>
      <c r="D644" s="438">
        <v>15.324999999999999</v>
      </c>
      <c r="E644" s="438">
        <v>13.598000000000001</v>
      </c>
      <c r="F644" s="438">
        <v>26.972000000000001</v>
      </c>
      <c r="G644" s="438">
        <v>19.048999999999999</v>
      </c>
      <c r="H644" s="438">
        <v>29.114999999999998</v>
      </c>
      <c r="I644" s="438">
        <v>19.079000000000001</v>
      </c>
      <c r="J644" s="11"/>
      <c r="Q644" s="348">
        <f t="shared" si="80"/>
        <v>26.912725484062367</v>
      </c>
      <c r="R644" s="348">
        <f t="shared" si="81"/>
        <v>19.017875190060362</v>
      </c>
      <c r="S644" s="348">
        <f t="shared" si="82"/>
        <v>15.164906816112412</v>
      </c>
      <c r="T644" s="348">
        <f t="shared" si="83"/>
        <v>13.617019795249719</v>
      </c>
      <c r="U644" s="348">
        <f t="shared" si="84"/>
        <v>26.912725484062367</v>
      </c>
      <c r="V644" s="348">
        <f t="shared" si="85"/>
        <v>19.002775582930621</v>
      </c>
      <c r="W644" s="348">
        <f t="shared" si="86"/>
        <v>28.912167887772974</v>
      </c>
      <c r="X644" s="348">
        <f t="shared" si="87"/>
        <v>18.975303853528775</v>
      </c>
    </row>
    <row r="645" spans="1:24" x14ac:dyDescent="0.2">
      <c r="A645" s="407">
        <v>637</v>
      </c>
      <c r="B645" s="438">
        <v>26.977</v>
      </c>
      <c r="C645" s="438">
        <v>19.045999999999999</v>
      </c>
      <c r="D645" s="438">
        <v>15.327</v>
      </c>
      <c r="E645" s="438">
        <v>13.6</v>
      </c>
      <c r="F645" s="438">
        <v>26.977</v>
      </c>
      <c r="G645" s="438">
        <v>19.045999999999999</v>
      </c>
      <c r="H645" s="438">
        <v>29.117999999999999</v>
      </c>
      <c r="I645" s="438">
        <v>19.079000000000001</v>
      </c>
      <c r="J645" s="11"/>
      <c r="Q645" s="348">
        <f t="shared" si="80"/>
        <v>26.917700153980512</v>
      </c>
      <c r="R645" s="348">
        <f t="shared" si="81"/>
        <v>19.014856873210363</v>
      </c>
      <c r="S645" s="348">
        <f t="shared" si="82"/>
        <v>15.166905838724666</v>
      </c>
      <c r="T645" s="348">
        <f t="shared" si="83"/>
        <v>13.619021335201786</v>
      </c>
      <c r="U645" s="348">
        <f t="shared" si="84"/>
        <v>26.917700153980512</v>
      </c>
      <c r="V645" s="348">
        <f t="shared" si="85"/>
        <v>18.999771787521347</v>
      </c>
      <c r="W645" s="348">
        <f t="shared" si="86"/>
        <v>28.915158138004468</v>
      </c>
      <c r="X645" s="348">
        <f t="shared" si="87"/>
        <v>18.975303853528775</v>
      </c>
    </row>
    <row r="646" spans="1:24" x14ac:dyDescent="0.2">
      <c r="A646" s="407">
        <v>638</v>
      </c>
      <c r="B646" s="437">
        <v>26.98</v>
      </c>
      <c r="C646" s="438">
        <v>19.05</v>
      </c>
      <c r="D646" s="438">
        <v>15.327999999999999</v>
      </c>
      <c r="E646" s="438">
        <v>13.595000000000001</v>
      </c>
      <c r="F646" s="438">
        <v>26.98</v>
      </c>
      <c r="G646" s="438">
        <v>19.05</v>
      </c>
      <c r="H646" s="438">
        <v>29.123999999999999</v>
      </c>
      <c r="I646" s="438">
        <v>19.077999999999999</v>
      </c>
      <c r="J646" s="11"/>
      <c r="Q646" s="348">
        <f t="shared" si="80"/>
        <v>26.920684953141624</v>
      </c>
      <c r="R646" s="348">
        <f t="shared" si="81"/>
        <v>19.01888129424983</v>
      </c>
      <c r="S646" s="348">
        <f t="shared" si="82"/>
        <v>15.167905351385304</v>
      </c>
      <c r="T646" s="348">
        <f t="shared" si="83"/>
        <v>13.614017484712679</v>
      </c>
      <c r="U646" s="348">
        <f t="shared" si="84"/>
        <v>26.920684953141624</v>
      </c>
      <c r="V646" s="348">
        <f t="shared" si="85"/>
        <v>19.003776848167682</v>
      </c>
      <c r="W646" s="348">
        <f t="shared" si="86"/>
        <v>28.921138708389677</v>
      </c>
      <c r="X646" s="348">
        <f t="shared" si="87"/>
        <v>18.97430924926158</v>
      </c>
    </row>
    <row r="647" spans="1:24" x14ac:dyDescent="0.2">
      <c r="A647" s="407">
        <v>639</v>
      </c>
      <c r="B647" s="438">
        <v>26.97</v>
      </c>
      <c r="C647" s="438">
        <v>19.042999999999999</v>
      </c>
      <c r="D647" s="438">
        <v>15.324999999999999</v>
      </c>
      <c r="E647" s="438">
        <v>13.597</v>
      </c>
      <c r="F647" s="438">
        <v>26.97</v>
      </c>
      <c r="G647" s="438">
        <v>19.042999999999999</v>
      </c>
      <c r="H647" s="438">
        <v>29.123999999999999</v>
      </c>
      <c r="I647" s="438">
        <v>19.081</v>
      </c>
      <c r="J647" s="11"/>
      <c r="Q647" s="348">
        <f t="shared" si="80"/>
        <v>26.910735614467065</v>
      </c>
      <c r="R647" s="348">
        <f t="shared" si="81"/>
        <v>19.011838549939959</v>
      </c>
      <c r="S647" s="348">
        <f t="shared" si="82"/>
        <v>15.164906816112412</v>
      </c>
      <c r="T647" s="348">
        <f t="shared" si="83"/>
        <v>13.616019025151882</v>
      </c>
      <c r="U647" s="348">
        <f t="shared" si="84"/>
        <v>26.910735614467065</v>
      </c>
      <c r="V647" s="348">
        <f t="shared" si="85"/>
        <v>18.996767992566518</v>
      </c>
      <c r="W647" s="348">
        <f t="shared" si="86"/>
        <v>28.921138708389677</v>
      </c>
      <c r="X647" s="348">
        <f t="shared" si="87"/>
        <v>18.977293062961227</v>
      </c>
    </row>
    <row r="648" spans="1:24" x14ac:dyDescent="0.2">
      <c r="A648" s="407">
        <v>640</v>
      </c>
      <c r="B648" s="438">
        <v>26.972999999999999</v>
      </c>
      <c r="C648" s="438">
        <v>19.045000000000002</v>
      </c>
      <c r="D648" s="438">
        <v>15.326000000000001</v>
      </c>
      <c r="E648" s="438">
        <v>13.597</v>
      </c>
      <c r="F648" s="438">
        <v>26.972999999999999</v>
      </c>
      <c r="G648" s="438">
        <v>19.045000000000002</v>
      </c>
      <c r="H648" s="438">
        <v>29.13</v>
      </c>
      <c r="I648" s="438">
        <v>19.077000000000002</v>
      </c>
      <c r="J648" s="11"/>
      <c r="Q648" s="348">
        <f t="shared" si="80"/>
        <v>26.913720418511087</v>
      </c>
      <c r="R648" s="348">
        <f t="shared" si="81"/>
        <v>19.013850766166815</v>
      </c>
      <c r="S648" s="348">
        <f t="shared" si="82"/>
        <v>15.165906326966988</v>
      </c>
      <c r="T648" s="348">
        <f t="shared" si="83"/>
        <v>13.616019025151882</v>
      </c>
      <c r="U648" s="348">
        <f t="shared" si="84"/>
        <v>26.913720418511087</v>
      </c>
      <c r="V648" s="348">
        <f t="shared" si="85"/>
        <v>18.998770522485813</v>
      </c>
      <c r="W648" s="348">
        <f t="shared" si="86"/>
        <v>28.927119372000508</v>
      </c>
      <c r="X648" s="348">
        <f t="shared" si="87"/>
        <v>18.973314645293712</v>
      </c>
    </row>
    <row r="649" spans="1:24" x14ac:dyDescent="0.2">
      <c r="A649" s="407">
        <v>641</v>
      </c>
      <c r="B649" s="438">
        <v>26.977</v>
      </c>
      <c r="C649" s="438">
        <v>19.047000000000001</v>
      </c>
      <c r="D649" s="438">
        <v>15.327</v>
      </c>
      <c r="E649" s="438">
        <v>13.599</v>
      </c>
      <c r="F649" s="438">
        <v>26.977</v>
      </c>
      <c r="G649" s="438">
        <v>19.047000000000001</v>
      </c>
      <c r="H649" s="438">
        <v>29.13</v>
      </c>
      <c r="I649" s="438">
        <v>19.076000000000001</v>
      </c>
      <c r="J649" s="11"/>
      <c r="Q649" s="348">
        <f t="shared" si="80"/>
        <v>26.917700153980512</v>
      </c>
      <c r="R649" s="348">
        <f t="shared" si="81"/>
        <v>19.015862979540536</v>
      </c>
      <c r="S649" s="348">
        <f t="shared" si="82"/>
        <v>15.166905838724666</v>
      </c>
      <c r="T649" s="348">
        <f t="shared" si="83"/>
        <v>13.61802056526636</v>
      </c>
      <c r="U649" s="348">
        <f t="shared" si="84"/>
        <v>26.917700153980512</v>
      </c>
      <c r="V649" s="348">
        <f t="shared" si="85"/>
        <v>19.000773052607382</v>
      </c>
      <c r="W649" s="348">
        <f t="shared" si="86"/>
        <v>28.927119372000508</v>
      </c>
      <c r="X649" s="348">
        <f t="shared" si="87"/>
        <v>18.972320041625139</v>
      </c>
    </row>
    <row r="650" spans="1:24" x14ac:dyDescent="0.2">
      <c r="A650" s="407">
        <v>642</v>
      </c>
      <c r="B650" s="438">
        <v>26.975000000000001</v>
      </c>
      <c r="C650" s="438">
        <v>19.044</v>
      </c>
      <c r="D650" s="438">
        <v>15.324</v>
      </c>
      <c r="E650" s="438">
        <v>13.597</v>
      </c>
      <c r="F650" s="438">
        <v>26.975000000000001</v>
      </c>
      <c r="G650" s="438">
        <v>19.044</v>
      </c>
      <c r="H650" s="438">
        <v>29.131</v>
      </c>
      <c r="I650" s="438">
        <v>19.074000000000002</v>
      </c>
      <c r="J650" s="11"/>
      <c r="Q650" s="348">
        <f t="shared" ref="Q650:Q713" si="88">IFERROR(B650^4*$AB$9+B650^3*$AC$9+B650^2*$AD$9+B650^1*$AE$9+B650^0*$AF$9,"")</f>
        <v>26.915710286710841</v>
      </c>
      <c r="R650" s="348">
        <f t="shared" ref="R650:R713" si="89">IFERROR(C650^4*$AB$10+C650^3*$AC$10+C650^2*$AD$10+C650^1*$AE$10+C650^0*$AF$10,"")</f>
        <v>19.012844658409985</v>
      </c>
      <c r="S650" s="348">
        <f t="shared" ref="S650:S713" si="90">IFERROR(D650^4*$AB$11+D650^3*$AC$11+D650^2*$AD$11+D650^1*$AE$11+D650^0*$AF$11,"")</f>
        <v>15.163907306161075</v>
      </c>
      <c r="T650" s="348">
        <f t="shared" ref="T650:T713" si="91">IFERROR(E650^4*$AB$12+E650^3*$AC$12+E650^2*$AD$12+E650^1*$AE$12+E650^0*$AF$12,"")</f>
        <v>13.616019025151882</v>
      </c>
      <c r="U650" s="348">
        <f t="shared" ref="U650:U713" si="92">IFERROR(F650^4*$AB$13+F650^3*$AC$13+F650^2*$AD$13+F650^1*$AE$13+F650^0*$AF$13,"")</f>
        <v>26.915710286710841</v>
      </c>
      <c r="V650" s="348">
        <f t="shared" ref="V650:V713" si="93">IFERROR(G650^4*$AB$14+G650^3*$AC$14+G650^2*$AD$14+G650^1*$AE$14+G650^0*$AF$14,"")</f>
        <v>18.997769257500842</v>
      </c>
      <c r="W650" s="348">
        <f t="shared" ref="W650:W713" si="94">IFERROR(H650^4*$AB$15+H650^3*$AC$15+H650^2*$AD$15+H650^1*$AE$15+H650^0*$AF$15,"")</f>
        <v>28.928116158332241</v>
      </c>
      <c r="X650" s="348">
        <f t="shared" ref="X650:X713" si="95">IFERROR(I650^4*$AB$16+I650^3*$AC$16+I650^2*$AD$16+I650^1*$AE$16+I650^0*$AF$16,"")</f>
        <v>18.970330835185791</v>
      </c>
    </row>
    <row r="651" spans="1:24" x14ac:dyDescent="0.2">
      <c r="A651" s="407">
        <v>643</v>
      </c>
      <c r="B651" s="438">
        <v>26.975999999999999</v>
      </c>
      <c r="C651" s="438">
        <v>19.042999999999999</v>
      </c>
      <c r="D651" s="438">
        <v>15.323</v>
      </c>
      <c r="E651" s="438">
        <v>13.593</v>
      </c>
      <c r="F651" s="438">
        <v>26.975999999999999</v>
      </c>
      <c r="G651" s="438">
        <v>19.042999999999999</v>
      </c>
      <c r="H651" s="438">
        <v>29.126999999999999</v>
      </c>
      <c r="I651" s="438">
        <v>19.073</v>
      </c>
      <c r="J651" s="11"/>
      <c r="Q651" s="348">
        <f t="shared" si="88"/>
        <v>26.916705220461917</v>
      </c>
      <c r="R651" s="348">
        <f t="shared" si="89"/>
        <v>19.011838549939959</v>
      </c>
      <c r="S651" s="348">
        <f t="shared" si="90"/>
        <v>15.162907797113119</v>
      </c>
      <c r="T651" s="348">
        <f t="shared" si="91"/>
        <v>13.612015943948869</v>
      </c>
      <c r="U651" s="348">
        <f t="shared" si="92"/>
        <v>26.916705220461917</v>
      </c>
      <c r="V651" s="348">
        <f t="shared" si="93"/>
        <v>18.996767992566518</v>
      </c>
      <c r="W651" s="348">
        <f t="shared" si="94"/>
        <v>28.924129028542193</v>
      </c>
      <c r="X651" s="348">
        <f t="shared" si="95"/>
        <v>18.969336232414967</v>
      </c>
    </row>
    <row r="652" spans="1:24" x14ac:dyDescent="0.2">
      <c r="A652" s="407">
        <v>644</v>
      </c>
      <c r="B652" s="438">
        <v>26.969000000000001</v>
      </c>
      <c r="C652" s="438">
        <v>19.047999999999998</v>
      </c>
      <c r="D652" s="438">
        <v>15.324</v>
      </c>
      <c r="E652" s="438">
        <v>13.593999999999999</v>
      </c>
      <c r="F652" s="438">
        <v>26.969000000000001</v>
      </c>
      <c r="G652" s="438">
        <v>19.047999999999998</v>
      </c>
      <c r="H652" s="438">
        <v>29.128</v>
      </c>
      <c r="I652" s="438">
        <v>19.068999999999999</v>
      </c>
      <c r="J652" s="11"/>
      <c r="Q652" s="348">
        <f t="shared" si="88"/>
        <v>26.909740679320439</v>
      </c>
      <c r="R652" s="348">
        <f t="shared" si="89"/>
        <v>19.016869085157229</v>
      </c>
      <c r="S652" s="348">
        <f t="shared" si="90"/>
        <v>15.163907306161075</v>
      </c>
      <c r="T652" s="348">
        <f t="shared" si="91"/>
        <v>13.613016714371341</v>
      </c>
      <c r="U652" s="348">
        <f t="shared" si="92"/>
        <v>26.909740679320439</v>
      </c>
      <c r="V652" s="348">
        <f t="shared" si="93"/>
        <v>19.001774317743827</v>
      </c>
      <c r="W652" s="348">
        <f t="shared" si="94"/>
        <v>28.925125807105463</v>
      </c>
      <c r="X652" s="348">
        <f t="shared" si="95"/>
        <v>18.965357824323391</v>
      </c>
    </row>
    <row r="653" spans="1:24" x14ac:dyDescent="0.2">
      <c r="A653" s="407">
        <v>645</v>
      </c>
      <c r="B653" s="438">
        <v>26.968</v>
      </c>
      <c r="C653" s="438">
        <v>19.044</v>
      </c>
      <c r="D653" s="438">
        <v>15.324</v>
      </c>
      <c r="E653" s="438">
        <v>13.589</v>
      </c>
      <c r="F653" s="438">
        <v>26.968</v>
      </c>
      <c r="G653" s="438">
        <v>19.044</v>
      </c>
      <c r="H653" s="438">
        <v>29.129000000000001</v>
      </c>
      <c r="I653" s="438">
        <v>19.068000000000001</v>
      </c>
      <c r="J653" s="11"/>
      <c r="Q653" s="348">
        <f t="shared" si="88"/>
        <v>26.908745743941115</v>
      </c>
      <c r="R653" s="348">
        <f t="shared" si="89"/>
        <v>19.012844658409985</v>
      </c>
      <c r="S653" s="348">
        <f t="shared" si="90"/>
        <v>15.163907306161075</v>
      </c>
      <c r="T653" s="348">
        <f t="shared" si="91"/>
        <v>13.608012861447927</v>
      </c>
      <c r="U653" s="348">
        <f t="shared" si="92"/>
        <v>26.908745743941115</v>
      </c>
      <c r="V653" s="348">
        <f t="shared" si="93"/>
        <v>18.997769257500842</v>
      </c>
      <c r="W653" s="348">
        <f t="shared" si="94"/>
        <v>28.926122588258245</v>
      </c>
      <c r="X653" s="348">
        <f t="shared" si="95"/>
        <v>18.964363223048313</v>
      </c>
    </row>
    <row r="654" spans="1:24" x14ac:dyDescent="0.2">
      <c r="A654" s="407">
        <v>646</v>
      </c>
      <c r="B654" s="438">
        <v>26.966999999999999</v>
      </c>
      <c r="C654" s="438">
        <v>19.044</v>
      </c>
      <c r="D654" s="438">
        <v>15.321</v>
      </c>
      <c r="E654" s="438">
        <v>13.587</v>
      </c>
      <c r="F654" s="438">
        <v>26.966999999999999</v>
      </c>
      <c r="G654" s="438">
        <v>19.044</v>
      </c>
      <c r="H654" s="438">
        <v>29.13</v>
      </c>
      <c r="I654" s="438">
        <v>19.068000000000001</v>
      </c>
      <c r="J654" s="11"/>
      <c r="Q654" s="348">
        <f t="shared" si="88"/>
        <v>26.907750808329073</v>
      </c>
      <c r="R654" s="348">
        <f t="shared" si="89"/>
        <v>19.012844658409985</v>
      </c>
      <c r="S654" s="348">
        <f t="shared" si="90"/>
        <v>15.160908781727908</v>
      </c>
      <c r="T654" s="348">
        <f t="shared" si="91"/>
        <v>13.606011319711039</v>
      </c>
      <c r="U654" s="348">
        <f t="shared" si="92"/>
        <v>26.907750808329073</v>
      </c>
      <c r="V654" s="348">
        <f t="shared" si="93"/>
        <v>18.997769257500842</v>
      </c>
      <c r="W654" s="348">
        <f t="shared" si="94"/>
        <v>28.927119372000508</v>
      </c>
      <c r="X654" s="348">
        <f t="shared" si="95"/>
        <v>18.964363223048313</v>
      </c>
    </row>
    <row r="655" spans="1:24" x14ac:dyDescent="0.2">
      <c r="A655" s="407">
        <v>647</v>
      </c>
      <c r="B655" s="438">
        <v>26.971</v>
      </c>
      <c r="C655" s="438">
        <v>19.042999999999999</v>
      </c>
      <c r="D655" s="438">
        <v>15.318</v>
      </c>
      <c r="E655" s="438">
        <v>13.584</v>
      </c>
      <c r="F655" s="438">
        <v>26.971</v>
      </c>
      <c r="G655" s="438">
        <v>19.042999999999999</v>
      </c>
      <c r="H655" s="438">
        <v>29.131</v>
      </c>
      <c r="I655" s="438">
        <v>19.065000000000001</v>
      </c>
      <c r="J655" s="11"/>
      <c r="Q655" s="348">
        <f t="shared" si="88"/>
        <v>26.911730549381033</v>
      </c>
      <c r="R655" s="348">
        <f t="shared" si="89"/>
        <v>19.011838549939959</v>
      </c>
      <c r="S655" s="348">
        <f t="shared" si="90"/>
        <v>15.157910265428947</v>
      </c>
      <c r="T655" s="348">
        <f t="shared" si="91"/>
        <v>13.603009006498031</v>
      </c>
      <c r="U655" s="348">
        <f t="shared" si="92"/>
        <v>26.911730549381033</v>
      </c>
      <c r="V655" s="348">
        <f t="shared" si="93"/>
        <v>18.996767992566518</v>
      </c>
      <c r="W655" s="348">
        <f t="shared" si="94"/>
        <v>28.928116158332241</v>
      </c>
      <c r="X655" s="348">
        <f t="shared" si="95"/>
        <v>18.961379421017416</v>
      </c>
    </row>
    <row r="656" spans="1:24" x14ac:dyDescent="0.2">
      <c r="A656" s="407">
        <v>648</v>
      </c>
      <c r="B656" s="438">
        <v>26.972000000000001</v>
      </c>
      <c r="C656" s="438">
        <v>19.045000000000002</v>
      </c>
      <c r="D656" s="438">
        <v>15.32</v>
      </c>
      <c r="E656" s="438">
        <v>13.586</v>
      </c>
      <c r="F656" s="438">
        <v>26.972000000000001</v>
      </c>
      <c r="G656" s="438">
        <v>19.045000000000002</v>
      </c>
      <c r="H656" s="438">
        <v>29.132000000000001</v>
      </c>
      <c r="I656" s="438">
        <v>19.065000000000001</v>
      </c>
      <c r="J656" s="11"/>
      <c r="Q656" s="348">
        <f t="shared" si="88"/>
        <v>26.912725484062367</v>
      </c>
      <c r="R656" s="348">
        <f t="shared" si="89"/>
        <v>19.013850766166815</v>
      </c>
      <c r="S656" s="348">
        <f t="shared" si="90"/>
        <v>15.159909275390936</v>
      </c>
      <c r="T656" s="348">
        <f t="shared" si="91"/>
        <v>13.605010548721044</v>
      </c>
      <c r="U656" s="348">
        <f t="shared" si="92"/>
        <v>26.912725484062367</v>
      </c>
      <c r="V656" s="348">
        <f t="shared" si="93"/>
        <v>18.998770522485813</v>
      </c>
      <c r="W656" s="348">
        <f t="shared" si="94"/>
        <v>28.929112947253422</v>
      </c>
      <c r="X656" s="348">
        <f t="shared" si="95"/>
        <v>18.961379421017416</v>
      </c>
    </row>
    <row r="657" spans="1:24" x14ac:dyDescent="0.2">
      <c r="A657" s="407">
        <v>649</v>
      </c>
      <c r="B657" s="438">
        <v>26.971</v>
      </c>
      <c r="C657" s="438">
        <v>19.039000000000001</v>
      </c>
      <c r="D657" s="438">
        <v>15.319000000000001</v>
      </c>
      <c r="E657" s="438">
        <v>13.584</v>
      </c>
      <c r="F657" s="438">
        <v>26.971</v>
      </c>
      <c r="G657" s="438">
        <v>19.039000000000001</v>
      </c>
      <c r="H657" s="438">
        <v>29.137</v>
      </c>
      <c r="I657" s="438">
        <v>19.064</v>
      </c>
      <c r="J657" s="11"/>
      <c r="Q657" s="348">
        <f t="shared" si="88"/>
        <v>26.911730549381033</v>
      </c>
      <c r="R657" s="348">
        <f t="shared" si="89"/>
        <v>19.007814108929892</v>
      </c>
      <c r="S657" s="348">
        <f t="shared" si="90"/>
        <v>15.158909769957901</v>
      </c>
      <c r="T657" s="348">
        <f t="shared" si="91"/>
        <v>13.603009006498031</v>
      </c>
      <c r="U657" s="348">
        <f t="shared" si="92"/>
        <v>26.911730549381033</v>
      </c>
      <c r="V657" s="348">
        <f t="shared" si="93"/>
        <v>18.992762933337143</v>
      </c>
      <c r="W657" s="348">
        <f t="shared" si="94"/>
        <v>28.934096930700161</v>
      </c>
      <c r="X657" s="348">
        <f t="shared" si="95"/>
        <v>18.960384820938479</v>
      </c>
    </row>
    <row r="658" spans="1:24" x14ac:dyDescent="0.2">
      <c r="A658" s="407">
        <v>650</v>
      </c>
      <c r="B658" s="438">
        <v>26.974</v>
      </c>
      <c r="C658" s="437">
        <v>19.039000000000001</v>
      </c>
      <c r="D658" s="438">
        <v>15.32</v>
      </c>
      <c r="E658" s="438">
        <v>13.582000000000001</v>
      </c>
      <c r="F658" s="438">
        <v>26.974</v>
      </c>
      <c r="G658" s="438">
        <v>19.039000000000001</v>
      </c>
      <c r="H658" s="438">
        <v>29.132999999999999</v>
      </c>
      <c r="I658" s="437">
        <v>19.064</v>
      </c>
      <c r="J658" s="11"/>
      <c r="Q658" s="348">
        <f t="shared" si="88"/>
        <v>26.914715352727239</v>
      </c>
      <c r="R658" s="348">
        <f t="shared" si="89"/>
        <v>19.007814108929892</v>
      </c>
      <c r="S658" s="348">
        <f t="shared" si="90"/>
        <v>15.159909275390936</v>
      </c>
      <c r="T658" s="348">
        <f t="shared" si="91"/>
        <v>13.60100746395109</v>
      </c>
      <c r="U658" s="348">
        <f t="shared" si="92"/>
        <v>26.914715352727239</v>
      </c>
      <c r="V658" s="348">
        <f t="shared" si="93"/>
        <v>18.992762933337143</v>
      </c>
      <c r="W658" s="348">
        <f t="shared" si="94"/>
        <v>28.93010973876402</v>
      </c>
      <c r="X658" s="348">
        <f t="shared" si="95"/>
        <v>18.960384820938479</v>
      </c>
    </row>
    <row r="659" spans="1:24" x14ac:dyDescent="0.2">
      <c r="A659" s="407">
        <v>651</v>
      </c>
      <c r="B659" s="438">
        <v>26.965</v>
      </c>
      <c r="C659" s="438">
        <v>19.039000000000001</v>
      </c>
      <c r="D659" s="437">
        <v>15.317</v>
      </c>
      <c r="E659" s="437">
        <v>13.58</v>
      </c>
      <c r="F659" s="438">
        <v>26.965</v>
      </c>
      <c r="G659" s="438">
        <v>19.039000000000001</v>
      </c>
      <c r="H659" s="438">
        <v>29.132999999999999</v>
      </c>
      <c r="I659" s="438">
        <v>19.061</v>
      </c>
      <c r="J659" s="11"/>
      <c r="Q659" s="348">
        <f t="shared" si="88"/>
        <v>26.905760936406711</v>
      </c>
      <c r="R659" s="348">
        <f t="shared" si="89"/>
        <v>19.007814108929892</v>
      </c>
      <c r="S659" s="348">
        <f t="shared" si="90"/>
        <v>15.156910761804214</v>
      </c>
      <c r="T659" s="348">
        <f t="shared" si="91"/>
        <v>13.599005921080339</v>
      </c>
      <c r="U659" s="348">
        <f t="shared" si="92"/>
        <v>26.905760936406711</v>
      </c>
      <c r="V659" s="348">
        <f t="shared" si="93"/>
        <v>18.992762933337143</v>
      </c>
      <c r="W659" s="348">
        <f t="shared" si="94"/>
        <v>28.93010973876402</v>
      </c>
      <c r="X659" s="348">
        <f t="shared" si="95"/>
        <v>18.957401022495429</v>
      </c>
    </row>
    <row r="660" spans="1:24" x14ac:dyDescent="0.2">
      <c r="A660" s="407">
        <v>652</v>
      </c>
      <c r="B660" s="437">
        <v>26.963999999999999</v>
      </c>
      <c r="C660" s="438">
        <v>19.041</v>
      </c>
      <c r="D660" s="438">
        <v>15.316000000000001</v>
      </c>
      <c r="E660" s="438">
        <v>13.582000000000001</v>
      </c>
      <c r="F660" s="438">
        <v>26.963999999999999</v>
      </c>
      <c r="G660" s="438">
        <v>19.041</v>
      </c>
      <c r="H660" s="438">
        <v>29.14</v>
      </c>
      <c r="I660" s="438">
        <v>19.059999999999999</v>
      </c>
      <c r="J660" s="11"/>
      <c r="Q660" s="348">
        <f t="shared" si="88"/>
        <v>26.904766000096338</v>
      </c>
      <c r="R660" s="348">
        <f t="shared" si="89"/>
        <v>19.009826330860736</v>
      </c>
      <c r="S660" s="348">
        <f t="shared" si="90"/>
        <v>15.155911259083842</v>
      </c>
      <c r="T660" s="348">
        <f t="shared" si="91"/>
        <v>13.60100746395109</v>
      </c>
      <c r="U660" s="348">
        <f t="shared" si="92"/>
        <v>26.904766000096338</v>
      </c>
      <c r="V660" s="348">
        <f t="shared" si="93"/>
        <v>18.994765462850093</v>
      </c>
      <c r="W660" s="348">
        <f t="shared" si="94"/>
        <v>28.93708735184007</v>
      </c>
      <c r="X660" s="348">
        <f t="shared" si="95"/>
        <v>18.956406423612247</v>
      </c>
    </row>
    <row r="661" spans="1:24" x14ac:dyDescent="0.2">
      <c r="A661" s="407">
        <v>653</v>
      </c>
      <c r="B661" s="438">
        <v>26.962</v>
      </c>
      <c r="C661" s="438">
        <v>19.04</v>
      </c>
      <c r="D661" s="438">
        <v>15.314</v>
      </c>
      <c r="E661" s="438">
        <v>13.579000000000001</v>
      </c>
      <c r="F661" s="438">
        <v>26.962</v>
      </c>
      <c r="G661" s="438">
        <v>19.04</v>
      </c>
      <c r="H661" s="438">
        <v>29.135999999999999</v>
      </c>
      <c r="I661" s="438">
        <v>19.059999999999999</v>
      </c>
      <c r="J661" s="11"/>
      <c r="Q661" s="348">
        <f t="shared" si="88"/>
        <v>26.902776126777052</v>
      </c>
      <c r="R661" s="348">
        <f t="shared" si="89"/>
        <v>19.008820220251717</v>
      </c>
      <c r="S661" s="348">
        <f t="shared" si="90"/>
        <v>15.153912256356737</v>
      </c>
      <c r="T661" s="348">
        <f t="shared" si="91"/>
        <v>13.598005149523575</v>
      </c>
      <c r="U661" s="348">
        <f t="shared" si="92"/>
        <v>26.902776126777052</v>
      </c>
      <c r="V661" s="348">
        <f t="shared" si="93"/>
        <v>18.993764198068142</v>
      </c>
      <c r="W661" s="348">
        <f t="shared" si="94"/>
        <v>28.933100128832109</v>
      </c>
      <c r="X661" s="348">
        <f t="shared" si="95"/>
        <v>18.956406423612247</v>
      </c>
    </row>
    <row r="662" spans="1:24" x14ac:dyDescent="0.2">
      <c r="A662" s="407">
        <v>654</v>
      </c>
      <c r="B662" s="438">
        <v>26.957999999999998</v>
      </c>
      <c r="C662" s="438">
        <v>19.038</v>
      </c>
      <c r="D662" s="438">
        <v>15.315</v>
      </c>
      <c r="E662" s="438">
        <v>13.581</v>
      </c>
      <c r="F662" s="438">
        <v>26.957999999999998</v>
      </c>
      <c r="G662" s="438">
        <v>19.038</v>
      </c>
      <c r="H662" s="438">
        <v>29.138000000000002</v>
      </c>
      <c r="I662" s="438">
        <v>19.058</v>
      </c>
      <c r="J662" s="11"/>
      <c r="Q662" s="348">
        <f t="shared" si="88"/>
        <v>26.89879637734354</v>
      </c>
      <c r="R662" s="348">
        <f t="shared" si="89"/>
        <v>19.006807996895354</v>
      </c>
      <c r="S662" s="348">
        <f t="shared" si="90"/>
        <v>15.154911757267969</v>
      </c>
      <c r="T662" s="348">
        <f t="shared" si="91"/>
        <v>13.600006692556182</v>
      </c>
      <c r="U662" s="348">
        <f t="shared" si="92"/>
        <v>26.89879637734354</v>
      </c>
      <c r="V662" s="348">
        <f t="shared" si="93"/>
        <v>18.991761668657151</v>
      </c>
      <c r="W662" s="348">
        <f t="shared" si="94"/>
        <v>28.935093735157523</v>
      </c>
      <c r="X662" s="348">
        <f t="shared" si="95"/>
        <v>18.954417226742486</v>
      </c>
    </row>
    <row r="663" spans="1:24" x14ac:dyDescent="0.2">
      <c r="A663" s="407">
        <v>655</v>
      </c>
      <c r="B663" s="438">
        <v>26.963000000000001</v>
      </c>
      <c r="C663" s="438">
        <v>19.038</v>
      </c>
      <c r="D663" s="438">
        <v>15.313000000000001</v>
      </c>
      <c r="E663" s="438">
        <v>13.577</v>
      </c>
      <c r="F663" s="438">
        <v>26.963000000000001</v>
      </c>
      <c r="G663" s="438">
        <v>19.038</v>
      </c>
      <c r="H663" s="438">
        <v>29.14</v>
      </c>
      <c r="I663" s="438">
        <v>19.056000000000001</v>
      </c>
      <c r="J663" s="11"/>
      <c r="Q663" s="348">
        <f t="shared" si="88"/>
        <v>26.90377106355313</v>
      </c>
      <c r="R663" s="348">
        <f t="shared" si="89"/>
        <v>19.006807996895354</v>
      </c>
      <c r="S663" s="348">
        <f t="shared" si="90"/>
        <v>15.152912756350286</v>
      </c>
      <c r="T663" s="348">
        <f t="shared" si="91"/>
        <v>13.596003606167343</v>
      </c>
      <c r="U663" s="348">
        <f t="shared" si="92"/>
        <v>26.90377106355313</v>
      </c>
      <c r="V663" s="348">
        <f t="shared" si="93"/>
        <v>18.991761668657151</v>
      </c>
      <c r="W663" s="348">
        <f t="shared" si="94"/>
        <v>28.93708735184007</v>
      </c>
      <c r="X663" s="348">
        <f t="shared" si="95"/>
        <v>18.952428031068035</v>
      </c>
    </row>
    <row r="664" spans="1:24" x14ac:dyDescent="0.2">
      <c r="A664" s="407">
        <v>656</v>
      </c>
      <c r="B664" s="438">
        <v>26.957999999999998</v>
      </c>
      <c r="C664" s="438">
        <v>19.039000000000001</v>
      </c>
      <c r="D664" s="438">
        <v>15.31</v>
      </c>
      <c r="E664" s="438">
        <v>13.577999999999999</v>
      </c>
      <c r="F664" s="438">
        <v>26.957999999999998</v>
      </c>
      <c r="G664" s="438">
        <v>19.039000000000001</v>
      </c>
      <c r="H664" s="438">
        <v>29.14</v>
      </c>
      <c r="I664" s="438">
        <v>19.053000000000001</v>
      </c>
      <c r="J664" s="11"/>
      <c r="Q664" s="348">
        <f t="shared" si="88"/>
        <v>26.89879637734354</v>
      </c>
      <c r="R664" s="348">
        <f t="shared" si="89"/>
        <v>19.007814108929892</v>
      </c>
      <c r="S664" s="348">
        <f t="shared" si="90"/>
        <v>15.149914261761012</v>
      </c>
      <c r="T664" s="348">
        <f t="shared" si="91"/>
        <v>13.597004377885904</v>
      </c>
      <c r="U664" s="348">
        <f t="shared" si="92"/>
        <v>26.89879637734354</v>
      </c>
      <c r="V664" s="348">
        <f t="shared" si="93"/>
        <v>18.992762933337143</v>
      </c>
      <c r="W664" s="348">
        <f t="shared" si="94"/>
        <v>28.93708735184007</v>
      </c>
      <c r="X664" s="348">
        <f t="shared" si="95"/>
        <v>18.94944423979711</v>
      </c>
    </row>
    <row r="665" spans="1:24" x14ac:dyDescent="0.2">
      <c r="A665" s="407">
        <v>657</v>
      </c>
      <c r="B665" s="438">
        <v>26.956</v>
      </c>
      <c r="C665" s="438">
        <v>19.038</v>
      </c>
      <c r="D665" s="438">
        <v>15.31</v>
      </c>
      <c r="E665" s="438">
        <v>13.579000000000001</v>
      </c>
      <c r="F665" s="438">
        <v>26.956</v>
      </c>
      <c r="G665" s="438">
        <v>19.038</v>
      </c>
      <c r="H665" s="438">
        <v>29.141999999999999</v>
      </c>
      <c r="I665" s="438">
        <v>19.050999999999998</v>
      </c>
      <c r="J665" s="11"/>
      <c r="Q665" s="348">
        <f t="shared" si="88"/>
        <v>26.896806501228856</v>
      </c>
      <c r="R665" s="348">
        <f t="shared" si="89"/>
        <v>19.006807996895354</v>
      </c>
      <c r="S665" s="348">
        <f t="shared" si="90"/>
        <v>15.149914261761012</v>
      </c>
      <c r="T665" s="348">
        <f t="shared" si="91"/>
        <v>13.598005149523575</v>
      </c>
      <c r="U665" s="348">
        <f t="shared" si="92"/>
        <v>26.896806501228856</v>
      </c>
      <c r="V665" s="348">
        <f t="shared" si="93"/>
        <v>18.991761668657151</v>
      </c>
      <c r="W665" s="348">
        <f t="shared" si="94"/>
        <v>28.93908097887957</v>
      </c>
      <c r="X665" s="348">
        <f t="shared" si="95"/>
        <v>18.947455047110044</v>
      </c>
    </row>
    <row r="666" spans="1:24" x14ac:dyDescent="0.2">
      <c r="A666" s="407">
        <v>658</v>
      </c>
      <c r="B666" s="438">
        <v>26.954000000000001</v>
      </c>
      <c r="C666" s="438">
        <v>19.04</v>
      </c>
      <c r="D666" s="438">
        <v>15.308999999999999</v>
      </c>
      <c r="E666" s="438">
        <v>13.581</v>
      </c>
      <c r="F666" s="438">
        <v>26.954000000000001</v>
      </c>
      <c r="G666" s="438">
        <v>19.04</v>
      </c>
      <c r="H666" s="438">
        <v>29.138999999999999</v>
      </c>
      <c r="I666" s="438">
        <v>19.048999999999999</v>
      </c>
      <c r="J666" s="11"/>
      <c r="Q666" s="348">
        <f t="shared" si="88"/>
        <v>26.894816624181914</v>
      </c>
      <c r="R666" s="348">
        <f t="shared" si="89"/>
        <v>19.008820220251717</v>
      </c>
      <c r="S666" s="348">
        <f t="shared" si="90"/>
        <v>15.148914765375078</v>
      </c>
      <c r="T666" s="348">
        <f t="shared" si="91"/>
        <v>13.600006692556182</v>
      </c>
      <c r="U666" s="348">
        <f t="shared" si="92"/>
        <v>26.894816624181914</v>
      </c>
      <c r="V666" s="348">
        <f t="shared" si="93"/>
        <v>18.993764198068142</v>
      </c>
      <c r="W666" s="348">
        <f t="shared" si="94"/>
        <v>28.936090542204166</v>
      </c>
      <c r="X666" s="348">
        <f t="shared" si="95"/>
        <v>18.945465855617591</v>
      </c>
    </row>
    <row r="667" spans="1:24" x14ac:dyDescent="0.2">
      <c r="A667" s="407">
        <v>659</v>
      </c>
      <c r="B667" s="438">
        <v>26.966999999999999</v>
      </c>
      <c r="C667" s="438">
        <v>19.04</v>
      </c>
      <c r="D667" s="438">
        <v>15.311</v>
      </c>
      <c r="E667" s="438">
        <v>13.581</v>
      </c>
      <c r="F667" s="438">
        <v>26.966999999999999</v>
      </c>
      <c r="G667" s="438">
        <v>19.04</v>
      </c>
      <c r="H667" s="438">
        <v>29.14</v>
      </c>
      <c r="I667" s="438">
        <v>19.047999999999998</v>
      </c>
      <c r="J667" s="11"/>
      <c r="Q667" s="348">
        <f t="shared" si="88"/>
        <v>26.907750808329073</v>
      </c>
      <c r="R667" s="348">
        <f t="shared" si="89"/>
        <v>19.008820220251717</v>
      </c>
      <c r="S667" s="348">
        <f t="shared" si="90"/>
        <v>15.150913759052282</v>
      </c>
      <c r="T667" s="348">
        <f t="shared" si="91"/>
        <v>13.600006692556182</v>
      </c>
      <c r="U667" s="348">
        <f t="shared" si="92"/>
        <v>26.907750808329073</v>
      </c>
      <c r="V667" s="348">
        <f t="shared" si="93"/>
        <v>18.993764198068142</v>
      </c>
      <c r="W667" s="348">
        <f t="shared" si="94"/>
        <v>28.93708735184007</v>
      </c>
      <c r="X667" s="348">
        <f t="shared" si="95"/>
        <v>18.944471260319279</v>
      </c>
    </row>
    <row r="668" spans="1:24" x14ac:dyDescent="0.2">
      <c r="A668" s="407">
        <v>660</v>
      </c>
      <c r="B668" s="438">
        <v>26.963000000000001</v>
      </c>
      <c r="C668" s="438">
        <v>19.041</v>
      </c>
      <c r="D668" s="438">
        <v>15.308999999999999</v>
      </c>
      <c r="E668" s="438">
        <v>13.58</v>
      </c>
      <c r="F668" s="438">
        <v>26.963000000000001</v>
      </c>
      <c r="G668" s="438">
        <v>19.041</v>
      </c>
      <c r="H668" s="438">
        <v>29.132999999999999</v>
      </c>
      <c r="I668" s="438">
        <v>19.042999999999999</v>
      </c>
      <c r="J668" s="11"/>
      <c r="Q668" s="348">
        <f t="shared" si="88"/>
        <v>26.90377106355313</v>
      </c>
      <c r="R668" s="348">
        <f t="shared" si="89"/>
        <v>19.009826330860736</v>
      </c>
      <c r="S668" s="348">
        <f t="shared" si="90"/>
        <v>15.148914765375078</v>
      </c>
      <c r="T668" s="348">
        <f t="shared" si="91"/>
        <v>13.599005921080339</v>
      </c>
      <c r="U668" s="348">
        <f t="shared" si="92"/>
        <v>26.90377106355313</v>
      </c>
      <c r="V668" s="348">
        <f t="shared" si="93"/>
        <v>18.994765462850093</v>
      </c>
      <c r="W668" s="348">
        <f t="shared" si="94"/>
        <v>28.93010973876402</v>
      </c>
      <c r="X668" s="348">
        <f t="shared" si="95"/>
        <v>18.939498288305895</v>
      </c>
    </row>
    <row r="669" spans="1:24" x14ac:dyDescent="0.2">
      <c r="A669" s="407">
        <v>661</v>
      </c>
      <c r="B669" s="438">
        <v>26.97</v>
      </c>
      <c r="C669" s="438">
        <v>19.042999999999999</v>
      </c>
      <c r="D669" s="438">
        <v>15.315</v>
      </c>
      <c r="E669" s="438">
        <v>13.584</v>
      </c>
      <c r="F669" s="438">
        <v>26.97</v>
      </c>
      <c r="G669" s="438">
        <v>19.042999999999999</v>
      </c>
      <c r="H669" s="438">
        <v>29.132999999999999</v>
      </c>
      <c r="I669" s="438">
        <v>19.041</v>
      </c>
      <c r="J669" s="11"/>
      <c r="Q669" s="348">
        <f t="shared" si="88"/>
        <v>26.910735614467065</v>
      </c>
      <c r="R669" s="348">
        <f t="shared" si="89"/>
        <v>19.011838549939959</v>
      </c>
      <c r="S669" s="348">
        <f t="shared" si="90"/>
        <v>15.154911757267969</v>
      </c>
      <c r="T669" s="348">
        <f t="shared" si="91"/>
        <v>13.603009006498031</v>
      </c>
      <c r="U669" s="348">
        <f t="shared" si="92"/>
        <v>26.910735614467065</v>
      </c>
      <c r="V669" s="348">
        <f t="shared" si="93"/>
        <v>18.996767992566518</v>
      </c>
      <c r="W669" s="348">
        <f t="shared" si="94"/>
        <v>28.93010973876402</v>
      </c>
      <c r="X669" s="348">
        <f t="shared" si="95"/>
        <v>18.937509101589889</v>
      </c>
    </row>
    <row r="670" spans="1:24" x14ac:dyDescent="0.2">
      <c r="A670" s="407">
        <v>662</v>
      </c>
      <c r="B670" s="438">
        <v>26.97</v>
      </c>
      <c r="C670" s="438">
        <v>19.044</v>
      </c>
      <c r="D670" s="438">
        <v>15.314</v>
      </c>
      <c r="E670" s="438">
        <v>13.587</v>
      </c>
      <c r="F670" s="438">
        <v>26.97</v>
      </c>
      <c r="G670" s="437">
        <v>19.044</v>
      </c>
      <c r="H670" s="438">
        <v>29.128</v>
      </c>
      <c r="I670" s="438">
        <v>19.038</v>
      </c>
      <c r="J670" s="11"/>
      <c r="Q670" s="348">
        <f t="shared" si="88"/>
        <v>26.910735614467065</v>
      </c>
      <c r="R670" s="348">
        <f t="shared" si="89"/>
        <v>19.012844658409985</v>
      </c>
      <c r="S670" s="348">
        <f t="shared" si="90"/>
        <v>15.153912256356737</v>
      </c>
      <c r="T670" s="348">
        <f t="shared" si="91"/>
        <v>13.606011319711039</v>
      </c>
      <c r="U670" s="348">
        <f t="shared" si="92"/>
        <v>26.910735614467065</v>
      </c>
      <c r="V670" s="348">
        <f t="shared" si="93"/>
        <v>18.997769257500842</v>
      </c>
      <c r="W670" s="348">
        <f t="shared" si="94"/>
        <v>28.925125807105463</v>
      </c>
      <c r="X670" s="348">
        <f t="shared" si="95"/>
        <v>18.934525323753853</v>
      </c>
    </row>
    <row r="671" spans="1:24" x14ac:dyDescent="0.2">
      <c r="A671" s="407">
        <v>663</v>
      </c>
      <c r="B671" s="438">
        <v>26.963999999999999</v>
      </c>
      <c r="C671" s="438">
        <v>19.042000000000002</v>
      </c>
      <c r="D671" s="438">
        <v>15.314</v>
      </c>
      <c r="E671" s="438">
        <v>13.585000000000001</v>
      </c>
      <c r="F671" s="438">
        <v>26.963999999999999</v>
      </c>
      <c r="G671" s="438">
        <v>19.042000000000002</v>
      </c>
      <c r="H671" s="438">
        <v>29.132000000000001</v>
      </c>
      <c r="I671" s="438">
        <v>19.036999999999999</v>
      </c>
      <c r="J671" s="11"/>
      <c r="Q671" s="348">
        <f t="shared" si="88"/>
        <v>26.904766000096338</v>
      </c>
      <c r="R671" s="348">
        <f t="shared" si="89"/>
        <v>19.01083244075685</v>
      </c>
      <c r="S671" s="348">
        <f t="shared" si="90"/>
        <v>15.153912256356737</v>
      </c>
      <c r="T671" s="348">
        <f t="shared" si="91"/>
        <v>13.604009777650038</v>
      </c>
      <c r="U671" s="348">
        <f t="shared" si="92"/>
        <v>26.904766000096338</v>
      </c>
      <c r="V671" s="348">
        <f t="shared" si="93"/>
        <v>18.995766727682909</v>
      </c>
      <c r="W671" s="348">
        <f t="shared" si="94"/>
        <v>28.929112947253422</v>
      </c>
      <c r="X671" s="348">
        <f t="shared" si="95"/>
        <v>18.933530731738529</v>
      </c>
    </row>
    <row r="672" spans="1:24" x14ac:dyDescent="0.2">
      <c r="A672" s="407">
        <v>664</v>
      </c>
      <c r="B672" s="438">
        <v>26.98</v>
      </c>
      <c r="C672" s="437">
        <v>19.044</v>
      </c>
      <c r="D672" s="438">
        <v>15.311</v>
      </c>
      <c r="E672" s="438">
        <v>13.586</v>
      </c>
      <c r="F672" s="437">
        <v>26.98</v>
      </c>
      <c r="G672" s="438">
        <v>19.044</v>
      </c>
      <c r="H672" s="437">
        <v>29.128</v>
      </c>
      <c r="I672" s="438">
        <v>19.030999999999999</v>
      </c>
      <c r="J672" s="11"/>
      <c r="Q672" s="348">
        <f t="shared" si="88"/>
        <v>26.920684953141624</v>
      </c>
      <c r="R672" s="348">
        <f t="shared" si="89"/>
        <v>19.012844658409985</v>
      </c>
      <c r="S672" s="348">
        <f t="shared" si="90"/>
        <v>15.150913759052282</v>
      </c>
      <c r="T672" s="348">
        <f t="shared" si="91"/>
        <v>13.605010548721044</v>
      </c>
      <c r="U672" s="348">
        <f t="shared" si="92"/>
        <v>26.920684953141624</v>
      </c>
      <c r="V672" s="348">
        <f t="shared" si="93"/>
        <v>18.997769257500842</v>
      </c>
      <c r="W672" s="348">
        <f t="shared" si="94"/>
        <v>28.925125807105463</v>
      </c>
      <c r="X672" s="348">
        <f t="shared" si="95"/>
        <v>18.92756318591012</v>
      </c>
    </row>
    <row r="673" spans="1:24" x14ac:dyDescent="0.2">
      <c r="A673" s="407">
        <v>665</v>
      </c>
      <c r="B673" s="438">
        <v>26.981999999999999</v>
      </c>
      <c r="C673" s="438">
        <v>19.042999999999999</v>
      </c>
      <c r="D673" s="438">
        <v>15.314</v>
      </c>
      <c r="E673" s="438">
        <v>13.586</v>
      </c>
      <c r="F673" s="438">
        <v>26.981999999999999</v>
      </c>
      <c r="G673" s="438">
        <v>19.042999999999999</v>
      </c>
      <c r="H673" s="438">
        <v>29.13</v>
      </c>
      <c r="I673" s="438">
        <v>19.033000000000001</v>
      </c>
      <c r="J673" s="11"/>
      <c r="Q673" s="348">
        <f t="shared" si="88"/>
        <v>26.922674818087103</v>
      </c>
      <c r="R673" s="348">
        <f t="shared" si="89"/>
        <v>19.011838549939959</v>
      </c>
      <c r="S673" s="348">
        <f t="shared" si="90"/>
        <v>15.153912256356737</v>
      </c>
      <c r="T673" s="348">
        <f t="shared" si="91"/>
        <v>13.605010548721044</v>
      </c>
      <c r="U673" s="348">
        <f t="shared" si="92"/>
        <v>26.922674818087103</v>
      </c>
      <c r="V673" s="348">
        <f t="shared" si="93"/>
        <v>18.996767992566518</v>
      </c>
      <c r="W673" s="348">
        <f t="shared" si="94"/>
        <v>28.927119372000508</v>
      </c>
      <c r="X673" s="348">
        <f t="shared" si="95"/>
        <v>18.929552366660037</v>
      </c>
    </row>
    <row r="674" spans="1:24" x14ac:dyDescent="0.2">
      <c r="A674" s="407">
        <v>666</v>
      </c>
      <c r="B674" s="438">
        <v>26.978999999999999</v>
      </c>
      <c r="C674" s="438">
        <v>19.048999999999999</v>
      </c>
      <c r="D674" s="438">
        <v>15.314</v>
      </c>
      <c r="E674" s="438">
        <v>13.593</v>
      </c>
      <c r="F674" s="438">
        <v>26.978999999999999</v>
      </c>
      <c r="G674" s="438">
        <v>19.048999999999999</v>
      </c>
      <c r="H674" s="438">
        <v>29.129000000000001</v>
      </c>
      <c r="I674" s="438">
        <v>19.03</v>
      </c>
      <c r="J674" s="11"/>
      <c r="Q674" s="348">
        <f t="shared" si="88"/>
        <v>26.919690020320328</v>
      </c>
      <c r="R674" s="348">
        <f t="shared" si="89"/>
        <v>19.017875190060362</v>
      </c>
      <c r="S674" s="348">
        <f t="shared" si="90"/>
        <v>15.153912256356737</v>
      </c>
      <c r="T674" s="348">
        <f t="shared" si="91"/>
        <v>13.612015943948869</v>
      </c>
      <c r="U674" s="348">
        <f t="shared" si="92"/>
        <v>26.919690020320328</v>
      </c>
      <c r="V674" s="348">
        <f t="shared" si="93"/>
        <v>19.002775582930621</v>
      </c>
      <c r="W674" s="348">
        <f t="shared" si="94"/>
        <v>28.926122588258245</v>
      </c>
      <c r="X674" s="348">
        <f t="shared" si="95"/>
        <v>18.92656859598241</v>
      </c>
    </row>
    <row r="675" spans="1:24" x14ac:dyDescent="0.2">
      <c r="A675" s="407">
        <v>667</v>
      </c>
      <c r="B675" s="438">
        <v>26.981000000000002</v>
      </c>
      <c r="C675" s="438">
        <v>19.048999999999999</v>
      </c>
      <c r="D675" s="438">
        <v>15.316000000000001</v>
      </c>
      <c r="E675" s="438">
        <v>13.59</v>
      </c>
      <c r="F675" s="438">
        <v>26.981000000000002</v>
      </c>
      <c r="G675" s="438">
        <v>19.048999999999999</v>
      </c>
      <c r="H675" s="438">
        <v>29.126000000000001</v>
      </c>
      <c r="I675" s="438">
        <v>19.033000000000001</v>
      </c>
      <c r="J675" s="11"/>
      <c r="Q675" s="348">
        <f t="shared" si="88"/>
        <v>26.921679885730537</v>
      </c>
      <c r="R675" s="348">
        <f t="shared" si="89"/>
        <v>19.017875190060362</v>
      </c>
      <c r="S675" s="348">
        <f t="shared" si="90"/>
        <v>15.155911259083842</v>
      </c>
      <c r="T675" s="348">
        <f t="shared" si="91"/>
        <v>13.60901363219479</v>
      </c>
      <c r="U675" s="348">
        <f t="shared" si="92"/>
        <v>26.921679885730537</v>
      </c>
      <c r="V675" s="348">
        <f t="shared" si="93"/>
        <v>19.002775582930621</v>
      </c>
      <c r="W675" s="348">
        <f t="shared" si="94"/>
        <v>28.923132252568461</v>
      </c>
      <c r="X675" s="348">
        <f t="shared" si="95"/>
        <v>18.929552366660037</v>
      </c>
    </row>
    <row r="676" spans="1:24" x14ac:dyDescent="0.2">
      <c r="A676" s="407">
        <v>668</v>
      </c>
      <c r="B676" s="438">
        <v>26.99</v>
      </c>
      <c r="C676" s="438">
        <v>19.053000000000001</v>
      </c>
      <c r="D676" s="438">
        <v>15.32</v>
      </c>
      <c r="E676" s="438">
        <v>13.598000000000001</v>
      </c>
      <c r="F676" s="438">
        <v>26.99</v>
      </c>
      <c r="G676" s="438">
        <v>19.053000000000001</v>
      </c>
      <c r="H676" s="438">
        <v>29.122</v>
      </c>
      <c r="I676" s="438">
        <v>19.035</v>
      </c>
      <c r="J676" s="11"/>
      <c r="Q676" s="348">
        <f t="shared" si="88"/>
        <v>26.930634268578576</v>
      </c>
      <c r="R676" s="348">
        <f t="shared" si="89"/>
        <v>19.021899602535314</v>
      </c>
      <c r="S676" s="348">
        <f t="shared" si="90"/>
        <v>15.159909275390936</v>
      </c>
      <c r="T676" s="348">
        <f t="shared" si="91"/>
        <v>13.617019795249719</v>
      </c>
      <c r="U676" s="348">
        <f t="shared" si="92"/>
        <v>26.930634268578576</v>
      </c>
      <c r="V676" s="348">
        <f t="shared" si="93"/>
        <v>19.006780644179731</v>
      </c>
      <c r="W676" s="348">
        <f t="shared" si="94"/>
        <v>28.919145174569298</v>
      </c>
      <c r="X676" s="348">
        <f t="shared" si="95"/>
        <v>18.931541548602773</v>
      </c>
    </row>
    <row r="677" spans="1:24" x14ac:dyDescent="0.2">
      <c r="A677" s="407">
        <v>669</v>
      </c>
      <c r="B677" s="438">
        <v>26.992000000000001</v>
      </c>
      <c r="C677" s="438">
        <v>19.056999999999999</v>
      </c>
      <c r="D677" s="438">
        <v>15.319000000000001</v>
      </c>
      <c r="E677" s="437">
        <v>13.593</v>
      </c>
      <c r="F677" s="438">
        <v>26.992000000000001</v>
      </c>
      <c r="G677" s="438">
        <v>19.056999999999999</v>
      </c>
      <c r="H677" s="438">
        <v>29.12</v>
      </c>
      <c r="I677" s="438">
        <v>19.033000000000001</v>
      </c>
      <c r="J677" s="11"/>
      <c r="Q677" s="348">
        <f t="shared" si="88"/>
        <v>26.93262412887999</v>
      </c>
      <c r="R677" s="348">
        <f t="shared" si="89"/>
        <v>19.025924003585619</v>
      </c>
      <c r="S677" s="348">
        <f t="shared" si="90"/>
        <v>15.158909769957901</v>
      </c>
      <c r="T677" s="348">
        <f t="shared" si="91"/>
        <v>13.612015943948869</v>
      </c>
      <c r="U677" s="348">
        <f t="shared" si="92"/>
        <v>26.93262412887999</v>
      </c>
      <c r="V677" s="348">
        <f t="shared" si="93"/>
        <v>19.010785706228347</v>
      </c>
      <c r="W677" s="348">
        <f t="shared" si="94"/>
        <v>28.917151651107506</v>
      </c>
      <c r="X677" s="348">
        <f t="shared" si="95"/>
        <v>18.929552366660037</v>
      </c>
    </row>
    <row r="678" spans="1:24" x14ac:dyDescent="0.2">
      <c r="A678" s="407">
        <v>670</v>
      </c>
      <c r="B678" s="438">
        <v>27.003</v>
      </c>
      <c r="C678" s="438">
        <v>19.061</v>
      </c>
      <c r="D678" s="438">
        <v>15.321</v>
      </c>
      <c r="E678" s="438">
        <v>13.595000000000001</v>
      </c>
      <c r="F678" s="438">
        <v>27.003</v>
      </c>
      <c r="G678" s="438">
        <v>19.061</v>
      </c>
      <c r="H678" s="438">
        <v>29.116</v>
      </c>
      <c r="I678" s="438">
        <v>19.027999999999999</v>
      </c>
      <c r="J678" s="11"/>
      <c r="Q678" s="348">
        <f t="shared" si="88"/>
        <v>26.943568343953718</v>
      </c>
      <c r="R678" s="348">
        <f t="shared" si="89"/>
        <v>19.029948393205213</v>
      </c>
      <c r="S678" s="348">
        <f t="shared" si="90"/>
        <v>15.160908781727908</v>
      </c>
      <c r="T678" s="348">
        <f t="shared" si="91"/>
        <v>13.614017484712679</v>
      </c>
      <c r="U678" s="348">
        <f t="shared" si="92"/>
        <v>26.943568343953718</v>
      </c>
      <c r="V678" s="348">
        <f t="shared" si="93"/>
        <v>19.014790769071691</v>
      </c>
      <c r="W678" s="348">
        <f t="shared" si="94"/>
        <v>28.913164635260372</v>
      </c>
      <c r="X678" s="348">
        <f t="shared" si="95"/>
        <v>18.924579417021345</v>
      </c>
    </row>
    <row r="679" spans="1:24" x14ac:dyDescent="0.2">
      <c r="A679" s="407">
        <v>671</v>
      </c>
      <c r="B679" s="437">
        <v>27.003</v>
      </c>
      <c r="C679" s="438">
        <v>19.064</v>
      </c>
      <c r="D679" s="438">
        <v>15.323</v>
      </c>
      <c r="E679" s="438">
        <v>13.6</v>
      </c>
      <c r="F679" s="438">
        <v>27.003</v>
      </c>
      <c r="G679" s="438">
        <v>19.064</v>
      </c>
      <c r="H679" s="438">
        <v>29.111999999999998</v>
      </c>
      <c r="I679" s="438">
        <v>19.027000000000001</v>
      </c>
      <c r="J679" s="11"/>
      <c r="Q679" s="348">
        <f t="shared" si="88"/>
        <v>26.943568343953718</v>
      </c>
      <c r="R679" s="348">
        <f t="shared" si="89"/>
        <v>19.032966677914867</v>
      </c>
      <c r="S679" s="348">
        <f t="shared" si="90"/>
        <v>15.162907797113119</v>
      </c>
      <c r="T679" s="348">
        <f t="shared" si="91"/>
        <v>13.619021335201786</v>
      </c>
      <c r="U679" s="348">
        <f t="shared" si="92"/>
        <v>26.943568343953718</v>
      </c>
      <c r="V679" s="348">
        <f t="shared" si="93"/>
        <v>19.017794566722856</v>
      </c>
      <c r="W679" s="348">
        <f t="shared" si="94"/>
        <v>28.909177660849686</v>
      </c>
      <c r="X679" s="348">
        <f t="shared" si="95"/>
        <v>18.923584827987952</v>
      </c>
    </row>
    <row r="680" spans="1:24" x14ac:dyDescent="0.2">
      <c r="A680" s="407">
        <v>672</v>
      </c>
      <c r="B680" s="438">
        <v>27.012</v>
      </c>
      <c r="C680" s="438">
        <v>19.065999999999999</v>
      </c>
      <c r="D680" s="438">
        <v>15.327</v>
      </c>
      <c r="E680" s="438">
        <v>13.601000000000001</v>
      </c>
      <c r="F680" s="438">
        <v>27.012</v>
      </c>
      <c r="G680" s="438">
        <v>19.065999999999999</v>
      </c>
      <c r="H680" s="438">
        <v>29.111000000000001</v>
      </c>
      <c r="I680" s="438">
        <v>19.026</v>
      </c>
      <c r="J680" s="11"/>
      <c r="Q680" s="348">
        <f t="shared" si="88"/>
        <v>26.952522680885338</v>
      </c>
      <c r="R680" s="348">
        <f t="shared" si="89"/>
        <v>19.034978864146051</v>
      </c>
      <c r="S680" s="348">
        <f t="shared" si="90"/>
        <v>15.166905838724666</v>
      </c>
      <c r="T680" s="348">
        <f t="shared" si="91"/>
        <v>13.620022105055986</v>
      </c>
      <c r="U680" s="348">
        <f t="shared" si="92"/>
        <v>26.952522680885338</v>
      </c>
      <c r="V680" s="348">
        <f t="shared" si="93"/>
        <v>19.019797098736159</v>
      </c>
      <c r="W680" s="348">
        <f t="shared" si="94"/>
        <v>28.908180923721631</v>
      </c>
      <c r="X680" s="348">
        <f t="shared" si="95"/>
        <v>18.92259023925261</v>
      </c>
    </row>
    <row r="681" spans="1:24" x14ac:dyDescent="0.2">
      <c r="A681" s="407">
        <v>673</v>
      </c>
      <c r="B681" s="438">
        <v>27.010999999999999</v>
      </c>
      <c r="C681" s="438">
        <v>19.071000000000002</v>
      </c>
      <c r="D681" s="437">
        <v>15.326000000000001</v>
      </c>
      <c r="E681" s="438">
        <v>13.6</v>
      </c>
      <c r="F681" s="438">
        <v>27.010999999999999</v>
      </c>
      <c r="G681" s="438">
        <v>19.071000000000002</v>
      </c>
      <c r="H681" s="438">
        <v>29.109000000000002</v>
      </c>
      <c r="I681" s="438">
        <v>19.026</v>
      </c>
      <c r="J681" s="11"/>
      <c r="Q681" s="348">
        <f t="shared" si="88"/>
        <v>26.951527755485799</v>
      </c>
      <c r="R681" s="348">
        <f t="shared" si="89"/>
        <v>19.040009317205154</v>
      </c>
      <c r="S681" s="348">
        <f t="shared" si="90"/>
        <v>15.165906326966988</v>
      </c>
      <c r="T681" s="348">
        <f t="shared" si="91"/>
        <v>13.619021335201786</v>
      </c>
      <c r="U681" s="348">
        <f t="shared" si="92"/>
        <v>26.951527755485799</v>
      </c>
      <c r="V681" s="348">
        <f t="shared" si="93"/>
        <v>19.024803429625571</v>
      </c>
      <c r="W681" s="348">
        <f t="shared" si="94"/>
        <v>28.906187457235202</v>
      </c>
      <c r="X681" s="348">
        <f t="shared" si="95"/>
        <v>18.92259023925261</v>
      </c>
    </row>
    <row r="682" spans="1:24" x14ac:dyDescent="0.2">
      <c r="A682" s="407">
        <v>674</v>
      </c>
      <c r="B682" s="438">
        <v>27.012</v>
      </c>
      <c r="C682" s="438">
        <v>19.074999999999999</v>
      </c>
      <c r="D682" s="438">
        <v>15.33</v>
      </c>
      <c r="E682" s="438">
        <v>13.608000000000001</v>
      </c>
      <c r="F682" s="438">
        <v>27.012</v>
      </c>
      <c r="G682" s="438">
        <v>19.074999999999999</v>
      </c>
      <c r="H682" s="438">
        <v>29.100999999999999</v>
      </c>
      <c r="I682" s="438">
        <v>19.024000000000001</v>
      </c>
      <c r="J682" s="11"/>
      <c r="Q682" s="348">
        <f t="shared" si="88"/>
        <v>26.952522680885338</v>
      </c>
      <c r="R682" s="348">
        <f t="shared" si="89"/>
        <v>19.044033666769643</v>
      </c>
      <c r="S682" s="348">
        <f t="shared" si="90"/>
        <v>15.169904379414909</v>
      </c>
      <c r="T682" s="348">
        <f t="shared" si="91"/>
        <v>13.627027491759712</v>
      </c>
      <c r="U682" s="348">
        <f t="shared" si="92"/>
        <v>26.952522680885338</v>
      </c>
      <c r="V682" s="348">
        <f t="shared" si="93"/>
        <v>19.028808495212775</v>
      </c>
      <c r="W682" s="348">
        <f t="shared" si="94"/>
        <v>28.898213694888486</v>
      </c>
      <c r="X682" s="348">
        <f t="shared" si="95"/>
        <v>18.920601062676003</v>
      </c>
    </row>
    <row r="683" spans="1:24" x14ac:dyDescent="0.2">
      <c r="A683" s="407">
        <v>675</v>
      </c>
      <c r="B683" s="438">
        <v>27.016999999999999</v>
      </c>
      <c r="C683" s="438">
        <v>19.079999999999998</v>
      </c>
      <c r="D683" s="438">
        <v>15.332000000000001</v>
      </c>
      <c r="E683" s="438">
        <v>13.611000000000001</v>
      </c>
      <c r="F683" s="438">
        <v>27.016999999999999</v>
      </c>
      <c r="G683" s="438">
        <v>19.079999999999998</v>
      </c>
      <c r="H683" s="438">
        <v>29.097999999999999</v>
      </c>
      <c r="I683" s="438">
        <v>19.021999999999998</v>
      </c>
      <c r="J683" s="11"/>
      <c r="Q683" s="348">
        <f t="shared" si="88"/>
        <v>26.95749730441176</v>
      </c>
      <c r="R683" s="348">
        <f t="shared" si="89"/>
        <v>19.049064087611864</v>
      </c>
      <c r="S683" s="348">
        <f t="shared" si="90"/>
        <v>15.171903411054679</v>
      </c>
      <c r="T683" s="348">
        <f t="shared" si="91"/>
        <v>13.630029799127072</v>
      </c>
      <c r="U683" s="348">
        <f t="shared" si="92"/>
        <v>26.95749730441176</v>
      </c>
      <c r="V683" s="348">
        <f t="shared" si="93"/>
        <v>19.033814828283543</v>
      </c>
      <c r="W683" s="348">
        <f t="shared" si="94"/>
        <v>28.895223576744609</v>
      </c>
      <c r="X683" s="348">
        <f t="shared" si="95"/>
        <v>18.918611887291309</v>
      </c>
    </row>
    <row r="684" spans="1:24" x14ac:dyDescent="0.2">
      <c r="A684" s="407">
        <v>676</v>
      </c>
      <c r="B684" s="438">
        <v>27.030999999999999</v>
      </c>
      <c r="C684" s="438">
        <v>19.082000000000001</v>
      </c>
      <c r="D684" s="438">
        <v>15.334</v>
      </c>
      <c r="E684" s="438">
        <v>13.622</v>
      </c>
      <c r="F684" s="438">
        <v>27.030999999999999</v>
      </c>
      <c r="G684" s="438">
        <v>19.082000000000001</v>
      </c>
      <c r="H684" s="438">
        <v>29.1</v>
      </c>
      <c r="I684" s="438">
        <v>19.02</v>
      </c>
      <c r="J684" s="11"/>
      <c r="Q684" s="348">
        <f t="shared" si="88"/>
        <v>26.97142621953309</v>
      </c>
      <c r="R684" s="348">
        <f t="shared" si="89"/>
        <v>19.051076250933278</v>
      </c>
      <c r="S684" s="348">
        <f t="shared" si="90"/>
        <v>15.173902446303492</v>
      </c>
      <c r="T684" s="348">
        <f t="shared" si="91"/>
        <v>13.641038253203394</v>
      </c>
      <c r="U684" s="348">
        <f t="shared" si="92"/>
        <v>26.97142621953309</v>
      </c>
      <c r="V684" s="348">
        <f t="shared" si="93"/>
        <v>19.035817361848043</v>
      </c>
      <c r="W684" s="348">
        <f t="shared" si="94"/>
        <v>28.897216986250395</v>
      </c>
      <c r="X684" s="348">
        <f t="shared" si="95"/>
        <v>18.916622713098349</v>
      </c>
    </row>
    <row r="685" spans="1:24" x14ac:dyDescent="0.2">
      <c r="A685" s="407">
        <v>677</v>
      </c>
      <c r="B685" s="438">
        <v>27.024999999999999</v>
      </c>
      <c r="C685" s="438">
        <v>19.084</v>
      </c>
      <c r="D685" s="438">
        <v>15.336</v>
      </c>
      <c r="E685" s="438">
        <v>13.618</v>
      </c>
      <c r="F685" s="438">
        <v>27.024999999999999</v>
      </c>
      <c r="G685" s="438">
        <v>19.084</v>
      </c>
      <c r="H685" s="438">
        <v>29.088999999999999</v>
      </c>
      <c r="I685" s="438">
        <v>19.02</v>
      </c>
      <c r="J685" s="11"/>
      <c r="Q685" s="348">
        <f t="shared" si="88"/>
        <v>26.965456690027438</v>
      </c>
      <c r="R685" s="348">
        <f t="shared" si="89"/>
        <v>19.053088411387577</v>
      </c>
      <c r="S685" s="348">
        <f t="shared" si="90"/>
        <v>15.175901485160237</v>
      </c>
      <c r="T685" s="348">
        <f t="shared" si="91"/>
        <v>13.637035180134657</v>
      </c>
      <c r="U685" s="348">
        <f t="shared" si="92"/>
        <v>26.965456690027438</v>
      </c>
      <c r="V685" s="348">
        <f t="shared" si="93"/>
        <v>19.03781989560375</v>
      </c>
      <c r="W685" s="348">
        <f t="shared" si="94"/>
        <v>28.886253362184423</v>
      </c>
      <c r="X685" s="348">
        <f t="shared" si="95"/>
        <v>18.916622713098349</v>
      </c>
    </row>
    <row r="686" spans="1:24" x14ac:dyDescent="0.2">
      <c r="A686" s="407">
        <v>678</v>
      </c>
      <c r="B686" s="438">
        <v>27.036000000000001</v>
      </c>
      <c r="C686" s="438">
        <v>19.087</v>
      </c>
      <c r="D686" s="438">
        <v>15.339</v>
      </c>
      <c r="E686" s="438">
        <v>13.622999999999999</v>
      </c>
      <c r="F686" s="438">
        <v>27.036000000000001</v>
      </c>
      <c r="G686" s="438">
        <v>19.087</v>
      </c>
      <c r="H686" s="438">
        <v>29.093</v>
      </c>
      <c r="I686" s="438">
        <v>19.021999999999998</v>
      </c>
      <c r="J686" s="11"/>
      <c r="Q686" s="348">
        <f t="shared" si="88"/>
        <v>26.97640082110431</v>
      </c>
      <c r="R686" s="348">
        <f t="shared" si="89"/>
        <v>19.056106646691529</v>
      </c>
      <c r="S686" s="348">
        <f t="shared" si="90"/>
        <v>15.178900050207774</v>
      </c>
      <c r="T686" s="348">
        <f t="shared" si="91"/>
        <v>13.642039021266704</v>
      </c>
      <c r="U686" s="348">
        <f t="shared" si="92"/>
        <v>26.97640082110431</v>
      </c>
      <c r="V686" s="348">
        <f t="shared" si="93"/>
        <v>19.040823696594536</v>
      </c>
      <c r="W686" s="348">
        <f t="shared" si="94"/>
        <v>28.890240098308492</v>
      </c>
      <c r="X686" s="348">
        <f t="shared" si="95"/>
        <v>18.918611887291309</v>
      </c>
    </row>
    <row r="687" spans="1:24" x14ac:dyDescent="0.2">
      <c r="A687" s="407">
        <v>679</v>
      </c>
      <c r="B687" s="438">
        <v>27.035</v>
      </c>
      <c r="C687" s="438">
        <v>19.085999999999999</v>
      </c>
      <c r="D687" s="438">
        <v>15.340999999999999</v>
      </c>
      <c r="E687" s="438">
        <v>13.627000000000001</v>
      </c>
      <c r="F687" s="438">
        <v>27.035</v>
      </c>
      <c r="G687" s="438">
        <v>19.085999999999999</v>
      </c>
      <c r="H687" s="438">
        <v>29.087</v>
      </c>
      <c r="I687" s="438">
        <v>19.021000000000001</v>
      </c>
      <c r="J687" s="11"/>
      <c r="Q687" s="348">
        <f t="shared" si="88"/>
        <v>26.975405901251705</v>
      </c>
      <c r="R687" s="348">
        <f t="shared" si="89"/>
        <v>19.055100568974002</v>
      </c>
      <c r="S687" s="348">
        <f t="shared" si="90"/>
        <v>15.180899098079445</v>
      </c>
      <c r="T687" s="348">
        <f t="shared" si="91"/>
        <v>13.646042092703995</v>
      </c>
      <c r="U687" s="348">
        <f t="shared" si="92"/>
        <v>26.975405901251705</v>
      </c>
      <c r="V687" s="348">
        <f t="shared" si="93"/>
        <v>19.039822429550078</v>
      </c>
      <c r="W687" s="348">
        <f t="shared" si="94"/>
        <v>28.884260009664477</v>
      </c>
      <c r="X687" s="348">
        <f t="shared" si="95"/>
        <v>18.91761730004588</v>
      </c>
    </row>
    <row r="688" spans="1:24" x14ac:dyDescent="0.2">
      <c r="A688" s="407">
        <v>680</v>
      </c>
      <c r="B688" s="438">
        <v>27.042999999999999</v>
      </c>
      <c r="C688" s="438">
        <v>19.082999999999998</v>
      </c>
      <c r="D688" s="438">
        <v>15.343999999999999</v>
      </c>
      <c r="E688" s="438">
        <v>13.625999999999999</v>
      </c>
      <c r="F688" s="438">
        <v>27.042999999999999</v>
      </c>
      <c r="G688" s="438">
        <v>19.082999999999998</v>
      </c>
      <c r="H688" s="438">
        <v>29.088000000000001</v>
      </c>
      <c r="I688" s="438">
        <v>19.021000000000001</v>
      </c>
      <c r="J688" s="11"/>
      <c r="Q688" s="348">
        <f t="shared" si="88"/>
        <v>26.983365253612906</v>
      </c>
      <c r="R688" s="348">
        <f t="shared" si="89"/>
        <v>19.052082331518864</v>
      </c>
      <c r="S688" s="348">
        <f t="shared" si="90"/>
        <v>15.183897676644133</v>
      </c>
      <c r="T688" s="348">
        <f t="shared" si="91"/>
        <v>13.645041324967096</v>
      </c>
      <c r="U688" s="348">
        <f t="shared" si="92"/>
        <v>26.983365253612906</v>
      </c>
      <c r="V688" s="348">
        <f t="shared" si="93"/>
        <v>19.036818628702033</v>
      </c>
      <c r="W688" s="348">
        <f t="shared" si="94"/>
        <v>28.885256684629262</v>
      </c>
      <c r="X688" s="348">
        <f t="shared" si="95"/>
        <v>18.91761730004588</v>
      </c>
    </row>
    <row r="689" spans="1:24" x14ac:dyDescent="0.2">
      <c r="A689" s="407">
        <v>681</v>
      </c>
      <c r="B689" s="437">
        <v>27.045999999999999</v>
      </c>
      <c r="C689" s="438">
        <v>19.082000000000001</v>
      </c>
      <c r="D689" s="438">
        <v>15.347</v>
      </c>
      <c r="E689" s="438">
        <v>13.625999999999999</v>
      </c>
      <c r="F689" s="438">
        <v>27.045999999999999</v>
      </c>
      <c r="G689" s="438">
        <v>19.082000000000001</v>
      </c>
      <c r="H689" s="438">
        <v>29.09</v>
      </c>
      <c r="I689" s="438">
        <v>19.02</v>
      </c>
      <c r="J689" s="11"/>
      <c r="Q689" s="348">
        <f t="shared" si="88"/>
        <v>26.986350006943361</v>
      </c>
      <c r="R689" s="348">
        <f t="shared" si="89"/>
        <v>19.051076250933278</v>
      </c>
      <c r="S689" s="348">
        <f t="shared" si="90"/>
        <v>15.186896263314081</v>
      </c>
      <c r="T689" s="348">
        <f t="shared" si="91"/>
        <v>13.645041324967096</v>
      </c>
      <c r="U689" s="348">
        <f t="shared" si="92"/>
        <v>26.986350006943361</v>
      </c>
      <c r="V689" s="348">
        <f t="shared" si="93"/>
        <v>19.035817361848043</v>
      </c>
      <c r="W689" s="348">
        <f t="shared" si="94"/>
        <v>28.887250042329956</v>
      </c>
      <c r="X689" s="348">
        <f t="shared" si="95"/>
        <v>18.916622713098349</v>
      </c>
    </row>
    <row r="690" spans="1:24" x14ac:dyDescent="0.2">
      <c r="A690" s="407">
        <v>682</v>
      </c>
      <c r="B690" s="438">
        <v>27.050999999999998</v>
      </c>
      <c r="C690" s="438">
        <v>19.082000000000001</v>
      </c>
      <c r="D690" s="438">
        <v>15.348000000000001</v>
      </c>
      <c r="E690" s="438">
        <v>13.628</v>
      </c>
      <c r="F690" s="438">
        <v>27.050999999999998</v>
      </c>
      <c r="G690" s="438">
        <v>19.082000000000001</v>
      </c>
      <c r="H690" s="438">
        <v>29.085000000000001</v>
      </c>
      <c r="I690" s="438">
        <v>19.015000000000001</v>
      </c>
      <c r="J690" s="11"/>
      <c r="Q690" s="348">
        <f t="shared" si="88"/>
        <v>26.99132459121844</v>
      </c>
      <c r="R690" s="348">
        <f t="shared" si="89"/>
        <v>19.051076250933278</v>
      </c>
      <c r="S690" s="348">
        <f t="shared" si="90"/>
        <v>15.18789579400458</v>
      </c>
      <c r="T690" s="348">
        <f t="shared" si="91"/>
        <v>13.647042860359253</v>
      </c>
      <c r="U690" s="348">
        <f t="shared" si="92"/>
        <v>26.99132459121844</v>
      </c>
      <c r="V690" s="348">
        <f t="shared" si="93"/>
        <v>19.035817361848043</v>
      </c>
      <c r="W690" s="348">
        <f t="shared" si="94"/>
        <v>28.882266667506133</v>
      </c>
      <c r="X690" s="348">
        <f t="shared" si="95"/>
        <v>18.911649782828444</v>
      </c>
    </row>
    <row r="691" spans="1:24" x14ac:dyDescent="0.2">
      <c r="A691" s="407">
        <v>683</v>
      </c>
      <c r="B691" s="438">
        <v>27.053999999999998</v>
      </c>
      <c r="C691" s="438">
        <v>19.081</v>
      </c>
      <c r="D691" s="438">
        <v>15.348000000000001</v>
      </c>
      <c r="E691" s="438">
        <v>13.625999999999999</v>
      </c>
      <c r="F691" s="438">
        <v>27.053999999999998</v>
      </c>
      <c r="G691" s="438">
        <v>19.081</v>
      </c>
      <c r="H691" s="438">
        <v>29.085999999999999</v>
      </c>
      <c r="I691" s="438">
        <v>19.016999999999999</v>
      </c>
      <c r="J691" s="11"/>
      <c r="Q691" s="348">
        <f t="shared" si="88"/>
        <v>26.994309339019352</v>
      </c>
      <c r="R691" s="348">
        <f t="shared" si="89"/>
        <v>19.050070169630914</v>
      </c>
      <c r="S691" s="348">
        <f t="shared" si="90"/>
        <v>15.18789579400458</v>
      </c>
      <c r="T691" s="348">
        <f t="shared" si="91"/>
        <v>13.645041324967096</v>
      </c>
      <c r="U691" s="348">
        <f t="shared" si="92"/>
        <v>26.994309339019352</v>
      </c>
      <c r="V691" s="348">
        <f t="shared" si="93"/>
        <v>19.034816095041855</v>
      </c>
      <c r="W691" s="348">
        <f t="shared" si="94"/>
        <v>28.883263337290089</v>
      </c>
      <c r="X691" s="348">
        <f t="shared" si="95"/>
        <v>18.913638954042955</v>
      </c>
    </row>
    <row r="692" spans="1:24" x14ac:dyDescent="0.2">
      <c r="A692" s="407">
        <v>684</v>
      </c>
      <c r="B692" s="438">
        <v>27.058</v>
      </c>
      <c r="C692" s="438">
        <v>19.079000000000001</v>
      </c>
      <c r="D692" s="438">
        <v>15.352</v>
      </c>
      <c r="E692" s="438">
        <v>13.628</v>
      </c>
      <c r="F692" s="438">
        <v>27.058</v>
      </c>
      <c r="G692" s="438">
        <v>19.079000000000001</v>
      </c>
      <c r="H692" s="438">
        <v>29.084</v>
      </c>
      <c r="I692" s="438">
        <v>19.018000000000001</v>
      </c>
      <c r="J692" s="11"/>
      <c r="Q692" s="348">
        <f t="shared" si="88"/>
        <v>26.998288999530708</v>
      </c>
      <c r="R692" s="348">
        <f t="shared" si="89"/>
        <v>19.048058004876225</v>
      </c>
      <c r="S692" s="348">
        <f t="shared" si="90"/>
        <v>15.191893925765436</v>
      </c>
      <c r="T692" s="348">
        <f t="shared" si="91"/>
        <v>13.647042860359253</v>
      </c>
      <c r="U692" s="348">
        <f t="shared" si="92"/>
        <v>26.998288999530708</v>
      </c>
      <c r="V692" s="348">
        <f t="shared" si="93"/>
        <v>19.032813561573189</v>
      </c>
      <c r="W692" s="348">
        <f t="shared" si="94"/>
        <v>28.881270000312615</v>
      </c>
      <c r="X692" s="348">
        <f t="shared" si="95"/>
        <v>18.914633540096915</v>
      </c>
    </row>
    <row r="693" spans="1:24" x14ac:dyDescent="0.2">
      <c r="A693" s="407">
        <v>685</v>
      </c>
      <c r="B693" s="438">
        <v>27.052</v>
      </c>
      <c r="C693" s="438">
        <v>19.076000000000001</v>
      </c>
      <c r="D693" s="438">
        <v>15.351000000000001</v>
      </c>
      <c r="E693" s="438">
        <v>13.627000000000001</v>
      </c>
      <c r="F693" s="438">
        <v>27.052</v>
      </c>
      <c r="G693" s="438">
        <v>19.076000000000001</v>
      </c>
      <c r="H693" s="438">
        <v>29.082000000000001</v>
      </c>
      <c r="I693" s="438">
        <v>19.018000000000001</v>
      </c>
      <c r="J693" s="11"/>
      <c r="Q693" s="348">
        <f t="shared" si="88"/>
        <v>26.992319507382366</v>
      </c>
      <c r="R693" s="348">
        <f t="shared" si="89"/>
        <v>19.045039752370702</v>
      </c>
      <c r="S693" s="348">
        <f t="shared" si="90"/>
        <v>15.190894391475673</v>
      </c>
      <c r="T693" s="348">
        <f t="shared" si="91"/>
        <v>13.646042092703995</v>
      </c>
      <c r="U693" s="348">
        <f t="shared" si="92"/>
        <v>26.992319507382366</v>
      </c>
      <c r="V693" s="348">
        <f t="shared" si="93"/>
        <v>19.029809761730576</v>
      </c>
      <c r="W693" s="348">
        <f t="shared" si="94"/>
        <v>28.879276673696996</v>
      </c>
      <c r="X693" s="348">
        <f t="shared" si="95"/>
        <v>18.914633540096915</v>
      </c>
    </row>
    <row r="694" spans="1:24" x14ac:dyDescent="0.2">
      <c r="A694" s="407">
        <v>686</v>
      </c>
      <c r="B694" s="438">
        <v>27.055</v>
      </c>
      <c r="C694" s="438">
        <v>19.077000000000002</v>
      </c>
      <c r="D694" s="438">
        <v>15.348000000000001</v>
      </c>
      <c r="E694" s="438">
        <v>13.622</v>
      </c>
      <c r="F694" s="438">
        <v>27.055</v>
      </c>
      <c r="G694" s="438">
        <v>19.077000000000002</v>
      </c>
      <c r="H694" s="438">
        <v>29.081</v>
      </c>
      <c r="I694" s="438">
        <v>19.013000000000002</v>
      </c>
      <c r="J694" s="11"/>
      <c r="Q694" s="348">
        <f t="shared" si="88"/>
        <v>26.995304254492474</v>
      </c>
      <c r="R694" s="348">
        <f t="shared" si="89"/>
        <v>19.046045837255551</v>
      </c>
      <c r="S694" s="348">
        <f t="shared" si="90"/>
        <v>15.18789579400458</v>
      </c>
      <c r="T694" s="348">
        <f t="shared" si="91"/>
        <v>13.641038253203394</v>
      </c>
      <c r="U694" s="348">
        <f t="shared" si="92"/>
        <v>26.995304254492474</v>
      </c>
      <c r="V694" s="348">
        <f t="shared" si="93"/>
        <v>19.030811028296633</v>
      </c>
      <c r="W694" s="348">
        <f t="shared" si="94"/>
        <v>28.878280014274939</v>
      </c>
      <c r="X694" s="348">
        <f t="shared" si="95"/>
        <v>18.909660612804956</v>
      </c>
    </row>
    <row r="695" spans="1:24" x14ac:dyDescent="0.2">
      <c r="A695" s="407">
        <v>687</v>
      </c>
      <c r="B695" s="438">
        <v>27.065999999999999</v>
      </c>
      <c r="C695" s="438">
        <v>19.074000000000002</v>
      </c>
      <c r="D695" s="438">
        <v>15.35</v>
      </c>
      <c r="E695" s="438">
        <v>13.622</v>
      </c>
      <c r="F695" s="438">
        <v>27.065999999999999</v>
      </c>
      <c r="G695" s="438">
        <v>19.074000000000002</v>
      </c>
      <c r="H695" s="438">
        <v>29.082000000000001</v>
      </c>
      <c r="I695" s="438">
        <v>19.010999999999999</v>
      </c>
      <c r="J695" s="11"/>
      <c r="Q695" s="348">
        <f t="shared" si="88"/>
        <v>27.006248309509424</v>
      </c>
      <c r="R695" s="348">
        <f t="shared" si="89"/>
        <v>19.043027580452467</v>
      </c>
      <c r="S695" s="348">
        <f t="shared" si="90"/>
        <v>15.189894858085514</v>
      </c>
      <c r="T695" s="348">
        <f t="shared" si="91"/>
        <v>13.641038253203394</v>
      </c>
      <c r="U695" s="348">
        <f t="shared" si="92"/>
        <v>27.006248309509424</v>
      </c>
      <c r="V695" s="348">
        <f t="shared" si="93"/>
        <v>19.027807228743299</v>
      </c>
      <c r="W695" s="348">
        <f t="shared" si="94"/>
        <v>28.879276673696996</v>
      </c>
      <c r="X695" s="348">
        <f t="shared" si="95"/>
        <v>18.907671443972298</v>
      </c>
    </row>
    <row r="696" spans="1:24" x14ac:dyDescent="0.2">
      <c r="A696" s="407">
        <v>688</v>
      </c>
      <c r="B696" s="438">
        <v>27.064</v>
      </c>
      <c r="C696" s="438">
        <v>19.07</v>
      </c>
      <c r="D696" s="438">
        <v>15.352</v>
      </c>
      <c r="E696" s="438">
        <v>13.616</v>
      </c>
      <c r="F696" s="438">
        <v>27.064</v>
      </c>
      <c r="G696" s="438">
        <v>19.07</v>
      </c>
      <c r="H696" s="438">
        <v>29.077000000000002</v>
      </c>
      <c r="I696" s="438">
        <v>19.009</v>
      </c>
      <c r="J696" s="11"/>
      <c r="Q696" s="348">
        <f t="shared" si="88"/>
        <v>27.004258483394665</v>
      </c>
      <c r="R696" s="348">
        <f t="shared" si="89"/>
        <v>19.039003228024441</v>
      </c>
      <c r="S696" s="348">
        <f t="shared" si="90"/>
        <v>15.191893925765436</v>
      </c>
      <c r="T696" s="348">
        <f t="shared" si="91"/>
        <v>13.635033643111207</v>
      </c>
      <c r="U696" s="348">
        <f t="shared" si="92"/>
        <v>27.004258483394665</v>
      </c>
      <c r="V696" s="348">
        <f t="shared" si="93"/>
        <v>19.023802163350137</v>
      </c>
      <c r="W696" s="348">
        <f t="shared" si="94"/>
        <v>28.874293402492189</v>
      </c>
      <c r="X696" s="348">
        <f t="shared" si="95"/>
        <v>18.905682276330271</v>
      </c>
    </row>
    <row r="697" spans="1:24" x14ac:dyDescent="0.2">
      <c r="A697" s="407">
        <v>689</v>
      </c>
      <c r="B697" s="438">
        <v>27.071000000000002</v>
      </c>
      <c r="C697" s="438">
        <v>19.068999999999999</v>
      </c>
      <c r="D697" s="438">
        <v>15.355</v>
      </c>
      <c r="E697" s="438">
        <v>13.617000000000001</v>
      </c>
      <c r="F697" s="438">
        <v>27.071000000000002</v>
      </c>
      <c r="G697" s="438">
        <v>19.068999999999999</v>
      </c>
      <c r="H697" s="438">
        <v>29.074999999999999</v>
      </c>
      <c r="I697" s="437">
        <v>19.009</v>
      </c>
      <c r="J697" s="11"/>
      <c r="Q697" s="348">
        <f t="shared" si="88"/>
        <v>27.011222870773778</v>
      </c>
      <c r="R697" s="348">
        <f t="shared" si="89"/>
        <v>19.037997138128077</v>
      </c>
      <c r="S697" s="348">
        <f t="shared" si="90"/>
        <v>15.194892534030968</v>
      </c>
      <c r="T697" s="348">
        <f t="shared" si="91"/>
        <v>13.636034411663676</v>
      </c>
      <c r="U697" s="348">
        <f t="shared" si="92"/>
        <v>27.011222870773778</v>
      </c>
      <c r="V697" s="348">
        <f t="shared" si="93"/>
        <v>19.02280089712341</v>
      </c>
      <c r="W697" s="348">
        <f t="shared" si="94"/>
        <v>28.872300112144384</v>
      </c>
      <c r="X697" s="348">
        <f t="shared" si="95"/>
        <v>18.905682276330271</v>
      </c>
    </row>
    <row r="698" spans="1:24" x14ac:dyDescent="0.2">
      <c r="A698" s="407">
        <v>690</v>
      </c>
      <c r="B698" s="438">
        <v>27.07</v>
      </c>
      <c r="C698" s="438">
        <v>19.068999999999999</v>
      </c>
      <c r="D698" s="438">
        <v>15.35</v>
      </c>
      <c r="E698" s="438">
        <v>13.613</v>
      </c>
      <c r="F698" s="438">
        <v>27.07</v>
      </c>
      <c r="G698" s="438">
        <v>19.068999999999999</v>
      </c>
      <c r="H698" s="438">
        <v>29.073</v>
      </c>
      <c r="I698" s="438">
        <v>19.004999999999999</v>
      </c>
      <c r="J698" s="11"/>
      <c r="Q698" s="348">
        <f t="shared" si="88"/>
        <v>27.010227958980511</v>
      </c>
      <c r="R698" s="348">
        <f t="shared" si="89"/>
        <v>19.037997138128077</v>
      </c>
      <c r="S698" s="348">
        <f t="shared" si="90"/>
        <v>15.189894858085514</v>
      </c>
      <c r="T698" s="348">
        <f t="shared" si="91"/>
        <v>13.632031336965021</v>
      </c>
      <c r="U698" s="348">
        <f t="shared" si="92"/>
        <v>27.010227958980511</v>
      </c>
      <c r="V698" s="348">
        <f t="shared" si="93"/>
        <v>19.02280089712341</v>
      </c>
      <c r="W698" s="348">
        <f t="shared" si="94"/>
        <v>28.870306832159191</v>
      </c>
      <c r="X698" s="348">
        <f t="shared" si="95"/>
        <v>18.901703944617321</v>
      </c>
    </row>
    <row r="699" spans="1:24" x14ac:dyDescent="0.2">
      <c r="A699" s="407">
        <v>691</v>
      </c>
      <c r="B699" s="438">
        <v>27.077999999999999</v>
      </c>
      <c r="C699" s="438">
        <v>19.065000000000001</v>
      </c>
      <c r="D699" s="438">
        <v>15.351000000000001</v>
      </c>
      <c r="E699" s="438">
        <v>13.611000000000001</v>
      </c>
      <c r="F699" s="438">
        <v>27.077999999999999</v>
      </c>
      <c r="G699" s="438">
        <v>19.065000000000001</v>
      </c>
      <c r="H699" s="438">
        <v>29.074000000000002</v>
      </c>
      <c r="I699" s="438">
        <v>19.004999999999999</v>
      </c>
      <c r="J699" s="11"/>
      <c r="Q699" s="348">
        <f t="shared" si="88"/>
        <v>27.018187246895454</v>
      </c>
      <c r="R699" s="348">
        <f t="shared" si="89"/>
        <v>19.033972771388051</v>
      </c>
      <c r="S699" s="348">
        <f t="shared" si="90"/>
        <v>15.190894391475673</v>
      </c>
      <c r="T699" s="348">
        <f t="shared" si="91"/>
        <v>13.630029799127072</v>
      </c>
      <c r="U699" s="348">
        <f t="shared" si="92"/>
        <v>27.018187246895454</v>
      </c>
      <c r="V699" s="348">
        <f t="shared" si="93"/>
        <v>19.018795832704974</v>
      </c>
      <c r="W699" s="348">
        <f t="shared" si="94"/>
        <v>28.871303470856454</v>
      </c>
      <c r="X699" s="348">
        <f t="shared" si="95"/>
        <v>18.901703944617321</v>
      </c>
    </row>
    <row r="700" spans="1:24" x14ac:dyDescent="0.2">
      <c r="A700" s="407">
        <v>692</v>
      </c>
      <c r="B700" s="438">
        <v>27.067</v>
      </c>
      <c r="C700" s="438">
        <v>19.061</v>
      </c>
      <c r="D700" s="438">
        <v>15.348000000000001</v>
      </c>
      <c r="E700" s="438">
        <v>13.609</v>
      </c>
      <c r="F700" s="438">
        <v>27.067</v>
      </c>
      <c r="G700" s="438">
        <v>19.061</v>
      </c>
      <c r="H700" s="438">
        <v>29.076000000000001</v>
      </c>
      <c r="I700" s="438">
        <v>19.004999999999999</v>
      </c>
      <c r="J700" s="11"/>
      <c r="Q700" s="348">
        <f t="shared" si="88"/>
        <v>27.007243222221959</v>
      </c>
      <c r="R700" s="348">
        <f t="shared" si="89"/>
        <v>19.029948393205213</v>
      </c>
      <c r="S700" s="348">
        <f t="shared" si="90"/>
        <v>15.18789579400458</v>
      </c>
      <c r="T700" s="348">
        <f t="shared" si="91"/>
        <v>13.628028260963536</v>
      </c>
      <c r="U700" s="348">
        <f t="shared" si="92"/>
        <v>27.007243222221959</v>
      </c>
      <c r="V700" s="348">
        <f t="shared" si="93"/>
        <v>19.014790769071691</v>
      </c>
      <c r="W700" s="348">
        <f t="shared" si="94"/>
        <v>28.87329675602297</v>
      </c>
      <c r="X700" s="348">
        <f t="shared" si="95"/>
        <v>18.901703944617321</v>
      </c>
    </row>
    <row r="701" spans="1:24" x14ac:dyDescent="0.2">
      <c r="A701" s="407">
        <v>693</v>
      </c>
      <c r="B701" s="438">
        <v>27.07</v>
      </c>
      <c r="C701" s="437">
        <v>19.056999999999999</v>
      </c>
      <c r="D701" s="438">
        <v>15.347</v>
      </c>
      <c r="E701" s="438">
        <v>13.606</v>
      </c>
      <c r="F701" s="438">
        <v>27.07</v>
      </c>
      <c r="G701" s="438">
        <v>19.056999999999999</v>
      </c>
      <c r="H701" s="438">
        <v>29.074999999999999</v>
      </c>
      <c r="I701" s="438">
        <v>19.003</v>
      </c>
      <c r="J701" s="11"/>
      <c r="Q701" s="348">
        <f t="shared" si="88"/>
        <v>27.010227958980511</v>
      </c>
      <c r="R701" s="348">
        <f t="shared" si="89"/>
        <v>19.025924003585619</v>
      </c>
      <c r="S701" s="348">
        <f t="shared" si="90"/>
        <v>15.186896263314081</v>
      </c>
      <c r="T701" s="348">
        <f t="shared" si="91"/>
        <v>13.625025953108027</v>
      </c>
      <c r="U701" s="348">
        <f t="shared" si="92"/>
        <v>27.010227958980511</v>
      </c>
      <c r="V701" s="348">
        <f t="shared" si="93"/>
        <v>19.010785706228347</v>
      </c>
      <c r="W701" s="348">
        <f t="shared" si="94"/>
        <v>28.872300112144384</v>
      </c>
      <c r="X701" s="348">
        <f t="shared" si="95"/>
        <v>18.899714780545995</v>
      </c>
    </row>
    <row r="702" spans="1:24" x14ac:dyDescent="0.2">
      <c r="A702" s="407">
        <v>694</v>
      </c>
      <c r="B702" s="438">
        <v>27.077000000000002</v>
      </c>
      <c r="C702" s="438">
        <v>19.052</v>
      </c>
      <c r="D702" s="438">
        <v>15.349</v>
      </c>
      <c r="E702" s="437">
        <v>13.6</v>
      </c>
      <c r="F702" s="438">
        <v>27.077000000000002</v>
      </c>
      <c r="G702" s="438">
        <v>19.052</v>
      </c>
      <c r="H702" s="438">
        <v>29.074000000000002</v>
      </c>
      <c r="I702" s="438">
        <v>19.003</v>
      </c>
      <c r="J702" s="11"/>
      <c r="Q702" s="348">
        <f t="shared" si="88"/>
        <v>27.017192336709783</v>
      </c>
      <c r="R702" s="348">
        <f t="shared" si="89"/>
        <v>19.0208935004874</v>
      </c>
      <c r="S702" s="348">
        <f t="shared" si="90"/>
        <v>15.188895325595105</v>
      </c>
      <c r="T702" s="348">
        <f t="shared" si="91"/>
        <v>13.619021335201786</v>
      </c>
      <c r="U702" s="348">
        <f t="shared" si="92"/>
        <v>27.017192336709783</v>
      </c>
      <c r="V702" s="348">
        <f t="shared" si="93"/>
        <v>19.005779378792308</v>
      </c>
      <c r="W702" s="348">
        <f t="shared" si="94"/>
        <v>28.871303470856454</v>
      </c>
      <c r="X702" s="348">
        <f t="shared" si="95"/>
        <v>18.899714780545995</v>
      </c>
    </row>
    <row r="703" spans="1:24" x14ac:dyDescent="0.2">
      <c r="A703" s="407">
        <v>695</v>
      </c>
      <c r="B703" s="437">
        <v>27.082000000000001</v>
      </c>
      <c r="C703" s="438">
        <v>19.053999999999998</v>
      </c>
      <c r="D703" s="438">
        <v>15.349</v>
      </c>
      <c r="E703" s="438">
        <v>13.599</v>
      </c>
      <c r="F703" s="438">
        <v>27.082000000000001</v>
      </c>
      <c r="G703" s="438">
        <v>19.053999999999998</v>
      </c>
      <c r="H703" s="438">
        <v>29.074999999999999</v>
      </c>
      <c r="I703" s="438">
        <v>19.001999999999999</v>
      </c>
      <c r="J703" s="11"/>
      <c r="Q703" s="348">
        <f t="shared" si="88"/>
        <v>27.022166885343037</v>
      </c>
      <c r="R703" s="348">
        <f t="shared" si="89"/>
        <v>19.022905703869188</v>
      </c>
      <c r="S703" s="348">
        <f t="shared" si="90"/>
        <v>15.188895325595105</v>
      </c>
      <c r="T703" s="348">
        <f t="shared" si="91"/>
        <v>13.61802056526636</v>
      </c>
      <c r="U703" s="348">
        <f t="shared" si="92"/>
        <v>27.022166885343037</v>
      </c>
      <c r="V703" s="348">
        <f t="shared" si="93"/>
        <v>19.007781909617115</v>
      </c>
      <c r="W703" s="348">
        <f t="shared" si="94"/>
        <v>28.872300112144384</v>
      </c>
      <c r="X703" s="348">
        <f t="shared" si="95"/>
        <v>18.898720198956532</v>
      </c>
    </row>
    <row r="704" spans="1:24" x14ac:dyDescent="0.2">
      <c r="A704" s="407">
        <v>696</v>
      </c>
      <c r="B704" s="438">
        <v>27.08</v>
      </c>
      <c r="C704" s="438">
        <v>19.052</v>
      </c>
      <c r="D704" s="438">
        <v>15.347</v>
      </c>
      <c r="E704" s="438">
        <v>13.598000000000001</v>
      </c>
      <c r="F704" s="438">
        <v>27.08</v>
      </c>
      <c r="G704" s="438">
        <v>19.052</v>
      </c>
      <c r="H704" s="438">
        <v>29.074999999999999</v>
      </c>
      <c r="I704" s="438">
        <v>19.001000000000001</v>
      </c>
      <c r="J704" s="11"/>
      <c r="Q704" s="348">
        <f t="shared" si="88"/>
        <v>27.02017706657821</v>
      </c>
      <c r="R704" s="348">
        <f t="shared" si="89"/>
        <v>19.0208935004874</v>
      </c>
      <c r="S704" s="348">
        <f t="shared" si="90"/>
        <v>15.186896263314081</v>
      </c>
      <c r="T704" s="348">
        <f t="shared" si="91"/>
        <v>13.617019795249719</v>
      </c>
      <c r="U704" s="348">
        <f t="shared" si="92"/>
        <v>27.02017706657821</v>
      </c>
      <c r="V704" s="348">
        <f t="shared" si="93"/>
        <v>19.005779378792308</v>
      </c>
      <c r="W704" s="348">
        <f t="shared" si="94"/>
        <v>28.872300112144384</v>
      </c>
      <c r="X704" s="348">
        <f t="shared" si="95"/>
        <v>18.897725617664506</v>
      </c>
    </row>
    <row r="705" spans="1:24" x14ac:dyDescent="0.2">
      <c r="A705" s="407">
        <v>697</v>
      </c>
      <c r="B705" s="438">
        <v>27.077999999999999</v>
      </c>
      <c r="C705" s="438">
        <v>19.05</v>
      </c>
      <c r="D705" s="438">
        <v>15.346</v>
      </c>
      <c r="E705" s="438">
        <v>13.593999999999999</v>
      </c>
      <c r="F705" s="438">
        <v>27.077999999999999</v>
      </c>
      <c r="G705" s="438">
        <v>19.05</v>
      </c>
      <c r="H705" s="438">
        <v>29.082999999999998</v>
      </c>
      <c r="I705" s="438">
        <v>19.001999999999999</v>
      </c>
      <c r="J705" s="11"/>
      <c r="Q705" s="348">
        <f t="shared" si="88"/>
        <v>27.018187246895454</v>
      </c>
      <c r="R705" s="348">
        <f t="shared" si="89"/>
        <v>19.01888129424983</v>
      </c>
      <c r="S705" s="348">
        <f t="shared" si="90"/>
        <v>15.185896733523746</v>
      </c>
      <c r="T705" s="348">
        <f t="shared" si="91"/>
        <v>13.613016714371341</v>
      </c>
      <c r="U705" s="348">
        <f t="shared" si="92"/>
        <v>27.018187246895454</v>
      </c>
      <c r="V705" s="348">
        <f t="shared" si="93"/>
        <v>19.003776848167682</v>
      </c>
      <c r="W705" s="348">
        <f t="shared" si="94"/>
        <v>28.880273335709564</v>
      </c>
      <c r="X705" s="348">
        <f t="shared" si="95"/>
        <v>18.898720198956532</v>
      </c>
    </row>
    <row r="706" spans="1:24" x14ac:dyDescent="0.2">
      <c r="A706" s="407">
        <v>698</v>
      </c>
      <c r="B706" s="438">
        <v>27.085000000000001</v>
      </c>
      <c r="C706" s="438">
        <v>19.048999999999999</v>
      </c>
      <c r="D706" s="438">
        <v>15.346</v>
      </c>
      <c r="E706" s="438">
        <v>13.590999999999999</v>
      </c>
      <c r="F706" s="438">
        <v>27.085000000000001</v>
      </c>
      <c r="G706" s="438">
        <v>19.048999999999999</v>
      </c>
      <c r="H706" s="438">
        <v>29.084</v>
      </c>
      <c r="I706" s="438">
        <v>19.001999999999999</v>
      </c>
      <c r="J706" s="11"/>
      <c r="Q706" s="348">
        <f t="shared" si="88"/>
        <v>27.02515161176968</v>
      </c>
      <c r="R706" s="348">
        <f t="shared" si="89"/>
        <v>19.017875190060362</v>
      </c>
      <c r="S706" s="348">
        <f t="shared" si="90"/>
        <v>15.185896733523746</v>
      </c>
      <c r="T706" s="348">
        <f t="shared" si="91"/>
        <v>13.610014402860577</v>
      </c>
      <c r="U706" s="348">
        <f t="shared" si="92"/>
        <v>27.02515161176968</v>
      </c>
      <c r="V706" s="348">
        <f t="shared" si="93"/>
        <v>19.002775582930621</v>
      </c>
      <c r="W706" s="348">
        <f t="shared" si="94"/>
        <v>28.881270000312615</v>
      </c>
      <c r="X706" s="348">
        <f t="shared" si="95"/>
        <v>18.898720198956532</v>
      </c>
    </row>
    <row r="707" spans="1:24" x14ac:dyDescent="0.2">
      <c r="A707" s="407">
        <v>699</v>
      </c>
      <c r="B707" s="438">
        <v>27.085000000000001</v>
      </c>
      <c r="C707" s="438">
        <v>19.045999999999999</v>
      </c>
      <c r="D707" s="438">
        <v>15.346</v>
      </c>
      <c r="E707" s="438">
        <v>13.589</v>
      </c>
      <c r="F707" s="438">
        <v>27.085000000000001</v>
      </c>
      <c r="G707" s="437">
        <v>19.045999999999999</v>
      </c>
      <c r="H707" s="438">
        <v>29.087</v>
      </c>
      <c r="I707" s="438">
        <v>19.001999999999999</v>
      </c>
      <c r="J707" s="11"/>
      <c r="Q707" s="348">
        <f t="shared" si="88"/>
        <v>27.02515161176968</v>
      </c>
      <c r="R707" s="348">
        <f t="shared" si="89"/>
        <v>19.014856873210363</v>
      </c>
      <c r="S707" s="348">
        <f t="shared" si="90"/>
        <v>15.185896733523746</v>
      </c>
      <c r="T707" s="348">
        <f t="shared" si="91"/>
        <v>13.608012861447927</v>
      </c>
      <c r="U707" s="348">
        <f t="shared" si="92"/>
        <v>27.02515161176968</v>
      </c>
      <c r="V707" s="348">
        <f t="shared" si="93"/>
        <v>18.999771787521347</v>
      </c>
      <c r="W707" s="348">
        <f t="shared" si="94"/>
        <v>28.884260009664477</v>
      </c>
      <c r="X707" s="348">
        <f t="shared" si="95"/>
        <v>18.898720198956532</v>
      </c>
    </row>
    <row r="708" spans="1:24" x14ac:dyDescent="0.2">
      <c r="A708" s="407">
        <v>700</v>
      </c>
      <c r="B708" s="438">
        <v>27.084</v>
      </c>
      <c r="C708" s="438">
        <v>19.044</v>
      </c>
      <c r="D708" s="438">
        <v>15.343</v>
      </c>
      <c r="E708" s="438">
        <v>13.585000000000001</v>
      </c>
      <c r="F708" s="438">
        <v>27.084</v>
      </c>
      <c r="G708" s="438">
        <v>19.044</v>
      </c>
      <c r="H708" s="438">
        <v>29.085999999999999</v>
      </c>
      <c r="I708" s="438">
        <v>19.001999999999999</v>
      </c>
      <c r="J708" s="11"/>
      <c r="Q708" s="348">
        <f t="shared" si="88"/>
        <v>27.024156703190172</v>
      </c>
      <c r="R708" s="348">
        <f t="shared" si="89"/>
        <v>19.012844658409985</v>
      </c>
      <c r="S708" s="348">
        <f t="shared" si="90"/>
        <v>15.182898149555134</v>
      </c>
      <c r="T708" s="348">
        <f t="shared" si="91"/>
        <v>13.604009777650038</v>
      </c>
      <c r="U708" s="348">
        <f t="shared" si="92"/>
        <v>27.024156703190172</v>
      </c>
      <c r="V708" s="348">
        <f t="shared" si="93"/>
        <v>18.997769257500842</v>
      </c>
      <c r="W708" s="348">
        <f t="shared" si="94"/>
        <v>28.883263337290089</v>
      </c>
      <c r="X708" s="348">
        <f t="shared" si="95"/>
        <v>18.898720198956532</v>
      </c>
    </row>
    <row r="709" spans="1:24" x14ac:dyDescent="0.2">
      <c r="A709" s="407">
        <v>701</v>
      </c>
      <c r="B709" s="438">
        <v>27.077999999999999</v>
      </c>
      <c r="C709" s="437">
        <v>19.042000000000002</v>
      </c>
      <c r="D709" s="438">
        <v>15.343999999999999</v>
      </c>
      <c r="E709" s="437">
        <v>13.582000000000001</v>
      </c>
      <c r="F709" s="437">
        <v>27.077999999999999</v>
      </c>
      <c r="G709" s="437">
        <v>19.042000000000002</v>
      </c>
      <c r="H709" s="437">
        <v>29.084</v>
      </c>
      <c r="I709" s="438">
        <v>19.004000000000001</v>
      </c>
      <c r="J709" s="11"/>
      <c r="Q709" s="348">
        <f t="shared" si="88"/>
        <v>27.018187246895454</v>
      </c>
      <c r="R709" s="348">
        <f t="shared" si="89"/>
        <v>19.01083244075685</v>
      </c>
      <c r="S709" s="348">
        <f t="shared" si="90"/>
        <v>15.183897676644133</v>
      </c>
      <c r="T709" s="348">
        <f t="shared" si="91"/>
        <v>13.60100746395109</v>
      </c>
      <c r="U709" s="348">
        <f t="shared" si="92"/>
        <v>27.018187246895454</v>
      </c>
      <c r="V709" s="348">
        <f t="shared" si="93"/>
        <v>18.995766727682909</v>
      </c>
      <c r="W709" s="348">
        <f t="shared" si="94"/>
        <v>28.881270000312615</v>
      </c>
      <c r="X709" s="348">
        <f t="shared" si="95"/>
        <v>18.900709362432917</v>
      </c>
    </row>
    <row r="710" spans="1:24" x14ac:dyDescent="0.2">
      <c r="A710" s="407">
        <v>702</v>
      </c>
      <c r="B710" s="438">
        <v>27.082000000000001</v>
      </c>
      <c r="C710" s="438">
        <v>19.042999999999999</v>
      </c>
      <c r="D710" s="438">
        <v>15.337999999999999</v>
      </c>
      <c r="E710" s="438">
        <v>13.583</v>
      </c>
      <c r="F710" s="438">
        <v>27.082000000000001</v>
      </c>
      <c r="G710" s="438">
        <v>19.042999999999999</v>
      </c>
      <c r="H710" s="438">
        <v>29.081</v>
      </c>
      <c r="I710" s="438">
        <v>19.001999999999999</v>
      </c>
      <c r="J710" s="11"/>
      <c r="Q710" s="348">
        <f t="shared" si="88"/>
        <v>27.022166885343037</v>
      </c>
      <c r="R710" s="348">
        <f t="shared" si="89"/>
        <v>19.011838549939959</v>
      </c>
      <c r="S710" s="348">
        <f t="shared" si="90"/>
        <v>15.177900527623791</v>
      </c>
      <c r="T710" s="348">
        <f t="shared" si="91"/>
        <v>13.602008235265044</v>
      </c>
      <c r="U710" s="348">
        <f t="shared" si="92"/>
        <v>27.022166885343037</v>
      </c>
      <c r="V710" s="348">
        <f t="shared" si="93"/>
        <v>18.996767992566518</v>
      </c>
      <c r="W710" s="348">
        <f t="shared" si="94"/>
        <v>28.878280014274939</v>
      </c>
      <c r="X710" s="348">
        <f t="shared" si="95"/>
        <v>18.898720198956532</v>
      </c>
    </row>
    <row r="711" spans="1:24" x14ac:dyDescent="0.2">
      <c r="A711" s="407">
        <v>703</v>
      </c>
      <c r="B711" s="438">
        <v>27.074000000000002</v>
      </c>
      <c r="C711" s="438">
        <v>19.039000000000001</v>
      </c>
      <c r="D711" s="437">
        <v>15.339</v>
      </c>
      <c r="E711" s="438">
        <v>13.583</v>
      </c>
      <c r="F711" s="438">
        <v>27.074000000000002</v>
      </c>
      <c r="G711" s="438">
        <v>19.039000000000001</v>
      </c>
      <c r="H711" s="438">
        <v>29.084</v>
      </c>
      <c r="I711" s="438">
        <v>19.004999999999999</v>
      </c>
      <c r="J711" s="11"/>
      <c r="Q711" s="348">
        <f t="shared" si="88"/>
        <v>27.014207604775233</v>
      </c>
      <c r="R711" s="348">
        <f t="shared" si="89"/>
        <v>19.007814108929892</v>
      </c>
      <c r="S711" s="348">
        <f t="shared" si="90"/>
        <v>15.178900050207774</v>
      </c>
      <c r="T711" s="348">
        <f t="shared" si="91"/>
        <v>13.602008235265044</v>
      </c>
      <c r="U711" s="348">
        <f t="shared" si="92"/>
        <v>27.014207604775233</v>
      </c>
      <c r="V711" s="348">
        <f t="shared" si="93"/>
        <v>18.992762933337143</v>
      </c>
      <c r="W711" s="348">
        <f t="shared" si="94"/>
        <v>28.881270000312615</v>
      </c>
      <c r="X711" s="348">
        <f t="shared" si="95"/>
        <v>18.901703944617321</v>
      </c>
    </row>
    <row r="712" spans="1:24" x14ac:dyDescent="0.2">
      <c r="A712" s="407">
        <v>704</v>
      </c>
      <c r="B712" s="438">
        <v>27.07</v>
      </c>
      <c r="C712" s="438">
        <v>19.041</v>
      </c>
      <c r="D712" s="438">
        <v>15.334</v>
      </c>
      <c r="E712" s="438">
        <v>13.58</v>
      </c>
      <c r="F712" s="438">
        <v>27.07</v>
      </c>
      <c r="G712" s="438">
        <v>19.041</v>
      </c>
      <c r="H712" s="438">
        <v>29.084</v>
      </c>
      <c r="I712" s="438">
        <v>19.007999999999999</v>
      </c>
      <c r="J712" s="11"/>
      <c r="Q712" s="348">
        <f t="shared" si="88"/>
        <v>27.010227958980511</v>
      </c>
      <c r="R712" s="348">
        <f t="shared" si="89"/>
        <v>19.009826330860736</v>
      </c>
      <c r="S712" s="348">
        <f t="shared" si="90"/>
        <v>15.173902446303492</v>
      </c>
      <c r="T712" s="348">
        <f t="shared" si="91"/>
        <v>13.599005921080339</v>
      </c>
      <c r="U712" s="348">
        <f t="shared" si="92"/>
        <v>27.010227958980511</v>
      </c>
      <c r="V712" s="348">
        <f t="shared" si="93"/>
        <v>18.994765462850093</v>
      </c>
      <c r="W712" s="348">
        <f t="shared" si="94"/>
        <v>28.881270000312615</v>
      </c>
      <c r="X712" s="348">
        <f t="shared" si="95"/>
        <v>18.904687692955683</v>
      </c>
    </row>
    <row r="713" spans="1:24" x14ac:dyDescent="0.2">
      <c r="A713" s="407">
        <v>705</v>
      </c>
      <c r="B713" s="438">
        <v>27.077999999999999</v>
      </c>
      <c r="C713" s="438">
        <v>19.033999999999999</v>
      </c>
      <c r="D713" s="438">
        <v>15.337</v>
      </c>
      <c r="E713" s="438">
        <v>13.577</v>
      </c>
      <c r="F713" s="438">
        <v>27.077999999999999</v>
      </c>
      <c r="G713" s="438">
        <v>19.033999999999999</v>
      </c>
      <c r="H713" s="438">
        <v>29.088000000000001</v>
      </c>
      <c r="I713" s="438">
        <v>19.010000000000002</v>
      </c>
      <c r="J713" s="11"/>
      <c r="Q713" s="348">
        <f t="shared" si="88"/>
        <v>27.018187246895454</v>
      </c>
      <c r="R713" s="348">
        <f t="shared" si="89"/>
        <v>19.002783541631942</v>
      </c>
      <c r="S713" s="348">
        <f t="shared" si="90"/>
        <v>15.176901005941232</v>
      </c>
      <c r="T713" s="348">
        <f t="shared" si="91"/>
        <v>13.596003606167343</v>
      </c>
      <c r="U713" s="348">
        <f t="shared" si="92"/>
        <v>27.018187246895454</v>
      </c>
      <c r="V713" s="348">
        <f t="shared" si="93"/>
        <v>18.987756610448876</v>
      </c>
      <c r="W713" s="348">
        <f t="shared" si="94"/>
        <v>28.885256684629262</v>
      </c>
      <c r="X713" s="348">
        <f t="shared" si="95"/>
        <v>18.90667686000247</v>
      </c>
    </row>
    <row r="714" spans="1:24" x14ac:dyDescent="0.2">
      <c r="A714" s="407">
        <v>706</v>
      </c>
      <c r="B714" s="438">
        <v>27.068999999999999</v>
      </c>
      <c r="C714" s="438">
        <v>19.033999999999999</v>
      </c>
      <c r="D714" s="438">
        <v>15.33</v>
      </c>
      <c r="E714" s="438">
        <v>13.571</v>
      </c>
      <c r="F714" s="438">
        <v>27.068999999999999</v>
      </c>
      <c r="G714" s="438">
        <v>19.033999999999999</v>
      </c>
      <c r="H714" s="438">
        <v>29.087</v>
      </c>
      <c r="I714" s="438">
        <v>19.010999999999999</v>
      </c>
      <c r="J714" s="11"/>
      <c r="Q714" s="348">
        <f t="shared" ref="Q714:Q777" si="96">IFERROR(B714^4*$AB$9+B714^3*$AC$9+B714^2*$AD$9+B714^1*$AE$9+B714^0*$AF$9,"")</f>
        <v>27.009233046957469</v>
      </c>
      <c r="R714" s="348">
        <f t="shared" ref="R714:R777" si="97">IFERROR(C714^4*$AB$10+C714^3*$AC$10+C714^2*$AD$10+C714^1*$AE$10+C714^0*$AF$10,"")</f>
        <v>19.002783541631942</v>
      </c>
      <c r="S714" s="348">
        <f t="shared" ref="S714:S777" si="98">IFERROR(D714^4*$AB$11+D714^3*$AC$11+D714^2*$AD$11+D714^1*$AE$11+D714^0*$AF$11,"")</f>
        <v>15.169904379414909</v>
      </c>
      <c r="T714" s="348">
        <f t="shared" ref="T714:T777" si="99">IFERROR(E714^4*$AB$12+E714^3*$AC$12+E714^2*$AD$12+E714^1*$AE$12+E714^0*$AF$12,"")</f>
        <v>13.589998974158148</v>
      </c>
      <c r="U714" s="348">
        <f t="shared" ref="U714:U777" si="100">IFERROR(F714^4*$AB$13+F714^3*$AC$13+F714^2*$AD$13+F714^1*$AE$13+F714^0*$AF$13,"")</f>
        <v>27.009233046957469</v>
      </c>
      <c r="V714" s="348">
        <f t="shared" ref="V714:V777" si="101">IFERROR(G714^4*$AB$14+G714^3*$AC$14+G714^2*$AD$14+G714^1*$AE$14+G714^0*$AF$14,"")</f>
        <v>18.987756610448876</v>
      </c>
      <c r="W714" s="348">
        <f t="shared" ref="W714:W777" si="102">IFERROR(H714^4*$AB$15+H714^3*$AC$15+H714^2*$AD$15+H714^1*$AE$15+H714^0*$AF$15,"")</f>
        <v>28.884260009664477</v>
      </c>
      <c r="X714" s="348">
        <f t="shared" ref="X714:X777" si="103">IFERROR(I714^4*$AB$16+I714^3*$AC$16+I714^2*$AD$16+I714^1*$AE$16+I714^0*$AF$16,"")</f>
        <v>18.907671443972298</v>
      </c>
    </row>
    <row r="715" spans="1:24" x14ac:dyDescent="0.2">
      <c r="A715" s="407">
        <v>707</v>
      </c>
      <c r="B715" s="438">
        <v>27.079000000000001</v>
      </c>
      <c r="C715" s="438">
        <v>19.032</v>
      </c>
      <c r="D715" s="438">
        <v>15.333</v>
      </c>
      <c r="E715" s="438">
        <v>13.574</v>
      </c>
      <c r="F715" s="438">
        <v>27.079000000000001</v>
      </c>
      <c r="G715" s="438">
        <v>19.032</v>
      </c>
      <c r="H715" s="438">
        <v>29.087</v>
      </c>
      <c r="I715" s="438">
        <v>19.013999999999999</v>
      </c>
      <c r="J715" s="11"/>
      <c r="Q715" s="348">
        <f t="shared" si="96"/>
        <v>27.019182156851588</v>
      </c>
      <c r="R715" s="348">
        <f t="shared" si="97"/>
        <v>19.000771309726417</v>
      </c>
      <c r="S715" s="348">
        <f t="shared" si="98"/>
        <v>15.172902928228025</v>
      </c>
      <c r="T715" s="348">
        <f t="shared" si="99"/>
        <v>13.593001290526475</v>
      </c>
      <c r="U715" s="348">
        <f t="shared" si="100"/>
        <v>27.019182156851588</v>
      </c>
      <c r="V715" s="348">
        <f t="shared" si="101"/>
        <v>18.985754081652793</v>
      </c>
      <c r="W715" s="348">
        <f t="shared" si="102"/>
        <v>28.884260009664477</v>
      </c>
      <c r="X715" s="348">
        <f t="shared" si="103"/>
        <v>18.910655197667833</v>
      </c>
    </row>
    <row r="716" spans="1:24" x14ac:dyDescent="0.2">
      <c r="A716" s="407">
        <v>708</v>
      </c>
      <c r="B716" s="438">
        <v>27.07</v>
      </c>
      <c r="C716" s="438">
        <v>19.030999999999999</v>
      </c>
      <c r="D716" s="438">
        <v>15.329000000000001</v>
      </c>
      <c r="E716" s="438">
        <v>13.573</v>
      </c>
      <c r="F716" s="438">
        <v>27.07</v>
      </c>
      <c r="G716" s="438">
        <v>19.030999999999999</v>
      </c>
      <c r="H716" s="438">
        <v>29.088999999999999</v>
      </c>
      <c r="I716" s="438">
        <v>19.015000000000001</v>
      </c>
      <c r="J716" s="11"/>
      <c r="Q716" s="348">
        <f t="shared" si="96"/>
        <v>27.010227958980511</v>
      </c>
      <c r="R716" s="348">
        <f t="shared" si="97"/>
        <v>18.999765192705532</v>
      </c>
      <c r="S716" s="348">
        <f t="shared" si="98"/>
        <v>15.168904864948766</v>
      </c>
      <c r="T716" s="348">
        <f t="shared" si="99"/>
        <v>13.592000518484507</v>
      </c>
      <c r="U716" s="348">
        <f t="shared" si="100"/>
        <v>27.010227958980511</v>
      </c>
      <c r="V716" s="348">
        <f t="shared" si="101"/>
        <v>18.984752817332026</v>
      </c>
      <c r="W716" s="348">
        <f t="shared" si="102"/>
        <v>28.886253362184423</v>
      </c>
      <c r="X716" s="348">
        <f t="shared" si="103"/>
        <v>18.911649782828444</v>
      </c>
    </row>
    <row r="717" spans="1:24" x14ac:dyDescent="0.2">
      <c r="A717" s="407">
        <v>709</v>
      </c>
      <c r="B717" s="438">
        <v>27.068999999999999</v>
      </c>
      <c r="C717" s="438">
        <v>19.026</v>
      </c>
      <c r="D717" s="438">
        <v>15.327999999999999</v>
      </c>
      <c r="E717" s="438">
        <v>13.565</v>
      </c>
      <c r="F717" s="438">
        <v>27.068999999999999</v>
      </c>
      <c r="G717" s="438">
        <v>19.026</v>
      </c>
      <c r="H717" s="438">
        <v>29.088999999999999</v>
      </c>
      <c r="I717" s="438">
        <v>19.016999999999999</v>
      </c>
      <c r="J717" s="11"/>
      <c r="Q717" s="348">
        <f t="shared" si="96"/>
        <v>27.009233046957469</v>
      </c>
      <c r="R717" s="348">
        <f t="shared" si="97"/>
        <v>18.994734596923678</v>
      </c>
      <c r="S717" s="348">
        <f t="shared" si="98"/>
        <v>15.167905351385304</v>
      </c>
      <c r="T717" s="348">
        <f t="shared" si="99"/>
        <v>13.583994339240775</v>
      </c>
      <c r="U717" s="348">
        <f t="shared" si="100"/>
        <v>27.009233046957469</v>
      </c>
      <c r="V717" s="348">
        <f t="shared" si="101"/>
        <v>18.979746496503953</v>
      </c>
      <c r="W717" s="348">
        <f t="shared" si="102"/>
        <v>28.886253362184423</v>
      </c>
      <c r="X717" s="348">
        <f t="shared" si="103"/>
        <v>18.913638954042955</v>
      </c>
    </row>
    <row r="718" spans="1:24" x14ac:dyDescent="0.2">
      <c r="A718" s="407">
        <v>710</v>
      </c>
      <c r="B718" s="438">
        <v>27.056000000000001</v>
      </c>
      <c r="C718" s="438">
        <v>19.024000000000001</v>
      </c>
      <c r="D718" s="438">
        <v>15.327</v>
      </c>
      <c r="E718" s="438">
        <v>13.565</v>
      </c>
      <c r="F718" s="438">
        <v>27.056000000000001</v>
      </c>
      <c r="G718" s="438">
        <v>19.024000000000001</v>
      </c>
      <c r="H718" s="438">
        <v>29.088000000000001</v>
      </c>
      <c r="I718" s="438">
        <v>19.021000000000001</v>
      </c>
      <c r="J718" s="11"/>
      <c r="Q718" s="348">
        <f t="shared" si="96"/>
        <v>26.996299169735394</v>
      </c>
      <c r="R718" s="348">
        <f t="shared" si="97"/>
        <v>18.992722353629908</v>
      </c>
      <c r="S718" s="348">
        <f t="shared" si="98"/>
        <v>15.166905838724666</v>
      </c>
      <c r="T718" s="348">
        <f t="shared" si="99"/>
        <v>13.583994339240775</v>
      </c>
      <c r="U718" s="348">
        <f t="shared" si="100"/>
        <v>26.996299169735394</v>
      </c>
      <c r="V718" s="348">
        <f t="shared" si="101"/>
        <v>18.977743968536146</v>
      </c>
      <c r="W718" s="348">
        <f t="shared" si="102"/>
        <v>28.885256684629262</v>
      </c>
      <c r="X718" s="348">
        <f t="shared" si="103"/>
        <v>18.91761730004588</v>
      </c>
    </row>
    <row r="719" spans="1:24" x14ac:dyDescent="0.2">
      <c r="A719" s="407">
        <v>711</v>
      </c>
      <c r="B719" s="438">
        <v>27.059000000000001</v>
      </c>
      <c r="C719" s="438">
        <v>19.02</v>
      </c>
      <c r="D719" s="438">
        <v>15.321999999999999</v>
      </c>
      <c r="E719" s="438">
        <v>13.561999999999999</v>
      </c>
      <c r="F719" s="438">
        <v>27.059000000000001</v>
      </c>
      <c r="G719" s="438">
        <v>19.02</v>
      </c>
      <c r="H719" s="438">
        <v>29.09</v>
      </c>
      <c r="I719" s="438">
        <v>19.021999999999998</v>
      </c>
      <c r="J719" s="11"/>
      <c r="Q719" s="348">
        <f t="shared" si="96"/>
        <v>26.999283914083172</v>
      </c>
      <c r="R719" s="348">
        <f t="shared" si="97"/>
        <v>18.988697858507646</v>
      </c>
      <c r="S719" s="348">
        <f t="shared" si="98"/>
        <v>15.161908288968682</v>
      </c>
      <c r="T719" s="348">
        <f t="shared" si="99"/>
        <v>13.580992020692561</v>
      </c>
      <c r="U719" s="348">
        <f t="shared" si="100"/>
        <v>26.999283914083172</v>
      </c>
      <c r="V719" s="348">
        <f t="shared" si="101"/>
        <v>18.973738913226835</v>
      </c>
      <c r="W719" s="348">
        <f t="shared" si="102"/>
        <v>28.887250042329956</v>
      </c>
      <c r="X719" s="348">
        <f t="shared" si="103"/>
        <v>18.918611887291309</v>
      </c>
    </row>
    <row r="720" spans="1:24" x14ac:dyDescent="0.2">
      <c r="A720" s="407">
        <v>712</v>
      </c>
      <c r="B720" s="438">
        <v>27.045999999999999</v>
      </c>
      <c r="C720" s="438">
        <v>19.018000000000001</v>
      </c>
      <c r="D720" s="438">
        <v>15.318</v>
      </c>
      <c r="E720" s="438">
        <v>13.561</v>
      </c>
      <c r="F720" s="438">
        <v>27.045999999999999</v>
      </c>
      <c r="G720" s="438">
        <v>19.018000000000001</v>
      </c>
      <c r="H720" s="438">
        <v>29.091000000000001</v>
      </c>
      <c r="I720" s="438">
        <v>19.023</v>
      </c>
      <c r="J720" s="11"/>
      <c r="Q720" s="348">
        <f t="shared" si="96"/>
        <v>26.986350006943361</v>
      </c>
      <c r="R720" s="348">
        <f t="shared" si="97"/>
        <v>18.98668560668068</v>
      </c>
      <c r="S720" s="348">
        <f t="shared" si="98"/>
        <v>15.157910265428947</v>
      </c>
      <c r="T720" s="348">
        <f t="shared" si="99"/>
        <v>13.579991247681848</v>
      </c>
      <c r="U720" s="348">
        <f t="shared" si="100"/>
        <v>26.986350006943361</v>
      </c>
      <c r="V720" s="348">
        <f t="shared" si="101"/>
        <v>18.971736385886537</v>
      </c>
      <c r="W720" s="348">
        <f t="shared" si="102"/>
        <v>28.888246725065823</v>
      </c>
      <c r="X720" s="348">
        <f t="shared" si="103"/>
        <v>18.919606474834676</v>
      </c>
    </row>
    <row r="721" spans="1:24" x14ac:dyDescent="0.2">
      <c r="A721" s="407">
        <v>713</v>
      </c>
      <c r="B721" s="438">
        <v>27.048999999999999</v>
      </c>
      <c r="C721" s="438">
        <v>19.010000000000002</v>
      </c>
      <c r="D721" s="438">
        <v>15.317</v>
      </c>
      <c r="E721" s="438">
        <v>13.555999999999999</v>
      </c>
      <c r="F721" s="438">
        <v>27.048999999999999</v>
      </c>
      <c r="G721" s="438">
        <v>19.010000000000002</v>
      </c>
      <c r="H721" s="438">
        <v>29.09</v>
      </c>
      <c r="I721" s="438">
        <v>19.024999999999999</v>
      </c>
      <c r="J721" s="11"/>
      <c r="Q721" s="348">
        <f t="shared" si="96"/>
        <v>26.98933475819959</v>
      </c>
      <c r="R721" s="348">
        <f t="shared" si="97"/>
        <v>18.978636570951629</v>
      </c>
      <c r="S721" s="348">
        <f t="shared" si="98"/>
        <v>15.156910761804214</v>
      </c>
      <c r="T721" s="348">
        <f t="shared" si="99"/>
        <v>13.574987381419154</v>
      </c>
      <c r="U721" s="348">
        <f t="shared" si="100"/>
        <v>26.98933475819959</v>
      </c>
      <c r="V721" s="348">
        <f t="shared" si="101"/>
        <v>18.963726278635058</v>
      </c>
      <c r="W721" s="348">
        <f t="shared" si="102"/>
        <v>28.887250042329956</v>
      </c>
      <c r="X721" s="348">
        <f t="shared" si="103"/>
        <v>18.921595650815298</v>
      </c>
    </row>
    <row r="722" spans="1:24" x14ac:dyDescent="0.2">
      <c r="A722" s="407">
        <v>714</v>
      </c>
      <c r="B722" s="437">
        <v>27.045999999999999</v>
      </c>
      <c r="C722" s="438">
        <v>19.012</v>
      </c>
      <c r="D722" s="438">
        <v>15.318</v>
      </c>
      <c r="E722" s="438">
        <v>13.553000000000001</v>
      </c>
      <c r="F722" s="438">
        <v>27.045999999999999</v>
      </c>
      <c r="G722" s="438">
        <v>19.012</v>
      </c>
      <c r="H722" s="438">
        <v>29.091999999999999</v>
      </c>
      <c r="I722" s="438">
        <v>19.027999999999999</v>
      </c>
      <c r="J722" s="11"/>
      <c r="Q722" s="348">
        <f t="shared" si="96"/>
        <v>26.986350006943361</v>
      </c>
      <c r="R722" s="348">
        <f t="shared" si="97"/>
        <v>18.980648834145544</v>
      </c>
      <c r="S722" s="348">
        <f t="shared" si="98"/>
        <v>15.157910265428947</v>
      </c>
      <c r="T722" s="348">
        <f t="shared" si="99"/>
        <v>13.571985060694795</v>
      </c>
      <c r="U722" s="348">
        <f t="shared" si="100"/>
        <v>26.986350006943361</v>
      </c>
      <c r="V722" s="348">
        <f t="shared" si="101"/>
        <v>18.965728805130269</v>
      </c>
      <c r="W722" s="348">
        <f t="shared" si="102"/>
        <v>28.889243410392005</v>
      </c>
      <c r="X722" s="348">
        <f t="shared" si="103"/>
        <v>18.924579417021345</v>
      </c>
    </row>
    <row r="723" spans="1:24" x14ac:dyDescent="0.2">
      <c r="A723" s="407">
        <v>715</v>
      </c>
      <c r="B723" s="438">
        <v>27.036999999999999</v>
      </c>
      <c r="C723" s="437">
        <v>19.010000000000002</v>
      </c>
      <c r="D723" s="438">
        <v>15.315</v>
      </c>
      <c r="E723" s="438">
        <v>13.55</v>
      </c>
      <c r="F723" s="438">
        <v>27.036999999999999</v>
      </c>
      <c r="G723" s="438">
        <v>19.010000000000002</v>
      </c>
      <c r="H723" s="438">
        <v>29.093</v>
      </c>
      <c r="I723" s="438">
        <v>19.027999999999999</v>
      </c>
      <c r="J723" s="11"/>
      <c r="Q723" s="348">
        <f t="shared" si="96"/>
        <v>26.977395740726159</v>
      </c>
      <c r="R723" s="348">
        <f t="shared" si="97"/>
        <v>18.978636570951629</v>
      </c>
      <c r="S723" s="348">
        <f t="shared" si="98"/>
        <v>15.154911757267969</v>
      </c>
      <c r="T723" s="348">
        <f t="shared" si="99"/>
        <v>13.568982739245884</v>
      </c>
      <c r="U723" s="348">
        <f t="shared" si="100"/>
        <v>26.977395740726159</v>
      </c>
      <c r="V723" s="348">
        <f t="shared" si="101"/>
        <v>18.963726278635058</v>
      </c>
      <c r="W723" s="348">
        <f t="shared" si="102"/>
        <v>28.890240098308492</v>
      </c>
      <c r="X723" s="348">
        <f t="shared" si="103"/>
        <v>18.924579417021345</v>
      </c>
    </row>
    <row r="724" spans="1:24" x14ac:dyDescent="0.2">
      <c r="A724" s="407">
        <v>716</v>
      </c>
      <c r="B724" s="438">
        <v>27.030999999999999</v>
      </c>
      <c r="C724" s="438">
        <v>19.004999999999999</v>
      </c>
      <c r="D724" s="438">
        <v>15.311</v>
      </c>
      <c r="E724" s="438">
        <v>13.548</v>
      </c>
      <c r="F724" s="438">
        <v>27.030999999999999</v>
      </c>
      <c r="G724" s="438">
        <v>19.004999999999999</v>
      </c>
      <c r="H724" s="438">
        <v>29.097999999999999</v>
      </c>
      <c r="I724" s="438">
        <v>19.027999999999999</v>
      </c>
      <c r="J724" s="11"/>
      <c r="Q724" s="348">
        <f t="shared" si="96"/>
        <v>26.97142621953309</v>
      </c>
      <c r="R724" s="348">
        <f t="shared" si="97"/>
        <v>18.973605900544239</v>
      </c>
      <c r="S724" s="348">
        <f t="shared" si="98"/>
        <v>15.150913759052282</v>
      </c>
      <c r="T724" s="348">
        <f t="shared" si="99"/>
        <v>13.566981191210953</v>
      </c>
      <c r="U724" s="348">
        <f t="shared" si="100"/>
        <v>26.97142621953309</v>
      </c>
      <c r="V724" s="348">
        <f t="shared" si="101"/>
        <v>18.95871996332923</v>
      </c>
      <c r="W724" s="348">
        <f t="shared" si="102"/>
        <v>28.895223576744609</v>
      </c>
      <c r="X724" s="348">
        <f t="shared" si="103"/>
        <v>18.924579417021345</v>
      </c>
    </row>
    <row r="725" spans="1:24" x14ac:dyDescent="0.2">
      <c r="A725" s="407">
        <v>717</v>
      </c>
      <c r="B725" s="438">
        <v>27.027000000000001</v>
      </c>
      <c r="C725" s="438">
        <v>19.004999999999999</v>
      </c>
      <c r="D725" s="438">
        <v>15.308999999999999</v>
      </c>
      <c r="E725" s="438">
        <v>13.548</v>
      </c>
      <c r="F725" s="438">
        <v>27.027000000000001</v>
      </c>
      <c r="G725" s="438">
        <v>19.004999999999999</v>
      </c>
      <c r="H725" s="438">
        <v>29.100999999999999</v>
      </c>
      <c r="I725" s="438">
        <v>19.029</v>
      </c>
      <c r="J725" s="11"/>
      <c r="Q725" s="348">
        <f t="shared" si="96"/>
        <v>26.967446534119997</v>
      </c>
      <c r="R725" s="348">
        <f t="shared" si="97"/>
        <v>18.973605900544239</v>
      </c>
      <c r="S725" s="348">
        <f t="shared" si="98"/>
        <v>15.148914765375078</v>
      </c>
      <c r="T725" s="348">
        <f t="shared" si="99"/>
        <v>13.566981191210953</v>
      </c>
      <c r="U725" s="348">
        <f t="shared" si="100"/>
        <v>26.967446534119997</v>
      </c>
      <c r="V725" s="348">
        <f t="shared" si="101"/>
        <v>18.95871996332923</v>
      </c>
      <c r="W725" s="348">
        <f t="shared" si="102"/>
        <v>28.898213694888486</v>
      </c>
      <c r="X725" s="348">
        <f t="shared" si="103"/>
        <v>18.925574006352825</v>
      </c>
    </row>
    <row r="726" spans="1:24" x14ac:dyDescent="0.2">
      <c r="A726" s="407">
        <v>718</v>
      </c>
      <c r="B726" s="438">
        <v>27.035</v>
      </c>
      <c r="C726" s="438">
        <v>19.003</v>
      </c>
      <c r="D726" s="438">
        <v>15.31</v>
      </c>
      <c r="E726" s="438">
        <v>13.55</v>
      </c>
      <c r="F726" s="438">
        <v>27.035</v>
      </c>
      <c r="G726" s="438">
        <v>19.003</v>
      </c>
      <c r="H726" s="438">
        <v>29.102</v>
      </c>
      <c r="I726" s="438">
        <v>19.036000000000001</v>
      </c>
      <c r="J726" s="11"/>
      <c r="Q726" s="348">
        <f t="shared" si="96"/>
        <v>26.975405901251705</v>
      </c>
      <c r="R726" s="348">
        <f t="shared" si="97"/>
        <v>18.971593627414247</v>
      </c>
      <c r="S726" s="348">
        <f t="shared" si="98"/>
        <v>15.149914261761012</v>
      </c>
      <c r="T726" s="348">
        <f t="shared" si="99"/>
        <v>13.568982739245884</v>
      </c>
      <c r="U726" s="348">
        <f t="shared" si="100"/>
        <v>26.975405901251705</v>
      </c>
      <c r="V726" s="348">
        <f t="shared" si="101"/>
        <v>18.956717437581364</v>
      </c>
      <c r="W726" s="348">
        <f t="shared" si="102"/>
        <v>28.899210406116683</v>
      </c>
      <c r="X726" s="348">
        <f t="shared" si="103"/>
        <v>18.932536140021512</v>
      </c>
    </row>
    <row r="727" spans="1:24" x14ac:dyDescent="0.2">
      <c r="A727" s="407">
        <v>719</v>
      </c>
      <c r="B727" s="438">
        <v>27.018999999999998</v>
      </c>
      <c r="C727" s="438">
        <v>19</v>
      </c>
      <c r="D727" s="438">
        <v>15.305</v>
      </c>
      <c r="E727" s="438">
        <v>13.544</v>
      </c>
      <c r="F727" s="438">
        <v>27.018999999999998</v>
      </c>
      <c r="G727" s="438">
        <v>19</v>
      </c>
      <c r="H727" s="438">
        <v>29.106000000000002</v>
      </c>
      <c r="I727" s="438">
        <v>19.033000000000001</v>
      </c>
      <c r="J727" s="11"/>
      <c r="Q727" s="348">
        <f t="shared" si="96"/>
        <v>26.959487152202961</v>
      </c>
      <c r="R727" s="348">
        <f t="shared" si="97"/>
        <v>18.968575212399813</v>
      </c>
      <c r="S727" s="348">
        <f t="shared" si="98"/>
        <v>15.14491678888756</v>
      </c>
      <c r="T727" s="348">
        <f t="shared" si="99"/>
        <v>13.562978094176074</v>
      </c>
      <c r="U727" s="348">
        <f t="shared" si="100"/>
        <v>26.959487152202961</v>
      </c>
      <c r="V727" s="348">
        <f t="shared" si="101"/>
        <v>18.953713649362644</v>
      </c>
      <c r="W727" s="348">
        <f t="shared" si="102"/>
        <v>28.903197276930097</v>
      </c>
      <c r="X727" s="348">
        <f t="shared" si="103"/>
        <v>18.929552366660037</v>
      </c>
    </row>
    <row r="728" spans="1:24" x14ac:dyDescent="0.2">
      <c r="A728" s="407">
        <v>720</v>
      </c>
      <c r="B728" s="438">
        <v>27.018999999999998</v>
      </c>
      <c r="C728" s="438">
        <v>18.998000000000001</v>
      </c>
      <c r="D728" s="438">
        <v>15.302</v>
      </c>
      <c r="E728" s="438">
        <v>13.542999999999999</v>
      </c>
      <c r="F728" s="438">
        <v>27.018999999999998</v>
      </c>
      <c r="G728" s="438">
        <v>18.998000000000001</v>
      </c>
      <c r="H728" s="438">
        <v>29.108000000000001</v>
      </c>
      <c r="I728" s="438">
        <v>19.036000000000001</v>
      </c>
      <c r="J728" s="11"/>
      <c r="Q728" s="348">
        <f t="shared" si="96"/>
        <v>26.959487152202961</v>
      </c>
      <c r="R728" s="348">
        <f t="shared" si="97"/>
        <v>18.966562932178341</v>
      </c>
      <c r="S728" s="348">
        <f t="shared" si="98"/>
        <v>15.141918316034856</v>
      </c>
      <c r="T728" s="348">
        <f t="shared" si="99"/>
        <v>13.561977319716398</v>
      </c>
      <c r="U728" s="348">
        <f t="shared" si="100"/>
        <v>26.959487152202961</v>
      </c>
      <c r="V728" s="348">
        <f t="shared" si="101"/>
        <v>18.951711124153103</v>
      </c>
      <c r="W728" s="348">
        <f t="shared" si="102"/>
        <v>28.905190727876867</v>
      </c>
      <c r="X728" s="348">
        <f t="shared" si="103"/>
        <v>18.932536140021512</v>
      </c>
    </row>
    <row r="729" spans="1:24" x14ac:dyDescent="0.2">
      <c r="A729" s="407">
        <v>721</v>
      </c>
      <c r="B729" s="438">
        <v>27.021999999999998</v>
      </c>
      <c r="C729" s="438">
        <v>18.998999999999999</v>
      </c>
      <c r="D729" s="438">
        <v>15.304</v>
      </c>
      <c r="E729" s="438">
        <v>13.542999999999999</v>
      </c>
      <c r="F729" s="438">
        <v>27.021999999999998</v>
      </c>
      <c r="G729" s="438">
        <v>18.998999999999999</v>
      </c>
      <c r="H729" s="438">
        <v>29.111000000000001</v>
      </c>
      <c r="I729" s="438">
        <v>19.036000000000001</v>
      </c>
      <c r="J729" s="11"/>
      <c r="Q729" s="348">
        <f t="shared" si="96"/>
        <v>26.962471922155444</v>
      </c>
      <c r="R729" s="348">
        <f t="shared" si="97"/>
        <v>18.967569072643531</v>
      </c>
      <c r="S729" s="348">
        <f t="shared" si="98"/>
        <v>15.143917297030431</v>
      </c>
      <c r="T729" s="348">
        <f t="shared" si="99"/>
        <v>13.561977319716398</v>
      </c>
      <c r="U729" s="348">
        <f t="shared" si="100"/>
        <v>26.962471922155444</v>
      </c>
      <c r="V729" s="348">
        <f t="shared" si="101"/>
        <v>18.952712386730866</v>
      </c>
      <c r="W729" s="348">
        <f t="shared" si="102"/>
        <v>28.908180923721631</v>
      </c>
      <c r="X729" s="348">
        <f t="shared" si="103"/>
        <v>18.932536140021512</v>
      </c>
    </row>
    <row r="730" spans="1:24" x14ac:dyDescent="0.2">
      <c r="A730" s="407">
        <v>722</v>
      </c>
      <c r="B730" s="438"/>
      <c r="C730" s="438"/>
      <c r="D730" s="438"/>
      <c r="E730" s="438"/>
      <c r="F730" s="438"/>
      <c r="G730" s="438"/>
      <c r="H730" s="438"/>
      <c r="I730" s="438"/>
      <c r="J730" s="11"/>
      <c r="Q730" s="348" t="str">
        <f t="shared" si="96"/>
        <v/>
      </c>
      <c r="R730" s="348" t="str">
        <f t="shared" si="97"/>
        <v/>
      </c>
      <c r="S730" s="348" t="str">
        <f t="shared" si="98"/>
        <v/>
      </c>
      <c r="T730" s="348" t="str">
        <f t="shared" si="99"/>
        <v/>
      </c>
      <c r="U730" s="348" t="str">
        <f t="shared" si="100"/>
        <v/>
      </c>
      <c r="V730" s="348" t="str">
        <f t="shared" si="101"/>
        <v/>
      </c>
      <c r="W730" s="348" t="str">
        <f t="shared" si="102"/>
        <v/>
      </c>
      <c r="X730" s="348" t="str">
        <f t="shared" si="103"/>
        <v/>
      </c>
    </row>
    <row r="731" spans="1:24" x14ac:dyDescent="0.2">
      <c r="A731" s="407">
        <v>723</v>
      </c>
      <c r="B731" s="438"/>
      <c r="C731" s="438"/>
      <c r="D731" s="438"/>
      <c r="E731" s="438"/>
      <c r="F731" s="438"/>
      <c r="G731" s="438"/>
      <c r="H731" s="438"/>
      <c r="I731" s="438"/>
      <c r="J731" s="11"/>
      <c r="Q731" s="348" t="str">
        <f t="shared" si="96"/>
        <v/>
      </c>
      <c r="R731" s="348" t="str">
        <f t="shared" si="97"/>
        <v/>
      </c>
      <c r="S731" s="348" t="str">
        <f t="shared" si="98"/>
        <v/>
      </c>
      <c r="T731" s="348" t="str">
        <f t="shared" si="99"/>
        <v/>
      </c>
      <c r="U731" s="348" t="str">
        <f t="shared" si="100"/>
        <v/>
      </c>
      <c r="V731" s="348" t="str">
        <f t="shared" si="101"/>
        <v/>
      </c>
      <c r="W731" s="348" t="str">
        <f t="shared" si="102"/>
        <v/>
      </c>
      <c r="X731" s="348" t="str">
        <f t="shared" si="103"/>
        <v/>
      </c>
    </row>
    <row r="732" spans="1:24" x14ac:dyDescent="0.2">
      <c r="A732" s="407">
        <v>724</v>
      </c>
      <c r="B732" s="437"/>
      <c r="C732" s="438"/>
      <c r="D732" s="438"/>
      <c r="E732" s="438"/>
      <c r="F732" s="438"/>
      <c r="G732" s="438"/>
      <c r="H732" s="438"/>
      <c r="I732" s="438"/>
      <c r="J732" s="11"/>
      <c r="Q732" s="348" t="str">
        <f t="shared" si="96"/>
        <v/>
      </c>
      <c r="R732" s="348" t="str">
        <f t="shared" si="97"/>
        <v/>
      </c>
      <c r="S732" s="348" t="str">
        <f t="shared" si="98"/>
        <v/>
      </c>
      <c r="T732" s="348" t="str">
        <f t="shared" si="99"/>
        <v/>
      </c>
      <c r="U732" s="348" t="str">
        <f t="shared" si="100"/>
        <v/>
      </c>
      <c r="V732" s="348" t="str">
        <f t="shared" si="101"/>
        <v/>
      </c>
      <c r="W732" s="348" t="str">
        <f t="shared" si="102"/>
        <v/>
      </c>
      <c r="X732" s="348" t="str">
        <f t="shared" si="103"/>
        <v/>
      </c>
    </row>
    <row r="733" spans="1:24" x14ac:dyDescent="0.2">
      <c r="A733" s="407">
        <v>725</v>
      </c>
      <c r="B733" s="438"/>
      <c r="C733" s="438"/>
      <c r="D733" s="438"/>
      <c r="E733" s="438"/>
      <c r="F733" s="438"/>
      <c r="G733" s="438"/>
      <c r="H733" s="438"/>
      <c r="I733" s="437"/>
      <c r="J733" s="11"/>
      <c r="Q733" s="348" t="str">
        <f t="shared" si="96"/>
        <v/>
      </c>
      <c r="R733" s="348" t="str">
        <f t="shared" si="97"/>
        <v/>
      </c>
      <c r="S733" s="348" t="str">
        <f t="shared" si="98"/>
        <v/>
      </c>
      <c r="T733" s="348" t="str">
        <f t="shared" si="99"/>
        <v/>
      </c>
      <c r="U733" s="348" t="str">
        <f t="shared" si="100"/>
        <v/>
      </c>
      <c r="V733" s="348" t="str">
        <f t="shared" si="101"/>
        <v/>
      </c>
      <c r="W733" s="348" t="str">
        <f t="shared" si="102"/>
        <v/>
      </c>
      <c r="X733" s="348" t="str">
        <f t="shared" si="103"/>
        <v/>
      </c>
    </row>
    <row r="734" spans="1:24" x14ac:dyDescent="0.2">
      <c r="A734" s="407">
        <v>726</v>
      </c>
      <c r="B734" s="438"/>
      <c r="C734" s="438"/>
      <c r="D734" s="438"/>
      <c r="E734" s="437"/>
      <c r="F734" s="437"/>
      <c r="G734" s="437"/>
      <c r="H734" s="437"/>
      <c r="I734" s="438"/>
      <c r="J734" s="11"/>
      <c r="Q734" s="348" t="str">
        <f t="shared" si="96"/>
        <v/>
      </c>
      <c r="R734" s="348" t="str">
        <f t="shared" si="97"/>
        <v/>
      </c>
      <c r="S734" s="348" t="str">
        <f t="shared" si="98"/>
        <v/>
      </c>
      <c r="T734" s="348" t="str">
        <f t="shared" si="99"/>
        <v/>
      </c>
      <c r="U734" s="348" t="str">
        <f t="shared" si="100"/>
        <v/>
      </c>
      <c r="V734" s="348" t="str">
        <f t="shared" si="101"/>
        <v/>
      </c>
      <c r="W734" s="348" t="str">
        <f t="shared" si="102"/>
        <v/>
      </c>
      <c r="X734" s="348" t="str">
        <f t="shared" si="103"/>
        <v/>
      </c>
    </row>
    <row r="735" spans="1:24" x14ac:dyDescent="0.2">
      <c r="A735" s="407">
        <v>727</v>
      </c>
      <c r="B735" s="438"/>
      <c r="C735" s="438"/>
      <c r="D735" s="438"/>
      <c r="E735" s="438"/>
      <c r="F735" s="438"/>
      <c r="G735" s="438"/>
      <c r="H735" s="438"/>
      <c r="I735" s="438"/>
      <c r="J735" s="11"/>
      <c r="Q735" s="348" t="str">
        <f t="shared" si="96"/>
        <v/>
      </c>
      <c r="R735" s="348" t="str">
        <f t="shared" si="97"/>
        <v/>
      </c>
      <c r="S735" s="348" t="str">
        <f t="shared" si="98"/>
        <v/>
      </c>
      <c r="T735" s="348" t="str">
        <f t="shared" si="99"/>
        <v/>
      </c>
      <c r="U735" s="348" t="str">
        <f t="shared" si="100"/>
        <v/>
      </c>
      <c r="V735" s="348" t="str">
        <f t="shared" si="101"/>
        <v/>
      </c>
      <c r="W735" s="348" t="str">
        <f t="shared" si="102"/>
        <v/>
      </c>
      <c r="X735" s="348" t="str">
        <f t="shared" si="103"/>
        <v/>
      </c>
    </row>
    <row r="736" spans="1:24" x14ac:dyDescent="0.2">
      <c r="A736" s="407">
        <v>728</v>
      </c>
      <c r="B736" s="438"/>
      <c r="C736" s="438"/>
      <c r="D736" s="438"/>
      <c r="E736" s="438"/>
      <c r="F736" s="438"/>
      <c r="G736" s="438"/>
      <c r="H736" s="438"/>
      <c r="I736" s="438"/>
      <c r="J736" s="11"/>
      <c r="Q736" s="348" t="str">
        <f t="shared" si="96"/>
        <v/>
      </c>
      <c r="R736" s="348" t="str">
        <f t="shared" si="97"/>
        <v/>
      </c>
      <c r="S736" s="348" t="str">
        <f t="shared" si="98"/>
        <v/>
      </c>
      <c r="T736" s="348" t="str">
        <f t="shared" si="99"/>
        <v/>
      </c>
      <c r="U736" s="348" t="str">
        <f t="shared" si="100"/>
        <v/>
      </c>
      <c r="V736" s="348" t="str">
        <f t="shared" si="101"/>
        <v/>
      </c>
      <c r="W736" s="348" t="str">
        <f t="shared" si="102"/>
        <v/>
      </c>
      <c r="X736" s="348" t="str">
        <f t="shared" si="103"/>
        <v/>
      </c>
    </row>
    <row r="737" spans="1:24" x14ac:dyDescent="0.2">
      <c r="A737" s="407">
        <v>729</v>
      </c>
      <c r="B737" s="438"/>
      <c r="C737" s="438"/>
      <c r="D737" s="438"/>
      <c r="E737" s="438"/>
      <c r="F737" s="438"/>
      <c r="G737" s="438"/>
      <c r="H737" s="438"/>
      <c r="I737" s="438"/>
      <c r="J737" s="11"/>
      <c r="Q737" s="348" t="str">
        <f t="shared" si="96"/>
        <v/>
      </c>
      <c r="R737" s="348" t="str">
        <f t="shared" si="97"/>
        <v/>
      </c>
      <c r="S737" s="348" t="str">
        <f t="shared" si="98"/>
        <v/>
      </c>
      <c r="T737" s="348" t="str">
        <f t="shared" si="99"/>
        <v/>
      </c>
      <c r="U737" s="348" t="str">
        <f t="shared" si="100"/>
        <v/>
      </c>
      <c r="V737" s="348" t="str">
        <f t="shared" si="101"/>
        <v/>
      </c>
      <c r="W737" s="348" t="str">
        <f t="shared" si="102"/>
        <v/>
      </c>
      <c r="X737" s="348" t="str">
        <f t="shared" si="103"/>
        <v/>
      </c>
    </row>
    <row r="738" spans="1:24" x14ac:dyDescent="0.2">
      <c r="A738" s="407">
        <v>730</v>
      </c>
      <c r="B738" s="438"/>
      <c r="C738" s="438"/>
      <c r="D738" s="438"/>
      <c r="E738" s="438"/>
      <c r="F738" s="438"/>
      <c r="G738" s="438"/>
      <c r="H738" s="438"/>
      <c r="I738" s="438"/>
      <c r="J738" s="11"/>
      <c r="Q738" s="348" t="str">
        <f t="shared" si="96"/>
        <v/>
      </c>
      <c r="R738" s="348" t="str">
        <f t="shared" si="97"/>
        <v/>
      </c>
      <c r="S738" s="348" t="str">
        <f t="shared" si="98"/>
        <v/>
      </c>
      <c r="T738" s="348" t="str">
        <f t="shared" si="99"/>
        <v/>
      </c>
      <c r="U738" s="348" t="str">
        <f t="shared" si="100"/>
        <v/>
      </c>
      <c r="V738" s="348" t="str">
        <f t="shared" si="101"/>
        <v/>
      </c>
      <c r="W738" s="348" t="str">
        <f t="shared" si="102"/>
        <v/>
      </c>
      <c r="X738" s="348" t="str">
        <f t="shared" si="103"/>
        <v/>
      </c>
    </row>
    <row r="739" spans="1:24" x14ac:dyDescent="0.2">
      <c r="A739" s="407">
        <v>731</v>
      </c>
      <c r="B739" s="438"/>
      <c r="C739" s="438"/>
      <c r="D739" s="438"/>
      <c r="E739" s="438"/>
      <c r="F739" s="438"/>
      <c r="G739" s="438"/>
      <c r="H739" s="438"/>
      <c r="I739" s="438"/>
      <c r="J739" s="11"/>
      <c r="Q739" s="348" t="str">
        <f t="shared" si="96"/>
        <v/>
      </c>
      <c r="R739" s="348" t="str">
        <f t="shared" si="97"/>
        <v/>
      </c>
      <c r="S739" s="348" t="str">
        <f t="shared" si="98"/>
        <v/>
      </c>
      <c r="T739" s="348" t="str">
        <f t="shared" si="99"/>
        <v/>
      </c>
      <c r="U739" s="348" t="str">
        <f t="shared" si="100"/>
        <v/>
      </c>
      <c r="V739" s="348" t="str">
        <f t="shared" si="101"/>
        <v/>
      </c>
      <c r="W739" s="348" t="str">
        <f t="shared" si="102"/>
        <v/>
      </c>
      <c r="X739" s="348" t="str">
        <f t="shared" si="103"/>
        <v/>
      </c>
    </row>
    <row r="740" spans="1:24" x14ac:dyDescent="0.2">
      <c r="A740" s="407">
        <v>732</v>
      </c>
      <c r="B740" s="438"/>
      <c r="C740" s="438"/>
      <c r="D740" s="438"/>
      <c r="E740" s="438"/>
      <c r="F740" s="438"/>
      <c r="G740" s="438"/>
      <c r="H740" s="438"/>
      <c r="I740" s="438"/>
      <c r="J740" s="11"/>
      <c r="Q740" s="348" t="str">
        <f t="shared" si="96"/>
        <v/>
      </c>
      <c r="R740" s="348" t="str">
        <f t="shared" si="97"/>
        <v/>
      </c>
      <c r="S740" s="348" t="str">
        <f t="shared" si="98"/>
        <v/>
      </c>
      <c r="T740" s="348" t="str">
        <f t="shared" si="99"/>
        <v/>
      </c>
      <c r="U740" s="348" t="str">
        <f t="shared" si="100"/>
        <v/>
      </c>
      <c r="V740" s="348" t="str">
        <f t="shared" si="101"/>
        <v/>
      </c>
      <c r="W740" s="348" t="str">
        <f t="shared" si="102"/>
        <v/>
      </c>
      <c r="X740" s="348" t="str">
        <f t="shared" si="103"/>
        <v/>
      </c>
    </row>
    <row r="741" spans="1:24" x14ac:dyDescent="0.2">
      <c r="A741" s="407">
        <v>733</v>
      </c>
      <c r="B741" s="438"/>
      <c r="C741" s="438"/>
      <c r="D741" s="438"/>
      <c r="E741" s="438"/>
      <c r="F741" s="438"/>
      <c r="G741" s="438"/>
      <c r="H741" s="438"/>
      <c r="I741" s="438"/>
      <c r="J741" s="11"/>
      <c r="Q741" s="348" t="str">
        <f t="shared" si="96"/>
        <v/>
      </c>
      <c r="R741" s="348" t="str">
        <f t="shared" si="97"/>
        <v/>
      </c>
      <c r="S741" s="348" t="str">
        <f t="shared" si="98"/>
        <v/>
      </c>
      <c r="T741" s="348" t="str">
        <f t="shared" si="99"/>
        <v/>
      </c>
      <c r="U741" s="348" t="str">
        <f t="shared" si="100"/>
        <v/>
      </c>
      <c r="V741" s="348" t="str">
        <f t="shared" si="101"/>
        <v/>
      </c>
      <c r="W741" s="348" t="str">
        <f t="shared" si="102"/>
        <v/>
      </c>
      <c r="X741" s="348" t="str">
        <f t="shared" si="103"/>
        <v/>
      </c>
    </row>
    <row r="742" spans="1:24" x14ac:dyDescent="0.2">
      <c r="A742" s="407">
        <v>734</v>
      </c>
      <c r="B742" s="438"/>
      <c r="C742" s="438"/>
      <c r="D742" s="438"/>
      <c r="E742" s="438"/>
      <c r="F742" s="438"/>
      <c r="G742" s="438"/>
      <c r="H742" s="438"/>
      <c r="I742" s="438"/>
      <c r="J742" s="11"/>
      <c r="Q742" s="348" t="str">
        <f t="shared" si="96"/>
        <v/>
      </c>
      <c r="R742" s="348" t="str">
        <f t="shared" si="97"/>
        <v/>
      </c>
      <c r="S742" s="348" t="str">
        <f t="shared" si="98"/>
        <v/>
      </c>
      <c r="T742" s="348" t="str">
        <f t="shared" si="99"/>
        <v/>
      </c>
      <c r="U742" s="348" t="str">
        <f t="shared" si="100"/>
        <v/>
      </c>
      <c r="V742" s="348" t="str">
        <f t="shared" si="101"/>
        <v/>
      </c>
      <c r="W742" s="348" t="str">
        <f t="shared" si="102"/>
        <v/>
      </c>
      <c r="X742" s="348" t="str">
        <f t="shared" si="103"/>
        <v/>
      </c>
    </row>
    <row r="743" spans="1:24" x14ac:dyDescent="0.2">
      <c r="A743" s="407">
        <v>735</v>
      </c>
      <c r="B743" s="438"/>
      <c r="C743" s="438"/>
      <c r="D743" s="438"/>
      <c r="E743" s="438"/>
      <c r="F743" s="438"/>
      <c r="G743" s="438"/>
      <c r="H743" s="438"/>
      <c r="I743" s="438"/>
      <c r="J743" s="11"/>
      <c r="Q743" s="348" t="str">
        <f t="shared" si="96"/>
        <v/>
      </c>
      <c r="R743" s="348" t="str">
        <f t="shared" si="97"/>
        <v/>
      </c>
      <c r="S743" s="348" t="str">
        <f t="shared" si="98"/>
        <v/>
      </c>
      <c r="T743" s="348" t="str">
        <f t="shared" si="99"/>
        <v/>
      </c>
      <c r="U743" s="348" t="str">
        <f t="shared" si="100"/>
        <v/>
      </c>
      <c r="V743" s="348" t="str">
        <f t="shared" si="101"/>
        <v/>
      </c>
      <c r="W743" s="348" t="str">
        <f t="shared" si="102"/>
        <v/>
      </c>
      <c r="X743" s="348" t="str">
        <f t="shared" si="103"/>
        <v/>
      </c>
    </row>
    <row r="744" spans="1:24" x14ac:dyDescent="0.2">
      <c r="A744" s="407">
        <v>736</v>
      </c>
      <c r="B744" s="438"/>
      <c r="C744" s="437"/>
      <c r="D744" s="438"/>
      <c r="E744" s="438"/>
      <c r="F744" s="438"/>
      <c r="G744" s="438"/>
      <c r="H744" s="438"/>
      <c r="I744" s="438"/>
      <c r="J744" s="11"/>
      <c r="Q744" s="348" t="str">
        <f t="shared" si="96"/>
        <v/>
      </c>
      <c r="R744" s="348" t="str">
        <f t="shared" si="97"/>
        <v/>
      </c>
      <c r="S744" s="348" t="str">
        <f t="shared" si="98"/>
        <v/>
      </c>
      <c r="T744" s="348" t="str">
        <f t="shared" si="99"/>
        <v/>
      </c>
      <c r="U744" s="348" t="str">
        <f t="shared" si="100"/>
        <v/>
      </c>
      <c r="V744" s="348" t="str">
        <f t="shared" si="101"/>
        <v/>
      </c>
      <c r="W744" s="348" t="str">
        <f t="shared" si="102"/>
        <v/>
      </c>
      <c r="X744" s="348" t="str">
        <f t="shared" si="103"/>
        <v/>
      </c>
    </row>
    <row r="745" spans="1:24" x14ac:dyDescent="0.2">
      <c r="A745" s="407">
        <v>737</v>
      </c>
      <c r="B745" s="438"/>
      <c r="C745" s="438"/>
      <c r="D745" s="438"/>
      <c r="E745" s="438"/>
      <c r="F745" s="438"/>
      <c r="G745" s="438"/>
      <c r="H745" s="438"/>
      <c r="I745" s="438"/>
      <c r="J745" s="11"/>
      <c r="Q745" s="348" t="str">
        <f t="shared" si="96"/>
        <v/>
      </c>
      <c r="R745" s="348" t="str">
        <f t="shared" si="97"/>
        <v/>
      </c>
      <c r="S745" s="348" t="str">
        <f t="shared" si="98"/>
        <v/>
      </c>
      <c r="T745" s="348" t="str">
        <f t="shared" si="99"/>
        <v/>
      </c>
      <c r="U745" s="348" t="str">
        <f t="shared" si="100"/>
        <v/>
      </c>
      <c r="V745" s="348" t="str">
        <f t="shared" si="101"/>
        <v/>
      </c>
      <c r="W745" s="348" t="str">
        <f t="shared" si="102"/>
        <v/>
      </c>
      <c r="X745" s="348" t="str">
        <f t="shared" si="103"/>
        <v/>
      </c>
    </row>
    <row r="746" spans="1:24" x14ac:dyDescent="0.2">
      <c r="A746" s="407">
        <v>738</v>
      </c>
      <c r="B746" s="437"/>
      <c r="C746" s="438"/>
      <c r="D746" s="438"/>
      <c r="E746" s="438"/>
      <c r="F746" s="438"/>
      <c r="G746" s="438"/>
      <c r="H746" s="438"/>
      <c r="I746" s="438"/>
      <c r="J746" s="11"/>
      <c r="Q746" s="348" t="str">
        <f t="shared" si="96"/>
        <v/>
      </c>
      <c r="R746" s="348" t="str">
        <f t="shared" si="97"/>
        <v/>
      </c>
      <c r="S746" s="348" t="str">
        <f t="shared" si="98"/>
        <v/>
      </c>
      <c r="T746" s="348" t="str">
        <f t="shared" si="99"/>
        <v/>
      </c>
      <c r="U746" s="348" t="str">
        <f t="shared" si="100"/>
        <v/>
      </c>
      <c r="V746" s="348" t="str">
        <f t="shared" si="101"/>
        <v/>
      </c>
      <c r="W746" s="348" t="str">
        <f t="shared" si="102"/>
        <v/>
      </c>
      <c r="X746" s="348" t="str">
        <f t="shared" si="103"/>
        <v/>
      </c>
    </row>
    <row r="747" spans="1:24" x14ac:dyDescent="0.2">
      <c r="A747" s="407">
        <v>739</v>
      </c>
      <c r="B747" s="438"/>
      <c r="C747" s="438"/>
      <c r="D747" s="438"/>
      <c r="E747" s="438"/>
      <c r="F747" s="438"/>
      <c r="G747" s="438"/>
      <c r="H747" s="438"/>
      <c r="I747" s="438"/>
      <c r="J747" s="11"/>
      <c r="Q747" s="348" t="str">
        <f t="shared" si="96"/>
        <v/>
      </c>
      <c r="R747" s="348" t="str">
        <f t="shared" si="97"/>
        <v/>
      </c>
      <c r="S747" s="348" t="str">
        <f t="shared" si="98"/>
        <v/>
      </c>
      <c r="T747" s="348" t="str">
        <f t="shared" si="99"/>
        <v/>
      </c>
      <c r="U747" s="348" t="str">
        <f t="shared" si="100"/>
        <v/>
      </c>
      <c r="V747" s="348" t="str">
        <f t="shared" si="101"/>
        <v/>
      </c>
      <c r="W747" s="348" t="str">
        <f t="shared" si="102"/>
        <v/>
      </c>
      <c r="X747" s="348" t="str">
        <f t="shared" si="103"/>
        <v/>
      </c>
    </row>
    <row r="748" spans="1:24" x14ac:dyDescent="0.2">
      <c r="A748" s="407">
        <v>740</v>
      </c>
      <c r="B748" s="438"/>
      <c r="C748" s="438"/>
      <c r="D748" s="438"/>
      <c r="E748" s="438"/>
      <c r="F748" s="438"/>
      <c r="G748" s="438"/>
      <c r="H748" s="438"/>
      <c r="I748" s="438"/>
      <c r="J748" s="11"/>
      <c r="Q748" s="348" t="str">
        <f t="shared" si="96"/>
        <v/>
      </c>
      <c r="R748" s="348" t="str">
        <f t="shared" si="97"/>
        <v/>
      </c>
      <c r="S748" s="348" t="str">
        <f t="shared" si="98"/>
        <v/>
      </c>
      <c r="T748" s="348" t="str">
        <f t="shared" si="99"/>
        <v/>
      </c>
      <c r="U748" s="348" t="str">
        <f t="shared" si="100"/>
        <v/>
      </c>
      <c r="V748" s="348" t="str">
        <f t="shared" si="101"/>
        <v/>
      </c>
      <c r="W748" s="348" t="str">
        <f t="shared" si="102"/>
        <v/>
      </c>
      <c r="X748" s="348" t="str">
        <f t="shared" si="103"/>
        <v/>
      </c>
    </row>
    <row r="749" spans="1:24" x14ac:dyDescent="0.2">
      <c r="A749" s="407">
        <v>741</v>
      </c>
      <c r="B749" s="438"/>
      <c r="C749" s="438"/>
      <c r="D749" s="438"/>
      <c r="E749" s="438"/>
      <c r="F749" s="438"/>
      <c r="G749" s="438"/>
      <c r="H749" s="438"/>
      <c r="I749" s="438"/>
      <c r="J749" s="11"/>
      <c r="Q749" s="348" t="str">
        <f t="shared" si="96"/>
        <v/>
      </c>
      <c r="R749" s="348" t="str">
        <f t="shared" si="97"/>
        <v/>
      </c>
      <c r="S749" s="348" t="str">
        <f t="shared" si="98"/>
        <v/>
      </c>
      <c r="T749" s="348" t="str">
        <f t="shared" si="99"/>
        <v/>
      </c>
      <c r="U749" s="348" t="str">
        <f t="shared" si="100"/>
        <v/>
      </c>
      <c r="V749" s="348" t="str">
        <f t="shared" si="101"/>
        <v/>
      </c>
      <c r="W749" s="348" t="str">
        <f t="shared" si="102"/>
        <v/>
      </c>
      <c r="X749" s="348" t="str">
        <f t="shared" si="103"/>
        <v/>
      </c>
    </row>
    <row r="750" spans="1:24" x14ac:dyDescent="0.2">
      <c r="A750" s="407">
        <v>742</v>
      </c>
      <c r="B750" s="438"/>
      <c r="C750" s="438"/>
      <c r="D750" s="438"/>
      <c r="E750" s="438"/>
      <c r="F750" s="438"/>
      <c r="G750" s="438"/>
      <c r="H750" s="438"/>
      <c r="I750" s="438"/>
      <c r="J750" s="11"/>
      <c r="Q750" s="348" t="str">
        <f t="shared" si="96"/>
        <v/>
      </c>
      <c r="R750" s="348" t="str">
        <f t="shared" si="97"/>
        <v/>
      </c>
      <c r="S750" s="348" t="str">
        <f t="shared" si="98"/>
        <v/>
      </c>
      <c r="T750" s="348" t="str">
        <f t="shared" si="99"/>
        <v/>
      </c>
      <c r="U750" s="348" t="str">
        <f t="shared" si="100"/>
        <v/>
      </c>
      <c r="V750" s="348" t="str">
        <f t="shared" si="101"/>
        <v/>
      </c>
      <c r="W750" s="348" t="str">
        <f t="shared" si="102"/>
        <v/>
      </c>
      <c r="X750" s="348" t="str">
        <f t="shared" si="103"/>
        <v/>
      </c>
    </row>
    <row r="751" spans="1:24" x14ac:dyDescent="0.2">
      <c r="A751" s="407">
        <v>743</v>
      </c>
      <c r="B751" s="438"/>
      <c r="C751" s="438"/>
      <c r="D751" s="438"/>
      <c r="E751" s="438"/>
      <c r="F751" s="438"/>
      <c r="G751" s="438"/>
      <c r="H751" s="438"/>
      <c r="I751" s="438"/>
      <c r="J751" s="11"/>
      <c r="Q751" s="348" t="str">
        <f t="shared" si="96"/>
        <v/>
      </c>
      <c r="R751" s="348" t="str">
        <f t="shared" si="97"/>
        <v/>
      </c>
      <c r="S751" s="348" t="str">
        <f t="shared" si="98"/>
        <v/>
      </c>
      <c r="T751" s="348" t="str">
        <f t="shared" si="99"/>
        <v/>
      </c>
      <c r="U751" s="348" t="str">
        <f t="shared" si="100"/>
        <v/>
      </c>
      <c r="V751" s="348" t="str">
        <f t="shared" si="101"/>
        <v/>
      </c>
      <c r="W751" s="348" t="str">
        <f t="shared" si="102"/>
        <v/>
      </c>
      <c r="X751" s="348" t="str">
        <f t="shared" si="103"/>
        <v/>
      </c>
    </row>
    <row r="752" spans="1:24" x14ac:dyDescent="0.2">
      <c r="A752" s="407">
        <v>744</v>
      </c>
      <c r="B752" s="438"/>
      <c r="C752" s="438"/>
      <c r="D752" s="438"/>
      <c r="E752" s="438"/>
      <c r="F752" s="438"/>
      <c r="G752" s="438"/>
      <c r="H752" s="438"/>
      <c r="I752" s="438"/>
      <c r="J752" s="11"/>
      <c r="Q752" s="348" t="str">
        <f t="shared" si="96"/>
        <v/>
      </c>
      <c r="R752" s="348" t="str">
        <f t="shared" si="97"/>
        <v/>
      </c>
      <c r="S752" s="348" t="str">
        <f t="shared" si="98"/>
        <v/>
      </c>
      <c r="T752" s="348" t="str">
        <f t="shared" si="99"/>
        <v/>
      </c>
      <c r="U752" s="348" t="str">
        <f t="shared" si="100"/>
        <v/>
      </c>
      <c r="V752" s="348" t="str">
        <f t="shared" si="101"/>
        <v/>
      </c>
      <c r="W752" s="348" t="str">
        <f t="shared" si="102"/>
        <v/>
      </c>
      <c r="X752" s="348" t="str">
        <f t="shared" si="103"/>
        <v/>
      </c>
    </row>
    <row r="753" spans="1:24" x14ac:dyDescent="0.2">
      <c r="A753" s="407">
        <v>745</v>
      </c>
      <c r="B753" s="438"/>
      <c r="C753" s="438"/>
      <c r="D753" s="438"/>
      <c r="E753" s="438"/>
      <c r="F753" s="438"/>
      <c r="G753" s="438"/>
      <c r="H753" s="438"/>
      <c r="I753" s="438"/>
      <c r="J753" s="11"/>
      <c r="Q753" s="348" t="str">
        <f t="shared" si="96"/>
        <v/>
      </c>
      <c r="R753" s="348" t="str">
        <f t="shared" si="97"/>
        <v/>
      </c>
      <c r="S753" s="348" t="str">
        <f t="shared" si="98"/>
        <v/>
      </c>
      <c r="T753" s="348" t="str">
        <f t="shared" si="99"/>
        <v/>
      </c>
      <c r="U753" s="348" t="str">
        <f t="shared" si="100"/>
        <v/>
      </c>
      <c r="V753" s="348" t="str">
        <f t="shared" si="101"/>
        <v/>
      </c>
      <c r="W753" s="348" t="str">
        <f t="shared" si="102"/>
        <v/>
      </c>
      <c r="X753" s="348" t="str">
        <f t="shared" si="103"/>
        <v/>
      </c>
    </row>
    <row r="754" spans="1:24" x14ac:dyDescent="0.2">
      <c r="A754" s="407">
        <v>746</v>
      </c>
      <c r="B754" s="438"/>
      <c r="C754" s="438"/>
      <c r="D754" s="438"/>
      <c r="E754" s="438"/>
      <c r="F754" s="438"/>
      <c r="G754" s="438"/>
      <c r="H754" s="438"/>
      <c r="I754" s="438"/>
      <c r="J754" s="11"/>
      <c r="Q754" s="348" t="str">
        <f t="shared" si="96"/>
        <v/>
      </c>
      <c r="R754" s="348" t="str">
        <f t="shared" si="97"/>
        <v/>
      </c>
      <c r="S754" s="348" t="str">
        <f t="shared" si="98"/>
        <v/>
      </c>
      <c r="T754" s="348" t="str">
        <f t="shared" si="99"/>
        <v/>
      </c>
      <c r="U754" s="348" t="str">
        <f t="shared" si="100"/>
        <v/>
      </c>
      <c r="V754" s="348" t="str">
        <f t="shared" si="101"/>
        <v/>
      </c>
      <c r="W754" s="348" t="str">
        <f t="shared" si="102"/>
        <v/>
      </c>
      <c r="X754" s="348" t="str">
        <f t="shared" si="103"/>
        <v/>
      </c>
    </row>
    <row r="755" spans="1:24" x14ac:dyDescent="0.2">
      <c r="A755" s="407">
        <v>747</v>
      </c>
      <c r="B755" s="438"/>
      <c r="C755" s="438"/>
      <c r="D755" s="438"/>
      <c r="E755" s="438"/>
      <c r="F755" s="438"/>
      <c r="G755" s="438"/>
      <c r="H755" s="438"/>
      <c r="I755" s="438"/>
      <c r="J755" s="11"/>
      <c r="Q755" s="348" t="str">
        <f t="shared" si="96"/>
        <v/>
      </c>
      <c r="R755" s="348" t="str">
        <f t="shared" si="97"/>
        <v/>
      </c>
      <c r="S755" s="348" t="str">
        <f t="shared" si="98"/>
        <v/>
      </c>
      <c r="T755" s="348" t="str">
        <f t="shared" si="99"/>
        <v/>
      </c>
      <c r="U755" s="348" t="str">
        <f t="shared" si="100"/>
        <v/>
      </c>
      <c r="V755" s="348" t="str">
        <f t="shared" si="101"/>
        <v/>
      </c>
      <c r="W755" s="348" t="str">
        <f t="shared" si="102"/>
        <v/>
      </c>
      <c r="X755" s="348" t="str">
        <f t="shared" si="103"/>
        <v/>
      </c>
    </row>
    <row r="756" spans="1:24" x14ac:dyDescent="0.2">
      <c r="A756" s="407">
        <v>748</v>
      </c>
      <c r="B756" s="438"/>
      <c r="C756" s="438"/>
      <c r="D756" s="438"/>
      <c r="E756" s="438"/>
      <c r="F756" s="438"/>
      <c r="G756" s="438"/>
      <c r="H756" s="438"/>
      <c r="I756" s="438"/>
      <c r="J756" s="11"/>
      <c r="Q756" s="348" t="str">
        <f t="shared" si="96"/>
        <v/>
      </c>
      <c r="R756" s="348" t="str">
        <f t="shared" si="97"/>
        <v/>
      </c>
      <c r="S756" s="348" t="str">
        <f t="shared" si="98"/>
        <v/>
      </c>
      <c r="T756" s="348" t="str">
        <f t="shared" si="99"/>
        <v/>
      </c>
      <c r="U756" s="348" t="str">
        <f t="shared" si="100"/>
        <v/>
      </c>
      <c r="V756" s="348" t="str">
        <f t="shared" si="101"/>
        <v/>
      </c>
      <c r="W756" s="348" t="str">
        <f t="shared" si="102"/>
        <v/>
      </c>
      <c r="X756" s="348" t="str">
        <f t="shared" si="103"/>
        <v/>
      </c>
    </row>
    <row r="757" spans="1:24" x14ac:dyDescent="0.2">
      <c r="A757" s="407">
        <v>749</v>
      </c>
      <c r="B757" s="438"/>
      <c r="C757" s="438"/>
      <c r="D757" s="438"/>
      <c r="E757" s="438"/>
      <c r="F757" s="438"/>
      <c r="G757" s="438"/>
      <c r="H757" s="438"/>
      <c r="I757" s="438"/>
      <c r="J757" s="11"/>
      <c r="Q757" s="348" t="str">
        <f t="shared" si="96"/>
        <v/>
      </c>
      <c r="R757" s="348" t="str">
        <f t="shared" si="97"/>
        <v/>
      </c>
      <c r="S757" s="348" t="str">
        <f t="shared" si="98"/>
        <v/>
      </c>
      <c r="T757" s="348" t="str">
        <f t="shared" si="99"/>
        <v/>
      </c>
      <c r="U757" s="348" t="str">
        <f t="shared" si="100"/>
        <v/>
      </c>
      <c r="V757" s="348" t="str">
        <f t="shared" si="101"/>
        <v/>
      </c>
      <c r="W757" s="348" t="str">
        <f t="shared" si="102"/>
        <v/>
      </c>
      <c r="X757" s="348" t="str">
        <f t="shared" si="103"/>
        <v/>
      </c>
    </row>
    <row r="758" spans="1:24" x14ac:dyDescent="0.2">
      <c r="A758" s="407">
        <v>750</v>
      </c>
      <c r="B758" s="438"/>
      <c r="C758" s="437"/>
      <c r="D758" s="438"/>
      <c r="E758" s="438"/>
      <c r="F758" s="438"/>
      <c r="G758" s="438"/>
      <c r="H758" s="438"/>
      <c r="I758" s="437"/>
      <c r="J758" s="11"/>
      <c r="Q758" s="348" t="str">
        <f t="shared" si="96"/>
        <v/>
      </c>
      <c r="R758" s="348" t="str">
        <f t="shared" si="97"/>
        <v/>
      </c>
      <c r="S758" s="348" t="str">
        <f t="shared" si="98"/>
        <v/>
      </c>
      <c r="T758" s="348" t="str">
        <f t="shared" si="99"/>
        <v/>
      </c>
      <c r="U758" s="348" t="str">
        <f t="shared" si="100"/>
        <v/>
      </c>
      <c r="V758" s="348" t="str">
        <f t="shared" si="101"/>
        <v/>
      </c>
      <c r="W758" s="348" t="str">
        <f t="shared" si="102"/>
        <v/>
      </c>
      <c r="X758" s="348" t="str">
        <f t="shared" si="103"/>
        <v/>
      </c>
    </row>
    <row r="759" spans="1:24" x14ac:dyDescent="0.2">
      <c r="A759" s="407">
        <v>751</v>
      </c>
      <c r="B759" s="438"/>
      <c r="C759" s="438"/>
      <c r="D759" s="438"/>
      <c r="E759" s="437"/>
      <c r="F759" s="438"/>
      <c r="G759" s="438"/>
      <c r="H759" s="438"/>
      <c r="I759" s="438"/>
      <c r="J759" s="11"/>
      <c r="Q759" s="348" t="str">
        <f t="shared" si="96"/>
        <v/>
      </c>
      <c r="R759" s="348" t="str">
        <f t="shared" si="97"/>
        <v/>
      </c>
      <c r="S759" s="348" t="str">
        <f t="shared" si="98"/>
        <v/>
      </c>
      <c r="T759" s="348" t="str">
        <f t="shared" si="99"/>
        <v/>
      </c>
      <c r="U759" s="348" t="str">
        <f t="shared" si="100"/>
        <v/>
      </c>
      <c r="V759" s="348" t="str">
        <f t="shared" si="101"/>
        <v/>
      </c>
      <c r="W759" s="348" t="str">
        <f t="shared" si="102"/>
        <v/>
      </c>
      <c r="X759" s="348" t="str">
        <f t="shared" si="103"/>
        <v/>
      </c>
    </row>
    <row r="760" spans="1:24" x14ac:dyDescent="0.2">
      <c r="A760" s="407">
        <v>752</v>
      </c>
      <c r="B760" s="438"/>
      <c r="C760" s="438"/>
      <c r="D760" s="438"/>
      <c r="E760" s="438"/>
      <c r="F760" s="438"/>
      <c r="G760" s="438"/>
      <c r="H760" s="438"/>
      <c r="I760" s="438"/>
      <c r="J760" s="11"/>
      <c r="Q760" s="348" t="str">
        <f t="shared" si="96"/>
        <v/>
      </c>
      <c r="R760" s="348" t="str">
        <f t="shared" si="97"/>
        <v/>
      </c>
      <c r="S760" s="348" t="str">
        <f t="shared" si="98"/>
        <v/>
      </c>
      <c r="T760" s="348" t="str">
        <f t="shared" si="99"/>
        <v/>
      </c>
      <c r="U760" s="348" t="str">
        <f t="shared" si="100"/>
        <v/>
      </c>
      <c r="V760" s="348" t="str">
        <f t="shared" si="101"/>
        <v/>
      </c>
      <c r="W760" s="348" t="str">
        <f t="shared" si="102"/>
        <v/>
      </c>
      <c r="X760" s="348" t="str">
        <f t="shared" si="103"/>
        <v/>
      </c>
    </row>
    <row r="761" spans="1:24" x14ac:dyDescent="0.2">
      <c r="A761" s="407">
        <v>753</v>
      </c>
      <c r="B761" s="438"/>
      <c r="C761" s="438"/>
      <c r="D761" s="438"/>
      <c r="E761" s="438"/>
      <c r="F761" s="438"/>
      <c r="G761" s="438"/>
      <c r="H761" s="438"/>
      <c r="I761" s="438"/>
      <c r="J761" s="11"/>
      <c r="Q761" s="348" t="str">
        <f t="shared" si="96"/>
        <v/>
      </c>
      <c r="R761" s="348" t="str">
        <f t="shared" si="97"/>
        <v/>
      </c>
      <c r="S761" s="348" t="str">
        <f t="shared" si="98"/>
        <v/>
      </c>
      <c r="T761" s="348" t="str">
        <f t="shared" si="99"/>
        <v/>
      </c>
      <c r="U761" s="348" t="str">
        <f t="shared" si="100"/>
        <v/>
      </c>
      <c r="V761" s="348" t="str">
        <f t="shared" si="101"/>
        <v/>
      </c>
      <c r="W761" s="348" t="str">
        <f t="shared" si="102"/>
        <v/>
      </c>
      <c r="X761" s="348" t="str">
        <f t="shared" si="103"/>
        <v/>
      </c>
    </row>
    <row r="762" spans="1:24" x14ac:dyDescent="0.2">
      <c r="A762" s="407">
        <v>754</v>
      </c>
      <c r="B762" s="438"/>
      <c r="C762" s="438"/>
      <c r="D762" s="438"/>
      <c r="E762" s="438"/>
      <c r="F762" s="438"/>
      <c r="G762" s="438"/>
      <c r="H762" s="438"/>
      <c r="I762" s="438"/>
      <c r="J762" s="11"/>
      <c r="Q762" s="348" t="str">
        <f t="shared" si="96"/>
        <v/>
      </c>
      <c r="R762" s="348" t="str">
        <f t="shared" si="97"/>
        <v/>
      </c>
      <c r="S762" s="348" t="str">
        <f t="shared" si="98"/>
        <v/>
      </c>
      <c r="T762" s="348" t="str">
        <f t="shared" si="99"/>
        <v/>
      </c>
      <c r="U762" s="348" t="str">
        <f t="shared" si="100"/>
        <v/>
      </c>
      <c r="V762" s="348" t="str">
        <f t="shared" si="101"/>
        <v/>
      </c>
      <c r="W762" s="348" t="str">
        <f t="shared" si="102"/>
        <v/>
      </c>
      <c r="X762" s="348" t="str">
        <f t="shared" si="103"/>
        <v/>
      </c>
    </row>
    <row r="763" spans="1:24" x14ac:dyDescent="0.2">
      <c r="A763" s="407">
        <v>755</v>
      </c>
      <c r="B763" s="438"/>
      <c r="C763" s="438"/>
      <c r="D763" s="438"/>
      <c r="E763" s="438"/>
      <c r="F763" s="438"/>
      <c r="G763" s="438"/>
      <c r="H763" s="438"/>
      <c r="I763" s="438"/>
      <c r="J763" s="11"/>
      <c r="Q763" s="348" t="str">
        <f t="shared" si="96"/>
        <v/>
      </c>
      <c r="R763" s="348" t="str">
        <f t="shared" si="97"/>
        <v/>
      </c>
      <c r="S763" s="348" t="str">
        <f t="shared" si="98"/>
        <v/>
      </c>
      <c r="T763" s="348" t="str">
        <f t="shared" si="99"/>
        <v/>
      </c>
      <c r="U763" s="348" t="str">
        <f t="shared" si="100"/>
        <v/>
      </c>
      <c r="V763" s="348" t="str">
        <f t="shared" si="101"/>
        <v/>
      </c>
      <c r="W763" s="348" t="str">
        <f t="shared" si="102"/>
        <v/>
      </c>
      <c r="X763" s="348" t="str">
        <f t="shared" si="103"/>
        <v/>
      </c>
    </row>
    <row r="764" spans="1:24" x14ac:dyDescent="0.2">
      <c r="A764" s="407">
        <v>756</v>
      </c>
      <c r="B764" s="438"/>
      <c r="C764" s="438"/>
      <c r="D764" s="438"/>
      <c r="E764" s="438"/>
      <c r="F764" s="438"/>
      <c r="G764" s="438"/>
      <c r="H764" s="438"/>
      <c r="I764" s="438"/>
      <c r="J764" s="11"/>
      <c r="Q764" s="348" t="str">
        <f t="shared" si="96"/>
        <v/>
      </c>
      <c r="R764" s="348" t="str">
        <f t="shared" si="97"/>
        <v/>
      </c>
      <c r="S764" s="348" t="str">
        <f t="shared" si="98"/>
        <v/>
      </c>
      <c r="T764" s="348" t="str">
        <f t="shared" si="99"/>
        <v/>
      </c>
      <c r="U764" s="348" t="str">
        <f t="shared" si="100"/>
        <v/>
      </c>
      <c r="V764" s="348" t="str">
        <f t="shared" si="101"/>
        <v/>
      </c>
      <c r="W764" s="348" t="str">
        <f t="shared" si="102"/>
        <v/>
      </c>
      <c r="X764" s="348" t="str">
        <f t="shared" si="103"/>
        <v/>
      </c>
    </row>
    <row r="765" spans="1:24" x14ac:dyDescent="0.2">
      <c r="A765" s="407">
        <v>757</v>
      </c>
      <c r="B765" s="437"/>
      <c r="C765" s="438"/>
      <c r="D765" s="438"/>
      <c r="E765" s="438"/>
      <c r="F765" s="438"/>
      <c r="G765" s="438"/>
      <c r="H765" s="438"/>
      <c r="I765" s="438"/>
      <c r="J765" s="11"/>
      <c r="Q765" s="348" t="str">
        <f t="shared" si="96"/>
        <v/>
      </c>
      <c r="R765" s="348" t="str">
        <f t="shared" si="97"/>
        <v/>
      </c>
      <c r="S765" s="348" t="str">
        <f t="shared" si="98"/>
        <v/>
      </c>
      <c r="T765" s="348" t="str">
        <f t="shared" si="99"/>
        <v/>
      </c>
      <c r="U765" s="348" t="str">
        <f t="shared" si="100"/>
        <v/>
      </c>
      <c r="V765" s="348" t="str">
        <f t="shared" si="101"/>
        <v/>
      </c>
      <c r="W765" s="348" t="str">
        <f t="shared" si="102"/>
        <v/>
      </c>
      <c r="X765" s="348" t="str">
        <f t="shared" si="103"/>
        <v/>
      </c>
    </row>
    <row r="766" spans="1:24" x14ac:dyDescent="0.2">
      <c r="A766" s="407">
        <v>758</v>
      </c>
      <c r="B766" s="438"/>
      <c r="C766" s="438"/>
      <c r="D766" s="438"/>
      <c r="E766" s="438"/>
      <c r="F766" s="438"/>
      <c r="G766" s="438"/>
      <c r="H766" s="438"/>
      <c r="I766" s="438"/>
      <c r="J766" s="11"/>
      <c r="Q766" s="348" t="str">
        <f t="shared" si="96"/>
        <v/>
      </c>
      <c r="R766" s="348" t="str">
        <f t="shared" si="97"/>
        <v/>
      </c>
      <c r="S766" s="348" t="str">
        <f t="shared" si="98"/>
        <v/>
      </c>
      <c r="T766" s="348" t="str">
        <f t="shared" si="99"/>
        <v/>
      </c>
      <c r="U766" s="348" t="str">
        <f t="shared" si="100"/>
        <v/>
      </c>
      <c r="V766" s="348" t="str">
        <f t="shared" si="101"/>
        <v/>
      </c>
      <c r="W766" s="348" t="str">
        <f t="shared" si="102"/>
        <v/>
      </c>
      <c r="X766" s="348" t="str">
        <f t="shared" si="103"/>
        <v/>
      </c>
    </row>
    <row r="767" spans="1:24" x14ac:dyDescent="0.2">
      <c r="A767" s="407">
        <v>759</v>
      </c>
      <c r="B767" s="438"/>
      <c r="C767" s="438"/>
      <c r="D767" s="438"/>
      <c r="E767" s="438"/>
      <c r="F767" s="438"/>
      <c r="G767" s="438"/>
      <c r="H767" s="438"/>
      <c r="I767" s="438"/>
      <c r="J767" s="11"/>
      <c r="Q767" s="348" t="str">
        <f t="shared" si="96"/>
        <v/>
      </c>
      <c r="R767" s="348" t="str">
        <f t="shared" si="97"/>
        <v/>
      </c>
      <c r="S767" s="348" t="str">
        <f t="shared" si="98"/>
        <v/>
      </c>
      <c r="T767" s="348" t="str">
        <f t="shared" si="99"/>
        <v/>
      </c>
      <c r="U767" s="348" t="str">
        <f t="shared" si="100"/>
        <v/>
      </c>
      <c r="V767" s="348" t="str">
        <f t="shared" si="101"/>
        <v/>
      </c>
      <c r="W767" s="348" t="str">
        <f t="shared" si="102"/>
        <v/>
      </c>
      <c r="X767" s="348" t="str">
        <f t="shared" si="103"/>
        <v/>
      </c>
    </row>
    <row r="768" spans="1:24" x14ac:dyDescent="0.2">
      <c r="A768" s="407">
        <v>760</v>
      </c>
      <c r="B768" s="438"/>
      <c r="C768" s="438"/>
      <c r="D768" s="438"/>
      <c r="E768" s="438"/>
      <c r="F768" s="438"/>
      <c r="G768" s="438"/>
      <c r="H768" s="438"/>
      <c r="I768" s="438"/>
      <c r="J768" s="11"/>
      <c r="Q768" s="348" t="str">
        <f t="shared" si="96"/>
        <v/>
      </c>
      <c r="R768" s="348" t="str">
        <f t="shared" si="97"/>
        <v/>
      </c>
      <c r="S768" s="348" t="str">
        <f t="shared" si="98"/>
        <v/>
      </c>
      <c r="T768" s="348" t="str">
        <f t="shared" si="99"/>
        <v/>
      </c>
      <c r="U768" s="348" t="str">
        <f t="shared" si="100"/>
        <v/>
      </c>
      <c r="V768" s="348" t="str">
        <f t="shared" si="101"/>
        <v/>
      </c>
      <c r="W768" s="348" t="str">
        <f t="shared" si="102"/>
        <v/>
      </c>
      <c r="X768" s="348" t="str">
        <f t="shared" si="103"/>
        <v/>
      </c>
    </row>
    <row r="769" spans="1:24" x14ac:dyDescent="0.2">
      <c r="A769" s="407">
        <v>761</v>
      </c>
      <c r="B769" s="438"/>
      <c r="C769" s="438"/>
      <c r="D769" s="437"/>
      <c r="E769" s="438"/>
      <c r="F769" s="438"/>
      <c r="G769" s="438"/>
      <c r="H769" s="438"/>
      <c r="I769" s="438"/>
      <c r="J769" s="11"/>
      <c r="Q769" s="348" t="str">
        <f t="shared" si="96"/>
        <v/>
      </c>
      <c r="R769" s="348" t="str">
        <f t="shared" si="97"/>
        <v/>
      </c>
      <c r="S769" s="348" t="str">
        <f t="shared" si="98"/>
        <v/>
      </c>
      <c r="T769" s="348" t="str">
        <f t="shared" si="99"/>
        <v/>
      </c>
      <c r="U769" s="348" t="str">
        <f t="shared" si="100"/>
        <v/>
      </c>
      <c r="V769" s="348" t="str">
        <f t="shared" si="101"/>
        <v/>
      </c>
      <c r="W769" s="348" t="str">
        <f t="shared" si="102"/>
        <v/>
      </c>
      <c r="X769" s="348" t="str">
        <f t="shared" si="103"/>
        <v/>
      </c>
    </row>
    <row r="770" spans="1:24" x14ac:dyDescent="0.2">
      <c r="A770" s="407">
        <v>762</v>
      </c>
      <c r="B770" s="438"/>
      <c r="C770" s="438"/>
      <c r="D770" s="438"/>
      <c r="E770" s="438"/>
      <c r="F770" s="438"/>
      <c r="G770" s="437"/>
      <c r="H770" s="438"/>
      <c r="I770" s="438"/>
      <c r="J770" s="11"/>
      <c r="Q770" s="348" t="str">
        <f t="shared" si="96"/>
        <v/>
      </c>
      <c r="R770" s="348" t="str">
        <f t="shared" si="97"/>
        <v/>
      </c>
      <c r="S770" s="348" t="str">
        <f t="shared" si="98"/>
        <v/>
      </c>
      <c r="T770" s="348" t="str">
        <f t="shared" si="99"/>
        <v/>
      </c>
      <c r="U770" s="348" t="str">
        <f t="shared" si="100"/>
        <v/>
      </c>
      <c r="V770" s="348" t="str">
        <f t="shared" si="101"/>
        <v/>
      </c>
      <c r="W770" s="348" t="str">
        <f t="shared" si="102"/>
        <v/>
      </c>
      <c r="X770" s="348" t="str">
        <f t="shared" si="103"/>
        <v/>
      </c>
    </row>
    <row r="771" spans="1:24" x14ac:dyDescent="0.2">
      <c r="A771" s="407">
        <v>763</v>
      </c>
      <c r="B771" s="438"/>
      <c r="C771" s="438"/>
      <c r="D771" s="438"/>
      <c r="E771" s="438"/>
      <c r="F771" s="438"/>
      <c r="G771" s="438"/>
      <c r="H771" s="438"/>
      <c r="I771" s="438"/>
      <c r="J771" s="11"/>
      <c r="Q771" s="348" t="str">
        <f t="shared" si="96"/>
        <v/>
      </c>
      <c r="R771" s="348" t="str">
        <f t="shared" si="97"/>
        <v/>
      </c>
      <c r="S771" s="348" t="str">
        <f t="shared" si="98"/>
        <v/>
      </c>
      <c r="T771" s="348" t="str">
        <f t="shared" si="99"/>
        <v/>
      </c>
      <c r="U771" s="348" t="str">
        <f t="shared" si="100"/>
        <v/>
      </c>
      <c r="V771" s="348" t="str">
        <f t="shared" si="101"/>
        <v/>
      </c>
      <c r="W771" s="348" t="str">
        <f t="shared" si="102"/>
        <v/>
      </c>
      <c r="X771" s="348" t="str">
        <f t="shared" si="103"/>
        <v/>
      </c>
    </row>
    <row r="772" spans="1:24" x14ac:dyDescent="0.2">
      <c r="A772" s="407">
        <v>764</v>
      </c>
      <c r="B772" s="438"/>
      <c r="C772" s="437"/>
      <c r="D772" s="438"/>
      <c r="E772" s="438"/>
      <c r="F772" s="437"/>
      <c r="G772" s="438"/>
      <c r="H772" s="437"/>
      <c r="I772" s="438"/>
      <c r="J772" s="11"/>
      <c r="Q772" s="348" t="str">
        <f t="shared" si="96"/>
        <v/>
      </c>
      <c r="R772" s="348" t="str">
        <f t="shared" si="97"/>
        <v/>
      </c>
      <c r="S772" s="348" t="str">
        <f t="shared" si="98"/>
        <v/>
      </c>
      <c r="T772" s="348" t="str">
        <f t="shared" si="99"/>
        <v/>
      </c>
      <c r="U772" s="348" t="str">
        <f t="shared" si="100"/>
        <v/>
      </c>
      <c r="V772" s="348" t="str">
        <f t="shared" si="101"/>
        <v/>
      </c>
      <c r="W772" s="348" t="str">
        <f t="shared" si="102"/>
        <v/>
      </c>
      <c r="X772" s="348" t="str">
        <f t="shared" si="103"/>
        <v/>
      </c>
    </row>
    <row r="773" spans="1:24" x14ac:dyDescent="0.2">
      <c r="A773" s="407">
        <v>765</v>
      </c>
      <c r="B773" s="438"/>
      <c r="C773" s="438"/>
      <c r="D773" s="438"/>
      <c r="E773" s="438"/>
      <c r="F773" s="438"/>
      <c r="G773" s="438"/>
      <c r="H773" s="438"/>
      <c r="I773" s="438"/>
      <c r="J773" s="11"/>
      <c r="Q773" s="348" t="str">
        <f t="shared" si="96"/>
        <v/>
      </c>
      <c r="R773" s="348" t="str">
        <f t="shared" si="97"/>
        <v/>
      </c>
      <c r="S773" s="348" t="str">
        <f t="shared" si="98"/>
        <v/>
      </c>
      <c r="T773" s="348" t="str">
        <f t="shared" si="99"/>
        <v/>
      </c>
      <c r="U773" s="348" t="str">
        <f t="shared" si="100"/>
        <v/>
      </c>
      <c r="V773" s="348" t="str">
        <f t="shared" si="101"/>
        <v/>
      </c>
      <c r="W773" s="348" t="str">
        <f t="shared" si="102"/>
        <v/>
      </c>
      <c r="X773" s="348" t="str">
        <f t="shared" si="103"/>
        <v/>
      </c>
    </row>
    <row r="774" spans="1:24" x14ac:dyDescent="0.2">
      <c r="A774" s="407">
        <v>766</v>
      </c>
      <c r="B774" s="438"/>
      <c r="C774" s="438"/>
      <c r="D774" s="438"/>
      <c r="E774" s="438"/>
      <c r="F774" s="438"/>
      <c r="G774" s="438"/>
      <c r="H774" s="438"/>
      <c r="I774" s="438"/>
      <c r="J774" s="11"/>
      <c r="Q774" s="348" t="str">
        <f t="shared" si="96"/>
        <v/>
      </c>
      <c r="R774" s="348" t="str">
        <f t="shared" si="97"/>
        <v/>
      </c>
      <c r="S774" s="348" t="str">
        <f t="shared" si="98"/>
        <v/>
      </c>
      <c r="T774" s="348" t="str">
        <f t="shared" si="99"/>
        <v/>
      </c>
      <c r="U774" s="348" t="str">
        <f t="shared" si="100"/>
        <v/>
      </c>
      <c r="V774" s="348" t="str">
        <f t="shared" si="101"/>
        <v/>
      </c>
      <c r="W774" s="348" t="str">
        <f t="shared" si="102"/>
        <v/>
      </c>
      <c r="X774" s="348" t="str">
        <f t="shared" si="103"/>
        <v/>
      </c>
    </row>
    <row r="775" spans="1:24" x14ac:dyDescent="0.2">
      <c r="A775" s="407">
        <v>767</v>
      </c>
      <c r="B775" s="437"/>
      <c r="C775" s="438"/>
      <c r="D775" s="438"/>
      <c r="E775" s="438"/>
      <c r="F775" s="438"/>
      <c r="G775" s="438"/>
      <c r="H775" s="438"/>
      <c r="I775" s="438"/>
      <c r="J775" s="11"/>
      <c r="Q775" s="348" t="str">
        <f t="shared" si="96"/>
        <v/>
      </c>
      <c r="R775" s="348" t="str">
        <f t="shared" si="97"/>
        <v/>
      </c>
      <c r="S775" s="348" t="str">
        <f t="shared" si="98"/>
        <v/>
      </c>
      <c r="T775" s="348" t="str">
        <f t="shared" si="99"/>
        <v/>
      </c>
      <c r="U775" s="348" t="str">
        <f t="shared" si="100"/>
        <v/>
      </c>
      <c r="V775" s="348" t="str">
        <f t="shared" si="101"/>
        <v/>
      </c>
      <c r="W775" s="348" t="str">
        <f t="shared" si="102"/>
        <v/>
      </c>
      <c r="X775" s="348" t="str">
        <f t="shared" si="103"/>
        <v/>
      </c>
    </row>
    <row r="776" spans="1:24" x14ac:dyDescent="0.2">
      <c r="A776" s="407">
        <v>768</v>
      </c>
      <c r="B776" s="438"/>
      <c r="C776" s="438"/>
      <c r="D776" s="438"/>
      <c r="E776" s="438"/>
      <c r="F776" s="438"/>
      <c r="G776" s="438"/>
      <c r="H776" s="438"/>
      <c r="I776" s="438"/>
      <c r="J776" s="11"/>
      <c r="Q776" s="348" t="str">
        <f t="shared" si="96"/>
        <v/>
      </c>
      <c r="R776" s="348" t="str">
        <f t="shared" si="97"/>
        <v/>
      </c>
      <c r="S776" s="348" t="str">
        <f t="shared" si="98"/>
        <v/>
      </c>
      <c r="T776" s="348" t="str">
        <f t="shared" si="99"/>
        <v/>
      </c>
      <c r="U776" s="348" t="str">
        <f t="shared" si="100"/>
        <v/>
      </c>
      <c r="V776" s="348" t="str">
        <f t="shared" si="101"/>
        <v/>
      </c>
      <c r="W776" s="348" t="str">
        <f t="shared" si="102"/>
        <v/>
      </c>
      <c r="X776" s="348" t="str">
        <f t="shared" si="103"/>
        <v/>
      </c>
    </row>
    <row r="777" spans="1:24" x14ac:dyDescent="0.2">
      <c r="A777" s="407">
        <v>769</v>
      </c>
      <c r="B777" s="438"/>
      <c r="C777" s="438"/>
      <c r="D777" s="438"/>
      <c r="E777" s="437"/>
      <c r="F777" s="438"/>
      <c r="G777" s="438"/>
      <c r="H777" s="438"/>
      <c r="I777" s="438"/>
      <c r="J777" s="11"/>
      <c r="Q777" s="348" t="str">
        <f t="shared" si="96"/>
        <v/>
      </c>
      <c r="R777" s="348" t="str">
        <f t="shared" si="97"/>
        <v/>
      </c>
      <c r="S777" s="348" t="str">
        <f t="shared" si="98"/>
        <v/>
      </c>
      <c r="T777" s="348" t="str">
        <f t="shared" si="99"/>
        <v/>
      </c>
      <c r="U777" s="348" t="str">
        <f t="shared" si="100"/>
        <v/>
      </c>
      <c r="V777" s="348" t="str">
        <f t="shared" si="101"/>
        <v/>
      </c>
      <c r="W777" s="348" t="str">
        <f t="shared" si="102"/>
        <v/>
      </c>
      <c r="X777" s="348" t="str">
        <f t="shared" si="103"/>
        <v/>
      </c>
    </row>
    <row r="778" spans="1:24" x14ac:dyDescent="0.2">
      <c r="A778" s="407">
        <v>770</v>
      </c>
      <c r="B778" s="438"/>
      <c r="C778" s="438"/>
      <c r="D778" s="438"/>
      <c r="E778" s="438"/>
      <c r="F778" s="438"/>
      <c r="G778" s="438"/>
      <c r="H778" s="438"/>
      <c r="I778" s="438"/>
      <c r="J778" s="11"/>
      <c r="Q778" s="348" t="str">
        <f t="shared" ref="Q778:Q841" si="104">IFERROR(B778^4*$AB$9+B778^3*$AC$9+B778^2*$AD$9+B778^1*$AE$9+B778^0*$AF$9,"")</f>
        <v/>
      </c>
      <c r="R778" s="348" t="str">
        <f t="shared" ref="R778:R841" si="105">IFERROR(C778^4*$AB$10+C778^3*$AC$10+C778^2*$AD$10+C778^1*$AE$10+C778^0*$AF$10,"")</f>
        <v/>
      </c>
      <c r="S778" s="348" t="str">
        <f t="shared" ref="S778:S841" si="106">IFERROR(D778^4*$AB$11+D778^3*$AC$11+D778^2*$AD$11+D778^1*$AE$11+D778^0*$AF$11,"")</f>
        <v/>
      </c>
      <c r="T778" s="348" t="str">
        <f t="shared" ref="T778:T841" si="107">IFERROR(E778^4*$AB$12+E778^3*$AC$12+E778^2*$AD$12+E778^1*$AE$12+E778^0*$AF$12,"")</f>
        <v/>
      </c>
      <c r="U778" s="348" t="str">
        <f t="shared" ref="U778:U841" si="108">IFERROR(F778^4*$AB$13+F778^3*$AC$13+F778^2*$AD$13+F778^1*$AE$13+F778^0*$AF$13,"")</f>
        <v/>
      </c>
      <c r="V778" s="348" t="str">
        <f t="shared" ref="V778:V841" si="109">IFERROR(G778^4*$AB$14+G778^3*$AC$14+G778^2*$AD$14+G778^1*$AE$14+G778^0*$AF$14,"")</f>
        <v/>
      </c>
      <c r="W778" s="348" t="str">
        <f t="shared" ref="W778:W841" si="110">IFERROR(H778^4*$AB$15+H778^3*$AC$15+H778^2*$AD$15+H778^1*$AE$15+H778^0*$AF$15,"")</f>
        <v/>
      </c>
      <c r="X778" s="348" t="str">
        <f t="shared" ref="X778:X841" si="111">IFERROR(I778^4*$AB$16+I778^3*$AC$16+I778^2*$AD$16+I778^1*$AE$16+I778^0*$AF$16,"")</f>
        <v/>
      </c>
    </row>
    <row r="779" spans="1:24" x14ac:dyDescent="0.2">
      <c r="A779" s="407">
        <v>771</v>
      </c>
      <c r="B779" s="438"/>
      <c r="C779" s="438"/>
      <c r="D779" s="438"/>
      <c r="E779" s="438"/>
      <c r="F779" s="438"/>
      <c r="G779" s="438"/>
      <c r="H779" s="438"/>
      <c r="I779" s="438"/>
      <c r="J779" s="11"/>
      <c r="Q779" s="348" t="str">
        <f t="shared" si="104"/>
        <v/>
      </c>
      <c r="R779" s="348" t="str">
        <f t="shared" si="105"/>
        <v/>
      </c>
      <c r="S779" s="348" t="str">
        <f t="shared" si="106"/>
        <v/>
      </c>
      <c r="T779" s="348" t="str">
        <f t="shared" si="107"/>
        <v/>
      </c>
      <c r="U779" s="348" t="str">
        <f t="shared" si="108"/>
        <v/>
      </c>
      <c r="V779" s="348" t="str">
        <f t="shared" si="109"/>
        <v/>
      </c>
      <c r="W779" s="348" t="str">
        <f t="shared" si="110"/>
        <v/>
      </c>
      <c r="X779" s="348" t="str">
        <f t="shared" si="111"/>
        <v/>
      </c>
    </row>
    <row r="780" spans="1:24" x14ac:dyDescent="0.2">
      <c r="A780" s="407">
        <v>772</v>
      </c>
      <c r="B780" s="438"/>
      <c r="C780" s="438"/>
      <c r="D780" s="438"/>
      <c r="E780" s="438"/>
      <c r="F780" s="438"/>
      <c r="G780" s="438"/>
      <c r="H780" s="438"/>
      <c r="I780" s="438"/>
      <c r="J780" s="11"/>
      <c r="Q780" s="348" t="str">
        <f t="shared" si="104"/>
        <v/>
      </c>
      <c r="R780" s="348" t="str">
        <f t="shared" si="105"/>
        <v/>
      </c>
      <c r="S780" s="348" t="str">
        <f t="shared" si="106"/>
        <v/>
      </c>
      <c r="T780" s="348" t="str">
        <f t="shared" si="107"/>
        <v/>
      </c>
      <c r="U780" s="348" t="str">
        <f t="shared" si="108"/>
        <v/>
      </c>
      <c r="V780" s="348" t="str">
        <f t="shared" si="109"/>
        <v/>
      </c>
      <c r="W780" s="348" t="str">
        <f t="shared" si="110"/>
        <v/>
      </c>
      <c r="X780" s="348" t="str">
        <f t="shared" si="111"/>
        <v/>
      </c>
    </row>
    <row r="781" spans="1:24" x14ac:dyDescent="0.2">
      <c r="A781" s="407">
        <v>773</v>
      </c>
      <c r="B781" s="438"/>
      <c r="C781" s="438"/>
      <c r="D781" s="438"/>
      <c r="E781" s="438"/>
      <c r="F781" s="438"/>
      <c r="G781" s="438"/>
      <c r="H781" s="438"/>
      <c r="I781" s="438"/>
      <c r="J781" s="11"/>
      <c r="Q781" s="348" t="str">
        <f t="shared" si="104"/>
        <v/>
      </c>
      <c r="R781" s="348" t="str">
        <f t="shared" si="105"/>
        <v/>
      </c>
      <c r="S781" s="348" t="str">
        <f t="shared" si="106"/>
        <v/>
      </c>
      <c r="T781" s="348" t="str">
        <f t="shared" si="107"/>
        <v/>
      </c>
      <c r="U781" s="348" t="str">
        <f t="shared" si="108"/>
        <v/>
      </c>
      <c r="V781" s="348" t="str">
        <f t="shared" si="109"/>
        <v/>
      </c>
      <c r="W781" s="348" t="str">
        <f t="shared" si="110"/>
        <v/>
      </c>
      <c r="X781" s="348" t="str">
        <f t="shared" si="111"/>
        <v/>
      </c>
    </row>
    <row r="782" spans="1:24" x14ac:dyDescent="0.2">
      <c r="A782" s="407">
        <v>774</v>
      </c>
      <c r="B782" s="438"/>
      <c r="C782" s="438"/>
      <c r="D782" s="438"/>
      <c r="E782" s="438"/>
      <c r="F782" s="438"/>
      <c r="G782" s="438"/>
      <c r="H782" s="438"/>
      <c r="I782" s="438"/>
      <c r="J782" s="11"/>
      <c r="Q782" s="348" t="str">
        <f t="shared" si="104"/>
        <v/>
      </c>
      <c r="R782" s="348" t="str">
        <f t="shared" si="105"/>
        <v/>
      </c>
      <c r="S782" s="348" t="str">
        <f t="shared" si="106"/>
        <v/>
      </c>
      <c r="T782" s="348" t="str">
        <f t="shared" si="107"/>
        <v/>
      </c>
      <c r="U782" s="348" t="str">
        <f t="shared" si="108"/>
        <v/>
      </c>
      <c r="V782" s="348" t="str">
        <f t="shared" si="109"/>
        <v/>
      </c>
      <c r="W782" s="348" t="str">
        <f t="shared" si="110"/>
        <v/>
      </c>
      <c r="X782" s="348" t="str">
        <f t="shared" si="111"/>
        <v/>
      </c>
    </row>
    <row r="783" spans="1:24" x14ac:dyDescent="0.2">
      <c r="A783" s="407">
        <v>775</v>
      </c>
      <c r="B783" s="438"/>
      <c r="C783" s="438"/>
      <c r="D783" s="438"/>
      <c r="E783" s="438"/>
      <c r="F783" s="438"/>
      <c r="G783" s="438"/>
      <c r="H783" s="438"/>
      <c r="I783" s="438"/>
      <c r="J783" s="11"/>
      <c r="Q783" s="348" t="str">
        <f t="shared" si="104"/>
        <v/>
      </c>
      <c r="R783" s="348" t="str">
        <f t="shared" si="105"/>
        <v/>
      </c>
      <c r="S783" s="348" t="str">
        <f t="shared" si="106"/>
        <v/>
      </c>
      <c r="T783" s="348" t="str">
        <f t="shared" si="107"/>
        <v/>
      </c>
      <c r="U783" s="348" t="str">
        <f t="shared" si="108"/>
        <v/>
      </c>
      <c r="V783" s="348" t="str">
        <f t="shared" si="109"/>
        <v/>
      </c>
      <c r="W783" s="348" t="str">
        <f t="shared" si="110"/>
        <v/>
      </c>
      <c r="X783" s="348" t="str">
        <f t="shared" si="111"/>
        <v/>
      </c>
    </row>
    <row r="784" spans="1:24" x14ac:dyDescent="0.2">
      <c r="A784" s="407">
        <v>776</v>
      </c>
      <c r="B784" s="438"/>
      <c r="C784" s="438"/>
      <c r="D784" s="438"/>
      <c r="E784" s="438"/>
      <c r="F784" s="438"/>
      <c r="G784" s="438"/>
      <c r="H784" s="438"/>
      <c r="I784" s="438"/>
      <c r="J784" s="11"/>
      <c r="Q784" s="348" t="str">
        <f t="shared" si="104"/>
        <v/>
      </c>
      <c r="R784" s="348" t="str">
        <f t="shared" si="105"/>
        <v/>
      </c>
      <c r="S784" s="348" t="str">
        <f t="shared" si="106"/>
        <v/>
      </c>
      <c r="T784" s="348" t="str">
        <f t="shared" si="107"/>
        <v/>
      </c>
      <c r="U784" s="348" t="str">
        <f t="shared" si="108"/>
        <v/>
      </c>
      <c r="V784" s="348" t="str">
        <f t="shared" si="109"/>
        <v/>
      </c>
      <c r="W784" s="348" t="str">
        <f t="shared" si="110"/>
        <v/>
      </c>
      <c r="X784" s="348" t="str">
        <f t="shared" si="111"/>
        <v/>
      </c>
    </row>
    <row r="785" spans="1:24" x14ac:dyDescent="0.2">
      <c r="A785" s="407">
        <v>777</v>
      </c>
      <c r="B785" s="438"/>
      <c r="C785" s="438"/>
      <c r="D785" s="438"/>
      <c r="E785" s="438"/>
      <c r="F785" s="438"/>
      <c r="G785" s="438"/>
      <c r="H785" s="438"/>
      <c r="I785" s="438"/>
      <c r="J785" s="11"/>
      <c r="Q785" s="348" t="str">
        <f t="shared" si="104"/>
        <v/>
      </c>
      <c r="R785" s="348" t="str">
        <f t="shared" si="105"/>
        <v/>
      </c>
      <c r="S785" s="348" t="str">
        <f t="shared" si="106"/>
        <v/>
      </c>
      <c r="T785" s="348" t="str">
        <f t="shared" si="107"/>
        <v/>
      </c>
      <c r="U785" s="348" t="str">
        <f t="shared" si="108"/>
        <v/>
      </c>
      <c r="V785" s="348" t="str">
        <f t="shared" si="109"/>
        <v/>
      </c>
      <c r="W785" s="348" t="str">
        <f t="shared" si="110"/>
        <v/>
      </c>
      <c r="X785" s="348" t="str">
        <f t="shared" si="111"/>
        <v/>
      </c>
    </row>
    <row r="786" spans="1:24" x14ac:dyDescent="0.2">
      <c r="A786" s="407">
        <v>778</v>
      </c>
      <c r="B786" s="438"/>
      <c r="C786" s="438"/>
      <c r="D786" s="438"/>
      <c r="E786" s="438"/>
      <c r="F786" s="438"/>
      <c r="G786" s="438"/>
      <c r="H786" s="438"/>
      <c r="I786" s="438"/>
      <c r="J786" s="11"/>
      <c r="Q786" s="348" t="str">
        <f t="shared" si="104"/>
        <v/>
      </c>
      <c r="R786" s="348" t="str">
        <f t="shared" si="105"/>
        <v/>
      </c>
      <c r="S786" s="348" t="str">
        <f t="shared" si="106"/>
        <v/>
      </c>
      <c r="T786" s="348" t="str">
        <f t="shared" si="107"/>
        <v/>
      </c>
      <c r="U786" s="348" t="str">
        <f t="shared" si="108"/>
        <v/>
      </c>
      <c r="V786" s="348" t="str">
        <f t="shared" si="109"/>
        <v/>
      </c>
      <c r="W786" s="348" t="str">
        <f t="shared" si="110"/>
        <v/>
      </c>
      <c r="X786" s="348" t="str">
        <f t="shared" si="111"/>
        <v/>
      </c>
    </row>
    <row r="787" spans="1:24" x14ac:dyDescent="0.2">
      <c r="A787" s="407">
        <v>779</v>
      </c>
      <c r="B787" s="438"/>
      <c r="C787" s="438"/>
      <c r="D787" s="438"/>
      <c r="E787" s="438"/>
      <c r="F787" s="438"/>
      <c r="G787" s="438"/>
      <c r="H787" s="438"/>
      <c r="I787" s="438"/>
      <c r="J787" s="11"/>
      <c r="Q787" s="348" t="str">
        <f t="shared" si="104"/>
        <v/>
      </c>
      <c r="R787" s="348" t="str">
        <f t="shared" si="105"/>
        <v/>
      </c>
      <c r="S787" s="348" t="str">
        <f t="shared" si="106"/>
        <v/>
      </c>
      <c r="T787" s="348" t="str">
        <f t="shared" si="107"/>
        <v/>
      </c>
      <c r="U787" s="348" t="str">
        <f t="shared" si="108"/>
        <v/>
      </c>
      <c r="V787" s="348" t="str">
        <f t="shared" si="109"/>
        <v/>
      </c>
      <c r="W787" s="348" t="str">
        <f t="shared" si="110"/>
        <v/>
      </c>
      <c r="X787" s="348" t="str">
        <f t="shared" si="111"/>
        <v/>
      </c>
    </row>
    <row r="788" spans="1:24" x14ac:dyDescent="0.2">
      <c r="A788" s="407">
        <v>780</v>
      </c>
      <c r="B788" s="438"/>
      <c r="C788" s="438"/>
      <c r="D788" s="438"/>
      <c r="E788" s="438"/>
      <c r="F788" s="438"/>
      <c r="G788" s="438"/>
      <c r="H788" s="438"/>
      <c r="I788" s="438"/>
      <c r="J788" s="11"/>
      <c r="Q788" s="348" t="str">
        <f t="shared" si="104"/>
        <v/>
      </c>
      <c r="R788" s="348" t="str">
        <f t="shared" si="105"/>
        <v/>
      </c>
      <c r="S788" s="348" t="str">
        <f t="shared" si="106"/>
        <v/>
      </c>
      <c r="T788" s="348" t="str">
        <f t="shared" si="107"/>
        <v/>
      </c>
      <c r="U788" s="348" t="str">
        <f t="shared" si="108"/>
        <v/>
      </c>
      <c r="V788" s="348" t="str">
        <f t="shared" si="109"/>
        <v/>
      </c>
      <c r="W788" s="348" t="str">
        <f t="shared" si="110"/>
        <v/>
      </c>
      <c r="X788" s="348" t="str">
        <f t="shared" si="111"/>
        <v/>
      </c>
    </row>
    <row r="789" spans="1:24" x14ac:dyDescent="0.2">
      <c r="A789" s="407">
        <v>781</v>
      </c>
      <c r="B789" s="437"/>
      <c r="C789" s="438"/>
      <c r="D789" s="438"/>
      <c r="E789" s="438"/>
      <c r="F789" s="438"/>
      <c r="G789" s="438"/>
      <c r="H789" s="438"/>
      <c r="I789" s="438"/>
      <c r="J789" s="11"/>
      <c r="Q789" s="348" t="str">
        <f t="shared" si="104"/>
        <v/>
      </c>
      <c r="R789" s="348" t="str">
        <f t="shared" si="105"/>
        <v/>
      </c>
      <c r="S789" s="348" t="str">
        <f t="shared" si="106"/>
        <v/>
      </c>
      <c r="T789" s="348" t="str">
        <f t="shared" si="107"/>
        <v/>
      </c>
      <c r="U789" s="348" t="str">
        <f t="shared" si="108"/>
        <v/>
      </c>
      <c r="V789" s="348" t="str">
        <f t="shared" si="109"/>
        <v/>
      </c>
      <c r="W789" s="348" t="str">
        <f t="shared" si="110"/>
        <v/>
      </c>
      <c r="X789" s="348" t="str">
        <f t="shared" si="111"/>
        <v/>
      </c>
    </row>
    <row r="790" spans="1:24" x14ac:dyDescent="0.2">
      <c r="A790" s="407">
        <v>782</v>
      </c>
      <c r="B790" s="438"/>
      <c r="C790" s="438"/>
      <c r="D790" s="438"/>
      <c r="E790" s="438"/>
      <c r="F790" s="438"/>
      <c r="G790" s="438"/>
      <c r="H790" s="438"/>
      <c r="I790" s="438"/>
      <c r="J790" s="11"/>
      <c r="Q790" s="348" t="str">
        <f t="shared" si="104"/>
        <v/>
      </c>
      <c r="R790" s="348" t="str">
        <f t="shared" si="105"/>
        <v/>
      </c>
      <c r="S790" s="348" t="str">
        <f t="shared" si="106"/>
        <v/>
      </c>
      <c r="T790" s="348" t="str">
        <f t="shared" si="107"/>
        <v/>
      </c>
      <c r="U790" s="348" t="str">
        <f t="shared" si="108"/>
        <v/>
      </c>
      <c r="V790" s="348" t="str">
        <f t="shared" si="109"/>
        <v/>
      </c>
      <c r="W790" s="348" t="str">
        <f t="shared" si="110"/>
        <v/>
      </c>
      <c r="X790" s="348" t="str">
        <f t="shared" si="111"/>
        <v/>
      </c>
    </row>
    <row r="791" spans="1:24" x14ac:dyDescent="0.2">
      <c r="A791" s="407">
        <v>783</v>
      </c>
      <c r="B791" s="438"/>
      <c r="C791" s="438"/>
      <c r="D791" s="438"/>
      <c r="E791" s="438"/>
      <c r="F791" s="438"/>
      <c r="G791" s="438"/>
      <c r="H791" s="438"/>
      <c r="I791" s="438"/>
      <c r="J791" s="11"/>
      <c r="Q791" s="348" t="str">
        <f t="shared" si="104"/>
        <v/>
      </c>
      <c r="R791" s="348" t="str">
        <f t="shared" si="105"/>
        <v/>
      </c>
      <c r="S791" s="348" t="str">
        <f t="shared" si="106"/>
        <v/>
      </c>
      <c r="T791" s="348" t="str">
        <f t="shared" si="107"/>
        <v/>
      </c>
      <c r="U791" s="348" t="str">
        <f t="shared" si="108"/>
        <v/>
      </c>
      <c r="V791" s="348" t="str">
        <f t="shared" si="109"/>
        <v/>
      </c>
      <c r="W791" s="348" t="str">
        <f t="shared" si="110"/>
        <v/>
      </c>
      <c r="X791" s="348" t="str">
        <f t="shared" si="111"/>
        <v/>
      </c>
    </row>
    <row r="792" spans="1:24" x14ac:dyDescent="0.2">
      <c r="A792" s="407">
        <v>784</v>
      </c>
      <c r="B792" s="438"/>
      <c r="C792" s="438"/>
      <c r="D792" s="438"/>
      <c r="E792" s="438"/>
      <c r="F792" s="438"/>
      <c r="G792" s="438"/>
      <c r="H792" s="438"/>
      <c r="I792" s="438"/>
      <c r="J792" s="11"/>
      <c r="Q792" s="348" t="str">
        <f t="shared" si="104"/>
        <v/>
      </c>
      <c r="R792" s="348" t="str">
        <f t="shared" si="105"/>
        <v/>
      </c>
      <c r="S792" s="348" t="str">
        <f t="shared" si="106"/>
        <v/>
      </c>
      <c r="T792" s="348" t="str">
        <f t="shared" si="107"/>
        <v/>
      </c>
      <c r="U792" s="348" t="str">
        <f t="shared" si="108"/>
        <v/>
      </c>
      <c r="V792" s="348" t="str">
        <f t="shared" si="109"/>
        <v/>
      </c>
      <c r="W792" s="348" t="str">
        <f t="shared" si="110"/>
        <v/>
      </c>
      <c r="X792" s="348" t="str">
        <f t="shared" si="111"/>
        <v/>
      </c>
    </row>
    <row r="793" spans="1:24" x14ac:dyDescent="0.2">
      <c r="A793" s="407">
        <v>785</v>
      </c>
      <c r="B793" s="438"/>
      <c r="C793" s="438"/>
      <c r="D793" s="438"/>
      <c r="E793" s="438"/>
      <c r="F793" s="438"/>
      <c r="G793" s="438"/>
      <c r="H793" s="438"/>
      <c r="I793" s="438"/>
      <c r="J793" s="11"/>
      <c r="Q793" s="348" t="str">
        <f t="shared" si="104"/>
        <v/>
      </c>
      <c r="R793" s="348" t="str">
        <f t="shared" si="105"/>
        <v/>
      </c>
      <c r="S793" s="348" t="str">
        <f t="shared" si="106"/>
        <v/>
      </c>
      <c r="T793" s="348" t="str">
        <f t="shared" si="107"/>
        <v/>
      </c>
      <c r="U793" s="348" t="str">
        <f t="shared" si="108"/>
        <v/>
      </c>
      <c r="V793" s="348" t="str">
        <f t="shared" si="109"/>
        <v/>
      </c>
      <c r="W793" s="348" t="str">
        <f t="shared" si="110"/>
        <v/>
      </c>
      <c r="X793" s="348" t="str">
        <f t="shared" si="111"/>
        <v/>
      </c>
    </row>
    <row r="794" spans="1:24" x14ac:dyDescent="0.2">
      <c r="A794" s="407">
        <v>786</v>
      </c>
      <c r="B794" s="438"/>
      <c r="C794" s="438"/>
      <c r="D794" s="438"/>
      <c r="E794" s="438"/>
      <c r="F794" s="438"/>
      <c r="G794" s="438"/>
      <c r="H794" s="438"/>
      <c r="I794" s="438"/>
      <c r="J794" s="11"/>
      <c r="Q794" s="348" t="str">
        <f t="shared" si="104"/>
        <v/>
      </c>
      <c r="R794" s="348" t="str">
        <f t="shared" si="105"/>
        <v/>
      </c>
      <c r="S794" s="348" t="str">
        <f t="shared" si="106"/>
        <v/>
      </c>
      <c r="T794" s="348" t="str">
        <f t="shared" si="107"/>
        <v/>
      </c>
      <c r="U794" s="348" t="str">
        <f t="shared" si="108"/>
        <v/>
      </c>
      <c r="V794" s="348" t="str">
        <f t="shared" si="109"/>
        <v/>
      </c>
      <c r="W794" s="348" t="str">
        <f t="shared" si="110"/>
        <v/>
      </c>
      <c r="X794" s="348" t="str">
        <f t="shared" si="111"/>
        <v/>
      </c>
    </row>
    <row r="795" spans="1:24" x14ac:dyDescent="0.2">
      <c r="A795" s="407">
        <v>787</v>
      </c>
      <c r="B795" s="438"/>
      <c r="C795" s="438"/>
      <c r="D795" s="438"/>
      <c r="E795" s="438"/>
      <c r="F795" s="438"/>
      <c r="G795" s="438"/>
      <c r="H795" s="438"/>
      <c r="I795" s="438"/>
      <c r="J795" s="11"/>
      <c r="Q795" s="348" t="str">
        <f t="shared" si="104"/>
        <v/>
      </c>
      <c r="R795" s="348" t="str">
        <f t="shared" si="105"/>
        <v/>
      </c>
      <c r="S795" s="348" t="str">
        <f t="shared" si="106"/>
        <v/>
      </c>
      <c r="T795" s="348" t="str">
        <f t="shared" si="107"/>
        <v/>
      </c>
      <c r="U795" s="348" t="str">
        <f t="shared" si="108"/>
        <v/>
      </c>
      <c r="V795" s="348" t="str">
        <f t="shared" si="109"/>
        <v/>
      </c>
      <c r="W795" s="348" t="str">
        <f t="shared" si="110"/>
        <v/>
      </c>
      <c r="X795" s="348" t="str">
        <f t="shared" si="111"/>
        <v/>
      </c>
    </row>
    <row r="796" spans="1:24" x14ac:dyDescent="0.2">
      <c r="A796" s="407">
        <v>788</v>
      </c>
      <c r="B796" s="438"/>
      <c r="C796" s="438"/>
      <c r="D796" s="438"/>
      <c r="E796" s="438"/>
      <c r="F796" s="438"/>
      <c r="G796" s="438"/>
      <c r="H796" s="438"/>
      <c r="I796" s="438"/>
      <c r="J796" s="11"/>
      <c r="Q796" s="348" t="str">
        <f t="shared" si="104"/>
        <v/>
      </c>
      <c r="R796" s="348" t="str">
        <f t="shared" si="105"/>
        <v/>
      </c>
      <c r="S796" s="348" t="str">
        <f t="shared" si="106"/>
        <v/>
      </c>
      <c r="T796" s="348" t="str">
        <f t="shared" si="107"/>
        <v/>
      </c>
      <c r="U796" s="348" t="str">
        <f t="shared" si="108"/>
        <v/>
      </c>
      <c r="V796" s="348" t="str">
        <f t="shared" si="109"/>
        <v/>
      </c>
      <c r="W796" s="348" t="str">
        <f t="shared" si="110"/>
        <v/>
      </c>
      <c r="X796" s="348" t="str">
        <f t="shared" si="111"/>
        <v/>
      </c>
    </row>
    <row r="797" spans="1:24" x14ac:dyDescent="0.2">
      <c r="A797" s="407">
        <v>789</v>
      </c>
      <c r="B797" s="438"/>
      <c r="C797" s="438"/>
      <c r="D797" s="437"/>
      <c r="E797" s="438"/>
      <c r="F797" s="438"/>
      <c r="G797" s="438"/>
      <c r="H797" s="438"/>
      <c r="I797" s="437"/>
      <c r="J797" s="11"/>
      <c r="Q797" s="348" t="str">
        <f t="shared" si="104"/>
        <v/>
      </c>
      <c r="R797" s="348" t="str">
        <f t="shared" si="105"/>
        <v/>
      </c>
      <c r="S797" s="348" t="str">
        <f t="shared" si="106"/>
        <v/>
      </c>
      <c r="T797" s="348" t="str">
        <f t="shared" si="107"/>
        <v/>
      </c>
      <c r="U797" s="348" t="str">
        <f t="shared" si="108"/>
        <v/>
      </c>
      <c r="V797" s="348" t="str">
        <f t="shared" si="109"/>
        <v/>
      </c>
      <c r="W797" s="348" t="str">
        <f t="shared" si="110"/>
        <v/>
      </c>
      <c r="X797" s="348" t="str">
        <f t="shared" si="111"/>
        <v/>
      </c>
    </row>
    <row r="798" spans="1:24" x14ac:dyDescent="0.2">
      <c r="A798" s="407">
        <v>790</v>
      </c>
      <c r="B798" s="438"/>
      <c r="C798" s="438"/>
      <c r="D798" s="438"/>
      <c r="E798" s="438"/>
      <c r="F798" s="438"/>
      <c r="G798" s="438"/>
      <c r="H798" s="438"/>
      <c r="I798" s="438"/>
      <c r="J798" s="11"/>
      <c r="Q798" s="348" t="str">
        <f t="shared" si="104"/>
        <v/>
      </c>
      <c r="R798" s="348" t="str">
        <f t="shared" si="105"/>
        <v/>
      </c>
      <c r="S798" s="348" t="str">
        <f t="shared" si="106"/>
        <v/>
      </c>
      <c r="T798" s="348" t="str">
        <f t="shared" si="107"/>
        <v/>
      </c>
      <c r="U798" s="348" t="str">
        <f t="shared" si="108"/>
        <v/>
      </c>
      <c r="V798" s="348" t="str">
        <f t="shared" si="109"/>
        <v/>
      </c>
      <c r="W798" s="348" t="str">
        <f t="shared" si="110"/>
        <v/>
      </c>
      <c r="X798" s="348" t="str">
        <f t="shared" si="111"/>
        <v/>
      </c>
    </row>
    <row r="799" spans="1:24" x14ac:dyDescent="0.2">
      <c r="A799" s="407">
        <v>791</v>
      </c>
      <c r="B799" s="438"/>
      <c r="C799" s="438"/>
      <c r="D799" s="438"/>
      <c r="E799" s="438"/>
      <c r="F799" s="438"/>
      <c r="G799" s="438"/>
      <c r="H799" s="438"/>
      <c r="I799" s="438"/>
      <c r="J799" s="11"/>
      <c r="Q799" s="348" t="str">
        <f t="shared" si="104"/>
        <v/>
      </c>
      <c r="R799" s="348" t="str">
        <f t="shared" si="105"/>
        <v/>
      </c>
      <c r="S799" s="348" t="str">
        <f t="shared" si="106"/>
        <v/>
      </c>
      <c r="T799" s="348" t="str">
        <f t="shared" si="107"/>
        <v/>
      </c>
      <c r="U799" s="348" t="str">
        <f t="shared" si="108"/>
        <v/>
      </c>
      <c r="V799" s="348" t="str">
        <f t="shared" si="109"/>
        <v/>
      </c>
      <c r="W799" s="348" t="str">
        <f t="shared" si="110"/>
        <v/>
      </c>
      <c r="X799" s="348" t="str">
        <f t="shared" si="111"/>
        <v/>
      </c>
    </row>
    <row r="800" spans="1:24" x14ac:dyDescent="0.2">
      <c r="A800" s="407">
        <v>792</v>
      </c>
      <c r="B800" s="438"/>
      <c r="C800" s="438"/>
      <c r="D800" s="438"/>
      <c r="E800" s="438"/>
      <c r="F800" s="438"/>
      <c r="G800" s="438"/>
      <c r="H800" s="438"/>
      <c r="I800" s="438"/>
      <c r="J800" s="11"/>
      <c r="Q800" s="348" t="str">
        <f t="shared" si="104"/>
        <v/>
      </c>
      <c r="R800" s="348" t="str">
        <f t="shared" si="105"/>
        <v/>
      </c>
      <c r="S800" s="348" t="str">
        <f t="shared" si="106"/>
        <v/>
      </c>
      <c r="T800" s="348" t="str">
        <f t="shared" si="107"/>
        <v/>
      </c>
      <c r="U800" s="348" t="str">
        <f t="shared" si="108"/>
        <v/>
      </c>
      <c r="V800" s="348" t="str">
        <f t="shared" si="109"/>
        <v/>
      </c>
      <c r="W800" s="348" t="str">
        <f t="shared" si="110"/>
        <v/>
      </c>
      <c r="X800" s="348" t="str">
        <f t="shared" si="111"/>
        <v/>
      </c>
    </row>
    <row r="801" spans="1:24" x14ac:dyDescent="0.2">
      <c r="A801" s="407">
        <v>793</v>
      </c>
      <c r="B801" s="438"/>
      <c r="C801" s="437"/>
      <c r="D801" s="438"/>
      <c r="E801" s="438"/>
      <c r="F801" s="438"/>
      <c r="G801" s="438"/>
      <c r="H801" s="438"/>
      <c r="I801" s="438"/>
      <c r="J801" s="11"/>
      <c r="Q801" s="348" t="str">
        <f t="shared" si="104"/>
        <v/>
      </c>
      <c r="R801" s="348" t="str">
        <f t="shared" si="105"/>
        <v/>
      </c>
      <c r="S801" s="348" t="str">
        <f t="shared" si="106"/>
        <v/>
      </c>
      <c r="T801" s="348" t="str">
        <f t="shared" si="107"/>
        <v/>
      </c>
      <c r="U801" s="348" t="str">
        <f t="shared" si="108"/>
        <v/>
      </c>
      <c r="V801" s="348" t="str">
        <f t="shared" si="109"/>
        <v/>
      </c>
      <c r="W801" s="348" t="str">
        <f t="shared" si="110"/>
        <v/>
      </c>
      <c r="X801" s="348" t="str">
        <f t="shared" si="111"/>
        <v/>
      </c>
    </row>
    <row r="802" spans="1:24" x14ac:dyDescent="0.2">
      <c r="A802" s="407">
        <v>794</v>
      </c>
      <c r="B802" s="438"/>
      <c r="C802" s="438"/>
      <c r="D802" s="438"/>
      <c r="E802" s="437"/>
      <c r="F802" s="438"/>
      <c r="G802" s="438"/>
      <c r="H802" s="438"/>
      <c r="I802" s="438"/>
      <c r="J802" s="11"/>
      <c r="Q802" s="348" t="str">
        <f t="shared" si="104"/>
        <v/>
      </c>
      <c r="R802" s="348" t="str">
        <f t="shared" si="105"/>
        <v/>
      </c>
      <c r="S802" s="348" t="str">
        <f t="shared" si="106"/>
        <v/>
      </c>
      <c r="T802" s="348" t="str">
        <f t="shared" si="107"/>
        <v/>
      </c>
      <c r="U802" s="348" t="str">
        <f t="shared" si="108"/>
        <v/>
      </c>
      <c r="V802" s="348" t="str">
        <f t="shared" si="109"/>
        <v/>
      </c>
      <c r="W802" s="348" t="str">
        <f t="shared" si="110"/>
        <v/>
      </c>
      <c r="X802" s="348" t="str">
        <f t="shared" si="111"/>
        <v/>
      </c>
    </row>
    <row r="803" spans="1:24" x14ac:dyDescent="0.2">
      <c r="A803" s="407">
        <v>795</v>
      </c>
      <c r="B803" s="438"/>
      <c r="C803" s="438"/>
      <c r="D803" s="438"/>
      <c r="E803" s="438"/>
      <c r="F803" s="438"/>
      <c r="G803" s="438"/>
      <c r="H803" s="438"/>
      <c r="I803" s="438"/>
      <c r="J803" s="11"/>
      <c r="Q803" s="348" t="str">
        <f t="shared" si="104"/>
        <v/>
      </c>
      <c r="R803" s="348" t="str">
        <f t="shared" si="105"/>
        <v/>
      </c>
      <c r="S803" s="348" t="str">
        <f t="shared" si="106"/>
        <v/>
      </c>
      <c r="T803" s="348" t="str">
        <f t="shared" si="107"/>
        <v/>
      </c>
      <c r="U803" s="348" t="str">
        <f t="shared" si="108"/>
        <v/>
      </c>
      <c r="V803" s="348" t="str">
        <f t="shared" si="109"/>
        <v/>
      </c>
      <c r="W803" s="348" t="str">
        <f t="shared" si="110"/>
        <v/>
      </c>
      <c r="X803" s="348" t="str">
        <f t="shared" si="111"/>
        <v/>
      </c>
    </row>
    <row r="804" spans="1:24" x14ac:dyDescent="0.2">
      <c r="A804" s="407">
        <v>796</v>
      </c>
      <c r="B804" s="438"/>
      <c r="C804" s="438"/>
      <c r="D804" s="438"/>
      <c r="E804" s="438"/>
      <c r="F804" s="438"/>
      <c r="G804" s="438"/>
      <c r="H804" s="438"/>
      <c r="I804" s="438"/>
      <c r="J804" s="11"/>
      <c r="Q804" s="348" t="str">
        <f t="shared" si="104"/>
        <v/>
      </c>
      <c r="R804" s="348" t="str">
        <f t="shared" si="105"/>
        <v/>
      </c>
      <c r="S804" s="348" t="str">
        <f t="shared" si="106"/>
        <v/>
      </c>
      <c r="T804" s="348" t="str">
        <f t="shared" si="107"/>
        <v/>
      </c>
      <c r="U804" s="348" t="str">
        <f t="shared" si="108"/>
        <v/>
      </c>
      <c r="V804" s="348" t="str">
        <f t="shared" si="109"/>
        <v/>
      </c>
      <c r="W804" s="348" t="str">
        <f t="shared" si="110"/>
        <v/>
      </c>
      <c r="X804" s="348" t="str">
        <f t="shared" si="111"/>
        <v/>
      </c>
    </row>
    <row r="805" spans="1:24" x14ac:dyDescent="0.2">
      <c r="A805" s="407">
        <v>797</v>
      </c>
      <c r="B805" s="438"/>
      <c r="C805" s="438"/>
      <c r="D805" s="438"/>
      <c r="E805" s="438"/>
      <c r="F805" s="438"/>
      <c r="G805" s="438"/>
      <c r="H805" s="438"/>
      <c r="I805" s="438"/>
      <c r="J805" s="11"/>
      <c r="Q805" s="348" t="str">
        <f t="shared" si="104"/>
        <v/>
      </c>
      <c r="R805" s="348" t="str">
        <f t="shared" si="105"/>
        <v/>
      </c>
      <c r="S805" s="348" t="str">
        <f t="shared" si="106"/>
        <v/>
      </c>
      <c r="T805" s="348" t="str">
        <f t="shared" si="107"/>
        <v/>
      </c>
      <c r="U805" s="348" t="str">
        <f t="shared" si="108"/>
        <v/>
      </c>
      <c r="V805" s="348" t="str">
        <f t="shared" si="109"/>
        <v/>
      </c>
      <c r="W805" s="348" t="str">
        <f t="shared" si="110"/>
        <v/>
      </c>
      <c r="X805" s="348" t="str">
        <f t="shared" si="111"/>
        <v/>
      </c>
    </row>
    <row r="806" spans="1:24" x14ac:dyDescent="0.2">
      <c r="A806" s="407">
        <v>798</v>
      </c>
      <c r="B806" s="438"/>
      <c r="C806" s="438"/>
      <c r="D806" s="438"/>
      <c r="E806" s="438"/>
      <c r="F806" s="438"/>
      <c r="G806" s="438"/>
      <c r="H806" s="438"/>
      <c r="I806" s="438"/>
      <c r="J806" s="11"/>
      <c r="Q806" s="348" t="str">
        <f t="shared" si="104"/>
        <v/>
      </c>
      <c r="R806" s="348" t="str">
        <f t="shared" si="105"/>
        <v/>
      </c>
      <c r="S806" s="348" t="str">
        <f t="shared" si="106"/>
        <v/>
      </c>
      <c r="T806" s="348" t="str">
        <f t="shared" si="107"/>
        <v/>
      </c>
      <c r="U806" s="348" t="str">
        <f t="shared" si="108"/>
        <v/>
      </c>
      <c r="V806" s="348" t="str">
        <f t="shared" si="109"/>
        <v/>
      </c>
      <c r="W806" s="348" t="str">
        <f t="shared" si="110"/>
        <v/>
      </c>
      <c r="X806" s="348" t="str">
        <f t="shared" si="111"/>
        <v/>
      </c>
    </row>
    <row r="807" spans="1:24" x14ac:dyDescent="0.2">
      <c r="A807" s="407">
        <v>799</v>
      </c>
      <c r="B807" s="438"/>
      <c r="C807" s="438"/>
      <c r="D807" s="438"/>
      <c r="E807" s="438"/>
      <c r="F807" s="438"/>
      <c r="G807" s="437"/>
      <c r="H807" s="438"/>
      <c r="I807" s="438"/>
      <c r="J807" s="11"/>
      <c r="Q807" s="348" t="str">
        <f t="shared" si="104"/>
        <v/>
      </c>
      <c r="R807" s="348" t="str">
        <f t="shared" si="105"/>
        <v/>
      </c>
      <c r="S807" s="348" t="str">
        <f t="shared" si="106"/>
        <v/>
      </c>
      <c r="T807" s="348" t="str">
        <f t="shared" si="107"/>
        <v/>
      </c>
      <c r="U807" s="348" t="str">
        <f t="shared" si="108"/>
        <v/>
      </c>
      <c r="V807" s="348" t="str">
        <f t="shared" si="109"/>
        <v/>
      </c>
      <c r="W807" s="348" t="str">
        <f t="shared" si="110"/>
        <v/>
      </c>
      <c r="X807" s="348" t="str">
        <f t="shared" si="111"/>
        <v/>
      </c>
    </row>
    <row r="808" spans="1:24" x14ac:dyDescent="0.2">
      <c r="A808" s="407">
        <v>800</v>
      </c>
      <c r="B808" s="437"/>
      <c r="C808" s="438"/>
      <c r="D808" s="438"/>
      <c r="E808" s="438"/>
      <c r="F808" s="438"/>
      <c r="G808" s="438"/>
      <c r="H808" s="438"/>
      <c r="I808" s="438"/>
      <c r="J808" s="11"/>
      <c r="Q808" s="348" t="str">
        <f t="shared" si="104"/>
        <v/>
      </c>
      <c r="R808" s="348" t="str">
        <f t="shared" si="105"/>
        <v/>
      </c>
      <c r="S808" s="348" t="str">
        <f t="shared" si="106"/>
        <v/>
      </c>
      <c r="T808" s="348" t="str">
        <f t="shared" si="107"/>
        <v/>
      </c>
      <c r="U808" s="348" t="str">
        <f t="shared" si="108"/>
        <v/>
      </c>
      <c r="V808" s="348" t="str">
        <f t="shared" si="109"/>
        <v/>
      </c>
      <c r="W808" s="348" t="str">
        <f t="shared" si="110"/>
        <v/>
      </c>
      <c r="X808" s="348" t="str">
        <f t="shared" si="111"/>
        <v/>
      </c>
    </row>
    <row r="809" spans="1:24" x14ac:dyDescent="0.2">
      <c r="A809" s="407">
        <v>801</v>
      </c>
      <c r="B809" s="438"/>
      <c r="C809" s="437"/>
      <c r="D809" s="438"/>
      <c r="E809" s="437"/>
      <c r="F809" s="437"/>
      <c r="G809" s="437"/>
      <c r="H809" s="437"/>
      <c r="I809" s="438"/>
      <c r="J809" s="11"/>
      <c r="Q809" s="348" t="str">
        <f t="shared" si="104"/>
        <v/>
      </c>
      <c r="R809" s="348" t="str">
        <f t="shared" si="105"/>
        <v/>
      </c>
      <c r="S809" s="348" t="str">
        <f t="shared" si="106"/>
        <v/>
      </c>
      <c r="T809" s="348" t="str">
        <f t="shared" si="107"/>
        <v/>
      </c>
      <c r="U809" s="348" t="str">
        <f t="shared" si="108"/>
        <v/>
      </c>
      <c r="V809" s="348" t="str">
        <f t="shared" si="109"/>
        <v/>
      </c>
      <c r="W809" s="348" t="str">
        <f t="shared" si="110"/>
        <v/>
      </c>
      <c r="X809" s="348" t="str">
        <f t="shared" si="111"/>
        <v/>
      </c>
    </row>
    <row r="810" spans="1:24" x14ac:dyDescent="0.2">
      <c r="A810" s="407">
        <v>802</v>
      </c>
      <c r="B810" s="438"/>
      <c r="C810" s="438"/>
      <c r="D810" s="438"/>
      <c r="E810" s="438"/>
      <c r="F810" s="438"/>
      <c r="G810" s="438"/>
      <c r="H810" s="438"/>
      <c r="I810" s="438"/>
      <c r="J810" s="11"/>
      <c r="Q810" s="348" t="str">
        <f t="shared" si="104"/>
        <v/>
      </c>
      <c r="R810" s="348" t="str">
        <f t="shared" si="105"/>
        <v/>
      </c>
      <c r="S810" s="348" t="str">
        <f t="shared" si="106"/>
        <v/>
      </c>
      <c r="T810" s="348" t="str">
        <f t="shared" si="107"/>
        <v/>
      </c>
      <c r="U810" s="348" t="str">
        <f t="shared" si="108"/>
        <v/>
      </c>
      <c r="V810" s="348" t="str">
        <f t="shared" si="109"/>
        <v/>
      </c>
      <c r="W810" s="348" t="str">
        <f t="shared" si="110"/>
        <v/>
      </c>
      <c r="X810" s="348" t="str">
        <f t="shared" si="111"/>
        <v/>
      </c>
    </row>
    <row r="811" spans="1:24" x14ac:dyDescent="0.2">
      <c r="A811" s="407">
        <v>803</v>
      </c>
      <c r="B811" s="438"/>
      <c r="C811" s="438"/>
      <c r="D811" s="438"/>
      <c r="E811" s="438"/>
      <c r="F811" s="438"/>
      <c r="G811" s="438"/>
      <c r="H811" s="438"/>
      <c r="I811" s="438"/>
      <c r="J811" s="11"/>
      <c r="Q811" s="348" t="str">
        <f t="shared" si="104"/>
        <v/>
      </c>
      <c r="R811" s="348" t="str">
        <f t="shared" si="105"/>
        <v/>
      </c>
      <c r="S811" s="348" t="str">
        <f t="shared" si="106"/>
        <v/>
      </c>
      <c r="T811" s="348" t="str">
        <f t="shared" si="107"/>
        <v/>
      </c>
      <c r="U811" s="348" t="str">
        <f t="shared" si="108"/>
        <v/>
      </c>
      <c r="V811" s="348" t="str">
        <f t="shared" si="109"/>
        <v/>
      </c>
      <c r="W811" s="348" t="str">
        <f t="shared" si="110"/>
        <v/>
      </c>
      <c r="X811" s="348" t="str">
        <f t="shared" si="111"/>
        <v/>
      </c>
    </row>
    <row r="812" spans="1:24" x14ac:dyDescent="0.2">
      <c r="A812" s="407">
        <v>804</v>
      </c>
      <c r="B812" s="438"/>
      <c r="C812" s="438"/>
      <c r="D812" s="438"/>
      <c r="E812" s="438"/>
      <c r="F812" s="438"/>
      <c r="G812" s="438"/>
      <c r="H812" s="438"/>
      <c r="I812" s="438"/>
      <c r="J812" s="11"/>
      <c r="Q812" s="348" t="str">
        <f t="shared" si="104"/>
        <v/>
      </c>
      <c r="R812" s="348" t="str">
        <f t="shared" si="105"/>
        <v/>
      </c>
      <c r="S812" s="348" t="str">
        <f t="shared" si="106"/>
        <v/>
      </c>
      <c r="T812" s="348" t="str">
        <f t="shared" si="107"/>
        <v/>
      </c>
      <c r="U812" s="348" t="str">
        <f t="shared" si="108"/>
        <v/>
      </c>
      <c r="V812" s="348" t="str">
        <f t="shared" si="109"/>
        <v/>
      </c>
      <c r="W812" s="348" t="str">
        <f t="shared" si="110"/>
        <v/>
      </c>
      <c r="X812" s="348" t="str">
        <f t="shared" si="111"/>
        <v/>
      </c>
    </row>
    <row r="813" spans="1:24" x14ac:dyDescent="0.2">
      <c r="A813" s="407">
        <v>805</v>
      </c>
      <c r="B813" s="438"/>
      <c r="C813" s="438"/>
      <c r="D813" s="438"/>
      <c r="E813" s="438"/>
      <c r="F813" s="438"/>
      <c r="G813" s="438"/>
      <c r="H813" s="438"/>
      <c r="I813" s="438"/>
      <c r="J813" s="11"/>
      <c r="Q813" s="348" t="str">
        <f t="shared" si="104"/>
        <v/>
      </c>
      <c r="R813" s="348" t="str">
        <f t="shared" si="105"/>
        <v/>
      </c>
      <c r="S813" s="348" t="str">
        <f t="shared" si="106"/>
        <v/>
      </c>
      <c r="T813" s="348" t="str">
        <f t="shared" si="107"/>
        <v/>
      </c>
      <c r="U813" s="348" t="str">
        <f t="shared" si="108"/>
        <v/>
      </c>
      <c r="V813" s="348" t="str">
        <f t="shared" si="109"/>
        <v/>
      </c>
      <c r="W813" s="348" t="str">
        <f t="shared" si="110"/>
        <v/>
      </c>
      <c r="X813" s="348" t="str">
        <f t="shared" si="111"/>
        <v/>
      </c>
    </row>
    <row r="814" spans="1:24" x14ac:dyDescent="0.2">
      <c r="A814" s="407">
        <v>806</v>
      </c>
      <c r="B814" s="438"/>
      <c r="C814" s="438"/>
      <c r="D814" s="438"/>
      <c r="E814" s="438"/>
      <c r="F814" s="438"/>
      <c r="G814" s="438"/>
      <c r="H814" s="438"/>
      <c r="I814" s="438"/>
      <c r="J814" s="11"/>
      <c r="Q814" s="348" t="str">
        <f t="shared" si="104"/>
        <v/>
      </c>
      <c r="R814" s="348" t="str">
        <f t="shared" si="105"/>
        <v/>
      </c>
      <c r="S814" s="348" t="str">
        <f t="shared" si="106"/>
        <v/>
      </c>
      <c r="T814" s="348" t="str">
        <f t="shared" si="107"/>
        <v/>
      </c>
      <c r="U814" s="348" t="str">
        <f t="shared" si="108"/>
        <v/>
      </c>
      <c r="V814" s="348" t="str">
        <f t="shared" si="109"/>
        <v/>
      </c>
      <c r="W814" s="348" t="str">
        <f t="shared" si="110"/>
        <v/>
      </c>
      <c r="X814" s="348" t="str">
        <f t="shared" si="111"/>
        <v/>
      </c>
    </row>
    <row r="815" spans="1:24" x14ac:dyDescent="0.2">
      <c r="A815" s="407">
        <v>807</v>
      </c>
      <c r="B815" s="438"/>
      <c r="C815" s="438"/>
      <c r="D815" s="438"/>
      <c r="E815" s="438"/>
      <c r="F815" s="438"/>
      <c r="G815" s="438"/>
      <c r="H815" s="438"/>
      <c r="I815" s="438"/>
      <c r="J815" s="11"/>
      <c r="Q815" s="348" t="str">
        <f t="shared" si="104"/>
        <v/>
      </c>
      <c r="R815" s="348" t="str">
        <f t="shared" si="105"/>
        <v/>
      </c>
      <c r="S815" s="348" t="str">
        <f t="shared" si="106"/>
        <v/>
      </c>
      <c r="T815" s="348" t="str">
        <f t="shared" si="107"/>
        <v/>
      </c>
      <c r="U815" s="348" t="str">
        <f t="shared" si="108"/>
        <v/>
      </c>
      <c r="V815" s="348" t="str">
        <f t="shared" si="109"/>
        <v/>
      </c>
      <c r="W815" s="348" t="str">
        <f t="shared" si="110"/>
        <v/>
      </c>
      <c r="X815" s="348" t="str">
        <f t="shared" si="111"/>
        <v/>
      </c>
    </row>
    <row r="816" spans="1:24" x14ac:dyDescent="0.2">
      <c r="A816" s="407">
        <v>808</v>
      </c>
      <c r="B816" s="438"/>
      <c r="C816" s="438"/>
      <c r="D816" s="438"/>
      <c r="E816" s="438"/>
      <c r="F816" s="438"/>
      <c r="G816" s="438"/>
      <c r="H816" s="438"/>
      <c r="I816" s="438"/>
      <c r="J816" s="11"/>
      <c r="Q816" s="348" t="str">
        <f t="shared" si="104"/>
        <v/>
      </c>
      <c r="R816" s="348" t="str">
        <f t="shared" si="105"/>
        <v/>
      </c>
      <c r="S816" s="348" t="str">
        <f t="shared" si="106"/>
        <v/>
      </c>
      <c r="T816" s="348" t="str">
        <f t="shared" si="107"/>
        <v/>
      </c>
      <c r="U816" s="348" t="str">
        <f t="shared" si="108"/>
        <v/>
      </c>
      <c r="V816" s="348" t="str">
        <f t="shared" si="109"/>
        <v/>
      </c>
      <c r="W816" s="348" t="str">
        <f t="shared" si="110"/>
        <v/>
      </c>
      <c r="X816" s="348" t="str">
        <f t="shared" si="111"/>
        <v/>
      </c>
    </row>
    <row r="817" spans="1:24" x14ac:dyDescent="0.2">
      <c r="A817" s="407">
        <v>809</v>
      </c>
      <c r="B817" s="438"/>
      <c r="C817" s="438"/>
      <c r="D817" s="438"/>
      <c r="E817" s="438"/>
      <c r="F817" s="438"/>
      <c r="G817" s="438"/>
      <c r="H817" s="438"/>
      <c r="I817" s="438"/>
      <c r="J817" s="11"/>
      <c r="Q817" s="348" t="str">
        <f t="shared" si="104"/>
        <v/>
      </c>
      <c r="R817" s="348" t="str">
        <f t="shared" si="105"/>
        <v/>
      </c>
      <c r="S817" s="348" t="str">
        <f t="shared" si="106"/>
        <v/>
      </c>
      <c r="T817" s="348" t="str">
        <f t="shared" si="107"/>
        <v/>
      </c>
      <c r="U817" s="348" t="str">
        <f t="shared" si="108"/>
        <v/>
      </c>
      <c r="V817" s="348" t="str">
        <f t="shared" si="109"/>
        <v/>
      </c>
      <c r="W817" s="348" t="str">
        <f t="shared" si="110"/>
        <v/>
      </c>
      <c r="X817" s="348" t="str">
        <f t="shared" si="111"/>
        <v/>
      </c>
    </row>
    <row r="818" spans="1:24" x14ac:dyDescent="0.2">
      <c r="A818" s="407">
        <v>810</v>
      </c>
      <c r="B818" s="437"/>
      <c r="C818" s="438"/>
      <c r="D818" s="438"/>
      <c r="E818" s="438"/>
      <c r="F818" s="438"/>
      <c r="G818" s="438"/>
      <c r="H818" s="438"/>
      <c r="I818" s="438"/>
      <c r="J818" s="11"/>
      <c r="Q818" s="348" t="str">
        <f t="shared" si="104"/>
        <v/>
      </c>
      <c r="R818" s="348" t="str">
        <f t="shared" si="105"/>
        <v/>
      </c>
      <c r="S818" s="348" t="str">
        <f t="shared" si="106"/>
        <v/>
      </c>
      <c r="T818" s="348" t="str">
        <f t="shared" si="107"/>
        <v/>
      </c>
      <c r="U818" s="348" t="str">
        <f t="shared" si="108"/>
        <v/>
      </c>
      <c r="V818" s="348" t="str">
        <f t="shared" si="109"/>
        <v/>
      </c>
      <c r="W818" s="348" t="str">
        <f t="shared" si="110"/>
        <v/>
      </c>
      <c r="X818" s="348" t="str">
        <f t="shared" si="111"/>
        <v/>
      </c>
    </row>
    <row r="819" spans="1:24" x14ac:dyDescent="0.2">
      <c r="A819" s="407">
        <v>811</v>
      </c>
      <c r="B819" s="438"/>
      <c r="C819" s="438"/>
      <c r="D819" s="438"/>
      <c r="E819" s="438"/>
      <c r="F819" s="438"/>
      <c r="G819" s="438"/>
      <c r="H819" s="438"/>
      <c r="I819" s="438"/>
      <c r="J819" s="11"/>
      <c r="Q819" s="348" t="str">
        <f t="shared" si="104"/>
        <v/>
      </c>
      <c r="R819" s="348" t="str">
        <f t="shared" si="105"/>
        <v/>
      </c>
      <c r="S819" s="348" t="str">
        <f t="shared" si="106"/>
        <v/>
      </c>
      <c r="T819" s="348" t="str">
        <f t="shared" si="107"/>
        <v/>
      </c>
      <c r="U819" s="348" t="str">
        <f t="shared" si="108"/>
        <v/>
      </c>
      <c r="V819" s="348" t="str">
        <f t="shared" si="109"/>
        <v/>
      </c>
      <c r="W819" s="348" t="str">
        <f t="shared" si="110"/>
        <v/>
      </c>
      <c r="X819" s="348" t="str">
        <f t="shared" si="111"/>
        <v/>
      </c>
    </row>
    <row r="820" spans="1:24" x14ac:dyDescent="0.2">
      <c r="A820" s="407">
        <v>812</v>
      </c>
      <c r="B820" s="438"/>
      <c r="C820" s="438"/>
      <c r="D820" s="438"/>
      <c r="E820" s="438"/>
      <c r="F820" s="438"/>
      <c r="G820" s="438"/>
      <c r="H820" s="438"/>
      <c r="I820" s="438"/>
      <c r="J820" s="11"/>
      <c r="Q820" s="348" t="str">
        <f t="shared" si="104"/>
        <v/>
      </c>
      <c r="R820" s="348" t="str">
        <f t="shared" si="105"/>
        <v/>
      </c>
      <c r="S820" s="348" t="str">
        <f t="shared" si="106"/>
        <v/>
      </c>
      <c r="T820" s="348" t="str">
        <f t="shared" si="107"/>
        <v/>
      </c>
      <c r="U820" s="348" t="str">
        <f t="shared" si="108"/>
        <v/>
      </c>
      <c r="V820" s="348" t="str">
        <f t="shared" si="109"/>
        <v/>
      </c>
      <c r="W820" s="348" t="str">
        <f t="shared" si="110"/>
        <v/>
      </c>
      <c r="X820" s="348" t="str">
        <f t="shared" si="111"/>
        <v/>
      </c>
    </row>
    <row r="821" spans="1:24" x14ac:dyDescent="0.2">
      <c r="A821" s="407">
        <v>813</v>
      </c>
      <c r="B821" s="438"/>
      <c r="C821" s="438"/>
      <c r="D821" s="438"/>
      <c r="E821" s="438"/>
      <c r="F821" s="438"/>
      <c r="G821" s="438"/>
      <c r="H821" s="438"/>
      <c r="I821" s="438"/>
      <c r="J821" s="11"/>
      <c r="Q821" s="348" t="str">
        <f t="shared" si="104"/>
        <v/>
      </c>
      <c r="R821" s="348" t="str">
        <f t="shared" si="105"/>
        <v/>
      </c>
      <c r="S821" s="348" t="str">
        <f t="shared" si="106"/>
        <v/>
      </c>
      <c r="T821" s="348" t="str">
        <f t="shared" si="107"/>
        <v/>
      </c>
      <c r="U821" s="348" t="str">
        <f t="shared" si="108"/>
        <v/>
      </c>
      <c r="V821" s="348" t="str">
        <f t="shared" si="109"/>
        <v/>
      </c>
      <c r="W821" s="348" t="str">
        <f t="shared" si="110"/>
        <v/>
      </c>
      <c r="X821" s="348" t="str">
        <f t="shared" si="111"/>
        <v/>
      </c>
    </row>
    <row r="822" spans="1:24" x14ac:dyDescent="0.2">
      <c r="A822" s="407">
        <v>814</v>
      </c>
      <c r="B822" s="438"/>
      <c r="C822" s="438"/>
      <c r="D822" s="438"/>
      <c r="E822" s="438"/>
      <c r="F822" s="438"/>
      <c r="G822" s="438"/>
      <c r="H822" s="438"/>
      <c r="I822" s="438"/>
      <c r="J822" s="11"/>
      <c r="Q822" s="348" t="str">
        <f t="shared" si="104"/>
        <v/>
      </c>
      <c r="R822" s="348" t="str">
        <f t="shared" si="105"/>
        <v/>
      </c>
      <c r="S822" s="348" t="str">
        <f t="shared" si="106"/>
        <v/>
      </c>
      <c r="T822" s="348" t="str">
        <f t="shared" si="107"/>
        <v/>
      </c>
      <c r="U822" s="348" t="str">
        <f t="shared" si="108"/>
        <v/>
      </c>
      <c r="V822" s="348" t="str">
        <f t="shared" si="109"/>
        <v/>
      </c>
      <c r="W822" s="348" t="str">
        <f t="shared" si="110"/>
        <v/>
      </c>
      <c r="X822" s="348" t="str">
        <f t="shared" si="111"/>
        <v/>
      </c>
    </row>
    <row r="823" spans="1:24" x14ac:dyDescent="0.2">
      <c r="A823" s="407">
        <v>815</v>
      </c>
      <c r="B823" s="438"/>
      <c r="C823" s="437"/>
      <c r="D823" s="438"/>
      <c r="E823" s="438"/>
      <c r="F823" s="438"/>
      <c r="G823" s="438"/>
      <c r="H823" s="438"/>
      <c r="I823" s="438"/>
      <c r="J823" s="11"/>
      <c r="Q823" s="348" t="str">
        <f t="shared" si="104"/>
        <v/>
      </c>
      <c r="R823" s="348" t="str">
        <f t="shared" si="105"/>
        <v/>
      </c>
      <c r="S823" s="348" t="str">
        <f t="shared" si="106"/>
        <v/>
      </c>
      <c r="T823" s="348" t="str">
        <f t="shared" si="107"/>
        <v/>
      </c>
      <c r="U823" s="348" t="str">
        <f t="shared" si="108"/>
        <v/>
      </c>
      <c r="V823" s="348" t="str">
        <f t="shared" si="109"/>
        <v/>
      </c>
      <c r="W823" s="348" t="str">
        <f t="shared" si="110"/>
        <v/>
      </c>
      <c r="X823" s="348" t="str">
        <f t="shared" si="111"/>
        <v/>
      </c>
    </row>
    <row r="824" spans="1:24" x14ac:dyDescent="0.2">
      <c r="A824" s="407">
        <v>816</v>
      </c>
      <c r="B824" s="438"/>
      <c r="C824" s="438"/>
      <c r="D824" s="438"/>
      <c r="E824" s="438"/>
      <c r="F824" s="438"/>
      <c r="G824" s="438"/>
      <c r="H824" s="438"/>
      <c r="I824" s="438"/>
      <c r="J824" s="11"/>
      <c r="Q824" s="348" t="str">
        <f t="shared" si="104"/>
        <v/>
      </c>
      <c r="R824" s="348" t="str">
        <f t="shared" si="105"/>
        <v/>
      </c>
      <c r="S824" s="348" t="str">
        <f t="shared" si="106"/>
        <v/>
      </c>
      <c r="T824" s="348" t="str">
        <f t="shared" si="107"/>
        <v/>
      </c>
      <c r="U824" s="348" t="str">
        <f t="shared" si="108"/>
        <v/>
      </c>
      <c r="V824" s="348" t="str">
        <f t="shared" si="109"/>
        <v/>
      </c>
      <c r="W824" s="348" t="str">
        <f t="shared" si="110"/>
        <v/>
      </c>
      <c r="X824" s="348" t="str">
        <f t="shared" si="111"/>
        <v/>
      </c>
    </row>
    <row r="825" spans="1:24" x14ac:dyDescent="0.2">
      <c r="A825" s="407">
        <v>817</v>
      </c>
      <c r="B825" s="438"/>
      <c r="C825" s="438"/>
      <c r="D825" s="438"/>
      <c r="E825" s="438"/>
      <c r="F825" s="438"/>
      <c r="G825" s="438"/>
      <c r="H825" s="438"/>
      <c r="I825" s="438"/>
      <c r="J825" s="11"/>
      <c r="Q825" s="348" t="str">
        <f t="shared" si="104"/>
        <v/>
      </c>
      <c r="R825" s="348" t="str">
        <f t="shared" si="105"/>
        <v/>
      </c>
      <c r="S825" s="348" t="str">
        <f t="shared" si="106"/>
        <v/>
      </c>
      <c r="T825" s="348" t="str">
        <f t="shared" si="107"/>
        <v/>
      </c>
      <c r="U825" s="348" t="str">
        <f t="shared" si="108"/>
        <v/>
      </c>
      <c r="V825" s="348" t="str">
        <f t="shared" si="109"/>
        <v/>
      </c>
      <c r="W825" s="348" t="str">
        <f t="shared" si="110"/>
        <v/>
      </c>
      <c r="X825" s="348" t="str">
        <f t="shared" si="111"/>
        <v/>
      </c>
    </row>
    <row r="826" spans="1:24" x14ac:dyDescent="0.2">
      <c r="A826" s="407">
        <v>818</v>
      </c>
      <c r="B826" s="438"/>
      <c r="C826" s="438"/>
      <c r="D826" s="438"/>
      <c r="E826" s="438"/>
      <c r="F826" s="438"/>
      <c r="G826" s="438"/>
      <c r="H826" s="438"/>
      <c r="I826" s="438"/>
      <c r="J826" s="11"/>
      <c r="Q826" s="348" t="str">
        <f t="shared" si="104"/>
        <v/>
      </c>
      <c r="R826" s="348" t="str">
        <f t="shared" si="105"/>
        <v/>
      </c>
      <c r="S826" s="348" t="str">
        <f t="shared" si="106"/>
        <v/>
      </c>
      <c r="T826" s="348" t="str">
        <f t="shared" si="107"/>
        <v/>
      </c>
      <c r="U826" s="348" t="str">
        <f t="shared" si="108"/>
        <v/>
      </c>
      <c r="V826" s="348" t="str">
        <f t="shared" si="109"/>
        <v/>
      </c>
      <c r="W826" s="348" t="str">
        <f t="shared" si="110"/>
        <v/>
      </c>
      <c r="X826" s="348" t="str">
        <f t="shared" si="111"/>
        <v/>
      </c>
    </row>
    <row r="827" spans="1:24" x14ac:dyDescent="0.2">
      <c r="A827" s="407">
        <v>819</v>
      </c>
      <c r="B827" s="438"/>
      <c r="C827" s="438"/>
      <c r="D827" s="437"/>
      <c r="E827" s="438"/>
      <c r="F827" s="438"/>
      <c r="G827" s="438"/>
      <c r="H827" s="438"/>
      <c r="I827" s="438"/>
      <c r="J827" s="11"/>
      <c r="Q827" s="348" t="str">
        <f t="shared" si="104"/>
        <v/>
      </c>
      <c r="R827" s="348" t="str">
        <f t="shared" si="105"/>
        <v/>
      </c>
      <c r="S827" s="348" t="str">
        <f t="shared" si="106"/>
        <v/>
      </c>
      <c r="T827" s="348" t="str">
        <f t="shared" si="107"/>
        <v/>
      </c>
      <c r="U827" s="348" t="str">
        <f t="shared" si="108"/>
        <v/>
      </c>
      <c r="V827" s="348" t="str">
        <f t="shared" si="109"/>
        <v/>
      </c>
      <c r="W827" s="348" t="str">
        <f t="shared" si="110"/>
        <v/>
      </c>
      <c r="X827" s="348" t="str">
        <f t="shared" si="111"/>
        <v/>
      </c>
    </row>
    <row r="828" spans="1:24" x14ac:dyDescent="0.2">
      <c r="A828" s="407">
        <v>820</v>
      </c>
      <c r="B828" s="438"/>
      <c r="C828" s="438"/>
      <c r="D828" s="438"/>
      <c r="E828" s="438"/>
      <c r="F828" s="438"/>
      <c r="G828" s="438"/>
      <c r="H828" s="438"/>
      <c r="I828" s="438"/>
      <c r="J828" s="11"/>
      <c r="Q828" s="348" t="str">
        <f t="shared" si="104"/>
        <v/>
      </c>
      <c r="R828" s="348" t="str">
        <f t="shared" si="105"/>
        <v/>
      </c>
      <c r="S828" s="348" t="str">
        <f t="shared" si="106"/>
        <v/>
      </c>
      <c r="T828" s="348" t="str">
        <f t="shared" si="107"/>
        <v/>
      </c>
      <c r="U828" s="348" t="str">
        <f t="shared" si="108"/>
        <v/>
      </c>
      <c r="V828" s="348" t="str">
        <f t="shared" si="109"/>
        <v/>
      </c>
      <c r="W828" s="348" t="str">
        <f t="shared" si="110"/>
        <v/>
      </c>
      <c r="X828" s="348" t="str">
        <f t="shared" si="111"/>
        <v/>
      </c>
    </row>
    <row r="829" spans="1:24" x14ac:dyDescent="0.2">
      <c r="A829" s="407">
        <v>821</v>
      </c>
      <c r="B829" s="438"/>
      <c r="C829" s="438"/>
      <c r="D829" s="438"/>
      <c r="E829" s="438"/>
      <c r="F829" s="438"/>
      <c r="G829" s="438"/>
      <c r="H829" s="438"/>
      <c r="I829" s="438"/>
      <c r="J829" s="11"/>
      <c r="Q829" s="348" t="str">
        <f t="shared" si="104"/>
        <v/>
      </c>
      <c r="R829" s="348" t="str">
        <f t="shared" si="105"/>
        <v/>
      </c>
      <c r="S829" s="348" t="str">
        <f t="shared" si="106"/>
        <v/>
      </c>
      <c r="T829" s="348" t="str">
        <f t="shared" si="107"/>
        <v/>
      </c>
      <c r="U829" s="348" t="str">
        <f t="shared" si="108"/>
        <v/>
      </c>
      <c r="V829" s="348" t="str">
        <f t="shared" si="109"/>
        <v/>
      </c>
      <c r="W829" s="348" t="str">
        <f t="shared" si="110"/>
        <v/>
      </c>
      <c r="X829" s="348" t="str">
        <f t="shared" si="111"/>
        <v/>
      </c>
    </row>
    <row r="830" spans="1:24" x14ac:dyDescent="0.2">
      <c r="A830" s="407">
        <v>822</v>
      </c>
      <c r="B830" s="438"/>
      <c r="C830" s="438"/>
      <c r="D830" s="438"/>
      <c r="E830" s="438"/>
      <c r="F830" s="438"/>
      <c r="G830" s="438"/>
      <c r="H830" s="438"/>
      <c r="I830" s="438"/>
      <c r="J830" s="11"/>
      <c r="Q830" s="348" t="str">
        <f t="shared" si="104"/>
        <v/>
      </c>
      <c r="R830" s="348" t="str">
        <f t="shared" si="105"/>
        <v/>
      </c>
      <c r="S830" s="348" t="str">
        <f t="shared" si="106"/>
        <v/>
      </c>
      <c r="T830" s="348" t="str">
        <f t="shared" si="107"/>
        <v/>
      </c>
      <c r="U830" s="348" t="str">
        <f t="shared" si="108"/>
        <v/>
      </c>
      <c r="V830" s="348" t="str">
        <f t="shared" si="109"/>
        <v/>
      </c>
      <c r="W830" s="348" t="str">
        <f t="shared" si="110"/>
        <v/>
      </c>
      <c r="X830" s="348" t="str">
        <f t="shared" si="111"/>
        <v/>
      </c>
    </row>
    <row r="831" spans="1:24" x14ac:dyDescent="0.2">
      <c r="A831" s="407">
        <v>823</v>
      </c>
      <c r="B831" s="438"/>
      <c r="C831" s="438"/>
      <c r="D831" s="438"/>
      <c r="E831" s="438"/>
      <c r="F831" s="438"/>
      <c r="G831" s="438"/>
      <c r="H831" s="438"/>
      <c r="I831" s="438"/>
      <c r="J831" s="11"/>
      <c r="Q831" s="348" t="str">
        <f t="shared" si="104"/>
        <v/>
      </c>
      <c r="R831" s="348" t="str">
        <f t="shared" si="105"/>
        <v/>
      </c>
      <c r="S831" s="348" t="str">
        <f t="shared" si="106"/>
        <v/>
      </c>
      <c r="T831" s="348" t="str">
        <f t="shared" si="107"/>
        <v/>
      </c>
      <c r="U831" s="348" t="str">
        <f t="shared" si="108"/>
        <v/>
      </c>
      <c r="V831" s="348" t="str">
        <f t="shared" si="109"/>
        <v/>
      </c>
      <c r="W831" s="348" t="str">
        <f t="shared" si="110"/>
        <v/>
      </c>
      <c r="X831" s="348" t="str">
        <f t="shared" si="111"/>
        <v/>
      </c>
    </row>
    <row r="832" spans="1:24" x14ac:dyDescent="0.2">
      <c r="A832" s="407">
        <v>824</v>
      </c>
      <c r="B832" s="437"/>
      <c r="C832" s="438"/>
      <c r="D832" s="438"/>
      <c r="E832" s="438"/>
      <c r="F832" s="438"/>
      <c r="G832" s="438"/>
      <c r="H832" s="438"/>
      <c r="I832" s="438"/>
      <c r="J832" s="11"/>
      <c r="Q832" s="348" t="str">
        <f t="shared" si="104"/>
        <v/>
      </c>
      <c r="R832" s="348" t="str">
        <f t="shared" si="105"/>
        <v/>
      </c>
      <c r="S832" s="348" t="str">
        <f t="shared" si="106"/>
        <v/>
      </c>
      <c r="T832" s="348" t="str">
        <f t="shared" si="107"/>
        <v/>
      </c>
      <c r="U832" s="348" t="str">
        <f t="shared" si="108"/>
        <v/>
      </c>
      <c r="V832" s="348" t="str">
        <f t="shared" si="109"/>
        <v/>
      </c>
      <c r="W832" s="348" t="str">
        <f t="shared" si="110"/>
        <v/>
      </c>
      <c r="X832" s="348" t="str">
        <f t="shared" si="111"/>
        <v/>
      </c>
    </row>
    <row r="833" spans="1:24" x14ac:dyDescent="0.2">
      <c r="A833" s="407">
        <v>825</v>
      </c>
      <c r="B833" s="438"/>
      <c r="C833" s="438"/>
      <c r="D833" s="438"/>
      <c r="E833" s="438"/>
      <c r="F833" s="438"/>
      <c r="G833" s="438"/>
      <c r="H833" s="438"/>
      <c r="I833" s="437"/>
      <c r="J833" s="11"/>
      <c r="Q833" s="348" t="str">
        <f t="shared" si="104"/>
        <v/>
      </c>
      <c r="R833" s="348" t="str">
        <f t="shared" si="105"/>
        <v/>
      </c>
      <c r="S833" s="348" t="str">
        <f t="shared" si="106"/>
        <v/>
      </c>
      <c r="T833" s="348" t="str">
        <f t="shared" si="107"/>
        <v/>
      </c>
      <c r="U833" s="348" t="str">
        <f t="shared" si="108"/>
        <v/>
      </c>
      <c r="V833" s="348" t="str">
        <f t="shared" si="109"/>
        <v/>
      </c>
      <c r="W833" s="348" t="str">
        <f t="shared" si="110"/>
        <v/>
      </c>
      <c r="X833" s="348" t="str">
        <f t="shared" si="111"/>
        <v/>
      </c>
    </row>
    <row r="834" spans="1:24" x14ac:dyDescent="0.2">
      <c r="A834" s="407">
        <v>826</v>
      </c>
      <c r="B834" s="438"/>
      <c r="C834" s="438"/>
      <c r="D834" s="438"/>
      <c r="E834" s="437"/>
      <c r="F834" s="437"/>
      <c r="G834" s="437"/>
      <c r="H834" s="437"/>
      <c r="I834" s="438"/>
      <c r="J834" s="11"/>
      <c r="Q834" s="348" t="str">
        <f t="shared" si="104"/>
        <v/>
      </c>
      <c r="R834" s="348" t="str">
        <f t="shared" si="105"/>
        <v/>
      </c>
      <c r="S834" s="348" t="str">
        <f t="shared" si="106"/>
        <v/>
      </c>
      <c r="T834" s="348" t="str">
        <f t="shared" si="107"/>
        <v/>
      </c>
      <c r="U834" s="348" t="str">
        <f t="shared" si="108"/>
        <v/>
      </c>
      <c r="V834" s="348" t="str">
        <f t="shared" si="109"/>
        <v/>
      </c>
      <c r="W834" s="348" t="str">
        <f t="shared" si="110"/>
        <v/>
      </c>
      <c r="X834" s="348" t="str">
        <f t="shared" si="111"/>
        <v/>
      </c>
    </row>
    <row r="835" spans="1:24" x14ac:dyDescent="0.2">
      <c r="A835" s="407">
        <v>827</v>
      </c>
      <c r="B835" s="438"/>
      <c r="C835" s="438"/>
      <c r="D835" s="438"/>
      <c r="E835" s="438"/>
      <c r="F835" s="438"/>
      <c r="G835" s="438"/>
      <c r="H835" s="438"/>
      <c r="I835" s="438"/>
      <c r="J835" s="11"/>
      <c r="Q835" s="348" t="str">
        <f t="shared" si="104"/>
        <v/>
      </c>
      <c r="R835" s="348" t="str">
        <f t="shared" si="105"/>
        <v/>
      </c>
      <c r="S835" s="348" t="str">
        <f t="shared" si="106"/>
        <v/>
      </c>
      <c r="T835" s="348" t="str">
        <f t="shared" si="107"/>
        <v/>
      </c>
      <c r="U835" s="348" t="str">
        <f t="shared" si="108"/>
        <v/>
      </c>
      <c r="V835" s="348" t="str">
        <f t="shared" si="109"/>
        <v/>
      </c>
      <c r="W835" s="348" t="str">
        <f t="shared" si="110"/>
        <v/>
      </c>
      <c r="X835" s="348" t="str">
        <f t="shared" si="111"/>
        <v/>
      </c>
    </row>
    <row r="836" spans="1:24" x14ac:dyDescent="0.2">
      <c r="A836" s="407">
        <v>828</v>
      </c>
      <c r="B836" s="438"/>
      <c r="C836" s="438"/>
      <c r="D836" s="438"/>
      <c r="E836" s="438"/>
      <c r="F836" s="438"/>
      <c r="G836" s="438"/>
      <c r="H836" s="438"/>
      <c r="I836" s="438"/>
      <c r="J836" s="11"/>
      <c r="Q836" s="348" t="str">
        <f t="shared" si="104"/>
        <v/>
      </c>
      <c r="R836" s="348" t="str">
        <f t="shared" si="105"/>
        <v/>
      </c>
      <c r="S836" s="348" t="str">
        <f t="shared" si="106"/>
        <v/>
      </c>
      <c r="T836" s="348" t="str">
        <f t="shared" si="107"/>
        <v/>
      </c>
      <c r="U836" s="348" t="str">
        <f t="shared" si="108"/>
        <v/>
      </c>
      <c r="V836" s="348" t="str">
        <f t="shared" si="109"/>
        <v/>
      </c>
      <c r="W836" s="348" t="str">
        <f t="shared" si="110"/>
        <v/>
      </c>
      <c r="X836" s="348" t="str">
        <f t="shared" si="111"/>
        <v/>
      </c>
    </row>
    <row r="837" spans="1:24" x14ac:dyDescent="0.2">
      <c r="A837" s="407">
        <v>829</v>
      </c>
      <c r="B837" s="438"/>
      <c r="C837" s="438"/>
      <c r="D837" s="438"/>
      <c r="E837" s="438"/>
      <c r="F837" s="438"/>
      <c r="G837" s="438"/>
      <c r="H837" s="438"/>
      <c r="I837" s="438"/>
      <c r="J837" s="11"/>
      <c r="Q837" s="348" t="str">
        <f t="shared" si="104"/>
        <v/>
      </c>
      <c r="R837" s="348" t="str">
        <f t="shared" si="105"/>
        <v/>
      </c>
      <c r="S837" s="348" t="str">
        <f t="shared" si="106"/>
        <v/>
      </c>
      <c r="T837" s="348" t="str">
        <f t="shared" si="107"/>
        <v/>
      </c>
      <c r="U837" s="348" t="str">
        <f t="shared" si="108"/>
        <v/>
      </c>
      <c r="V837" s="348" t="str">
        <f t="shared" si="109"/>
        <v/>
      </c>
      <c r="W837" s="348" t="str">
        <f t="shared" si="110"/>
        <v/>
      </c>
      <c r="X837" s="348" t="str">
        <f t="shared" si="111"/>
        <v/>
      </c>
    </row>
    <row r="838" spans="1:24" x14ac:dyDescent="0.2">
      <c r="A838" s="407">
        <v>830</v>
      </c>
      <c r="B838" s="438"/>
      <c r="C838" s="438"/>
      <c r="D838" s="438"/>
      <c r="E838" s="438"/>
      <c r="F838" s="438"/>
      <c r="G838" s="438"/>
      <c r="H838" s="438"/>
      <c r="I838" s="438"/>
      <c r="J838" s="11"/>
      <c r="Q838" s="348" t="str">
        <f t="shared" si="104"/>
        <v/>
      </c>
      <c r="R838" s="348" t="str">
        <f t="shared" si="105"/>
        <v/>
      </c>
      <c r="S838" s="348" t="str">
        <f t="shared" si="106"/>
        <v/>
      </c>
      <c r="T838" s="348" t="str">
        <f t="shared" si="107"/>
        <v/>
      </c>
      <c r="U838" s="348" t="str">
        <f t="shared" si="108"/>
        <v/>
      </c>
      <c r="V838" s="348" t="str">
        <f t="shared" si="109"/>
        <v/>
      </c>
      <c r="W838" s="348" t="str">
        <f t="shared" si="110"/>
        <v/>
      </c>
      <c r="X838" s="348" t="str">
        <f t="shared" si="111"/>
        <v/>
      </c>
    </row>
    <row r="839" spans="1:24" x14ac:dyDescent="0.2">
      <c r="A839" s="407">
        <v>831</v>
      </c>
      <c r="B839" s="438"/>
      <c r="C839" s="438"/>
      <c r="D839" s="438"/>
      <c r="E839" s="438"/>
      <c r="F839" s="438"/>
      <c r="G839" s="438"/>
      <c r="H839" s="438"/>
      <c r="I839" s="438"/>
      <c r="J839" s="11"/>
      <c r="Q839" s="348" t="str">
        <f t="shared" si="104"/>
        <v/>
      </c>
      <c r="R839" s="348" t="str">
        <f t="shared" si="105"/>
        <v/>
      </c>
      <c r="S839" s="348" t="str">
        <f t="shared" si="106"/>
        <v/>
      </c>
      <c r="T839" s="348" t="str">
        <f t="shared" si="107"/>
        <v/>
      </c>
      <c r="U839" s="348" t="str">
        <f t="shared" si="108"/>
        <v/>
      </c>
      <c r="V839" s="348" t="str">
        <f t="shared" si="109"/>
        <v/>
      </c>
      <c r="W839" s="348" t="str">
        <f t="shared" si="110"/>
        <v/>
      </c>
      <c r="X839" s="348" t="str">
        <f t="shared" si="111"/>
        <v/>
      </c>
    </row>
    <row r="840" spans="1:24" x14ac:dyDescent="0.2">
      <c r="A840" s="407">
        <v>832</v>
      </c>
      <c r="B840" s="438"/>
      <c r="C840" s="438"/>
      <c r="D840" s="438"/>
      <c r="E840" s="438"/>
      <c r="F840" s="438"/>
      <c r="G840" s="438"/>
      <c r="H840" s="438"/>
      <c r="I840" s="438"/>
      <c r="J840" s="11"/>
      <c r="Q840" s="348" t="str">
        <f t="shared" si="104"/>
        <v/>
      </c>
      <c r="R840" s="348" t="str">
        <f t="shared" si="105"/>
        <v/>
      </c>
      <c r="S840" s="348" t="str">
        <f t="shared" si="106"/>
        <v/>
      </c>
      <c r="T840" s="348" t="str">
        <f t="shared" si="107"/>
        <v/>
      </c>
      <c r="U840" s="348" t="str">
        <f t="shared" si="108"/>
        <v/>
      </c>
      <c r="V840" s="348" t="str">
        <f t="shared" si="109"/>
        <v/>
      </c>
      <c r="W840" s="348" t="str">
        <f t="shared" si="110"/>
        <v/>
      </c>
      <c r="X840" s="348" t="str">
        <f t="shared" si="111"/>
        <v/>
      </c>
    </row>
    <row r="841" spans="1:24" x14ac:dyDescent="0.2">
      <c r="A841" s="407">
        <v>833</v>
      </c>
      <c r="B841" s="438"/>
      <c r="C841" s="438"/>
      <c r="D841" s="438"/>
      <c r="E841" s="438"/>
      <c r="F841" s="438"/>
      <c r="G841" s="438"/>
      <c r="H841" s="438"/>
      <c r="I841" s="438"/>
      <c r="J841" s="11"/>
      <c r="Q841" s="348" t="str">
        <f t="shared" si="104"/>
        <v/>
      </c>
      <c r="R841" s="348" t="str">
        <f t="shared" si="105"/>
        <v/>
      </c>
      <c r="S841" s="348" t="str">
        <f t="shared" si="106"/>
        <v/>
      </c>
      <c r="T841" s="348" t="str">
        <f t="shared" si="107"/>
        <v/>
      </c>
      <c r="U841" s="348" t="str">
        <f t="shared" si="108"/>
        <v/>
      </c>
      <c r="V841" s="348" t="str">
        <f t="shared" si="109"/>
        <v/>
      </c>
      <c r="W841" s="348" t="str">
        <f t="shared" si="110"/>
        <v/>
      </c>
      <c r="X841" s="348" t="str">
        <f t="shared" si="111"/>
        <v/>
      </c>
    </row>
    <row r="842" spans="1:24" x14ac:dyDescent="0.2">
      <c r="A842" s="407">
        <v>834</v>
      </c>
      <c r="B842" s="438"/>
      <c r="C842" s="438"/>
      <c r="D842" s="438"/>
      <c r="E842" s="438"/>
      <c r="F842" s="438"/>
      <c r="G842" s="438"/>
      <c r="H842" s="438"/>
      <c r="I842" s="438"/>
      <c r="J842" s="11"/>
      <c r="Q842" s="348" t="str">
        <f t="shared" ref="Q842:Q905" si="112">IFERROR(B842^4*$AB$9+B842^3*$AC$9+B842^2*$AD$9+B842^1*$AE$9+B842^0*$AF$9,"")</f>
        <v/>
      </c>
      <c r="R842" s="348" t="str">
        <f t="shared" ref="R842:R905" si="113">IFERROR(C842^4*$AB$10+C842^3*$AC$10+C842^2*$AD$10+C842^1*$AE$10+C842^0*$AF$10,"")</f>
        <v/>
      </c>
      <c r="S842" s="348" t="str">
        <f t="shared" ref="S842:S905" si="114">IFERROR(D842^4*$AB$11+D842^3*$AC$11+D842^2*$AD$11+D842^1*$AE$11+D842^0*$AF$11,"")</f>
        <v/>
      </c>
      <c r="T842" s="348" t="str">
        <f t="shared" ref="T842:T905" si="115">IFERROR(E842^4*$AB$12+E842^3*$AC$12+E842^2*$AD$12+E842^1*$AE$12+E842^0*$AF$12,"")</f>
        <v/>
      </c>
      <c r="U842" s="348" t="str">
        <f t="shared" ref="U842:U905" si="116">IFERROR(F842^4*$AB$13+F842^3*$AC$13+F842^2*$AD$13+F842^1*$AE$13+F842^0*$AF$13,"")</f>
        <v/>
      </c>
      <c r="V842" s="348" t="str">
        <f t="shared" ref="V842:V905" si="117">IFERROR(G842^4*$AB$14+G842^3*$AC$14+G842^2*$AD$14+G842^1*$AE$14+G842^0*$AF$14,"")</f>
        <v/>
      </c>
      <c r="W842" s="348" t="str">
        <f t="shared" ref="W842:W905" si="118">IFERROR(H842^4*$AB$15+H842^3*$AC$15+H842^2*$AD$15+H842^1*$AE$15+H842^0*$AF$15,"")</f>
        <v/>
      </c>
      <c r="X842" s="348" t="str">
        <f t="shared" ref="X842:X905" si="119">IFERROR(I842^4*$AB$16+I842^3*$AC$16+I842^2*$AD$16+I842^1*$AE$16+I842^0*$AF$16,"")</f>
        <v/>
      </c>
    </row>
    <row r="843" spans="1:24" x14ac:dyDescent="0.2">
      <c r="A843" s="407">
        <v>835</v>
      </c>
      <c r="B843" s="438"/>
      <c r="C843" s="438"/>
      <c r="D843" s="438"/>
      <c r="E843" s="438"/>
      <c r="F843" s="438"/>
      <c r="G843" s="438"/>
      <c r="H843" s="438"/>
      <c r="I843" s="438"/>
      <c r="J843" s="11"/>
      <c r="Q843" s="348" t="str">
        <f t="shared" si="112"/>
        <v/>
      </c>
      <c r="R843" s="348" t="str">
        <f t="shared" si="113"/>
        <v/>
      </c>
      <c r="S843" s="348" t="str">
        <f t="shared" si="114"/>
        <v/>
      </c>
      <c r="T843" s="348" t="str">
        <f t="shared" si="115"/>
        <v/>
      </c>
      <c r="U843" s="348" t="str">
        <f t="shared" si="116"/>
        <v/>
      </c>
      <c r="V843" s="348" t="str">
        <f t="shared" si="117"/>
        <v/>
      </c>
      <c r="W843" s="348" t="str">
        <f t="shared" si="118"/>
        <v/>
      </c>
      <c r="X843" s="348" t="str">
        <f t="shared" si="119"/>
        <v/>
      </c>
    </row>
    <row r="844" spans="1:24" x14ac:dyDescent="0.2">
      <c r="A844" s="407">
        <v>836</v>
      </c>
      <c r="B844" s="438"/>
      <c r="C844" s="437"/>
      <c r="D844" s="438"/>
      <c r="E844" s="438"/>
      <c r="F844" s="438"/>
      <c r="G844" s="438"/>
      <c r="H844" s="438"/>
      <c r="I844" s="438"/>
      <c r="J844" s="11"/>
      <c r="Q844" s="348" t="str">
        <f t="shared" si="112"/>
        <v/>
      </c>
      <c r="R844" s="348" t="str">
        <f t="shared" si="113"/>
        <v/>
      </c>
      <c r="S844" s="348" t="str">
        <f t="shared" si="114"/>
        <v/>
      </c>
      <c r="T844" s="348" t="str">
        <f t="shared" si="115"/>
        <v/>
      </c>
      <c r="U844" s="348" t="str">
        <f t="shared" si="116"/>
        <v/>
      </c>
      <c r="V844" s="348" t="str">
        <f t="shared" si="117"/>
        <v/>
      </c>
      <c r="W844" s="348" t="str">
        <f t="shared" si="118"/>
        <v/>
      </c>
      <c r="X844" s="348" t="str">
        <f t="shared" si="119"/>
        <v/>
      </c>
    </row>
    <row r="845" spans="1:24" x14ac:dyDescent="0.2">
      <c r="A845" s="407">
        <v>837</v>
      </c>
      <c r="B845" s="438"/>
      <c r="C845" s="438"/>
      <c r="D845" s="438"/>
      <c r="E845" s="438"/>
      <c r="F845" s="438"/>
      <c r="G845" s="438"/>
      <c r="H845" s="438"/>
      <c r="I845" s="438"/>
      <c r="J845" s="11"/>
      <c r="Q845" s="348" t="str">
        <f t="shared" si="112"/>
        <v/>
      </c>
      <c r="R845" s="348" t="str">
        <f t="shared" si="113"/>
        <v/>
      </c>
      <c r="S845" s="348" t="str">
        <f t="shared" si="114"/>
        <v/>
      </c>
      <c r="T845" s="348" t="str">
        <f t="shared" si="115"/>
        <v/>
      </c>
      <c r="U845" s="348" t="str">
        <f t="shared" si="116"/>
        <v/>
      </c>
      <c r="V845" s="348" t="str">
        <f t="shared" si="117"/>
        <v/>
      </c>
      <c r="W845" s="348" t="str">
        <f t="shared" si="118"/>
        <v/>
      </c>
      <c r="X845" s="348" t="str">
        <f t="shared" si="119"/>
        <v/>
      </c>
    </row>
    <row r="846" spans="1:24" x14ac:dyDescent="0.2">
      <c r="A846" s="407">
        <v>838</v>
      </c>
      <c r="B846" s="438"/>
      <c r="C846" s="438"/>
      <c r="D846" s="438"/>
      <c r="E846" s="438"/>
      <c r="F846" s="438"/>
      <c r="G846" s="438"/>
      <c r="H846" s="438"/>
      <c r="I846" s="438"/>
      <c r="J846" s="11"/>
      <c r="Q846" s="348" t="str">
        <f t="shared" si="112"/>
        <v/>
      </c>
      <c r="R846" s="348" t="str">
        <f t="shared" si="113"/>
        <v/>
      </c>
      <c r="S846" s="348" t="str">
        <f t="shared" si="114"/>
        <v/>
      </c>
      <c r="T846" s="348" t="str">
        <f t="shared" si="115"/>
        <v/>
      </c>
      <c r="U846" s="348" t="str">
        <f t="shared" si="116"/>
        <v/>
      </c>
      <c r="V846" s="348" t="str">
        <f t="shared" si="117"/>
        <v/>
      </c>
      <c r="W846" s="348" t="str">
        <f t="shared" si="118"/>
        <v/>
      </c>
      <c r="X846" s="348" t="str">
        <f t="shared" si="119"/>
        <v/>
      </c>
    </row>
    <row r="847" spans="1:24" x14ac:dyDescent="0.2">
      <c r="A847" s="407">
        <v>839</v>
      </c>
      <c r="B847" s="438"/>
      <c r="C847" s="438"/>
      <c r="D847" s="438"/>
      <c r="E847" s="438"/>
      <c r="F847" s="438"/>
      <c r="G847" s="438"/>
      <c r="H847" s="438"/>
      <c r="I847" s="438"/>
      <c r="J847" s="11"/>
      <c r="Q847" s="348" t="str">
        <f t="shared" si="112"/>
        <v/>
      </c>
      <c r="R847" s="348" t="str">
        <f t="shared" si="113"/>
        <v/>
      </c>
      <c r="S847" s="348" t="str">
        <f t="shared" si="114"/>
        <v/>
      </c>
      <c r="T847" s="348" t="str">
        <f t="shared" si="115"/>
        <v/>
      </c>
      <c r="U847" s="348" t="str">
        <f t="shared" si="116"/>
        <v/>
      </c>
      <c r="V847" s="348" t="str">
        <f t="shared" si="117"/>
        <v/>
      </c>
      <c r="W847" s="348" t="str">
        <f t="shared" si="118"/>
        <v/>
      </c>
      <c r="X847" s="348" t="str">
        <f t="shared" si="119"/>
        <v/>
      </c>
    </row>
    <row r="848" spans="1:24" x14ac:dyDescent="0.2">
      <c r="A848" s="407">
        <v>840</v>
      </c>
      <c r="B848" s="438"/>
      <c r="C848" s="438"/>
      <c r="D848" s="438"/>
      <c r="E848" s="438"/>
      <c r="F848" s="438"/>
      <c r="G848" s="438"/>
      <c r="H848" s="438"/>
      <c r="I848" s="438"/>
      <c r="J848" s="11"/>
      <c r="Q848" s="348" t="str">
        <f t="shared" si="112"/>
        <v/>
      </c>
      <c r="R848" s="348" t="str">
        <f t="shared" si="113"/>
        <v/>
      </c>
      <c r="S848" s="348" t="str">
        <f t="shared" si="114"/>
        <v/>
      </c>
      <c r="T848" s="348" t="str">
        <f t="shared" si="115"/>
        <v/>
      </c>
      <c r="U848" s="348" t="str">
        <f t="shared" si="116"/>
        <v/>
      </c>
      <c r="V848" s="348" t="str">
        <f t="shared" si="117"/>
        <v/>
      </c>
      <c r="W848" s="348" t="str">
        <f t="shared" si="118"/>
        <v/>
      </c>
      <c r="X848" s="348" t="str">
        <f t="shared" si="119"/>
        <v/>
      </c>
    </row>
    <row r="849" spans="1:24" x14ac:dyDescent="0.2">
      <c r="A849" s="407">
        <v>841</v>
      </c>
      <c r="B849" s="438"/>
      <c r="C849" s="438"/>
      <c r="D849" s="438"/>
      <c r="E849" s="438"/>
      <c r="F849" s="438"/>
      <c r="G849" s="438"/>
      <c r="H849" s="438"/>
      <c r="I849" s="438"/>
      <c r="J849" s="11"/>
      <c r="Q849" s="348" t="str">
        <f t="shared" si="112"/>
        <v/>
      </c>
      <c r="R849" s="348" t="str">
        <f t="shared" si="113"/>
        <v/>
      </c>
      <c r="S849" s="348" t="str">
        <f t="shared" si="114"/>
        <v/>
      </c>
      <c r="T849" s="348" t="str">
        <f t="shared" si="115"/>
        <v/>
      </c>
      <c r="U849" s="348" t="str">
        <f t="shared" si="116"/>
        <v/>
      </c>
      <c r="V849" s="348" t="str">
        <f t="shared" si="117"/>
        <v/>
      </c>
      <c r="W849" s="348" t="str">
        <f t="shared" si="118"/>
        <v/>
      </c>
      <c r="X849" s="348" t="str">
        <f t="shared" si="119"/>
        <v/>
      </c>
    </row>
    <row r="850" spans="1:24" x14ac:dyDescent="0.2">
      <c r="A850" s="407">
        <v>842</v>
      </c>
      <c r="B850" s="438"/>
      <c r="C850" s="438"/>
      <c r="D850" s="438"/>
      <c r="E850" s="438"/>
      <c r="F850" s="438"/>
      <c r="G850" s="438"/>
      <c r="H850" s="438"/>
      <c r="I850" s="438"/>
      <c r="J850" s="11"/>
      <c r="Q850" s="348" t="str">
        <f t="shared" si="112"/>
        <v/>
      </c>
      <c r="R850" s="348" t="str">
        <f t="shared" si="113"/>
        <v/>
      </c>
      <c r="S850" s="348" t="str">
        <f t="shared" si="114"/>
        <v/>
      </c>
      <c r="T850" s="348" t="str">
        <f t="shared" si="115"/>
        <v/>
      </c>
      <c r="U850" s="348" t="str">
        <f t="shared" si="116"/>
        <v/>
      </c>
      <c r="V850" s="348" t="str">
        <f t="shared" si="117"/>
        <v/>
      </c>
      <c r="W850" s="348" t="str">
        <f t="shared" si="118"/>
        <v/>
      </c>
      <c r="X850" s="348" t="str">
        <f t="shared" si="119"/>
        <v/>
      </c>
    </row>
    <row r="851" spans="1:24" x14ac:dyDescent="0.2">
      <c r="A851" s="407">
        <v>843</v>
      </c>
      <c r="B851" s="437"/>
      <c r="C851" s="438"/>
      <c r="D851" s="438"/>
      <c r="E851" s="438"/>
      <c r="F851" s="438"/>
      <c r="G851" s="438"/>
      <c r="H851" s="438"/>
      <c r="I851" s="438"/>
      <c r="J851" s="11"/>
      <c r="Q851" s="348" t="str">
        <f t="shared" si="112"/>
        <v/>
      </c>
      <c r="R851" s="348" t="str">
        <f t="shared" si="113"/>
        <v/>
      </c>
      <c r="S851" s="348" t="str">
        <f t="shared" si="114"/>
        <v/>
      </c>
      <c r="T851" s="348" t="str">
        <f t="shared" si="115"/>
        <v/>
      </c>
      <c r="U851" s="348" t="str">
        <f t="shared" si="116"/>
        <v/>
      </c>
      <c r="V851" s="348" t="str">
        <f t="shared" si="117"/>
        <v/>
      </c>
      <c r="W851" s="348" t="str">
        <f t="shared" si="118"/>
        <v/>
      </c>
      <c r="X851" s="348" t="str">
        <f t="shared" si="119"/>
        <v/>
      </c>
    </row>
    <row r="852" spans="1:24" x14ac:dyDescent="0.2">
      <c r="A852" s="407">
        <v>844</v>
      </c>
      <c r="B852" s="438"/>
      <c r="C852" s="438"/>
      <c r="D852" s="438"/>
      <c r="E852" s="438"/>
      <c r="F852" s="438"/>
      <c r="G852" s="438"/>
      <c r="H852" s="438"/>
      <c r="I852" s="438"/>
      <c r="J852" s="11"/>
      <c r="Q852" s="348" t="str">
        <f t="shared" si="112"/>
        <v/>
      </c>
      <c r="R852" s="348" t="str">
        <f t="shared" si="113"/>
        <v/>
      </c>
      <c r="S852" s="348" t="str">
        <f t="shared" si="114"/>
        <v/>
      </c>
      <c r="T852" s="348" t="str">
        <f t="shared" si="115"/>
        <v/>
      </c>
      <c r="U852" s="348" t="str">
        <f t="shared" si="116"/>
        <v/>
      </c>
      <c r="V852" s="348" t="str">
        <f t="shared" si="117"/>
        <v/>
      </c>
      <c r="W852" s="348" t="str">
        <f t="shared" si="118"/>
        <v/>
      </c>
      <c r="X852" s="348" t="str">
        <f t="shared" si="119"/>
        <v/>
      </c>
    </row>
    <row r="853" spans="1:24" x14ac:dyDescent="0.2">
      <c r="A853" s="407">
        <v>845</v>
      </c>
      <c r="B853" s="438"/>
      <c r="C853" s="438"/>
      <c r="D853" s="438"/>
      <c r="E853" s="438"/>
      <c r="F853" s="438"/>
      <c r="G853" s="438"/>
      <c r="H853" s="438"/>
      <c r="I853" s="438"/>
      <c r="J853" s="11"/>
      <c r="Q853" s="348" t="str">
        <f t="shared" si="112"/>
        <v/>
      </c>
      <c r="R853" s="348" t="str">
        <f t="shared" si="113"/>
        <v/>
      </c>
      <c r="S853" s="348" t="str">
        <f t="shared" si="114"/>
        <v/>
      </c>
      <c r="T853" s="348" t="str">
        <f t="shared" si="115"/>
        <v/>
      </c>
      <c r="U853" s="348" t="str">
        <f t="shared" si="116"/>
        <v/>
      </c>
      <c r="V853" s="348" t="str">
        <f t="shared" si="117"/>
        <v/>
      </c>
      <c r="W853" s="348" t="str">
        <f t="shared" si="118"/>
        <v/>
      </c>
      <c r="X853" s="348" t="str">
        <f t="shared" si="119"/>
        <v/>
      </c>
    </row>
    <row r="854" spans="1:24" x14ac:dyDescent="0.2">
      <c r="A854" s="407">
        <v>846</v>
      </c>
      <c r="B854" s="438"/>
      <c r="C854" s="438"/>
      <c r="D854" s="438"/>
      <c r="E854" s="438"/>
      <c r="F854" s="438"/>
      <c r="G854" s="438"/>
      <c r="H854" s="438"/>
      <c r="I854" s="438"/>
      <c r="J854" s="11"/>
      <c r="Q854" s="348" t="str">
        <f t="shared" si="112"/>
        <v/>
      </c>
      <c r="R854" s="348" t="str">
        <f t="shared" si="113"/>
        <v/>
      </c>
      <c r="S854" s="348" t="str">
        <f t="shared" si="114"/>
        <v/>
      </c>
      <c r="T854" s="348" t="str">
        <f t="shared" si="115"/>
        <v/>
      </c>
      <c r="U854" s="348" t="str">
        <f t="shared" si="116"/>
        <v/>
      </c>
      <c r="V854" s="348" t="str">
        <f t="shared" si="117"/>
        <v/>
      </c>
      <c r="W854" s="348" t="str">
        <f t="shared" si="118"/>
        <v/>
      </c>
      <c r="X854" s="348" t="str">
        <f t="shared" si="119"/>
        <v/>
      </c>
    </row>
    <row r="855" spans="1:24" x14ac:dyDescent="0.2">
      <c r="A855" s="407">
        <v>847</v>
      </c>
      <c r="B855" s="438"/>
      <c r="C855" s="438"/>
      <c r="D855" s="438"/>
      <c r="E855" s="438"/>
      <c r="F855" s="438"/>
      <c r="G855" s="438"/>
      <c r="H855" s="438"/>
      <c r="I855" s="438"/>
      <c r="J855" s="11"/>
      <c r="Q855" s="348" t="str">
        <f t="shared" si="112"/>
        <v/>
      </c>
      <c r="R855" s="348" t="str">
        <f t="shared" si="113"/>
        <v/>
      </c>
      <c r="S855" s="348" t="str">
        <f t="shared" si="114"/>
        <v/>
      </c>
      <c r="T855" s="348" t="str">
        <f t="shared" si="115"/>
        <v/>
      </c>
      <c r="U855" s="348" t="str">
        <f t="shared" si="116"/>
        <v/>
      </c>
      <c r="V855" s="348" t="str">
        <f t="shared" si="117"/>
        <v/>
      </c>
      <c r="W855" s="348" t="str">
        <f t="shared" si="118"/>
        <v/>
      </c>
      <c r="X855" s="348" t="str">
        <f t="shared" si="119"/>
        <v/>
      </c>
    </row>
    <row r="856" spans="1:24" x14ac:dyDescent="0.2">
      <c r="A856" s="407">
        <v>848</v>
      </c>
      <c r="B856" s="438"/>
      <c r="C856" s="438"/>
      <c r="D856" s="438"/>
      <c r="E856" s="438"/>
      <c r="F856" s="438"/>
      <c r="G856" s="438"/>
      <c r="H856" s="438"/>
      <c r="I856" s="438"/>
      <c r="J856" s="11"/>
      <c r="Q856" s="348" t="str">
        <f t="shared" si="112"/>
        <v/>
      </c>
      <c r="R856" s="348" t="str">
        <f t="shared" si="113"/>
        <v/>
      </c>
      <c r="S856" s="348" t="str">
        <f t="shared" si="114"/>
        <v/>
      </c>
      <c r="T856" s="348" t="str">
        <f t="shared" si="115"/>
        <v/>
      </c>
      <c r="U856" s="348" t="str">
        <f t="shared" si="116"/>
        <v/>
      </c>
      <c r="V856" s="348" t="str">
        <f t="shared" si="117"/>
        <v/>
      </c>
      <c r="W856" s="348" t="str">
        <f t="shared" si="118"/>
        <v/>
      </c>
      <c r="X856" s="348" t="str">
        <f t="shared" si="119"/>
        <v/>
      </c>
    </row>
    <row r="857" spans="1:24" x14ac:dyDescent="0.2">
      <c r="A857" s="407">
        <v>849</v>
      </c>
      <c r="B857" s="438"/>
      <c r="C857" s="438"/>
      <c r="D857" s="438"/>
      <c r="E857" s="438"/>
      <c r="F857" s="438"/>
      <c r="G857" s="438"/>
      <c r="H857" s="438"/>
      <c r="I857" s="438"/>
      <c r="J857" s="11"/>
      <c r="Q857" s="348" t="str">
        <f t="shared" si="112"/>
        <v/>
      </c>
      <c r="R857" s="348" t="str">
        <f t="shared" si="113"/>
        <v/>
      </c>
      <c r="S857" s="348" t="str">
        <f t="shared" si="114"/>
        <v/>
      </c>
      <c r="T857" s="348" t="str">
        <f t="shared" si="115"/>
        <v/>
      </c>
      <c r="U857" s="348" t="str">
        <f t="shared" si="116"/>
        <v/>
      </c>
      <c r="V857" s="348" t="str">
        <f t="shared" si="117"/>
        <v/>
      </c>
      <c r="W857" s="348" t="str">
        <f t="shared" si="118"/>
        <v/>
      </c>
      <c r="X857" s="348" t="str">
        <f t="shared" si="119"/>
        <v/>
      </c>
    </row>
    <row r="858" spans="1:24" x14ac:dyDescent="0.2">
      <c r="A858" s="407">
        <v>850</v>
      </c>
      <c r="B858" s="438"/>
      <c r="C858" s="437"/>
      <c r="D858" s="438"/>
      <c r="E858" s="438"/>
      <c r="F858" s="438"/>
      <c r="G858" s="438"/>
      <c r="H858" s="438"/>
      <c r="I858" s="437"/>
      <c r="J858" s="11"/>
      <c r="Q858" s="348" t="str">
        <f t="shared" si="112"/>
        <v/>
      </c>
      <c r="R858" s="348" t="str">
        <f t="shared" si="113"/>
        <v/>
      </c>
      <c r="S858" s="348" t="str">
        <f t="shared" si="114"/>
        <v/>
      </c>
      <c r="T858" s="348" t="str">
        <f t="shared" si="115"/>
        <v/>
      </c>
      <c r="U858" s="348" t="str">
        <f t="shared" si="116"/>
        <v/>
      </c>
      <c r="V858" s="348" t="str">
        <f t="shared" si="117"/>
        <v/>
      </c>
      <c r="W858" s="348" t="str">
        <f t="shared" si="118"/>
        <v/>
      </c>
      <c r="X858" s="348" t="str">
        <f t="shared" si="119"/>
        <v/>
      </c>
    </row>
    <row r="859" spans="1:24" x14ac:dyDescent="0.2">
      <c r="A859" s="407">
        <v>851</v>
      </c>
      <c r="B859" s="438"/>
      <c r="C859" s="438"/>
      <c r="D859" s="438"/>
      <c r="E859" s="437"/>
      <c r="F859" s="438"/>
      <c r="G859" s="438"/>
      <c r="H859" s="438"/>
      <c r="I859" s="438"/>
      <c r="J859" s="11"/>
      <c r="Q859" s="348" t="str">
        <f t="shared" si="112"/>
        <v/>
      </c>
      <c r="R859" s="348" t="str">
        <f t="shared" si="113"/>
        <v/>
      </c>
      <c r="S859" s="348" t="str">
        <f t="shared" si="114"/>
        <v/>
      </c>
      <c r="T859" s="348" t="str">
        <f t="shared" si="115"/>
        <v/>
      </c>
      <c r="U859" s="348" t="str">
        <f t="shared" si="116"/>
        <v/>
      </c>
      <c r="V859" s="348" t="str">
        <f t="shared" si="117"/>
        <v/>
      </c>
      <c r="W859" s="348" t="str">
        <f t="shared" si="118"/>
        <v/>
      </c>
      <c r="X859" s="348" t="str">
        <f t="shared" si="119"/>
        <v/>
      </c>
    </row>
    <row r="860" spans="1:24" x14ac:dyDescent="0.2">
      <c r="A860" s="407">
        <v>852</v>
      </c>
      <c r="B860" s="438"/>
      <c r="C860" s="438"/>
      <c r="D860" s="438"/>
      <c r="E860" s="438"/>
      <c r="F860" s="438"/>
      <c r="G860" s="438"/>
      <c r="H860" s="438"/>
      <c r="I860" s="438"/>
      <c r="J860" s="11"/>
      <c r="Q860" s="348" t="str">
        <f t="shared" si="112"/>
        <v/>
      </c>
      <c r="R860" s="348" t="str">
        <f t="shared" si="113"/>
        <v/>
      </c>
      <c r="S860" s="348" t="str">
        <f t="shared" si="114"/>
        <v/>
      </c>
      <c r="T860" s="348" t="str">
        <f t="shared" si="115"/>
        <v/>
      </c>
      <c r="U860" s="348" t="str">
        <f t="shared" si="116"/>
        <v/>
      </c>
      <c r="V860" s="348" t="str">
        <f t="shared" si="117"/>
        <v/>
      </c>
      <c r="W860" s="348" t="str">
        <f t="shared" si="118"/>
        <v/>
      </c>
      <c r="X860" s="348" t="str">
        <f t="shared" si="119"/>
        <v/>
      </c>
    </row>
    <row r="861" spans="1:24" x14ac:dyDescent="0.2">
      <c r="A861" s="407">
        <v>853</v>
      </c>
      <c r="B861" s="437"/>
      <c r="C861" s="438"/>
      <c r="D861" s="438"/>
      <c r="E861" s="438"/>
      <c r="F861" s="438"/>
      <c r="G861" s="438"/>
      <c r="H861" s="438"/>
      <c r="I861" s="438"/>
      <c r="J861" s="11"/>
      <c r="Q861" s="348" t="str">
        <f t="shared" si="112"/>
        <v/>
      </c>
      <c r="R861" s="348" t="str">
        <f t="shared" si="113"/>
        <v/>
      </c>
      <c r="S861" s="348" t="str">
        <f t="shared" si="114"/>
        <v/>
      </c>
      <c r="T861" s="348" t="str">
        <f t="shared" si="115"/>
        <v/>
      </c>
      <c r="U861" s="348" t="str">
        <f t="shared" si="116"/>
        <v/>
      </c>
      <c r="V861" s="348" t="str">
        <f t="shared" si="117"/>
        <v/>
      </c>
      <c r="W861" s="348" t="str">
        <f t="shared" si="118"/>
        <v/>
      </c>
      <c r="X861" s="348" t="str">
        <f t="shared" si="119"/>
        <v/>
      </c>
    </row>
    <row r="862" spans="1:24" x14ac:dyDescent="0.2">
      <c r="A862" s="407">
        <v>854</v>
      </c>
      <c r="B862" s="438"/>
      <c r="C862" s="438"/>
      <c r="D862" s="438"/>
      <c r="E862" s="438"/>
      <c r="F862" s="438"/>
      <c r="G862" s="438"/>
      <c r="H862" s="438"/>
      <c r="I862" s="438"/>
      <c r="J862" s="11"/>
      <c r="Q862" s="348" t="str">
        <f t="shared" si="112"/>
        <v/>
      </c>
      <c r="R862" s="348" t="str">
        <f t="shared" si="113"/>
        <v/>
      </c>
      <c r="S862" s="348" t="str">
        <f t="shared" si="114"/>
        <v/>
      </c>
      <c r="T862" s="348" t="str">
        <f t="shared" si="115"/>
        <v/>
      </c>
      <c r="U862" s="348" t="str">
        <f t="shared" si="116"/>
        <v/>
      </c>
      <c r="V862" s="348" t="str">
        <f t="shared" si="117"/>
        <v/>
      </c>
      <c r="W862" s="348" t="str">
        <f t="shared" si="118"/>
        <v/>
      </c>
      <c r="X862" s="348" t="str">
        <f t="shared" si="119"/>
        <v/>
      </c>
    </row>
    <row r="863" spans="1:24" x14ac:dyDescent="0.2">
      <c r="A863" s="407">
        <v>855</v>
      </c>
      <c r="B863" s="438"/>
      <c r="C863" s="438"/>
      <c r="D863" s="438"/>
      <c r="E863" s="438"/>
      <c r="F863" s="438"/>
      <c r="G863" s="438"/>
      <c r="H863" s="438"/>
      <c r="I863" s="438"/>
      <c r="J863" s="11"/>
      <c r="Q863" s="348" t="str">
        <f t="shared" si="112"/>
        <v/>
      </c>
      <c r="R863" s="348" t="str">
        <f t="shared" si="113"/>
        <v/>
      </c>
      <c r="S863" s="348" t="str">
        <f t="shared" si="114"/>
        <v/>
      </c>
      <c r="T863" s="348" t="str">
        <f t="shared" si="115"/>
        <v/>
      </c>
      <c r="U863" s="348" t="str">
        <f t="shared" si="116"/>
        <v/>
      </c>
      <c r="V863" s="348" t="str">
        <f t="shared" si="117"/>
        <v/>
      </c>
      <c r="W863" s="348" t="str">
        <f t="shared" si="118"/>
        <v/>
      </c>
      <c r="X863" s="348" t="str">
        <f t="shared" si="119"/>
        <v/>
      </c>
    </row>
    <row r="864" spans="1:24" x14ac:dyDescent="0.2">
      <c r="A864" s="407">
        <v>856</v>
      </c>
      <c r="B864" s="438"/>
      <c r="C864" s="438"/>
      <c r="D864" s="438"/>
      <c r="E864" s="438"/>
      <c r="F864" s="438"/>
      <c r="G864" s="438"/>
      <c r="H864" s="438"/>
      <c r="I864" s="438"/>
      <c r="J864" s="11"/>
      <c r="Q864" s="348" t="str">
        <f t="shared" si="112"/>
        <v/>
      </c>
      <c r="R864" s="348" t="str">
        <f t="shared" si="113"/>
        <v/>
      </c>
      <c r="S864" s="348" t="str">
        <f t="shared" si="114"/>
        <v/>
      </c>
      <c r="T864" s="348" t="str">
        <f t="shared" si="115"/>
        <v/>
      </c>
      <c r="U864" s="348" t="str">
        <f t="shared" si="116"/>
        <v/>
      </c>
      <c r="V864" s="348" t="str">
        <f t="shared" si="117"/>
        <v/>
      </c>
      <c r="W864" s="348" t="str">
        <f t="shared" si="118"/>
        <v/>
      </c>
      <c r="X864" s="348" t="str">
        <f t="shared" si="119"/>
        <v/>
      </c>
    </row>
    <row r="865" spans="1:24" x14ac:dyDescent="0.2">
      <c r="A865" s="407">
        <v>857</v>
      </c>
      <c r="B865" s="438"/>
      <c r="C865" s="438"/>
      <c r="D865" s="438"/>
      <c r="E865" s="438"/>
      <c r="F865" s="438"/>
      <c r="G865" s="438"/>
      <c r="H865" s="438"/>
      <c r="I865" s="438"/>
      <c r="J865" s="11"/>
      <c r="Q865" s="348" t="str">
        <f t="shared" si="112"/>
        <v/>
      </c>
      <c r="R865" s="348" t="str">
        <f t="shared" si="113"/>
        <v/>
      </c>
      <c r="S865" s="348" t="str">
        <f t="shared" si="114"/>
        <v/>
      </c>
      <c r="T865" s="348" t="str">
        <f t="shared" si="115"/>
        <v/>
      </c>
      <c r="U865" s="348" t="str">
        <f t="shared" si="116"/>
        <v/>
      </c>
      <c r="V865" s="348" t="str">
        <f t="shared" si="117"/>
        <v/>
      </c>
      <c r="W865" s="348" t="str">
        <f t="shared" si="118"/>
        <v/>
      </c>
      <c r="X865" s="348" t="str">
        <f t="shared" si="119"/>
        <v/>
      </c>
    </row>
    <row r="866" spans="1:24" x14ac:dyDescent="0.2">
      <c r="A866" s="407">
        <v>858</v>
      </c>
      <c r="B866" s="438"/>
      <c r="C866" s="438"/>
      <c r="D866" s="438"/>
      <c r="E866" s="438"/>
      <c r="F866" s="438"/>
      <c r="G866" s="438"/>
      <c r="H866" s="438"/>
      <c r="I866" s="438"/>
      <c r="J866" s="11"/>
      <c r="Q866" s="348" t="str">
        <f t="shared" si="112"/>
        <v/>
      </c>
      <c r="R866" s="348" t="str">
        <f t="shared" si="113"/>
        <v/>
      </c>
      <c r="S866" s="348" t="str">
        <f t="shared" si="114"/>
        <v/>
      </c>
      <c r="T866" s="348" t="str">
        <f t="shared" si="115"/>
        <v/>
      </c>
      <c r="U866" s="348" t="str">
        <f t="shared" si="116"/>
        <v/>
      </c>
      <c r="V866" s="348" t="str">
        <f t="shared" si="117"/>
        <v/>
      </c>
      <c r="W866" s="348" t="str">
        <f t="shared" si="118"/>
        <v/>
      </c>
      <c r="X866" s="348" t="str">
        <f t="shared" si="119"/>
        <v/>
      </c>
    </row>
    <row r="867" spans="1:24" x14ac:dyDescent="0.2">
      <c r="A867" s="407">
        <v>859</v>
      </c>
      <c r="B867" s="438"/>
      <c r="C867" s="438"/>
      <c r="D867" s="438"/>
      <c r="E867" s="438"/>
      <c r="F867" s="438"/>
      <c r="G867" s="438"/>
      <c r="H867" s="438"/>
      <c r="I867" s="438"/>
      <c r="J867" s="11"/>
      <c r="Q867" s="348" t="str">
        <f t="shared" si="112"/>
        <v/>
      </c>
      <c r="R867" s="348" t="str">
        <f t="shared" si="113"/>
        <v/>
      </c>
      <c r="S867" s="348" t="str">
        <f t="shared" si="114"/>
        <v/>
      </c>
      <c r="T867" s="348" t="str">
        <f t="shared" si="115"/>
        <v/>
      </c>
      <c r="U867" s="348" t="str">
        <f t="shared" si="116"/>
        <v/>
      </c>
      <c r="V867" s="348" t="str">
        <f t="shared" si="117"/>
        <v/>
      </c>
      <c r="W867" s="348" t="str">
        <f t="shared" si="118"/>
        <v/>
      </c>
      <c r="X867" s="348" t="str">
        <f t="shared" si="119"/>
        <v/>
      </c>
    </row>
    <row r="868" spans="1:24" x14ac:dyDescent="0.2">
      <c r="A868" s="407">
        <v>860</v>
      </c>
      <c r="B868" s="438"/>
      <c r="C868" s="438"/>
      <c r="D868" s="438"/>
      <c r="E868" s="438"/>
      <c r="F868" s="438"/>
      <c r="G868" s="438"/>
      <c r="H868" s="438"/>
      <c r="I868" s="438"/>
      <c r="J868" s="11"/>
      <c r="Q868" s="348" t="str">
        <f t="shared" si="112"/>
        <v/>
      </c>
      <c r="R868" s="348" t="str">
        <f t="shared" si="113"/>
        <v/>
      </c>
      <c r="S868" s="348" t="str">
        <f t="shared" si="114"/>
        <v/>
      </c>
      <c r="T868" s="348" t="str">
        <f t="shared" si="115"/>
        <v/>
      </c>
      <c r="U868" s="348" t="str">
        <f t="shared" si="116"/>
        <v/>
      </c>
      <c r="V868" s="348" t="str">
        <f t="shared" si="117"/>
        <v/>
      </c>
      <c r="W868" s="348" t="str">
        <f t="shared" si="118"/>
        <v/>
      </c>
      <c r="X868" s="348" t="str">
        <f t="shared" si="119"/>
        <v/>
      </c>
    </row>
    <row r="869" spans="1:24" x14ac:dyDescent="0.2">
      <c r="A869" s="407">
        <v>861</v>
      </c>
      <c r="B869" s="438"/>
      <c r="C869" s="438"/>
      <c r="D869" s="438"/>
      <c r="E869" s="438"/>
      <c r="F869" s="438"/>
      <c r="G869" s="438"/>
      <c r="H869" s="438"/>
      <c r="I869" s="438"/>
      <c r="J869" s="11"/>
      <c r="Q869" s="348" t="str">
        <f t="shared" si="112"/>
        <v/>
      </c>
      <c r="R869" s="348" t="str">
        <f t="shared" si="113"/>
        <v/>
      </c>
      <c r="S869" s="348" t="str">
        <f t="shared" si="114"/>
        <v/>
      </c>
      <c r="T869" s="348" t="str">
        <f t="shared" si="115"/>
        <v/>
      </c>
      <c r="U869" s="348" t="str">
        <f t="shared" si="116"/>
        <v/>
      </c>
      <c r="V869" s="348" t="str">
        <f t="shared" si="117"/>
        <v/>
      </c>
      <c r="W869" s="348" t="str">
        <f t="shared" si="118"/>
        <v/>
      </c>
      <c r="X869" s="348" t="str">
        <f t="shared" si="119"/>
        <v/>
      </c>
    </row>
    <row r="870" spans="1:24" x14ac:dyDescent="0.2">
      <c r="A870" s="407">
        <v>862</v>
      </c>
      <c r="B870" s="438"/>
      <c r="C870" s="438"/>
      <c r="D870" s="438"/>
      <c r="E870" s="438"/>
      <c r="F870" s="438"/>
      <c r="G870" s="437"/>
      <c r="H870" s="438"/>
      <c r="I870" s="438"/>
      <c r="J870" s="11"/>
      <c r="Q870" s="348" t="str">
        <f t="shared" si="112"/>
        <v/>
      </c>
      <c r="R870" s="348" t="str">
        <f t="shared" si="113"/>
        <v/>
      </c>
      <c r="S870" s="348" t="str">
        <f t="shared" si="114"/>
        <v/>
      </c>
      <c r="T870" s="348" t="str">
        <f t="shared" si="115"/>
        <v/>
      </c>
      <c r="U870" s="348" t="str">
        <f t="shared" si="116"/>
        <v/>
      </c>
      <c r="V870" s="348" t="str">
        <f t="shared" si="117"/>
        <v/>
      </c>
      <c r="W870" s="348" t="str">
        <f t="shared" si="118"/>
        <v/>
      </c>
      <c r="X870" s="348" t="str">
        <f t="shared" si="119"/>
        <v/>
      </c>
    </row>
    <row r="871" spans="1:24" x14ac:dyDescent="0.2">
      <c r="A871" s="407">
        <v>863</v>
      </c>
      <c r="B871" s="438"/>
      <c r="C871" s="438"/>
      <c r="D871" s="438"/>
      <c r="E871" s="438"/>
      <c r="F871" s="438"/>
      <c r="G871" s="438"/>
      <c r="H871" s="438"/>
      <c r="I871" s="438"/>
      <c r="J871" s="11"/>
      <c r="Q871" s="348" t="str">
        <f t="shared" si="112"/>
        <v/>
      </c>
      <c r="R871" s="348" t="str">
        <f t="shared" si="113"/>
        <v/>
      </c>
      <c r="S871" s="348" t="str">
        <f t="shared" si="114"/>
        <v/>
      </c>
      <c r="T871" s="348" t="str">
        <f t="shared" si="115"/>
        <v/>
      </c>
      <c r="U871" s="348" t="str">
        <f t="shared" si="116"/>
        <v/>
      </c>
      <c r="V871" s="348" t="str">
        <f t="shared" si="117"/>
        <v/>
      </c>
      <c r="W871" s="348" t="str">
        <f t="shared" si="118"/>
        <v/>
      </c>
      <c r="X871" s="348" t="str">
        <f t="shared" si="119"/>
        <v/>
      </c>
    </row>
    <row r="872" spans="1:24" x14ac:dyDescent="0.2">
      <c r="A872" s="407">
        <v>864</v>
      </c>
      <c r="B872" s="438"/>
      <c r="C872" s="437"/>
      <c r="D872" s="438"/>
      <c r="E872" s="438"/>
      <c r="F872" s="437"/>
      <c r="G872" s="438"/>
      <c r="H872" s="437"/>
      <c r="I872" s="438"/>
      <c r="J872" s="11"/>
      <c r="Q872" s="348" t="str">
        <f t="shared" si="112"/>
        <v/>
      </c>
      <c r="R872" s="348" t="str">
        <f t="shared" si="113"/>
        <v/>
      </c>
      <c r="S872" s="348" t="str">
        <f t="shared" si="114"/>
        <v/>
      </c>
      <c r="T872" s="348" t="str">
        <f t="shared" si="115"/>
        <v/>
      </c>
      <c r="U872" s="348" t="str">
        <f t="shared" si="116"/>
        <v/>
      </c>
      <c r="V872" s="348" t="str">
        <f t="shared" si="117"/>
        <v/>
      </c>
      <c r="W872" s="348" t="str">
        <f t="shared" si="118"/>
        <v/>
      </c>
      <c r="X872" s="348" t="str">
        <f t="shared" si="119"/>
        <v/>
      </c>
    </row>
    <row r="873" spans="1:24" x14ac:dyDescent="0.2">
      <c r="A873" s="407">
        <v>865</v>
      </c>
      <c r="B873" s="438"/>
      <c r="C873" s="438"/>
      <c r="D873" s="438"/>
      <c r="E873" s="438"/>
      <c r="F873" s="438"/>
      <c r="G873" s="438"/>
      <c r="H873" s="438"/>
      <c r="I873" s="438"/>
      <c r="J873" s="11"/>
      <c r="Q873" s="348" t="str">
        <f t="shared" si="112"/>
        <v/>
      </c>
      <c r="R873" s="348" t="str">
        <f t="shared" si="113"/>
        <v/>
      </c>
      <c r="S873" s="348" t="str">
        <f t="shared" si="114"/>
        <v/>
      </c>
      <c r="T873" s="348" t="str">
        <f t="shared" si="115"/>
        <v/>
      </c>
      <c r="U873" s="348" t="str">
        <f t="shared" si="116"/>
        <v/>
      </c>
      <c r="V873" s="348" t="str">
        <f t="shared" si="117"/>
        <v/>
      </c>
      <c r="W873" s="348" t="str">
        <f t="shared" si="118"/>
        <v/>
      </c>
      <c r="X873" s="348" t="str">
        <f t="shared" si="119"/>
        <v/>
      </c>
    </row>
    <row r="874" spans="1:24" x14ac:dyDescent="0.2">
      <c r="A874" s="407">
        <v>866</v>
      </c>
      <c r="B874" s="438"/>
      <c r="C874" s="438"/>
      <c r="D874" s="438"/>
      <c r="E874" s="438"/>
      <c r="F874" s="438"/>
      <c r="G874" s="438"/>
      <c r="H874" s="438"/>
      <c r="I874" s="438"/>
      <c r="J874" s="11"/>
      <c r="Q874" s="348" t="str">
        <f t="shared" si="112"/>
        <v/>
      </c>
      <c r="R874" s="348" t="str">
        <f t="shared" si="113"/>
        <v/>
      </c>
      <c r="S874" s="348" t="str">
        <f t="shared" si="114"/>
        <v/>
      </c>
      <c r="T874" s="348" t="str">
        <f t="shared" si="115"/>
        <v/>
      </c>
      <c r="U874" s="348" t="str">
        <f t="shared" si="116"/>
        <v/>
      </c>
      <c r="V874" s="348" t="str">
        <f t="shared" si="117"/>
        <v/>
      </c>
      <c r="W874" s="348" t="str">
        <f t="shared" si="118"/>
        <v/>
      </c>
      <c r="X874" s="348" t="str">
        <f t="shared" si="119"/>
        <v/>
      </c>
    </row>
    <row r="875" spans="1:24" x14ac:dyDescent="0.2">
      <c r="A875" s="407">
        <v>867</v>
      </c>
      <c r="B875" s="437"/>
      <c r="C875" s="438"/>
      <c r="D875" s="438"/>
      <c r="E875" s="438"/>
      <c r="F875" s="438"/>
      <c r="G875" s="438"/>
      <c r="H875" s="438"/>
      <c r="I875" s="438"/>
      <c r="J875" s="11"/>
      <c r="Q875" s="348" t="str">
        <f t="shared" si="112"/>
        <v/>
      </c>
      <c r="R875" s="348" t="str">
        <f t="shared" si="113"/>
        <v/>
      </c>
      <c r="S875" s="348" t="str">
        <f t="shared" si="114"/>
        <v/>
      </c>
      <c r="T875" s="348" t="str">
        <f t="shared" si="115"/>
        <v/>
      </c>
      <c r="U875" s="348" t="str">
        <f t="shared" si="116"/>
        <v/>
      </c>
      <c r="V875" s="348" t="str">
        <f t="shared" si="117"/>
        <v/>
      </c>
      <c r="W875" s="348" t="str">
        <f t="shared" si="118"/>
        <v/>
      </c>
      <c r="X875" s="348" t="str">
        <f t="shared" si="119"/>
        <v/>
      </c>
    </row>
    <row r="876" spans="1:24" x14ac:dyDescent="0.2">
      <c r="A876" s="407">
        <v>868</v>
      </c>
      <c r="B876" s="438"/>
      <c r="C876" s="438"/>
      <c r="D876" s="438"/>
      <c r="E876" s="438"/>
      <c r="F876" s="438"/>
      <c r="G876" s="438"/>
      <c r="H876" s="438"/>
      <c r="I876" s="438"/>
      <c r="J876" s="11"/>
      <c r="Q876" s="348" t="str">
        <f t="shared" si="112"/>
        <v/>
      </c>
      <c r="R876" s="348" t="str">
        <f t="shared" si="113"/>
        <v/>
      </c>
      <c r="S876" s="348" t="str">
        <f t="shared" si="114"/>
        <v/>
      </c>
      <c r="T876" s="348" t="str">
        <f t="shared" si="115"/>
        <v/>
      </c>
      <c r="U876" s="348" t="str">
        <f t="shared" si="116"/>
        <v/>
      </c>
      <c r="V876" s="348" t="str">
        <f t="shared" si="117"/>
        <v/>
      </c>
      <c r="W876" s="348" t="str">
        <f t="shared" si="118"/>
        <v/>
      </c>
      <c r="X876" s="348" t="str">
        <f t="shared" si="119"/>
        <v/>
      </c>
    </row>
    <row r="877" spans="1:24" x14ac:dyDescent="0.2">
      <c r="A877" s="407">
        <v>869</v>
      </c>
      <c r="B877" s="438"/>
      <c r="C877" s="438"/>
      <c r="D877" s="438"/>
      <c r="E877" s="437"/>
      <c r="F877" s="438"/>
      <c r="G877" s="438"/>
      <c r="H877" s="438"/>
      <c r="I877" s="438"/>
      <c r="J877" s="11"/>
      <c r="Q877" s="348" t="str">
        <f t="shared" si="112"/>
        <v/>
      </c>
      <c r="R877" s="348" t="str">
        <f t="shared" si="113"/>
        <v/>
      </c>
      <c r="S877" s="348" t="str">
        <f t="shared" si="114"/>
        <v/>
      </c>
      <c r="T877" s="348" t="str">
        <f t="shared" si="115"/>
        <v/>
      </c>
      <c r="U877" s="348" t="str">
        <f t="shared" si="116"/>
        <v/>
      </c>
      <c r="V877" s="348" t="str">
        <f t="shared" si="117"/>
        <v/>
      </c>
      <c r="W877" s="348" t="str">
        <f t="shared" si="118"/>
        <v/>
      </c>
      <c r="X877" s="348" t="str">
        <f t="shared" si="119"/>
        <v/>
      </c>
    </row>
    <row r="878" spans="1:24" x14ac:dyDescent="0.2">
      <c r="A878" s="407">
        <v>870</v>
      </c>
      <c r="B878" s="438"/>
      <c r="C878" s="438"/>
      <c r="D878" s="438"/>
      <c r="E878" s="438"/>
      <c r="F878" s="438"/>
      <c r="G878" s="438"/>
      <c r="H878" s="438"/>
      <c r="I878" s="438"/>
      <c r="J878" s="11"/>
      <c r="Q878" s="348" t="str">
        <f t="shared" si="112"/>
        <v/>
      </c>
      <c r="R878" s="348" t="str">
        <f t="shared" si="113"/>
        <v/>
      </c>
      <c r="S878" s="348" t="str">
        <f t="shared" si="114"/>
        <v/>
      </c>
      <c r="T878" s="348" t="str">
        <f t="shared" si="115"/>
        <v/>
      </c>
      <c r="U878" s="348" t="str">
        <f t="shared" si="116"/>
        <v/>
      </c>
      <c r="V878" s="348" t="str">
        <f t="shared" si="117"/>
        <v/>
      </c>
      <c r="W878" s="348" t="str">
        <f t="shared" si="118"/>
        <v/>
      </c>
      <c r="X878" s="348" t="str">
        <f t="shared" si="119"/>
        <v/>
      </c>
    </row>
    <row r="879" spans="1:24" x14ac:dyDescent="0.2">
      <c r="A879" s="407">
        <v>871</v>
      </c>
      <c r="B879" s="438"/>
      <c r="C879" s="438"/>
      <c r="D879" s="438"/>
      <c r="E879" s="438"/>
      <c r="F879" s="438"/>
      <c r="G879" s="438"/>
      <c r="H879" s="438"/>
      <c r="I879" s="438"/>
      <c r="J879" s="11"/>
      <c r="Q879" s="348" t="str">
        <f t="shared" si="112"/>
        <v/>
      </c>
      <c r="R879" s="348" t="str">
        <f t="shared" si="113"/>
        <v/>
      </c>
      <c r="S879" s="348" t="str">
        <f t="shared" si="114"/>
        <v/>
      </c>
      <c r="T879" s="348" t="str">
        <f t="shared" si="115"/>
        <v/>
      </c>
      <c r="U879" s="348" t="str">
        <f t="shared" si="116"/>
        <v/>
      </c>
      <c r="V879" s="348" t="str">
        <f t="shared" si="117"/>
        <v/>
      </c>
      <c r="W879" s="348" t="str">
        <f t="shared" si="118"/>
        <v/>
      </c>
      <c r="X879" s="348" t="str">
        <f t="shared" si="119"/>
        <v/>
      </c>
    </row>
    <row r="880" spans="1:24" x14ac:dyDescent="0.2">
      <c r="A880" s="407">
        <v>872</v>
      </c>
      <c r="B880" s="438"/>
      <c r="C880" s="438"/>
      <c r="D880" s="438"/>
      <c r="E880" s="438"/>
      <c r="F880" s="438"/>
      <c r="G880" s="438"/>
      <c r="H880" s="438"/>
      <c r="I880" s="438"/>
      <c r="J880" s="11"/>
      <c r="Q880" s="348" t="str">
        <f t="shared" si="112"/>
        <v/>
      </c>
      <c r="R880" s="348" t="str">
        <f t="shared" si="113"/>
        <v/>
      </c>
      <c r="S880" s="348" t="str">
        <f t="shared" si="114"/>
        <v/>
      </c>
      <c r="T880" s="348" t="str">
        <f t="shared" si="115"/>
        <v/>
      </c>
      <c r="U880" s="348" t="str">
        <f t="shared" si="116"/>
        <v/>
      </c>
      <c r="V880" s="348" t="str">
        <f t="shared" si="117"/>
        <v/>
      </c>
      <c r="W880" s="348" t="str">
        <f t="shared" si="118"/>
        <v/>
      </c>
      <c r="X880" s="348" t="str">
        <f t="shared" si="119"/>
        <v/>
      </c>
    </row>
    <row r="881" spans="1:24" x14ac:dyDescent="0.2">
      <c r="A881" s="407">
        <v>873</v>
      </c>
      <c r="B881" s="438"/>
      <c r="C881" s="438"/>
      <c r="D881" s="438"/>
      <c r="E881" s="438"/>
      <c r="F881" s="438"/>
      <c r="G881" s="438"/>
      <c r="H881" s="438"/>
      <c r="I881" s="438"/>
      <c r="J881" s="11"/>
      <c r="Q881" s="348" t="str">
        <f t="shared" si="112"/>
        <v/>
      </c>
      <c r="R881" s="348" t="str">
        <f t="shared" si="113"/>
        <v/>
      </c>
      <c r="S881" s="348" t="str">
        <f t="shared" si="114"/>
        <v/>
      </c>
      <c r="T881" s="348" t="str">
        <f t="shared" si="115"/>
        <v/>
      </c>
      <c r="U881" s="348" t="str">
        <f t="shared" si="116"/>
        <v/>
      </c>
      <c r="V881" s="348" t="str">
        <f t="shared" si="117"/>
        <v/>
      </c>
      <c r="W881" s="348" t="str">
        <f t="shared" si="118"/>
        <v/>
      </c>
      <c r="X881" s="348" t="str">
        <f t="shared" si="119"/>
        <v/>
      </c>
    </row>
    <row r="882" spans="1:24" x14ac:dyDescent="0.2">
      <c r="A882" s="407">
        <v>874</v>
      </c>
      <c r="B882" s="438"/>
      <c r="C882" s="438"/>
      <c r="D882" s="438"/>
      <c r="E882" s="438"/>
      <c r="F882" s="438"/>
      <c r="G882" s="438"/>
      <c r="H882" s="438"/>
      <c r="I882" s="438"/>
      <c r="J882" s="11"/>
      <c r="Q882" s="348" t="str">
        <f t="shared" si="112"/>
        <v/>
      </c>
      <c r="R882" s="348" t="str">
        <f t="shared" si="113"/>
        <v/>
      </c>
      <c r="S882" s="348" t="str">
        <f t="shared" si="114"/>
        <v/>
      </c>
      <c r="T882" s="348" t="str">
        <f t="shared" si="115"/>
        <v/>
      </c>
      <c r="U882" s="348" t="str">
        <f t="shared" si="116"/>
        <v/>
      </c>
      <c r="V882" s="348" t="str">
        <f t="shared" si="117"/>
        <v/>
      </c>
      <c r="W882" s="348" t="str">
        <f t="shared" si="118"/>
        <v/>
      </c>
      <c r="X882" s="348" t="str">
        <f t="shared" si="119"/>
        <v/>
      </c>
    </row>
    <row r="883" spans="1:24" x14ac:dyDescent="0.2">
      <c r="A883" s="407">
        <v>875</v>
      </c>
      <c r="B883" s="438"/>
      <c r="C883" s="438"/>
      <c r="D883" s="438"/>
      <c r="E883" s="438"/>
      <c r="F883" s="438"/>
      <c r="G883" s="438"/>
      <c r="H883" s="438"/>
      <c r="I883" s="438"/>
      <c r="J883" s="11"/>
      <c r="Q883" s="348" t="str">
        <f t="shared" si="112"/>
        <v/>
      </c>
      <c r="R883" s="348" t="str">
        <f t="shared" si="113"/>
        <v/>
      </c>
      <c r="S883" s="348" t="str">
        <f t="shared" si="114"/>
        <v/>
      </c>
      <c r="T883" s="348" t="str">
        <f t="shared" si="115"/>
        <v/>
      </c>
      <c r="U883" s="348" t="str">
        <f t="shared" si="116"/>
        <v/>
      </c>
      <c r="V883" s="348" t="str">
        <f t="shared" si="117"/>
        <v/>
      </c>
      <c r="W883" s="348" t="str">
        <f t="shared" si="118"/>
        <v/>
      </c>
      <c r="X883" s="348" t="str">
        <f t="shared" si="119"/>
        <v/>
      </c>
    </row>
    <row r="884" spans="1:24" x14ac:dyDescent="0.2">
      <c r="A884" s="407">
        <v>876</v>
      </c>
      <c r="B884" s="438"/>
      <c r="C884" s="438"/>
      <c r="D884" s="438"/>
      <c r="E884" s="438"/>
      <c r="F884" s="438"/>
      <c r="G884" s="438"/>
      <c r="H884" s="438"/>
      <c r="I884" s="438"/>
      <c r="J884" s="11"/>
      <c r="Q884" s="348" t="str">
        <f t="shared" si="112"/>
        <v/>
      </c>
      <c r="R884" s="348" t="str">
        <f t="shared" si="113"/>
        <v/>
      </c>
      <c r="S884" s="348" t="str">
        <f t="shared" si="114"/>
        <v/>
      </c>
      <c r="T884" s="348" t="str">
        <f t="shared" si="115"/>
        <v/>
      </c>
      <c r="U884" s="348" t="str">
        <f t="shared" si="116"/>
        <v/>
      </c>
      <c r="V884" s="348" t="str">
        <f t="shared" si="117"/>
        <v/>
      </c>
      <c r="W884" s="348" t="str">
        <f t="shared" si="118"/>
        <v/>
      </c>
      <c r="X884" s="348" t="str">
        <f t="shared" si="119"/>
        <v/>
      </c>
    </row>
    <row r="885" spans="1:24" x14ac:dyDescent="0.2">
      <c r="A885" s="407">
        <v>877</v>
      </c>
      <c r="B885" s="438"/>
      <c r="C885" s="438"/>
      <c r="D885" s="437"/>
      <c r="E885" s="438"/>
      <c r="F885" s="438"/>
      <c r="G885" s="438"/>
      <c r="H885" s="438"/>
      <c r="I885" s="438"/>
      <c r="J885" s="11"/>
      <c r="Q885" s="348" t="str">
        <f t="shared" si="112"/>
        <v/>
      </c>
      <c r="R885" s="348" t="str">
        <f t="shared" si="113"/>
        <v/>
      </c>
      <c r="S885" s="348" t="str">
        <f t="shared" si="114"/>
        <v/>
      </c>
      <c r="T885" s="348" t="str">
        <f t="shared" si="115"/>
        <v/>
      </c>
      <c r="U885" s="348" t="str">
        <f t="shared" si="116"/>
        <v/>
      </c>
      <c r="V885" s="348" t="str">
        <f t="shared" si="117"/>
        <v/>
      </c>
      <c r="W885" s="348" t="str">
        <f t="shared" si="118"/>
        <v/>
      </c>
      <c r="X885" s="348" t="str">
        <f t="shared" si="119"/>
        <v/>
      </c>
    </row>
    <row r="886" spans="1:24" x14ac:dyDescent="0.2">
      <c r="A886" s="407">
        <v>878</v>
      </c>
      <c r="B886" s="438"/>
      <c r="C886" s="438"/>
      <c r="D886" s="438"/>
      <c r="E886" s="438"/>
      <c r="F886" s="438"/>
      <c r="G886" s="438"/>
      <c r="H886" s="438"/>
      <c r="I886" s="438"/>
      <c r="J886" s="11"/>
      <c r="Q886" s="348" t="str">
        <f t="shared" si="112"/>
        <v/>
      </c>
      <c r="R886" s="348" t="str">
        <f t="shared" si="113"/>
        <v/>
      </c>
      <c r="S886" s="348" t="str">
        <f t="shared" si="114"/>
        <v/>
      </c>
      <c r="T886" s="348" t="str">
        <f t="shared" si="115"/>
        <v/>
      </c>
      <c r="U886" s="348" t="str">
        <f t="shared" si="116"/>
        <v/>
      </c>
      <c r="V886" s="348" t="str">
        <f t="shared" si="117"/>
        <v/>
      </c>
      <c r="W886" s="348" t="str">
        <f t="shared" si="118"/>
        <v/>
      </c>
      <c r="X886" s="348" t="str">
        <f t="shared" si="119"/>
        <v/>
      </c>
    </row>
    <row r="887" spans="1:24" x14ac:dyDescent="0.2">
      <c r="A887" s="407">
        <v>879</v>
      </c>
      <c r="B887" s="438"/>
      <c r="C887" s="438"/>
      <c r="D887" s="438"/>
      <c r="E887" s="438"/>
      <c r="F887" s="438"/>
      <c r="G887" s="438"/>
      <c r="H887" s="438"/>
      <c r="I887" s="438"/>
      <c r="J887" s="11"/>
      <c r="Q887" s="348" t="str">
        <f t="shared" si="112"/>
        <v/>
      </c>
      <c r="R887" s="348" t="str">
        <f t="shared" si="113"/>
        <v/>
      </c>
      <c r="S887" s="348" t="str">
        <f t="shared" si="114"/>
        <v/>
      </c>
      <c r="T887" s="348" t="str">
        <f t="shared" si="115"/>
        <v/>
      </c>
      <c r="U887" s="348" t="str">
        <f t="shared" si="116"/>
        <v/>
      </c>
      <c r="V887" s="348" t="str">
        <f t="shared" si="117"/>
        <v/>
      </c>
      <c r="W887" s="348" t="str">
        <f t="shared" si="118"/>
        <v/>
      </c>
      <c r="X887" s="348" t="str">
        <f t="shared" si="119"/>
        <v/>
      </c>
    </row>
    <row r="888" spans="1:24" x14ac:dyDescent="0.2">
      <c r="A888" s="407">
        <v>880</v>
      </c>
      <c r="B888" s="438"/>
      <c r="C888" s="438"/>
      <c r="D888" s="438"/>
      <c r="E888" s="438"/>
      <c r="F888" s="438"/>
      <c r="G888" s="438"/>
      <c r="H888" s="438"/>
      <c r="I888" s="438"/>
      <c r="J888" s="11"/>
      <c r="Q888" s="348" t="str">
        <f t="shared" si="112"/>
        <v/>
      </c>
      <c r="R888" s="348" t="str">
        <f t="shared" si="113"/>
        <v/>
      </c>
      <c r="S888" s="348" t="str">
        <f t="shared" si="114"/>
        <v/>
      </c>
      <c r="T888" s="348" t="str">
        <f t="shared" si="115"/>
        <v/>
      </c>
      <c r="U888" s="348" t="str">
        <f t="shared" si="116"/>
        <v/>
      </c>
      <c r="V888" s="348" t="str">
        <f t="shared" si="117"/>
        <v/>
      </c>
      <c r="W888" s="348" t="str">
        <f t="shared" si="118"/>
        <v/>
      </c>
      <c r="X888" s="348" t="str">
        <f t="shared" si="119"/>
        <v/>
      </c>
    </row>
    <row r="889" spans="1:24" x14ac:dyDescent="0.2">
      <c r="A889" s="407">
        <v>881</v>
      </c>
      <c r="B889" s="438"/>
      <c r="C889" s="438"/>
      <c r="D889" s="438"/>
      <c r="E889" s="438"/>
      <c r="F889" s="438"/>
      <c r="G889" s="438"/>
      <c r="H889" s="438"/>
      <c r="I889" s="438"/>
      <c r="J889" s="11"/>
      <c r="Q889" s="348" t="str">
        <f t="shared" si="112"/>
        <v/>
      </c>
      <c r="R889" s="348" t="str">
        <f t="shared" si="113"/>
        <v/>
      </c>
      <c r="S889" s="348" t="str">
        <f t="shared" si="114"/>
        <v/>
      </c>
      <c r="T889" s="348" t="str">
        <f t="shared" si="115"/>
        <v/>
      </c>
      <c r="U889" s="348" t="str">
        <f t="shared" si="116"/>
        <v/>
      </c>
      <c r="V889" s="348" t="str">
        <f t="shared" si="117"/>
        <v/>
      </c>
      <c r="W889" s="348" t="str">
        <f t="shared" si="118"/>
        <v/>
      </c>
      <c r="X889" s="348" t="str">
        <f t="shared" si="119"/>
        <v/>
      </c>
    </row>
    <row r="890" spans="1:24" x14ac:dyDescent="0.2">
      <c r="A890" s="407">
        <v>882</v>
      </c>
      <c r="B890" s="438"/>
      <c r="C890" s="438"/>
      <c r="D890" s="438"/>
      <c r="E890" s="438"/>
      <c r="F890" s="438"/>
      <c r="G890" s="438"/>
      <c r="H890" s="438"/>
      <c r="I890" s="438"/>
      <c r="J890" s="11"/>
      <c r="Q890" s="348" t="str">
        <f t="shared" si="112"/>
        <v/>
      </c>
      <c r="R890" s="348" t="str">
        <f t="shared" si="113"/>
        <v/>
      </c>
      <c r="S890" s="348" t="str">
        <f t="shared" si="114"/>
        <v/>
      </c>
      <c r="T890" s="348" t="str">
        <f t="shared" si="115"/>
        <v/>
      </c>
      <c r="U890" s="348" t="str">
        <f t="shared" si="116"/>
        <v/>
      </c>
      <c r="V890" s="348" t="str">
        <f t="shared" si="117"/>
        <v/>
      </c>
      <c r="W890" s="348" t="str">
        <f t="shared" si="118"/>
        <v/>
      </c>
      <c r="X890" s="348" t="str">
        <f t="shared" si="119"/>
        <v/>
      </c>
    </row>
    <row r="891" spans="1:24" x14ac:dyDescent="0.2">
      <c r="A891" s="407">
        <v>883</v>
      </c>
      <c r="B891" s="438"/>
      <c r="C891" s="438"/>
      <c r="D891" s="438"/>
      <c r="E891" s="438"/>
      <c r="F891" s="438"/>
      <c r="G891" s="438"/>
      <c r="H891" s="438"/>
      <c r="I891" s="438"/>
      <c r="J891" s="11"/>
      <c r="Q891" s="348" t="str">
        <f t="shared" si="112"/>
        <v/>
      </c>
      <c r="R891" s="348" t="str">
        <f t="shared" si="113"/>
        <v/>
      </c>
      <c r="S891" s="348" t="str">
        <f t="shared" si="114"/>
        <v/>
      </c>
      <c r="T891" s="348" t="str">
        <f t="shared" si="115"/>
        <v/>
      </c>
      <c r="U891" s="348" t="str">
        <f t="shared" si="116"/>
        <v/>
      </c>
      <c r="V891" s="348" t="str">
        <f t="shared" si="117"/>
        <v/>
      </c>
      <c r="W891" s="348" t="str">
        <f t="shared" si="118"/>
        <v/>
      </c>
      <c r="X891" s="348" t="str">
        <f t="shared" si="119"/>
        <v/>
      </c>
    </row>
    <row r="892" spans="1:24" x14ac:dyDescent="0.2">
      <c r="A892" s="407">
        <v>884</v>
      </c>
      <c r="B892" s="438"/>
      <c r="C892" s="438"/>
      <c r="D892" s="438"/>
      <c r="E892" s="438"/>
      <c r="F892" s="438"/>
      <c r="G892" s="438"/>
      <c r="H892" s="438"/>
      <c r="I892" s="438"/>
      <c r="J892" s="11"/>
      <c r="Q892" s="348" t="str">
        <f t="shared" si="112"/>
        <v/>
      </c>
      <c r="R892" s="348" t="str">
        <f t="shared" si="113"/>
        <v/>
      </c>
      <c r="S892" s="348" t="str">
        <f t="shared" si="114"/>
        <v/>
      </c>
      <c r="T892" s="348" t="str">
        <f t="shared" si="115"/>
        <v/>
      </c>
      <c r="U892" s="348" t="str">
        <f t="shared" si="116"/>
        <v/>
      </c>
      <c r="V892" s="348" t="str">
        <f t="shared" si="117"/>
        <v/>
      </c>
      <c r="W892" s="348" t="str">
        <f t="shared" si="118"/>
        <v/>
      </c>
      <c r="X892" s="348" t="str">
        <f t="shared" si="119"/>
        <v/>
      </c>
    </row>
    <row r="893" spans="1:24" x14ac:dyDescent="0.2">
      <c r="A893" s="407">
        <v>885</v>
      </c>
      <c r="B893" s="438"/>
      <c r="C893" s="438"/>
      <c r="D893" s="438"/>
      <c r="E893" s="438"/>
      <c r="F893" s="438"/>
      <c r="G893" s="438"/>
      <c r="H893" s="438"/>
      <c r="I893" s="438"/>
      <c r="J893" s="11"/>
      <c r="Q893" s="348" t="str">
        <f t="shared" si="112"/>
        <v/>
      </c>
      <c r="R893" s="348" t="str">
        <f t="shared" si="113"/>
        <v/>
      </c>
      <c r="S893" s="348" t="str">
        <f t="shared" si="114"/>
        <v/>
      </c>
      <c r="T893" s="348" t="str">
        <f t="shared" si="115"/>
        <v/>
      </c>
      <c r="U893" s="348" t="str">
        <f t="shared" si="116"/>
        <v/>
      </c>
      <c r="V893" s="348" t="str">
        <f t="shared" si="117"/>
        <v/>
      </c>
      <c r="W893" s="348" t="str">
        <f t="shared" si="118"/>
        <v/>
      </c>
      <c r="X893" s="348" t="str">
        <f t="shared" si="119"/>
        <v/>
      </c>
    </row>
    <row r="894" spans="1:24" x14ac:dyDescent="0.2">
      <c r="A894" s="407">
        <v>886</v>
      </c>
      <c r="B894" s="437"/>
      <c r="C894" s="438"/>
      <c r="D894" s="438"/>
      <c r="E894" s="438"/>
      <c r="F894" s="438"/>
      <c r="G894" s="438"/>
      <c r="H894" s="438"/>
      <c r="I894" s="438"/>
      <c r="J894" s="11"/>
      <c r="Q894" s="348" t="str">
        <f t="shared" si="112"/>
        <v/>
      </c>
      <c r="R894" s="348" t="str">
        <f t="shared" si="113"/>
        <v/>
      </c>
      <c r="S894" s="348" t="str">
        <f t="shared" si="114"/>
        <v/>
      </c>
      <c r="T894" s="348" t="str">
        <f t="shared" si="115"/>
        <v/>
      </c>
      <c r="U894" s="348" t="str">
        <f t="shared" si="116"/>
        <v/>
      </c>
      <c r="V894" s="348" t="str">
        <f t="shared" si="117"/>
        <v/>
      </c>
      <c r="W894" s="348" t="str">
        <f t="shared" si="118"/>
        <v/>
      </c>
      <c r="X894" s="348" t="str">
        <f t="shared" si="119"/>
        <v/>
      </c>
    </row>
    <row r="895" spans="1:24" x14ac:dyDescent="0.2">
      <c r="A895" s="407">
        <v>887</v>
      </c>
      <c r="B895" s="438"/>
      <c r="C895" s="438"/>
      <c r="D895" s="438"/>
      <c r="E895" s="438"/>
      <c r="F895" s="438"/>
      <c r="G895" s="438"/>
      <c r="H895" s="438"/>
      <c r="I895" s="438"/>
      <c r="J895" s="11"/>
      <c r="Q895" s="348" t="str">
        <f t="shared" si="112"/>
        <v/>
      </c>
      <c r="R895" s="348" t="str">
        <f t="shared" si="113"/>
        <v/>
      </c>
      <c r="S895" s="348" t="str">
        <f t="shared" si="114"/>
        <v/>
      </c>
      <c r="T895" s="348" t="str">
        <f t="shared" si="115"/>
        <v/>
      </c>
      <c r="U895" s="348" t="str">
        <f t="shared" si="116"/>
        <v/>
      </c>
      <c r="V895" s="348" t="str">
        <f t="shared" si="117"/>
        <v/>
      </c>
      <c r="W895" s="348" t="str">
        <f t="shared" si="118"/>
        <v/>
      </c>
      <c r="X895" s="348" t="str">
        <f t="shared" si="119"/>
        <v/>
      </c>
    </row>
    <row r="896" spans="1:24" x14ac:dyDescent="0.2">
      <c r="A896" s="407">
        <v>888</v>
      </c>
      <c r="B896" s="438"/>
      <c r="C896" s="438"/>
      <c r="D896" s="438"/>
      <c r="E896" s="438"/>
      <c r="F896" s="438"/>
      <c r="G896" s="438"/>
      <c r="H896" s="438"/>
      <c r="I896" s="438"/>
      <c r="J896" s="11"/>
      <c r="Q896" s="348" t="str">
        <f t="shared" si="112"/>
        <v/>
      </c>
      <c r="R896" s="348" t="str">
        <f t="shared" si="113"/>
        <v/>
      </c>
      <c r="S896" s="348" t="str">
        <f t="shared" si="114"/>
        <v/>
      </c>
      <c r="T896" s="348" t="str">
        <f t="shared" si="115"/>
        <v/>
      </c>
      <c r="U896" s="348" t="str">
        <f t="shared" si="116"/>
        <v/>
      </c>
      <c r="V896" s="348" t="str">
        <f t="shared" si="117"/>
        <v/>
      </c>
      <c r="W896" s="348" t="str">
        <f t="shared" si="118"/>
        <v/>
      </c>
      <c r="X896" s="348" t="str">
        <f t="shared" si="119"/>
        <v/>
      </c>
    </row>
    <row r="897" spans="1:24" x14ac:dyDescent="0.2">
      <c r="A897" s="407">
        <v>889</v>
      </c>
      <c r="B897" s="438"/>
      <c r="C897" s="438"/>
      <c r="D897" s="438"/>
      <c r="E897" s="438"/>
      <c r="F897" s="438"/>
      <c r="G897" s="438"/>
      <c r="H897" s="438"/>
      <c r="I897" s="437"/>
      <c r="J897" s="11"/>
      <c r="Q897" s="348" t="str">
        <f t="shared" si="112"/>
        <v/>
      </c>
      <c r="R897" s="348" t="str">
        <f t="shared" si="113"/>
        <v/>
      </c>
      <c r="S897" s="348" t="str">
        <f t="shared" si="114"/>
        <v/>
      </c>
      <c r="T897" s="348" t="str">
        <f t="shared" si="115"/>
        <v/>
      </c>
      <c r="U897" s="348" t="str">
        <f t="shared" si="116"/>
        <v/>
      </c>
      <c r="V897" s="348" t="str">
        <f t="shared" si="117"/>
        <v/>
      </c>
      <c r="W897" s="348" t="str">
        <f t="shared" si="118"/>
        <v/>
      </c>
      <c r="X897" s="348" t="str">
        <f t="shared" si="119"/>
        <v/>
      </c>
    </row>
    <row r="898" spans="1:24" x14ac:dyDescent="0.2">
      <c r="A898" s="407">
        <v>890</v>
      </c>
      <c r="B898" s="438"/>
      <c r="C898" s="438"/>
      <c r="D898" s="438"/>
      <c r="E898" s="438"/>
      <c r="F898" s="438"/>
      <c r="G898" s="438"/>
      <c r="H898" s="438"/>
      <c r="I898" s="438"/>
      <c r="J898" s="11"/>
      <c r="Q898" s="348" t="str">
        <f t="shared" si="112"/>
        <v/>
      </c>
      <c r="R898" s="348" t="str">
        <f t="shared" si="113"/>
        <v/>
      </c>
      <c r="S898" s="348" t="str">
        <f t="shared" si="114"/>
        <v/>
      </c>
      <c r="T898" s="348" t="str">
        <f t="shared" si="115"/>
        <v/>
      </c>
      <c r="U898" s="348" t="str">
        <f t="shared" si="116"/>
        <v/>
      </c>
      <c r="V898" s="348" t="str">
        <f t="shared" si="117"/>
        <v/>
      </c>
      <c r="W898" s="348" t="str">
        <f t="shared" si="118"/>
        <v/>
      </c>
      <c r="X898" s="348" t="str">
        <f t="shared" si="119"/>
        <v/>
      </c>
    </row>
    <row r="899" spans="1:24" x14ac:dyDescent="0.2">
      <c r="A899" s="407">
        <v>891</v>
      </c>
      <c r="B899" s="438"/>
      <c r="C899" s="438"/>
      <c r="D899" s="438"/>
      <c r="E899" s="438"/>
      <c r="F899" s="438"/>
      <c r="G899" s="438"/>
      <c r="H899" s="438"/>
      <c r="I899" s="438"/>
      <c r="J899" s="11"/>
      <c r="Q899" s="348" t="str">
        <f t="shared" si="112"/>
        <v/>
      </c>
      <c r="R899" s="348" t="str">
        <f t="shared" si="113"/>
        <v/>
      </c>
      <c r="S899" s="348" t="str">
        <f t="shared" si="114"/>
        <v/>
      </c>
      <c r="T899" s="348" t="str">
        <f t="shared" si="115"/>
        <v/>
      </c>
      <c r="U899" s="348" t="str">
        <f t="shared" si="116"/>
        <v/>
      </c>
      <c r="V899" s="348" t="str">
        <f t="shared" si="117"/>
        <v/>
      </c>
      <c r="W899" s="348" t="str">
        <f t="shared" si="118"/>
        <v/>
      </c>
      <c r="X899" s="348" t="str">
        <f t="shared" si="119"/>
        <v/>
      </c>
    </row>
    <row r="900" spans="1:24" x14ac:dyDescent="0.2">
      <c r="A900" s="407">
        <v>892</v>
      </c>
      <c r="B900" s="438"/>
      <c r="C900" s="438"/>
      <c r="D900" s="438"/>
      <c r="E900" s="438"/>
      <c r="F900" s="438"/>
      <c r="G900" s="438"/>
      <c r="H900" s="438"/>
      <c r="I900" s="438"/>
      <c r="J900" s="11"/>
      <c r="Q900" s="348" t="str">
        <f t="shared" si="112"/>
        <v/>
      </c>
      <c r="R900" s="348" t="str">
        <f t="shared" si="113"/>
        <v/>
      </c>
      <c r="S900" s="348" t="str">
        <f t="shared" si="114"/>
        <v/>
      </c>
      <c r="T900" s="348" t="str">
        <f t="shared" si="115"/>
        <v/>
      </c>
      <c r="U900" s="348" t="str">
        <f t="shared" si="116"/>
        <v/>
      </c>
      <c r="V900" s="348" t="str">
        <f t="shared" si="117"/>
        <v/>
      </c>
      <c r="W900" s="348" t="str">
        <f t="shared" si="118"/>
        <v/>
      </c>
      <c r="X900" s="348" t="str">
        <f t="shared" si="119"/>
        <v/>
      </c>
    </row>
    <row r="901" spans="1:24" x14ac:dyDescent="0.2">
      <c r="A901" s="407">
        <v>893</v>
      </c>
      <c r="B901" s="438"/>
      <c r="C901" s="437"/>
      <c r="D901" s="438"/>
      <c r="E901" s="438"/>
      <c r="F901" s="438"/>
      <c r="G901" s="438"/>
      <c r="H901" s="438"/>
      <c r="I901" s="438"/>
      <c r="J901" s="11"/>
      <c r="Q901" s="348" t="str">
        <f t="shared" si="112"/>
        <v/>
      </c>
      <c r="R901" s="348" t="str">
        <f t="shared" si="113"/>
        <v/>
      </c>
      <c r="S901" s="348" t="str">
        <f t="shared" si="114"/>
        <v/>
      </c>
      <c r="T901" s="348" t="str">
        <f t="shared" si="115"/>
        <v/>
      </c>
      <c r="U901" s="348" t="str">
        <f t="shared" si="116"/>
        <v/>
      </c>
      <c r="V901" s="348" t="str">
        <f t="shared" si="117"/>
        <v/>
      </c>
      <c r="W901" s="348" t="str">
        <f t="shared" si="118"/>
        <v/>
      </c>
      <c r="X901" s="348" t="str">
        <f t="shared" si="119"/>
        <v/>
      </c>
    </row>
    <row r="902" spans="1:24" x14ac:dyDescent="0.2">
      <c r="A902" s="407">
        <v>894</v>
      </c>
      <c r="B902" s="437"/>
      <c r="C902" s="438"/>
      <c r="D902" s="438"/>
      <c r="E902" s="437"/>
      <c r="F902" s="438"/>
      <c r="G902" s="438"/>
      <c r="H902" s="438"/>
      <c r="I902" s="438"/>
      <c r="J902" s="11"/>
      <c r="Q902" s="348" t="str">
        <f t="shared" si="112"/>
        <v/>
      </c>
      <c r="R902" s="348" t="str">
        <f t="shared" si="113"/>
        <v/>
      </c>
      <c r="S902" s="348" t="str">
        <f t="shared" si="114"/>
        <v/>
      </c>
      <c r="T902" s="348" t="str">
        <f t="shared" si="115"/>
        <v/>
      </c>
      <c r="U902" s="348" t="str">
        <f t="shared" si="116"/>
        <v/>
      </c>
      <c r="V902" s="348" t="str">
        <f t="shared" si="117"/>
        <v/>
      </c>
      <c r="W902" s="348" t="str">
        <f t="shared" si="118"/>
        <v/>
      </c>
      <c r="X902" s="348" t="str">
        <f t="shared" si="119"/>
        <v/>
      </c>
    </row>
    <row r="903" spans="1:24" x14ac:dyDescent="0.2">
      <c r="A903" s="407">
        <v>895</v>
      </c>
      <c r="B903" s="438"/>
      <c r="C903" s="438"/>
      <c r="D903" s="438"/>
      <c r="E903" s="438"/>
      <c r="F903" s="438"/>
      <c r="G903" s="438"/>
      <c r="H903" s="438"/>
      <c r="I903" s="438"/>
      <c r="J903" s="11"/>
      <c r="Q903" s="348" t="str">
        <f t="shared" si="112"/>
        <v/>
      </c>
      <c r="R903" s="348" t="str">
        <f t="shared" si="113"/>
        <v/>
      </c>
      <c r="S903" s="348" t="str">
        <f t="shared" si="114"/>
        <v/>
      </c>
      <c r="T903" s="348" t="str">
        <f t="shared" si="115"/>
        <v/>
      </c>
      <c r="U903" s="348" t="str">
        <f t="shared" si="116"/>
        <v/>
      </c>
      <c r="V903" s="348" t="str">
        <f t="shared" si="117"/>
        <v/>
      </c>
      <c r="W903" s="348" t="str">
        <f t="shared" si="118"/>
        <v/>
      </c>
      <c r="X903" s="348" t="str">
        <f t="shared" si="119"/>
        <v/>
      </c>
    </row>
    <row r="904" spans="1:24" x14ac:dyDescent="0.2">
      <c r="A904" s="407">
        <v>896</v>
      </c>
      <c r="B904" s="438"/>
      <c r="C904" s="438"/>
      <c r="D904" s="438"/>
      <c r="E904" s="438"/>
      <c r="F904" s="438"/>
      <c r="G904" s="438"/>
      <c r="H904" s="438"/>
      <c r="I904" s="438"/>
      <c r="J904" s="11"/>
      <c r="Q904" s="348" t="str">
        <f t="shared" si="112"/>
        <v/>
      </c>
      <c r="R904" s="348" t="str">
        <f t="shared" si="113"/>
        <v/>
      </c>
      <c r="S904" s="348" t="str">
        <f t="shared" si="114"/>
        <v/>
      </c>
      <c r="T904" s="348" t="str">
        <f t="shared" si="115"/>
        <v/>
      </c>
      <c r="U904" s="348" t="str">
        <f t="shared" si="116"/>
        <v/>
      </c>
      <c r="V904" s="348" t="str">
        <f t="shared" si="117"/>
        <v/>
      </c>
      <c r="W904" s="348" t="str">
        <f t="shared" si="118"/>
        <v/>
      </c>
      <c r="X904" s="348" t="str">
        <f t="shared" si="119"/>
        <v/>
      </c>
    </row>
    <row r="905" spans="1:24" x14ac:dyDescent="0.2">
      <c r="A905" s="407">
        <v>897</v>
      </c>
      <c r="B905" s="438"/>
      <c r="C905" s="438"/>
      <c r="D905" s="438"/>
      <c r="E905" s="438"/>
      <c r="F905" s="438"/>
      <c r="G905" s="438"/>
      <c r="H905" s="438"/>
      <c r="I905" s="438"/>
      <c r="J905" s="11"/>
      <c r="Q905" s="348" t="str">
        <f t="shared" si="112"/>
        <v/>
      </c>
      <c r="R905" s="348" t="str">
        <f t="shared" si="113"/>
        <v/>
      </c>
      <c r="S905" s="348" t="str">
        <f t="shared" si="114"/>
        <v/>
      </c>
      <c r="T905" s="348" t="str">
        <f t="shared" si="115"/>
        <v/>
      </c>
      <c r="U905" s="348" t="str">
        <f t="shared" si="116"/>
        <v/>
      </c>
      <c r="V905" s="348" t="str">
        <f t="shared" si="117"/>
        <v/>
      </c>
      <c r="W905" s="348" t="str">
        <f t="shared" si="118"/>
        <v/>
      </c>
      <c r="X905" s="348" t="str">
        <f t="shared" si="119"/>
        <v/>
      </c>
    </row>
    <row r="906" spans="1:24" x14ac:dyDescent="0.2">
      <c r="A906" s="407">
        <v>898</v>
      </c>
      <c r="B906" s="438"/>
      <c r="C906" s="438"/>
      <c r="D906" s="438"/>
      <c r="E906" s="438"/>
      <c r="F906" s="438"/>
      <c r="G906" s="438"/>
      <c r="H906" s="438"/>
      <c r="I906" s="438"/>
      <c r="J906" s="11"/>
      <c r="Q906" s="348" t="str">
        <f t="shared" ref="Q906:Q969" si="120">IFERROR(B906^4*$AB$9+B906^3*$AC$9+B906^2*$AD$9+B906^1*$AE$9+B906^0*$AF$9,"")</f>
        <v/>
      </c>
      <c r="R906" s="348" t="str">
        <f t="shared" ref="R906:R969" si="121">IFERROR(C906^4*$AB$10+C906^3*$AC$10+C906^2*$AD$10+C906^1*$AE$10+C906^0*$AF$10,"")</f>
        <v/>
      </c>
      <c r="S906" s="348" t="str">
        <f t="shared" ref="S906:S969" si="122">IFERROR(D906^4*$AB$11+D906^3*$AC$11+D906^2*$AD$11+D906^1*$AE$11+D906^0*$AF$11,"")</f>
        <v/>
      </c>
      <c r="T906" s="348" t="str">
        <f t="shared" ref="T906:T969" si="123">IFERROR(E906^4*$AB$12+E906^3*$AC$12+E906^2*$AD$12+E906^1*$AE$12+E906^0*$AF$12,"")</f>
        <v/>
      </c>
      <c r="U906" s="348" t="str">
        <f t="shared" ref="U906:U969" si="124">IFERROR(F906^4*$AB$13+F906^3*$AC$13+F906^2*$AD$13+F906^1*$AE$13+F906^0*$AF$13,"")</f>
        <v/>
      </c>
      <c r="V906" s="348" t="str">
        <f t="shared" ref="V906:V969" si="125">IFERROR(G906^4*$AB$14+G906^3*$AC$14+G906^2*$AD$14+G906^1*$AE$14+G906^0*$AF$14,"")</f>
        <v/>
      </c>
      <c r="W906" s="348" t="str">
        <f t="shared" ref="W906:W969" si="126">IFERROR(H906^4*$AB$15+H906^3*$AC$15+H906^2*$AD$15+H906^1*$AE$15+H906^0*$AF$15,"")</f>
        <v/>
      </c>
      <c r="X906" s="348" t="str">
        <f t="shared" ref="X906:X969" si="127">IFERROR(I906^4*$AB$16+I906^3*$AC$16+I906^2*$AD$16+I906^1*$AE$16+I906^0*$AF$16,"")</f>
        <v/>
      </c>
    </row>
    <row r="907" spans="1:24" x14ac:dyDescent="0.2">
      <c r="A907" s="407">
        <v>899</v>
      </c>
      <c r="B907" s="438"/>
      <c r="C907" s="438"/>
      <c r="D907" s="437"/>
      <c r="E907" s="438"/>
      <c r="F907" s="438"/>
      <c r="G907" s="437"/>
      <c r="H907" s="438"/>
      <c r="I907" s="438"/>
      <c r="J907" s="11"/>
      <c r="Q907" s="348" t="str">
        <f t="shared" si="120"/>
        <v/>
      </c>
      <c r="R907" s="348" t="str">
        <f t="shared" si="121"/>
        <v/>
      </c>
      <c r="S907" s="348" t="str">
        <f t="shared" si="122"/>
        <v/>
      </c>
      <c r="T907" s="348" t="str">
        <f t="shared" si="123"/>
        <v/>
      </c>
      <c r="U907" s="348" t="str">
        <f t="shared" si="124"/>
        <v/>
      </c>
      <c r="V907" s="348" t="str">
        <f t="shared" si="125"/>
        <v/>
      </c>
      <c r="W907" s="348" t="str">
        <f t="shared" si="126"/>
        <v/>
      </c>
      <c r="X907" s="348" t="str">
        <f t="shared" si="127"/>
        <v/>
      </c>
    </row>
    <row r="908" spans="1:24" x14ac:dyDescent="0.2">
      <c r="A908" s="407">
        <v>900</v>
      </c>
      <c r="B908" s="438"/>
      <c r="C908" s="438"/>
      <c r="D908" s="438"/>
      <c r="E908" s="438"/>
      <c r="F908" s="438"/>
      <c r="G908" s="438"/>
      <c r="H908" s="438"/>
      <c r="I908" s="438"/>
      <c r="J908" s="11"/>
      <c r="Q908" s="348" t="str">
        <f t="shared" si="120"/>
        <v/>
      </c>
      <c r="R908" s="348" t="str">
        <f t="shared" si="121"/>
        <v/>
      </c>
      <c r="S908" s="348" t="str">
        <f t="shared" si="122"/>
        <v/>
      </c>
      <c r="T908" s="348" t="str">
        <f t="shared" si="123"/>
        <v/>
      </c>
      <c r="U908" s="348" t="str">
        <f t="shared" si="124"/>
        <v/>
      </c>
      <c r="V908" s="348" t="str">
        <f t="shared" si="125"/>
        <v/>
      </c>
      <c r="W908" s="348" t="str">
        <f t="shared" si="126"/>
        <v/>
      </c>
      <c r="X908" s="348" t="str">
        <f t="shared" si="127"/>
        <v/>
      </c>
    </row>
    <row r="909" spans="1:24" x14ac:dyDescent="0.2">
      <c r="A909" s="407">
        <v>901</v>
      </c>
      <c r="B909" s="438"/>
      <c r="C909" s="437"/>
      <c r="D909" s="438"/>
      <c r="E909" s="437"/>
      <c r="F909" s="437"/>
      <c r="G909" s="437"/>
      <c r="H909" s="437"/>
      <c r="I909" s="438"/>
      <c r="J909" s="11"/>
      <c r="Q909" s="348" t="str">
        <f t="shared" si="120"/>
        <v/>
      </c>
      <c r="R909" s="348" t="str">
        <f t="shared" si="121"/>
        <v/>
      </c>
      <c r="S909" s="348" t="str">
        <f t="shared" si="122"/>
        <v/>
      </c>
      <c r="T909" s="348" t="str">
        <f t="shared" si="123"/>
        <v/>
      </c>
      <c r="U909" s="348" t="str">
        <f t="shared" si="124"/>
        <v/>
      </c>
      <c r="V909" s="348" t="str">
        <f t="shared" si="125"/>
        <v/>
      </c>
      <c r="W909" s="348" t="str">
        <f t="shared" si="126"/>
        <v/>
      </c>
      <c r="X909" s="348" t="str">
        <f t="shared" si="127"/>
        <v/>
      </c>
    </row>
    <row r="910" spans="1:24" x14ac:dyDescent="0.2">
      <c r="A910" s="407">
        <v>902</v>
      </c>
      <c r="B910" s="438"/>
      <c r="C910" s="438"/>
      <c r="D910" s="438"/>
      <c r="E910" s="438"/>
      <c r="F910" s="438"/>
      <c r="G910" s="438"/>
      <c r="H910" s="438"/>
      <c r="I910" s="438"/>
      <c r="J910" s="11"/>
      <c r="Q910" s="348" t="str">
        <f t="shared" si="120"/>
        <v/>
      </c>
      <c r="R910" s="348" t="str">
        <f t="shared" si="121"/>
        <v/>
      </c>
      <c r="S910" s="348" t="str">
        <f t="shared" si="122"/>
        <v/>
      </c>
      <c r="T910" s="348" t="str">
        <f t="shared" si="123"/>
        <v/>
      </c>
      <c r="U910" s="348" t="str">
        <f t="shared" si="124"/>
        <v/>
      </c>
      <c r="V910" s="348" t="str">
        <f t="shared" si="125"/>
        <v/>
      </c>
      <c r="W910" s="348" t="str">
        <f t="shared" si="126"/>
        <v/>
      </c>
      <c r="X910" s="348" t="str">
        <f t="shared" si="127"/>
        <v/>
      </c>
    </row>
    <row r="911" spans="1:24" x14ac:dyDescent="0.2">
      <c r="A911" s="407">
        <v>903</v>
      </c>
      <c r="B911" s="438"/>
      <c r="C911" s="438"/>
      <c r="D911" s="438"/>
      <c r="E911" s="438"/>
      <c r="F911" s="438"/>
      <c r="G911" s="438"/>
      <c r="H911" s="438"/>
      <c r="I911" s="438"/>
      <c r="J911" s="11"/>
      <c r="Q911" s="348" t="str">
        <f t="shared" si="120"/>
        <v/>
      </c>
      <c r="R911" s="348" t="str">
        <f t="shared" si="121"/>
        <v/>
      </c>
      <c r="S911" s="348" t="str">
        <f t="shared" si="122"/>
        <v/>
      </c>
      <c r="T911" s="348" t="str">
        <f t="shared" si="123"/>
        <v/>
      </c>
      <c r="U911" s="348" t="str">
        <f t="shared" si="124"/>
        <v/>
      </c>
      <c r="V911" s="348" t="str">
        <f t="shared" si="125"/>
        <v/>
      </c>
      <c r="W911" s="348" t="str">
        <f t="shared" si="126"/>
        <v/>
      </c>
      <c r="X911" s="348" t="str">
        <f t="shared" si="127"/>
        <v/>
      </c>
    </row>
    <row r="912" spans="1:24" x14ac:dyDescent="0.2">
      <c r="A912" s="407">
        <v>904</v>
      </c>
      <c r="B912" s="438"/>
      <c r="C912" s="438"/>
      <c r="D912" s="438"/>
      <c r="E912" s="438"/>
      <c r="F912" s="438"/>
      <c r="G912" s="438"/>
      <c r="H912" s="438"/>
      <c r="I912" s="438"/>
      <c r="J912" s="11"/>
      <c r="Q912" s="348" t="str">
        <f t="shared" si="120"/>
        <v/>
      </c>
      <c r="R912" s="348" t="str">
        <f t="shared" si="121"/>
        <v/>
      </c>
      <c r="S912" s="348" t="str">
        <f t="shared" si="122"/>
        <v/>
      </c>
      <c r="T912" s="348" t="str">
        <f t="shared" si="123"/>
        <v/>
      </c>
      <c r="U912" s="348" t="str">
        <f t="shared" si="124"/>
        <v/>
      </c>
      <c r="V912" s="348" t="str">
        <f t="shared" si="125"/>
        <v/>
      </c>
      <c r="W912" s="348" t="str">
        <f t="shared" si="126"/>
        <v/>
      </c>
      <c r="X912" s="348" t="str">
        <f t="shared" si="127"/>
        <v/>
      </c>
    </row>
    <row r="913" spans="1:24" x14ac:dyDescent="0.2">
      <c r="A913" s="407">
        <v>905</v>
      </c>
      <c r="B913" s="438"/>
      <c r="C913" s="438"/>
      <c r="D913" s="438"/>
      <c r="E913" s="438"/>
      <c r="F913" s="438"/>
      <c r="G913" s="438"/>
      <c r="H913" s="438"/>
      <c r="I913" s="438"/>
      <c r="J913" s="11"/>
      <c r="Q913" s="348" t="str">
        <f t="shared" si="120"/>
        <v/>
      </c>
      <c r="R913" s="348" t="str">
        <f t="shared" si="121"/>
        <v/>
      </c>
      <c r="S913" s="348" t="str">
        <f t="shared" si="122"/>
        <v/>
      </c>
      <c r="T913" s="348" t="str">
        <f t="shared" si="123"/>
        <v/>
      </c>
      <c r="U913" s="348" t="str">
        <f t="shared" si="124"/>
        <v/>
      </c>
      <c r="V913" s="348" t="str">
        <f t="shared" si="125"/>
        <v/>
      </c>
      <c r="W913" s="348" t="str">
        <f t="shared" si="126"/>
        <v/>
      </c>
      <c r="X913" s="348" t="str">
        <f t="shared" si="127"/>
        <v/>
      </c>
    </row>
    <row r="914" spans="1:24" x14ac:dyDescent="0.2">
      <c r="A914" s="407">
        <v>906</v>
      </c>
      <c r="B914" s="438"/>
      <c r="C914" s="438"/>
      <c r="D914" s="438"/>
      <c r="E914" s="438"/>
      <c r="F914" s="438"/>
      <c r="G914" s="438"/>
      <c r="H914" s="438"/>
      <c r="I914" s="438"/>
      <c r="J914" s="11"/>
      <c r="Q914" s="348" t="str">
        <f t="shared" si="120"/>
        <v/>
      </c>
      <c r="R914" s="348" t="str">
        <f t="shared" si="121"/>
        <v/>
      </c>
      <c r="S914" s="348" t="str">
        <f t="shared" si="122"/>
        <v/>
      </c>
      <c r="T914" s="348" t="str">
        <f t="shared" si="123"/>
        <v/>
      </c>
      <c r="U914" s="348" t="str">
        <f t="shared" si="124"/>
        <v/>
      </c>
      <c r="V914" s="348" t="str">
        <f t="shared" si="125"/>
        <v/>
      </c>
      <c r="W914" s="348" t="str">
        <f t="shared" si="126"/>
        <v/>
      </c>
      <c r="X914" s="348" t="str">
        <f t="shared" si="127"/>
        <v/>
      </c>
    </row>
    <row r="915" spans="1:24" x14ac:dyDescent="0.2">
      <c r="A915" s="407">
        <v>907</v>
      </c>
      <c r="B915" s="438"/>
      <c r="C915" s="438"/>
      <c r="D915" s="438"/>
      <c r="E915" s="438"/>
      <c r="F915" s="438"/>
      <c r="G915" s="438"/>
      <c r="H915" s="438"/>
      <c r="I915" s="438"/>
      <c r="J915" s="11"/>
      <c r="Q915" s="348" t="str">
        <f t="shared" si="120"/>
        <v/>
      </c>
      <c r="R915" s="348" t="str">
        <f t="shared" si="121"/>
        <v/>
      </c>
      <c r="S915" s="348" t="str">
        <f t="shared" si="122"/>
        <v/>
      </c>
      <c r="T915" s="348" t="str">
        <f t="shared" si="123"/>
        <v/>
      </c>
      <c r="U915" s="348" t="str">
        <f t="shared" si="124"/>
        <v/>
      </c>
      <c r="V915" s="348" t="str">
        <f t="shared" si="125"/>
        <v/>
      </c>
      <c r="W915" s="348" t="str">
        <f t="shared" si="126"/>
        <v/>
      </c>
      <c r="X915" s="348" t="str">
        <f t="shared" si="127"/>
        <v/>
      </c>
    </row>
    <row r="916" spans="1:24" x14ac:dyDescent="0.2">
      <c r="A916" s="407">
        <v>908</v>
      </c>
      <c r="B916" s="437"/>
      <c r="C916" s="438"/>
      <c r="D916" s="438"/>
      <c r="E916" s="438"/>
      <c r="F916" s="438"/>
      <c r="G916" s="438"/>
      <c r="H916" s="438"/>
      <c r="I916" s="438"/>
      <c r="J916" s="11"/>
      <c r="Q916" s="348" t="str">
        <f t="shared" si="120"/>
        <v/>
      </c>
      <c r="R916" s="348" t="str">
        <f t="shared" si="121"/>
        <v/>
      </c>
      <c r="S916" s="348" t="str">
        <f t="shared" si="122"/>
        <v/>
      </c>
      <c r="T916" s="348" t="str">
        <f t="shared" si="123"/>
        <v/>
      </c>
      <c r="U916" s="348" t="str">
        <f t="shared" si="124"/>
        <v/>
      </c>
      <c r="V916" s="348" t="str">
        <f t="shared" si="125"/>
        <v/>
      </c>
      <c r="W916" s="348" t="str">
        <f t="shared" si="126"/>
        <v/>
      </c>
      <c r="X916" s="348" t="str">
        <f t="shared" si="127"/>
        <v/>
      </c>
    </row>
    <row r="917" spans="1:24" x14ac:dyDescent="0.2">
      <c r="A917" s="407">
        <v>909</v>
      </c>
      <c r="B917" s="438"/>
      <c r="C917" s="438"/>
      <c r="D917" s="438"/>
      <c r="E917" s="438"/>
      <c r="F917" s="438"/>
      <c r="G917" s="438"/>
      <c r="H917" s="438"/>
      <c r="I917" s="438"/>
      <c r="J917" s="11"/>
      <c r="Q917" s="348" t="str">
        <f t="shared" si="120"/>
        <v/>
      </c>
      <c r="R917" s="348" t="str">
        <f t="shared" si="121"/>
        <v/>
      </c>
      <c r="S917" s="348" t="str">
        <f t="shared" si="122"/>
        <v/>
      </c>
      <c r="T917" s="348" t="str">
        <f t="shared" si="123"/>
        <v/>
      </c>
      <c r="U917" s="348" t="str">
        <f t="shared" si="124"/>
        <v/>
      </c>
      <c r="V917" s="348" t="str">
        <f t="shared" si="125"/>
        <v/>
      </c>
      <c r="W917" s="348" t="str">
        <f t="shared" si="126"/>
        <v/>
      </c>
      <c r="X917" s="348" t="str">
        <f t="shared" si="127"/>
        <v/>
      </c>
    </row>
    <row r="918" spans="1:24" x14ac:dyDescent="0.2">
      <c r="A918" s="407">
        <v>910</v>
      </c>
      <c r="B918" s="438"/>
      <c r="C918" s="438"/>
      <c r="D918" s="438"/>
      <c r="E918" s="438"/>
      <c r="F918" s="438"/>
      <c r="G918" s="438"/>
      <c r="H918" s="438"/>
      <c r="I918" s="438"/>
      <c r="J918" s="11"/>
      <c r="Q918" s="348" t="str">
        <f t="shared" si="120"/>
        <v/>
      </c>
      <c r="R918" s="348" t="str">
        <f t="shared" si="121"/>
        <v/>
      </c>
      <c r="S918" s="348" t="str">
        <f t="shared" si="122"/>
        <v/>
      </c>
      <c r="T918" s="348" t="str">
        <f t="shared" si="123"/>
        <v/>
      </c>
      <c r="U918" s="348" t="str">
        <f t="shared" si="124"/>
        <v/>
      </c>
      <c r="V918" s="348" t="str">
        <f t="shared" si="125"/>
        <v/>
      </c>
      <c r="W918" s="348" t="str">
        <f t="shared" si="126"/>
        <v/>
      </c>
      <c r="X918" s="348" t="str">
        <f t="shared" si="127"/>
        <v/>
      </c>
    </row>
    <row r="919" spans="1:24" x14ac:dyDescent="0.2">
      <c r="A919" s="407">
        <v>911</v>
      </c>
      <c r="B919" s="438"/>
      <c r="C919" s="438"/>
      <c r="D919" s="438"/>
      <c r="E919" s="438"/>
      <c r="F919" s="438"/>
      <c r="G919" s="438"/>
      <c r="H919" s="438"/>
      <c r="I919" s="438"/>
      <c r="J919" s="11"/>
      <c r="Q919" s="348" t="str">
        <f t="shared" si="120"/>
        <v/>
      </c>
      <c r="R919" s="348" t="str">
        <f t="shared" si="121"/>
        <v/>
      </c>
      <c r="S919" s="348" t="str">
        <f t="shared" si="122"/>
        <v/>
      </c>
      <c r="T919" s="348" t="str">
        <f t="shared" si="123"/>
        <v/>
      </c>
      <c r="U919" s="348" t="str">
        <f t="shared" si="124"/>
        <v/>
      </c>
      <c r="V919" s="348" t="str">
        <f t="shared" si="125"/>
        <v/>
      </c>
      <c r="W919" s="348" t="str">
        <f t="shared" si="126"/>
        <v/>
      </c>
      <c r="X919" s="348" t="str">
        <f t="shared" si="127"/>
        <v/>
      </c>
    </row>
    <row r="920" spans="1:24" x14ac:dyDescent="0.2">
      <c r="A920" s="407">
        <v>912</v>
      </c>
      <c r="B920" s="438"/>
      <c r="C920" s="438"/>
      <c r="D920" s="438"/>
      <c r="E920" s="438"/>
      <c r="F920" s="438"/>
      <c r="G920" s="438"/>
      <c r="H920" s="438"/>
      <c r="I920" s="438"/>
      <c r="J920" s="11"/>
      <c r="Q920" s="348" t="str">
        <f t="shared" si="120"/>
        <v/>
      </c>
      <c r="R920" s="348" t="str">
        <f t="shared" si="121"/>
        <v/>
      </c>
      <c r="S920" s="348" t="str">
        <f t="shared" si="122"/>
        <v/>
      </c>
      <c r="T920" s="348" t="str">
        <f t="shared" si="123"/>
        <v/>
      </c>
      <c r="U920" s="348" t="str">
        <f t="shared" si="124"/>
        <v/>
      </c>
      <c r="V920" s="348" t="str">
        <f t="shared" si="125"/>
        <v/>
      </c>
      <c r="W920" s="348" t="str">
        <f t="shared" si="126"/>
        <v/>
      </c>
      <c r="X920" s="348" t="str">
        <f t="shared" si="127"/>
        <v/>
      </c>
    </row>
    <row r="921" spans="1:24" x14ac:dyDescent="0.2">
      <c r="A921" s="407">
        <v>913</v>
      </c>
      <c r="B921" s="438"/>
      <c r="C921" s="438"/>
      <c r="D921" s="438"/>
      <c r="E921" s="438"/>
      <c r="F921" s="438"/>
      <c r="G921" s="438"/>
      <c r="H921" s="438"/>
      <c r="I921" s="438"/>
      <c r="J921" s="11"/>
      <c r="Q921" s="348" t="str">
        <f t="shared" si="120"/>
        <v/>
      </c>
      <c r="R921" s="348" t="str">
        <f t="shared" si="121"/>
        <v/>
      </c>
      <c r="S921" s="348" t="str">
        <f t="shared" si="122"/>
        <v/>
      </c>
      <c r="T921" s="348" t="str">
        <f t="shared" si="123"/>
        <v/>
      </c>
      <c r="U921" s="348" t="str">
        <f t="shared" si="124"/>
        <v/>
      </c>
      <c r="V921" s="348" t="str">
        <f t="shared" si="125"/>
        <v/>
      </c>
      <c r="W921" s="348" t="str">
        <f t="shared" si="126"/>
        <v/>
      </c>
      <c r="X921" s="348" t="str">
        <f t="shared" si="127"/>
        <v/>
      </c>
    </row>
    <row r="922" spans="1:24" x14ac:dyDescent="0.2">
      <c r="A922" s="407">
        <v>914</v>
      </c>
      <c r="B922" s="438"/>
      <c r="C922" s="438"/>
      <c r="D922" s="438"/>
      <c r="E922" s="438"/>
      <c r="F922" s="438"/>
      <c r="G922" s="438"/>
      <c r="H922" s="438"/>
      <c r="I922" s="438"/>
      <c r="J922" s="11"/>
      <c r="Q922" s="348" t="str">
        <f t="shared" si="120"/>
        <v/>
      </c>
      <c r="R922" s="348" t="str">
        <f t="shared" si="121"/>
        <v/>
      </c>
      <c r="S922" s="348" t="str">
        <f t="shared" si="122"/>
        <v/>
      </c>
      <c r="T922" s="348" t="str">
        <f t="shared" si="123"/>
        <v/>
      </c>
      <c r="U922" s="348" t="str">
        <f t="shared" si="124"/>
        <v/>
      </c>
      <c r="V922" s="348" t="str">
        <f t="shared" si="125"/>
        <v/>
      </c>
      <c r="W922" s="348" t="str">
        <f t="shared" si="126"/>
        <v/>
      </c>
      <c r="X922" s="348" t="str">
        <f t="shared" si="127"/>
        <v/>
      </c>
    </row>
    <row r="923" spans="1:24" x14ac:dyDescent="0.2">
      <c r="A923" s="407">
        <v>915</v>
      </c>
      <c r="B923" s="438"/>
      <c r="C923" s="437"/>
      <c r="D923" s="438"/>
      <c r="E923" s="438"/>
      <c r="F923" s="438"/>
      <c r="G923" s="438"/>
      <c r="H923" s="438"/>
      <c r="I923" s="438"/>
      <c r="J923" s="11"/>
      <c r="Q923" s="348" t="str">
        <f t="shared" si="120"/>
        <v/>
      </c>
      <c r="R923" s="348" t="str">
        <f t="shared" si="121"/>
        <v/>
      </c>
      <c r="S923" s="348" t="str">
        <f t="shared" si="122"/>
        <v/>
      </c>
      <c r="T923" s="348" t="str">
        <f t="shared" si="123"/>
        <v/>
      </c>
      <c r="U923" s="348" t="str">
        <f t="shared" si="124"/>
        <v/>
      </c>
      <c r="V923" s="348" t="str">
        <f t="shared" si="125"/>
        <v/>
      </c>
      <c r="W923" s="348" t="str">
        <f t="shared" si="126"/>
        <v/>
      </c>
      <c r="X923" s="348" t="str">
        <f t="shared" si="127"/>
        <v/>
      </c>
    </row>
    <row r="924" spans="1:24" x14ac:dyDescent="0.2">
      <c r="A924" s="407">
        <v>916</v>
      </c>
      <c r="B924" s="438"/>
      <c r="C924" s="438"/>
      <c r="D924" s="438"/>
      <c r="E924" s="438"/>
      <c r="F924" s="438"/>
      <c r="G924" s="438"/>
      <c r="H924" s="438"/>
      <c r="I924" s="438"/>
      <c r="J924" s="11"/>
      <c r="Q924" s="348" t="str">
        <f t="shared" si="120"/>
        <v/>
      </c>
      <c r="R924" s="348" t="str">
        <f t="shared" si="121"/>
        <v/>
      </c>
      <c r="S924" s="348" t="str">
        <f t="shared" si="122"/>
        <v/>
      </c>
      <c r="T924" s="348" t="str">
        <f t="shared" si="123"/>
        <v/>
      </c>
      <c r="U924" s="348" t="str">
        <f t="shared" si="124"/>
        <v/>
      </c>
      <c r="V924" s="348" t="str">
        <f t="shared" si="125"/>
        <v/>
      </c>
      <c r="W924" s="348" t="str">
        <f t="shared" si="126"/>
        <v/>
      </c>
      <c r="X924" s="348" t="str">
        <f t="shared" si="127"/>
        <v/>
      </c>
    </row>
    <row r="925" spans="1:24" x14ac:dyDescent="0.2">
      <c r="A925" s="407">
        <v>917</v>
      </c>
      <c r="B925" s="438"/>
      <c r="C925" s="438"/>
      <c r="D925" s="438"/>
      <c r="E925" s="438"/>
      <c r="F925" s="438"/>
      <c r="G925" s="438"/>
      <c r="H925" s="438"/>
      <c r="I925" s="438"/>
      <c r="J925" s="11"/>
      <c r="Q925" s="348" t="str">
        <f t="shared" si="120"/>
        <v/>
      </c>
      <c r="R925" s="348" t="str">
        <f t="shared" si="121"/>
        <v/>
      </c>
      <c r="S925" s="348" t="str">
        <f t="shared" si="122"/>
        <v/>
      </c>
      <c r="T925" s="348" t="str">
        <f t="shared" si="123"/>
        <v/>
      </c>
      <c r="U925" s="348" t="str">
        <f t="shared" si="124"/>
        <v/>
      </c>
      <c r="V925" s="348" t="str">
        <f t="shared" si="125"/>
        <v/>
      </c>
      <c r="W925" s="348" t="str">
        <f t="shared" si="126"/>
        <v/>
      </c>
      <c r="X925" s="348" t="str">
        <f t="shared" si="127"/>
        <v/>
      </c>
    </row>
    <row r="926" spans="1:24" x14ac:dyDescent="0.2">
      <c r="A926" s="407">
        <v>918</v>
      </c>
      <c r="B926" s="438"/>
      <c r="C926" s="438"/>
      <c r="D926" s="438"/>
      <c r="E926" s="438"/>
      <c r="F926" s="438"/>
      <c r="G926" s="438"/>
      <c r="H926" s="438"/>
      <c r="I926" s="438"/>
      <c r="J926" s="11"/>
      <c r="Q926" s="348" t="str">
        <f t="shared" si="120"/>
        <v/>
      </c>
      <c r="R926" s="348" t="str">
        <f t="shared" si="121"/>
        <v/>
      </c>
      <c r="S926" s="348" t="str">
        <f t="shared" si="122"/>
        <v/>
      </c>
      <c r="T926" s="348" t="str">
        <f t="shared" si="123"/>
        <v/>
      </c>
      <c r="U926" s="348" t="str">
        <f t="shared" si="124"/>
        <v/>
      </c>
      <c r="V926" s="348" t="str">
        <f t="shared" si="125"/>
        <v/>
      </c>
      <c r="W926" s="348" t="str">
        <f t="shared" si="126"/>
        <v/>
      </c>
      <c r="X926" s="348" t="str">
        <f t="shared" si="127"/>
        <v/>
      </c>
    </row>
    <row r="927" spans="1:24" x14ac:dyDescent="0.2">
      <c r="A927" s="407">
        <v>919</v>
      </c>
      <c r="B927" s="438"/>
      <c r="C927" s="438"/>
      <c r="D927" s="438"/>
      <c r="E927" s="438"/>
      <c r="F927" s="438"/>
      <c r="G927" s="438"/>
      <c r="H927" s="438"/>
      <c r="I927" s="438"/>
      <c r="J927" s="11"/>
      <c r="Q927" s="348" t="str">
        <f t="shared" si="120"/>
        <v/>
      </c>
      <c r="R927" s="348" t="str">
        <f t="shared" si="121"/>
        <v/>
      </c>
      <c r="S927" s="348" t="str">
        <f t="shared" si="122"/>
        <v/>
      </c>
      <c r="T927" s="348" t="str">
        <f t="shared" si="123"/>
        <v/>
      </c>
      <c r="U927" s="348" t="str">
        <f t="shared" si="124"/>
        <v/>
      </c>
      <c r="V927" s="348" t="str">
        <f t="shared" si="125"/>
        <v/>
      </c>
      <c r="W927" s="348" t="str">
        <f t="shared" si="126"/>
        <v/>
      </c>
      <c r="X927" s="348" t="str">
        <f t="shared" si="127"/>
        <v/>
      </c>
    </row>
    <row r="928" spans="1:24" x14ac:dyDescent="0.2">
      <c r="A928" s="407">
        <v>920</v>
      </c>
      <c r="B928" s="438"/>
      <c r="C928" s="438"/>
      <c r="D928" s="438"/>
      <c r="E928" s="438"/>
      <c r="F928" s="438"/>
      <c r="G928" s="438"/>
      <c r="H928" s="438"/>
      <c r="I928" s="438"/>
      <c r="J928" s="11"/>
      <c r="Q928" s="348" t="str">
        <f t="shared" si="120"/>
        <v/>
      </c>
      <c r="R928" s="348" t="str">
        <f t="shared" si="121"/>
        <v/>
      </c>
      <c r="S928" s="348" t="str">
        <f t="shared" si="122"/>
        <v/>
      </c>
      <c r="T928" s="348" t="str">
        <f t="shared" si="123"/>
        <v/>
      </c>
      <c r="U928" s="348" t="str">
        <f t="shared" si="124"/>
        <v/>
      </c>
      <c r="V928" s="348" t="str">
        <f t="shared" si="125"/>
        <v/>
      </c>
      <c r="W928" s="348" t="str">
        <f t="shared" si="126"/>
        <v/>
      </c>
      <c r="X928" s="348" t="str">
        <f t="shared" si="127"/>
        <v/>
      </c>
    </row>
    <row r="929" spans="1:24" x14ac:dyDescent="0.2">
      <c r="A929" s="407">
        <v>921</v>
      </c>
      <c r="B929" s="438"/>
      <c r="C929" s="438"/>
      <c r="D929" s="438"/>
      <c r="E929" s="438"/>
      <c r="F929" s="438"/>
      <c r="G929" s="438"/>
      <c r="H929" s="438"/>
      <c r="I929" s="438"/>
      <c r="J929" s="11"/>
      <c r="Q929" s="348" t="str">
        <f t="shared" si="120"/>
        <v/>
      </c>
      <c r="R929" s="348" t="str">
        <f t="shared" si="121"/>
        <v/>
      </c>
      <c r="S929" s="348" t="str">
        <f t="shared" si="122"/>
        <v/>
      </c>
      <c r="T929" s="348" t="str">
        <f t="shared" si="123"/>
        <v/>
      </c>
      <c r="U929" s="348" t="str">
        <f t="shared" si="124"/>
        <v/>
      </c>
      <c r="V929" s="348" t="str">
        <f t="shared" si="125"/>
        <v/>
      </c>
      <c r="W929" s="348" t="str">
        <f t="shared" si="126"/>
        <v/>
      </c>
      <c r="X929" s="348" t="str">
        <f t="shared" si="127"/>
        <v/>
      </c>
    </row>
    <row r="930" spans="1:24" x14ac:dyDescent="0.2">
      <c r="A930" s="407">
        <v>922</v>
      </c>
      <c r="B930" s="438"/>
      <c r="C930" s="438"/>
      <c r="D930" s="438"/>
      <c r="E930" s="438"/>
      <c r="F930" s="438"/>
      <c r="G930" s="438"/>
      <c r="H930" s="438"/>
      <c r="I930" s="438"/>
      <c r="J930" s="11"/>
      <c r="Q930" s="348" t="str">
        <f t="shared" si="120"/>
        <v/>
      </c>
      <c r="R930" s="348" t="str">
        <f t="shared" si="121"/>
        <v/>
      </c>
      <c r="S930" s="348" t="str">
        <f t="shared" si="122"/>
        <v/>
      </c>
      <c r="T930" s="348" t="str">
        <f t="shared" si="123"/>
        <v/>
      </c>
      <c r="U930" s="348" t="str">
        <f t="shared" si="124"/>
        <v/>
      </c>
      <c r="V930" s="348" t="str">
        <f t="shared" si="125"/>
        <v/>
      </c>
      <c r="W930" s="348" t="str">
        <f t="shared" si="126"/>
        <v/>
      </c>
      <c r="X930" s="348" t="str">
        <f t="shared" si="127"/>
        <v/>
      </c>
    </row>
    <row r="931" spans="1:24" x14ac:dyDescent="0.2">
      <c r="A931" s="407">
        <v>923</v>
      </c>
      <c r="B931" s="438"/>
      <c r="C931" s="438"/>
      <c r="D931" s="438"/>
      <c r="E931" s="438"/>
      <c r="F931" s="438"/>
      <c r="G931" s="438"/>
      <c r="H931" s="438"/>
      <c r="I931" s="438"/>
      <c r="J931" s="11"/>
      <c r="Q931" s="348" t="str">
        <f t="shared" si="120"/>
        <v/>
      </c>
      <c r="R931" s="348" t="str">
        <f t="shared" si="121"/>
        <v/>
      </c>
      <c r="S931" s="348" t="str">
        <f t="shared" si="122"/>
        <v/>
      </c>
      <c r="T931" s="348" t="str">
        <f t="shared" si="123"/>
        <v/>
      </c>
      <c r="U931" s="348" t="str">
        <f t="shared" si="124"/>
        <v/>
      </c>
      <c r="V931" s="348" t="str">
        <f t="shared" si="125"/>
        <v/>
      </c>
      <c r="W931" s="348" t="str">
        <f t="shared" si="126"/>
        <v/>
      </c>
      <c r="X931" s="348" t="str">
        <f t="shared" si="127"/>
        <v/>
      </c>
    </row>
    <row r="932" spans="1:24" x14ac:dyDescent="0.2">
      <c r="A932" s="407">
        <v>924</v>
      </c>
      <c r="B932" s="438"/>
      <c r="C932" s="438"/>
      <c r="D932" s="438"/>
      <c r="E932" s="438"/>
      <c r="F932" s="438"/>
      <c r="G932" s="438"/>
      <c r="H932" s="438"/>
      <c r="I932" s="438"/>
      <c r="J932" s="11"/>
      <c r="Q932" s="348" t="str">
        <f t="shared" si="120"/>
        <v/>
      </c>
      <c r="R932" s="348" t="str">
        <f t="shared" si="121"/>
        <v/>
      </c>
      <c r="S932" s="348" t="str">
        <f t="shared" si="122"/>
        <v/>
      </c>
      <c r="T932" s="348" t="str">
        <f t="shared" si="123"/>
        <v/>
      </c>
      <c r="U932" s="348" t="str">
        <f t="shared" si="124"/>
        <v/>
      </c>
      <c r="V932" s="348" t="str">
        <f t="shared" si="125"/>
        <v/>
      </c>
      <c r="W932" s="348" t="str">
        <f t="shared" si="126"/>
        <v/>
      </c>
      <c r="X932" s="348" t="str">
        <f t="shared" si="127"/>
        <v/>
      </c>
    </row>
    <row r="933" spans="1:24" x14ac:dyDescent="0.2">
      <c r="A933" s="407">
        <v>925</v>
      </c>
      <c r="B933" s="438"/>
      <c r="C933" s="438"/>
      <c r="D933" s="438"/>
      <c r="E933" s="438"/>
      <c r="F933" s="438"/>
      <c r="G933" s="438"/>
      <c r="H933" s="438"/>
      <c r="I933" s="437"/>
      <c r="J933" s="11"/>
      <c r="Q933" s="348" t="str">
        <f t="shared" si="120"/>
        <v/>
      </c>
      <c r="R933" s="348" t="str">
        <f t="shared" si="121"/>
        <v/>
      </c>
      <c r="S933" s="348" t="str">
        <f t="shared" si="122"/>
        <v/>
      </c>
      <c r="T933" s="348" t="str">
        <f t="shared" si="123"/>
        <v/>
      </c>
      <c r="U933" s="348" t="str">
        <f t="shared" si="124"/>
        <v/>
      </c>
      <c r="V933" s="348" t="str">
        <f t="shared" si="125"/>
        <v/>
      </c>
      <c r="W933" s="348" t="str">
        <f t="shared" si="126"/>
        <v/>
      </c>
      <c r="X933" s="348" t="str">
        <f t="shared" si="127"/>
        <v/>
      </c>
    </row>
    <row r="934" spans="1:24" x14ac:dyDescent="0.2">
      <c r="A934" s="407">
        <v>926</v>
      </c>
      <c r="B934" s="438"/>
      <c r="C934" s="438"/>
      <c r="D934" s="438"/>
      <c r="E934" s="437"/>
      <c r="F934" s="437"/>
      <c r="G934" s="437"/>
      <c r="H934" s="437"/>
      <c r="I934" s="438"/>
      <c r="J934" s="11"/>
      <c r="Q934" s="348" t="str">
        <f t="shared" si="120"/>
        <v/>
      </c>
      <c r="R934" s="348" t="str">
        <f t="shared" si="121"/>
        <v/>
      </c>
      <c r="S934" s="348" t="str">
        <f t="shared" si="122"/>
        <v/>
      </c>
      <c r="T934" s="348" t="str">
        <f t="shared" si="123"/>
        <v/>
      </c>
      <c r="U934" s="348" t="str">
        <f t="shared" si="124"/>
        <v/>
      </c>
      <c r="V934" s="348" t="str">
        <f t="shared" si="125"/>
        <v/>
      </c>
      <c r="W934" s="348" t="str">
        <f t="shared" si="126"/>
        <v/>
      </c>
      <c r="X934" s="348" t="str">
        <f t="shared" si="127"/>
        <v/>
      </c>
    </row>
    <row r="935" spans="1:24" x14ac:dyDescent="0.2">
      <c r="A935" s="407">
        <v>927</v>
      </c>
      <c r="B935" s="437"/>
      <c r="C935" s="438"/>
      <c r="D935" s="438"/>
      <c r="E935" s="438"/>
      <c r="F935" s="438"/>
      <c r="G935" s="438"/>
      <c r="H935" s="438"/>
      <c r="I935" s="438"/>
      <c r="J935" s="11"/>
      <c r="Q935" s="348" t="str">
        <f t="shared" si="120"/>
        <v/>
      </c>
      <c r="R935" s="348" t="str">
        <f t="shared" si="121"/>
        <v/>
      </c>
      <c r="S935" s="348" t="str">
        <f t="shared" si="122"/>
        <v/>
      </c>
      <c r="T935" s="348" t="str">
        <f t="shared" si="123"/>
        <v/>
      </c>
      <c r="U935" s="348" t="str">
        <f t="shared" si="124"/>
        <v/>
      </c>
      <c r="V935" s="348" t="str">
        <f t="shared" si="125"/>
        <v/>
      </c>
      <c r="W935" s="348" t="str">
        <f t="shared" si="126"/>
        <v/>
      </c>
      <c r="X935" s="348" t="str">
        <f t="shared" si="127"/>
        <v/>
      </c>
    </row>
    <row r="936" spans="1:24" x14ac:dyDescent="0.2">
      <c r="A936" s="407">
        <v>928</v>
      </c>
      <c r="B936" s="438"/>
      <c r="C936" s="438"/>
      <c r="D936" s="438"/>
      <c r="E936" s="438"/>
      <c r="F936" s="438"/>
      <c r="G936" s="438"/>
      <c r="H936" s="438"/>
      <c r="I936" s="438"/>
      <c r="J936" s="11"/>
      <c r="Q936" s="348" t="str">
        <f t="shared" si="120"/>
        <v/>
      </c>
      <c r="R936" s="348" t="str">
        <f t="shared" si="121"/>
        <v/>
      </c>
      <c r="S936" s="348" t="str">
        <f t="shared" si="122"/>
        <v/>
      </c>
      <c r="T936" s="348" t="str">
        <f t="shared" si="123"/>
        <v/>
      </c>
      <c r="U936" s="348" t="str">
        <f t="shared" si="124"/>
        <v/>
      </c>
      <c r="V936" s="348" t="str">
        <f t="shared" si="125"/>
        <v/>
      </c>
      <c r="W936" s="348" t="str">
        <f t="shared" si="126"/>
        <v/>
      </c>
      <c r="X936" s="348" t="str">
        <f t="shared" si="127"/>
        <v/>
      </c>
    </row>
    <row r="937" spans="1:24" x14ac:dyDescent="0.2">
      <c r="A937" s="407">
        <v>929</v>
      </c>
      <c r="B937" s="438"/>
      <c r="C937" s="438"/>
      <c r="D937" s="437"/>
      <c r="E937" s="438"/>
      <c r="F937" s="438"/>
      <c r="G937" s="438"/>
      <c r="H937" s="438"/>
      <c r="I937" s="438"/>
      <c r="J937" s="11"/>
      <c r="Q937" s="348" t="str">
        <f t="shared" si="120"/>
        <v/>
      </c>
      <c r="R937" s="348" t="str">
        <f t="shared" si="121"/>
        <v/>
      </c>
      <c r="S937" s="348" t="str">
        <f t="shared" si="122"/>
        <v/>
      </c>
      <c r="T937" s="348" t="str">
        <f t="shared" si="123"/>
        <v/>
      </c>
      <c r="U937" s="348" t="str">
        <f t="shared" si="124"/>
        <v/>
      </c>
      <c r="V937" s="348" t="str">
        <f t="shared" si="125"/>
        <v/>
      </c>
      <c r="W937" s="348" t="str">
        <f t="shared" si="126"/>
        <v/>
      </c>
      <c r="X937" s="348" t="str">
        <f t="shared" si="127"/>
        <v/>
      </c>
    </row>
    <row r="938" spans="1:24" x14ac:dyDescent="0.2">
      <c r="A938" s="407">
        <v>930</v>
      </c>
      <c r="B938" s="438"/>
      <c r="C938" s="438"/>
      <c r="D938" s="438"/>
      <c r="E938" s="438"/>
      <c r="F938" s="438"/>
      <c r="G938" s="438"/>
      <c r="H938" s="438"/>
      <c r="I938" s="438"/>
      <c r="J938" s="11"/>
      <c r="Q938" s="348" t="str">
        <f t="shared" si="120"/>
        <v/>
      </c>
      <c r="R938" s="348" t="str">
        <f t="shared" si="121"/>
        <v/>
      </c>
      <c r="S938" s="348" t="str">
        <f t="shared" si="122"/>
        <v/>
      </c>
      <c r="T938" s="348" t="str">
        <f t="shared" si="123"/>
        <v/>
      </c>
      <c r="U938" s="348" t="str">
        <f t="shared" si="124"/>
        <v/>
      </c>
      <c r="V938" s="348" t="str">
        <f t="shared" si="125"/>
        <v/>
      </c>
      <c r="W938" s="348" t="str">
        <f t="shared" si="126"/>
        <v/>
      </c>
      <c r="X938" s="348" t="str">
        <f t="shared" si="127"/>
        <v/>
      </c>
    </row>
    <row r="939" spans="1:24" x14ac:dyDescent="0.2">
      <c r="A939" s="407">
        <v>931</v>
      </c>
      <c r="B939" s="438"/>
      <c r="C939" s="438"/>
      <c r="D939" s="438"/>
      <c r="E939" s="438"/>
      <c r="F939" s="438"/>
      <c r="G939" s="438"/>
      <c r="H939" s="438"/>
      <c r="I939" s="438"/>
      <c r="J939" s="11"/>
      <c r="Q939" s="348" t="str">
        <f t="shared" si="120"/>
        <v/>
      </c>
      <c r="R939" s="348" t="str">
        <f t="shared" si="121"/>
        <v/>
      </c>
      <c r="S939" s="348" t="str">
        <f t="shared" si="122"/>
        <v/>
      </c>
      <c r="T939" s="348" t="str">
        <f t="shared" si="123"/>
        <v/>
      </c>
      <c r="U939" s="348" t="str">
        <f t="shared" si="124"/>
        <v/>
      </c>
      <c r="V939" s="348" t="str">
        <f t="shared" si="125"/>
        <v/>
      </c>
      <c r="W939" s="348" t="str">
        <f t="shared" si="126"/>
        <v/>
      </c>
      <c r="X939" s="348" t="str">
        <f t="shared" si="127"/>
        <v/>
      </c>
    </row>
    <row r="940" spans="1:24" x14ac:dyDescent="0.2">
      <c r="A940" s="407">
        <v>932</v>
      </c>
      <c r="B940" s="438"/>
      <c r="C940" s="438"/>
      <c r="D940" s="438"/>
      <c r="E940" s="438"/>
      <c r="F940" s="438"/>
      <c r="G940" s="438"/>
      <c r="H940" s="438"/>
      <c r="I940" s="438"/>
      <c r="J940" s="11"/>
      <c r="Q940" s="348" t="str">
        <f t="shared" si="120"/>
        <v/>
      </c>
      <c r="R940" s="348" t="str">
        <f t="shared" si="121"/>
        <v/>
      </c>
      <c r="S940" s="348" t="str">
        <f t="shared" si="122"/>
        <v/>
      </c>
      <c r="T940" s="348" t="str">
        <f t="shared" si="123"/>
        <v/>
      </c>
      <c r="U940" s="348" t="str">
        <f t="shared" si="124"/>
        <v/>
      </c>
      <c r="V940" s="348" t="str">
        <f t="shared" si="125"/>
        <v/>
      </c>
      <c r="W940" s="348" t="str">
        <f t="shared" si="126"/>
        <v/>
      </c>
      <c r="X940" s="348" t="str">
        <f t="shared" si="127"/>
        <v/>
      </c>
    </row>
    <row r="941" spans="1:24" x14ac:dyDescent="0.2">
      <c r="A941" s="407">
        <v>933</v>
      </c>
      <c r="B941" s="438"/>
      <c r="C941" s="438"/>
      <c r="D941" s="438"/>
      <c r="E941" s="438"/>
      <c r="F941" s="438"/>
      <c r="G941" s="438"/>
      <c r="H941" s="438"/>
      <c r="I941" s="438"/>
      <c r="J941" s="11"/>
      <c r="Q941" s="348" t="str">
        <f t="shared" si="120"/>
        <v/>
      </c>
      <c r="R941" s="348" t="str">
        <f t="shared" si="121"/>
        <v/>
      </c>
      <c r="S941" s="348" t="str">
        <f t="shared" si="122"/>
        <v/>
      </c>
      <c r="T941" s="348" t="str">
        <f t="shared" si="123"/>
        <v/>
      </c>
      <c r="U941" s="348" t="str">
        <f t="shared" si="124"/>
        <v/>
      </c>
      <c r="V941" s="348" t="str">
        <f t="shared" si="125"/>
        <v/>
      </c>
      <c r="W941" s="348" t="str">
        <f t="shared" si="126"/>
        <v/>
      </c>
      <c r="X941" s="348" t="str">
        <f t="shared" si="127"/>
        <v/>
      </c>
    </row>
    <row r="942" spans="1:24" x14ac:dyDescent="0.2">
      <c r="A942" s="407">
        <v>934</v>
      </c>
      <c r="B942" s="438"/>
      <c r="C942" s="438"/>
      <c r="D942" s="438"/>
      <c r="E942" s="438"/>
      <c r="F942" s="438"/>
      <c r="G942" s="438"/>
      <c r="H942" s="438"/>
      <c r="I942" s="438"/>
      <c r="J942" s="11"/>
      <c r="Q942" s="348" t="str">
        <f t="shared" si="120"/>
        <v/>
      </c>
      <c r="R942" s="348" t="str">
        <f t="shared" si="121"/>
        <v/>
      </c>
      <c r="S942" s="348" t="str">
        <f t="shared" si="122"/>
        <v/>
      </c>
      <c r="T942" s="348" t="str">
        <f t="shared" si="123"/>
        <v/>
      </c>
      <c r="U942" s="348" t="str">
        <f t="shared" si="124"/>
        <v/>
      </c>
      <c r="V942" s="348" t="str">
        <f t="shared" si="125"/>
        <v/>
      </c>
      <c r="W942" s="348" t="str">
        <f t="shared" si="126"/>
        <v/>
      </c>
      <c r="X942" s="348" t="str">
        <f t="shared" si="127"/>
        <v/>
      </c>
    </row>
    <row r="943" spans="1:24" x14ac:dyDescent="0.2">
      <c r="A943" s="407">
        <v>935</v>
      </c>
      <c r="B943" s="438"/>
      <c r="C943" s="438"/>
      <c r="D943" s="438"/>
      <c r="E943" s="438"/>
      <c r="F943" s="438"/>
      <c r="G943" s="438"/>
      <c r="H943" s="438"/>
      <c r="I943" s="438"/>
      <c r="J943" s="11"/>
      <c r="Q943" s="348" t="str">
        <f t="shared" si="120"/>
        <v/>
      </c>
      <c r="R943" s="348" t="str">
        <f t="shared" si="121"/>
        <v/>
      </c>
      <c r="S943" s="348" t="str">
        <f t="shared" si="122"/>
        <v/>
      </c>
      <c r="T943" s="348" t="str">
        <f t="shared" si="123"/>
        <v/>
      </c>
      <c r="U943" s="348" t="str">
        <f t="shared" si="124"/>
        <v/>
      </c>
      <c r="V943" s="348" t="str">
        <f t="shared" si="125"/>
        <v/>
      </c>
      <c r="W943" s="348" t="str">
        <f t="shared" si="126"/>
        <v/>
      </c>
      <c r="X943" s="348" t="str">
        <f t="shared" si="127"/>
        <v/>
      </c>
    </row>
    <row r="944" spans="1:24" x14ac:dyDescent="0.2">
      <c r="A944" s="407">
        <v>936</v>
      </c>
      <c r="B944" s="438"/>
      <c r="C944" s="437"/>
      <c r="D944" s="438"/>
      <c r="E944" s="438"/>
      <c r="F944" s="438"/>
      <c r="G944" s="438"/>
      <c r="H944" s="438"/>
      <c r="I944" s="438"/>
      <c r="J944" s="11"/>
      <c r="Q944" s="348" t="str">
        <f t="shared" si="120"/>
        <v/>
      </c>
      <c r="R944" s="348" t="str">
        <f t="shared" si="121"/>
        <v/>
      </c>
      <c r="S944" s="348" t="str">
        <f t="shared" si="122"/>
        <v/>
      </c>
      <c r="T944" s="348" t="str">
        <f t="shared" si="123"/>
        <v/>
      </c>
      <c r="U944" s="348" t="str">
        <f t="shared" si="124"/>
        <v/>
      </c>
      <c r="V944" s="348" t="str">
        <f t="shared" si="125"/>
        <v/>
      </c>
      <c r="W944" s="348" t="str">
        <f t="shared" si="126"/>
        <v/>
      </c>
      <c r="X944" s="348" t="str">
        <f t="shared" si="127"/>
        <v/>
      </c>
    </row>
    <row r="945" spans="1:24" x14ac:dyDescent="0.2">
      <c r="A945" s="407">
        <v>937</v>
      </c>
      <c r="B945" s="437"/>
      <c r="C945" s="438"/>
      <c r="D945" s="438"/>
      <c r="E945" s="438"/>
      <c r="F945" s="438"/>
      <c r="G945" s="438"/>
      <c r="H945" s="438"/>
      <c r="I945" s="438"/>
      <c r="J945" s="11"/>
      <c r="Q945" s="348" t="str">
        <f t="shared" si="120"/>
        <v/>
      </c>
      <c r="R945" s="348" t="str">
        <f t="shared" si="121"/>
        <v/>
      </c>
      <c r="S945" s="348" t="str">
        <f t="shared" si="122"/>
        <v/>
      </c>
      <c r="T945" s="348" t="str">
        <f t="shared" si="123"/>
        <v/>
      </c>
      <c r="U945" s="348" t="str">
        <f t="shared" si="124"/>
        <v/>
      </c>
      <c r="V945" s="348" t="str">
        <f t="shared" si="125"/>
        <v/>
      </c>
      <c r="W945" s="348" t="str">
        <f t="shared" si="126"/>
        <v/>
      </c>
      <c r="X945" s="348" t="str">
        <f t="shared" si="127"/>
        <v/>
      </c>
    </row>
    <row r="946" spans="1:24" x14ac:dyDescent="0.2">
      <c r="A946" s="407">
        <v>938</v>
      </c>
      <c r="B946" s="438"/>
      <c r="C946" s="438"/>
      <c r="D946" s="438"/>
      <c r="E946" s="438"/>
      <c r="F946" s="438"/>
      <c r="G946" s="438"/>
      <c r="H946" s="438"/>
      <c r="I946" s="438"/>
      <c r="J946" s="11"/>
      <c r="Q946" s="348" t="str">
        <f t="shared" si="120"/>
        <v/>
      </c>
      <c r="R946" s="348" t="str">
        <f t="shared" si="121"/>
        <v/>
      </c>
      <c r="S946" s="348" t="str">
        <f t="shared" si="122"/>
        <v/>
      </c>
      <c r="T946" s="348" t="str">
        <f t="shared" si="123"/>
        <v/>
      </c>
      <c r="U946" s="348" t="str">
        <f t="shared" si="124"/>
        <v/>
      </c>
      <c r="V946" s="348" t="str">
        <f t="shared" si="125"/>
        <v/>
      </c>
      <c r="W946" s="348" t="str">
        <f t="shared" si="126"/>
        <v/>
      </c>
      <c r="X946" s="348" t="str">
        <f t="shared" si="127"/>
        <v/>
      </c>
    </row>
    <row r="947" spans="1:24" x14ac:dyDescent="0.2">
      <c r="A947" s="407">
        <v>939</v>
      </c>
      <c r="B947" s="438"/>
      <c r="C947" s="438"/>
      <c r="D947" s="438"/>
      <c r="E947" s="438"/>
      <c r="F947" s="438"/>
      <c r="G947" s="438"/>
      <c r="H947" s="438"/>
      <c r="I947" s="438"/>
      <c r="J947" s="11"/>
      <c r="Q947" s="348" t="str">
        <f t="shared" si="120"/>
        <v/>
      </c>
      <c r="R947" s="348" t="str">
        <f t="shared" si="121"/>
        <v/>
      </c>
      <c r="S947" s="348" t="str">
        <f t="shared" si="122"/>
        <v/>
      </c>
      <c r="T947" s="348" t="str">
        <f t="shared" si="123"/>
        <v/>
      </c>
      <c r="U947" s="348" t="str">
        <f t="shared" si="124"/>
        <v/>
      </c>
      <c r="V947" s="348" t="str">
        <f t="shared" si="125"/>
        <v/>
      </c>
      <c r="W947" s="348" t="str">
        <f t="shared" si="126"/>
        <v/>
      </c>
      <c r="X947" s="348" t="str">
        <f t="shared" si="127"/>
        <v/>
      </c>
    </row>
    <row r="948" spans="1:24" x14ac:dyDescent="0.2">
      <c r="A948" s="407">
        <v>940</v>
      </c>
      <c r="B948" s="438"/>
      <c r="C948" s="438"/>
      <c r="D948" s="438"/>
      <c r="E948" s="438"/>
      <c r="F948" s="438"/>
      <c r="G948" s="438"/>
      <c r="H948" s="438"/>
      <c r="I948" s="438"/>
      <c r="J948" s="11"/>
      <c r="Q948" s="348" t="str">
        <f t="shared" si="120"/>
        <v/>
      </c>
      <c r="R948" s="348" t="str">
        <f t="shared" si="121"/>
        <v/>
      </c>
      <c r="S948" s="348" t="str">
        <f t="shared" si="122"/>
        <v/>
      </c>
      <c r="T948" s="348" t="str">
        <f t="shared" si="123"/>
        <v/>
      </c>
      <c r="U948" s="348" t="str">
        <f t="shared" si="124"/>
        <v/>
      </c>
      <c r="V948" s="348" t="str">
        <f t="shared" si="125"/>
        <v/>
      </c>
      <c r="W948" s="348" t="str">
        <f t="shared" si="126"/>
        <v/>
      </c>
      <c r="X948" s="348" t="str">
        <f t="shared" si="127"/>
        <v/>
      </c>
    </row>
    <row r="949" spans="1:24" x14ac:dyDescent="0.2">
      <c r="A949" s="407">
        <v>941</v>
      </c>
      <c r="B949" s="438"/>
      <c r="C949" s="438"/>
      <c r="D949" s="438"/>
      <c r="E949" s="438"/>
      <c r="F949" s="438"/>
      <c r="G949" s="438"/>
      <c r="H949" s="438"/>
      <c r="I949" s="438"/>
      <c r="J949" s="11"/>
      <c r="Q949" s="348" t="str">
        <f t="shared" si="120"/>
        <v/>
      </c>
      <c r="R949" s="348" t="str">
        <f t="shared" si="121"/>
        <v/>
      </c>
      <c r="S949" s="348" t="str">
        <f t="shared" si="122"/>
        <v/>
      </c>
      <c r="T949" s="348" t="str">
        <f t="shared" si="123"/>
        <v/>
      </c>
      <c r="U949" s="348" t="str">
        <f t="shared" si="124"/>
        <v/>
      </c>
      <c r="V949" s="348" t="str">
        <f t="shared" si="125"/>
        <v/>
      </c>
      <c r="W949" s="348" t="str">
        <f t="shared" si="126"/>
        <v/>
      </c>
      <c r="X949" s="348" t="str">
        <f t="shared" si="127"/>
        <v/>
      </c>
    </row>
    <row r="950" spans="1:24" x14ac:dyDescent="0.2">
      <c r="A950" s="407">
        <v>942</v>
      </c>
      <c r="B950" s="438"/>
      <c r="C950" s="438"/>
      <c r="D950" s="438"/>
      <c r="E950" s="438"/>
      <c r="F950" s="438"/>
      <c r="G950" s="438"/>
      <c r="H950" s="438"/>
      <c r="I950" s="438"/>
      <c r="J950" s="11"/>
      <c r="Q950" s="348" t="str">
        <f t="shared" si="120"/>
        <v/>
      </c>
      <c r="R950" s="348" t="str">
        <f t="shared" si="121"/>
        <v/>
      </c>
      <c r="S950" s="348" t="str">
        <f t="shared" si="122"/>
        <v/>
      </c>
      <c r="T950" s="348" t="str">
        <f t="shared" si="123"/>
        <v/>
      </c>
      <c r="U950" s="348" t="str">
        <f t="shared" si="124"/>
        <v/>
      </c>
      <c r="V950" s="348" t="str">
        <f t="shared" si="125"/>
        <v/>
      </c>
      <c r="W950" s="348" t="str">
        <f t="shared" si="126"/>
        <v/>
      </c>
      <c r="X950" s="348" t="str">
        <f t="shared" si="127"/>
        <v/>
      </c>
    </row>
    <row r="951" spans="1:24" x14ac:dyDescent="0.2">
      <c r="A951" s="407">
        <v>943</v>
      </c>
      <c r="B951" s="438"/>
      <c r="C951" s="438"/>
      <c r="D951" s="438"/>
      <c r="E951" s="438"/>
      <c r="F951" s="438"/>
      <c r="G951" s="438"/>
      <c r="H951" s="438"/>
      <c r="I951" s="438"/>
      <c r="J951" s="11"/>
      <c r="Q951" s="348" t="str">
        <f t="shared" si="120"/>
        <v/>
      </c>
      <c r="R951" s="348" t="str">
        <f t="shared" si="121"/>
        <v/>
      </c>
      <c r="S951" s="348" t="str">
        <f t="shared" si="122"/>
        <v/>
      </c>
      <c r="T951" s="348" t="str">
        <f t="shared" si="123"/>
        <v/>
      </c>
      <c r="U951" s="348" t="str">
        <f t="shared" si="124"/>
        <v/>
      </c>
      <c r="V951" s="348" t="str">
        <f t="shared" si="125"/>
        <v/>
      </c>
      <c r="W951" s="348" t="str">
        <f t="shared" si="126"/>
        <v/>
      </c>
      <c r="X951" s="348" t="str">
        <f t="shared" si="127"/>
        <v/>
      </c>
    </row>
    <row r="952" spans="1:24" x14ac:dyDescent="0.2">
      <c r="A952" s="407">
        <v>944</v>
      </c>
      <c r="B952" s="438"/>
      <c r="C952" s="438"/>
      <c r="D952" s="438"/>
      <c r="E952" s="438"/>
      <c r="F952" s="438"/>
      <c r="G952" s="438"/>
      <c r="H952" s="438"/>
      <c r="I952" s="438"/>
      <c r="J952" s="11"/>
      <c r="Q952" s="348" t="str">
        <f t="shared" si="120"/>
        <v/>
      </c>
      <c r="R952" s="348" t="str">
        <f t="shared" si="121"/>
        <v/>
      </c>
      <c r="S952" s="348" t="str">
        <f t="shared" si="122"/>
        <v/>
      </c>
      <c r="T952" s="348" t="str">
        <f t="shared" si="123"/>
        <v/>
      </c>
      <c r="U952" s="348" t="str">
        <f t="shared" si="124"/>
        <v/>
      </c>
      <c r="V952" s="348" t="str">
        <f t="shared" si="125"/>
        <v/>
      </c>
      <c r="W952" s="348" t="str">
        <f t="shared" si="126"/>
        <v/>
      </c>
      <c r="X952" s="348" t="str">
        <f t="shared" si="127"/>
        <v/>
      </c>
    </row>
    <row r="953" spans="1:24" x14ac:dyDescent="0.2">
      <c r="A953" s="407">
        <v>945</v>
      </c>
      <c r="B953" s="438"/>
      <c r="C953" s="438"/>
      <c r="D953" s="438"/>
      <c r="E953" s="438"/>
      <c r="F953" s="438"/>
      <c r="G953" s="438"/>
      <c r="H953" s="438"/>
      <c r="I953" s="438"/>
      <c r="J953" s="11"/>
      <c r="Q953" s="348" t="str">
        <f t="shared" si="120"/>
        <v/>
      </c>
      <c r="R953" s="348" t="str">
        <f t="shared" si="121"/>
        <v/>
      </c>
      <c r="S953" s="348" t="str">
        <f t="shared" si="122"/>
        <v/>
      </c>
      <c r="T953" s="348" t="str">
        <f t="shared" si="123"/>
        <v/>
      </c>
      <c r="U953" s="348" t="str">
        <f t="shared" si="124"/>
        <v/>
      </c>
      <c r="V953" s="348" t="str">
        <f t="shared" si="125"/>
        <v/>
      </c>
      <c r="W953" s="348" t="str">
        <f t="shared" si="126"/>
        <v/>
      </c>
      <c r="X953" s="348" t="str">
        <f t="shared" si="127"/>
        <v/>
      </c>
    </row>
    <row r="954" spans="1:24" x14ac:dyDescent="0.2">
      <c r="A954" s="407">
        <v>946</v>
      </c>
      <c r="B954" s="438"/>
      <c r="C954" s="438"/>
      <c r="D954" s="438"/>
      <c r="E954" s="438"/>
      <c r="F954" s="438"/>
      <c r="G954" s="438"/>
      <c r="H954" s="438"/>
      <c r="I954" s="438"/>
      <c r="J954" s="11"/>
      <c r="Q954" s="348" t="str">
        <f t="shared" si="120"/>
        <v/>
      </c>
      <c r="R954" s="348" t="str">
        <f t="shared" si="121"/>
        <v/>
      </c>
      <c r="S954" s="348" t="str">
        <f t="shared" si="122"/>
        <v/>
      </c>
      <c r="T954" s="348" t="str">
        <f t="shared" si="123"/>
        <v/>
      </c>
      <c r="U954" s="348" t="str">
        <f t="shared" si="124"/>
        <v/>
      </c>
      <c r="V954" s="348" t="str">
        <f t="shared" si="125"/>
        <v/>
      </c>
      <c r="W954" s="348" t="str">
        <f t="shared" si="126"/>
        <v/>
      </c>
      <c r="X954" s="348" t="str">
        <f t="shared" si="127"/>
        <v/>
      </c>
    </row>
    <row r="955" spans="1:24" x14ac:dyDescent="0.2">
      <c r="A955" s="407">
        <v>947</v>
      </c>
      <c r="B955" s="438"/>
      <c r="C955" s="438"/>
      <c r="D955" s="438"/>
      <c r="E955" s="438"/>
      <c r="F955" s="438"/>
      <c r="G955" s="438"/>
      <c r="H955" s="438"/>
      <c r="I955" s="438"/>
      <c r="J955" s="11"/>
      <c r="Q955" s="348" t="str">
        <f t="shared" si="120"/>
        <v/>
      </c>
      <c r="R955" s="348" t="str">
        <f t="shared" si="121"/>
        <v/>
      </c>
      <c r="S955" s="348" t="str">
        <f t="shared" si="122"/>
        <v/>
      </c>
      <c r="T955" s="348" t="str">
        <f t="shared" si="123"/>
        <v/>
      </c>
      <c r="U955" s="348" t="str">
        <f t="shared" si="124"/>
        <v/>
      </c>
      <c r="V955" s="348" t="str">
        <f t="shared" si="125"/>
        <v/>
      </c>
      <c r="W955" s="348" t="str">
        <f t="shared" si="126"/>
        <v/>
      </c>
      <c r="X955" s="348" t="str">
        <f t="shared" si="127"/>
        <v/>
      </c>
    </row>
    <row r="956" spans="1:24" x14ac:dyDescent="0.2">
      <c r="A956" s="407">
        <v>948</v>
      </c>
      <c r="B956" s="438"/>
      <c r="C956" s="438"/>
      <c r="D956" s="438"/>
      <c r="E956" s="438"/>
      <c r="F956" s="438"/>
      <c r="G956" s="438"/>
      <c r="H956" s="438"/>
      <c r="I956" s="438"/>
      <c r="J956" s="11"/>
      <c r="Q956" s="348" t="str">
        <f t="shared" si="120"/>
        <v/>
      </c>
      <c r="R956" s="348" t="str">
        <f t="shared" si="121"/>
        <v/>
      </c>
      <c r="S956" s="348" t="str">
        <f t="shared" si="122"/>
        <v/>
      </c>
      <c r="T956" s="348" t="str">
        <f t="shared" si="123"/>
        <v/>
      </c>
      <c r="U956" s="348" t="str">
        <f t="shared" si="124"/>
        <v/>
      </c>
      <c r="V956" s="348" t="str">
        <f t="shared" si="125"/>
        <v/>
      </c>
      <c r="W956" s="348" t="str">
        <f t="shared" si="126"/>
        <v/>
      </c>
      <c r="X956" s="348" t="str">
        <f t="shared" si="127"/>
        <v/>
      </c>
    </row>
    <row r="957" spans="1:24" x14ac:dyDescent="0.2">
      <c r="A957" s="407">
        <v>949</v>
      </c>
      <c r="B957" s="438"/>
      <c r="C957" s="438"/>
      <c r="D957" s="438"/>
      <c r="E957" s="438"/>
      <c r="F957" s="438"/>
      <c r="G957" s="438"/>
      <c r="H957" s="438"/>
      <c r="I957" s="438"/>
      <c r="J957" s="11"/>
      <c r="Q957" s="348" t="str">
        <f t="shared" si="120"/>
        <v/>
      </c>
      <c r="R957" s="348" t="str">
        <f t="shared" si="121"/>
        <v/>
      </c>
      <c r="S957" s="348" t="str">
        <f t="shared" si="122"/>
        <v/>
      </c>
      <c r="T957" s="348" t="str">
        <f t="shared" si="123"/>
        <v/>
      </c>
      <c r="U957" s="348" t="str">
        <f t="shared" si="124"/>
        <v/>
      </c>
      <c r="V957" s="348" t="str">
        <f t="shared" si="125"/>
        <v/>
      </c>
      <c r="W957" s="348" t="str">
        <f t="shared" si="126"/>
        <v/>
      </c>
      <c r="X957" s="348" t="str">
        <f t="shared" si="127"/>
        <v/>
      </c>
    </row>
    <row r="958" spans="1:24" x14ac:dyDescent="0.2">
      <c r="A958" s="407">
        <v>950</v>
      </c>
      <c r="B958" s="438"/>
      <c r="C958" s="437"/>
      <c r="D958" s="438"/>
      <c r="E958" s="438"/>
      <c r="F958" s="438"/>
      <c r="G958" s="438"/>
      <c r="H958" s="438"/>
      <c r="I958" s="437"/>
      <c r="J958" s="11"/>
      <c r="Q958" s="348" t="str">
        <f t="shared" si="120"/>
        <v/>
      </c>
      <c r="R958" s="348" t="str">
        <f t="shared" si="121"/>
        <v/>
      </c>
      <c r="S958" s="348" t="str">
        <f t="shared" si="122"/>
        <v/>
      </c>
      <c r="T958" s="348" t="str">
        <f t="shared" si="123"/>
        <v/>
      </c>
      <c r="U958" s="348" t="str">
        <f t="shared" si="124"/>
        <v/>
      </c>
      <c r="V958" s="348" t="str">
        <f t="shared" si="125"/>
        <v/>
      </c>
      <c r="W958" s="348" t="str">
        <f t="shared" si="126"/>
        <v/>
      </c>
      <c r="X958" s="348" t="str">
        <f t="shared" si="127"/>
        <v/>
      </c>
    </row>
    <row r="959" spans="1:24" x14ac:dyDescent="0.2">
      <c r="A959" s="407">
        <v>951</v>
      </c>
      <c r="B959" s="437"/>
      <c r="C959" s="438"/>
      <c r="D959" s="438"/>
      <c r="E959" s="437"/>
      <c r="F959" s="438"/>
      <c r="G959" s="438"/>
      <c r="H959" s="438"/>
      <c r="I959" s="438"/>
      <c r="J959" s="11"/>
      <c r="Q959" s="348" t="str">
        <f t="shared" si="120"/>
        <v/>
      </c>
      <c r="R959" s="348" t="str">
        <f t="shared" si="121"/>
        <v/>
      </c>
      <c r="S959" s="348" t="str">
        <f t="shared" si="122"/>
        <v/>
      </c>
      <c r="T959" s="348" t="str">
        <f t="shared" si="123"/>
        <v/>
      </c>
      <c r="U959" s="348" t="str">
        <f t="shared" si="124"/>
        <v/>
      </c>
      <c r="V959" s="348" t="str">
        <f t="shared" si="125"/>
        <v/>
      </c>
      <c r="W959" s="348" t="str">
        <f t="shared" si="126"/>
        <v/>
      </c>
      <c r="X959" s="348" t="str">
        <f t="shared" si="127"/>
        <v/>
      </c>
    </row>
    <row r="960" spans="1:24" x14ac:dyDescent="0.2">
      <c r="A960" s="407">
        <v>952</v>
      </c>
      <c r="B960" s="438"/>
      <c r="C960" s="438"/>
      <c r="D960" s="438"/>
      <c r="E960" s="438"/>
      <c r="F960" s="438"/>
      <c r="G960" s="438"/>
      <c r="H960" s="438"/>
      <c r="I960" s="438"/>
      <c r="J960" s="11"/>
      <c r="Q960" s="348" t="str">
        <f t="shared" si="120"/>
        <v/>
      </c>
      <c r="R960" s="348" t="str">
        <f t="shared" si="121"/>
        <v/>
      </c>
      <c r="S960" s="348" t="str">
        <f t="shared" si="122"/>
        <v/>
      </c>
      <c r="T960" s="348" t="str">
        <f t="shared" si="123"/>
        <v/>
      </c>
      <c r="U960" s="348" t="str">
        <f t="shared" si="124"/>
        <v/>
      </c>
      <c r="V960" s="348" t="str">
        <f t="shared" si="125"/>
        <v/>
      </c>
      <c r="W960" s="348" t="str">
        <f t="shared" si="126"/>
        <v/>
      </c>
      <c r="X960" s="348" t="str">
        <f t="shared" si="127"/>
        <v/>
      </c>
    </row>
    <row r="961" spans="1:24" x14ac:dyDescent="0.2">
      <c r="A961" s="407">
        <v>953</v>
      </c>
      <c r="B961" s="438"/>
      <c r="C961" s="438"/>
      <c r="D961" s="438"/>
      <c r="E961" s="438"/>
      <c r="F961" s="438"/>
      <c r="G961" s="438"/>
      <c r="H961" s="438"/>
      <c r="I961" s="438"/>
      <c r="J961" s="11"/>
      <c r="Q961" s="348" t="str">
        <f t="shared" si="120"/>
        <v/>
      </c>
      <c r="R961" s="348" t="str">
        <f t="shared" si="121"/>
        <v/>
      </c>
      <c r="S961" s="348" t="str">
        <f t="shared" si="122"/>
        <v/>
      </c>
      <c r="T961" s="348" t="str">
        <f t="shared" si="123"/>
        <v/>
      </c>
      <c r="U961" s="348" t="str">
        <f t="shared" si="124"/>
        <v/>
      </c>
      <c r="V961" s="348" t="str">
        <f t="shared" si="125"/>
        <v/>
      </c>
      <c r="W961" s="348" t="str">
        <f t="shared" si="126"/>
        <v/>
      </c>
      <c r="X961" s="348" t="str">
        <f t="shared" si="127"/>
        <v/>
      </c>
    </row>
    <row r="962" spans="1:24" x14ac:dyDescent="0.2">
      <c r="A962" s="407">
        <v>954</v>
      </c>
      <c r="B962" s="438"/>
      <c r="C962" s="438"/>
      <c r="D962" s="438"/>
      <c r="E962" s="438"/>
      <c r="F962" s="438"/>
      <c r="G962" s="438"/>
      <c r="H962" s="438"/>
      <c r="I962" s="438"/>
      <c r="J962" s="11"/>
      <c r="Q962" s="348" t="str">
        <f t="shared" si="120"/>
        <v/>
      </c>
      <c r="R962" s="348" t="str">
        <f t="shared" si="121"/>
        <v/>
      </c>
      <c r="S962" s="348" t="str">
        <f t="shared" si="122"/>
        <v/>
      </c>
      <c r="T962" s="348" t="str">
        <f t="shared" si="123"/>
        <v/>
      </c>
      <c r="U962" s="348" t="str">
        <f t="shared" si="124"/>
        <v/>
      </c>
      <c r="V962" s="348" t="str">
        <f t="shared" si="125"/>
        <v/>
      </c>
      <c r="W962" s="348" t="str">
        <f t="shared" si="126"/>
        <v/>
      </c>
      <c r="X962" s="348" t="str">
        <f t="shared" si="127"/>
        <v/>
      </c>
    </row>
    <row r="963" spans="1:24" x14ac:dyDescent="0.2">
      <c r="A963" s="407">
        <v>955</v>
      </c>
      <c r="B963" s="438"/>
      <c r="C963" s="438"/>
      <c r="D963" s="438"/>
      <c r="E963" s="438"/>
      <c r="F963" s="438"/>
      <c r="G963" s="438"/>
      <c r="H963" s="438"/>
      <c r="I963" s="438"/>
      <c r="J963" s="11"/>
      <c r="Q963" s="348" t="str">
        <f t="shared" si="120"/>
        <v/>
      </c>
      <c r="R963" s="348" t="str">
        <f t="shared" si="121"/>
        <v/>
      </c>
      <c r="S963" s="348" t="str">
        <f t="shared" si="122"/>
        <v/>
      </c>
      <c r="T963" s="348" t="str">
        <f t="shared" si="123"/>
        <v/>
      </c>
      <c r="U963" s="348" t="str">
        <f t="shared" si="124"/>
        <v/>
      </c>
      <c r="V963" s="348" t="str">
        <f t="shared" si="125"/>
        <v/>
      </c>
      <c r="W963" s="348" t="str">
        <f t="shared" si="126"/>
        <v/>
      </c>
      <c r="X963" s="348" t="str">
        <f t="shared" si="127"/>
        <v/>
      </c>
    </row>
    <row r="964" spans="1:24" x14ac:dyDescent="0.2">
      <c r="A964" s="407">
        <v>956</v>
      </c>
      <c r="B964" s="438"/>
      <c r="C964" s="438"/>
      <c r="D964" s="438"/>
      <c r="E964" s="438"/>
      <c r="F964" s="438"/>
      <c r="G964" s="438"/>
      <c r="H964" s="438"/>
      <c r="I964" s="438"/>
      <c r="J964" s="11"/>
      <c r="Q964" s="348" t="str">
        <f t="shared" si="120"/>
        <v/>
      </c>
      <c r="R964" s="348" t="str">
        <f t="shared" si="121"/>
        <v/>
      </c>
      <c r="S964" s="348" t="str">
        <f t="shared" si="122"/>
        <v/>
      </c>
      <c r="T964" s="348" t="str">
        <f t="shared" si="123"/>
        <v/>
      </c>
      <c r="U964" s="348" t="str">
        <f t="shared" si="124"/>
        <v/>
      </c>
      <c r="V964" s="348" t="str">
        <f t="shared" si="125"/>
        <v/>
      </c>
      <c r="W964" s="348" t="str">
        <f t="shared" si="126"/>
        <v/>
      </c>
      <c r="X964" s="348" t="str">
        <f t="shared" si="127"/>
        <v/>
      </c>
    </row>
    <row r="965" spans="1:24" x14ac:dyDescent="0.2">
      <c r="A965" s="407">
        <v>957</v>
      </c>
      <c r="B965" s="438"/>
      <c r="C965" s="438"/>
      <c r="D965" s="438"/>
      <c r="E965" s="438"/>
      <c r="F965" s="438"/>
      <c r="G965" s="438"/>
      <c r="H965" s="438"/>
      <c r="I965" s="438"/>
      <c r="J965" s="11"/>
      <c r="Q965" s="348" t="str">
        <f t="shared" si="120"/>
        <v/>
      </c>
      <c r="R965" s="348" t="str">
        <f t="shared" si="121"/>
        <v/>
      </c>
      <c r="S965" s="348" t="str">
        <f t="shared" si="122"/>
        <v/>
      </c>
      <c r="T965" s="348" t="str">
        <f t="shared" si="123"/>
        <v/>
      </c>
      <c r="U965" s="348" t="str">
        <f t="shared" si="124"/>
        <v/>
      </c>
      <c r="V965" s="348" t="str">
        <f t="shared" si="125"/>
        <v/>
      </c>
      <c r="W965" s="348" t="str">
        <f t="shared" si="126"/>
        <v/>
      </c>
      <c r="X965" s="348" t="str">
        <f t="shared" si="127"/>
        <v/>
      </c>
    </row>
    <row r="966" spans="1:24" x14ac:dyDescent="0.2">
      <c r="A966" s="407">
        <v>958</v>
      </c>
      <c r="B966" s="438"/>
      <c r="C966" s="438"/>
      <c r="D966" s="438"/>
      <c r="E966" s="438"/>
      <c r="F966" s="438"/>
      <c r="G966" s="438"/>
      <c r="H966" s="438"/>
      <c r="I966" s="438"/>
      <c r="J966" s="11"/>
      <c r="Q966" s="348" t="str">
        <f t="shared" si="120"/>
        <v/>
      </c>
      <c r="R966" s="348" t="str">
        <f t="shared" si="121"/>
        <v/>
      </c>
      <c r="S966" s="348" t="str">
        <f t="shared" si="122"/>
        <v/>
      </c>
      <c r="T966" s="348" t="str">
        <f t="shared" si="123"/>
        <v/>
      </c>
      <c r="U966" s="348" t="str">
        <f t="shared" si="124"/>
        <v/>
      </c>
      <c r="V966" s="348" t="str">
        <f t="shared" si="125"/>
        <v/>
      </c>
      <c r="W966" s="348" t="str">
        <f t="shared" si="126"/>
        <v/>
      </c>
      <c r="X966" s="348" t="str">
        <f t="shared" si="127"/>
        <v/>
      </c>
    </row>
    <row r="967" spans="1:24" x14ac:dyDescent="0.2">
      <c r="A967" s="407">
        <v>959</v>
      </c>
      <c r="B967" s="438"/>
      <c r="C967" s="438"/>
      <c r="D967" s="438"/>
      <c r="E967" s="438"/>
      <c r="F967" s="438"/>
      <c r="G967" s="438"/>
      <c r="H967" s="438"/>
      <c r="I967" s="438"/>
      <c r="J967" s="11"/>
      <c r="Q967" s="348" t="str">
        <f t="shared" si="120"/>
        <v/>
      </c>
      <c r="R967" s="348" t="str">
        <f t="shared" si="121"/>
        <v/>
      </c>
      <c r="S967" s="348" t="str">
        <f t="shared" si="122"/>
        <v/>
      </c>
      <c r="T967" s="348" t="str">
        <f t="shared" si="123"/>
        <v/>
      </c>
      <c r="U967" s="348" t="str">
        <f t="shared" si="124"/>
        <v/>
      </c>
      <c r="V967" s="348" t="str">
        <f t="shared" si="125"/>
        <v/>
      </c>
      <c r="W967" s="348" t="str">
        <f t="shared" si="126"/>
        <v/>
      </c>
      <c r="X967" s="348" t="str">
        <f t="shared" si="127"/>
        <v/>
      </c>
    </row>
    <row r="968" spans="1:24" x14ac:dyDescent="0.2">
      <c r="A968" s="407">
        <v>960</v>
      </c>
      <c r="B968" s="438"/>
      <c r="C968" s="438"/>
      <c r="D968" s="438"/>
      <c r="E968" s="438"/>
      <c r="F968" s="438"/>
      <c r="G968" s="438"/>
      <c r="H968" s="438"/>
      <c r="I968" s="438"/>
      <c r="J968" s="11"/>
      <c r="Q968" s="348" t="str">
        <f t="shared" si="120"/>
        <v/>
      </c>
      <c r="R968" s="348" t="str">
        <f t="shared" si="121"/>
        <v/>
      </c>
      <c r="S968" s="348" t="str">
        <f t="shared" si="122"/>
        <v/>
      </c>
      <c r="T968" s="348" t="str">
        <f t="shared" si="123"/>
        <v/>
      </c>
      <c r="U968" s="348" t="str">
        <f t="shared" si="124"/>
        <v/>
      </c>
      <c r="V968" s="348" t="str">
        <f t="shared" si="125"/>
        <v/>
      </c>
      <c r="W968" s="348" t="str">
        <f t="shared" si="126"/>
        <v/>
      </c>
      <c r="X968" s="348" t="str">
        <f t="shared" si="127"/>
        <v/>
      </c>
    </row>
    <row r="969" spans="1:24" x14ac:dyDescent="0.2">
      <c r="A969" s="407">
        <v>961</v>
      </c>
      <c r="B969" s="438"/>
      <c r="C969" s="438"/>
      <c r="D969" s="438"/>
      <c r="E969" s="438"/>
      <c r="F969" s="438"/>
      <c r="G969" s="438"/>
      <c r="H969" s="438"/>
      <c r="I969" s="438"/>
      <c r="J969" s="11"/>
      <c r="Q969" s="348" t="str">
        <f t="shared" si="120"/>
        <v/>
      </c>
      <c r="R969" s="348" t="str">
        <f t="shared" si="121"/>
        <v/>
      </c>
      <c r="S969" s="348" t="str">
        <f t="shared" si="122"/>
        <v/>
      </c>
      <c r="T969" s="348" t="str">
        <f t="shared" si="123"/>
        <v/>
      </c>
      <c r="U969" s="348" t="str">
        <f t="shared" si="124"/>
        <v/>
      </c>
      <c r="V969" s="348" t="str">
        <f t="shared" si="125"/>
        <v/>
      </c>
      <c r="W969" s="348" t="str">
        <f t="shared" si="126"/>
        <v/>
      </c>
      <c r="X969" s="348" t="str">
        <f t="shared" si="127"/>
        <v/>
      </c>
    </row>
    <row r="970" spans="1:24" x14ac:dyDescent="0.2">
      <c r="A970" s="407">
        <v>962</v>
      </c>
      <c r="B970" s="438"/>
      <c r="C970" s="438"/>
      <c r="D970" s="438"/>
      <c r="E970" s="438"/>
      <c r="F970" s="438"/>
      <c r="G970" s="437"/>
      <c r="H970" s="438"/>
      <c r="I970" s="438"/>
      <c r="J970" s="11"/>
      <c r="Q970" s="348" t="str">
        <f t="shared" ref="Q970:Q1033" si="128">IFERROR(B970^4*$AB$9+B970^3*$AC$9+B970^2*$AD$9+B970^1*$AE$9+B970^0*$AF$9,"")</f>
        <v/>
      </c>
      <c r="R970" s="348" t="str">
        <f t="shared" ref="R970:R1033" si="129">IFERROR(C970^4*$AB$10+C970^3*$AC$10+C970^2*$AD$10+C970^1*$AE$10+C970^0*$AF$10,"")</f>
        <v/>
      </c>
      <c r="S970" s="348" t="str">
        <f t="shared" ref="S970:S1033" si="130">IFERROR(D970^4*$AB$11+D970^3*$AC$11+D970^2*$AD$11+D970^1*$AE$11+D970^0*$AF$11,"")</f>
        <v/>
      </c>
      <c r="T970" s="348" t="str">
        <f t="shared" ref="T970:T1033" si="131">IFERROR(E970^4*$AB$12+E970^3*$AC$12+E970^2*$AD$12+E970^1*$AE$12+E970^0*$AF$12,"")</f>
        <v/>
      </c>
      <c r="U970" s="348" t="str">
        <f t="shared" ref="U970:U1033" si="132">IFERROR(F970^4*$AB$13+F970^3*$AC$13+F970^2*$AD$13+F970^1*$AE$13+F970^0*$AF$13,"")</f>
        <v/>
      </c>
      <c r="V970" s="348" t="str">
        <f t="shared" ref="V970:V1033" si="133">IFERROR(G970^4*$AB$14+G970^3*$AC$14+G970^2*$AD$14+G970^1*$AE$14+G970^0*$AF$14,"")</f>
        <v/>
      </c>
      <c r="W970" s="348" t="str">
        <f t="shared" ref="W970:W1033" si="134">IFERROR(H970^4*$AB$15+H970^3*$AC$15+H970^2*$AD$15+H970^1*$AE$15+H970^0*$AF$15,"")</f>
        <v/>
      </c>
      <c r="X970" s="348" t="str">
        <f t="shared" ref="X970:X1033" si="135">IFERROR(I970^4*$AB$16+I970^3*$AC$16+I970^2*$AD$16+I970^1*$AE$16+I970^0*$AF$16,"")</f>
        <v/>
      </c>
    </row>
    <row r="971" spans="1:24" x14ac:dyDescent="0.2">
      <c r="A971" s="407">
        <v>963</v>
      </c>
      <c r="B971" s="438"/>
      <c r="C971" s="438"/>
      <c r="D971" s="438"/>
      <c r="E971" s="438"/>
      <c r="F971" s="438"/>
      <c r="G971" s="438"/>
      <c r="H971" s="438"/>
      <c r="I971" s="438"/>
      <c r="J971" s="11"/>
      <c r="Q971" s="348" t="str">
        <f t="shared" si="128"/>
        <v/>
      </c>
      <c r="R971" s="348" t="str">
        <f t="shared" si="129"/>
        <v/>
      </c>
      <c r="S971" s="348" t="str">
        <f t="shared" si="130"/>
        <v/>
      </c>
      <c r="T971" s="348" t="str">
        <f t="shared" si="131"/>
        <v/>
      </c>
      <c r="U971" s="348" t="str">
        <f t="shared" si="132"/>
        <v/>
      </c>
      <c r="V971" s="348" t="str">
        <f t="shared" si="133"/>
        <v/>
      </c>
      <c r="W971" s="348" t="str">
        <f t="shared" si="134"/>
        <v/>
      </c>
      <c r="X971" s="348" t="str">
        <f t="shared" si="135"/>
        <v/>
      </c>
    </row>
    <row r="972" spans="1:24" x14ac:dyDescent="0.2">
      <c r="A972" s="407">
        <v>964</v>
      </c>
      <c r="B972" s="438"/>
      <c r="C972" s="437"/>
      <c r="D972" s="438"/>
      <c r="E972" s="438"/>
      <c r="F972" s="437"/>
      <c r="G972" s="438"/>
      <c r="H972" s="437"/>
      <c r="I972" s="438"/>
      <c r="J972" s="11"/>
      <c r="Q972" s="348" t="str">
        <f t="shared" si="128"/>
        <v/>
      </c>
      <c r="R972" s="348" t="str">
        <f t="shared" si="129"/>
        <v/>
      </c>
      <c r="S972" s="348" t="str">
        <f t="shared" si="130"/>
        <v/>
      </c>
      <c r="T972" s="348" t="str">
        <f t="shared" si="131"/>
        <v/>
      </c>
      <c r="U972" s="348" t="str">
        <f t="shared" si="132"/>
        <v/>
      </c>
      <c r="V972" s="348" t="str">
        <f t="shared" si="133"/>
        <v/>
      </c>
      <c r="W972" s="348" t="str">
        <f t="shared" si="134"/>
        <v/>
      </c>
      <c r="X972" s="348" t="str">
        <f t="shared" si="135"/>
        <v/>
      </c>
    </row>
    <row r="973" spans="1:24" x14ac:dyDescent="0.2">
      <c r="A973" s="407">
        <v>965</v>
      </c>
      <c r="B973" s="438"/>
      <c r="C973" s="438"/>
      <c r="D973" s="438"/>
      <c r="E973" s="438"/>
      <c r="F973" s="438"/>
      <c r="G973" s="438"/>
      <c r="H973" s="438"/>
      <c r="I973" s="438"/>
      <c r="J973" s="11"/>
      <c r="Q973" s="348" t="str">
        <f t="shared" si="128"/>
        <v/>
      </c>
      <c r="R973" s="348" t="str">
        <f t="shared" si="129"/>
        <v/>
      </c>
      <c r="S973" s="348" t="str">
        <f t="shared" si="130"/>
        <v/>
      </c>
      <c r="T973" s="348" t="str">
        <f t="shared" si="131"/>
        <v/>
      </c>
      <c r="U973" s="348" t="str">
        <f t="shared" si="132"/>
        <v/>
      </c>
      <c r="V973" s="348" t="str">
        <f t="shared" si="133"/>
        <v/>
      </c>
      <c r="W973" s="348" t="str">
        <f t="shared" si="134"/>
        <v/>
      </c>
      <c r="X973" s="348" t="str">
        <f t="shared" si="135"/>
        <v/>
      </c>
    </row>
    <row r="974" spans="1:24" x14ac:dyDescent="0.2">
      <c r="A974" s="407">
        <v>966</v>
      </c>
      <c r="B974" s="438"/>
      <c r="C974" s="438"/>
      <c r="D974" s="438"/>
      <c r="E974" s="438"/>
      <c r="F974" s="438"/>
      <c r="G974" s="438"/>
      <c r="H974" s="438"/>
      <c r="I974" s="438"/>
      <c r="J974" s="11"/>
      <c r="Q974" s="348" t="str">
        <f t="shared" si="128"/>
        <v/>
      </c>
      <c r="R974" s="348" t="str">
        <f t="shared" si="129"/>
        <v/>
      </c>
      <c r="S974" s="348" t="str">
        <f t="shared" si="130"/>
        <v/>
      </c>
      <c r="T974" s="348" t="str">
        <f t="shared" si="131"/>
        <v/>
      </c>
      <c r="U974" s="348" t="str">
        <f t="shared" si="132"/>
        <v/>
      </c>
      <c r="V974" s="348" t="str">
        <f t="shared" si="133"/>
        <v/>
      </c>
      <c r="W974" s="348" t="str">
        <f t="shared" si="134"/>
        <v/>
      </c>
      <c r="X974" s="348" t="str">
        <f t="shared" si="135"/>
        <v/>
      </c>
    </row>
    <row r="975" spans="1:24" x14ac:dyDescent="0.2">
      <c r="A975" s="407">
        <v>967</v>
      </c>
      <c r="B975" s="438"/>
      <c r="C975" s="438"/>
      <c r="D975" s="438"/>
      <c r="E975" s="438"/>
      <c r="F975" s="438"/>
      <c r="G975" s="438"/>
      <c r="H975" s="438"/>
      <c r="I975" s="438"/>
      <c r="J975" s="11"/>
      <c r="Q975" s="348" t="str">
        <f t="shared" si="128"/>
        <v/>
      </c>
      <c r="R975" s="348" t="str">
        <f t="shared" si="129"/>
        <v/>
      </c>
      <c r="S975" s="348" t="str">
        <f t="shared" si="130"/>
        <v/>
      </c>
      <c r="T975" s="348" t="str">
        <f t="shared" si="131"/>
        <v/>
      </c>
      <c r="U975" s="348" t="str">
        <f t="shared" si="132"/>
        <v/>
      </c>
      <c r="V975" s="348" t="str">
        <f t="shared" si="133"/>
        <v/>
      </c>
      <c r="W975" s="348" t="str">
        <f t="shared" si="134"/>
        <v/>
      </c>
      <c r="X975" s="348" t="str">
        <f t="shared" si="135"/>
        <v/>
      </c>
    </row>
    <row r="976" spans="1:24" x14ac:dyDescent="0.2">
      <c r="A976" s="407">
        <v>968</v>
      </c>
      <c r="B976" s="438"/>
      <c r="C976" s="438"/>
      <c r="D976" s="438"/>
      <c r="E976" s="438"/>
      <c r="F976" s="438"/>
      <c r="G976" s="438"/>
      <c r="H976" s="438"/>
      <c r="I976" s="438"/>
      <c r="J976" s="11"/>
      <c r="Q976" s="348" t="str">
        <f t="shared" si="128"/>
        <v/>
      </c>
      <c r="R976" s="348" t="str">
        <f t="shared" si="129"/>
        <v/>
      </c>
      <c r="S976" s="348" t="str">
        <f t="shared" si="130"/>
        <v/>
      </c>
      <c r="T976" s="348" t="str">
        <f t="shared" si="131"/>
        <v/>
      </c>
      <c r="U976" s="348" t="str">
        <f t="shared" si="132"/>
        <v/>
      </c>
      <c r="V976" s="348" t="str">
        <f t="shared" si="133"/>
        <v/>
      </c>
      <c r="W976" s="348" t="str">
        <f t="shared" si="134"/>
        <v/>
      </c>
      <c r="X976" s="348" t="str">
        <f t="shared" si="135"/>
        <v/>
      </c>
    </row>
    <row r="977" spans="1:24" x14ac:dyDescent="0.2">
      <c r="A977" s="407">
        <v>969</v>
      </c>
      <c r="B977" s="438"/>
      <c r="C977" s="438"/>
      <c r="D977" s="438"/>
      <c r="E977" s="437"/>
      <c r="F977" s="438"/>
      <c r="G977" s="438"/>
      <c r="H977" s="438"/>
      <c r="I977" s="438"/>
      <c r="J977" s="11"/>
      <c r="Q977" s="348" t="str">
        <f t="shared" si="128"/>
        <v/>
      </c>
      <c r="R977" s="348" t="str">
        <f t="shared" si="129"/>
        <v/>
      </c>
      <c r="S977" s="348" t="str">
        <f t="shared" si="130"/>
        <v/>
      </c>
      <c r="T977" s="348" t="str">
        <f t="shared" si="131"/>
        <v/>
      </c>
      <c r="U977" s="348" t="str">
        <f t="shared" si="132"/>
        <v/>
      </c>
      <c r="V977" s="348" t="str">
        <f t="shared" si="133"/>
        <v/>
      </c>
      <c r="W977" s="348" t="str">
        <f t="shared" si="134"/>
        <v/>
      </c>
      <c r="X977" s="348" t="str">
        <f t="shared" si="135"/>
        <v/>
      </c>
    </row>
    <row r="978" spans="1:24" x14ac:dyDescent="0.2">
      <c r="A978" s="407">
        <v>970</v>
      </c>
      <c r="B978" s="437"/>
      <c r="C978" s="438"/>
      <c r="D978" s="438"/>
      <c r="E978" s="438"/>
      <c r="F978" s="438"/>
      <c r="G978" s="438"/>
      <c r="H978" s="438"/>
      <c r="I978" s="438"/>
      <c r="J978" s="11"/>
      <c r="Q978" s="348" t="str">
        <f t="shared" si="128"/>
        <v/>
      </c>
      <c r="R978" s="348" t="str">
        <f t="shared" si="129"/>
        <v/>
      </c>
      <c r="S978" s="348" t="str">
        <f t="shared" si="130"/>
        <v/>
      </c>
      <c r="T978" s="348" t="str">
        <f t="shared" si="131"/>
        <v/>
      </c>
      <c r="U978" s="348" t="str">
        <f t="shared" si="132"/>
        <v/>
      </c>
      <c r="V978" s="348" t="str">
        <f t="shared" si="133"/>
        <v/>
      </c>
      <c r="W978" s="348" t="str">
        <f t="shared" si="134"/>
        <v/>
      </c>
      <c r="X978" s="348" t="str">
        <f t="shared" si="135"/>
        <v/>
      </c>
    </row>
    <row r="979" spans="1:24" x14ac:dyDescent="0.2">
      <c r="A979" s="407">
        <v>971</v>
      </c>
      <c r="B979" s="438"/>
      <c r="C979" s="438"/>
      <c r="D979" s="438"/>
      <c r="E979" s="438"/>
      <c r="F979" s="438"/>
      <c r="G979" s="438"/>
      <c r="H979" s="438"/>
      <c r="I979" s="438"/>
      <c r="J979" s="11"/>
      <c r="Q979" s="348" t="str">
        <f t="shared" si="128"/>
        <v/>
      </c>
      <c r="R979" s="348" t="str">
        <f t="shared" si="129"/>
        <v/>
      </c>
      <c r="S979" s="348" t="str">
        <f t="shared" si="130"/>
        <v/>
      </c>
      <c r="T979" s="348" t="str">
        <f t="shared" si="131"/>
        <v/>
      </c>
      <c r="U979" s="348" t="str">
        <f t="shared" si="132"/>
        <v/>
      </c>
      <c r="V979" s="348" t="str">
        <f t="shared" si="133"/>
        <v/>
      </c>
      <c r="W979" s="348" t="str">
        <f t="shared" si="134"/>
        <v/>
      </c>
      <c r="X979" s="348" t="str">
        <f t="shared" si="135"/>
        <v/>
      </c>
    </row>
    <row r="980" spans="1:24" x14ac:dyDescent="0.2">
      <c r="A980" s="407">
        <v>972</v>
      </c>
      <c r="B980" s="438"/>
      <c r="C980" s="438"/>
      <c r="D980" s="438"/>
      <c r="E980" s="438"/>
      <c r="F980" s="438"/>
      <c r="G980" s="438"/>
      <c r="H980" s="438"/>
      <c r="I980" s="438"/>
      <c r="J980" s="11"/>
      <c r="Q980" s="348" t="str">
        <f t="shared" si="128"/>
        <v/>
      </c>
      <c r="R980" s="348" t="str">
        <f t="shared" si="129"/>
        <v/>
      </c>
      <c r="S980" s="348" t="str">
        <f t="shared" si="130"/>
        <v/>
      </c>
      <c r="T980" s="348" t="str">
        <f t="shared" si="131"/>
        <v/>
      </c>
      <c r="U980" s="348" t="str">
        <f t="shared" si="132"/>
        <v/>
      </c>
      <c r="V980" s="348" t="str">
        <f t="shared" si="133"/>
        <v/>
      </c>
      <c r="W980" s="348" t="str">
        <f t="shared" si="134"/>
        <v/>
      </c>
      <c r="X980" s="348" t="str">
        <f t="shared" si="135"/>
        <v/>
      </c>
    </row>
    <row r="981" spans="1:24" x14ac:dyDescent="0.2">
      <c r="A981" s="407">
        <v>973</v>
      </c>
      <c r="B981" s="438"/>
      <c r="C981" s="438"/>
      <c r="D981" s="438"/>
      <c r="E981" s="438"/>
      <c r="F981" s="438"/>
      <c r="G981" s="438"/>
      <c r="H981" s="438"/>
      <c r="I981" s="438"/>
      <c r="J981" s="11"/>
      <c r="Q981" s="348" t="str">
        <f t="shared" si="128"/>
        <v/>
      </c>
      <c r="R981" s="348" t="str">
        <f t="shared" si="129"/>
        <v/>
      </c>
      <c r="S981" s="348" t="str">
        <f t="shared" si="130"/>
        <v/>
      </c>
      <c r="T981" s="348" t="str">
        <f t="shared" si="131"/>
        <v/>
      </c>
      <c r="U981" s="348" t="str">
        <f t="shared" si="132"/>
        <v/>
      </c>
      <c r="V981" s="348" t="str">
        <f t="shared" si="133"/>
        <v/>
      </c>
      <c r="W981" s="348" t="str">
        <f t="shared" si="134"/>
        <v/>
      </c>
      <c r="X981" s="348" t="str">
        <f t="shared" si="135"/>
        <v/>
      </c>
    </row>
    <row r="982" spans="1:24" x14ac:dyDescent="0.2">
      <c r="A982" s="407">
        <v>974</v>
      </c>
      <c r="B982" s="438"/>
      <c r="C982" s="438"/>
      <c r="D982" s="438"/>
      <c r="E982" s="438"/>
      <c r="F982" s="438"/>
      <c r="G982" s="438"/>
      <c r="H982" s="438"/>
      <c r="I982" s="438"/>
      <c r="J982" s="11"/>
      <c r="Q982" s="348" t="str">
        <f t="shared" si="128"/>
        <v/>
      </c>
      <c r="R982" s="348" t="str">
        <f t="shared" si="129"/>
        <v/>
      </c>
      <c r="S982" s="348" t="str">
        <f t="shared" si="130"/>
        <v/>
      </c>
      <c r="T982" s="348" t="str">
        <f t="shared" si="131"/>
        <v/>
      </c>
      <c r="U982" s="348" t="str">
        <f t="shared" si="132"/>
        <v/>
      </c>
      <c r="V982" s="348" t="str">
        <f t="shared" si="133"/>
        <v/>
      </c>
      <c r="W982" s="348" t="str">
        <f t="shared" si="134"/>
        <v/>
      </c>
      <c r="X982" s="348" t="str">
        <f t="shared" si="135"/>
        <v/>
      </c>
    </row>
    <row r="983" spans="1:24" x14ac:dyDescent="0.2">
      <c r="A983" s="407">
        <v>975</v>
      </c>
      <c r="B983" s="438"/>
      <c r="C983" s="438"/>
      <c r="D983" s="438"/>
      <c r="E983" s="438"/>
      <c r="F983" s="438"/>
      <c r="G983" s="438"/>
      <c r="H983" s="438"/>
      <c r="I983" s="438"/>
      <c r="J983" s="11"/>
      <c r="Q983" s="348" t="str">
        <f t="shared" si="128"/>
        <v/>
      </c>
      <c r="R983" s="348" t="str">
        <f t="shared" si="129"/>
        <v/>
      </c>
      <c r="S983" s="348" t="str">
        <f t="shared" si="130"/>
        <v/>
      </c>
      <c r="T983" s="348" t="str">
        <f t="shared" si="131"/>
        <v/>
      </c>
      <c r="U983" s="348" t="str">
        <f t="shared" si="132"/>
        <v/>
      </c>
      <c r="V983" s="348" t="str">
        <f t="shared" si="133"/>
        <v/>
      </c>
      <c r="W983" s="348" t="str">
        <f t="shared" si="134"/>
        <v/>
      </c>
      <c r="X983" s="348" t="str">
        <f t="shared" si="135"/>
        <v/>
      </c>
    </row>
    <row r="984" spans="1:24" x14ac:dyDescent="0.2">
      <c r="A984" s="407">
        <v>976</v>
      </c>
      <c r="B984" s="438"/>
      <c r="C984" s="438"/>
      <c r="D984" s="438"/>
      <c r="E984" s="438"/>
      <c r="F984" s="438"/>
      <c r="G984" s="438"/>
      <c r="H984" s="438"/>
      <c r="I984" s="438"/>
      <c r="J984" s="11"/>
      <c r="Q984" s="348" t="str">
        <f t="shared" si="128"/>
        <v/>
      </c>
      <c r="R984" s="348" t="str">
        <f t="shared" si="129"/>
        <v/>
      </c>
      <c r="S984" s="348" t="str">
        <f t="shared" si="130"/>
        <v/>
      </c>
      <c r="T984" s="348" t="str">
        <f t="shared" si="131"/>
        <v/>
      </c>
      <c r="U984" s="348" t="str">
        <f t="shared" si="132"/>
        <v/>
      </c>
      <c r="V984" s="348" t="str">
        <f t="shared" si="133"/>
        <v/>
      </c>
      <c r="W984" s="348" t="str">
        <f t="shared" si="134"/>
        <v/>
      </c>
      <c r="X984" s="348" t="str">
        <f t="shared" si="135"/>
        <v/>
      </c>
    </row>
    <row r="985" spans="1:24" x14ac:dyDescent="0.2">
      <c r="A985" s="407">
        <v>977</v>
      </c>
      <c r="B985" s="438"/>
      <c r="C985" s="438"/>
      <c r="D985" s="438"/>
      <c r="E985" s="438"/>
      <c r="F985" s="438"/>
      <c r="G985" s="438"/>
      <c r="H985" s="438"/>
      <c r="I985" s="438"/>
      <c r="J985" s="11"/>
      <c r="Q985" s="348" t="str">
        <f t="shared" si="128"/>
        <v/>
      </c>
      <c r="R985" s="348" t="str">
        <f t="shared" si="129"/>
        <v/>
      </c>
      <c r="S985" s="348" t="str">
        <f t="shared" si="130"/>
        <v/>
      </c>
      <c r="T985" s="348" t="str">
        <f t="shared" si="131"/>
        <v/>
      </c>
      <c r="U985" s="348" t="str">
        <f t="shared" si="132"/>
        <v/>
      </c>
      <c r="V985" s="348" t="str">
        <f t="shared" si="133"/>
        <v/>
      </c>
      <c r="W985" s="348" t="str">
        <f t="shared" si="134"/>
        <v/>
      </c>
      <c r="X985" s="348" t="str">
        <f t="shared" si="135"/>
        <v/>
      </c>
    </row>
    <row r="986" spans="1:24" x14ac:dyDescent="0.2">
      <c r="A986" s="407">
        <v>978</v>
      </c>
      <c r="B986" s="438"/>
      <c r="C986" s="438"/>
      <c r="D986" s="438"/>
      <c r="E986" s="438"/>
      <c r="F986" s="438"/>
      <c r="G986" s="438"/>
      <c r="H986" s="438"/>
      <c r="I986" s="438"/>
      <c r="J986" s="11"/>
      <c r="Q986" s="348" t="str">
        <f t="shared" si="128"/>
        <v/>
      </c>
      <c r="R986" s="348" t="str">
        <f t="shared" si="129"/>
        <v/>
      </c>
      <c r="S986" s="348" t="str">
        <f t="shared" si="130"/>
        <v/>
      </c>
      <c r="T986" s="348" t="str">
        <f t="shared" si="131"/>
        <v/>
      </c>
      <c r="U986" s="348" t="str">
        <f t="shared" si="132"/>
        <v/>
      </c>
      <c r="V986" s="348" t="str">
        <f t="shared" si="133"/>
        <v/>
      </c>
      <c r="W986" s="348" t="str">
        <f t="shared" si="134"/>
        <v/>
      </c>
      <c r="X986" s="348" t="str">
        <f t="shared" si="135"/>
        <v/>
      </c>
    </row>
    <row r="987" spans="1:24" x14ac:dyDescent="0.2">
      <c r="A987" s="407">
        <v>979</v>
      </c>
      <c r="B987" s="438"/>
      <c r="C987" s="438"/>
      <c r="D987" s="438"/>
      <c r="E987" s="438"/>
      <c r="F987" s="438"/>
      <c r="G987" s="438"/>
      <c r="H987" s="438"/>
      <c r="I987" s="438"/>
      <c r="J987" s="11"/>
      <c r="Q987" s="348" t="str">
        <f t="shared" si="128"/>
        <v/>
      </c>
      <c r="R987" s="348" t="str">
        <f t="shared" si="129"/>
        <v/>
      </c>
      <c r="S987" s="348" t="str">
        <f t="shared" si="130"/>
        <v/>
      </c>
      <c r="T987" s="348" t="str">
        <f t="shared" si="131"/>
        <v/>
      </c>
      <c r="U987" s="348" t="str">
        <f t="shared" si="132"/>
        <v/>
      </c>
      <c r="V987" s="348" t="str">
        <f t="shared" si="133"/>
        <v/>
      </c>
      <c r="W987" s="348" t="str">
        <f t="shared" si="134"/>
        <v/>
      </c>
      <c r="X987" s="348" t="str">
        <f t="shared" si="135"/>
        <v/>
      </c>
    </row>
    <row r="988" spans="1:24" x14ac:dyDescent="0.2">
      <c r="A988" s="407">
        <v>980</v>
      </c>
      <c r="B988" s="437"/>
      <c r="C988" s="438"/>
      <c r="D988" s="438"/>
      <c r="E988" s="438"/>
      <c r="F988" s="438"/>
      <c r="G988" s="438"/>
      <c r="H988" s="438"/>
      <c r="I988" s="438"/>
      <c r="J988" s="11"/>
      <c r="Q988" s="348" t="str">
        <f t="shared" si="128"/>
        <v/>
      </c>
      <c r="R988" s="348" t="str">
        <f t="shared" si="129"/>
        <v/>
      </c>
      <c r="S988" s="348" t="str">
        <f t="shared" si="130"/>
        <v/>
      </c>
      <c r="T988" s="348" t="str">
        <f t="shared" si="131"/>
        <v/>
      </c>
      <c r="U988" s="348" t="str">
        <f t="shared" si="132"/>
        <v/>
      </c>
      <c r="V988" s="348" t="str">
        <f t="shared" si="133"/>
        <v/>
      </c>
      <c r="W988" s="348" t="str">
        <f t="shared" si="134"/>
        <v/>
      </c>
      <c r="X988" s="348" t="str">
        <f t="shared" si="135"/>
        <v/>
      </c>
    </row>
    <row r="989" spans="1:24" x14ac:dyDescent="0.2">
      <c r="A989" s="407">
        <v>981</v>
      </c>
      <c r="B989" s="438"/>
      <c r="C989" s="438"/>
      <c r="D989" s="438"/>
      <c r="E989" s="438"/>
      <c r="F989" s="438"/>
      <c r="G989" s="438"/>
      <c r="H989" s="438"/>
      <c r="I989" s="438"/>
      <c r="J989" s="11"/>
      <c r="Q989" s="348" t="str">
        <f t="shared" si="128"/>
        <v/>
      </c>
      <c r="R989" s="348" t="str">
        <f t="shared" si="129"/>
        <v/>
      </c>
      <c r="S989" s="348" t="str">
        <f t="shared" si="130"/>
        <v/>
      </c>
      <c r="T989" s="348" t="str">
        <f t="shared" si="131"/>
        <v/>
      </c>
      <c r="U989" s="348" t="str">
        <f t="shared" si="132"/>
        <v/>
      </c>
      <c r="V989" s="348" t="str">
        <f t="shared" si="133"/>
        <v/>
      </c>
      <c r="W989" s="348" t="str">
        <f t="shared" si="134"/>
        <v/>
      </c>
      <c r="X989" s="348" t="str">
        <f t="shared" si="135"/>
        <v/>
      </c>
    </row>
    <row r="990" spans="1:24" x14ac:dyDescent="0.2">
      <c r="A990" s="407">
        <v>982</v>
      </c>
      <c r="B990" s="438"/>
      <c r="C990" s="438"/>
      <c r="D990" s="438"/>
      <c r="E990" s="438"/>
      <c r="F990" s="438"/>
      <c r="G990" s="438"/>
      <c r="H990" s="438"/>
      <c r="I990" s="438"/>
      <c r="J990" s="11"/>
      <c r="Q990" s="348" t="str">
        <f t="shared" si="128"/>
        <v/>
      </c>
      <c r="R990" s="348" t="str">
        <f t="shared" si="129"/>
        <v/>
      </c>
      <c r="S990" s="348" t="str">
        <f t="shared" si="130"/>
        <v/>
      </c>
      <c r="T990" s="348" t="str">
        <f t="shared" si="131"/>
        <v/>
      </c>
      <c r="U990" s="348" t="str">
        <f t="shared" si="132"/>
        <v/>
      </c>
      <c r="V990" s="348" t="str">
        <f t="shared" si="133"/>
        <v/>
      </c>
      <c r="W990" s="348" t="str">
        <f t="shared" si="134"/>
        <v/>
      </c>
      <c r="X990" s="348" t="str">
        <f t="shared" si="135"/>
        <v/>
      </c>
    </row>
    <row r="991" spans="1:24" x14ac:dyDescent="0.2">
      <c r="A991" s="407">
        <v>983</v>
      </c>
      <c r="B991" s="438"/>
      <c r="C991" s="438"/>
      <c r="D991" s="438"/>
      <c r="E991" s="438"/>
      <c r="F991" s="438"/>
      <c r="G991" s="438"/>
      <c r="H991" s="438"/>
      <c r="I991" s="438"/>
      <c r="J991" s="11"/>
      <c r="Q991" s="348" t="str">
        <f t="shared" si="128"/>
        <v/>
      </c>
      <c r="R991" s="348" t="str">
        <f t="shared" si="129"/>
        <v/>
      </c>
      <c r="S991" s="348" t="str">
        <f t="shared" si="130"/>
        <v/>
      </c>
      <c r="T991" s="348" t="str">
        <f t="shared" si="131"/>
        <v/>
      </c>
      <c r="U991" s="348" t="str">
        <f t="shared" si="132"/>
        <v/>
      </c>
      <c r="V991" s="348" t="str">
        <f t="shared" si="133"/>
        <v/>
      </c>
      <c r="W991" s="348" t="str">
        <f t="shared" si="134"/>
        <v/>
      </c>
      <c r="X991" s="348" t="str">
        <f t="shared" si="135"/>
        <v/>
      </c>
    </row>
    <row r="992" spans="1:24" x14ac:dyDescent="0.2">
      <c r="A992" s="407">
        <v>984</v>
      </c>
      <c r="B992" s="438"/>
      <c r="C992" s="438"/>
      <c r="D992" s="438"/>
      <c r="E992" s="438"/>
      <c r="F992" s="438"/>
      <c r="G992" s="438"/>
      <c r="H992" s="438"/>
      <c r="I992" s="438"/>
      <c r="J992" s="11"/>
      <c r="Q992" s="348" t="str">
        <f t="shared" si="128"/>
        <v/>
      </c>
      <c r="R992" s="348" t="str">
        <f t="shared" si="129"/>
        <v/>
      </c>
      <c r="S992" s="348" t="str">
        <f t="shared" si="130"/>
        <v/>
      </c>
      <c r="T992" s="348" t="str">
        <f t="shared" si="131"/>
        <v/>
      </c>
      <c r="U992" s="348" t="str">
        <f t="shared" si="132"/>
        <v/>
      </c>
      <c r="V992" s="348" t="str">
        <f t="shared" si="133"/>
        <v/>
      </c>
      <c r="W992" s="348" t="str">
        <f t="shared" si="134"/>
        <v/>
      </c>
      <c r="X992" s="348" t="str">
        <f t="shared" si="135"/>
        <v/>
      </c>
    </row>
    <row r="993" spans="1:24" x14ac:dyDescent="0.2">
      <c r="A993" s="407">
        <v>985</v>
      </c>
      <c r="B993" s="438"/>
      <c r="C993" s="438"/>
      <c r="D993" s="438"/>
      <c r="E993" s="438"/>
      <c r="F993" s="438"/>
      <c r="G993" s="438"/>
      <c r="H993" s="438"/>
      <c r="I993" s="438"/>
      <c r="J993" s="11"/>
      <c r="Q993" s="348" t="str">
        <f t="shared" si="128"/>
        <v/>
      </c>
      <c r="R993" s="348" t="str">
        <f t="shared" si="129"/>
        <v/>
      </c>
      <c r="S993" s="348" t="str">
        <f t="shared" si="130"/>
        <v/>
      </c>
      <c r="T993" s="348" t="str">
        <f t="shared" si="131"/>
        <v/>
      </c>
      <c r="U993" s="348" t="str">
        <f t="shared" si="132"/>
        <v/>
      </c>
      <c r="V993" s="348" t="str">
        <f t="shared" si="133"/>
        <v/>
      </c>
      <c r="W993" s="348" t="str">
        <f t="shared" si="134"/>
        <v/>
      </c>
      <c r="X993" s="348" t="str">
        <f t="shared" si="135"/>
        <v/>
      </c>
    </row>
    <row r="994" spans="1:24" x14ac:dyDescent="0.2">
      <c r="A994" s="407">
        <v>986</v>
      </c>
      <c r="B994" s="438"/>
      <c r="C994" s="438"/>
      <c r="D994" s="438"/>
      <c r="E994" s="438"/>
      <c r="F994" s="438"/>
      <c r="G994" s="438"/>
      <c r="H994" s="438"/>
      <c r="I994" s="438"/>
      <c r="J994" s="11"/>
      <c r="Q994" s="348" t="str">
        <f t="shared" si="128"/>
        <v/>
      </c>
      <c r="R994" s="348" t="str">
        <f t="shared" si="129"/>
        <v/>
      </c>
      <c r="S994" s="348" t="str">
        <f t="shared" si="130"/>
        <v/>
      </c>
      <c r="T994" s="348" t="str">
        <f t="shared" si="131"/>
        <v/>
      </c>
      <c r="U994" s="348" t="str">
        <f t="shared" si="132"/>
        <v/>
      </c>
      <c r="V994" s="348" t="str">
        <f t="shared" si="133"/>
        <v/>
      </c>
      <c r="W994" s="348" t="str">
        <f t="shared" si="134"/>
        <v/>
      </c>
      <c r="X994" s="348" t="str">
        <f t="shared" si="135"/>
        <v/>
      </c>
    </row>
    <row r="995" spans="1:24" x14ac:dyDescent="0.2">
      <c r="A995" s="407">
        <v>987</v>
      </c>
      <c r="B995" s="438"/>
      <c r="C995" s="438"/>
      <c r="D995" s="437"/>
      <c r="E995" s="438"/>
      <c r="F995" s="438"/>
      <c r="G995" s="438"/>
      <c r="H995" s="438"/>
      <c r="I995" s="438"/>
      <c r="J995" s="11"/>
      <c r="Q995" s="348" t="str">
        <f t="shared" si="128"/>
        <v/>
      </c>
      <c r="R995" s="348" t="str">
        <f t="shared" si="129"/>
        <v/>
      </c>
      <c r="S995" s="348" t="str">
        <f t="shared" si="130"/>
        <v/>
      </c>
      <c r="T995" s="348" t="str">
        <f t="shared" si="131"/>
        <v/>
      </c>
      <c r="U995" s="348" t="str">
        <f t="shared" si="132"/>
        <v/>
      </c>
      <c r="V995" s="348" t="str">
        <f t="shared" si="133"/>
        <v/>
      </c>
      <c r="W995" s="348" t="str">
        <f t="shared" si="134"/>
        <v/>
      </c>
      <c r="X995" s="348" t="str">
        <f t="shared" si="135"/>
        <v/>
      </c>
    </row>
    <row r="996" spans="1:24" x14ac:dyDescent="0.2">
      <c r="A996" s="407">
        <v>988</v>
      </c>
      <c r="B996" s="438"/>
      <c r="C996" s="438"/>
      <c r="D996" s="438"/>
      <c r="E996" s="438"/>
      <c r="F996" s="438"/>
      <c r="G996" s="438"/>
      <c r="H996" s="438"/>
      <c r="I996" s="438"/>
      <c r="J996" s="11"/>
      <c r="Q996" s="348" t="str">
        <f t="shared" si="128"/>
        <v/>
      </c>
      <c r="R996" s="348" t="str">
        <f t="shared" si="129"/>
        <v/>
      </c>
      <c r="S996" s="348" t="str">
        <f t="shared" si="130"/>
        <v/>
      </c>
      <c r="T996" s="348" t="str">
        <f t="shared" si="131"/>
        <v/>
      </c>
      <c r="U996" s="348" t="str">
        <f t="shared" si="132"/>
        <v/>
      </c>
      <c r="V996" s="348" t="str">
        <f t="shared" si="133"/>
        <v/>
      </c>
      <c r="W996" s="348" t="str">
        <f t="shared" si="134"/>
        <v/>
      </c>
      <c r="X996" s="348" t="str">
        <f t="shared" si="135"/>
        <v/>
      </c>
    </row>
    <row r="997" spans="1:24" x14ac:dyDescent="0.2">
      <c r="A997" s="407">
        <v>989</v>
      </c>
      <c r="B997" s="438"/>
      <c r="C997" s="438"/>
      <c r="D997" s="438"/>
      <c r="E997" s="438"/>
      <c r="F997" s="438"/>
      <c r="G997" s="438"/>
      <c r="H997" s="438"/>
      <c r="I997" s="437"/>
      <c r="J997" s="11"/>
      <c r="Q997" s="348" t="str">
        <f t="shared" si="128"/>
        <v/>
      </c>
      <c r="R997" s="348" t="str">
        <f t="shared" si="129"/>
        <v/>
      </c>
      <c r="S997" s="348" t="str">
        <f t="shared" si="130"/>
        <v/>
      </c>
      <c r="T997" s="348" t="str">
        <f t="shared" si="131"/>
        <v/>
      </c>
      <c r="U997" s="348" t="str">
        <f t="shared" si="132"/>
        <v/>
      </c>
      <c r="V997" s="348" t="str">
        <f t="shared" si="133"/>
        <v/>
      </c>
      <c r="W997" s="348" t="str">
        <f t="shared" si="134"/>
        <v/>
      </c>
      <c r="X997" s="348" t="str">
        <f t="shared" si="135"/>
        <v/>
      </c>
    </row>
    <row r="998" spans="1:24" x14ac:dyDescent="0.2">
      <c r="A998" s="407">
        <v>990</v>
      </c>
      <c r="B998" s="438"/>
      <c r="C998" s="438"/>
      <c r="D998" s="438"/>
      <c r="E998" s="438"/>
      <c r="F998" s="438"/>
      <c r="G998" s="438"/>
      <c r="H998" s="438"/>
      <c r="I998" s="438"/>
      <c r="J998" s="11"/>
      <c r="Q998" s="348" t="str">
        <f t="shared" si="128"/>
        <v/>
      </c>
      <c r="R998" s="348" t="str">
        <f t="shared" si="129"/>
        <v/>
      </c>
      <c r="S998" s="348" t="str">
        <f t="shared" si="130"/>
        <v/>
      </c>
      <c r="T998" s="348" t="str">
        <f t="shared" si="131"/>
        <v/>
      </c>
      <c r="U998" s="348" t="str">
        <f t="shared" si="132"/>
        <v/>
      </c>
      <c r="V998" s="348" t="str">
        <f t="shared" si="133"/>
        <v/>
      </c>
      <c r="W998" s="348" t="str">
        <f t="shared" si="134"/>
        <v/>
      </c>
      <c r="X998" s="348" t="str">
        <f t="shared" si="135"/>
        <v/>
      </c>
    </row>
    <row r="999" spans="1:24" x14ac:dyDescent="0.2">
      <c r="A999" s="407">
        <v>991</v>
      </c>
      <c r="B999" s="438"/>
      <c r="C999" s="438"/>
      <c r="D999" s="438"/>
      <c r="E999" s="438"/>
      <c r="F999" s="438"/>
      <c r="G999" s="438"/>
      <c r="H999" s="438"/>
      <c r="I999" s="438"/>
      <c r="J999" s="11"/>
      <c r="Q999" s="348" t="str">
        <f t="shared" si="128"/>
        <v/>
      </c>
      <c r="R999" s="348" t="str">
        <f t="shared" si="129"/>
        <v/>
      </c>
      <c r="S999" s="348" t="str">
        <f t="shared" si="130"/>
        <v/>
      </c>
      <c r="T999" s="348" t="str">
        <f t="shared" si="131"/>
        <v/>
      </c>
      <c r="U999" s="348" t="str">
        <f t="shared" si="132"/>
        <v/>
      </c>
      <c r="V999" s="348" t="str">
        <f t="shared" si="133"/>
        <v/>
      </c>
      <c r="W999" s="348" t="str">
        <f t="shared" si="134"/>
        <v/>
      </c>
      <c r="X999" s="348" t="str">
        <f t="shared" si="135"/>
        <v/>
      </c>
    </row>
    <row r="1000" spans="1:24" x14ac:dyDescent="0.2">
      <c r="A1000" s="407">
        <v>992</v>
      </c>
      <c r="B1000" s="438"/>
      <c r="C1000" s="438"/>
      <c r="D1000" s="438"/>
      <c r="E1000" s="438"/>
      <c r="F1000" s="438"/>
      <c r="G1000" s="438"/>
      <c r="H1000" s="438"/>
      <c r="I1000" s="438"/>
      <c r="J1000" s="11"/>
      <c r="Q1000" s="348" t="str">
        <f t="shared" si="128"/>
        <v/>
      </c>
      <c r="R1000" s="348" t="str">
        <f t="shared" si="129"/>
        <v/>
      </c>
      <c r="S1000" s="348" t="str">
        <f t="shared" si="130"/>
        <v/>
      </c>
      <c r="T1000" s="348" t="str">
        <f t="shared" si="131"/>
        <v/>
      </c>
      <c r="U1000" s="348" t="str">
        <f t="shared" si="132"/>
        <v/>
      </c>
      <c r="V1000" s="348" t="str">
        <f t="shared" si="133"/>
        <v/>
      </c>
      <c r="W1000" s="348" t="str">
        <f t="shared" si="134"/>
        <v/>
      </c>
      <c r="X1000" s="348" t="str">
        <f t="shared" si="135"/>
        <v/>
      </c>
    </row>
    <row r="1001" spans="1:24" x14ac:dyDescent="0.2">
      <c r="A1001" s="407">
        <v>993</v>
      </c>
      <c r="B1001" s="438"/>
      <c r="C1001" s="437"/>
      <c r="D1001" s="438"/>
      <c r="E1001" s="438"/>
      <c r="F1001" s="438"/>
      <c r="G1001" s="438"/>
      <c r="H1001" s="438"/>
      <c r="I1001" s="438"/>
      <c r="J1001" s="11"/>
      <c r="Q1001" s="348" t="str">
        <f t="shared" si="128"/>
        <v/>
      </c>
      <c r="R1001" s="348" t="str">
        <f t="shared" si="129"/>
        <v/>
      </c>
      <c r="S1001" s="348" t="str">
        <f t="shared" si="130"/>
        <v/>
      </c>
      <c r="T1001" s="348" t="str">
        <f t="shared" si="131"/>
        <v/>
      </c>
      <c r="U1001" s="348" t="str">
        <f t="shared" si="132"/>
        <v/>
      </c>
      <c r="V1001" s="348" t="str">
        <f t="shared" si="133"/>
        <v/>
      </c>
      <c r="W1001" s="348" t="str">
        <f t="shared" si="134"/>
        <v/>
      </c>
      <c r="X1001" s="348" t="str">
        <f t="shared" si="135"/>
        <v/>
      </c>
    </row>
    <row r="1002" spans="1:24" x14ac:dyDescent="0.2">
      <c r="A1002" s="407">
        <v>994</v>
      </c>
      <c r="B1002" s="437"/>
      <c r="C1002" s="438"/>
      <c r="D1002" s="438"/>
      <c r="E1002" s="437"/>
      <c r="F1002" s="438"/>
      <c r="G1002" s="438"/>
      <c r="H1002" s="438"/>
      <c r="I1002" s="438"/>
      <c r="J1002" s="11"/>
      <c r="Q1002" s="348" t="str">
        <f t="shared" si="128"/>
        <v/>
      </c>
      <c r="R1002" s="348" t="str">
        <f t="shared" si="129"/>
        <v/>
      </c>
      <c r="S1002" s="348" t="str">
        <f t="shared" si="130"/>
        <v/>
      </c>
      <c r="T1002" s="348" t="str">
        <f t="shared" si="131"/>
        <v/>
      </c>
      <c r="U1002" s="348" t="str">
        <f t="shared" si="132"/>
        <v/>
      </c>
      <c r="V1002" s="348" t="str">
        <f t="shared" si="133"/>
        <v/>
      </c>
      <c r="W1002" s="348" t="str">
        <f t="shared" si="134"/>
        <v/>
      </c>
      <c r="X1002" s="348" t="str">
        <f t="shared" si="135"/>
        <v/>
      </c>
    </row>
    <row r="1003" spans="1:24" x14ac:dyDescent="0.2">
      <c r="A1003" s="407">
        <v>995</v>
      </c>
      <c r="B1003" s="438"/>
      <c r="C1003" s="438"/>
      <c r="D1003" s="438"/>
      <c r="E1003" s="438"/>
      <c r="F1003" s="438"/>
      <c r="G1003" s="438"/>
      <c r="H1003" s="438"/>
      <c r="I1003" s="438"/>
      <c r="J1003" s="11"/>
      <c r="Q1003" s="348" t="str">
        <f t="shared" si="128"/>
        <v/>
      </c>
      <c r="R1003" s="348" t="str">
        <f t="shared" si="129"/>
        <v/>
      </c>
      <c r="S1003" s="348" t="str">
        <f t="shared" si="130"/>
        <v/>
      </c>
      <c r="T1003" s="348" t="str">
        <f t="shared" si="131"/>
        <v/>
      </c>
      <c r="U1003" s="348" t="str">
        <f t="shared" si="132"/>
        <v/>
      </c>
      <c r="V1003" s="348" t="str">
        <f t="shared" si="133"/>
        <v/>
      </c>
      <c r="W1003" s="348" t="str">
        <f t="shared" si="134"/>
        <v/>
      </c>
      <c r="X1003" s="348" t="str">
        <f t="shared" si="135"/>
        <v/>
      </c>
    </row>
    <row r="1004" spans="1:24" x14ac:dyDescent="0.2">
      <c r="A1004" s="407">
        <v>996</v>
      </c>
      <c r="B1004" s="438"/>
      <c r="C1004" s="438"/>
      <c r="D1004" s="438"/>
      <c r="E1004" s="438"/>
      <c r="F1004" s="438"/>
      <c r="G1004" s="438"/>
      <c r="H1004" s="438"/>
      <c r="I1004" s="438"/>
      <c r="J1004" s="11"/>
      <c r="Q1004" s="348" t="str">
        <f t="shared" si="128"/>
        <v/>
      </c>
      <c r="R1004" s="348" t="str">
        <f t="shared" si="129"/>
        <v/>
      </c>
      <c r="S1004" s="348" t="str">
        <f t="shared" si="130"/>
        <v/>
      </c>
      <c r="T1004" s="348" t="str">
        <f t="shared" si="131"/>
        <v/>
      </c>
      <c r="U1004" s="348" t="str">
        <f t="shared" si="132"/>
        <v/>
      </c>
      <c r="V1004" s="348" t="str">
        <f t="shared" si="133"/>
        <v/>
      </c>
      <c r="W1004" s="348" t="str">
        <f t="shared" si="134"/>
        <v/>
      </c>
      <c r="X1004" s="348" t="str">
        <f t="shared" si="135"/>
        <v/>
      </c>
    </row>
    <row r="1005" spans="1:24" x14ac:dyDescent="0.2">
      <c r="A1005" s="407">
        <v>997</v>
      </c>
      <c r="B1005" s="438"/>
      <c r="C1005" s="438"/>
      <c r="D1005" s="438"/>
      <c r="E1005" s="438"/>
      <c r="F1005" s="438"/>
      <c r="G1005" s="438"/>
      <c r="H1005" s="438"/>
      <c r="I1005" s="438"/>
      <c r="J1005" s="11"/>
      <c r="Q1005" s="348" t="str">
        <f t="shared" si="128"/>
        <v/>
      </c>
      <c r="R1005" s="348" t="str">
        <f t="shared" si="129"/>
        <v/>
      </c>
      <c r="S1005" s="348" t="str">
        <f t="shared" si="130"/>
        <v/>
      </c>
      <c r="T1005" s="348" t="str">
        <f t="shared" si="131"/>
        <v/>
      </c>
      <c r="U1005" s="348" t="str">
        <f t="shared" si="132"/>
        <v/>
      </c>
      <c r="V1005" s="348" t="str">
        <f t="shared" si="133"/>
        <v/>
      </c>
      <c r="W1005" s="348" t="str">
        <f t="shared" si="134"/>
        <v/>
      </c>
      <c r="X1005" s="348" t="str">
        <f t="shared" si="135"/>
        <v/>
      </c>
    </row>
    <row r="1006" spans="1:24" x14ac:dyDescent="0.2">
      <c r="A1006" s="407">
        <v>998</v>
      </c>
      <c r="B1006" s="438"/>
      <c r="C1006" s="438"/>
      <c r="D1006" s="438"/>
      <c r="E1006" s="438"/>
      <c r="F1006" s="438"/>
      <c r="G1006" s="438"/>
      <c r="H1006" s="438"/>
      <c r="I1006" s="438"/>
      <c r="J1006" s="11"/>
      <c r="Q1006" s="348" t="str">
        <f t="shared" si="128"/>
        <v/>
      </c>
      <c r="R1006" s="348" t="str">
        <f t="shared" si="129"/>
        <v/>
      </c>
      <c r="S1006" s="348" t="str">
        <f t="shared" si="130"/>
        <v/>
      </c>
      <c r="T1006" s="348" t="str">
        <f t="shared" si="131"/>
        <v/>
      </c>
      <c r="U1006" s="348" t="str">
        <f t="shared" si="132"/>
        <v/>
      </c>
      <c r="V1006" s="348" t="str">
        <f t="shared" si="133"/>
        <v/>
      </c>
      <c r="W1006" s="348" t="str">
        <f t="shared" si="134"/>
        <v/>
      </c>
      <c r="X1006" s="348" t="str">
        <f t="shared" si="135"/>
        <v/>
      </c>
    </row>
    <row r="1007" spans="1:24" x14ac:dyDescent="0.2">
      <c r="A1007" s="407">
        <v>999</v>
      </c>
      <c r="B1007" s="438"/>
      <c r="C1007" s="438"/>
      <c r="D1007" s="438"/>
      <c r="E1007" s="438"/>
      <c r="F1007" s="438"/>
      <c r="G1007" s="437"/>
      <c r="H1007" s="438"/>
      <c r="I1007" s="438"/>
      <c r="J1007" s="11"/>
      <c r="Q1007" s="348" t="str">
        <f t="shared" si="128"/>
        <v/>
      </c>
      <c r="R1007" s="348" t="str">
        <f t="shared" si="129"/>
        <v/>
      </c>
      <c r="S1007" s="348" t="str">
        <f t="shared" si="130"/>
        <v/>
      </c>
      <c r="T1007" s="348" t="str">
        <f t="shared" si="131"/>
        <v/>
      </c>
      <c r="U1007" s="348" t="str">
        <f t="shared" si="132"/>
        <v/>
      </c>
      <c r="V1007" s="348" t="str">
        <f t="shared" si="133"/>
        <v/>
      </c>
      <c r="W1007" s="348" t="str">
        <f t="shared" si="134"/>
        <v/>
      </c>
      <c r="X1007" s="348" t="str">
        <f t="shared" si="135"/>
        <v/>
      </c>
    </row>
    <row r="1008" spans="1:24" x14ac:dyDescent="0.2">
      <c r="A1008" s="407">
        <v>1000</v>
      </c>
      <c r="B1008" s="438"/>
      <c r="C1008" s="438"/>
      <c r="D1008" s="438"/>
      <c r="E1008" s="438"/>
      <c r="F1008" s="438"/>
      <c r="G1008" s="438"/>
      <c r="H1008" s="438"/>
      <c r="I1008" s="438"/>
      <c r="J1008" s="11"/>
      <c r="Q1008" s="348" t="str">
        <f t="shared" si="128"/>
        <v/>
      </c>
      <c r="R1008" s="348" t="str">
        <f t="shared" si="129"/>
        <v/>
      </c>
      <c r="S1008" s="348" t="str">
        <f t="shared" si="130"/>
        <v/>
      </c>
      <c r="T1008" s="348" t="str">
        <f t="shared" si="131"/>
        <v/>
      </c>
      <c r="U1008" s="348" t="str">
        <f t="shared" si="132"/>
        <v/>
      </c>
      <c r="V1008" s="348" t="str">
        <f t="shared" si="133"/>
        <v/>
      </c>
      <c r="W1008" s="348" t="str">
        <f t="shared" si="134"/>
        <v/>
      </c>
      <c r="X1008" s="348" t="str">
        <f t="shared" si="135"/>
        <v/>
      </c>
    </row>
    <row r="1009" spans="1:24" x14ac:dyDescent="0.2">
      <c r="A1009" s="407">
        <v>1001</v>
      </c>
      <c r="B1009" s="438"/>
      <c r="C1009" s="437"/>
      <c r="D1009" s="438"/>
      <c r="E1009" s="437"/>
      <c r="F1009" s="437"/>
      <c r="G1009" s="437"/>
      <c r="H1009" s="437"/>
      <c r="I1009" s="438"/>
      <c r="J1009" s="11"/>
      <c r="Q1009" s="348" t="str">
        <f t="shared" si="128"/>
        <v/>
      </c>
      <c r="R1009" s="348" t="str">
        <f t="shared" si="129"/>
        <v/>
      </c>
      <c r="S1009" s="348" t="str">
        <f t="shared" si="130"/>
        <v/>
      </c>
      <c r="T1009" s="348" t="str">
        <f t="shared" si="131"/>
        <v/>
      </c>
      <c r="U1009" s="348" t="str">
        <f t="shared" si="132"/>
        <v/>
      </c>
      <c r="V1009" s="348" t="str">
        <f t="shared" si="133"/>
        <v/>
      </c>
      <c r="W1009" s="348" t="str">
        <f t="shared" si="134"/>
        <v/>
      </c>
      <c r="X1009" s="348" t="str">
        <f t="shared" si="135"/>
        <v/>
      </c>
    </row>
    <row r="1010" spans="1:24" x14ac:dyDescent="0.2">
      <c r="A1010" s="407">
        <v>1002</v>
      </c>
      <c r="B1010" s="438"/>
      <c r="C1010" s="438"/>
      <c r="D1010" s="438"/>
      <c r="E1010" s="438"/>
      <c r="F1010" s="438"/>
      <c r="G1010" s="438"/>
      <c r="H1010" s="438"/>
      <c r="I1010" s="438"/>
      <c r="J1010" s="11"/>
      <c r="Q1010" s="348" t="str">
        <f t="shared" si="128"/>
        <v/>
      </c>
      <c r="R1010" s="348" t="str">
        <f t="shared" si="129"/>
        <v/>
      </c>
      <c r="S1010" s="348" t="str">
        <f t="shared" si="130"/>
        <v/>
      </c>
      <c r="T1010" s="348" t="str">
        <f t="shared" si="131"/>
        <v/>
      </c>
      <c r="U1010" s="348" t="str">
        <f t="shared" si="132"/>
        <v/>
      </c>
      <c r="V1010" s="348" t="str">
        <f t="shared" si="133"/>
        <v/>
      </c>
      <c r="W1010" s="348" t="str">
        <f t="shared" si="134"/>
        <v/>
      </c>
      <c r="X1010" s="348" t="str">
        <f t="shared" si="135"/>
        <v/>
      </c>
    </row>
    <row r="1011" spans="1:24" x14ac:dyDescent="0.2">
      <c r="A1011" s="407">
        <v>1003</v>
      </c>
      <c r="B1011" s="438"/>
      <c r="C1011" s="438"/>
      <c r="D1011" s="438"/>
      <c r="E1011" s="438"/>
      <c r="F1011" s="438"/>
      <c r="G1011" s="438"/>
      <c r="H1011" s="438"/>
      <c r="I1011" s="438"/>
      <c r="J1011" s="11"/>
      <c r="Q1011" s="348" t="str">
        <f t="shared" si="128"/>
        <v/>
      </c>
      <c r="R1011" s="348" t="str">
        <f t="shared" si="129"/>
        <v/>
      </c>
      <c r="S1011" s="348" t="str">
        <f t="shared" si="130"/>
        <v/>
      </c>
      <c r="T1011" s="348" t="str">
        <f t="shared" si="131"/>
        <v/>
      </c>
      <c r="U1011" s="348" t="str">
        <f t="shared" si="132"/>
        <v/>
      </c>
      <c r="V1011" s="348" t="str">
        <f t="shared" si="133"/>
        <v/>
      </c>
      <c r="W1011" s="348" t="str">
        <f t="shared" si="134"/>
        <v/>
      </c>
      <c r="X1011" s="348" t="str">
        <f t="shared" si="135"/>
        <v/>
      </c>
    </row>
    <row r="1012" spans="1:24" x14ac:dyDescent="0.2">
      <c r="A1012" s="407">
        <v>1004</v>
      </c>
      <c r="B1012" s="438"/>
      <c r="C1012" s="438"/>
      <c r="D1012" s="438"/>
      <c r="E1012" s="438"/>
      <c r="F1012" s="438"/>
      <c r="G1012" s="438"/>
      <c r="H1012" s="438"/>
      <c r="I1012" s="438"/>
      <c r="J1012" s="11"/>
      <c r="Q1012" s="348" t="str">
        <f t="shared" si="128"/>
        <v/>
      </c>
      <c r="R1012" s="348" t="str">
        <f t="shared" si="129"/>
        <v/>
      </c>
      <c r="S1012" s="348" t="str">
        <f t="shared" si="130"/>
        <v/>
      </c>
      <c r="T1012" s="348" t="str">
        <f t="shared" si="131"/>
        <v/>
      </c>
      <c r="U1012" s="348" t="str">
        <f t="shared" si="132"/>
        <v/>
      </c>
      <c r="V1012" s="348" t="str">
        <f t="shared" si="133"/>
        <v/>
      </c>
      <c r="W1012" s="348" t="str">
        <f t="shared" si="134"/>
        <v/>
      </c>
      <c r="X1012" s="348" t="str">
        <f t="shared" si="135"/>
        <v/>
      </c>
    </row>
    <row r="1013" spans="1:24" x14ac:dyDescent="0.2">
      <c r="A1013" s="407">
        <v>1005</v>
      </c>
      <c r="B1013" s="438"/>
      <c r="C1013" s="438"/>
      <c r="D1013" s="438"/>
      <c r="E1013" s="438"/>
      <c r="F1013" s="438"/>
      <c r="G1013" s="438"/>
      <c r="H1013" s="438"/>
      <c r="I1013" s="438"/>
      <c r="J1013" s="11"/>
      <c r="Q1013" s="348" t="str">
        <f t="shared" si="128"/>
        <v/>
      </c>
      <c r="R1013" s="348" t="str">
        <f t="shared" si="129"/>
        <v/>
      </c>
      <c r="S1013" s="348" t="str">
        <f t="shared" si="130"/>
        <v/>
      </c>
      <c r="T1013" s="348" t="str">
        <f t="shared" si="131"/>
        <v/>
      </c>
      <c r="U1013" s="348" t="str">
        <f t="shared" si="132"/>
        <v/>
      </c>
      <c r="V1013" s="348" t="str">
        <f t="shared" si="133"/>
        <v/>
      </c>
      <c r="W1013" s="348" t="str">
        <f t="shared" si="134"/>
        <v/>
      </c>
      <c r="X1013" s="348" t="str">
        <f t="shared" si="135"/>
        <v/>
      </c>
    </row>
    <row r="1014" spans="1:24" x14ac:dyDescent="0.2">
      <c r="A1014" s="407">
        <v>1006</v>
      </c>
      <c r="B1014" s="438"/>
      <c r="C1014" s="438"/>
      <c r="D1014" s="438"/>
      <c r="E1014" s="438"/>
      <c r="F1014" s="438"/>
      <c r="G1014" s="438"/>
      <c r="H1014" s="438"/>
      <c r="I1014" s="438"/>
      <c r="J1014" s="11"/>
      <c r="Q1014" s="348" t="str">
        <f t="shared" si="128"/>
        <v/>
      </c>
      <c r="R1014" s="348" t="str">
        <f t="shared" si="129"/>
        <v/>
      </c>
      <c r="S1014" s="348" t="str">
        <f t="shared" si="130"/>
        <v/>
      </c>
      <c r="T1014" s="348" t="str">
        <f t="shared" si="131"/>
        <v/>
      </c>
      <c r="U1014" s="348" t="str">
        <f t="shared" si="132"/>
        <v/>
      </c>
      <c r="V1014" s="348" t="str">
        <f t="shared" si="133"/>
        <v/>
      </c>
      <c r="W1014" s="348" t="str">
        <f t="shared" si="134"/>
        <v/>
      </c>
      <c r="X1014" s="348" t="str">
        <f t="shared" si="135"/>
        <v/>
      </c>
    </row>
    <row r="1015" spans="1:24" x14ac:dyDescent="0.2">
      <c r="A1015" s="407">
        <v>1007</v>
      </c>
      <c r="B1015" s="438"/>
      <c r="C1015" s="438"/>
      <c r="D1015" s="438"/>
      <c r="E1015" s="438"/>
      <c r="F1015" s="438"/>
      <c r="G1015" s="438"/>
      <c r="H1015" s="438"/>
      <c r="I1015" s="438"/>
      <c r="J1015" s="11"/>
      <c r="Q1015" s="348" t="str">
        <f t="shared" si="128"/>
        <v/>
      </c>
      <c r="R1015" s="348" t="str">
        <f t="shared" si="129"/>
        <v/>
      </c>
      <c r="S1015" s="348" t="str">
        <f t="shared" si="130"/>
        <v/>
      </c>
      <c r="T1015" s="348" t="str">
        <f t="shared" si="131"/>
        <v/>
      </c>
      <c r="U1015" s="348" t="str">
        <f t="shared" si="132"/>
        <v/>
      </c>
      <c r="V1015" s="348" t="str">
        <f t="shared" si="133"/>
        <v/>
      </c>
      <c r="W1015" s="348" t="str">
        <f t="shared" si="134"/>
        <v/>
      </c>
      <c r="X1015" s="348" t="str">
        <f t="shared" si="135"/>
        <v/>
      </c>
    </row>
    <row r="1016" spans="1:24" x14ac:dyDescent="0.2">
      <c r="A1016" s="407">
        <v>1008</v>
      </c>
      <c r="B1016" s="438"/>
      <c r="C1016" s="438"/>
      <c r="D1016" s="438"/>
      <c r="E1016" s="438"/>
      <c r="F1016" s="438"/>
      <c r="G1016" s="438"/>
      <c r="H1016" s="438"/>
      <c r="I1016" s="438"/>
      <c r="J1016" s="11"/>
      <c r="Q1016" s="348" t="str">
        <f t="shared" si="128"/>
        <v/>
      </c>
      <c r="R1016" s="348" t="str">
        <f t="shared" si="129"/>
        <v/>
      </c>
      <c r="S1016" s="348" t="str">
        <f t="shared" si="130"/>
        <v/>
      </c>
      <c r="T1016" s="348" t="str">
        <f t="shared" si="131"/>
        <v/>
      </c>
      <c r="U1016" s="348" t="str">
        <f t="shared" si="132"/>
        <v/>
      </c>
      <c r="V1016" s="348" t="str">
        <f t="shared" si="133"/>
        <v/>
      </c>
      <c r="W1016" s="348" t="str">
        <f t="shared" si="134"/>
        <v/>
      </c>
      <c r="X1016" s="348" t="str">
        <f t="shared" si="135"/>
        <v/>
      </c>
    </row>
    <row r="1017" spans="1:24" x14ac:dyDescent="0.2">
      <c r="A1017" s="407">
        <v>1009</v>
      </c>
      <c r="B1017" s="438"/>
      <c r="C1017" s="438"/>
      <c r="D1017" s="437"/>
      <c r="E1017" s="438"/>
      <c r="F1017" s="438"/>
      <c r="G1017" s="438"/>
      <c r="H1017" s="438"/>
      <c r="I1017" s="438"/>
      <c r="J1017" s="11"/>
      <c r="Q1017" s="348" t="str">
        <f t="shared" si="128"/>
        <v/>
      </c>
      <c r="R1017" s="348" t="str">
        <f t="shared" si="129"/>
        <v/>
      </c>
      <c r="S1017" s="348" t="str">
        <f t="shared" si="130"/>
        <v/>
      </c>
      <c r="T1017" s="348" t="str">
        <f t="shared" si="131"/>
        <v/>
      </c>
      <c r="U1017" s="348" t="str">
        <f t="shared" si="132"/>
        <v/>
      </c>
      <c r="V1017" s="348" t="str">
        <f t="shared" si="133"/>
        <v/>
      </c>
      <c r="W1017" s="348" t="str">
        <f t="shared" si="134"/>
        <v/>
      </c>
      <c r="X1017" s="348" t="str">
        <f t="shared" si="135"/>
        <v/>
      </c>
    </row>
    <row r="1018" spans="1:24" x14ac:dyDescent="0.2">
      <c r="A1018" s="407">
        <v>1010</v>
      </c>
      <c r="B1018" s="438"/>
      <c r="C1018" s="438"/>
      <c r="D1018" s="438"/>
      <c r="E1018" s="438"/>
      <c r="F1018" s="438"/>
      <c r="G1018" s="438"/>
      <c r="H1018" s="438"/>
      <c r="I1018" s="438"/>
      <c r="J1018" s="11"/>
      <c r="Q1018" s="348" t="str">
        <f t="shared" si="128"/>
        <v/>
      </c>
      <c r="R1018" s="348" t="str">
        <f t="shared" si="129"/>
        <v/>
      </c>
      <c r="S1018" s="348" t="str">
        <f t="shared" si="130"/>
        <v/>
      </c>
      <c r="T1018" s="348" t="str">
        <f t="shared" si="131"/>
        <v/>
      </c>
      <c r="U1018" s="348" t="str">
        <f t="shared" si="132"/>
        <v/>
      </c>
      <c r="V1018" s="348" t="str">
        <f t="shared" si="133"/>
        <v/>
      </c>
      <c r="W1018" s="348" t="str">
        <f t="shared" si="134"/>
        <v/>
      </c>
      <c r="X1018" s="348" t="str">
        <f t="shared" si="135"/>
        <v/>
      </c>
    </row>
    <row r="1019" spans="1:24" x14ac:dyDescent="0.2">
      <c r="A1019" s="407">
        <v>1011</v>
      </c>
      <c r="B1019" s="438"/>
      <c r="C1019" s="438"/>
      <c r="D1019" s="438"/>
      <c r="E1019" s="438"/>
      <c r="F1019" s="438"/>
      <c r="G1019" s="438"/>
      <c r="H1019" s="438"/>
      <c r="I1019" s="438"/>
      <c r="J1019" s="11"/>
      <c r="Q1019" s="348" t="str">
        <f t="shared" si="128"/>
        <v/>
      </c>
      <c r="R1019" s="348" t="str">
        <f t="shared" si="129"/>
        <v/>
      </c>
      <c r="S1019" s="348" t="str">
        <f t="shared" si="130"/>
        <v/>
      </c>
      <c r="T1019" s="348" t="str">
        <f t="shared" si="131"/>
        <v/>
      </c>
      <c r="U1019" s="348" t="str">
        <f t="shared" si="132"/>
        <v/>
      </c>
      <c r="V1019" s="348" t="str">
        <f t="shared" si="133"/>
        <v/>
      </c>
      <c r="W1019" s="348" t="str">
        <f t="shared" si="134"/>
        <v/>
      </c>
      <c r="X1019" s="348" t="str">
        <f t="shared" si="135"/>
        <v/>
      </c>
    </row>
    <row r="1020" spans="1:24" x14ac:dyDescent="0.2">
      <c r="A1020" s="407">
        <v>1012</v>
      </c>
      <c r="B1020" s="438"/>
      <c r="C1020" s="438"/>
      <c r="D1020" s="438"/>
      <c r="E1020" s="438"/>
      <c r="F1020" s="438"/>
      <c r="G1020" s="438"/>
      <c r="H1020" s="438"/>
      <c r="I1020" s="438"/>
      <c r="J1020" s="11"/>
      <c r="Q1020" s="348" t="str">
        <f t="shared" si="128"/>
        <v/>
      </c>
      <c r="R1020" s="348" t="str">
        <f t="shared" si="129"/>
        <v/>
      </c>
      <c r="S1020" s="348" t="str">
        <f t="shared" si="130"/>
        <v/>
      </c>
      <c r="T1020" s="348" t="str">
        <f t="shared" si="131"/>
        <v/>
      </c>
      <c r="U1020" s="348" t="str">
        <f t="shared" si="132"/>
        <v/>
      </c>
      <c r="V1020" s="348" t="str">
        <f t="shared" si="133"/>
        <v/>
      </c>
      <c r="W1020" s="348" t="str">
        <f t="shared" si="134"/>
        <v/>
      </c>
      <c r="X1020" s="348" t="str">
        <f t="shared" si="135"/>
        <v/>
      </c>
    </row>
    <row r="1021" spans="1:24" x14ac:dyDescent="0.2">
      <c r="A1021" s="407">
        <v>1013</v>
      </c>
      <c r="B1021" s="437"/>
      <c r="C1021" s="438"/>
      <c r="D1021" s="438"/>
      <c r="E1021" s="438"/>
      <c r="F1021" s="438"/>
      <c r="G1021" s="438"/>
      <c r="H1021" s="438"/>
      <c r="I1021" s="438"/>
      <c r="J1021" s="11"/>
      <c r="Q1021" s="348" t="str">
        <f t="shared" si="128"/>
        <v/>
      </c>
      <c r="R1021" s="348" t="str">
        <f t="shared" si="129"/>
        <v/>
      </c>
      <c r="S1021" s="348" t="str">
        <f t="shared" si="130"/>
        <v/>
      </c>
      <c r="T1021" s="348" t="str">
        <f t="shared" si="131"/>
        <v/>
      </c>
      <c r="U1021" s="348" t="str">
        <f t="shared" si="132"/>
        <v/>
      </c>
      <c r="V1021" s="348" t="str">
        <f t="shared" si="133"/>
        <v/>
      </c>
      <c r="W1021" s="348" t="str">
        <f t="shared" si="134"/>
        <v/>
      </c>
      <c r="X1021" s="348" t="str">
        <f t="shared" si="135"/>
        <v/>
      </c>
    </row>
    <row r="1022" spans="1:24" x14ac:dyDescent="0.2">
      <c r="A1022" s="407">
        <v>1014</v>
      </c>
      <c r="B1022" s="438"/>
      <c r="C1022" s="438"/>
      <c r="D1022" s="438"/>
      <c r="E1022" s="438"/>
      <c r="F1022" s="438"/>
      <c r="G1022" s="438"/>
      <c r="H1022" s="438"/>
      <c r="I1022" s="438"/>
      <c r="J1022" s="11"/>
      <c r="Q1022" s="348" t="str">
        <f t="shared" si="128"/>
        <v/>
      </c>
      <c r="R1022" s="348" t="str">
        <f t="shared" si="129"/>
        <v/>
      </c>
      <c r="S1022" s="348" t="str">
        <f t="shared" si="130"/>
        <v/>
      </c>
      <c r="T1022" s="348" t="str">
        <f t="shared" si="131"/>
        <v/>
      </c>
      <c r="U1022" s="348" t="str">
        <f t="shared" si="132"/>
        <v/>
      </c>
      <c r="V1022" s="348" t="str">
        <f t="shared" si="133"/>
        <v/>
      </c>
      <c r="W1022" s="348" t="str">
        <f t="shared" si="134"/>
        <v/>
      </c>
      <c r="X1022" s="348" t="str">
        <f t="shared" si="135"/>
        <v/>
      </c>
    </row>
    <row r="1023" spans="1:24" x14ac:dyDescent="0.2">
      <c r="A1023" s="407">
        <v>1015</v>
      </c>
      <c r="B1023" s="438"/>
      <c r="C1023" s="437"/>
      <c r="D1023" s="438"/>
      <c r="E1023" s="438"/>
      <c r="F1023" s="438"/>
      <c r="G1023" s="438"/>
      <c r="H1023" s="438"/>
      <c r="I1023" s="438"/>
      <c r="J1023" s="11"/>
      <c r="Q1023" s="348" t="str">
        <f t="shared" si="128"/>
        <v/>
      </c>
      <c r="R1023" s="348" t="str">
        <f t="shared" si="129"/>
        <v/>
      </c>
      <c r="S1023" s="348" t="str">
        <f t="shared" si="130"/>
        <v/>
      </c>
      <c r="T1023" s="348" t="str">
        <f t="shared" si="131"/>
        <v/>
      </c>
      <c r="U1023" s="348" t="str">
        <f t="shared" si="132"/>
        <v/>
      </c>
      <c r="V1023" s="348" t="str">
        <f t="shared" si="133"/>
        <v/>
      </c>
      <c r="W1023" s="348" t="str">
        <f t="shared" si="134"/>
        <v/>
      </c>
      <c r="X1023" s="348" t="str">
        <f t="shared" si="135"/>
        <v/>
      </c>
    </row>
    <row r="1024" spans="1:24" x14ac:dyDescent="0.2">
      <c r="A1024" s="407">
        <v>1016</v>
      </c>
      <c r="B1024" s="438"/>
      <c r="C1024" s="438"/>
      <c r="D1024" s="438"/>
      <c r="E1024" s="438"/>
      <c r="F1024" s="438"/>
      <c r="G1024" s="438"/>
      <c r="H1024" s="438"/>
      <c r="I1024" s="438"/>
      <c r="J1024" s="11"/>
      <c r="Q1024" s="348" t="str">
        <f t="shared" si="128"/>
        <v/>
      </c>
      <c r="R1024" s="348" t="str">
        <f t="shared" si="129"/>
        <v/>
      </c>
      <c r="S1024" s="348" t="str">
        <f t="shared" si="130"/>
        <v/>
      </c>
      <c r="T1024" s="348" t="str">
        <f t="shared" si="131"/>
        <v/>
      </c>
      <c r="U1024" s="348" t="str">
        <f t="shared" si="132"/>
        <v/>
      </c>
      <c r="V1024" s="348" t="str">
        <f t="shared" si="133"/>
        <v/>
      </c>
      <c r="W1024" s="348" t="str">
        <f t="shared" si="134"/>
        <v/>
      </c>
      <c r="X1024" s="348" t="str">
        <f t="shared" si="135"/>
        <v/>
      </c>
    </row>
    <row r="1025" spans="1:24" x14ac:dyDescent="0.2">
      <c r="A1025" s="407">
        <v>1017</v>
      </c>
      <c r="B1025" s="438"/>
      <c r="C1025" s="438"/>
      <c r="D1025" s="438"/>
      <c r="E1025" s="438"/>
      <c r="F1025" s="438"/>
      <c r="G1025" s="438"/>
      <c r="H1025" s="438"/>
      <c r="I1025" s="438"/>
      <c r="J1025" s="11"/>
      <c r="Q1025" s="348" t="str">
        <f t="shared" si="128"/>
        <v/>
      </c>
      <c r="R1025" s="348" t="str">
        <f t="shared" si="129"/>
        <v/>
      </c>
      <c r="S1025" s="348" t="str">
        <f t="shared" si="130"/>
        <v/>
      </c>
      <c r="T1025" s="348" t="str">
        <f t="shared" si="131"/>
        <v/>
      </c>
      <c r="U1025" s="348" t="str">
        <f t="shared" si="132"/>
        <v/>
      </c>
      <c r="V1025" s="348" t="str">
        <f t="shared" si="133"/>
        <v/>
      </c>
      <c r="W1025" s="348" t="str">
        <f t="shared" si="134"/>
        <v/>
      </c>
      <c r="X1025" s="348" t="str">
        <f t="shared" si="135"/>
        <v/>
      </c>
    </row>
    <row r="1026" spans="1:24" x14ac:dyDescent="0.2">
      <c r="A1026" s="407">
        <v>1018</v>
      </c>
      <c r="B1026" s="438"/>
      <c r="C1026" s="438"/>
      <c r="D1026" s="438"/>
      <c r="E1026" s="438"/>
      <c r="F1026" s="438"/>
      <c r="G1026" s="438"/>
      <c r="H1026" s="438"/>
      <c r="I1026" s="438"/>
      <c r="J1026" s="11"/>
      <c r="Q1026" s="348" t="str">
        <f t="shared" si="128"/>
        <v/>
      </c>
      <c r="R1026" s="348" t="str">
        <f t="shared" si="129"/>
        <v/>
      </c>
      <c r="S1026" s="348" t="str">
        <f t="shared" si="130"/>
        <v/>
      </c>
      <c r="T1026" s="348" t="str">
        <f t="shared" si="131"/>
        <v/>
      </c>
      <c r="U1026" s="348" t="str">
        <f t="shared" si="132"/>
        <v/>
      </c>
      <c r="V1026" s="348" t="str">
        <f t="shared" si="133"/>
        <v/>
      </c>
      <c r="W1026" s="348" t="str">
        <f t="shared" si="134"/>
        <v/>
      </c>
      <c r="X1026" s="348" t="str">
        <f t="shared" si="135"/>
        <v/>
      </c>
    </row>
    <row r="1027" spans="1:24" x14ac:dyDescent="0.2">
      <c r="A1027" s="407">
        <v>1019</v>
      </c>
      <c r="B1027" s="438"/>
      <c r="C1027" s="438"/>
      <c r="D1027" s="438"/>
      <c r="E1027" s="438"/>
      <c r="F1027" s="438"/>
      <c r="G1027" s="438"/>
      <c r="H1027" s="438"/>
      <c r="I1027" s="438"/>
      <c r="J1027" s="11"/>
      <c r="Q1027" s="348" t="str">
        <f t="shared" si="128"/>
        <v/>
      </c>
      <c r="R1027" s="348" t="str">
        <f t="shared" si="129"/>
        <v/>
      </c>
      <c r="S1027" s="348" t="str">
        <f t="shared" si="130"/>
        <v/>
      </c>
      <c r="T1027" s="348" t="str">
        <f t="shared" si="131"/>
        <v/>
      </c>
      <c r="U1027" s="348" t="str">
        <f t="shared" si="132"/>
        <v/>
      </c>
      <c r="V1027" s="348" t="str">
        <f t="shared" si="133"/>
        <v/>
      </c>
      <c r="W1027" s="348" t="str">
        <f t="shared" si="134"/>
        <v/>
      </c>
      <c r="X1027" s="348" t="str">
        <f t="shared" si="135"/>
        <v/>
      </c>
    </row>
    <row r="1028" spans="1:24" x14ac:dyDescent="0.2">
      <c r="A1028" s="407">
        <v>1020</v>
      </c>
      <c r="B1028" s="438"/>
      <c r="C1028" s="438"/>
      <c r="D1028" s="438"/>
      <c r="E1028" s="438"/>
      <c r="F1028" s="438"/>
      <c r="G1028" s="438"/>
      <c r="H1028" s="438"/>
      <c r="I1028" s="438"/>
      <c r="J1028" s="11"/>
      <c r="Q1028" s="348" t="str">
        <f t="shared" si="128"/>
        <v/>
      </c>
      <c r="R1028" s="348" t="str">
        <f t="shared" si="129"/>
        <v/>
      </c>
      <c r="S1028" s="348" t="str">
        <f t="shared" si="130"/>
        <v/>
      </c>
      <c r="T1028" s="348" t="str">
        <f t="shared" si="131"/>
        <v/>
      </c>
      <c r="U1028" s="348" t="str">
        <f t="shared" si="132"/>
        <v/>
      </c>
      <c r="V1028" s="348" t="str">
        <f t="shared" si="133"/>
        <v/>
      </c>
      <c r="W1028" s="348" t="str">
        <f t="shared" si="134"/>
        <v/>
      </c>
      <c r="X1028" s="348" t="str">
        <f t="shared" si="135"/>
        <v/>
      </c>
    </row>
    <row r="1029" spans="1:24" x14ac:dyDescent="0.2">
      <c r="A1029" s="407">
        <v>1021</v>
      </c>
      <c r="B1029" s="437"/>
      <c r="C1029" s="438"/>
      <c r="D1029" s="438"/>
      <c r="E1029" s="438"/>
      <c r="F1029" s="438"/>
      <c r="G1029" s="438"/>
      <c r="H1029" s="438"/>
      <c r="I1029" s="438"/>
      <c r="J1029" s="11"/>
      <c r="Q1029" s="348" t="str">
        <f t="shared" si="128"/>
        <v/>
      </c>
      <c r="R1029" s="348" t="str">
        <f t="shared" si="129"/>
        <v/>
      </c>
      <c r="S1029" s="348" t="str">
        <f t="shared" si="130"/>
        <v/>
      </c>
      <c r="T1029" s="348" t="str">
        <f t="shared" si="131"/>
        <v/>
      </c>
      <c r="U1029" s="348" t="str">
        <f t="shared" si="132"/>
        <v/>
      </c>
      <c r="V1029" s="348" t="str">
        <f t="shared" si="133"/>
        <v/>
      </c>
      <c r="W1029" s="348" t="str">
        <f t="shared" si="134"/>
        <v/>
      </c>
      <c r="X1029" s="348" t="str">
        <f t="shared" si="135"/>
        <v/>
      </c>
    </row>
    <row r="1030" spans="1:24" x14ac:dyDescent="0.2">
      <c r="A1030" s="407">
        <v>1022</v>
      </c>
      <c r="B1030" s="438"/>
      <c r="C1030" s="438"/>
      <c r="D1030" s="438"/>
      <c r="E1030" s="438"/>
      <c r="F1030" s="438"/>
      <c r="G1030" s="438"/>
      <c r="H1030" s="438"/>
      <c r="I1030" s="438"/>
      <c r="J1030" s="11"/>
      <c r="Q1030" s="348" t="str">
        <f t="shared" si="128"/>
        <v/>
      </c>
      <c r="R1030" s="348" t="str">
        <f t="shared" si="129"/>
        <v/>
      </c>
      <c r="S1030" s="348" t="str">
        <f t="shared" si="130"/>
        <v/>
      </c>
      <c r="T1030" s="348" t="str">
        <f t="shared" si="131"/>
        <v/>
      </c>
      <c r="U1030" s="348" t="str">
        <f t="shared" si="132"/>
        <v/>
      </c>
      <c r="V1030" s="348" t="str">
        <f t="shared" si="133"/>
        <v/>
      </c>
      <c r="W1030" s="348" t="str">
        <f t="shared" si="134"/>
        <v/>
      </c>
      <c r="X1030" s="348" t="str">
        <f t="shared" si="135"/>
        <v/>
      </c>
    </row>
    <row r="1031" spans="1:24" x14ac:dyDescent="0.2">
      <c r="A1031" s="407">
        <v>1023</v>
      </c>
      <c r="B1031" s="438"/>
      <c r="C1031" s="438"/>
      <c r="D1031" s="438"/>
      <c r="E1031" s="438"/>
      <c r="F1031" s="438"/>
      <c r="G1031" s="438"/>
      <c r="H1031" s="438"/>
      <c r="I1031" s="438"/>
      <c r="J1031" s="11"/>
      <c r="Q1031" s="348" t="str">
        <f t="shared" si="128"/>
        <v/>
      </c>
      <c r="R1031" s="348" t="str">
        <f t="shared" si="129"/>
        <v/>
      </c>
      <c r="S1031" s="348" t="str">
        <f t="shared" si="130"/>
        <v/>
      </c>
      <c r="T1031" s="348" t="str">
        <f t="shared" si="131"/>
        <v/>
      </c>
      <c r="U1031" s="348" t="str">
        <f t="shared" si="132"/>
        <v/>
      </c>
      <c r="V1031" s="348" t="str">
        <f t="shared" si="133"/>
        <v/>
      </c>
      <c r="W1031" s="348" t="str">
        <f t="shared" si="134"/>
        <v/>
      </c>
      <c r="X1031" s="348" t="str">
        <f t="shared" si="135"/>
        <v/>
      </c>
    </row>
    <row r="1032" spans="1:24" x14ac:dyDescent="0.2">
      <c r="A1032" s="407">
        <v>1024</v>
      </c>
      <c r="B1032" s="438"/>
      <c r="C1032" s="438"/>
      <c r="D1032" s="438"/>
      <c r="E1032" s="438"/>
      <c r="F1032" s="438"/>
      <c r="G1032" s="438"/>
      <c r="H1032" s="438"/>
      <c r="I1032" s="438"/>
      <c r="J1032" s="11"/>
      <c r="Q1032" s="348" t="str">
        <f t="shared" si="128"/>
        <v/>
      </c>
      <c r="R1032" s="348" t="str">
        <f t="shared" si="129"/>
        <v/>
      </c>
      <c r="S1032" s="348" t="str">
        <f t="shared" si="130"/>
        <v/>
      </c>
      <c r="T1032" s="348" t="str">
        <f t="shared" si="131"/>
        <v/>
      </c>
      <c r="U1032" s="348" t="str">
        <f t="shared" si="132"/>
        <v/>
      </c>
      <c r="V1032" s="348" t="str">
        <f t="shared" si="133"/>
        <v/>
      </c>
      <c r="W1032" s="348" t="str">
        <f t="shared" si="134"/>
        <v/>
      </c>
      <c r="X1032" s="348" t="str">
        <f t="shared" si="135"/>
        <v/>
      </c>
    </row>
    <row r="1033" spans="1:24" x14ac:dyDescent="0.2">
      <c r="A1033" s="407">
        <v>1025</v>
      </c>
      <c r="B1033" s="438"/>
      <c r="C1033" s="438"/>
      <c r="D1033" s="438"/>
      <c r="E1033" s="438"/>
      <c r="F1033" s="438"/>
      <c r="G1033" s="438"/>
      <c r="H1033" s="438"/>
      <c r="I1033" s="437"/>
      <c r="J1033" s="11"/>
      <c r="Q1033" s="348" t="str">
        <f t="shared" si="128"/>
        <v/>
      </c>
      <c r="R1033" s="348" t="str">
        <f t="shared" si="129"/>
        <v/>
      </c>
      <c r="S1033" s="348" t="str">
        <f t="shared" si="130"/>
        <v/>
      </c>
      <c r="T1033" s="348" t="str">
        <f t="shared" si="131"/>
        <v/>
      </c>
      <c r="U1033" s="348" t="str">
        <f t="shared" si="132"/>
        <v/>
      </c>
      <c r="V1033" s="348" t="str">
        <f t="shared" si="133"/>
        <v/>
      </c>
      <c r="W1033" s="348" t="str">
        <f t="shared" si="134"/>
        <v/>
      </c>
      <c r="X1033" s="348" t="str">
        <f t="shared" si="135"/>
        <v/>
      </c>
    </row>
    <row r="1034" spans="1:24" x14ac:dyDescent="0.2">
      <c r="A1034" s="407">
        <v>1026</v>
      </c>
      <c r="B1034" s="438"/>
      <c r="C1034" s="438"/>
      <c r="D1034" s="438"/>
      <c r="E1034" s="437"/>
      <c r="F1034" s="437"/>
      <c r="G1034" s="437"/>
      <c r="H1034" s="437"/>
      <c r="I1034" s="438"/>
      <c r="J1034" s="11"/>
      <c r="Q1034" s="348" t="str">
        <f t="shared" ref="Q1034:Q1097" si="136">IFERROR(B1034^4*$AB$9+B1034^3*$AC$9+B1034^2*$AD$9+B1034^1*$AE$9+B1034^0*$AF$9,"")</f>
        <v/>
      </c>
      <c r="R1034" s="348" t="str">
        <f t="shared" ref="R1034:R1097" si="137">IFERROR(C1034^4*$AB$10+C1034^3*$AC$10+C1034^2*$AD$10+C1034^1*$AE$10+C1034^0*$AF$10,"")</f>
        <v/>
      </c>
      <c r="S1034" s="348" t="str">
        <f t="shared" ref="S1034:S1097" si="138">IFERROR(D1034^4*$AB$11+D1034^3*$AC$11+D1034^2*$AD$11+D1034^1*$AE$11+D1034^0*$AF$11,"")</f>
        <v/>
      </c>
      <c r="T1034" s="348" t="str">
        <f t="shared" ref="T1034:T1097" si="139">IFERROR(E1034^4*$AB$12+E1034^3*$AC$12+E1034^2*$AD$12+E1034^1*$AE$12+E1034^0*$AF$12,"")</f>
        <v/>
      </c>
      <c r="U1034" s="348" t="str">
        <f t="shared" ref="U1034:U1097" si="140">IFERROR(F1034^4*$AB$13+F1034^3*$AC$13+F1034^2*$AD$13+F1034^1*$AE$13+F1034^0*$AF$13,"")</f>
        <v/>
      </c>
      <c r="V1034" s="348" t="str">
        <f t="shared" ref="V1034:V1097" si="141">IFERROR(G1034^4*$AB$14+G1034^3*$AC$14+G1034^2*$AD$14+G1034^1*$AE$14+G1034^0*$AF$14,"")</f>
        <v/>
      </c>
      <c r="W1034" s="348" t="str">
        <f t="shared" ref="W1034:W1097" si="142">IFERROR(H1034^4*$AB$15+H1034^3*$AC$15+H1034^2*$AD$15+H1034^1*$AE$15+H1034^0*$AF$15,"")</f>
        <v/>
      </c>
      <c r="X1034" s="348" t="str">
        <f t="shared" ref="X1034:X1097" si="143">IFERROR(I1034^4*$AB$16+I1034^3*$AC$16+I1034^2*$AD$16+I1034^1*$AE$16+I1034^0*$AF$16,"")</f>
        <v/>
      </c>
    </row>
    <row r="1035" spans="1:24" x14ac:dyDescent="0.2">
      <c r="A1035" s="407">
        <v>1027</v>
      </c>
      <c r="B1035" s="438"/>
      <c r="C1035" s="438"/>
      <c r="D1035" s="438"/>
      <c r="E1035" s="438"/>
      <c r="F1035" s="438"/>
      <c r="G1035" s="438"/>
      <c r="H1035" s="438"/>
      <c r="I1035" s="438"/>
      <c r="J1035" s="11"/>
      <c r="Q1035" s="348" t="str">
        <f t="shared" si="136"/>
        <v/>
      </c>
      <c r="R1035" s="348" t="str">
        <f t="shared" si="137"/>
        <v/>
      </c>
      <c r="S1035" s="348" t="str">
        <f t="shared" si="138"/>
        <v/>
      </c>
      <c r="T1035" s="348" t="str">
        <f t="shared" si="139"/>
        <v/>
      </c>
      <c r="U1035" s="348" t="str">
        <f t="shared" si="140"/>
        <v/>
      </c>
      <c r="V1035" s="348" t="str">
        <f t="shared" si="141"/>
        <v/>
      </c>
      <c r="W1035" s="348" t="str">
        <f t="shared" si="142"/>
        <v/>
      </c>
      <c r="X1035" s="348" t="str">
        <f t="shared" si="143"/>
        <v/>
      </c>
    </row>
    <row r="1036" spans="1:24" x14ac:dyDescent="0.2">
      <c r="A1036" s="407">
        <v>1028</v>
      </c>
      <c r="B1036" s="438"/>
      <c r="C1036" s="438"/>
      <c r="D1036" s="438"/>
      <c r="E1036" s="438"/>
      <c r="F1036" s="438"/>
      <c r="G1036" s="438"/>
      <c r="H1036" s="438"/>
      <c r="I1036" s="438"/>
      <c r="J1036" s="11"/>
      <c r="Q1036" s="348" t="str">
        <f t="shared" si="136"/>
        <v/>
      </c>
      <c r="R1036" s="348" t="str">
        <f t="shared" si="137"/>
        <v/>
      </c>
      <c r="S1036" s="348" t="str">
        <f t="shared" si="138"/>
        <v/>
      </c>
      <c r="T1036" s="348" t="str">
        <f t="shared" si="139"/>
        <v/>
      </c>
      <c r="U1036" s="348" t="str">
        <f t="shared" si="140"/>
        <v/>
      </c>
      <c r="V1036" s="348" t="str">
        <f t="shared" si="141"/>
        <v/>
      </c>
      <c r="W1036" s="348" t="str">
        <f t="shared" si="142"/>
        <v/>
      </c>
      <c r="X1036" s="348" t="str">
        <f t="shared" si="143"/>
        <v/>
      </c>
    </row>
    <row r="1037" spans="1:24" x14ac:dyDescent="0.2">
      <c r="A1037" s="407">
        <v>1029</v>
      </c>
      <c r="B1037" s="438"/>
      <c r="C1037" s="438"/>
      <c r="D1037" s="438"/>
      <c r="E1037" s="438"/>
      <c r="F1037" s="438"/>
      <c r="G1037" s="438"/>
      <c r="H1037" s="438"/>
      <c r="I1037" s="438"/>
      <c r="J1037" s="11"/>
      <c r="Q1037" s="348" t="str">
        <f t="shared" si="136"/>
        <v/>
      </c>
      <c r="R1037" s="348" t="str">
        <f t="shared" si="137"/>
        <v/>
      </c>
      <c r="S1037" s="348" t="str">
        <f t="shared" si="138"/>
        <v/>
      </c>
      <c r="T1037" s="348" t="str">
        <f t="shared" si="139"/>
        <v/>
      </c>
      <c r="U1037" s="348" t="str">
        <f t="shared" si="140"/>
        <v/>
      </c>
      <c r="V1037" s="348" t="str">
        <f t="shared" si="141"/>
        <v/>
      </c>
      <c r="W1037" s="348" t="str">
        <f t="shared" si="142"/>
        <v/>
      </c>
      <c r="X1037" s="348" t="str">
        <f t="shared" si="143"/>
        <v/>
      </c>
    </row>
    <row r="1038" spans="1:24" x14ac:dyDescent="0.2">
      <c r="A1038" s="407">
        <v>1030</v>
      </c>
      <c r="B1038" s="438"/>
      <c r="C1038" s="438"/>
      <c r="D1038" s="438"/>
      <c r="E1038" s="438"/>
      <c r="F1038" s="438"/>
      <c r="G1038" s="438"/>
      <c r="H1038" s="438"/>
      <c r="I1038" s="438"/>
      <c r="J1038" s="11"/>
      <c r="Q1038" s="348" t="str">
        <f t="shared" si="136"/>
        <v/>
      </c>
      <c r="R1038" s="348" t="str">
        <f t="shared" si="137"/>
        <v/>
      </c>
      <c r="S1038" s="348" t="str">
        <f t="shared" si="138"/>
        <v/>
      </c>
      <c r="T1038" s="348" t="str">
        <f t="shared" si="139"/>
        <v/>
      </c>
      <c r="U1038" s="348" t="str">
        <f t="shared" si="140"/>
        <v/>
      </c>
      <c r="V1038" s="348" t="str">
        <f t="shared" si="141"/>
        <v/>
      </c>
      <c r="W1038" s="348" t="str">
        <f t="shared" si="142"/>
        <v/>
      </c>
      <c r="X1038" s="348" t="str">
        <f t="shared" si="143"/>
        <v/>
      </c>
    </row>
    <row r="1039" spans="1:24" x14ac:dyDescent="0.2">
      <c r="A1039" s="407">
        <v>1031</v>
      </c>
      <c r="B1039" s="438"/>
      <c r="C1039" s="438"/>
      <c r="D1039" s="438"/>
      <c r="E1039" s="438"/>
      <c r="F1039" s="438"/>
      <c r="G1039" s="438"/>
      <c r="H1039" s="438"/>
      <c r="I1039" s="438"/>
      <c r="J1039" s="11"/>
      <c r="Q1039" s="348" t="str">
        <f t="shared" si="136"/>
        <v/>
      </c>
      <c r="R1039" s="348" t="str">
        <f t="shared" si="137"/>
        <v/>
      </c>
      <c r="S1039" s="348" t="str">
        <f t="shared" si="138"/>
        <v/>
      </c>
      <c r="T1039" s="348" t="str">
        <f t="shared" si="139"/>
        <v/>
      </c>
      <c r="U1039" s="348" t="str">
        <f t="shared" si="140"/>
        <v/>
      </c>
      <c r="V1039" s="348" t="str">
        <f t="shared" si="141"/>
        <v/>
      </c>
      <c r="W1039" s="348" t="str">
        <f t="shared" si="142"/>
        <v/>
      </c>
      <c r="X1039" s="348" t="str">
        <f t="shared" si="143"/>
        <v/>
      </c>
    </row>
    <row r="1040" spans="1:24" x14ac:dyDescent="0.2">
      <c r="A1040" s="407">
        <v>1032</v>
      </c>
      <c r="B1040" s="438"/>
      <c r="C1040" s="438"/>
      <c r="D1040" s="438"/>
      <c r="E1040" s="438"/>
      <c r="F1040" s="438"/>
      <c r="G1040" s="438"/>
      <c r="H1040" s="438"/>
      <c r="I1040" s="438"/>
      <c r="J1040" s="11"/>
      <c r="Q1040" s="348" t="str">
        <f t="shared" si="136"/>
        <v/>
      </c>
      <c r="R1040" s="348" t="str">
        <f t="shared" si="137"/>
        <v/>
      </c>
      <c r="S1040" s="348" t="str">
        <f t="shared" si="138"/>
        <v/>
      </c>
      <c r="T1040" s="348" t="str">
        <f t="shared" si="139"/>
        <v/>
      </c>
      <c r="U1040" s="348" t="str">
        <f t="shared" si="140"/>
        <v/>
      </c>
      <c r="V1040" s="348" t="str">
        <f t="shared" si="141"/>
        <v/>
      </c>
      <c r="W1040" s="348" t="str">
        <f t="shared" si="142"/>
        <v/>
      </c>
      <c r="X1040" s="348" t="str">
        <f t="shared" si="143"/>
        <v/>
      </c>
    </row>
    <row r="1041" spans="1:24" x14ac:dyDescent="0.2">
      <c r="A1041" s="407">
        <v>1033</v>
      </c>
      <c r="B1041" s="438"/>
      <c r="C1041" s="438"/>
      <c r="D1041" s="438"/>
      <c r="E1041" s="438"/>
      <c r="F1041" s="438"/>
      <c r="G1041" s="438"/>
      <c r="H1041" s="438"/>
      <c r="I1041" s="438"/>
      <c r="J1041" s="11"/>
      <c r="Q1041" s="348" t="str">
        <f t="shared" si="136"/>
        <v/>
      </c>
      <c r="R1041" s="348" t="str">
        <f t="shared" si="137"/>
        <v/>
      </c>
      <c r="S1041" s="348" t="str">
        <f t="shared" si="138"/>
        <v/>
      </c>
      <c r="T1041" s="348" t="str">
        <f t="shared" si="139"/>
        <v/>
      </c>
      <c r="U1041" s="348" t="str">
        <f t="shared" si="140"/>
        <v/>
      </c>
      <c r="V1041" s="348" t="str">
        <f t="shared" si="141"/>
        <v/>
      </c>
      <c r="W1041" s="348" t="str">
        <f t="shared" si="142"/>
        <v/>
      </c>
      <c r="X1041" s="348" t="str">
        <f t="shared" si="143"/>
        <v/>
      </c>
    </row>
    <row r="1042" spans="1:24" x14ac:dyDescent="0.2">
      <c r="A1042" s="407">
        <v>1034</v>
      </c>
      <c r="B1042" s="438"/>
      <c r="C1042" s="438"/>
      <c r="D1042" s="438"/>
      <c r="E1042" s="438"/>
      <c r="F1042" s="438"/>
      <c r="G1042" s="438"/>
      <c r="H1042" s="438"/>
      <c r="I1042" s="438"/>
      <c r="J1042" s="11"/>
      <c r="Q1042" s="348" t="str">
        <f t="shared" si="136"/>
        <v/>
      </c>
      <c r="R1042" s="348" t="str">
        <f t="shared" si="137"/>
        <v/>
      </c>
      <c r="S1042" s="348" t="str">
        <f t="shared" si="138"/>
        <v/>
      </c>
      <c r="T1042" s="348" t="str">
        <f t="shared" si="139"/>
        <v/>
      </c>
      <c r="U1042" s="348" t="str">
        <f t="shared" si="140"/>
        <v/>
      </c>
      <c r="V1042" s="348" t="str">
        <f t="shared" si="141"/>
        <v/>
      </c>
      <c r="W1042" s="348" t="str">
        <f t="shared" si="142"/>
        <v/>
      </c>
      <c r="X1042" s="348" t="str">
        <f t="shared" si="143"/>
        <v/>
      </c>
    </row>
    <row r="1043" spans="1:24" x14ac:dyDescent="0.2">
      <c r="A1043" s="407">
        <v>1035</v>
      </c>
      <c r="B1043" s="437"/>
      <c r="C1043" s="438"/>
      <c r="D1043" s="438"/>
      <c r="E1043" s="438"/>
      <c r="F1043" s="438"/>
      <c r="G1043" s="438"/>
      <c r="H1043" s="438"/>
      <c r="I1043" s="438"/>
      <c r="J1043" s="11"/>
      <c r="Q1043" s="348" t="str">
        <f t="shared" si="136"/>
        <v/>
      </c>
      <c r="R1043" s="348" t="str">
        <f t="shared" si="137"/>
        <v/>
      </c>
      <c r="S1043" s="348" t="str">
        <f t="shared" si="138"/>
        <v/>
      </c>
      <c r="T1043" s="348" t="str">
        <f t="shared" si="139"/>
        <v/>
      </c>
      <c r="U1043" s="348" t="str">
        <f t="shared" si="140"/>
        <v/>
      </c>
      <c r="V1043" s="348" t="str">
        <f t="shared" si="141"/>
        <v/>
      </c>
      <c r="W1043" s="348" t="str">
        <f t="shared" si="142"/>
        <v/>
      </c>
      <c r="X1043" s="348" t="str">
        <f t="shared" si="143"/>
        <v/>
      </c>
    </row>
    <row r="1044" spans="1:24" x14ac:dyDescent="0.2">
      <c r="A1044" s="407">
        <v>1036</v>
      </c>
      <c r="B1044" s="438"/>
      <c r="C1044" s="437"/>
      <c r="D1044" s="438"/>
      <c r="E1044" s="438"/>
      <c r="F1044" s="438"/>
      <c r="G1044" s="438"/>
      <c r="H1044" s="438"/>
      <c r="I1044" s="438"/>
      <c r="J1044" s="11"/>
      <c r="Q1044" s="348" t="str">
        <f t="shared" si="136"/>
        <v/>
      </c>
      <c r="R1044" s="348" t="str">
        <f t="shared" si="137"/>
        <v/>
      </c>
      <c r="S1044" s="348" t="str">
        <f t="shared" si="138"/>
        <v/>
      </c>
      <c r="T1044" s="348" t="str">
        <f t="shared" si="139"/>
        <v/>
      </c>
      <c r="U1044" s="348" t="str">
        <f t="shared" si="140"/>
        <v/>
      </c>
      <c r="V1044" s="348" t="str">
        <f t="shared" si="141"/>
        <v/>
      </c>
      <c r="W1044" s="348" t="str">
        <f t="shared" si="142"/>
        <v/>
      </c>
      <c r="X1044" s="348" t="str">
        <f t="shared" si="143"/>
        <v/>
      </c>
    </row>
    <row r="1045" spans="1:24" x14ac:dyDescent="0.2">
      <c r="A1045" s="407">
        <v>1037</v>
      </c>
      <c r="B1045" s="438"/>
      <c r="C1045" s="438"/>
      <c r="D1045" s="438"/>
      <c r="E1045" s="438"/>
      <c r="F1045" s="438"/>
      <c r="G1045" s="438"/>
      <c r="H1045" s="438"/>
      <c r="I1045" s="438"/>
      <c r="J1045" s="11"/>
      <c r="Q1045" s="348" t="str">
        <f t="shared" si="136"/>
        <v/>
      </c>
      <c r="R1045" s="348" t="str">
        <f t="shared" si="137"/>
        <v/>
      </c>
      <c r="S1045" s="348" t="str">
        <f t="shared" si="138"/>
        <v/>
      </c>
      <c r="T1045" s="348" t="str">
        <f t="shared" si="139"/>
        <v/>
      </c>
      <c r="U1045" s="348" t="str">
        <f t="shared" si="140"/>
        <v/>
      </c>
      <c r="V1045" s="348" t="str">
        <f t="shared" si="141"/>
        <v/>
      </c>
      <c r="W1045" s="348" t="str">
        <f t="shared" si="142"/>
        <v/>
      </c>
      <c r="X1045" s="348" t="str">
        <f t="shared" si="143"/>
        <v/>
      </c>
    </row>
    <row r="1046" spans="1:24" x14ac:dyDescent="0.2">
      <c r="A1046" s="407">
        <v>1038</v>
      </c>
      <c r="B1046" s="438"/>
      <c r="C1046" s="438"/>
      <c r="D1046" s="438"/>
      <c r="E1046" s="438"/>
      <c r="F1046" s="438"/>
      <c r="G1046" s="438"/>
      <c r="H1046" s="438"/>
      <c r="I1046" s="438"/>
      <c r="J1046" s="11"/>
      <c r="Q1046" s="348" t="str">
        <f t="shared" si="136"/>
        <v/>
      </c>
      <c r="R1046" s="348" t="str">
        <f t="shared" si="137"/>
        <v/>
      </c>
      <c r="S1046" s="348" t="str">
        <f t="shared" si="138"/>
        <v/>
      </c>
      <c r="T1046" s="348" t="str">
        <f t="shared" si="139"/>
        <v/>
      </c>
      <c r="U1046" s="348" t="str">
        <f t="shared" si="140"/>
        <v/>
      </c>
      <c r="V1046" s="348" t="str">
        <f t="shared" si="141"/>
        <v/>
      </c>
      <c r="W1046" s="348" t="str">
        <f t="shared" si="142"/>
        <v/>
      </c>
      <c r="X1046" s="348" t="str">
        <f t="shared" si="143"/>
        <v/>
      </c>
    </row>
    <row r="1047" spans="1:24" x14ac:dyDescent="0.2">
      <c r="A1047" s="407">
        <v>1039</v>
      </c>
      <c r="B1047" s="438"/>
      <c r="C1047" s="438"/>
      <c r="D1047" s="437"/>
      <c r="E1047" s="438"/>
      <c r="F1047" s="438"/>
      <c r="G1047" s="438"/>
      <c r="H1047" s="438"/>
      <c r="I1047" s="438"/>
      <c r="J1047" s="11"/>
      <c r="Q1047" s="348" t="str">
        <f t="shared" si="136"/>
        <v/>
      </c>
      <c r="R1047" s="348" t="str">
        <f t="shared" si="137"/>
        <v/>
      </c>
      <c r="S1047" s="348" t="str">
        <f t="shared" si="138"/>
        <v/>
      </c>
      <c r="T1047" s="348" t="str">
        <f t="shared" si="139"/>
        <v/>
      </c>
      <c r="U1047" s="348" t="str">
        <f t="shared" si="140"/>
        <v/>
      </c>
      <c r="V1047" s="348" t="str">
        <f t="shared" si="141"/>
        <v/>
      </c>
      <c r="W1047" s="348" t="str">
        <f t="shared" si="142"/>
        <v/>
      </c>
      <c r="X1047" s="348" t="str">
        <f t="shared" si="143"/>
        <v/>
      </c>
    </row>
    <row r="1048" spans="1:24" x14ac:dyDescent="0.2">
      <c r="A1048" s="407">
        <v>1040</v>
      </c>
      <c r="B1048" s="438"/>
      <c r="C1048" s="438"/>
      <c r="D1048" s="438"/>
      <c r="E1048" s="438"/>
      <c r="F1048" s="438"/>
      <c r="G1048" s="438"/>
      <c r="H1048" s="438"/>
      <c r="I1048" s="438"/>
      <c r="J1048" s="11"/>
      <c r="Q1048" s="348" t="str">
        <f t="shared" si="136"/>
        <v/>
      </c>
      <c r="R1048" s="348" t="str">
        <f t="shared" si="137"/>
        <v/>
      </c>
      <c r="S1048" s="348" t="str">
        <f t="shared" si="138"/>
        <v/>
      </c>
      <c r="T1048" s="348" t="str">
        <f t="shared" si="139"/>
        <v/>
      </c>
      <c r="U1048" s="348" t="str">
        <f t="shared" si="140"/>
        <v/>
      </c>
      <c r="V1048" s="348" t="str">
        <f t="shared" si="141"/>
        <v/>
      </c>
      <c r="W1048" s="348" t="str">
        <f t="shared" si="142"/>
        <v/>
      </c>
      <c r="X1048" s="348" t="str">
        <f t="shared" si="143"/>
        <v/>
      </c>
    </row>
    <row r="1049" spans="1:24" x14ac:dyDescent="0.2">
      <c r="A1049" s="407">
        <v>1041</v>
      </c>
      <c r="B1049" s="438"/>
      <c r="C1049" s="438"/>
      <c r="D1049" s="438"/>
      <c r="E1049" s="438"/>
      <c r="F1049" s="438"/>
      <c r="G1049" s="438"/>
      <c r="H1049" s="438"/>
      <c r="I1049" s="438"/>
      <c r="J1049" s="11"/>
      <c r="Q1049" s="348" t="str">
        <f t="shared" si="136"/>
        <v/>
      </c>
      <c r="R1049" s="348" t="str">
        <f t="shared" si="137"/>
        <v/>
      </c>
      <c r="S1049" s="348" t="str">
        <f t="shared" si="138"/>
        <v/>
      </c>
      <c r="T1049" s="348" t="str">
        <f t="shared" si="139"/>
        <v/>
      </c>
      <c r="U1049" s="348" t="str">
        <f t="shared" si="140"/>
        <v/>
      </c>
      <c r="V1049" s="348" t="str">
        <f t="shared" si="141"/>
        <v/>
      </c>
      <c r="W1049" s="348" t="str">
        <f t="shared" si="142"/>
        <v/>
      </c>
      <c r="X1049" s="348" t="str">
        <f t="shared" si="143"/>
        <v/>
      </c>
    </row>
    <row r="1050" spans="1:24" x14ac:dyDescent="0.2">
      <c r="A1050" s="407">
        <v>1042</v>
      </c>
      <c r="B1050" s="438"/>
      <c r="C1050" s="438"/>
      <c r="D1050" s="438"/>
      <c r="E1050" s="438"/>
      <c r="F1050" s="438"/>
      <c r="G1050" s="438"/>
      <c r="H1050" s="438"/>
      <c r="I1050" s="438"/>
      <c r="J1050" s="11"/>
      <c r="Q1050" s="348" t="str">
        <f t="shared" si="136"/>
        <v/>
      </c>
      <c r="R1050" s="348" t="str">
        <f t="shared" si="137"/>
        <v/>
      </c>
      <c r="S1050" s="348" t="str">
        <f t="shared" si="138"/>
        <v/>
      </c>
      <c r="T1050" s="348" t="str">
        <f t="shared" si="139"/>
        <v/>
      </c>
      <c r="U1050" s="348" t="str">
        <f t="shared" si="140"/>
        <v/>
      </c>
      <c r="V1050" s="348" t="str">
        <f t="shared" si="141"/>
        <v/>
      </c>
      <c r="W1050" s="348" t="str">
        <f t="shared" si="142"/>
        <v/>
      </c>
      <c r="X1050" s="348" t="str">
        <f t="shared" si="143"/>
        <v/>
      </c>
    </row>
    <row r="1051" spans="1:24" x14ac:dyDescent="0.2">
      <c r="A1051" s="407">
        <v>1043</v>
      </c>
      <c r="B1051" s="438"/>
      <c r="C1051" s="438"/>
      <c r="D1051" s="438"/>
      <c r="E1051" s="438"/>
      <c r="F1051" s="438"/>
      <c r="G1051" s="438"/>
      <c r="H1051" s="438"/>
      <c r="I1051" s="438"/>
      <c r="J1051" s="11"/>
      <c r="Q1051" s="348" t="str">
        <f t="shared" si="136"/>
        <v/>
      </c>
      <c r="R1051" s="348" t="str">
        <f t="shared" si="137"/>
        <v/>
      </c>
      <c r="S1051" s="348" t="str">
        <f t="shared" si="138"/>
        <v/>
      </c>
      <c r="T1051" s="348" t="str">
        <f t="shared" si="139"/>
        <v/>
      </c>
      <c r="U1051" s="348" t="str">
        <f t="shared" si="140"/>
        <v/>
      </c>
      <c r="V1051" s="348" t="str">
        <f t="shared" si="141"/>
        <v/>
      </c>
      <c r="W1051" s="348" t="str">
        <f t="shared" si="142"/>
        <v/>
      </c>
      <c r="X1051" s="348" t="str">
        <f t="shared" si="143"/>
        <v/>
      </c>
    </row>
    <row r="1052" spans="1:24" x14ac:dyDescent="0.2">
      <c r="A1052" s="407">
        <v>1044</v>
      </c>
      <c r="B1052" s="438"/>
      <c r="C1052" s="438"/>
      <c r="D1052" s="438"/>
      <c r="E1052" s="438"/>
      <c r="F1052" s="438"/>
      <c r="G1052" s="438"/>
      <c r="H1052" s="438"/>
      <c r="I1052" s="438"/>
      <c r="J1052" s="11"/>
      <c r="Q1052" s="348" t="str">
        <f t="shared" si="136"/>
        <v/>
      </c>
      <c r="R1052" s="348" t="str">
        <f t="shared" si="137"/>
        <v/>
      </c>
      <c r="S1052" s="348" t="str">
        <f t="shared" si="138"/>
        <v/>
      </c>
      <c r="T1052" s="348" t="str">
        <f t="shared" si="139"/>
        <v/>
      </c>
      <c r="U1052" s="348" t="str">
        <f t="shared" si="140"/>
        <v/>
      </c>
      <c r="V1052" s="348" t="str">
        <f t="shared" si="141"/>
        <v/>
      </c>
      <c r="W1052" s="348" t="str">
        <f t="shared" si="142"/>
        <v/>
      </c>
      <c r="X1052" s="348" t="str">
        <f t="shared" si="143"/>
        <v/>
      </c>
    </row>
    <row r="1053" spans="1:24" x14ac:dyDescent="0.2">
      <c r="A1053" s="407">
        <v>1045</v>
      </c>
      <c r="B1053" s="438"/>
      <c r="C1053" s="438"/>
      <c r="D1053" s="438"/>
      <c r="E1053" s="438"/>
      <c r="F1053" s="438"/>
      <c r="G1053" s="438"/>
      <c r="H1053" s="438"/>
      <c r="I1053" s="438"/>
      <c r="J1053" s="11"/>
      <c r="Q1053" s="348" t="str">
        <f t="shared" si="136"/>
        <v/>
      </c>
      <c r="R1053" s="348" t="str">
        <f t="shared" si="137"/>
        <v/>
      </c>
      <c r="S1053" s="348" t="str">
        <f t="shared" si="138"/>
        <v/>
      </c>
      <c r="T1053" s="348" t="str">
        <f t="shared" si="139"/>
        <v/>
      </c>
      <c r="U1053" s="348" t="str">
        <f t="shared" si="140"/>
        <v/>
      </c>
      <c r="V1053" s="348" t="str">
        <f t="shared" si="141"/>
        <v/>
      </c>
      <c r="W1053" s="348" t="str">
        <f t="shared" si="142"/>
        <v/>
      </c>
      <c r="X1053" s="348" t="str">
        <f t="shared" si="143"/>
        <v/>
      </c>
    </row>
    <row r="1054" spans="1:24" x14ac:dyDescent="0.2">
      <c r="A1054" s="407">
        <v>1046</v>
      </c>
      <c r="B1054" s="438"/>
      <c r="C1054" s="438"/>
      <c r="D1054" s="438"/>
      <c r="E1054" s="438"/>
      <c r="F1054" s="438"/>
      <c r="G1054" s="438"/>
      <c r="H1054" s="438"/>
      <c r="I1054" s="438"/>
      <c r="J1054" s="11"/>
      <c r="Q1054" s="348" t="str">
        <f t="shared" si="136"/>
        <v/>
      </c>
      <c r="R1054" s="348" t="str">
        <f t="shared" si="137"/>
        <v/>
      </c>
      <c r="S1054" s="348" t="str">
        <f t="shared" si="138"/>
        <v/>
      </c>
      <c r="T1054" s="348" t="str">
        <f t="shared" si="139"/>
        <v/>
      </c>
      <c r="U1054" s="348" t="str">
        <f t="shared" si="140"/>
        <v/>
      </c>
      <c r="V1054" s="348" t="str">
        <f t="shared" si="141"/>
        <v/>
      </c>
      <c r="W1054" s="348" t="str">
        <f t="shared" si="142"/>
        <v/>
      </c>
      <c r="X1054" s="348" t="str">
        <f t="shared" si="143"/>
        <v/>
      </c>
    </row>
    <row r="1055" spans="1:24" x14ac:dyDescent="0.2">
      <c r="A1055" s="407">
        <v>1047</v>
      </c>
      <c r="B1055" s="438"/>
      <c r="C1055" s="438"/>
      <c r="D1055" s="438"/>
      <c r="E1055" s="438"/>
      <c r="F1055" s="438"/>
      <c r="G1055" s="438"/>
      <c r="H1055" s="438"/>
      <c r="I1055" s="438"/>
      <c r="J1055" s="11"/>
      <c r="Q1055" s="348" t="str">
        <f t="shared" si="136"/>
        <v/>
      </c>
      <c r="R1055" s="348" t="str">
        <f t="shared" si="137"/>
        <v/>
      </c>
      <c r="S1055" s="348" t="str">
        <f t="shared" si="138"/>
        <v/>
      </c>
      <c r="T1055" s="348" t="str">
        <f t="shared" si="139"/>
        <v/>
      </c>
      <c r="U1055" s="348" t="str">
        <f t="shared" si="140"/>
        <v/>
      </c>
      <c r="V1055" s="348" t="str">
        <f t="shared" si="141"/>
        <v/>
      </c>
      <c r="W1055" s="348" t="str">
        <f t="shared" si="142"/>
        <v/>
      </c>
      <c r="X1055" s="348" t="str">
        <f t="shared" si="143"/>
        <v/>
      </c>
    </row>
    <row r="1056" spans="1:24" x14ac:dyDescent="0.2">
      <c r="A1056" s="407">
        <v>1048</v>
      </c>
      <c r="B1056" s="438"/>
      <c r="C1056" s="438"/>
      <c r="D1056" s="438"/>
      <c r="E1056" s="438"/>
      <c r="F1056" s="438"/>
      <c r="G1056" s="438"/>
      <c r="H1056" s="438"/>
      <c r="I1056" s="438"/>
      <c r="J1056" s="11"/>
      <c r="Q1056" s="348" t="str">
        <f t="shared" si="136"/>
        <v/>
      </c>
      <c r="R1056" s="348" t="str">
        <f t="shared" si="137"/>
        <v/>
      </c>
      <c r="S1056" s="348" t="str">
        <f t="shared" si="138"/>
        <v/>
      </c>
      <c r="T1056" s="348" t="str">
        <f t="shared" si="139"/>
        <v/>
      </c>
      <c r="U1056" s="348" t="str">
        <f t="shared" si="140"/>
        <v/>
      </c>
      <c r="V1056" s="348" t="str">
        <f t="shared" si="141"/>
        <v/>
      </c>
      <c r="W1056" s="348" t="str">
        <f t="shared" si="142"/>
        <v/>
      </c>
      <c r="X1056" s="348" t="str">
        <f t="shared" si="143"/>
        <v/>
      </c>
    </row>
    <row r="1057" spans="1:24" x14ac:dyDescent="0.2">
      <c r="A1057" s="407">
        <v>1049</v>
      </c>
      <c r="B1057" s="438"/>
      <c r="C1057" s="438"/>
      <c r="D1057" s="438"/>
      <c r="E1057" s="438"/>
      <c r="F1057" s="438"/>
      <c r="G1057" s="438"/>
      <c r="H1057" s="438"/>
      <c r="I1057" s="438"/>
      <c r="J1057" s="11"/>
      <c r="Q1057" s="348" t="str">
        <f t="shared" si="136"/>
        <v/>
      </c>
      <c r="R1057" s="348" t="str">
        <f t="shared" si="137"/>
        <v/>
      </c>
      <c r="S1057" s="348" t="str">
        <f t="shared" si="138"/>
        <v/>
      </c>
      <c r="T1057" s="348" t="str">
        <f t="shared" si="139"/>
        <v/>
      </c>
      <c r="U1057" s="348" t="str">
        <f t="shared" si="140"/>
        <v/>
      </c>
      <c r="V1057" s="348" t="str">
        <f t="shared" si="141"/>
        <v/>
      </c>
      <c r="W1057" s="348" t="str">
        <f t="shared" si="142"/>
        <v/>
      </c>
      <c r="X1057" s="348" t="str">
        <f t="shared" si="143"/>
        <v/>
      </c>
    </row>
    <row r="1058" spans="1:24" x14ac:dyDescent="0.2">
      <c r="A1058" s="407">
        <v>1050</v>
      </c>
      <c r="B1058" s="438"/>
      <c r="C1058" s="437"/>
      <c r="D1058" s="438"/>
      <c r="E1058" s="438"/>
      <c r="F1058" s="438"/>
      <c r="G1058" s="438"/>
      <c r="H1058" s="438"/>
      <c r="I1058" s="437"/>
      <c r="J1058" s="11"/>
      <c r="Q1058" s="348" t="str">
        <f t="shared" si="136"/>
        <v/>
      </c>
      <c r="R1058" s="348" t="str">
        <f t="shared" si="137"/>
        <v/>
      </c>
      <c r="S1058" s="348" t="str">
        <f t="shared" si="138"/>
        <v/>
      </c>
      <c r="T1058" s="348" t="str">
        <f t="shared" si="139"/>
        <v/>
      </c>
      <c r="U1058" s="348" t="str">
        <f t="shared" si="140"/>
        <v/>
      </c>
      <c r="V1058" s="348" t="str">
        <f t="shared" si="141"/>
        <v/>
      </c>
      <c r="W1058" s="348" t="str">
        <f t="shared" si="142"/>
        <v/>
      </c>
      <c r="X1058" s="348" t="str">
        <f t="shared" si="143"/>
        <v/>
      </c>
    </row>
    <row r="1059" spans="1:24" x14ac:dyDescent="0.2">
      <c r="A1059" s="407">
        <v>1051</v>
      </c>
      <c r="B1059" s="438"/>
      <c r="C1059" s="438"/>
      <c r="D1059" s="438"/>
      <c r="E1059" s="437"/>
      <c r="F1059" s="438"/>
      <c r="G1059" s="438"/>
      <c r="H1059" s="438"/>
      <c r="I1059" s="438"/>
      <c r="J1059" s="11"/>
      <c r="Q1059" s="348" t="str">
        <f t="shared" si="136"/>
        <v/>
      </c>
      <c r="R1059" s="348" t="str">
        <f t="shared" si="137"/>
        <v/>
      </c>
      <c r="S1059" s="348" t="str">
        <f t="shared" si="138"/>
        <v/>
      </c>
      <c r="T1059" s="348" t="str">
        <f t="shared" si="139"/>
        <v/>
      </c>
      <c r="U1059" s="348" t="str">
        <f t="shared" si="140"/>
        <v/>
      </c>
      <c r="V1059" s="348" t="str">
        <f t="shared" si="141"/>
        <v/>
      </c>
      <c r="W1059" s="348" t="str">
        <f t="shared" si="142"/>
        <v/>
      </c>
      <c r="X1059" s="348" t="str">
        <f t="shared" si="143"/>
        <v/>
      </c>
    </row>
    <row r="1060" spans="1:24" x14ac:dyDescent="0.2">
      <c r="A1060" s="407">
        <v>1052</v>
      </c>
      <c r="B1060" s="438"/>
      <c r="C1060" s="438"/>
      <c r="D1060" s="438"/>
      <c r="E1060" s="438"/>
      <c r="F1060" s="438"/>
      <c r="G1060" s="438"/>
      <c r="H1060" s="438"/>
      <c r="I1060" s="438"/>
      <c r="J1060" s="11"/>
      <c r="Q1060" s="348" t="str">
        <f t="shared" si="136"/>
        <v/>
      </c>
      <c r="R1060" s="348" t="str">
        <f t="shared" si="137"/>
        <v/>
      </c>
      <c r="S1060" s="348" t="str">
        <f t="shared" si="138"/>
        <v/>
      </c>
      <c r="T1060" s="348" t="str">
        <f t="shared" si="139"/>
        <v/>
      </c>
      <c r="U1060" s="348" t="str">
        <f t="shared" si="140"/>
        <v/>
      </c>
      <c r="V1060" s="348" t="str">
        <f t="shared" si="141"/>
        <v/>
      </c>
      <c r="W1060" s="348" t="str">
        <f t="shared" si="142"/>
        <v/>
      </c>
      <c r="X1060" s="348" t="str">
        <f t="shared" si="143"/>
        <v/>
      </c>
    </row>
    <row r="1061" spans="1:24" x14ac:dyDescent="0.2">
      <c r="A1061" s="407">
        <v>1053</v>
      </c>
      <c r="B1061" s="438"/>
      <c r="C1061" s="438"/>
      <c r="D1061" s="438"/>
      <c r="E1061" s="438"/>
      <c r="F1061" s="438"/>
      <c r="G1061" s="438"/>
      <c r="H1061" s="438"/>
      <c r="I1061" s="438"/>
      <c r="J1061" s="11"/>
      <c r="Q1061" s="348" t="str">
        <f t="shared" si="136"/>
        <v/>
      </c>
      <c r="R1061" s="348" t="str">
        <f t="shared" si="137"/>
        <v/>
      </c>
      <c r="S1061" s="348" t="str">
        <f t="shared" si="138"/>
        <v/>
      </c>
      <c r="T1061" s="348" t="str">
        <f t="shared" si="139"/>
        <v/>
      </c>
      <c r="U1061" s="348" t="str">
        <f t="shared" si="140"/>
        <v/>
      </c>
      <c r="V1061" s="348" t="str">
        <f t="shared" si="141"/>
        <v/>
      </c>
      <c r="W1061" s="348" t="str">
        <f t="shared" si="142"/>
        <v/>
      </c>
      <c r="X1061" s="348" t="str">
        <f t="shared" si="143"/>
        <v/>
      </c>
    </row>
    <row r="1062" spans="1:24" x14ac:dyDescent="0.2">
      <c r="A1062" s="407">
        <v>1054</v>
      </c>
      <c r="B1062" s="437"/>
      <c r="C1062" s="438"/>
      <c r="D1062" s="438"/>
      <c r="E1062" s="438"/>
      <c r="F1062" s="438"/>
      <c r="G1062" s="438"/>
      <c r="H1062" s="438"/>
      <c r="I1062" s="438"/>
      <c r="J1062" s="11"/>
      <c r="Q1062" s="348" t="str">
        <f t="shared" si="136"/>
        <v/>
      </c>
      <c r="R1062" s="348" t="str">
        <f t="shared" si="137"/>
        <v/>
      </c>
      <c r="S1062" s="348" t="str">
        <f t="shared" si="138"/>
        <v/>
      </c>
      <c r="T1062" s="348" t="str">
        <f t="shared" si="139"/>
        <v/>
      </c>
      <c r="U1062" s="348" t="str">
        <f t="shared" si="140"/>
        <v/>
      </c>
      <c r="V1062" s="348" t="str">
        <f t="shared" si="141"/>
        <v/>
      </c>
      <c r="W1062" s="348" t="str">
        <f t="shared" si="142"/>
        <v/>
      </c>
      <c r="X1062" s="348" t="str">
        <f t="shared" si="143"/>
        <v/>
      </c>
    </row>
    <row r="1063" spans="1:24" x14ac:dyDescent="0.2">
      <c r="A1063" s="407">
        <v>1055</v>
      </c>
      <c r="B1063" s="438"/>
      <c r="C1063" s="438"/>
      <c r="D1063" s="438"/>
      <c r="E1063" s="438"/>
      <c r="F1063" s="438"/>
      <c r="G1063" s="438"/>
      <c r="H1063" s="438"/>
      <c r="I1063" s="438"/>
      <c r="J1063" s="11"/>
      <c r="Q1063" s="348" t="str">
        <f t="shared" si="136"/>
        <v/>
      </c>
      <c r="R1063" s="348" t="str">
        <f t="shared" si="137"/>
        <v/>
      </c>
      <c r="S1063" s="348" t="str">
        <f t="shared" si="138"/>
        <v/>
      </c>
      <c r="T1063" s="348" t="str">
        <f t="shared" si="139"/>
        <v/>
      </c>
      <c r="U1063" s="348" t="str">
        <f t="shared" si="140"/>
        <v/>
      </c>
      <c r="V1063" s="348" t="str">
        <f t="shared" si="141"/>
        <v/>
      </c>
      <c r="W1063" s="348" t="str">
        <f t="shared" si="142"/>
        <v/>
      </c>
      <c r="X1063" s="348" t="str">
        <f t="shared" si="143"/>
        <v/>
      </c>
    </row>
    <row r="1064" spans="1:24" x14ac:dyDescent="0.2">
      <c r="A1064" s="407">
        <v>1056</v>
      </c>
      <c r="B1064" s="438"/>
      <c r="C1064" s="438"/>
      <c r="D1064" s="438"/>
      <c r="E1064" s="438"/>
      <c r="F1064" s="438"/>
      <c r="G1064" s="438"/>
      <c r="H1064" s="438"/>
      <c r="I1064" s="438"/>
      <c r="J1064" s="11"/>
      <c r="Q1064" s="348" t="str">
        <f t="shared" si="136"/>
        <v/>
      </c>
      <c r="R1064" s="348" t="str">
        <f t="shared" si="137"/>
        <v/>
      </c>
      <c r="S1064" s="348" t="str">
        <f t="shared" si="138"/>
        <v/>
      </c>
      <c r="T1064" s="348" t="str">
        <f t="shared" si="139"/>
        <v/>
      </c>
      <c r="U1064" s="348" t="str">
        <f t="shared" si="140"/>
        <v/>
      </c>
      <c r="V1064" s="348" t="str">
        <f t="shared" si="141"/>
        <v/>
      </c>
      <c r="W1064" s="348" t="str">
        <f t="shared" si="142"/>
        <v/>
      </c>
      <c r="X1064" s="348" t="str">
        <f t="shared" si="143"/>
        <v/>
      </c>
    </row>
    <row r="1065" spans="1:24" x14ac:dyDescent="0.2">
      <c r="A1065" s="407">
        <v>1057</v>
      </c>
      <c r="B1065" s="438"/>
      <c r="C1065" s="438"/>
      <c r="D1065" s="438"/>
      <c r="E1065" s="438"/>
      <c r="F1065" s="438"/>
      <c r="G1065" s="438"/>
      <c r="H1065" s="438"/>
      <c r="I1065" s="438"/>
      <c r="J1065" s="11"/>
      <c r="Q1065" s="348" t="str">
        <f t="shared" si="136"/>
        <v/>
      </c>
      <c r="R1065" s="348" t="str">
        <f t="shared" si="137"/>
        <v/>
      </c>
      <c r="S1065" s="348" t="str">
        <f t="shared" si="138"/>
        <v/>
      </c>
      <c r="T1065" s="348" t="str">
        <f t="shared" si="139"/>
        <v/>
      </c>
      <c r="U1065" s="348" t="str">
        <f t="shared" si="140"/>
        <v/>
      </c>
      <c r="V1065" s="348" t="str">
        <f t="shared" si="141"/>
        <v/>
      </c>
      <c r="W1065" s="348" t="str">
        <f t="shared" si="142"/>
        <v/>
      </c>
      <c r="X1065" s="348" t="str">
        <f t="shared" si="143"/>
        <v/>
      </c>
    </row>
    <row r="1066" spans="1:24" x14ac:dyDescent="0.2">
      <c r="A1066" s="407">
        <v>1058</v>
      </c>
      <c r="B1066" s="438"/>
      <c r="C1066" s="438"/>
      <c r="D1066" s="438"/>
      <c r="E1066" s="438"/>
      <c r="F1066" s="438"/>
      <c r="G1066" s="438"/>
      <c r="H1066" s="438"/>
      <c r="I1066" s="438"/>
      <c r="J1066" s="11"/>
      <c r="Q1066" s="348" t="str">
        <f t="shared" si="136"/>
        <v/>
      </c>
      <c r="R1066" s="348" t="str">
        <f t="shared" si="137"/>
        <v/>
      </c>
      <c r="S1066" s="348" t="str">
        <f t="shared" si="138"/>
        <v/>
      </c>
      <c r="T1066" s="348" t="str">
        <f t="shared" si="139"/>
        <v/>
      </c>
      <c r="U1066" s="348" t="str">
        <f t="shared" si="140"/>
        <v/>
      </c>
      <c r="V1066" s="348" t="str">
        <f t="shared" si="141"/>
        <v/>
      </c>
      <c r="W1066" s="348" t="str">
        <f t="shared" si="142"/>
        <v/>
      </c>
      <c r="X1066" s="348" t="str">
        <f t="shared" si="143"/>
        <v/>
      </c>
    </row>
    <row r="1067" spans="1:24" x14ac:dyDescent="0.2">
      <c r="A1067" s="407">
        <v>1059</v>
      </c>
      <c r="B1067" s="438"/>
      <c r="C1067" s="438"/>
      <c r="D1067" s="438"/>
      <c r="E1067" s="438"/>
      <c r="F1067" s="438"/>
      <c r="G1067" s="438"/>
      <c r="H1067" s="438"/>
      <c r="I1067" s="438"/>
      <c r="J1067" s="11"/>
      <c r="Q1067" s="348" t="str">
        <f t="shared" si="136"/>
        <v/>
      </c>
      <c r="R1067" s="348" t="str">
        <f t="shared" si="137"/>
        <v/>
      </c>
      <c r="S1067" s="348" t="str">
        <f t="shared" si="138"/>
        <v/>
      </c>
      <c r="T1067" s="348" t="str">
        <f t="shared" si="139"/>
        <v/>
      </c>
      <c r="U1067" s="348" t="str">
        <f t="shared" si="140"/>
        <v/>
      </c>
      <c r="V1067" s="348" t="str">
        <f t="shared" si="141"/>
        <v/>
      </c>
      <c r="W1067" s="348" t="str">
        <f t="shared" si="142"/>
        <v/>
      </c>
      <c r="X1067" s="348" t="str">
        <f t="shared" si="143"/>
        <v/>
      </c>
    </row>
    <row r="1068" spans="1:24" x14ac:dyDescent="0.2">
      <c r="A1068" s="407">
        <v>1060</v>
      </c>
      <c r="B1068" s="438"/>
      <c r="C1068" s="438"/>
      <c r="D1068" s="438"/>
      <c r="E1068" s="438"/>
      <c r="F1068" s="438"/>
      <c r="G1068" s="438"/>
      <c r="H1068" s="438"/>
      <c r="I1068" s="438"/>
      <c r="J1068" s="11"/>
      <c r="Q1068" s="348" t="str">
        <f t="shared" si="136"/>
        <v/>
      </c>
      <c r="R1068" s="348" t="str">
        <f t="shared" si="137"/>
        <v/>
      </c>
      <c r="S1068" s="348" t="str">
        <f t="shared" si="138"/>
        <v/>
      </c>
      <c r="T1068" s="348" t="str">
        <f t="shared" si="139"/>
        <v/>
      </c>
      <c r="U1068" s="348" t="str">
        <f t="shared" si="140"/>
        <v/>
      </c>
      <c r="V1068" s="348" t="str">
        <f t="shared" si="141"/>
        <v/>
      </c>
      <c r="W1068" s="348" t="str">
        <f t="shared" si="142"/>
        <v/>
      </c>
      <c r="X1068" s="348" t="str">
        <f t="shared" si="143"/>
        <v/>
      </c>
    </row>
    <row r="1069" spans="1:24" x14ac:dyDescent="0.2">
      <c r="A1069" s="407">
        <v>1061</v>
      </c>
      <c r="B1069" s="438"/>
      <c r="C1069" s="438"/>
      <c r="D1069" s="438"/>
      <c r="E1069" s="438"/>
      <c r="F1069" s="438"/>
      <c r="G1069" s="438"/>
      <c r="H1069" s="438"/>
      <c r="I1069" s="438"/>
      <c r="J1069" s="11"/>
      <c r="Q1069" s="348" t="str">
        <f t="shared" si="136"/>
        <v/>
      </c>
      <c r="R1069" s="348" t="str">
        <f t="shared" si="137"/>
        <v/>
      </c>
      <c r="S1069" s="348" t="str">
        <f t="shared" si="138"/>
        <v/>
      </c>
      <c r="T1069" s="348" t="str">
        <f t="shared" si="139"/>
        <v/>
      </c>
      <c r="U1069" s="348" t="str">
        <f t="shared" si="140"/>
        <v/>
      </c>
      <c r="V1069" s="348" t="str">
        <f t="shared" si="141"/>
        <v/>
      </c>
      <c r="W1069" s="348" t="str">
        <f t="shared" si="142"/>
        <v/>
      </c>
      <c r="X1069" s="348" t="str">
        <f t="shared" si="143"/>
        <v/>
      </c>
    </row>
    <row r="1070" spans="1:24" x14ac:dyDescent="0.2">
      <c r="A1070" s="407">
        <v>1062</v>
      </c>
      <c r="B1070" s="438"/>
      <c r="C1070" s="438"/>
      <c r="D1070" s="438"/>
      <c r="E1070" s="438"/>
      <c r="F1070" s="438"/>
      <c r="G1070" s="437"/>
      <c r="H1070" s="438"/>
      <c r="I1070" s="438"/>
      <c r="J1070" s="11"/>
      <c r="Q1070" s="348" t="str">
        <f t="shared" si="136"/>
        <v/>
      </c>
      <c r="R1070" s="348" t="str">
        <f t="shared" si="137"/>
        <v/>
      </c>
      <c r="S1070" s="348" t="str">
        <f t="shared" si="138"/>
        <v/>
      </c>
      <c r="T1070" s="348" t="str">
        <f t="shared" si="139"/>
        <v/>
      </c>
      <c r="U1070" s="348" t="str">
        <f t="shared" si="140"/>
        <v/>
      </c>
      <c r="V1070" s="348" t="str">
        <f t="shared" si="141"/>
        <v/>
      </c>
      <c r="W1070" s="348" t="str">
        <f t="shared" si="142"/>
        <v/>
      </c>
      <c r="X1070" s="348" t="str">
        <f t="shared" si="143"/>
        <v/>
      </c>
    </row>
    <row r="1071" spans="1:24" x14ac:dyDescent="0.2">
      <c r="A1071" s="407">
        <v>1063</v>
      </c>
      <c r="B1071" s="438"/>
      <c r="C1071" s="438"/>
      <c r="D1071" s="438"/>
      <c r="E1071" s="438"/>
      <c r="F1071" s="438"/>
      <c r="G1071" s="438"/>
      <c r="H1071" s="438"/>
      <c r="I1071" s="438"/>
      <c r="J1071" s="11"/>
      <c r="Q1071" s="348" t="str">
        <f t="shared" si="136"/>
        <v/>
      </c>
      <c r="R1071" s="348" t="str">
        <f t="shared" si="137"/>
        <v/>
      </c>
      <c r="S1071" s="348" t="str">
        <f t="shared" si="138"/>
        <v/>
      </c>
      <c r="T1071" s="348" t="str">
        <f t="shared" si="139"/>
        <v/>
      </c>
      <c r="U1071" s="348" t="str">
        <f t="shared" si="140"/>
        <v/>
      </c>
      <c r="V1071" s="348" t="str">
        <f t="shared" si="141"/>
        <v/>
      </c>
      <c r="W1071" s="348" t="str">
        <f t="shared" si="142"/>
        <v/>
      </c>
      <c r="X1071" s="348" t="str">
        <f t="shared" si="143"/>
        <v/>
      </c>
    </row>
    <row r="1072" spans="1:24" x14ac:dyDescent="0.2">
      <c r="A1072" s="407">
        <v>1064</v>
      </c>
      <c r="B1072" s="437"/>
      <c r="C1072" s="437"/>
      <c r="D1072" s="438"/>
      <c r="E1072" s="438"/>
      <c r="F1072" s="437"/>
      <c r="G1072" s="438"/>
      <c r="H1072" s="437"/>
      <c r="I1072" s="438"/>
      <c r="J1072" s="11"/>
      <c r="Q1072" s="348" t="str">
        <f t="shared" si="136"/>
        <v/>
      </c>
      <c r="R1072" s="348" t="str">
        <f t="shared" si="137"/>
        <v/>
      </c>
      <c r="S1072" s="348" t="str">
        <f t="shared" si="138"/>
        <v/>
      </c>
      <c r="T1072" s="348" t="str">
        <f t="shared" si="139"/>
        <v/>
      </c>
      <c r="U1072" s="348" t="str">
        <f t="shared" si="140"/>
        <v/>
      </c>
      <c r="V1072" s="348" t="str">
        <f t="shared" si="141"/>
        <v/>
      </c>
      <c r="W1072" s="348" t="str">
        <f t="shared" si="142"/>
        <v/>
      </c>
      <c r="X1072" s="348" t="str">
        <f t="shared" si="143"/>
        <v/>
      </c>
    </row>
    <row r="1073" spans="1:24" x14ac:dyDescent="0.2">
      <c r="A1073" s="407">
        <v>1065</v>
      </c>
      <c r="B1073" s="438"/>
      <c r="C1073" s="438"/>
      <c r="D1073" s="438"/>
      <c r="E1073" s="438"/>
      <c r="F1073" s="438"/>
      <c r="G1073" s="438"/>
      <c r="H1073" s="438"/>
      <c r="I1073" s="438"/>
      <c r="J1073" s="11"/>
      <c r="Q1073" s="348" t="str">
        <f t="shared" si="136"/>
        <v/>
      </c>
      <c r="R1073" s="348" t="str">
        <f t="shared" si="137"/>
        <v/>
      </c>
      <c r="S1073" s="348" t="str">
        <f t="shared" si="138"/>
        <v/>
      </c>
      <c r="T1073" s="348" t="str">
        <f t="shared" si="139"/>
        <v/>
      </c>
      <c r="U1073" s="348" t="str">
        <f t="shared" si="140"/>
        <v/>
      </c>
      <c r="V1073" s="348" t="str">
        <f t="shared" si="141"/>
        <v/>
      </c>
      <c r="W1073" s="348" t="str">
        <f t="shared" si="142"/>
        <v/>
      </c>
      <c r="X1073" s="348" t="str">
        <f t="shared" si="143"/>
        <v/>
      </c>
    </row>
    <row r="1074" spans="1:24" x14ac:dyDescent="0.2">
      <c r="A1074" s="407">
        <v>1066</v>
      </c>
      <c r="B1074" s="438"/>
      <c r="C1074" s="438"/>
      <c r="D1074" s="438"/>
      <c r="E1074" s="438"/>
      <c r="F1074" s="438"/>
      <c r="G1074" s="438"/>
      <c r="H1074" s="438"/>
      <c r="I1074" s="438"/>
      <c r="J1074" s="11"/>
      <c r="Q1074" s="348" t="str">
        <f t="shared" si="136"/>
        <v/>
      </c>
      <c r="R1074" s="348" t="str">
        <f t="shared" si="137"/>
        <v/>
      </c>
      <c r="S1074" s="348" t="str">
        <f t="shared" si="138"/>
        <v/>
      </c>
      <c r="T1074" s="348" t="str">
        <f t="shared" si="139"/>
        <v/>
      </c>
      <c r="U1074" s="348" t="str">
        <f t="shared" si="140"/>
        <v/>
      </c>
      <c r="V1074" s="348" t="str">
        <f t="shared" si="141"/>
        <v/>
      </c>
      <c r="W1074" s="348" t="str">
        <f t="shared" si="142"/>
        <v/>
      </c>
      <c r="X1074" s="348" t="str">
        <f t="shared" si="143"/>
        <v/>
      </c>
    </row>
    <row r="1075" spans="1:24" x14ac:dyDescent="0.2">
      <c r="A1075" s="407">
        <v>1067</v>
      </c>
      <c r="B1075" s="438"/>
      <c r="C1075" s="438"/>
      <c r="D1075" s="438"/>
      <c r="E1075" s="438"/>
      <c r="F1075" s="438"/>
      <c r="G1075" s="438"/>
      <c r="H1075" s="438"/>
      <c r="I1075" s="438"/>
      <c r="J1075" s="11"/>
      <c r="Q1075" s="348" t="str">
        <f t="shared" si="136"/>
        <v/>
      </c>
      <c r="R1075" s="348" t="str">
        <f t="shared" si="137"/>
        <v/>
      </c>
      <c r="S1075" s="348" t="str">
        <f t="shared" si="138"/>
        <v/>
      </c>
      <c r="T1075" s="348" t="str">
        <f t="shared" si="139"/>
        <v/>
      </c>
      <c r="U1075" s="348" t="str">
        <f t="shared" si="140"/>
        <v/>
      </c>
      <c r="V1075" s="348" t="str">
        <f t="shared" si="141"/>
        <v/>
      </c>
      <c r="W1075" s="348" t="str">
        <f t="shared" si="142"/>
        <v/>
      </c>
      <c r="X1075" s="348" t="str">
        <f t="shared" si="143"/>
        <v/>
      </c>
    </row>
    <row r="1076" spans="1:24" x14ac:dyDescent="0.2">
      <c r="A1076" s="407">
        <v>1068</v>
      </c>
      <c r="B1076" s="438"/>
      <c r="C1076" s="438"/>
      <c r="D1076" s="438"/>
      <c r="E1076" s="438"/>
      <c r="F1076" s="438"/>
      <c r="G1076" s="438"/>
      <c r="H1076" s="438"/>
      <c r="I1076" s="438"/>
      <c r="J1076" s="11"/>
      <c r="Q1076" s="348" t="str">
        <f t="shared" si="136"/>
        <v/>
      </c>
      <c r="R1076" s="348" t="str">
        <f t="shared" si="137"/>
        <v/>
      </c>
      <c r="S1076" s="348" t="str">
        <f t="shared" si="138"/>
        <v/>
      </c>
      <c r="T1076" s="348" t="str">
        <f t="shared" si="139"/>
        <v/>
      </c>
      <c r="U1076" s="348" t="str">
        <f t="shared" si="140"/>
        <v/>
      </c>
      <c r="V1076" s="348" t="str">
        <f t="shared" si="141"/>
        <v/>
      </c>
      <c r="W1076" s="348" t="str">
        <f t="shared" si="142"/>
        <v/>
      </c>
      <c r="X1076" s="348" t="str">
        <f t="shared" si="143"/>
        <v/>
      </c>
    </row>
    <row r="1077" spans="1:24" x14ac:dyDescent="0.2">
      <c r="A1077" s="407">
        <v>1069</v>
      </c>
      <c r="B1077" s="438"/>
      <c r="C1077" s="438"/>
      <c r="D1077" s="438"/>
      <c r="E1077" s="437"/>
      <c r="F1077" s="438"/>
      <c r="G1077" s="438"/>
      <c r="H1077" s="438"/>
      <c r="I1077" s="438"/>
      <c r="J1077" s="11"/>
      <c r="Q1077" s="348" t="str">
        <f t="shared" si="136"/>
        <v/>
      </c>
      <c r="R1077" s="348" t="str">
        <f t="shared" si="137"/>
        <v/>
      </c>
      <c r="S1077" s="348" t="str">
        <f t="shared" si="138"/>
        <v/>
      </c>
      <c r="T1077" s="348" t="str">
        <f t="shared" si="139"/>
        <v/>
      </c>
      <c r="U1077" s="348" t="str">
        <f t="shared" si="140"/>
        <v/>
      </c>
      <c r="V1077" s="348" t="str">
        <f t="shared" si="141"/>
        <v/>
      </c>
      <c r="W1077" s="348" t="str">
        <f t="shared" si="142"/>
        <v/>
      </c>
      <c r="X1077" s="348" t="str">
        <f t="shared" si="143"/>
        <v/>
      </c>
    </row>
    <row r="1078" spans="1:24" x14ac:dyDescent="0.2">
      <c r="A1078" s="407">
        <v>1070</v>
      </c>
      <c r="B1078" s="438"/>
      <c r="C1078" s="438"/>
      <c r="D1078" s="438"/>
      <c r="E1078" s="438"/>
      <c r="F1078" s="438"/>
      <c r="G1078" s="438"/>
      <c r="H1078" s="438"/>
      <c r="I1078" s="438"/>
      <c r="J1078" s="11"/>
      <c r="Q1078" s="348" t="str">
        <f t="shared" si="136"/>
        <v/>
      </c>
      <c r="R1078" s="348" t="str">
        <f t="shared" si="137"/>
        <v/>
      </c>
      <c r="S1078" s="348" t="str">
        <f t="shared" si="138"/>
        <v/>
      </c>
      <c r="T1078" s="348" t="str">
        <f t="shared" si="139"/>
        <v/>
      </c>
      <c r="U1078" s="348" t="str">
        <f t="shared" si="140"/>
        <v/>
      </c>
      <c r="V1078" s="348" t="str">
        <f t="shared" si="141"/>
        <v/>
      </c>
      <c r="W1078" s="348" t="str">
        <f t="shared" si="142"/>
        <v/>
      </c>
      <c r="X1078" s="348" t="str">
        <f t="shared" si="143"/>
        <v/>
      </c>
    </row>
    <row r="1079" spans="1:24" x14ac:dyDescent="0.2">
      <c r="A1079" s="407">
        <v>1071</v>
      </c>
      <c r="B1079" s="438"/>
      <c r="C1079" s="438"/>
      <c r="D1079" s="438"/>
      <c r="E1079" s="438"/>
      <c r="F1079" s="438"/>
      <c r="G1079" s="438"/>
      <c r="H1079" s="438"/>
      <c r="I1079" s="438"/>
      <c r="J1079" s="11"/>
      <c r="Q1079" s="348" t="str">
        <f t="shared" si="136"/>
        <v/>
      </c>
      <c r="R1079" s="348" t="str">
        <f t="shared" si="137"/>
        <v/>
      </c>
      <c r="S1079" s="348" t="str">
        <f t="shared" si="138"/>
        <v/>
      </c>
      <c r="T1079" s="348" t="str">
        <f t="shared" si="139"/>
        <v/>
      </c>
      <c r="U1079" s="348" t="str">
        <f t="shared" si="140"/>
        <v/>
      </c>
      <c r="V1079" s="348" t="str">
        <f t="shared" si="141"/>
        <v/>
      </c>
      <c r="W1079" s="348" t="str">
        <f t="shared" si="142"/>
        <v/>
      </c>
      <c r="X1079" s="348" t="str">
        <f t="shared" si="143"/>
        <v/>
      </c>
    </row>
    <row r="1080" spans="1:24" x14ac:dyDescent="0.2">
      <c r="A1080" s="407">
        <v>1072</v>
      </c>
      <c r="B1080" s="438"/>
      <c r="C1080" s="438"/>
      <c r="D1080" s="438"/>
      <c r="E1080" s="438"/>
      <c r="F1080" s="438"/>
      <c r="G1080" s="438"/>
      <c r="H1080" s="438"/>
      <c r="I1080" s="438"/>
      <c r="J1080" s="11"/>
      <c r="Q1080" s="348" t="str">
        <f t="shared" si="136"/>
        <v/>
      </c>
      <c r="R1080" s="348" t="str">
        <f t="shared" si="137"/>
        <v/>
      </c>
      <c r="S1080" s="348" t="str">
        <f t="shared" si="138"/>
        <v/>
      </c>
      <c r="T1080" s="348" t="str">
        <f t="shared" si="139"/>
        <v/>
      </c>
      <c r="U1080" s="348" t="str">
        <f t="shared" si="140"/>
        <v/>
      </c>
      <c r="V1080" s="348" t="str">
        <f t="shared" si="141"/>
        <v/>
      </c>
      <c r="W1080" s="348" t="str">
        <f t="shared" si="142"/>
        <v/>
      </c>
      <c r="X1080" s="348" t="str">
        <f t="shared" si="143"/>
        <v/>
      </c>
    </row>
    <row r="1081" spans="1:24" x14ac:dyDescent="0.2">
      <c r="A1081" s="407">
        <v>1073</v>
      </c>
      <c r="B1081" s="438"/>
      <c r="C1081" s="438"/>
      <c r="D1081" s="438"/>
      <c r="E1081" s="438"/>
      <c r="F1081" s="438"/>
      <c r="G1081" s="438"/>
      <c r="H1081" s="438"/>
      <c r="I1081" s="438"/>
      <c r="J1081" s="11"/>
      <c r="Q1081" s="348" t="str">
        <f t="shared" si="136"/>
        <v/>
      </c>
      <c r="R1081" s="348" t="str">
        <f t="shared" si="137"/>
        <v/>
      </c>
      <c r="S1081" s="348" t="str">
        <f t="shared" si="138"/>
        <v/>
      </c>
      <c r="T1081" s="348" t="str">
        <f t="shared" si="139"/>
        <v/>
      </c>
      <c r="U1081" s="348" t="str">
        <f t="shared" si="140"/>
        <v/>
      </c>
      <c r="V1081" s="348" t="str">
        <f t="shared" si="141"/>
        <v/>
      </c>
      <c r="W1081" s="348" t="str">
        <f t="shared" si="142"/>
        <v/>
      </c>
      <c r="X1081" s="348" t="str">
        <f t="shared" si="143"/>
        <v/>
      </c>
    </row>
    <row r="1082" spans="1:24" x14ac:dyDescent="0.2">
      <c r="A1082" s="407">
        <v>1074</v>
      </c>
      <c r="B1082" s="438"/>
      <c r="C1082" s="438"/>
      <c r="D1082" s="438"/>
      <c r="E1082" s="438"/>
      <c r="F1082" s="438"/>
      <c r="G1082" s="438"/>
      <c r="H1082" s="438"/>
      <c r="I1082" s="438"/>
      <c r="J1082" s="11"/>
      <c r="Q1082" s="348" t="str">
        <f t="shared" si="136"/>
        <v/>
      </c>
      <c r="R1082" s="348" t="str">
        <f t="shared" si="137"/>
        <v/>
      </c>
      <c r="S1082" s="348" t="str">
        <f t="shared" si="138"/>
        <v/>
      </c>
      <c r="T1082" s="348" t="str">
        <f t="shared" si="139"/>
        <v/>
      </c>
      <c r="U1082" s="348" t="str">
        <f t="shared" si="140"/>
        <v/>
      </c>
      <c r="V1082" s="348" t="str">
        <f t="shared" si="141"/>
        <v/>
      </c>
      <c r="W1082" s="348" t="str">
        <f t="shared" si="142"/>
        <v/>
      </c>
      <c r="X1082" s="348" t="str">
        <f t="shared" si="143"/>
        <v/>
      </c>
    </row>
    <row r="1083" spans="1:24" x14ac:dyDescent="0.2">
      <c r="A1083" s="407">
        <v>1075</v>
      </c>
      <c r="B1083" s="438"/>
      <c r="C1083" s="438"/>
      <c r="D1083" s="438"/>
      <c r="E1083" s="438"/>
      <c r="F1083" s="438"/>
      <c r="G1083" s="438"/>
      <c r="H1083" s="438"/>
      <c r="I1083" s="438"/>
      <c r="J1083" s="11"/>
      <c r="Q1083" s="348" t="str">
        <f t="shared" si="136"/>
        <v/>
      </c>
      <c r="R1083" s="348" t="str">
        <f t="shared" si="137"/>
        <v/>
      </c>
      <c r="S1083" s="348" t="str">
        <f t="shared" si="138"/>
        <v/>
      </c>
      <c r="T1083" s="348" t="str">
        <f t="shared" si="139"/>
        <v/>
      </c>
      <c r="U1083" s="348" t="str">
        <f t="shared" si="140"/>
        <v/>
      </c>
      <c r="V1083" s="348" t="str">
        <f t="shared" si="141"/>
        <v/>
      </c>
      <c r="W1083" s="348" t="str">
        <f t="shared" si="142"/>
        <v/>
      </c>
      <c r="X1083" s="348" t="str">
        <f t="shared" si="143"/>
        <v/>
      </c>
    </row>
    <row r="1084" spans="1:24" x14ac:dyDescent="0.2">
      <c r="A1084" s="407">
        <v>1076</v>
      </c>
      <c r="B1084" s="438"/>
      <c r="C1084" s="438"/>
      <c r="D1084" s="438"/>
      <c r="E1084" s="438"/>
      <c r="F1084" s="438"/>
      <c r="G1084" s="438"/>
      <c r="H1084" s="438"/>
      <c r="I1084" s="438"/>
      <c r="J1084" s="11"/>
      <c r="Q1084" s="348" t="str">
        <f t="shared" si="136"/>
        <v/>
      </c>
      <c r="R1084" s="348" t="str">
        <f t="shared" si="137"/>
        <v/>
      </c>
      <c r="S1084" s="348" t="str">
        <f t="shared" si="138"/>
        <v/>
      </c>
      <c r="T1084" s="348" t="str">
        <f t="shared" si="139"/>
        <v/>
      </c>
      <c r="U1084" s="348" t="str">
        <f t="shared" si="140"/>
        <v/>
      </c>
      <c r="V1084" s="348" t="str">
        <f t="shared" si="141"/>
        <v/>
      </c>
      <c r="W1084" s="348" t="str">
        <f t="shared" si="142"/>
        <v/>
      </c>
      <c r="X1084" s="348" t="str">
        <f t="shared" si="143"/>
        <v/>
      </c>
    </row>
    <row r="1085" spans="1:24" x14ac:dyDescent="0.2">
      <c r="A1085" s="407">
        <v>1077</v>
      </c>
      <c r="B1085" s="438"/>
      <c r="C1085" s="438"/>
      <c r="D1085" s="438"/>
      <c r="E1085" s="438"/>
      <c r="F1085" s="438"/>
      <c r="G1085" s="438"/>
      <c r="H1085" s="438"/>
      <c r="I1085" s="438"/>
      <c r="J1085" s="11"/>
      <c r="Q1085" s="348" t="str">
        <f t="shared" si="136"/>
        <v/>
      </c>
      <c r="R1085" s="348" t="str">
        <f t="shared" si="137"/>
        <v/>
      </c>
      <c r="S1085" s="348" t="str">
        <f t="shared" si="138"/>
        <v/>
      </c>
      <c r="T1085" s="348" t="str">
        <f t="shared" si="139"/>
        <v/>
      </c>
      <c r="U1085" s="348" t="str">
        <f t="shared" si="140"/>
        <v/>
      </c>
      <c r="V1085" s="348" t="str">
        <f t="shared" si="141"/>
        <v/>
      </c>
      <c r="W1085" s="348" t="str">
        <f t="shared" si="142"/>
        <v/>
      </c>
      <c r="X1085" s="348" t="str">
        <f t="shared" si="143"/>
        <v/>
      </c>
    </row>
    <row r="1086" spans="1:24" x14ac:dyDescent="0.2">
      <c r="A1086" s="407">
        <v>1078</v>
      </c>
      <c r="B1086" s="437"/>
      <c r="C1086" s="438"/>
      <c r="D1086" s="438"/>
      <c r="E1086" s="438"/>
      <c r="F1086" s="438"/>
      <c r="G1086" s="438"/>
      <c r="H1086" s="438"/>
      <c r="I1086" s="438"/>
      <c r="J1086" s="11"/>
      <c r="Q1086" s="348" t="str">
        <f t="shared" si="136"/>
        <v/>
      </c>
      <c r="R1086" s="348" t="str">
        <f t="shared" si="137"/>
        <v/>
      </c>
      <c r="S1086" s="348" t="str">
        <f t="shared" si="138"/>
        <v/>
      </c>
      <c r="T1086" s="348" t="str">
        <f t="shared" si="139"/>
        <v/>
      </c>
      <c r="U1086" s="348" t="str">
        <f t="shared" si="140"/>
        <v/>
      </c>
      <c r="V1086" s="348" t="str">
        <f t="shared" si="141"/>
        <v/>
      </c>
      <c r="W1086" s="348" t="str">
        <f t="shared" si="142"/>
        <v/>
      </c>
      <c r="X1086" s="348" t="str">
        <f t="shared" si="143"/>
        <v/>
      </c>
    </row>
    <row r="1087" spans="1:24" x14ac:dyDescent="0.2">
      <c r="A1087" s="407">
        <v>1079</v>
      </c>
      <c r="B1087" s="438"/>
      <c r="C1087" s="438"/>
      <c r="D1087" s="438"/>
      <c r="E1087" s="438"/>
      <c r="F1087" s="438"/>
      <c r="G1087" s="438"/>
      <c r="H1087" s="438"/>
      <c r="I1087" s="438"/>
      <c r="J1087" s="11"/>
      <c r="Q1087" s="348" t="str">
        <f t="shared" si="136"/>
        <v/>
      </c>
      <c r="R1087" s="348" t="str">
        <f t="shared" si="137"/>
        <v/>
      </c>
      <c r="S1087" s="348" t="str">
        <f t="shared" si="138"/>
        <v/>
      </c>
      <c r="T1087" s="348" t="str">
        <f t="shared" si="139"/>
        <v/>
      </c>
      <c r="U1087" s="348" t="str">
        <f t="shared" si="140"/>
        <v/>
      </c>
      <c r="V1087" s="348" t="str">
        <f t="shared" si="141"/>
        <v/>
      </c>
      <c r="W1087" s="348" t="str">
        <f t="shared" si="142"/>
        <v/>
      </c>
      <c r="X1087" s="348" t="str">
        <f t="shared" si="143"/>
        <v/>
      </c>
    </row>
    <row r="1088" spans="1:24" x14ac:dyDescent="0.2">
      <c r="A1088" s="407">
        <v>1080</v>
      </c>
      <c r="B1088" s="438"/>
      <c r="C1088" s="438"/>
      <c r="D1088" s="438"/>
      <c r="E1088" s="438"/>
      <c r="F1088" s="438"/>
      <c r="G1088" s="438"/>
      <c r="H1088" s="438"/>
      <c r="I1088" s="438"/>
      <c r="J1088" s="11"/>
      <c r="Q1088" s="348" t="str">
        <f t="shared" si="136"/>
        <v/>
      </c>
      <c r="R1088" s="348" t="str">
        <f t="shared" si="137"/>
        <v/>
      </c>
      <c r="S1088" s="348" t="str">
        <f t="shared" si="138"/>
        <v/>
      </c>
      <c r="T1088" s="348" t="str">
        <f t="shared" si="139"/>
        <v/>
      </c>
      <c r="U1088" s="348" t="str">
        <f t="shared" si="140"/>
        <v/>
      </c>
      <c r="V1088" s="348" t="str">
        <f t="shared" si="141"/>
        <v/>
      </c>
      <c r="W1088" s="348" t="str">
        <f t="shared" si="142"/>
        <v/>
      </c>
      <c r="X1088" s="348" t="str">
        <f t="shared" si="143"/>
        <v/>
      </c>
    </row>
    <row r="1089" spans="1:24" x14ac:dyDescent="0.2">
      <c r="A1089" s="407">
        <v>1081</v>
      </c>
      <c r="B1089" s="438"/>
      <c r="C1089" s="438"/>
      <c r="D1089" s="438"/>
      <c r="E1089" s="438"/>
      <c r="F1089" s="438"/>
      <c r="G1089" s="438"/>
      <c r="H1089" s="438"/>
      <c r="I1089" s="438"/>
      <c r="J1089" s="11"/>
      <c r="Q1089" s="348" t="str">
        <f t="shared" si="136"/>
        <v/>
      </c>
      <c r="R1089" s="348" t="str">
        <f t="shared" si="137"/>
        <v/>
      </c>
      <c r="S1089" s="348" t="str">
        <f t="shared" si="138"/>
        <v/>
      </c>
      <c r="T1089" s="348" t="str">
        <f t="shared" si="139"/>
        <v/>
      </c>
      <c r="U1089" s="348" t="str">
        <f t="shared" si="140"/>
        <v/>
      </c>
      <c r="V1089" s="348" t="str">
        <f t="shared" si="141"/>
        <v/>
      </c>
      <c r="W1089" s="348" t="str">
        <f t="shared" si="142"/>
        <v/>
      </c>
      <c r="X1089" s="348" t="str">
        <f t="shared" si="143"/>
        <v/>
      </c>
    </row>
    <row r="1090" spans="1:24" x14ac:dyDescent="0.2">
      <c r="A1090" s="407">
        <v>1082</v>
      </c>
      <c r="B1090" s="438"/>
      <c r="C1090" s="438"/>
      <c r="D1090" s="438"/>
      <c r="E1090" s="438"/>
      <c r="F1090" s="438"/>
      <c r="G1090" s="438"/>
      <c r="H1090" s="438"/>
      <c r="I1090" s="438"/>
      <c r="J1090" s="11"/>
      <c r="Q1090" s="348" t="str">
        <f t="shared" si="136"/>
        <v/>
      </c>
      <c r="R1090" s="348" t="str">
        <f t="shared" si="137"/>
        <v/>
      </c>
      <c r="S1090" s="348" t="str">
        <f t="shared" si="138"/>
        <v/>
      </c>
      <c r="T1090" s="348" t="str">
        <f t="shared" si="139"/>
        <v/>
      </c>
      <c r="U1090" s="348" t="str">
        <f t="shared" si="140"/>
        <v/>
      </c>
      <c r="V1090" s="348" t="str">
        <f t="shared" si="141"/>
        <v/>
      </c>
      <c r="W1090" s="348" t="str">
        <f t="shared" si="142"/>
        <v/>
      </c>
      <c r="X1090" s="348" t="str">
        <f t="shared" si="143"/>
        <v/>
      </c>
    </row>
    <row r="1091" spans="1:24" x14ac:dyDescent="0.2">
      <c r="A1091" s="407">
        <v>1083</v>
      </c>
      <c r="B1091" s="438"/>
      <c r="C1091" s="438"/>
      <c r="D1091" s="438"/>
      <c r="E1091" s="438"/>
      <c r="F1091" s="438"/>
      <c r="G1091" s="438"/>
      <c r="H1091" s="438"/>
      <c r="I1091" s="438"/>
      <c r="J1091" s="11"/>
      <c r="Q1091" s="348" t="str">
        <f t="shared" si="136"/>
        <v/>
      </c>
      <c r="R1091" s="348" t="str">
        <f t="shared" si="137"/>
        <v/>
      </c>
      <c r="S1091" s="348" t="str">
        <f t="shared" si="138"/>
        <v/>
      </c>
      <c r="T1091" s="348" t="str">
        <f t="shared" si="139"/>
        <v/>
      </c>
      <c r="U1091" s="348" t="str">
        <f t="shared" si="140"/>
        <v/>
      </c>
      <c r="V1091" s="348" t="str">
        <f t="shared" si="141"/>
        <v/>
      </c>
      <c r="W1091" s="348" t="str">
        <f t="shared" si="142"/>
        <v/>
      </c>
      <c r="X1091" s="348" t="str">
        <f t="shared" si="143"/>
        <v/>
      </c>
    </row>
    <row r="1092" spans="1:24" x14ac:dyDescent="0.2">
      <c r="A1092" s="407">
        <v>1084</v>
      </c>
      <c r="B1092" s="438"/>
      <c r="C1092" s="438"/>
      <c r="D1092" s="438"/>
      <c r="E1092" s="438"/>
      <c r="F1092" s="438"/>
      <c r="G1092" s="438"/>
      <c r="H1092" s="438"/>
      <c r="I1092" s="438"/>
      <c r="J1092" s="11"/>
      <c r="Q1092" s="348" t="str">
        <f t="shared" si="136"/>
        <v/>
      </c>
      <c r="R1092" s="348" t="str">
        <f t="shared" si="137"/>
        <v/>
      </c>
      <c r="S1092" s="348" t="str">
        <f t="shared" si="138"/>
        <v/>
      </c>
      <c r="T1092" s="348" t="str">
        <f t="shared" si="139"/>
        <v/>
      </c>
      <c r="U1092" s="348" t="str">
        <f t="shared" si="140"/>
        <v/>
      </c>
      <c r="V1092" s="348" t="str">
        <f t="shared" si="141"/>
        <v/>
      </c>
      <c r="W1092" s="348" t="str">
        <f t="shared" si="142"/>
        <v/>
      </c>
      <c r="X1092" s="348" t="str">
        <f t="shared" si="143"/>
        <v/>
      </c>
    </row>
    <row r="1093" spans="1:24" x14ac:dyDescent="0.2">
      <c r="A1093" s="407">
        <v>1085</v>
      </c>
      <c r="B1093" s="438"/>
      <c r="C1093" s="438"/>
      <c r="D1093" s="438"/>
      <c r="E1093" s="438"/>
      <c r="F1093" s="438"/>
      <c r="G1093" s="438"/>
      <c r="H1093" s="438"/>
      <c r="I1093" s="438"/>
      <c r="J1093" s="11"/>
      <c r="Q1093" s="348" t="str">
        <f t="shared" si="136"/>
        <v/>
      </c>
      <c r="R1093" s="348" t="str">
        <f t="shared" si="137"/>
        <v/>
      </c>
      <c r="S1093" s="348" t="str">
        <f t="shared" si="138"/>
        <v/>
      </c>
      <c r="T1093" s="348" t="str">
        <f t="shared" si="139"/>
        <v/>
      </c>
      <c r="U1093" s="348" t="str">
        <f t="shared" si="140"/>
        <v/>
      </c>
      <c r="V1093" s="348" t="str">
        <f t="shared" si="141"/>
        <v/>
      </c>
      <c r="W1093" s="348" t="str">
        <f t="shared" si="142"/>
        <v/>
      </c>
      <c r="X1093" s="348" t="str">
        <f t="shared" si="143"/>
        <v/>
      </c>
    </row>
    <row r="1094" spans="1:24" x14ac:dyDescent="0.2">
      <c r="A1094" s="407">
        <v>1086</v>
      </c>
      <c r="B1094" s="438"/>
      <c r="C1094" s="438"/>
      <c r="D1094" s="438"/>
      <c r="E1094" s="438"/>
      <c r="F1094" s="438"/>
      <c r="G1094" s="438"/>
      <c r="H1094" s="438"/>
      <c r="I1094" s="438"/>
      <c r="J1094" s="11"/>
      <c r="Q1094" s="348" t="str">
        <f t="shared" si="136"/>
        <v/>
      </c>
      <c r="R1094" s="348" t="str">
        <f t="shared" si="137"/>
        <v/>
      </c>
      <c r="S1094" s="348" t="str">
        <f t="shared" si="138"/>
        <v/>
      </c>
      <c r="T1094" s="348" t="str">
        <f t="shared" si="139"/>
        <v/>
      </c>
      <c r="U1094" s="348" t="str">
        <f t="shared" si="140"/>
        <v/>
      </c>
      <c r="V1094" s="348" t="str">
        <f t="shared" si="141"/>
        <v/>
      </c>
      <c r="W1094" s="348" t="str">
        <f t="shared" si="142"/>
        <v/>
      </c>
      <c r="X1094" s="348" t="str">
        <f t="shared" si="143"/>
        <v/>
      </c>
    </row>
    <row r="1095" spans="1:24" x14ac:dyDescent="0.2">
      <c r="A1095" s="407">
        <v>1087</v>
      </c>
      <c r="B1095" s="438"/>
      <c r="C1095" s="438"/>
      <c r="D1095" s="438"/>
      <c r="E1095" s="438"/>
      <c r="F1095" s="438"/>
      <c r="G1095" s="438"/>
      <c r="H1095" s="438"/>
      <c r="I1095" s="438"/>
      <c r="J1095" s="11"/>
      <c r="Q1095" s="348" t="str">
        <f t="shared" si="136"/>
        <v/>
      </c>
      <c r="R1095" s="348" t="str">
        <f t="shared" si="137"/>
        <v/>
      </c>
      <c r="S1095" s="348" t="str">
        <f t="shared" si="138"/>
        <v/>
      </c>
      <c r="T1095" s="348" t="str">
        <f t="shared" si="139"/>
        <v/>
      </c>
      <c r="U1095" s="348" t="str">
        <f t="shared" si="140"/>
        <v/>
      </c>
      <c r="V1095" s="348" t="str">
        <f t="shared" si="141"/>
        <v/>
      </c>
      <c r="W1095" s="348" t="str">
        <f t="shared" si="142"/>
        <v/>
      </c>
      <c r="X1095" s="348" t="str">
        <f t="shared" si="143"/>
        <v/>
      </c>
    </row>
    <row r="1096" spans="1:24" x14ac:dyDescent="0.2">
      <c r="A1096" s="407">
        <v>1088</v>
      </c>
      <c r="B1096" s="438"/>
      <c r="C1096" s="438"/>
      <c r="D1096" s="438"/>
      <c r="E1096" s="438"/>
      <c r="F1096" s="438"/>
      <c r="G1096" s="438"/>
      <c r="H1096" s="438"/>
      <c r="I1096" s="438"/>
      <c r="J1096" s="11"/>
      <c r="Q1096" s="348" t="str">
        <f t="shared" si="136"/>
        <v/>
      </c>
      <c r="R1096" s="348" t="str">
        <f t="shared" si="137"/>
        <v/>
      </c>
      <c r="S1096" s="348" t="str">
        <f t="shared" si="138"/>
        <v/>
      </c>
      <c r="T1096" s="348" t="str">
        <f t="shared" si="139"/>
        <v/>
      </c>
      <c r="U1096" s="348" t="str">
        <f t="shared" si="140"/>
        <v/>
      </c>
      <c r="V1096" s="348" t="str">
        <f t="shared" si="141"/>
        <v/>
      </c>
      <c r="W1096" s="348" t="str">
        <f t="shared" si="142"/>
        <v/>
      </c>
      <c r="X1096" s="348" t="str">
        <f t="shared" si="143"/>
        <v/>
      </c>
    </row>
    <row r="1097" spans="1:24" x14ac:dyDescent="0.2">
      <c r="A1097" s="407">
        <v>1089</v>
      </c>
      <c r="B1097" s="438"/>
      <c r="C1097" s="438"/>
      <c r="D1097" s="438"/>
      <c r="E1097" s="438"/>
      <c r="F1097" s="438"/>
      <c r="G1097" s="438"/>
      <c r="H1097" s="438"/>
      <c r="I1097" s="437"/>
      <c r="J1097" s="11"/>
      <c r="Q1097" s="348" t="str">
        <f t="shared" si="136"/>
        <v/>
      </c>
      <c r="R1097" s="348" t="str">
        <f t="shared" si="137"/>
        <v/>
      </c>
      <c r="S1097" s="348" t="str">
        <f t="shared" si="138"/>
        <v/>
      </c>
      <c r="T1097" s="348" t="str">
        <f t="shared" si="139"/>
        <v/>
      </c>
      <c r="U1097" s="348" t="str">
        <f t="shared" si="140"/>
        <v/>
      </c>
      <c r="V1097" s="348" t="str">
        <f t="shared" si="141"/>
        <v/>
      </c>
      <c r="W1097" s="348" t="str">
        <f t="shared" si="142"/>
        <v/>
      </c>
      <c r="X1097" s="348" t="str">
        <f t="shared" si="143"/>
        <v/>
      </c>
    </row>
    <row r="1098" spans="1:24" x14ac:dyDescent="0.2">
      <c r="A1098" s="407">
        <v>1090</v>
      </c>
      <c r="B1098" s="438"/>
      <c r="C1098" s="438"/>
      <c r="D1098" s="438"/>
      <c r="E1098" s="438"/>
      <c r="F1098" s="438"/>
      <c r="G1098" s="438"/>
      <c r="H1098" s="438"/>
      <c r="I1098" s="438"/>
      <c r="J1098" s="11"/>
      <c r="Q1098" s="348" t="str">
        <f t="shared" ref="Q1098:Q1161" si="144">IFERROR(B1098^4*$AB$9+B1098^3*$AC$9+B1098^2*$AD$9+B1098^1*$AE$9+B1098^0*$AF$9,"")</f>
        <v/>
      </c>
      <c r="R1098" s="348" t="str">
        <f t="shared" ref="R1098:R1161" si="145">IFERROR(C1098^4*$AB$10+C1098^3*$AC$10+C1098^2*$AD$10+C1098^1*$AE$10+C1098^0*$AF$10,"")</f>
        <v/>
      </c>
      <c r="S1098" s="348" t="str">
        <f t="shared" ref="S1098:S1161" si="146">IFERROR(D1098^4*$AB$11+D1098^3*$AC$11+D1098^2*$AD$11+D1098^1*$AE$11+D1098^0*$AF$11,"")</f>
        <v/>
      </c>
      <c r="T1098" s="348" t="str">
        <f t="shared" ref="T1098:T1161" si="147">IFERROR(E1098^4*$AB$12+E1098^3*$AC$12+E1098^2*$AD$12+E1098^1*$AE$12+E1098^0*$AF$12,"")</f>
        <v/>
      </c>
      <c r="U1098" s="348" t="str">
        <f t="shared" ref="U1098:U1161" si="148">IFERROR(F1098^4*$AB$13+F1098^3*$AC$13+F1098^2*$AD$13+F1098^1*$AE$13+F1098^0*$AF$13,"")</f>
        <v/>
      </c>
      <c r="V1098" s="348" t="str">
        <f t="shared" ref="V1098:V1161" si="149">IFERROR(G1098^4*$AB$14+G1098^3*$AC$14+G1098^2*$AD$14+G1098^1*$AE$14+G1098^0*$AF$14,"")</f>
        <v/>
      </c>
      <c r="W1098" s="348" t="str">
        <f t="shared" ref="W1098:W1161" si="150">IFERROR(H1098^4*$AB$15+H1098^3*$AC$15+H1098^2*$AD$15+H1098^1*$AE$15+H1098^0*$AF$15,"")</f>
        <v/>
      </c>
      <c r="X1098" s="348" t="str">
        <f t="shared" ref="X1098:X1161" si="151">IFERROR(I1098^4*$AB$16+I1098^3*$AC$16+I1098^2*$AD$16+I1098^1*$AE$16+I1098^0*$AF$16,"")</f>
        <v/>
      </c>
    </row>
    <row r="1099" spans="1:24" x14ac:dyDescent="0.2">
      <c r="A1099" s="407">
        <v>1091</v>
      </c>
      <c r="B1099" s="438"/>
      <c r="C1099" s="438"/>
      <c r="D1099" s="438"/>
      <c r="E1099" s="438"/>
      <c r="F1099" s="438"/>
      <c r="G1099" s="438"/>
      <c r="H1099" s="438"/>
      <c r="I1099" s="438"/>
      <c r="J1099" s="11"/>
      <c r="Q1099" s="348" t="str">
        <f t="shared" si="144"/>
        <v/>
      </c>
      <c r="R1099" s="348" t="str">
        <f t="shared" si="145"/>
        <v/>
      </c>
      <c r="S1099" s="348" t="str">
        <f t="shared" si="146"/>
        <v/>
      </c>
      <c r="T1099" s="348" t="str">
        <f t="shared" si="147"/>
        <v/>
      </c>
      <c r="U1099" s="348" t="str">
        <f t="shared" si="148"/>
        <v/>
      </c>
      <c r="V1099" s="348" t="str">
        <f t="shared" si="149"/>
        <v/>
      </c>
      <c r="W1099" s="348" t="str">
        <f t="shared" si="150"/>
        <v/>
      </c>
      <c r="X1099" s="348" t="str">
        <f t="shared" si="151"/>
        <v/>
      </c>
    </row>
    <row r="1100" spans="1:24" x14ac:dyDescent="0.2">
      <c r="A1100" s="407">
        <v>1092</v>
      </c>
      <c r="B1100" s="438"/>
      <c r="C1100" s="438"/>
      <c r="D1100" s="438"/>
      <c r="E1100" s="438"/>
      <c r="F1100" s="438"/>
      <c r="G1100" s="438"/>
      <c r="H1100" s="438"/>
      <c r="I1100" s="438"/>
      <c r="J1100" s="11"/>
      <c r="Q1100" s="348" t="str">
        <f t="shared" si="144"/>
        <v/>
      </c>
      <c r="R1100" s="348" t="str">
        <f t="shared" si="145"/>
        <v/>
      </c>
      <c r="S1100" s="348" t="str">
        <f t="shared" si="146"/>
        <v/>
      </c>
      <c r="T1100" s="348" t="str">
        <f t="shared" si="147"/>
        <v/>
      </c>
      <c r="U1100" s="348" t="str">
        <f t="shared" si="148"/>
        <v/>
      </c>
      <c r="V1100" s="348" t="str">
        <f t="shared" si="149"/>
        <v/>
      </c>
      <c r="W1100" s="348" t="str">
        <f t="shared" si="150"/>
        <v/>
      </c>
      <c r="X1100" s="348" t="str">
        <f t="shared" si="151"/>
        <v/>
      </c>
    </row>
    <row r="1101" spans="1:24" x14ac:dyDescent="0.2">
      <c r="A1101" s="407">
        <v>1093</v>
      </c>
      <c r="B1101" s="438"/>
      <c r="C1101" s="437"/>
      <c r="D1101" s="438"/>
      <c r="E1101" s="438"/>
      <c r="F1101" s="438"/>
      <c r="G1101" s="438"/>
      <c r="H1101" s="438"/>
      <c r="I1101" s="438"/>
      <c r="J1101" s="11"/>
      <c r="Q1101" s="348" t="str">
        <f t="shared" si="144"/>
        <v/>
      </c>
      <c r="R1101" s="348" t="str">
        <f t="shared" si="145"/>
        <v/>
      </c>
      <c r="S1101" s="348" t="str">
        <f t="shared" si="146"/>
        <v/>
      </c>
      <c r="T1101" s="348" t="str">
        <f t="shared" si="147"/>
        <v/>
      </c>
      <c r="U1101" s="348" t="str">
        <f t="shared" si="148"/>
        <v/>
      </c>
      <c r="V1101" s="348" t="str">
        <f t="shared" si="149"/>
        <v/>
      </c>
      <c r="W1101" s="348" t="str">
        <f t="shared" si="150"/>
        <v/>
      </c>
      <c r="X1101" s="348" t="str">
        <f t="shared" si="151"/>
        <v/>
      </c>
    </row>
    <row r="1102" spans="1:24" x14ac:dyDescent="0.2">
      <c r="A1102" s="407">
        <v>1094</v>
      </c>
      <c r="B1102" s="438"/>
      <c r="C1102" s="438"/>
      <c r="D1102" s="438"/>
      <c r="E1102" s="437"/>
      <c r="F1102" s="438"/>
      <c r="G1102" s="438"/>
      <c r="H1102" s="438"/>
      <c r="I1102" s="438"/>
      <c r="J1102" s="11"/>
      <c r="Q1102" s="348" t="str">
        <f t="shared" si="144"/>
        <v/>
      </c>
      <c r="R1102" s="348" t="str">
        <f t="shared" si="145"/>
        <v/>
      </c>
      <c r="S1102" s="348" t="str">
        <f t="shared" si="146"/>
        <v/>
      </c>
      <c r="T1102" s="348" t="str">
        <f t="shared" si="147"/>
        <v/>
      </c>
      <c r="U1102" s="348" t="str">
        <f t="shared" si="148"/>
        <v/>
      </c>
      <c r="V1102" s="348" t="str">
        <f t="shared" si="149"/>
        <v/>
      </c>
      <c r="W1102" s="348" t="str">
        <f t="shared" si="150"/>
        <v/>
      </c>
      <c r="X1102" s="348" t="str">
        <f t="shared" si="151"/>
        <v/>
      </c>
    </row>
    <row r="1103" spans="1:24" x14ac:dyDescent="0.2">
      <c r="A1103" s="407">
        <v>1095</v>
      </c>
      <c r="B1103" s="438"/>
      <c r="C1103" s="438"/>
      <c r="D1103" s="438"/>
      <c r="E1103" s="438"/>
      <c r="F1103" s="438"/>
      <c r="G1103" s="438"/>
      <c r="H1103" s="438"/>
      <c r="I1103" s="438"/>
      <c r="J1103" s="11"/>
      <c r="Q1103" s="348" t="str">
        <f t="shared" si="144"/>
        <v/>
      </c>
      <c r="R1103" s="348" t="str">
        <f t="shared" si="145"/>
        <v/>
      </c>
      <c r="S1103" s="348" t="str">
        <f t="shared" si="146"/>
        <v/>
      </c>
      <c r="T1103" s="348" t="str">
        <f t="shared" si="147"/>
        <v/>
      </c>
      <c r="U1103" s="348" t="str">
        <f t="shared" si="148"/>
        <v/>
      </c>
      <c r="V1103" s="348" t="str">
        <f t="shared" si="149"/>
        <v/>
      </c>
      <c r="W1103" s="348" t="str">
        <f t="shared" si="150"/>
        <v/>
      </c>
      <c r="X1103" s="348" t="str">
        <f t="shared" si="151"/>
        <v/>
      </c>
    </row>
    <row r="1104" spans="1:24" x14ac:dyDescent="0.2">
      <c r="A1104" s="407">
        <v>1096</v>
      </c>
      <c r="B1104" s="438"/>
      <c r="C1104" s="438"/>
      <c r="D1104" s="438"/>
      <c r="E1104" s="438"/>
      <c r="F1104" s="438"/>
      <c r="G1104" s="438"/>
      <c r="H1104" s="438"/>
      <c r="I1104" s="438"/>
      <c r="J1104" s="11"/>
      <c r="Q1104" s="348" t="str">
        <f t="shared" si="144"/>
        <v/>
      </c>
      <c r="R1104" s="348" t="str">
        <f t="shared" si="145"/>
        <v/>
      </c>
      <c r="S1104" s="348" t="str">
        <f t="shared" si="146"/>
        <v/>
      </c>
      <c r="T1104" s="348" t="str">
        <f t="shared" si="147"/>
        <v/>
      </c>
      <c r="U1104" s="348" t="str">
        <f t="shared" si="148"/>
        <v/>
      </c>
      <c r="V1104" s="348" t="str">
        <f t="shared" si="149"/>
        <v/>
      </c>
      <c r="W1104" s="348" t="str">
        <f t="shared" si="150"/>
        <v/>
      </c>
      <c r="X1104" s="348" t="str">
        <f t="shared" si="151"/>
        <v/>
      </c>
    </row>
    <row r="1105" spans="1:24" x14ac:dyDescent="0.2">
      <c r="A1105" s="407">
        <v>1097</v>
      </c>
      <c r="B1105" s="437"/>
      <c r="C1105" s="438"/>
      <c r="D1105" s="437"/>
      <c r="E1105" s="438"/>
      <c r="F1105" s="438"/>
      <c r="G1105" s="438"/>
      <c r="H1105" s="438"/>
      <c r="I1105" s="438"/>
      <c r="J1105" s="11"/>
      <c r="Q1105" s="348" t="str">
        <f t="shared" si="144"/>
        <v/>
      </c>
      <c r="R1105" s="348" t="str">
        <f t="shared" si="145"/>
        <v/>
      </c>
      <c r="S1105" s="348" t="str">
        <f t="shared" si="146"/>
        <v/>
      </c>
      <c r="T1105" s="348" t="str">
        <f t="shared" si="147"/>
        <v/>
      </c>
      <c r="U1105" s="348" t="str">
        <f t="shared" si="148"/>
        <v/>
      </c>
      <c r="V1105" s="348" t="str">
        <f t="shared" si="149"/>
        <v/>
      </c>
      <c r="W1105" s="348" t="str">
        <f t="shared" si="150"/>
        <v/>
      </c>
      <c r="X1105" s="348" t="str">
        <f t="shared" si="151"/>
        <v/>
      </c>
    </row>
    <row r="1106" spans="1:24" x14ac:dyDescent="0.2">
      <c r="A1106" s="407">
        <v>1098</v>
      </c>
      <c r="B1106" s="438"/>
      <c r="C1106" s="438"/>
      <c r="D1106" s="438"/>
      <c r="E1106" s="438"/>
      <c r="F1106" s="438"/>
      <c r="G1106" s="438"/>
      <c r="H1106" s="438"/>
      <c r="I1106" s="438"/>
      <c r="J1106" s="11"/>
      <c r="Q1106" s="348" t="str">
        <f t="shared" si="144"/>
        <v/>
      </c>
      <c r="R1106" s="348" t="str">
        <f t="shared" si="145"/>
        <v/>
      </c>
      <c r="S1106" s="348" t="str">
        <f t="shared" si="146"/>
        <v/>
      </c>
      <c r="T1106" s="348" t="str">
        <f t="shared" si="147"/>
        <v/>
      </c>
      <c r="U1106" s="348" t="str">
        <f t="shared" si="148"/>
        <v/>
      </c>
      <c r="V1106" s="348" t="str">
        <f t="shared" si="149"/>
        <v/>
      </c>
      <c r="W1106" s="348" t="str">
        <f t="shared" si="150"/>
        <v/>
      </c>
      <c r="X1106" s="348" t="str">
        <f t="shared" si="151"/>
        <v/>
      </c>
    </row>
    <row r="1107" spans="1:24" x14ac:dyDescent="0.2">
      <c r="A1107" s="407">
        <v>1099</v>
      </c>
      <c r="B1107" s="438"/>
      <c r="C1107" s="438"/>
      <c r="D1107" s="438"/>
      <c r="E1107" s="438"/>
      <c r="F1107" s="438"/>
      <c r="G1107" s="437"/>
      <c r="H1107" s="438"/>
      <c r="I1107" s="438"/>
      <c r="J1107" s="11"/>
      <c r="Q1107" s="348" t="str">
        <f t="shared" si="144"/>
        <v/>
      </c>
      <c r="R1107" s="348" t="str">
        <f t="shared" si="145"/>
        <v/>
      </c>
      <c r="S1107" s="348" t="str">
        <f t="shared" si="146"/>
        <v/>
      </c>
      <c r="T1107" s="348" t="str">
        <f t="shared" si="147"/>
        <v/>
      </c>
      <c r="U1107" s="348" t="str">
        <f t="shared" si="148"/>
        <v/>
      </c>
      <c r="V1107" s="348" t="str">
        <f t="shared" si="149"/>
        <v/>
      </c>
      <c r="W1107" s="348" t="str">
        <f t="shared" si="150"/>
        <v/>
      </c>
      <c r="X1107" s="348" t="str">
        <f t="shared" si="151"/>
        <v/>
      </c>
    </row>
    <row r="1108" spans="1:24" x14ac:dyDescent="0.2">
      <c r="A1108" s="407">
        <v>1100</v>
      </c>
      <c r="B1108" s="438"/>
      <c r="C1108" s="438"/>
      <c r="D1108" s="438"/>
      <c r="E1108" s="438"/>
      <c r="F1108" s="438"/>
      <c r="G1108" s="438"/>
      <c r="H1108" s="438"/>
      <c r="I1108" s="438"/>
      <c r="J1108" s="11"/>
      <c r="Q1108" s="348" t="str">
        <f t="shared" si="144"/>
        <v/>
      </c>
      <c r="R1108" s="348" t="str">
        <f t="shared" si="145"/>
        <v/>
      </c>
      <c r="S1108" s="348" t="str">
        <f t="shared" si="146"/>
        <v/>
      </c>
      <c r="T1108" s="348" t="str">
        <f t="shared" si="147"/>
        <v/>
      </c>
      <c r="U1108" s="348" t="str">
        <f t="shared" si="148"/>
        <v/>
      </c>
      <c r="V1108" s="348" t="str">
        <f t="shared" si="149"/>
        <v/>
      </c>
      <c r="W1108" s="348" t="str">
        <f t="shared" si="150"/>
        <v/>
      </c>
      <c r="X1108" s="348" t="str">
        <f t="shared" si="151"/>
        <v/>
      </c>
    </row>
    <row r="1109" spans="1:24" x14ac:dyDescent="0.2">
      <c r="A1109" s="407">
        <v>1101</v>
      </c>
      <c r="B1109" s="438"/>
      <c r="C1109" s="437"/>
      <c r="D1109" s="438"/>
      <c r="E1109" s="437"/>
      <c r="F1109" s="437"/>
      <c r="G1109" s="437"/>
      <c r="H1109" s="437"/>
      <c r="I1109" s="438"/>
      <c r="J1109" s="11"/>
      <c r="Q1109" s="348" t="str">
        <f t="shared" si="144"/>
        <v/>
      </c>
      <c r="R1109" s="348" t="str">
        <f t="shared" si="145"/>
        <v/>
      </c>
      <c r="S1109" s="348" t="str">
        <f t="shared" si="146"/>
        <v/>
      </c>
      <c r="T1109" s="348" t="str">
        <f t="shared" si="147"/>
        <v/>
      </c>
      <c r="U1109" s="348" t="str">
        <f t="shared" si="148"/>
        <v/>
      </c>
      <c r="V1109" s="348" t="str">
        <f t="shared" si="149"/>
        <v/>
      </c>
      <c r="W1109" s="348" t="str">
        <f t="shared" si="150"/>
        <v/>
      </c>
      <c r="X1109" s="348" t="str">
        <f t="shared" si="151"/>
        <v/>
      </c>
    </row>
    <row r="1110" spans="1:24" x14ac:dyDescent="0.2">
      <c r="A1110" s="407">
        <v>1102</v>
      </c>
      <c r="B1110" s="438"/>
      <c r="C1110" s="438"/>
      <c r="D1110" s="438"/>
      <c r="E1110" s="438"/>
      <c r="F1110" s="438"/>
      <c r="G1110" s="438"/>
      <c r="H1110" s="438"/>
      <c r="I1110" s="438"/>
      <c r="J1110" s="11"/>
      <c r="Q1110" s="348" t="str">
        <f t="shared" si="144"/>
        <v/>
      </c>
      <c r="R1110" s="348" t="str">
        <f t="shared" si="145"/>
        <v/>
      </c>
      <c r="S1110" s="348" t="str">
        <f t="shared" si="146"/>
        <v/>
      </c>
      <c r="T1110" s="348" t="str">
        <f t="shared" si="147"/>
        <v/>
      </c>
      <c r="U1110" s="348" t="str">
        <f t="shared" si="148"/>
        <v/>
      </c>
      <c r="V1110" s="348" t="str">
        <f t="shared" si="149"/>
        <v/>
      </c>
      <c r="W1110" s="348" t="str">
        <f t="shared" si="150"/>
        <v/>
      </c>
      <c r="X1110" s="348" t="str">
        <f t="shared" si="151"/>
        <v/>
      </c>
    </row>
    <row r="1111" spans="1:24" x14ac:dyDescent="0.2">
      <c r="A1111" s="407">
        <v>1103</v>
      </c>
      <c r="B1111" s="438"/>
      <c r="C1111" s="438"/>
      <c r="D1111" s="438"/>
      <c r="E1111" s="438"/>
      <c r="F1111" s="438"/>
      <c r="G1111" s="438"/>
      <c r="H1111" s="438"/>
      <c r="I1111" s="438"/>
      <c r="J1111" s="11"/>
      <c r="Q1111" s="348" t="str">
        <f t="shared" si="144"/>
        <v/>
      </c>
      <c r="R1111" s="348" t="str">
        <f t="shared" si="145"/>
        <v/>
      </c>
      <c r="S1111" s="348" t="str">
        <f t="shared" si="146"/>
        <v/>
      </c>
      <c r="T1111" s="348" t="str">
        <f t="shared" si="147"/>
        <v/>
      </c>
      <c r="U1111" s="348" t="str">
        <f t="shared" si="148"/>
        <v/>
      </c>
      <c r="V1111" s="348" t="str">
        <f t="shared" si="149"/>
        <v/>
      </c>
      <c r="W1111" s="348" t="str">
        <f t="shared" si="150"/>
        <v/>
      </c>
      <c r="X1111" s="348" t="str">
        <f t="shared" si="151"/>
        <v/>
      </c>
    </row>
    <row r="1112" spans="1:24" x14ac:dyDescent="0.2">
      <c r="A1112" s="407">
        <v>1104</v>
      </c>
      <c r="B1112" s="438"/>
      <c r="C1112" s="438"/>
      <c r="D1112" s="438"/>
      <c r="E1112" s="438"/>
      <c r="F1112" s="438"/>
      <c r="G1112" s="438"/>
      <c r="H1112" s="438"/>
      <c r="I1112" s="438"/>
      <c r="J1112" s="11"/>
      <c r="Q1112" s="348" t="str">
        <f t="shared" si="144"/>
        <v/>
      </c>
      <c r="R1112" s="348" t="str">
        <f t="shared" si="145"/>
        <v/>
      </c>
      <c r="S1112" s="348" t="str">
        <f t="shared" si="146"/>
        <v/>
      </c>
      <c r="T1112" s="348" t="str">
        <f t="shared" si="147"/>
        <v/>
      </c>
      <c r="U1112" s="348" t="str">
        <f t="shared" si="148"/>
        <v/>
      </c>
      <c r="V1112" s="348" t="str">
        <f t="shared" si="149"/>
        <v/>
      </c>
      <c r="W1112" s="348" t="str">
        <f t="shared" si="150"/>
        <v/>
      </c>
      <c r="X1112" s="348" t="str">
        <f t="shared" si="151"/>
        <v/>
      </c>
    </row>
    <row r="1113" spans="1:24" x14ac:dyDescent="0.2">
      <c r="A1113" s="407">
        <v>1105</v>
      </c>
      <c r="B1113" s="438"/>
      <c r="C1113" s="438"/>
      <c r="D1113" s="438"/>
      <c r="E1113" s="438"/>
      <c r="F1113" s="438"/>
      <c r="G1113" s="438"/>
      <c r="H1113" s="438"/>
      <c r="I1113" s="438"/>
      <c r="J1113" s="11"/>
      <c r="Q1113" s="348" t="str">
        <f t="shared" si="144"/>
        <v/>
      </c>
      <c r="R1113" s="348" t="str">
        <f t="shared" si="145"/>
        <v/>
      </c>
      <c r="S1113" s="348" t="str">
        <f t="shared" si="146"/>
        <v/>
      </c>
      <c r="T1113" s="348" t="str">
        <f t="shared" si="147"/>
        <v/>
      </c>
      <c r="U1113" s="348" t="str">
        <f t="shared" si="148"/>
        <v/>
      </c>
      <c r="V1113" s="348" t="str">
        <f t="shared" si="149"/>
        <v/>
      </c>
      <c r="W1113" s="348" t="str">
        <f t="shared" si="150"/>
        <v/>
      </c>
      <c r="X1113" s="348" t="str">
        <f t="shared" si="151"/>
        <v/>
      </c>
    </row>
    <row r="1114" spans="1:24" x14ac:dyDescent="0.2">
      <c r="A1114" s="407">
        <v>1106</v>
      </c>
      <c r="B1114" s="438"/>
      <c r="C1114" s="438"/>
      <c r="D1114" s="438"/>
      <c r="E1114" s="438"/>
      <c r="F1114" s="438"/>
      <c r="G1114" s="438"/>
      <c r="H1114" s="438"/>
      <c r="I1114" s="438"/>
      <c r="J1114" s="11"/>
      <c r="Q1114" s="348" t="str">
        <f t="shared" si="144"/>
        <v/>
      </c>
      <c r="R1114" s="348" t="str">
        <f t="shared" si="145"/>
        <v/>
      </c>
      <c r="S1114" s="348" t="str">
        <f t="shared" si="146"/>
        <v/>
      </c>
      <c r="T1114" s="348" t="str">
        <f t="shared" si="147"/>
        <v/>
      </c>
      <c r="U1114" s="348" t="str">
        <f t="shared" si="148"/>
        <v/>
      </c>
      <c r="V1114" s="348" t="str">
        <f t="shared" si="149"/>
        <v/>
      </c>
      <c r="W1114" s="348" t="str">
        <f t="shared" si="150"/>
        <v/>
      </c>
      <c r="X1114" s="348" t="str">
        <f t="shared" si="151"/>
        <v/>
      </c>
    </row>
    <row r="1115" spans="1:24" x14ac:dyDescent="0.2">
      <c r="A1115" s="407">
        <v>1107</v>
      </c>
      <c r="B1115" s="437"/>
      <c r="C1115" s="438"/>
      <c r="D1115" s="438"/>
      <c r="E1115" s="438"/>
      <c r="F1115" s="438"/>
      <c r="G1115" s="438"/>
      <c r="H1115" s="438"/>
      <c r="I1115" s="438"/>
      <c r="J1115" s="11"/>
      <c r="Q1115" s="348" t="str">
        <f t="shared" si="144"/>
        <v/>
      </c>
      <c r="R1115" s="348" t="str">
        <f t="shared" si="145"/>
        <v/>
      </c>
      <c r="S1115" s="348" t="str">
        <f t="shared" si="146"/>
        <v/>
      </c>
      <c r="T1115" s="348" t="str">
        <f t="shared" si="147"/>
        <v/>
      </c>
      <c r="U1115" s="348" t="str">
        <f t="shared" si="148"/>
        <v/>
      </c>
      <c r="V1115" s="348" t="str">
        <f t="shared" si="149"/>
        <v/>
      </c>
      <c r="W1115" s="348" t="str">
        <f t="shared" si="150"/>
        <v/>
      </c>
      <c r="X1115" s="348" t="str">
        <f t="shared" si="151"/>
        <v/>
      </c>
    </row>
    <row r="1116" spans="1:24" x14ac:dyDescent="0.2">
      <c r="A1116" s="407">
        <v>1108</v>
      </c>
      <c r="B1116" s="438"/>
      <c r="C1116" s="438"/>
      <c r="D1116" s="438"/>
      <c r="E1116" s="438"/>
      <c r="F1116" s="438"/>
      <c r="G1116" s="438"/>
      <c r="H1116" s="438"/>
      <c r="I1116" s="438"/>
      <c r="J1116" s="11"/>
      <c r="Q1116" s="348" t="str">
        <f t="shared" si="144"/>
        <v/>
      </c>
      <c r="R1116" s="348" t="str">
        <f t="shared" si="145"/>
        <v/>
      </c>
      <c r="S1116" s="348" t="str">
        <f t="shared" si="146"/>
        <v/>
      </c>
      <c r="T1116" s="348" t="str">
        <f t="shared" si="147"/>
        <v/>
      </c>
      <c r="U1116" s="348" t="str">
        <f t="shared" si="148"/>
        <v/>
      </c>
      <c r="V1116" s="348" t="str">
        <f t="shared" si="149"/>
        <v/>
      </c>
      <c r="W1116" s="348" t="str">
        <f t="shared" si="150"/>
        <v/>
      </c>
      <c r="X1116" s="348" t="str">
        <f t="shared" si="151"/>
        <v/>
      </c>
    </row>
    <row r="1117" spans="1:24" x14ac:dyDescent="0.2">
      <c r="A1117" s="407">
        <v>1109</v>
      </c>
      <c r="B1117" s="438"/>
      <c r="C1117" s="438"/>
      <c r="D1117" s="438"/>
      <c r="E1117" s="438"/>
      <c r="F1117" s="438"/>
      <c r="G1117" s="438"/>
      <c r="H1117" s="438"/>
      <c r="I1117" s="438"/>
      <c r="J1117" s="11"/>
      <c r="Q1117" s="348" t="str">
        <f t="shared" si="144"/>
        <v/>
      </c>
      <c r="R1117" s="348" t="str">
        <f t="shared" si="145"/>
        <v/>
      </c>
      <c r="S1117" s="348" t="str">
        <f t="shared" si="146"/>
        <v/>
      </c>
      <c r="T1117" s="348" t="str">
        <f t="shared" si="147"/>
        <v/>
      </c>
      <c r="U1117" s="348" t="str">
        <f t="shared" si="148"/>
        <v/>
      </c>
      <c r="V1117" s="348" t="str">
        <f t="shared" si="149"/>
        <v/>
      </c>
      <c r="W1117" s="348" t="str">
        <f t="shared" si="150"/>
        <v/>
      </c>
      <c r="X1117" s="348" t="str">
        <f t="shared" si="151"/>
        <v/>
      </c>
    </row>
    <row r="1118" spans="1:24" x14ac:dyDescent="0.2">
      <c r="A1118" s="407">
        <v>1110</v>
      </c>
      <c r="B1118" s="438"/>
      <c r="C1118" s="438"/>
      <c r="D1118" s="438"/>
      <c r="E1118" s="438"/>
      <c r="F1118" s="438"/>
      <c r="G1118" s="438"/>
      <c r="H1118" s="438"/>
      <c r="I1118" s="438"/>
      <c r="J1118" s="11"/>
      <c r="Q1118" s="348" t="str">
        <f t="shared" si="144"/>
        <v/>
      </c>
      <c r="R1118" s="348" t="str">
        <f t="shared" si="145"/>
        <v/>
      </c>
      <c r="S1118" s="348" t="str">
        <f t="shared" si="146"/>
        <v/>
      </c>
      <c r="T1118" s="348" t="str">
        <f t="shared" si="147"/>
        <v/>
      </c>
      <c r="U1118" s="348" t="str">
        <f t="shared" si="148"/>
        <v/>
      </c>
      <c r="V1118" s="348" t="str">
        <f t="shared" si="149"/>
        <v/>
      </c>
      <c r="W1118" s="348" t="str">
        <f t="shared" si="150"/>
        <v/>
      </c>
      <c r="X1118" s="348" t="str">
        <f t="shared" si="151"/>
        <v/>
      </c>
    </row>
    <row r="1119" spans="1:24" x14ac:dyDescent="0.2">
      <c r="A1119" s="407">
        <v>1111</v>
      </c>
      <c r="B1119" s="438"/>
      <c r="C1119" s="438"/>
      <c r="D1119" s="438"/>
      <c r="E1119" s="438"/>
      <c r="F1119" s="438"/>
      <c r="G1119" s="438"/>
      <c r="H1119" s="438"/>
      <c r="I1119" s="438"/>
      <c r="J1119" s="11"/>
      <c r="Q1119" s="348" t="str">
        <f t="shared" si="144"/>
        <v/>
      </c>
      <c r="R1119" s="348" t="str">
        <f t="shared" si="145"/>
        <v/>
      </c>
      <c r="S1119" s="348" t="str">
        <f t="shared" si="146"/>
        <v/>
      </c>
      <c r="T1119" s="348" t="str">
        <f t="shared" si="147"/>
        <v/>
      </c>
      <c r="U1119" s="348" t="str">
        <f t="shared" si="148"/>
        <v/>
      </c>
      <c r="V1119" s="348" t="str">
        <f t="shared" si="149"/>
        <v/>
      </c>
      <c r="W1119" s="348" t="str">
        <f t="shared" si="150"/>
        <v/>
      </c>
      <c r="X1119" s="348" t="str">
        <f t="shared" si="151"/>
        <v/>
      </c>
    </row>
    <row r="1120" spans="1:24" x14ac:dyDescent="0.2">
      <c r="A1120" s="407">
        <v>1112</v>
      </c>
      <c r="B1120" s="438"/>
      <c r="C1120" s="438"/>
      <c r="D1120" s="438"/>
      <c r="E1120" s="438"/>
      <c r="F1120" s="438"/>
      <c r="G1120" s="438"/>
      <c r="H1120" s="438"/>
      <c r="I1120" s="438"/>
      <c r="J1120" s="11"/>
      <c r="Q1120" s="348" t="str">
        <f t="shared" si="144"/>
        <v/>
      </c>
      <c r="R1120" s="348" t="str">
        <f t="shared" si="145"/>
        <v/>
      </c>
      <c r="S1120" s="348" t="str">
        <f t="shared" si="146"/>
        <v/>
      </c>
      <c r="T1120" s="348" t="str">
        <f t="shared" si="147"/>
        <v/>
      </c>
      <c r="U1120" s="348" t="str">
        <f t="shared" si="148"/>
        <v/>
      </c>
      <c r="V1120" s="348" t="str">
        <f t="shared" si="149"/>
        <v/>
      </c>
      <c r="W1120" s="348" t="str">
        <f t="shared" si="150"/>
        <v/>
      </c>
      <c r="X1120" s="348" t="str">
        <f t="shared" si="151"/>
        <v/>
      </c>
    </row>
    <row r="1121" spans="1:24" x14ac:dyDescent="0.2">
      <c r="A1121" s="407">
        <v>1113</v>
      </c>
      <c r="B1121" s="438"/>
      <c r="C1121" s="438"/>
      <c r="D1121" s="438"/>
      <c r="E1121" s="438"/>
      <c r="F1121" s="438"/>
      <c r="G1121" s="438"/>
      <c r="H1121" s="438"/>
      <c r="I1121" s="438"/>
      <c r="J1121" s="11"/>
      <c r="Q1121" s="348" t="str">
        <f t="shared" si="144"/>
        <v/>
      </c>
      <c r="R1121" s="348" t="str">
        <f t="shared" si="145"/>
        <v/>
      </c>
      <c r="S1121" s="348" t="str">
        <f t="shared" si="146"/>
        <v/>
      </c>
      <c r="T1121" s="348" t="str">
        <f t="shared" si="147"/>
        <v/>
      </c>
      <c r="U1121" s="348" t="str">
        <f t="shared" si="148"/>
        <v/>
      </c>
      <c r="V1121" s="348" t="str">
        <f t="shared" si="149"/>
        <v/>
      </c>
      <c r="W1121" s="348" t="str">
        <f t="shared" si="150"/>
        <v/>
      </c>
      <c r="X1121" s="348" t="str">
        <f t="shared" si="151"/>
        <v/>
      </c>
    </row>
    <row r="1122" spans="1:24" x14ac:dyDescent="0.2">
      <c r="A1122" s="407">
        <v>1114</v>
      </c>
      <c r="B1122" s="438"/>
      <c r="C1122" s="438"/>
      <c r="D1122" s="438"/>
      <c r="E1122" s="438"/>
      <c r="F1122" s="438"/>
      <c r="G1122" s="438"/>
      <c r="H1122" s="438"/>
      <c r="I1122" s="438"/>
      <c r="J1122" s="11"/>
      <c r="Q1122" s="348" t="str">
        <f t="shared" si="144"/>
        <v/>
      </c>
      <c r="R1122" s="348" t="str">
        <f t="shared" si="145"/>
        <v/>
      </c>
      <c r="S1122" s="348" t="str">
        <f t="shared" si="146"/>
        <v/>
      </c>
      <c r="T1122" s="348" t="str">
        <f t="shared" si="147"/>
        <v/>
      </c>
      <c r="U1122" s="348" t="str">
        <f t="shared" si="148"/>
        <v/>
      </c>
      <c r="V1122" s="348" t="str">
        <f t="shared" si="149"/>
        <v/>
      </c>
      <c r="W1122" s="348" t="str">
        <f t="shared" si="150"/>
        <v/>
      </c>
      <c r="X1122" s="348" t="str">
        <f t="shared" si="151"/>
        <v/>
      </c>
    </row>
    <row r="1123" spans="1:24" x14ac:dyDescent="0.2">
      <c r="A1123" s="407">
        <v>1115</v>
      </c>
      <c r="B1123" s="438"/>
      <c r="C1123" s="437"/>
      <c r="D1123" s="438"/>
      <c r="E1123" s="438"/>
      <c r="F1123" s="438"/>
      <c r="G1123" s="438"/>
      <c r="H1123" s="438"/>
      <c r="I1123" s="438"/>
      <c r="J1123" s="11"/>
      <c r="Q1123" s="348" t="str">
        <f t="shared" si="144"/>
        <v/>
      </c>
      <c r="R1123" s="348" t="str">
        <f t="shared" si="145"/>
        <v/>
      </c>
      <c r="S1123" s="348" t="str">
        <f t="shared" si="146"/>
        <v/>
      </c>
      <c r="T1123" s="348" t="str">
        <f t="shared" si="147"/>
        <v/>
      </c>
      <c r="U1123" s="348" t="str">
        <f t="shared" si="148"/>
        <v/>
      </c>
      <c r="V1123" s="348" t="str">
        <f t="shared" si="149"/>
        <v/>
      </c>
      <c r="W1123" s="348" t="str">
        <f t="shared" si="150"/>
        <v/>
      </c>
      <c r="X1123" s="348" t="str">
        <f t="shared" si="151"/>
        <v/>
      </c>
    </row>
    <row r="1124" spans="1:24" x14ac:dyDescent="0.2">
      <c r="A1124" s="407">
        <v>1116</v>
      </c>
      <c r="B1124" s="438"/>
      <c r="C1124" s="438"/>
      <c r="D1124" s="438"/>
      <c r="E1124" s="438"/>
      <c r="F1124" s="438"/>
      <c r="G1124" s="438"/>
      <c r="H1124" s="438"/>
      <c r="I1124" s="438"/>
      <c r="J1124" s="11"/>
      <c r="Q1124" s="348" t="str">
        <f t="shared" si="144"/>
        <v/>
      </c>
      <c r="R1124" s="348" t="str">
        <f t="shared" si="145"/>
        <v/>
      </c>
      <c r="S1124" s="348" t="str">
        <f t="shared" si="146"/>
        <v/>
      </c>
      <c r="T1124" s="348" t="str">
        <f t="shared" si="147"/>
        <v/>
      </c>
      <c r="U1124" s="348" t="str">
        <f t="shared" si="148"/>
        <v/>
      </c>
      <c r="V1124" s="348" t="str">
        <f t="shared" si="149"/>
        <v/>
      </c>
      <c r="W1124" s="348" t="str">
        <f t="shared" si="150"/>
        <v/>
      </c>
      <c r="X1124" s="348" t="str">
        <f t="shared" si="151"/>
        <v/>
      </c>
    </row>
    <row r="1125" spans="1:24" x14ac:dyDescent="0.2">
      <c r="A1125" s="407">
        <v>1117</v>
      </c>
      <c r="B1125" s="438"/>
      <c r="C1125" s="438"/>
      <c r="D1125" s="438"/>
      <c r="E1125" s="438"/>
      <c r="F1125" s="438"/>
      <c r="G1125" s="438"/>
      <c r="H1125" s="438"/>
      <c r="I1125" s="438"/>
      <c r="J1125" s="11"/>
      <c r="Q1125" s="348" t="str">
        <f t="shared" si="144"/>
        <v/>
      </c>
      <c r="R1125" s="348" t="str">
        <f t="shared" si="145"/>
        <v/>
      </c>
      <c r="S1125" s="348" t="str">
        <f t="shared" si="146"/>
        <v/>
      </c>
      <c r="T1125" s="348" t="str">
        <f t="shared" si="147"/>
        <v/>
      </c>
      <c r="U1125" s="348" t="str">
        <f t="shared" si="148"/>
        <v/>
      </c>
      <c r="V1125" s="348" t="str">
        <f t="shared" si="149"/>
        <v/>
      </c>
      <c r="W1125" s="348" t="str">
        <f t="shared" si="150"/>
        <v/>
      </c>
      <c r="X1125" s="348" t="str">
        <f t="shared" si="151"/>
        <v/>
      </c>
    </row>
    <row r="1126" spans="1:24" x14ac:dyDescent="0.2">
      <c r="A1126" s="407">
        <v>1118</v>
      </c>
      <c r="B1126" s="438"/>
      <c r="C1126" s="438"/>
      <c r="D1126" s="438"/>
      <c r="E1126" s="438"/>
      <c r="F1126" s="438"/>
      <c r="G1126" s="438"/>
      <c r="H1126" s="438"/>
      <c r="I1126" s="438"/>
      <c r="J1126" s="11"/>
      <c r="Q1126" s="348" t="str">
        <f t="shared" si="144"/>
        <v/>
      </c>
      <c r="R1126" s="348" t="str">
        <f t="shared" si="145"/>
        <v/>
      </c>
      <c r="S1126" s="348" t="str">
        <f t="shared" si="146"/>
        <v/>
      </c>
      <c r="T1126" s="348" t="str">
        <f t="shared" si="147"/>
        <v/>
      </c>
      <c r="U1126" s="348" t="str">
        <f t="shared" si="148"/>
        <v/>
      </c>
      <c r="V1126" s="348" t="str">
        <f t="shared" si="149"/>
        <v/>
      </c>
      <c r="W1126" s="348" t="str">
        <f t="shared" si="150"/>
        <v/>
      </c>
      <c r="X1126" s="348" t="str">
        <f t="shared" si="151"/>
        <v/>
      </c>
    </row>
    <row r="1127" spans="1:24" x14ac:dyDescent="0.2">
      <c r="A1127" s="407">
        <v>1119</v>
      </c>
      <c r="B1127" s="438"/>
      <c r="C1127" s="438"/>
      <c r="D1127" s="438"/>
      <c r="E1127" s="438"/>
      <c r="F1127" s="438"/>
      <c r="G1127" s="438"/>
      <c r="H1127" s="438"/>
      <c r="I1127" s="438"/>
      <c r="J1127" s="11"/>
      <c r="Q1127" s="348" t="str">
        <f t="shared" si="144"/>
        <v/>
      </c>
      <c r="R1127" s="348" t="str">
        <f t="shared" si="145"/>
        <v/>
      </c>
      <c r="S1127" s="348" t="str">
        <f t="shared" si="146"/>
        <v/>
      </c>
      <c r="T1127" s="348" t="str">
        <f t="shared" si="147"/>
        <v/>
      </c>
      <c r="U1127" s="348" t="str">
        <f t="shared" si="148"/>
        <v/>
      </c>
      <c r="V1127" s="348" t="str">
        <f t="shared" si="149"/>
        <v/>
      </c>
      <c r="W1127" s="348" t="str">
        <f t="shared" si="150"/>
        <v/>
      </c>
      <c r="X1127" s="348" t="str">
        <f t="shared" si="151"/>
        <v/>
      </c>
    </row>
    <row r="1128" spans="1:24" x14ac:dyDescent="0.2">
      <c r="A1128" s="407">
        <v>1120</v>
      </c>
      <c r="B1128" s="438"/>
      <c r="C1128" s="438"/>
      <c r="D1128" s="438"/>
      <c r="E1128" s="438"/>
      <c r="F1128" s="438"/>
      <c r="G1128" s="438"/>
      <c r="H1128" s="438"/>
      <c r="I1128" s="438"/>
      <c r="J1128" s="11"/>
      <c r="Q1128" s="348" t="str">
        <f t="shared" si="144"/>
        <v/>
      </c>
      <c r="R1128" s="348" t="str">
        <f t="shared" si="145"/>
        <v/>
      </c>
      <c r="S1128" s="348" t="str">
        <f t="shared" si="146"/>
        <v/>
      </c>
      <c r="T1128" s="348" t="str">
        <f t="shared" si="147"/>
        <v/>
      </c>
      <c r="U1128" s="348" t="str">
        <f t="shared" si="148"/>
        <v/>
      </c>
      <c r="V1128" s="348" t="str">
        <f t="shared" si="149"/>
        <v/>
      </c>
      <c r="W1128" s="348" t="str">
        <f t="shared" si="150"/>
        <v/>
      </c>
      <c r="X1128" s="348" t="str">
        <f t="shared" si="151"/>
        <v/>
      </c>
    </row>
    <row r="1129" spans="1:24" x14ac:dyDescent="0.2">
      <c r="A1129" s="407">
        <v>1121</v>
      </c>
      <c r="B1129" s="437"/>
      <c r="C1129" s="438"/>
      <c r="D1129" s="438"/>
      <c r="E1129" s="438"/>
      <c r="F1129" s="438"/>
      <c r="G1129" s="438"/>
      <c r="H1129" s="438"/>
      <c r="I1129" s="438"/>
      <c r="J1129" s="11"/>
      <c r="Q1129" s="348" t="str">
        <f t="shared" si="144"/>
        <v/>
      </c>
      <c r="R1129" s="348" t="str">
        <f t="shared" si="145"/>
        <v/>
      </c>
      <c r="S1129" s="348" t="str">
        <f t="shared" si="146"/>
        <v/>
      </c>
      <c r="T1129" s="348" t="str">
        <f t="shared" si="147"/>
        <v/>
      </c>
      <c r="U1129" s="348" t="str">
        <f t="shared" si="148"/>
        <v/>
      </c>
      <c r="V1129" s="348" t="str">
        <f t="shared" si="149"/>
        <v/>
      </c>
      <c r="W1129" s="348" t="str">
        <f t="shared" si="150"/>
        <v/>
      </c>
      <c r="X1129" s="348" t="str">
        <f t="shared" si="151"/>
        <v/>
      </c>
    </row>
    <row r="1130" spans="1:24" x14ac:dyDescent="0.2">
      <c r="A1130" s="407">
        <v>1122</v>
      </c>
      <c r="B1130" s="438"/>
      <c r="C1130" s="438"/>
      <c r="D1130" s="438"/>
      <c r="E1130" s="438"/>
      <c r="F1130" s="438"/>
      <c r="G1130" s="438"/>
      <c r="H1130" s="438"/>
      <c r="I1130" s="438"/>
      <c r="J1130" s="11"/>
      <c r="Q1130" s="348" t="str">
        <f t="shared" si="144"/>
        <v/>
      </c>
      <c r="R1130" s="348" t="str">
        <f t="shared" si="145"/>
        <v/>
      </c>
      <c r="S1130" s="348" t="str">
        <f t="shared" si="146"/>
        <v/>
      </c>
      <c r="T1130" s="348" t="str">
        <f t="shared" si="147"/>
        <v/>
      </c>
      <c r="U1130" s="348" t="str">
        <f t="shared" si="148"/>
        <v/>
      </c>
      <c r="V1130" s="348" t="str">
        <f t="shared" si="149"/>
        <v/>
      </c>
      <c r="W1130" s="348" t="str">
        <f t="shared" si="150"/>
        <v/>
      </c>
      <c r="X1130" s="348" t="str">
        <f t="shared" si="151"/>
        <v/>
      </c>
    </row>
    <row r="1131" spans="1:24" x14ac:dyDescent="0.2">
      <c r="A1131" s="407">
        <v>1123</v>
      </c>
      <c r="B1131" s="438"/>
      <c r="C1131" s="438"/>
      <c r="D1131" s="438"/>
      <c r="E1131" s="438"/>
      <c r="F1131" s="438"/>
      <c r="G1131" s="438"/>
      <c r="H1131" s="438"/>
      <c r="I1131" s="438"/>
      <c r="J1131" s="11"/>
      <c r="Q1131" s="348" t="str">
        <f t="shared" si="144"/>
        <v/>
      </c>
      <c r="R1131" s="348" t="str">
        <f t="shared" si="145"/>
        <v/>
      </c>
      <c r="S1131" s="348" t="str">
        <f t="shared" si="146"/>
        <v/>
      </c>
      <c r="T1131" s="348" t="str">
        <f t="shared" si="147"/>
        <v/>
      </c>
      <c r="U1131" s="348" t="str">
        <f t="shared" si="148"/>
        <v/>
      </c>
      <c r="V1131" s="348" t="str">
        <f t="shared" si="149"/>
        <v/>
      </c>
      <c r="W1131" s="348" t="str">
        <f t="shared" si="150"/>
        <v/>
      </c>
      <c r="X1131" s="348" t="str">
        <f t="shared" si="151"/>
        <v/>
      </c>
    </row>
    <row r="1132" spans="1:24" x14ac:dyDescent="0.2">
      <c r="A1132" s="407">
        <v>1124</v>
      </c>
      <c r="B1132" s="438"/>
      <c r="C1132" s="438"/>
      <c r="D1132" s="438"/>
      <c r="E1132" s="438"/>
      <c r="F1132" s="438"/>
      <c r="G1132" s="438"/>
      <c r="H1132" s="438"/>
      <c r="I1132" s="438"/>
      <c r="J1132" s="11"/>
      <c r="Q1132" s="348" t="str">
        <f t="shared" si="144"/>
        <v/>
      </c>
      <c r="R1132" s="348" t="str">
        <f t="shared" si="145"/>
        <v/>
      </c>
      <c r="S1132" s="348" t="str">
        <f t="shared" si="146"/>
        <v/>
      </c>
      <c r="T1132" s="348" t="str">
        <f t="shared" si="147"/>
        <v/>
      </c>
      <c r="U1132" s="348" t="str">
        <f t="shared" si="148"/>
        <v/>
      </c>
      <c r="V1132" s="348" t="str">
        <f t="shared" si="149"/>
        <v/>
      </c>
      <c r="W1132" s="348" t="str">
        <f t="shared" si="150"/>
        <v/>
      </c>
      <c r="X1132" s="348" t="str">
        <f t="shared" si="151"/>
        <v/>
      </c>
    </row>
    <row r="1133" spans="1:24" x14ac:dyDescent="0.2">
      <c r="A1133" s="407">
        <v>1125</v>
      </c>
      <c r="B1133" s="438"/>
      <c r="C1133" s="438"/>
      <c r="D1133" s="437"/>
      <c r="E1133" s="438"/>
      <c r="F1133" s="438"/>
      <c r="G1133" s="438"/>
      <c r="H1133" s="438"/>
      <c r="I1133" s="437"/>
      <c r="J1133" s="11"/>
      <c r="Q1133" s="348" t="str">
        <f t="shared" si="144"/>
        <v/>
      </c>
      <c r="R1133" s="348" t="str">
        <f t="shared" si="145"/>
        <v/>
      </c>
      <c r="S1133" s="348" t="str">
        <f t="shared" si="146"/>
        <v/>
      </c>
      <c r="T1133" s="348" t="str">
        <f t="shared" si="147"/>
        <v/>
      </c>
      <c r="U1133" s="348" t="str">
        <f t="shared" si="148"/>
        <v/>
      </c>
      <c r="V1133" s="348" t="str">
        <f t="shared" si="149"/>
        <v/>
      </c>
      <c r="W1133" s="348" t="str">
        <f t="shared" si="150"/>
        <v/>
      </c>
      <c r="X1133" s="348" t="str">
        <f t="shared" si="151"/>
        <v/>
      </c>
    </row>
    <row r="1134" spans="1:24" x14ac:dyDescent="0.2">
      <c r="A1134" s="407">
        <v>1126</v>
      </c>
      <c r="B1134" s="438"/>
      <c r="C1134" s="438"/>
      <c r="D1134" s="438"/>
      <c r="E1134" s="437"/>
      <c r="F1134" s="437"/>
      <c r="G1134" s="437"/>
      <c r="H1134" s="437"/>
      <c r="I1134" s="438"/>
      <c r="J1134" s="11"/>
      <c r="Q1134" s="348" t="str">
        <f t="shared" si="144"/>
        <v/>
      </c>
      <c r="R1134" s="348" t="str">
        <f t="shared" si="145"/>
        <v/>
      </c>
      <c r="S1134" s="348" t="str">
        <f t="shared" si="146"/>
        <v/>
      </c>
      <c r="T1134" s="348" t="str">
        <f t="shared" si="147"/>
        <v/>
      </c>
      <c r="U1134" s="348" t="str">
        <f t="shared" si="148"/>
        <v/>
      </c>
      <c r="V1134" s="348" t="str">
        <f t="shared" si="149"/>
        <v/>
      </c>
      <c r="W1134" s="348" t="str">
        <f t="shared" si="150"/>
        <v/>
      </c>
      <c r="X1134" s="348" t="str">
        <f t="shared" si="151"/>
        <v/>
      </c>
    </row>
    <row r="1135" spans="1:24" x14ac:dyDescent="0.2">
      <c r="A1135" s="407">
        <v>1127</v>
      </c>
      <c r="B1135" s="438"/>
      <c r="C1135" s="438"/>
      <c r="D1135" s="438"/>
      <c r="E1135" s="438"/>
      <c r="F1135" s="438"/>
      <c r="G1135" s="438"/>
      <c r="H1135" s="438"/>
      <c r="I1135" s="438"/>
      <c r="J1135" s="11"/>
      <c r="Q1135" s="348" t="str">
        <f t="shared" si="144"/>
        <v/>
      </c>
      <c r="R1135" s="348" t="str">
        <f t="shared" si="145"/>
        <v/>
      </c>
      <c r="S1135" s="348" t="str">
        <f t="shared" si="146"/>
        <v/>
      </c>
      <c r="T1135" s="348" t="str">
        <f t="shared" si="147"/>
        <v/>
      </c>
      <c r="U1135" s="348" t="str">
        <f t="shared" si="148"/>
        <v/>
      </c>
      <c r="V1135" s="348" t="str">
        <f t="shared" si="149"/>
        <v/>
      </c>
      <c r="W1135" s="348" t="str">
        <f t="shared" si="150"/>
        <v/>
      </c>
      <c r="X1135" s="348" t="str">
        <f t="shared" si="151"/>
        <v/>
      </c>
    </row>
    <row r="1136" spans="1:24" x14ac:dyDescent="0.2">
      <c r="A1136" s="407">
        <v>1128</v>
      </c>
      <c r="B1136" s="438"/>
      <c r="C1136" s="438"/>
      <c r="D1136" s="438"/>
      <c r="E1136" s="438"/>
      <c r="F1136" s="438"/>
      <c r="G1136" s="438"/>
      <c r="H1136" s="438"/>
      <c r="I1136" s="438"/>
      <c r="J1136" s="11"/>
      <c r="Q1136" s="348" t="str">
        <f t="shared" si="144"/>
        <v/>
      </c>
      <c r="R1136" s="348" t="str">
        <f t="shared" si="145"/>
        <v/>
      </c>
      <c r="S1136" s="348" t="str">
        <f t="shared" si="146"/>
        <v/>
      </c>
      <c r="T1136" s="348" t="str">
        <f t="shared" si="147"/>
        <v/>
      </c>
      <c r="U1136" s="348" t="str">
        <f t="shared" si="148"/>
        <v/>
      </c>
      <c r="V1136" s="348" t="str">
        <f t="shared" si="149"/>
        <v/>
      </c>
      <c r="W1136" s="348" t="str">
        <f t="shared" si="150"/>
        <v/>
      </c>
      <c r="X1136" s="348" t="str">
        <f t="shared" si="151"/>
        <v/>
      </c>
    </row>
    <row r="1137" spans="1:24" x14ac:dyDescent="0.2">
      <c r="A1137" s="407">
        <v>1129</v>
      </c>
      <c r="B1137" s="438"/>
      <c r="C1137" s="438"/>
      <c r="D1137" s="438"/>
      <c r="E1137" s="438"/>
      <c r="F1137" s="438"/>
      <c r="G1137" s="438"/>
      <c r="H1137" s="438"/>
      <c r="I1137" s="438"/>
      <c r="J1137" s="11"/>
      <c r="Q1137" s="348" t="str">
        <f t="shared" si="144"/>
        <v/>
      </c>
      <c r="R1137" s="348" t="str">
        <f t="shared" si="145"/>
        <v/>
      </c>
      <c r="S1137" s="348" t="str">
        <f t="shared" si="146"/>
        <v/>
      </c>
      <c r="T1137" s="348" t="str">
        <f t="shared" si="147"/>
        <v/>
      </c>
      <c r="U1137" s="348" t="str">
        <f t="shared" si="148"/>
        <v/>
      </c>
      <c r="V1137" s="348" t="str">
        <f t="shared" si="149"/>
        <v/>
      </c>
      <c r="W1137" s="348" t="str">
        <f t="shared" si="150"/>
        <v/>
      </c>
      <c r="X1137" s="348" t="str">
        <f t="shared" si="151"/>
        <v/>
      </c>
    </row>
    <row r="1138" spans="1:24" x14ac:dyDescent="0.2">
      <c r="A1138" s="407">
        <v>1130</v>
      </c>
      <c r="B1138" s="438"/>
      <c r="C1138" s="438"/>
      <c r="D1138" s="438"/>
      <c r="E1138" s="438"/>
      <c r="F1138" s="438"/>
      <c r="G1138" s="438"/>
      <c r="H1138" s="438"/>
      <c r="I1138" s="438"/>
      <c r="J1138" s="11"/>
      <c r="Q1138" s="348" t="str">
        <f t="shared" si="144"/>
        <v/>
      </c>
      <c r="R1138" s="348" t="str">
        <f t="shared" si="145"/>
        <v/>
      </c>
      <c r="S1138" s="348" t="str">
        <f t="shared" si="146"/>
        <v/>
      </c>
      <c r="T1138" s="348" t="str">
        <f t="shared" si="147"/>
        <v/>
      </c>
      <c r="U1138" s="348" t="str">
        <f t="shared" si="148"/>
        <v/>
      </c>
      <c r="V1138" s="348" t="str">
        <f t="shared" si="149"/>
        <v/>
      </c>
      <c r="W1138" s="348" t="str">
        <f t="shared" si="150"/>
        <v/>
      </c>
      <c r="X1138" s="348" t="str">
        <f t="shared" si="151"/>
        <v/>
      </c>
    </row>
    <row r="1139" spans="1:24" x14ac:dyDescent="0.2">
      <c r="A1139" s="407">
        <v>1131</v>
      </c>
      <c r="B1139" s="438"/>
      <c r="C1139" s="438"/>
      <c r="D1139" s="438"/>
      <c r="E1139" s="438"/>
      <c r="F1139" s="438"/>
      <c r="G1139" s="438"/>
      <c r="H1139" s="438"/>
      <c r="I1139" s="438"/>
      <c r="J1139" s="11"/>
      <c r="Q1139" s="348" t="str">
        <f t="shared" si="144"/>
        <v/>
      </c>
      <c r="R1139" s="348" t="str">
        <f t="shared" si="145"/>
        <v/>
      </c>
      <c r="S1139" s="348" t="str">
        <f t="shared" si="146"/>
        <v/>
      </c>
      <c r="T1139" s="348" t="str">
        <f t="shared" si="147"/>
        <v/>
      </c>
      <c r="U1139" s="348" t="str">
        <f t="shared" si="148"/>
        <v/>
      </c>
      <c r="V1139" s="348" t="str">
        <f t="shared" si="149"/>
        <v/>
      </c>
      <c r="W1139" s="348" t="str">
        <f t="shared" si="150"/>
        <v/>
      </c>
      <c r="X1139" s="348" t="str">
        <f t="shared" si="151"/>
        <v/>
      </c>
    </row>
    <row r="1140" spans="1:24" x14ac:dyDescent="0.2">
      <c r="A1140" s="407">
        <v>1132</v>
      </c>
      <c r="B1140" s="438"/>
      <c r="C1140" s="438"/>
      <c r="D1140" s="438"/>
      <c r="E1140" s="438"/>
      <c r="F1140" s="438"/>
      <c r="G1140" s="438"/>
      <c r="H1140" s="438"/>
      <c r="I1140" s="438"/>
      <c r="J1140" s="11"/>
      <c r="Q1140" s="348" t="str">
        <f t="shared" si="144"/>
        <v/>
      </c>
      <c r="R1140" s="348" t="str">
        <f t="shared" si="145"/>
        <v/>
      </c>
      <c r="S1140" s="348" t="str">
        <f t="shared" si="146"/>
        <v/>
      </c>
      <c r="T1140" s="348" t="str">
        <f t="shared" si="147"/>
        <v/>
      </c>
      <c r="U1140" s="348" t="str">
        <f t="shared" si="148"/>
        <v/>
      </c>
      <c r="V1140" s="348" t="str">
        <f t="shared" si="149"/>
        <v/>
      </c>
      <c r="W1140" s="348" t="str">
        <f t="shared" si="150"/>
        <v/>
      </c>
      <c r="X1140" s="348" t="str">
        <f t="shared" si="151"/>
        <v/>
      </c>
    </row>
    <row r="1141" spans="1:24" x14ac:dyDescent="0.2">
      <c r="A1141" s="407">
        <v>1133</v>
      </c>
      <c r="B1141" s="438"/>
      <c r="C1141" s="438"/>
      <c r="D1141" s="438"/>
      <c r="E1141" s="438"/>
      <c r="F1141" s="438"/>
      <c r="G1141" s="438"/>
      <c r="H1141" s="438"/>
      <c r="I1141" s="438"/>
      <c r="J1141" s="11"/>
      <c r="Q1141" s="348" t="str">
        <f t="shared" si="144"/>
        <v/>
      </c>
      <c r="R1141" s="348" t="str">
        <f t="shared" si="145"/>
        <v/>
      </c>
      <c r="S1141" s="348" t="str">
        <f t="shared" si="146"/>
        <v/>
      </c>
      <c r="T1141" s="348" t="str">
        <f t="shared" si="147"/>
        <v/>
      </c>
      <c r="U1141" s="348" t="str">
        <f t="shared" si="148"/>
        <v/>
      </c>
      <c r="V1141" s="348" t="str">
        <f t="shared" si="149"/>
        <v/>
      </c>
      <c r="W1141" s="348" t="str">
        <f t="shared" si="150"/>
        <v/>
      </c>
      <c r="X1141" s="348" t="str">
        <f t="shared" si="151"/>
        <v/>
      </c>
    </row>
    <row r="1142" spans="1:24" x14ac:dyDescent="0.2">
      <c r="A1142" s="407">
        <v>1134</v>
      </c>
      <c r="B1142" s="438"/>
      <c r="C1142" s="438"/>
      <c r="D1142" s="438"/>
      <c r="E1142" s="438"/>
      <c r="F1142" s="438"/>
      <c r="G1142" s="438"/>
      <c r="H1142" s="438"/>
      <c r="I1142" s="438"/>
      <c r="J1142" s="11"/>
      <c r="Q1142" s="348" t="str">
        <f t="shared" si="144"/>
        <v/>
      </c>
      <c r="R1142" s="348" t="str">
        <f t="shared" si="145"/>
        <v/>
      </c>
      <c r="S1142" s="348" t="str">
        <f t="shared" si="146"/>
        <v/>
      </c>
      <c r="T1142" s="348" t="str">
        <f t="shared" si="147"/>
        <v/>
      </c>
      <c r="U1142" s="348" t="str">
        <f t="shared" si="148"/>
        <v/>
      </c>
      <c r="V1142" s="348" t="str">
        <f t="shared" si="149"/>
        <v/>
      </c>
      <c r="W1142" s="348" t="str">
        <f t="shared" si="150"/>
        <v/>
      </c>
      <c r="X1142" s="348" t="str">
        <f t="shared" si="151"/>
        <v/>
      </c>
    </row>
    <row r="1143" spans="1:24" x14ac:dyDescent="0.2">
      <c r="A1143" s="407">
        <v>1135</v>
      </c>
      <c r="B1143" s="438"/>
      <c r="C1143" s="438"/>
      <c r="D1143" s="438"/>
      <c r="E1143" s="438"/>
      <c r="F1143" s="438"/>
      <c r="G1143" s="438"/>
      <c r="H1143" s="438"/>
      <c r="I1143" s="438"/>
      <c r="J1143" s="11"/>
      <c r="Q1143" s="348" t="str">
        <f t="shared" si="144"/>
        <v/>
      </c>
      <c r="R1143" s="348" t="str">
        <f t="shared" si="145"/>
        <v/>
      </c>
      <c r="S1143" s="348" t="str">
        <f t="shared" si="146"/>
        <v/>
      </c>
      <c r="T1143" s="348" t="str">
        <f t="shared" si="147"/>
        <v/>
      </c>
      <c r="U1143" s="348" t="str">
        <f t="shared" si="148"/>
        <v/>
      </c>
      <c r="V1143" s="348" t="str">
        <f t="shared" si="149"/>
        <v/>
      </c>
      <c r="W1143" s="348" t="str">
        <f t="shared" si="150"/>
        <v/>
      </c>
      <c r="X1143" s="348" t="str">
        <f t="shared" si="151"/>
        <v/>
      </c>
    </row>
    <row r="1144" spans="1:24" x14ac:dyDescent="0.2">
      <c r="A1144" s="407">
        <v>1136</v>
      </c>
      <c r="B1144" s="438"/>
      <c r="C1144" s="437"/>
      <c r="D1144" s="438"/>
      <c r="E1144" s="438"/>
      <c r="F1144" s="438"/>
      <c r="G1144" s="438"/>
      <c r="H1144" s="438"/>
      <c r="I1144" s="438"/>
      <c r="J1144" s="11"/>
      <c r="Q1144" s="348" t="str">
        <f t="shared" si="144"/>
        <v/>
      </c>
      <c r="R1144" s="348" t="str">
        <f t="shared" si="145"/>
        <v/>
      </c>
      <c r="S1144" s="348" t="str">
        <f t="shared" si="146"/>
        <v/>
      </c>
      <c r="T1144" s="348" t="str">
        <f t="shared" si="147"/>
        <v/>
      </c>
      <c r="U1144" s="348" t="str">
        <f t="shared" si="148"/>
        <v/>
      </c>
      <c r="V1144" s="348" t="str">
        <f t="shared" si="149"/>
        <v/>
      </c>
      <c r="W1144" s="348" t="str">
        <f t="shared" si="150"/>
        <v/>
      </c>
      <c r="X1144" s="348" t="str">
        <f t="shared" si="151"/>
        <v/>
      </c>
    </row>
    <row r="1145" spans="1:24" x14ac:dyDescent="0.2">
      <c r="A1145" s="407">
        <v>1137</v>
      </c>
      <c r="B1145" s="438"/>
      <c r="C1145" s="438"/>
      <c r="D1145" s="438"/>
      <c r="E1145" s="438"/>
      <c r="F1145" s="438"/>
      <c r="G1145" s="438"/>
      <c r="H1145" s="438"/>
      <c r="I1145" s="438"/>
      <c r="J1145" s="11"/>
      <c r="Q1145" s="348" t="str">
        <f t="shared" si="144"/>
        <v/>
      </c>
      <c r="R1145" s="348" t="str">
        <f t="shared" si="145"/>
        <v/>
      </c>
      <c r="S1145" s="348" t="str">
        <f t="shared" si="146"/>
        <v/>
      </c>
      <c r="T1145" s="348" t="str">
        <f t="shared" si="147"/>
        <v/>
      </c>
      <c r="U1145" s="348" t="str">
        <f t="shared" si="148"/>
        <v/>
      </c>
      <c r="V1145" s="348" t="str">
        <f t="shared" si="149"/>
        <v/>
      </c>
      <c r="W1145" s="348" t="str">
        <f t="shared" si="150"/>
        <v/>
      </c>
      <c r="X1145" s="348" t="str">
        <f t="shared" si="151"/>
        <v/>
      </c>
    </row>
    <row r="1146" spans="1:24" x14ac:dyDescent="0.2">
      <c r="A1146" s="407">
        <v>1138</v>
      </c>
      <c r="B1146" s="438"/>
      <c r="C1146" s="438"/>
      <c r="D1146" s="438"/>
      <c r="E1146" s="438"/>
      <c r="F1146" s="438"/>
      <c r="G1146" s="438"/>
      <c r="H1146" s="438"/>
      <c r="I1146" s="438"/>
      <c r="J1146" s="11"/>
      <c r="Q1146" s="348" t="str">
        <f t="shared" si="144"/>
        <v/>
      </c>
      <c r="R1146" s="348" t="str">
        <f t="shared" si="145"/>
        <v/>
      </c>
      <c r="S1146" s="348" t="str">
        <f t="shared" si="146"/>
        <v/>
      </c>
      <c r="T1146" s="348" t="str">
        <f t="shared" si="147"/>
        <v/>
      </c>
      <c r="U1146" s="348" t="str">
        <f t="shared" si="148"/>
        <v/>
      </c>
      <c r="V1146" s="348" t="str">
        <f t="shared" si="149"/>
        <v/>
      </c>
      <c r="W1146" s="348" t="str">
        <f t="shared" si="150"/>
        <v/>
      </c>
      <c r="X1146" s="348" t="str">
        <f t="shared" si="151"/>
        <v/>
      </c>
    </row>
    <row r="1147" spans="1:24" x14ac:dyDescent="0.2">
      <c r="A1147" s="407">
        <v>1139</v>
      </c>
      <c r="B1147" s="438"/>
      <c r="C1147" s="438"/>
      <c r="D1147" s="438"/>
      <c r="E1147" s="438"/>
      <c r="F1147" s="438"/>
      <c r="G1147" s="438"/>
      <c r="H1147" s="438"/>
      <c r="I1147" s="438"/>
      <c r="J1147" s="11"/>
      <c r="Q1147" s="348" t="str">
        <f t="shared" si="144"/>
        <v/>
      </c>
      <c r="R1147" s="348" t="str">
        <f t="shared" si="145"/>
        <v/>
      </c>
      <c r="S1147" s="348" t="str">
        <f t="shared" si="146"/>
        <v/>
      </c>
      <c r="T1147" s="348" t="str">
        <f t="shared" si="147"/>
        <v/>
      </c>
      <c r="U1147" s="348" t="str">
        <f t="shared" si="148"/>
        <v/>
      </c>
      <c r="V1147" s="348" t="str">
        <f t="shared" si="149"/>
        <v/>
      </c>
      <c r="W1147" s="348" t="str">
        <f t="shared" si="150"/>
        <v/>
      </c>
      <c r="X1147" s="348" t="str">
        <f t="shared" si="151"/>
        <v/>
      </c>
    </row>
    <row r="1148" spans="1:24" x14ac:dyDescent="0.2">
      <c r="A1148" s="407">
        <v>1140</v>
      </c>
      <c r="B1148" s="437"/>
      <c r="C1148" s="438"/>
      <c r="D1148" s="438"/>
      <c r="E1148" s="438"/>
      <c r="F1148" s="438"/>
      <c r="G1148" s="438"/>
      <c r="H1148" s="438"/>
      <c r="I1148" s="438"/>
      <c r="J1148" s="11"/>
      <c r="Q1148" s="348" t="str">
        <f t="shared" si="144"/>
        <v/>
      </c>
      <c r="R1148" s="348" t="str">
        <f t="shared" si="145"/>
        <v/>
      </c>
      <c r="S1148" s="348" t="str">
        <f t="shared" si="146"/>
        <v/>
      </c>
      <c r="T1148" s="348" t="str">
        <f t="shared" si="147"/>
        <v/>
      </c>
      <c r="U1148" s="348" t="str">
        <f t="shared" si="148"/>
        <v/>
      </c>
      <c r="V1148" s="348" t="str">
        <f t="shared" si="149"/>
        <v/>
      </c>
      <c r="W1148" s="348" t="str">
        <f t="shared" si="150"/>
        <v/>
      </c>
      <c r="X1148" s="348" t="str">
        <f t="shared" si="151"/>
        <v/>
      </c>
    </row>
    <row r="1149" spans="1:24" x14ac:dyDescent="0.2">
      <c r="A1149" s="407">
        <v>1141</v>
      </c>
      <c r="B1149" s="438"/>
      <c r="C1149" s="438"/>
      <c r="D1149" s="438"/>
      <c r="E1149" s="438"/>
      <c r="F1149" s="438"/>
      <c r="G1149" s="438"/>
      <c r="H1149" s="438"/>
      <c r="I1149" s="438"/>
      <c r="J1149" s="11"/>
      <c r="Q1149" s="348" t="str">
        <f t="shared" si="144"/>
        <v/>
      </c>
      <c r="R1149" s="348" t="str">
        <f t="shared" si="145"/>
        <v/>
      </c>
      <c r="S1149" s="348" t="str">
        <f t="shared" si="146"/>
        <v/>
      </c>
      <c r="T1149" s="348" t="str">
        <f t="shared" si="147"/>
        <v/>
      </c>
      <c r="U1149" s="348" t="str">
        <f t="shared" si="148"/>
        <v/>
      </c>
      <c r="V1149" s="348" t="str">
        <f t="shared" si="149"/>
        <v/>
      </c>
      <c r="W1149" s="348" t="str">
        <f t="shared" si="150"/>
        <v/>
      </c>
      <c r="X1149" s="348" t="str">
        <f t="shared" si="151"/>
        <v/>
      </c>
    </row>
    <row r="1150" spans="1:24" x14ac:dyDescent="0.2">
      <c r="A1150" s="407">
        <v>1142</v>
      </c>
      <c r="B1150" s="438"/>
      <c r="C1150" s="438"/>
      <c r="D1150" s="438"/>
      <c r="E1150" s="438"/>
      <c r="F1150" s="438"/>
      <c r="G1150" s="438"/>
      <c r="H1150" s="438"/>
      <c r="I1150" s="438"/>
      <c r="J1150" s="11"/>
      <c r="Q1150" s="348" t="str">
        <f t="shared" si="144"/>
        <v/>
      </c>
      <c r="R1150" s="348" t="str">
        <f t="shared" si="145"/>
        <v/>
      </c>
      <c r="S1150" s="348" t="str">
        <f t="shared" si="146"/>
        <v/>
      </c>
      <c r="T1150" s="348" t="str">
        <f t="shared" si="147"/>
        <v/>
      </c>
      <c r="U1150" s="348" t="str">
        <f t="shared" si="148"/>
        <v/>
      </c>
      <c r="V1150" s="348" t="str">
        <f t="shared" si="149"/>
        <v/>
      </c>
      <c r="W1150" s="348" t="str">
        <f t="shared" si="150"/>
        <v/>
      </c>
      <c r="X1150" s="348" t="str">
        <f t="shared" si="151"/>
        <v/>
      </c>
    </row>
    <row r="1151" spans="1:24" x14ac:dyDescent="0.2">
      <c r="A1151" s="407">
        <v>1143</v>
      </c>
      <c r="B1151" s="438"/>
      <c r="C1151" s="438"/>
      <c r="D1151" s="438"/>
      <c r="E1151" s="438"/>
      <c r="F1151" s="438"/>
      <c r="G1151" s="438"/>
      <c r="H1151" s="438"/>
      <c r="I1151" s="438"/>
      <c r="J1151" s="11"/>
      <c r="Q1151" s="348" t="str">
        <f t="shared" si="144"/>
        <v/>
      </c>
      <c r="R1151" s="348" t="str">
        <f t="shared" si="145"/>
        <v/>
      </c>
      <c r="S1151" s="348" t="str">
        <f t="shared" si="146"/>
        <v/>
      </c>
      <c r="T1151" s="348" t="str">
        <f t="shared" si="147"/>
        <v/>
      </c>
      <c r="U1151" s="348" t="str">
        <f t="shared" si="148"/>
        <v/>
      </c>
      <c r="V1151" s="348" t="str">
        <f t="shared" si="149"/>
        <v/>
      </c>
      <c r="W1151" s="348" t="str">
        <f t="shared" si="150"/>
        <v/>
      </c>
      <c r="X1151" s="348" t="str">
        <f t="shared" si="151"/>
        <v/>
      </c>
    </row>
    <row r="1152" spans="1:24" x14ac:dyDescent="0.2">
      <c r="A1152" s="407">
        <v>1144</v>
      </c>
      <c r="B1152" s="438"/>
      <c r="C1152" s="438"/>
      <c r="D1152" s="438"/>
      <c r="E1152" s="438"/>
      <c r="F1152" s="438"/>
      <c r="G1152" s="438"/>
      <c r="H1152" s="438"/>
      <c r="I1152" s="438"/>
      <c r="J1152" s="11"/>
      <c r="Q1152" s="348" t="str">
        <f t="shared" si="144"/>
        <v/>
      </c>
      <c r="R1152" s="348" t="str">
        <f t="shared" si="145"/>
        <v/>
      </c>
      <c r="S1152" s="348" t="str">
        <f t="shared" si="146"/>
        <v/>
      </c>
      <c r="T1152" s="348" t="str">
        <f t="shared" si="147"/>
        <v/>
      </c>
      <c r="U1152" s="348" t="str">
        <f t="shared" si="148"/>
        <v/>
      </c>
      <c r="V1152" s="348" t="str">
        <f t="shared" si="149"/>
        <v/>
      </c>
      <c r="W1152" s="348" t="str">
        <f t="shared" si="150"/>
        <v/>
      </c>
      <c r="X1152" s="348" t="str">
        <f t="shared" si="151"/>
        <v/>
      </c>
    </row>
    <row r="1153" spans="1:24" x14ac:dyDescent="0.2">
      <c r="A1153" s="407">
        <v>1145</v>
      </c>
      <c r="B1153" s="438"/>
      <c r="C1153" s="438"/>
      <c r="D1153" s="438"/>
      <c r="E1153" s="438"/>
      <c r="F1153" s="438"/>
      <c r="G1153" s="438"/>
      <c r="H1153" s="438"/>
      <c r="I1153" s="438"/>
      <c r="J1153" s="11"/>
      <c r="Q1153" s="348" t="str">
        <f t="shared" si="144"/>
        <v/>
      </c>
      <c r="R1153" s="348" t="str">
        <f t="shared" si="145"/>
        <v/>
      </c>
      <c r="S1153" s="348" t="str">
        <f t="shared" si="146"/>
        <v/>
      </c>
      <c r="T1153" s="348" t="str">
        <f t="shared" si="147"/>
        <v/>
      </c>
      <c r="U1153" s="348" t="str">
        <f t="shared" si="148"/>
        <v/>
      </c>
      <c r="V1153" s="348" t="str">
        <f t="shared" si="149"/>
        <v/>
      </c>
      <c r="W1153" s="348" t="str">
        <f t="shared" si="150"/>
        <v/>
      </c>
      <c r="X1153" s="348" t="str">
        <f t="shared" si="151"/>
        <v/>
      </c>
    </row>
    <row r="1154" spans="1:24" x14ac:dyDescent="0.2">
      <c r="A1154" s="407">
        <v>1146</v>
      </c>
      <c r="B1154" s="438"/>
      <c r="C1154" s="438"/>
      <c r="D1154" s="438"/>
      <c r="E1154" s="438"/>
      <c r="F1154" s="438"/>
      <c r="G1154" s="438"/>
      <c r="H1154" s="438"/>
      <c r="I1154" s="438"/>
      <c r="J1154" s="11"/>
      <c r="Q1154" s="348" t="str">
        <f t="shared" si="144"/>
        <v/>
      </c>
      <c r="R1154" s="348" t="str">
        <f t="shared" si="145"/>
        <v/>
      </c>
      <c r="S1154" s="348" t="str">
        <f t="shared" si="146"/>
        <v/>
      </c>
      <c r="T1154" s="348" t="str">
        <f t="shared" si="147"/>
        <v/>
      </c>
      <c r="U1154" s="348" t="str">
        <f t="shared" si="148"/>
        <v/>
      </c>
      <c r="V1154" s="348" t="str">
        <f t="shared" si="149"/>
        <v/>
      </c>
      <c r="W1154" s="348" t="str">
        <f t="shared" si="150"/>
        <v/>
      </c>
      <c r="X1154" s="348" t="str">
        <f t="shared" si="151"/>
        <v/>
      </c>
    </row>
    <row r="1155" spans="1:24" x14ac:dyDescent="0.2">
      <c r="A1155" s="407">
        <v>1147</v>
      </c>
      <c r="B1155" s="438"/>
      <c r="C1155" s="438"/>
      <c r="D1155" s="438"/>
      <c r="E1155" s="438"/>
      <c r="F1155" s="438"/>
      <c r="G1155" s="438"/>
      <c r="H1155" s="438"/>
      <c r="I1155" s="438"/>
      <c r="J1155" s="11"/>
      <c r="Q1155" s="348" t="str">
        <f t="shared" si="144"/>
        <v/>
      </c>
      <c r="R1155" s="348" t="str">
        <f t="shared" si="145"/>
        <v/>
      </c>
      <c r="S1155" s="348" t="str">
        <f t="shared" si="146"/>
        <v/>
      </c>
      <c r="T1155" s="348" t="str">
        <f t="shared" si="147"/>
        <v/>
      </c>
      <c r="U1155" s="348" t="str">
        <f t="shared" si="148"/>
        <v/>
      </c>
      <c r="V1155" s="348" t="str">
        <f t="shared" si="149"/>
        <v/>
      </c>
      <c r="W1155" s="348" t="str">
        <f t="shared" si="150"/>
        <v/>
      </c>
      <c r="X1155" s="348" t="str">
        <f t="shared" si="151"/>
        <v/>
      </c>
    </row>
    <row r="1156" spans="1:24" x14ac:dyDescent="0.2">
      <c r="A1156" s="407">
        <v>1148</v>
      </c>
      <c r="B1156" s="437"/>
      <c r="C1156" s="438"/>
      <c r="D1156" s="438"/>
      <c r="E1156" s="438"/>
      <c r="F1156" s="438"/>
      <c r="G1156" s="438"/>
      <c r="H1156" s="438"/>
      <c r="I1156" s="438"/>
      <c r="J1156" s="11"/>
      <c r="Q1156" s="348" t="str">
        <f t="shared" si="144"/>
        <v/>
      </c>
      <c r="R1156" s="348" t="str">
        <f t="shared" si="145"/>
        <v/>
      </c>
      <c r="S1156" s="348" t="str">
        <f t="shared" si="146"/>
        <v/>
      </c>
      <c r="T1156" s="348" t="str">
        <f t="shared" si="147"/>
        <v/>
      </c>
      <c r="U1156" s="348" t="str">
        <f t="shared" si="148"/>
        <v/>
      </c>
      <c r="V1156" s="348" t="str">
        <f t="shared" si="149"/>
        <v/>
      </c>
      <c r="W1156" s="348" t="str">
        <f t="shared" si="150"/>
        <v/>
      </c>
      <c r="X1156" s="348" t="str">
        <f t="shared" si="151"/>
        <v/>
      </c>
    </row>
    <row r="1157" spans="1:24" x14ac:dyDescent="0.2">
      <c r="A1157" s="407">
        <v>1149</v>
      </c>
      <c r="B1157" s="438"/>
      <c r="C1157" s="438"/>
      <c r="D1157" s="438"/>
      <c r="E1157" s="438"/>
      <c r="F1157" s="438"/>
      <c r="G1157" s="438"/>
      <c r="H1157" s="438"/>
      <c r="I1157" s="438"/>
      <c r="J1157" s="11"/>
      <c r="Q1157" s="348" t="str">
        <f t="shared" si="144"/>
        <v/>
      </c>
      <c r="R1157" s="348" t="str">
        <f t="shared" si="145"/>
        <v/>
      </c>
      <c r="S1157" s="348" t="str">
        <f t="shared" si="146"/>
        <v/>
      </c>
      <c r="T1157" s="348" t="str">
        <f t="shared" si="147"/>
        <v/>
      </c>
      <c r="U1157" s="348" t="str">
        <f t="shared" si="148"/>
        <v/>
      </c>
      <c r="V1157" s="348" t="str">
        <f t="shared" si="149"/>
        <v/>
      </c>
      <c r="W1157" s="348" t="str">
        <f t="shared" si="150"/>
        <v/>
      </c>
      <c r="X1157" s="348" t="str">
        <f t="shared" si="151"/>
        <v/>
      </c>
    </row>
    <row r="1158" spans="1:24" x14ac:dyDescent="0.2">
      <c r="A1158" s="407">
        <v>1150</v>
      </c>
      <c r="B1158" s="438"/>
      <c r="C1158" s="437"/>
      <c r="D1158" s="438"/>
      <c r="E1158" s="438"/>
      <c r="F1158" s="438"/>
      <c r="G1158" s="438"/>
      <c r="H1158" s="438"/>
      <c r="I1158" s="437"/>
      <c r="J1158" s="11"/>
      <c r="Q1158" s="348" t="str">
        <f t="shared" si="144"/>
        <v/>
      </c>
      <c r="R1158" s="348" t="str">
        <f t="shared" si="145"/>
        <v/>
      </c>
      <c r="S1158" s="348" t="str">
        <f t="shared" si="146"/>
        <v/>
      </c>
      <c r="T1158" s="348" t="str">
        <f t="shared" si="147"/>
        <v/>
      </c>
      <c r="U1158" s="348" t="str">
        <f t="shared" si="148"/>
        <v/>
      </c>
      <c r="V1158" s="348" t="str">
        <f t="shared" si="149"/>
        <v/>
      </c>
      <c r="W1158" s="348" t="str">
        <f t="shared" si="150"/>
        <v/>
      </c>
      <c r="X1158" s="348" t="str">
        <f t="shared" si="151"/>
        <v/>
      </c>
    </row>
    <row r="1159" spans="1:24" x14ac:dyDescent="0.2">
      <c r="A1159" s="407">
        <v>1151</v>
      </c>
      <c r="B1159" s="438"/>
      <c r="C1159" s="438"/>
      <c r="D1159" s="438"/>
      <c r="E1159" s="437"/>
      <c r="F1159" s="438"/>
      <c r="G1159" s="438"/>
      <c r="H1159" s="438"/>
      <c r="I1159" s="438"/>
      <c r="J1159" s="11"/>
      <c r="Q1159" s="348" t="str">
        <f t="shared" si="144"/>
        <v/>
      </c>
      <c r="R1159" s="348" t="str">
        <f t="shared" si="145"/>
        <v/>
      </c>
      <c r="S1159" s="348" t="str">
        <f t="shared" si="146"/>
        <v/>
      </c>
      <c r="T1159" s="348" t="str">
        <f t="shared" si="147"/>
        <v/>
      </c>
      <c r="U1159" s="348" t="str">
        <f t="shared" si="148"/>
        <v/>
      </c>
      <c r="V1159" s="348" t="str">
        <f t="shared" si="149"/>
        <v/>
      </c>
      <c r="W1159" s="348" t="str">
        <f t="shared" si="150"/>
        <v/>
      </c>
      <c r="X1159" s="348" t="str">
        <f t="shared" si="151"/>
        <v/>
      </c>
    </row>
    <row r="1160" spans="1:24" x14ac:dyDescent="0.2">
      <c r="A1160" s="407">
        <v>1152</v>
      </c>
      <c r="B1160" s="438"/>
      <c r="C1160" s="438"/>
      <c r="D1160" s="438"/>
      <c r="E1160" s="438"/>
      <c r="F1160" s="438"/>
      <c r="G1160" s="438"/>
      <c r="H1160" s="438"/>
      <c r="I1160" s="438"/>
      <c r="J1160" s="11"/>
      <c r="Q1160" s="348" t="str">
        <f t="shared" si="144"/>
        <v/>
      </c>
      <c r="R1160" s="348" t="str">
        <f t="shared" si="145"/>
        <v/>
      </c>
      <c r="S1160" s="348" t="str">
        <f t="shared" si="146"/>
        <v/>
      </c>
      <c r="T1160" s="348" t="str">
        <f t="shared" si="147"/>
        <v/>
      </c>
      <c r="U1160" s="348" t="str">
        <f t="shared" si="148"/>
        <v/>
      </c>
      <c r="V1160" s="348" t="str">
        <f t="shared" si="149"/>
        <v/>
      </c>
      <c r="W1160" s="348" t="str">
        <f t="shared" si="150"/>
        <v/>
      </c>
      <c r="X1160" s="348" t="str">
        <f t="shared" si="151"/>
        <v/>
      </c>
    </row>
    <row r="1161" spans="1:24" x14ac:dyDescent="0.2">
      <c r="A1161" s="407">
        <v>1153</v>
      </c>
      <c r="B1161" s="438"/>
      <c r="C1161" s="438"/>
      <c r="D1161" s="438"/>
      <c r="E1161" s="438"/>
      <c r="F1161" s="438"/>
      <c r="G1161" s="438"/>
      <c r="H1161" s="438"/>
      <c r="I1161" s="438"/>
      <c r="J1161" s="11"/>
      <c r="Q1161" s="348" t="str">
        <f t="shared" si="144"/>
        <v/>
      </c>
      <c r="R1161" s="348" t="str">
        <f t="shared" si="145"/>
        <v/>
      </c>
      <c r="S1161" s="348" t="str">
        <f t="shared" si="146"/>
        <v/>
      </c>
      <c r="T1161" s="348" t="str">
        <f t="shared" si="147"/>
        <v/>
      </c>
      <c r="U1161" s="348" t="str">
        <f t="shared" si="148"/>
        <v/>
      </c>
      <c r="V1161" s="348" t="str">
        <f t="shared" si="149"/>
        <v/>
      </c>
      <c r="W1161" s="348" t="str">
        <f t="shared" si="150"/>
        <v/>
      </c>
      <c r="X1161" s="348" t="str">
        <f t="shared" si="151"/>
        <v/>
      </c>
    </row>
    <row r="1162" spans="1:24" x14ac:dyDescent="0.2">
      <c r="A1162" s="407">
        <v>1154</v>
      </c>
      <c r="B1162" s="438"/>
      <c r="C1162" s="438"/>
      <c r="D1162" s="438"/>
      <c r="E1162" s="438"/>
      <c r="F1162" s="438"/>
      <c r="G1162" s="438"/>
      <c r="H1162" s="438"/>
      <c r="I1162" s="438"/>
      <c r="J1162" s="11"/>
      <c r="Q1162" s="348" t="str">
        <f t="shared" ref="Q1162:Q1225" si="152">IFERROR(B1162^4*$AB$9+B1162^3*$AC$9+B1162^2*$AD$9+B1162^1*$AE$9+B1162^0*$AF$9,"")</f>
        <v/>
      </c>
      <c r="R1162" s="348" t="str">
        <f t="shared" ref="R1162:R1225" si="153">IFERROR(C1162^4*$AB$10+C1162^3*$AC$10+C1162^2*$AD$10+C1162^1*$AE$10+C1162^0*$AF$10,"")</f>
        <v/>
      </c>
      <c r="S1162" s="348" t="str">
        <f t="shared" ref="S1162:S1225" si="154">IFERROR(D1162^4*$AB$11+D1162^3*$AC$11+D1162^2*$AD$11+D1162^1*$AE$11+D1162^0*$AF$11,"")</f>
        <v/>
      </c>
      <c r="T1162" s="348" t="str">
        <f t="shared" ref="T1162:T1225" si="155">IFERROR(E1162^4*$AB$12+E1162^3*$AC$12+E1162^2*$AD$12+E1162^1*$AE$12+E1162^0*$AF$12,"")</f>
        <v/>
      </c>
      <c r="U1162" s="348" t="str">
        <f t="shared" ref="U1162:U1225" si="156">IFERROR(F1162^4*$AB$13+F1162^3*$AC$13+F1162^2*$AD$13+F1162^1*$AE$13+F1162^0*$AF$13,"")</f>
        <v/>
      </c>
      <c r="V1162" s="348" t="str">
        <f t="shared" ref="V1162:V1225" si="157">IFERROR(G1162^4*$AB$14+G1162^3*$AC$14+G1162^2*$AD$14+G1162^1*$AE$14+G1162^0*$AF$14,"")</f>
        <v/>
      </c>
      <c r="W1162" s="348" t="str">
        <f t="shared" ref="W1162:W1225" si="158">IFERROR(H1162^4*$AB$15+H1162^3*$AC$15+H1162^2*$AD$15+H1162^1*$AE$15+H1162^0*$AF$15,"")</f>
        <v/>
      </c>
      <c r="X1162" s="348" t="str">
        <f t="shared" ref="X1162:X1225" si="159">IFERROR(I1162^4*$AB$16+I1162^3*$AC$16+I1162^2*$AD$16+I1162^1*$AE$16+I1162^0*$AF$16,"")</f>
        <v/>
      </c>
    </row>
    <row r="1163" spans="1:24" x14ac:dyDescent="0.2">
      <c r="A1163" s="407">
        <v>1155</v>
      </c>
      <c r="B1163" s="438"/>
      <c r="C1163" s="438"/>
      <c r="D1163" s="437"/>
      <c r="E1163" s="438"/>
      <c r="F1163" s="438"/>
      <c r="G1163" s="438"/>
      <c r="H1163" s="438"/>
      <c r="I1163" s="438"/>
      <c r="J1163" s="11"/>
      <c r="Q1163" s="348" t="str">
        <f t="shared" si="152"/>
        <v/>
      </c>
      <c r="R1163" s="348" t="str">
        <f t="shared" si="153"/>
        <v/>
      </c>
      <c r="S1163" s="348" t="str">
        <f t="shared" si="154"/>
        <v/>
      </c>
      <c r="T1163" s="348" t="str">
        <f t="shared" si="155"/>
        <v/>
      </c>
      <c r="U1163" s="348" t="str">
        <f t="shared" si="156"/>
        <v/>
      </c>
      <c r="V1163" s="348" t="str">
        <f t="shared" si="157"/>
        <v/>
      </c>
      <c r="W1163" s="348" t="str">
        <f t="shared" si="158"/>
        <v/>
      </c>
      <c r="X1163" s="348" t="str">
        <f t="shared" si="159"/>
        <v/>
      </c>
    </row>
    <row r="1164" spans="1:24" x14ac:dyDescent="0.2">
      <c r="A1164" s="407">
        <v>1156</v>
      </c>
      <c r="B1164" s="438"/>
      <c r="C1164" s="438"/>
      <c r="D1164" s="438"/>
      <c r="E1164" s="438"/>
      <c r="F1164" s="438"/>
      <c r="G1164" s="438"/>
      <c r="H1164" s="438"/>
      <c r="I1164" s="438"/>
      <c r="J1164" s="11"/>
      <c r="Q1164" s="348" t="str">
        <f t="shared" si="152"/>
        <v/>
      </c>
      <c r="R1164" s="348" t="str">
        <f t="shared" si="153"/>
        <v/>
      </c>
      <c r="S1164" s="348" t="str">
        <f t="shared" si="154"/>
        <v/>
      </c>
      <c r="T1164" s="348" t="str">
        <f t="shared" si="155"/>
        <v/>
      </c>
      <c r="U1164" s="348" t="str">
        <f t="shared" si="156"/>
        <v/>
      </c>
      <c r="V1164" s="348" t="str">
        <f t="shared" si="157"/>
        <v/>
      </c>
      <c r="W1164" s="348" t="str">
        <f t="shared" si="158"/>
        <v/>
      </c>
      <c r="X1164" s="348" t="str">
        <f t="shared" si="159"/>
        <v/>
      </c>
    </row>
    <row r="1165" spans="1:24" x14ac:dyDescent="0.2">
      <c r="A1165" s="407">
        <v>1157</v>
      </c>
      <c r="B1165" s="438"/>
      <c r="C1165" s="438"/>
      <c r="D1165" s="438"/>
      <c r="E1165" s="438"/>
      <c r="F1165" s="438"/>
      <c r="G1165" s="438"/>
      <c r="H1165" s="438"/>
      <c r="I1165" s="438"/>
      <c r="J1165" s="11"/>
      <c r="Q1165" s="348" t="str">
        <f t="shared" si="152"/>
        <v/>
      </c>
      <c r="R1165" s="348" t="str">
        <f t="shared" si="153"/>
        <v/>
      </c>
      <c r="S1165" s="348" t="str">
        <f t="shared" si="154"/>
        <v/>
      </c>
      <c r="T1165" s="348" t="str">
        <f t="shared" si="155"/>
        <v/>
      </c>
      <c r="U1165" s="348" t="str">
        <f t="shared" si="156"/>
        <v/>
      </c>
      <c r="V1165" s="348" t="str">
        <f t="shared" si="157"/>
        <v/>
      </c>
      <c r="W1165" s="348" t="str">
        <f t="shared" si="158"/>
        <v/>
      </c>
      <c r="X1165" s="348" t="str">
        <f t="shared" si="159"/>
        <v/>
      </c>
    </row>
    <row r="1166" spans="1:24" x14ac:dyDescent="0.2">
      <c r="A1166" s="407">
        <v>1158</v>
      </c>
      <c r="B1166" s="438"/>
      <c r="C1166" s="438"/>
      <c r="D1166" s="438"/>
      <c r="E1166" s="438"/>
      <c r="F1166" s="438"/>
      <c r="G1166" s="438"/>
      <c r="H1166" s="438"/>
      <c r="I1166" s="438"/>
      <c r="J1166" s="11"/>
      <c r="Q1166" s="348" t="str">
        <f t="shared" si="152"/>
        <v/>
      </c>
      <c r="R1166" s="348" t="str">
        <f t="shared" si="153"/>
        <v/>
      </c>
      <c r="S1166" s="348" t="str">
        <f t="shared" si="154"/>
        <v/>
      </c>
      <c r="T1166" s="348" t="str">
        <f t="shared" si="155"/>
        <v/>
      </c>
      <c r="U1166" s="348" t="str">
        <f t="shared" si="156"/>
        <v/>
      </c>
      <c r="V1166" s="348" t="str">
        <f t="shared" si="157"/>
        <v/>
      </c>
      <c r="W1166" s="348" t="str">
        <f t="shared" si="158"/>
        <v/>
      </c>
      <c r="X1166" s="348" t="str">
        <f t="shared" si="159"/>
        <v/>
      </c>
    </row>
    <row r="1167" spans="1:24" x14ac:dyDescent="0.2">
      <c r="A1167" s="407">
        <v>1159</v>
      </c>
      <c r="B1167" s="438"/>
      <c r="C1167" s="438"/>
      <c r="D1167" s="438"/>
      <c r="E1167" s="438"/>
      <c r="F1167" s="438"/>
      <c r="G1167" s="438"/>
      <c r="H1167" s="438"/>
      <c r="I1167" s="438"/>
      <c r="J1167" s="11"/>
      <c r="Q1167" s="348" t="str">
        <f t="shared" si="152"/>
        <v/>
      </c>
      <c r="R1167" s="348" t="str">
        <f t="shared" si="153"/>
        <v/>
      </c>
      <c r="S1167" s="348" t="str">
        <f t="shared" si="154"/>
        <v/>
      </c>
      <c r="T1167" s="348" t="str">
        <f t="shared" si="155"/>
        <v/>
      </c>
      <c r="U1167" s="348" t="str">
        <f t="shared" si="156"/>
        <v/>
      </c>
      <c r="V1167" s="348" t="str">
        <f t="shared" si="157"/>
        <v/>
      </c>
      <c r="W1167" s="348" t="str">
        <f t="shared" si="158"/>
        <v/>
      </c>
      <c r="X1167" s="348" t="str">
        <f t="shared" si="159"/>
        <v/>
      </c>
    </row>
    <row r="1168" spans="1:24" x14ac:dyDescent="0.2">
      <c r="A1168" s="407">
        <v>1160</v>
      </c>
      <c r="B1168" s="438"/>
      <c r="C1168" s="438"/>
      <c r="D1168" s="438"/>
      <c r="E1168" s="438"/>
      <c r="F1168" s="438"/>
      <c r="G1168" s="438"/>
      <c r="H1168" s="438"/>
      <c r="I1168" s="438"/>
      <c r="J1168" s="11"/>
      <c r="Q1168" s="348" t="str">
        <f t="shared" si="152"/>
        <v/>
      </c>
      <c r="R1168" s="348" t="str">
        <f t="shared" si="153"/>
        <v/>
      </c>
      <c r="S1168" s="348" t="str">
        <f t="shared" si="154"/>
        <v/>
      </c>
      <c r="T1168" s="348" t="str">
        <f t="shared" si="155"/>
        <v/>
      </c>
      <c r="U1168" s="348" t="str">
        <f t="shared" si="156"/>
        <v/>
      </c>
      <c r="V1168" s="348" t="str">
        <f t="shared" si="157"/>
        <v/>
      </c>
      <c r="W1168" s="348" t="str">
        <f t="shared" si="158"/>
        <v/>
      </c>
      <c r="X1168" s="348" t="str">
        <f t="shared" si="159"/>
        <v/>
      </c>
    </row>
    <row r="1169" spans="1:24" x14ac:dyDescent="0.2">
      <c r="A1169" s="407">
        <v>1161</v>
      </c>
      <c r="B1169" s="438"/>
      <c r="C1169" s="438"/>
      <c r="D1169" s="438"/>
      <c r="E1169" s="438"/>
      <c r="F1169" s="438"/>
      <c r="G1169" s="438"/>
      <c r="H1169" s="438"/>
      <c r="I1169" s="438"/>
      <c r="J1169" s="11"/>
      <c r="Q1169" s="348" t="str">
        <f t="shared" si="152"/>
        <v/>
      </c>
      <c r="R1169" s="348" t="str">
        <f t="shared" si="153"/>
        <v/>
      </c>
      <c r="S1169" s="348" t="str">
        <f t="shared" si="154"/>
        <v/>
      </c>
      <c r="T1169" s="348" t="str">
        <f t="shared" si="155"/>
        <v/>
      </c>
      <c r="U1169" s="348" t="str">
        <f t="shared" si="156"/>
        <v/>
      </c>
      <c r="V1169" s="348" t="str">
        <f t="shared" si="157"/>
        <v/>
      </c>
      <c r="W1169" s="348" t="str">
        <f t="shared" si="158"/>
        <v/>
      </c>
      <c r="X1169" s="348" t="str">
        <f t="shared" si="159"/>
        <v/>
      </c>
    </row>
    <row r="1170" spans="1:24" x14ac:dyDescent="0.2">
      <c r="A1170" s="407">
        <v>1162</v>
      </c>
      <c r="B1170" s="437"/>
      <c r="C1170" s="438"/>
      <c r="D1170" s="438"/>
      <c r="E1170" s="438"/>
      <c r="F1170" s="438"/>
      <c r="G1170" s="437"/>
      <c r="H1170" s="438"/>
      <c r="I1170" s="438"/>
      <c r="J1170" s="11"/>
      <c r="Q1170" s="348" t="str">
        <f t="shared" si="152"/>
        <v/>
      </c>
      <c r="R1170" s="348" t="str">
        <f t="shared" si="153"/>
        <v/>
      </c>
      <c r="S1170" s="348" t="str">
        <f t="shared" si="154"/>
        <v/>
      </c>
      <c r="T1170" s="348" t="str">
        <f t="shared" si="155"/>
        <v/>
      </c>
      <c r="U1170" s="348" t="str">
        <f t="shared" si="156"/>
        <v/>
      </c>
      <c r="V1170" s="348" t="str">
        <f t="shared" si="157"/>
        <v/>
      </c>
      <c r="W1170" s="348" t="str">
        <f t="shared" si="158"/>
        <v/>
      </c>
      <c r="X1170" s="348" t="str">
        <f t="shared" si="159"/>
        <v/>
      </c>
    </row>
    <row r="1171" spans="1:24" x14ac:dyDescent="0.2">
      <c r="A1171" s="407">
        <v>1163</v>
      </c>
      <c r="B1171" s="438"/>
      <c r="C1171" s="438"/>
      <c r="D1171" s="438"/>
      <c r="E1171" s="438"/>
      <c r="F1171" s="438"/>
      <c r="G1171" s="438"/>
      <c r="H1171" s="438"/>
      <c r="I1171" s="438"/>
      <c r="J1171" s="11"/>
      <c r="Q1171" s="348" t="str">
        <f t="shared" si="152"/>
        <v/>
      </c>
      <c r="R1171" s="348" t="str">
        <f t="shared" si="153"/>
        <v/>
      </c>
      <c r="S1171" s="348" t="str">
        <f t="shared" si="154"/>
        <v/>
      </c>
      <c r="T1171" s="348" t="str">
        <f t="shared" si="155"/>
        <v/>
      </c>
      <c r="U1171" s="348" t="str">
        <f t="shared" si="156"/>
        <v/>
      </c>
      <c r="V1171" s="348" t="str">
        <f t="shared" si="157"/>
        <v/>
      </c>
      <c r="W1171" s="348" t="str">
        <f t="shared" si="158"/>
        <v/>
      </c>
      <c r="X1171" s="348" t="str">
        <f t="shared" si="159"/>
        <v/>
      </c>
    </row>
    <row r="1172" spans="1:24" x14ac:dyDescent="0.2">
      <c r="A1172" s="407">
        <v>1164</v>
      </c>
      <c r="B1172" s="438"/>
      <c r="C1172" s="437"/>
      <c r="D1172" s="438"/>
      <c r="E1172" s="438"/>
      <c r="F1172" s="437"/>
      <c r="G1172" s="438"/>
      <c r="H1172" s="437"/>
      <c r="I1172" s="438"/>
      <c r="J1172" s="11"/>
      <c r="Q1172" s="348" t="str">
        <f t="shared" si="152"/>
        <v/>
      </c>
      <c r="R1172" s="348" t="str">
        <f t="shared" si="153"/>
        <v/>
      </c>
      <c r="S1172" s="348" t="str">
        <f t="shared" si="154"/>
        <v/>
      </c>
      <c r="T1172" s="348" t="str">
        <f t="shared" si="155"/>
        <v/>
      </c>
      <c r="U1172" s="348" t="str">
        <f t="shared" si="156"/>
        <v/>
      </c>
      <c r="V1172" s="348" t="str">
        <f t="shared" si="157"/>
        <v/>
      </c>
      <c r="W1172" s="348" t="str">
        <f t="shared" si="158"/>
        <v/>
      </c>
      <c r="X1172" s="348" t="str">
        <f t="shared" si="159"/>
        <v/>
      </c>
    </row>
    <row r="1173" spans="1:24" x14ac:dyDescent="0.2">
      <c r="A1173" s="407">
        <v>1165</v>
      </c>
      <c r="B1173" s="438"/>
      <c r="C1173" s="438"/>
      <c r="D1173" s="438"/>
      <c r="E1173" s="438"/>
      <c r="F1173" s="438"/>
      <c r="G1173" s="438"/>
      <c r="H1173" s="438"/>
      <c r="I1173" s="438"/>
      <c r="J1173" s="11"/>
      <c r="Q1173" s="348" t="str">
        <f t="shared" si="152"/>
        <v/>
      </c>
      <c r="R1173" s="348" t="str">
        <f t="shared" si="153"/>
        <v/>
      </c>
      <c r="S1173" s="348" t="str">
        <f t="shared" si="154"/>
        <v/>
      </c>
      <c r="T1173" s="348" t="str">
        <f t="shared" si="155"/>
        <v/>
      </c>
      <c r="U1173" s="348" t="str">
        <f t="shared" si="156"/>
        <v/>
      </c>
      <c r="V1173" s="348" t="str">
        <f t="shared" si="157"/>
        <v/>
      </c>
      <c r="W1173" s="348" t="str">
        <f t="shared" si="158"/>
        <v/>
      </c>
      <c r="X1173" s="348" t="str">
        <f t="shared" si="159"/>
        <v/>
      </c>
    </row>
    <row r="1174" spans="1:24" x14ac:dyDescent="0.2">
      <c r="A1174" s="407">
        <v>1166</v>
      </c>
      <c r="B1174" s="438"/>
      <c r="C1174" s="438"/>
      <c r="D1174" s="438"/>
      <c r="E1174" s="438"/>
      <c r="F1174" s="438"/>
      <c r="G1174" s="438"/>
      <c r="H1174" s="438"/>
      <c r="I1174" s="438"/>
      <c r="J1174" s="11"/>
      <c r="Q1174" s="348" t="str">
        <f t="shared" si="152"/>
        <v/>
      </c>
      <c r="R1174" s="348" t="str">
        <f t="shared" si="153"/>
        <v/>
      </c>
      <c r="S1174" s="348" t="str">
        <f t="shared" si="154"/>
        <v/>
      </c>
      <c r="T1174" s="348" t="str">
        <f t="shared" si="155"/>
        <v/>
      </c>
      <c r="U1174" s="348" t="str">
        <f t="shared" si="156"/>
        <v/>
      </c>
      <c r="V1174" s="348" t="str">
        <f t="shared" si="157"/>
        <v/>
      </c>
      <c r="W1174" s="348" t="str">
        <f t="shared" si="158"/>
        <v/>
      </c>
      <c r="X1174" s="348" t="str">
        <f t="shared" si="159"/>
        <v/>
      </c>
    </row>
    <row r="1175" spans="1:24" x14ac:dyDescent="0.2">
      <c r="A1175" s="407">
        <v>1167</v>
      </c>
      <c r="B1175" s="438"/>
      <c r="C1175" s="438"/>
      <c r="D1175" s="438"/>
      <c r="E1175" s="438"/>
      <c r="F1175" s="438"/>
      <c r="G1175" s="438"/>
      <c r="H1175" s="438"/>
      <c r="I1175" s="438"/>
      <c r="J1175" s="11"/>
      <c r="Q1175" s="348" t="str">
        <f t="shared" si="152"/>
        <v/>
      </c>
      <c r="R1175" s="348" t="str">
        <f t="shared" si="153"/>
        <v/>
      </c>
      <c r="S1175" s="348" t="str">
        <f t="shared" si="154"/>
        <v/>
      </c>
      <c r="T1175" s="348" t="str">
        <f t="shared" si="155"/>
        <v/>
      </c>
      <c r="U1175" s="348" t="str">
        <f t="shared" si="156"/>
        <v/>
      </c>
      <c r="V1175" s="348" t="str">
        <f t="shared" si="157"/>
        <v/>
      </c>
      <c r="W1175" s="348" t="str">
        <f t="shared" si="158"/>
        <v/>
      </c>
      <c r="X1175" s="348" t="str">
        <f t="shared" si="159"/>
        <v/>
      </c>
    </row>
    <row r="1176" spans="1:24" x14ac:dyDescent="0.2">
      <c r="A1176" s="407">
        <v>1168</v>
      </c>
      <c r="B1176" s="438"/>
      <c r="C1176" s="438"/>
      <c r="D1176" s="438"/>
      <c r="E1176" s="438"/>
      <c r="F1176" s="438"/>
      <c r="G1176" s="438"/>
      <c r="H1176" s="438"/>
      <c r="I1176" s="438"/>
      <c r="J1176" s="11"/>
      <c r="Q1176" s="348" t="str">
        <f t="shared" si="152"/>
        <v/>
      </c>
      <c r="R1176" s="348" t="str">
        <f t="shared" si="153"/>
        <v/>
      </c>
      <c r="S1176" s="348" t="str">
        <f t="shared" si="154"/>
        <v/>
      </c>
      <c r="T1176" s="348" t="str">
        <f t="shared" si="155"/>
        <v/>
      </c>
      <c r="U1176" s="348" t="str">
        <f t="shared" si="156"/>
        <v/>
      </c>
      <c r="V1176" s="348" t="str">
        <f t="shared" si="157"/>
        <v/>
      </c>
      <c r="W1176" s="348" t="str">
        <f t="shared" si="158"/>
        <v/>
      </c>
      <c r="X1176" s="348" t="str">
        <f t="shared" si="159"/>
        <v/>
      </c>
    </row>
    <row r="1177" spans="1:24" x14ac:dyDescent="0.2">
      <c r="A1177" s="407">
        <v>1169</v>
      </c>
      <c r="B1177" s="438"/>
      <c r="C1177" s="438"/>
      <c r="D1177" s="438"/>
      <c r="E1177" s="437"/>
      <c r="F1177" s="438"/>
      <c r="G1177" s="438"/>
      <c r="H1177" s="438"/>
      <c r="I1177" s="438"/>
      <c r="J1177" s="11"/>
      <c r="Q1177" s="348" t="str">
        <f t="shared" si="152"/>
        <v/>
      </c>
      <c r="R1177" s="348" t="str">
        <f t="shared" si="153"/>
        <v/>
      </c>
      <c r="S1177" s="348" t="str">
        <f t="shared" si="154"/>
        <v/>
      </c>
      <c r="T1177" s="348" t="str">
        <f t="shared" si="155"/>
        <v/>
      </c>
      <c r="U1177" s="348" t="str">
        <f t="shared" si="156"/>
        <v/>
      </c>
      <c r="V1177" s="348" t="str">
        <f t="shared" si="157"/>
        <v/>
      </c>
      <c r="W1177" s="348" t="str">
        <f t="shared" si="158"/>
        <v/>
      </c>
      <c r="X1177" s="348" t="str">
        <f t="shared" si="159"/>
        <v/>
      </c>
    </row>
    <row r="1178" spans="1:24" x14ac:dyDescent="0.2">
      <c r="A1178" s="407">
        <v>1170</v>
      </c>
      <c r="B1178" s="438"/>
      <c r="C1178" s="438"/>
      <c r="D1178" s="438"/>
      <c r="E1178" s="438"/>
      <c r="F1178" s="438"/>
      <c r="G1178" s="438"/>
      <c r="H1178" s="438"/>
      <c r="I1178" s="438"/>
      <c r="J1178" s="11"/>
      <c r="Q1178" s="348" t="str">
        <f t="shared" si="152"/>
        <v/>
      </c>
      <c r="R1178" s="348" t="str">
        <f t="shared" si="153"/>
        <v/>
      </c>
      <c r="S1178" s="348" t="str">
        <f t="shared" si="154"/>
        <v/>
      </c>
      <c r="T1178" s="348" t="str">
        <f t="shared" si="155"/>
        <v/>
      </c>
      <c r="U1178" s="348" t="str">
        <f t="shared" si="156"/>
        <v/>
      </c>
      <c r="V1178" s="348" t="str">
        <f t="shared" si="157"/>
        <v/>
      </c>
      <c r="W1178" s="348" t="str">
        <f t="shared" si="158"/>
        <v/>
      </c>
      <c r="X1178" s="348" t="str">
        <f t="shared" si="159"/>
        <v/>
      </c>
    </row>
    <row r="1179" spans="1:24" x14ac:dyDescent="0.2">
      <c r="A1179" s="407">
        <v>1171</v>
      </c>
      <c r="B1179" s="438"/>
      <c r="C1179" s="438"/>
      <c r="D1179" s="438"/>
      <c r="E1179" s="438"/>
      <c r="F1179" s="438"/>
      <c r="G1179" s="438"/>
      <c r="H1179" s="438"/>
      <c r="I1179" s="438"/>
      <c r="J1179" s="11"/>
      <c r="Q1179" s="348" t="str">
        <f t="shared" si="152"/>
        <v/>
      </c>
      <c r="R1179" s="348" t="str">
        <f t="shared" si="153"/>
        <v/>
      </c>
      <c r="S1179" s="348" t="str">
        <f t="shared" si="154"/>
        <v/>
      </c>
      <c r="T1179" s="348" t="str">
        <f t="shared" si="155"/>
        <v/>
      </c>
      <c r="U1179" s="348" t="str">
        <f t="shared" si="156"/>
        <v/>
      </c>
      <c r="V1179" s="348" t="str">
        <f t="shared" si="157"/>
        <v/>
      </c>
      <c r="W1179" s="348" t="str">
        <f t="shared" si="158"/>
        <v/>
      </c>
      <c r="X1179" s="348" t="str">
        <f t="shared" si="159"/>
        <v/>
      </c>
    </row>
    <row r="1180" spans="1:24" x14ac:dyDescent="0.2">
      <c r="A1180" s="407">
        <v>1172</v>
      </c>
      <c r="B1180" s="438"/>
      <c r="C1180" s="438"/>
      <c r="D1180" s="438"/>
      <c r="E1180" s="438"/>
      <c r="F1180" s="438"/>
      <c r="G1180" s="438"/>
      <c r="H1180" s="438"/>
      <c r="I1180" s="438"/>
      <c r="J1180" s="11"/>
      <c r="Q1180" s="348" t="str">
        <f t="shared" si="152"/>
        <v/>
      </c>
      <c r="R1180" s="348" t="str">
        <f t="shared" si="153"/>
        <v/>
      </c>
      <c r="S1180" s="348" t="str">
        <f t="shared" si="154"/>
        <v/>
      </c>
      <c r="T1180" s="348" t="str">
        <f t="shared" si="155"/>
        <v/>
      </c>
      <c r="U1180" s="348" t="str">
        <f t="shared" si="156"/>
        <v/>
      </c>
      <c r="V1180" s="348" t="str">
        <f t="shared" si="157"/>
        <v/>
      </c>
      <c r="W1180" s="348" t="str">
        <f t="shared" si="158"/>
        <v/>
      </c>
      <c r="X1180" s="348" t="str">
        <f t="shared" si="159"/>
        <v/>
      </c>
    </row>
    <row r="1181" spans="1:24" x14ac:dyDescent="0.2">
      <c r="A1181" s="407">
        <v>1173</v>
      </c>
      <c r="B1181" s="438"/>
      <c r="C1181" s="438"/>
      <c r="D1181" s="438"/>
      <c r="E1181" s="438"/>
      <c r="F1181" s="438"/>
      <c r="G1181" s="438"/>
      <c r="H1181" s="438"/>
      <c r="I1181" s="438"/>
      <c r="J1181" s="11"/>
      <c r="Q1181" s="348" t="str">
        <f t="shared" si="152"/>
        <v/>
      </c>
      <c r="R1181" s="348" t="str">
        <f t="shared" si="153"/>
        <v/>
      </c>
      <c r="S1181" s="348" t="str">
        <f t="shared" si="154"/>
        <v/>
      </c>
      <c r="T1181" s="348" t="str">
        <f t="shared" si="155"/>
        <v/>
      </c>
      <c r="U1181" s="348" t="str">
        <f t="shared" si="156"/>
        <v/>
      </c>
      <c r="V1181" s="348" t="str">
        <f t="shared" si="157"/>
        <v/>
      </c>
      <c r="W1181" s="348" t="str">
        <f t="shared" si="158"/>
        <v/>
      </c>
      <c r="X1181" s="348" t="str">
        <f t="shared" si="159"/>
        <v/>
      </c>
    </row>
    <row r="1182" spans="1:24" x14ac:dyDescent="0.2">
      <c r="A1182" s="407">
        <v>1174</v>
      </c>
      <c r="B1182" s="438"/>
      <c r="C1182" s="438"/>
      <c r="D1182" s="438"/>
      <c r="E1182" s="438"/>
      <c r="F1182" s="438"/>
      <c r="G1182" s="438"/>
      <c r="H1182" s="438"/>
      <c r="I1182" s="438"/>
      <c r="J1182" s="11"/>
      <c r="Q1182" s="348" t="str">
        <f t="shared" si="152"/>
        <v/>
      </c>
      <c r="R1182" s="348" t="str">
        <f t="shared" si="153"/>
        <v/>
      </c>
      <c r="S1182" s="348" t="str">
        <f t="shared" si="154"/>
        <v/>
      </c>
      <c r="T1182" s="348" t="str">
        <f t="shared" si="155"/>
        <v/>
      </c>
      <c r="U1182" s="348" t="str">
        <f t="shared" si="156"/>
        <v/>
      </c>
      <c r="V1182" s="348" t="str">
        <f t="shared" si="157"/>
        <v/>
      </c>
      <c r="W1182" s="348" t="str">
        <f t="shared" si="158"/>
        <v/>
      </c>
      <c r="X1182" s="348" t="str">
        <f t="shared" si="159"/>
        <v/>
      </c>
    </row>
    <row r="1183" spans="1:24" x14ac:dyDescent="0.2">
      <c r="A1183" s="407">
        <v>1175</v>
      </c>
      <c r="B1183" s="438"/>
      <c r="C1183" s="438"/>
      <c r="D1183" s="438"/>
      <c r="E1183" s="438"/>
      <c r="F1183" s="438"/>
      <c r="G1183" s="438"/>
      <c r="H1183" s="438"/>
      <c r="I1183" s="438"/>
      <c r="J1183" s="11"/>
      <c r="Q1183" s="348" t="str">
        <f t="shared" si="152"/>
        <v/>
      </c>
      <c r="R1183" s="348" t="str">
        <f t="shared" si="153"/>
        <v/>
      </c>
      <c r="S1183" s="348" t="str">
        <f t="shared" si="154"/>
        <v/>
      </c>
      <c r="T1183" s="348" t="str">
        <f t="shared" si="155"/>
        <v/>
      </c>
      <c r="U1183" s="348" t="str">
        <f t="shared" si="156"/>
        <v/>
      </c>
      <c r="V1183" s="348" t="str">
        <f t="shared" si="157"/>
        <v/>
      </c>
      <c r="W1183" s="348" t="str">
        <f t="shared" si="158"/>
        <v/>
      </c>
      <c r="X1183" s="348" t="str">
        <f t="shared" si="159"/>
        <v/>
      </c>
    </row>
    <row r="1184" spans="1:24" x14ac:dyDescent="0.2">
      <c r="A1184" s="407">
        <v>1176</v>
      </c>
      <c r="B1184" s="438"/>
      <c r="C1184" s="438"/>
      <c r="D1184" s="438"/>
      <c r="E1184" s="438"/>
      <c r="F1184" s="438"/>
      <c r="G1184" s="438"/>
      <c r="H1184" s="438"/>
      <c r="I1184" s="438"/>
      <c r="J1184" s="11"/>
      <c r="Q1184" s="348" t="str">
        <f t="shared" si="152"/>
        <v/>
      </c>
      <c r="R1184" s="348" t="str">
        <f t="shared" si="153"/>
        <v/>
      </c>
      <c r="S1184" s="348" t="str">
        <f t="shared" si="154"/>
        <v/>
      </c>
      <c r="T1184" s="348" t="str">
        <f t="shared" si="155"/>
        <v/>
      </c>
      <c r="U1184" s="348" t="str">
        <f t="shared" si="156"/>
        <v/>
      </c>
      <c r="V1184" s="348" t="str">
        <f t="shared" si="157"/>
        <v/>
      </c>
      <c r="W1184" s="348" t="str">
        <f t="shared" si="158"/>
        <v/>
      </c>
      <c r="X1184" s="348" t="str">
        <f t="shared" si="159"/>
        <v/>
      </c>
    </row>
    <row r="1185" spans="1:24" x14ac:dyDescent="0.2">
      <c r="A1185" s="407">
        <v>1177</v>
      </c>
      <c r="B1185" s="438"/>
      <c r="C1185" s="438"/>
      <c r="D1185" s="438"/>
      <c r="E1185" s="438"/>
      <c r="F1185" s="438"/>
      <c r="G1185" s="438"/>
      <c r="H1185" s="438"/>
      <c r="I1185" s="438"/>
      <c r="J1185" s="11"/>
      <c r="Q1185" s="348" t="str">
        <f t="shared" si="152"/>
        <v/>
      </c>
      <c r="R1185" s="348" t="str">
        <f t="shared" si="153"/>
        <v/>
      </c>
      <c r="S1185" s="348" t="str">
        <f t="shared" si="154"/>
        <v/>
      </c>
      <c r="T1185" s="348" t="str">
        <f t="shared" si="155"/>
        <v/>
      </c>
      <c r="U1185" s="348" t="str">
        <f t="shared" si="156"/>
        <v/>
      </c>
      <c r="V1185" s="348" t="str">
        <f t="shared" si="157"/>
        <v/>
      </c>
      <c r="W1185" s="348" t="str">
        <f t="shared" si="158"/>
        <v/>
      </c>
      <c r="X1185" s="348" t="str">
        <f t="shared" si="159"/>
        <v/>
      </c>
    </row>
    <row r="1186" spans="1:24" x14ac:dyDescent="0.2">
      <c r="A1186" s="407">
        <v>1178</v>
      </c>
      <c r="B1186" s="438"/>
      <c r="C1186" s="438"/>
      <c r="D1186" s="438"/>
      <c r="E1186" s="438"/>
      <c r="F1186" s="438"/>
      <c r="G1186" s="438"/>
      <c r="H1186" s="438"/>
      <c r="I1186" s="438"/>
      <c r="J1186" s="11"/>
      <c r="Q1186" s="348" t="str">
        <f t="shared" si="152"/>
        <v/>
      </c>
      <c r="R1186" s="348" t="str">
        <f t="shared" si="153"/>
        <v/>
      </c>
      <c r="S1186" s="348" t="str">
        <f t="shared" si="154"/>
        <v/>
      </c>
      <c r="T1186" s="348" t="str">
        <f t="shared" si="155"/>
        <v/>
      </c>
      <c r="U1186" s="348" t="str">
        <f t="shared" si="156"/>
        <v/>
      </c>
      <c r="V1186" s="348" t="str">
        <f t="shared" si="157"/>
        <v/>
      </c>
      <c r="W1186" s="348" t="str">
        <f t="shared" si="158"/>
        <v/>
      </c>
      <c r="X1186" s="348" t="str">
        <f t="shared" si="159"/>
        <v/>
      </c>
    </row>
    <row r="1187" spans="1:24" x14ac:dyDescent="0.2">
      <c r="A1187" s="407">
        <v>1179</v>
      </c>
      <c r="B1187" s="438"/>
      <c r="C1187" s="438"/>
      <c r="D1187" s="438"/>
      <c r="E1187" s="438"/>
      <c r="F1187" s="438"/>
      <c r="G1187" s="438"/>
      <c r="H1187" s="438"/>
      <c r="I1187" s="438"/>
      <c r="J1187" s="11"/>
      <c r="Q1187" s="348" t="str">
        <f t="shared" si="152"/>
        <v/>
      </c>
      <c r="R1187" s="348" t="str">
        <f t="shared" si="153"/>
        <v/>
      </c>
      <c r="S1187" s="348" t="str">
        <f t="shared" si="154"/>
        <v/>
      </c>
      <c r="T1187" s="348" t="str">
        <f t="shared" si="155"/>
        <v/>
      </c>
      <c r="U1187" s="348" t="str">
        <f t="shared" si="156"/>
        <v/>
      </c>
      <c r="V1187" s="348" t="str">
        <f t="shared" si="157"/>
        <v/>
      </c>
      <c r="W1187" s="348" t="str">
        <f t="shared" si="158"/>
        <v/>
      </c>
      <c r="X1187" s="348" t="str">
        <f t="shared" si="159"/>
        <v/>
      </c>
    </row>
    <row r="1188" spans="1:24" x14ac:dyDescent="0.2">
      <c r="A1188" s="407">
        <v>1180</v>
      </c>
      <c r="B1188" s="438"/>
      <c r="C1188" s="438"/>
      <c r="D1188" s="438"/>
      <c r="E1188" s="438"/>
      <c r="F1188" s="438"/>
      <c r="G1188" s="438"/>
      <c r="H1188" s="438"/>
      <c r="I1188" s="438"/>
      <c r="J1188" s="11"/>
      <c r="Q1188" s="348" t="str">
        <f t="shared" si="152"/>
        <v/>
      </c>
      <c r="R1188" s="348" t="str">
        <f t="shared" si="153"/>
        <v/>
      </c>
      <c r="S1188" s="348" t="str">
        <f t="shared" si="154"/>
        <v/>
      </c>
      <c r="T1188" s="348" t="str">
        <f t="shared" si="155"/>
        <v/>
      </c>
      <c r="U1188" s="348" t="str">
        <f t="shared" si="156"/>
        <v/>
      </c>
      <c r="V1188" s="348" t="str">
        <f t="shared" si="157"/>
        <v/>
      </c>
      <c r="W1188" s="348" t="str">
        <f t="shared" si="158"/>
        <v/>
      </c>
      <c r="X1188" s="348" t="str">
        <f t="shared" si="159"/>
        <v/>
      </c>
    </row>
    <row r="1189" spans="1:24" x14ac:dyDescent="0.2">
      <c r="A1189" s="407">
        <v>1181</v>
      </c>
      <c r="B1189" s="437"/>
      <c r="C1189" s="438"/>
      <c r="D1189" s="438"/>
      <c r="E1189" s="438"/>
      <c r="F1189" s="438"/>
      <c r="G1189" s="438"/>
      <c r="H1189" s="438"/>
      <c r="I1189" s="438"/>
      <c r="J1189" s="11"/>
      <c r="Q1189" s="348" t="str">
        <f t="shared" si="152"/>
        <v/>
      </c>
      <c r="R1189" s="348" t="str">
        <f t="shared" si="153"/>
        <v/>
      </c>
      <c r="S1189" s="348" t="str">
        <f t="shared" si="154"/>
        <v/>
      </c>
      <c r="T1189" s="348" t="str">
        <f t="shared" si="155"/>
        <v/>
      </c>
      <c r="U1189" s="348" t="str">
        <f t="shared" si="156"/>
        <v/>
      </c>
      <c r="V1189" s="348" t="str">
        <f t="shared" si="157"/>
        <v/>
      </c>
      <c r="W1189" s="348" t="str">
        <f t="shared" si="158"/>
        <v/>
      </c>
      <c r="X1189" s="348" t="str">
        <f t="shared" si="159"/>
        <v/>
      </c>
    </row>
    <row r="1190" spans="1:24" x14ac:dyDescent="0.2">
      <c r="A1190" s="407">
        <v>1182</v>
      </c>
      <c r="B1190" s="438"/>
      <c r="C1190" s="438"/>
      <c r="D1190" s="438"/>
      <c r="E1190" s="438"/>
      <c r="F1190" s="438"/>
      <c r="G1190" s="438"/>
      <c r="H1190" s="438"/>
      <c r="I1190" s="438"/>
      <c r="J1190" s="11"/>
      <c r="Q1190" s="348" t="str">
        <f t="shared" si="152"/>
        <v/>
      </c>
      <c r="R1190" s="348" t="str">
        <f t="shared" si="153"/>
        <v/>
      </c>
      <c r="S1190" s="348" t="str">
        <f t="shared" si="154"/>
        <v/>
      </c>
      <c r="T1190" s="348" t="str">
        <f t="shared" si="155"/>
        <v/>
      </c>
      <c r="U1190" s="348" t="str">
        <f t="shared" si="156"/>
        <v/>
      </c>
      <c r="V1190" s="348" t="str">
        <f t="shared" si="157"/>
        <v/>
      </c>
      <c r="W1190" s="348" t="str">
        <f t="shared" si="158"/>
        <v/>
      </c>
      <c r="X1190" s="348" t="str">
        <f t="shared" si="159"/>
        <v/>
      </c>
    </row>
    <row r="1191" spans="1:24" x14ac:dyDescent="0.2">
      <c r="A1191" s="407">
        <v>1183</v>
      </c>
      <c r="B1191" s="438"/>
      <c r="C1191" s="438"/>
      <c r="D1191" s="438"/>
      <c r="E1191" s="438"/>
      <c r="F1191" s="438"/>
      <c r="G1191" s="438"/>
      <c r="H1191" s="438"/>
      <c r="I1191" s="438"/>
      <c r="J1191" s="11"/>
      <c r="Q1191" s="348" t="str">
        <f t="shared" si="152"/>
        <v/>
      </c>
      <c r="R1191" s="348" t="str">
        <f t="shared" si="153"/>
        <v/>
      </c>
      <c r="S1191" s="348" t="str">
        <f t="shared" si="154"/>
        <v/>
      </c>
      <c r="T1191" s="348" t="str">
        <f t="shared" si="155"/>
        <v/>
      </c>
      <c r="U1191" s="348" t="str">
        <f t="shared" si="156"/>
        <v/>
      </c>
      <c r="V1191" s="348" t="str">
        <f t="shared" si="157"/>
        <v/>
      </c>
      <c r="W1191" s="348" t="str">
        <f t="shared" si="158"/>
        <v/>
      </c>
      <c r="X1191" s="348" t="str">
        <f t="shared" si="159"/>
        <v/>
      </c>
    </row>
    <row r="1192" spans="1:24" x14ac:dyDescent="0.2">
      <c r="A1192" s="407">
        <v>1184</v>
      </c>
      <c r="B1192" s="438"/>
      <c r="C1192" s="438"/>
      <c r="D1192" s="438"/>
      <c r="E1192" s="438"/>
      <c r="F1192" s="438"/>
      <c r="G1192" s="438"/>
      <c r="H1192" s="438"/>
      <c r="I1192" s="438"/>
      <c r="J1192" s="11"/>
      <c r="Q1192" s="348" t="str">
        <f t="shared" si="152"/>
        <v/>
      </c>
      <c r="R1192" s="348" t="str">
        <f t="shared" si="153"/>
        <v/>
      </c>
      <c r="S1192" s="348" t="str">
        <f t="shared" si="154"/>
        <v/>
      </c>
      <c r="T1192" s="348" t="str">
        <f t="shared" si="155"/>
        <v/>
      </c>
      <c r="U1192" s="348" t="str">
        <f t="shared" si="156"/>
        <v/>
      </c>
      <c r="V1192" s="348" t="str">
        <f t="shared" si="157"/>
        <v/>
      </c>
      <c r="W1192" s="348" t="str">
        <f t="shared" si="158"/>
        <v/>
      </c>
      <c r="X1192" s="348" t="str">
        <f t="shared" si="159"/>
        <v/>
      </c>
    </row>
    <row r="1193" spans="1:24" x14ac:dyDescent="0.2">
      <c r="A1193" s="407">
        <v>1185</v>
      </c>
      <c r="B1193" s="438"/>
      <c r="C1193" s="438"/>
      <c r="D1193" s="438"/>
      <c r="E1193" s="438"/>
      <c r="F1193" s="438"/>
      <c r="G1193" s="438"/>
      <c r="H1193" s="438"/>
      <c r="I1193" s="438"/>
      <c r="J1193" s="11"/>
      <c r="Q1193" s="348" t="str">
        <f t="shared" si="152"/>
        <v/>
      </c>
      <c r="R1193" s="348" t="str">
        <f t="shared" si="153"/>
        <v/>
      </c>
      <c r="S1193" s="348" t="str">
        <f t="shared" si="154"/>
        <v/>
      </c>
      <c r="T1193" s="348" t="str">
        <f t="shared" si="155"/>
        <v/>
      </c>
      <c r="U1193" s="348" t="str">
        <f t="shared" si="156"/>
        <v/>
      </c>
      <c r="V1193" s="348" t="str">
        <f t="shared" si="157"/>
        <v/>
      </c>
      <c r="W1193" s="348" t="str">
        <f t="shared" si="158"/>
        <v/>
      </c>
      <c r="X1193" s="348" t="str">
        <f t="shared" si="159"/>
        <v/>
      </c>
    </row>
    <row r="1194" spans="1:24" x14ac:dyDescent="0.2">
      <c r="A1194" s="407">
        <v>1186</v>
      </c>
      <c r="B1194" s="438"/>
      <c r="C1194" s="438"/>
      <c r="D1194" s="438"/>
      <c r="E1194" s="438"/>
      <c r="F1194" s="438"/>
      <c r="G1194" s="438"/>
      <c r="H1194" s="438"/>
      <c r="I1194" s="438"/>
      <c r="J1194" s="11"/>
      <c r="Q1194" s="348" t="str">
        <f t="shared" si="152"/>
        <v/>
      </c>
      <c r="R1194" s="348" t="str">
        <f t="shared" si="153"/>
        <v/>
      </c>
      <c r="S1194" s="348" t="str">
        <f t="shared" si="154"/>
        <v/>
      </c>
      <c r="T1194" s="348" t="str">
        <f t="shared" si="155"/>
        <v/>
      </c>
      <c r="U1194" s="348" t="str">
        <f t="shared" si="156"/>
        <v/>
      </c>
      <c r="V1194" s="348" t="str">
        <f t="shared" si="157"/>
        <v/>
      </c>
      <c r="W1194" s="348" t="str">
        <f t="shared" si="158"/>
        <v/>
      </c>
      <c r="X1194" s="348" t="str">
        <f t="shared" si="159"/>
        <v/>
      </c>
    </row>
    <row r="1195" spans="1:24" x14ac:dyDescent="0.2">
      <c r="A1195" s="407">
        <v>1187</v>
      </c>
      <c r="B1195" s="438"/>
      <c r="C1195" s="438"/>
      <c r="D1195" s="438"/>
      <c r="E1195" s="438"/>
      <c r="F1195" s="438"/>
      <c r="G1195" s="438"/>
      <c r="H1195" s="438"/>
      <c r="I1195" s="438"/>
      <c r="J1195" s="11"/>
      <c r="Q1195" s="348" t="str">
        <f t="shared" si="152"/>
        <v/>
      </c>
      <c r="R1195" s="348" t="str">
        <f t="shared" si="153"/>
        <v/>
      </c>
      <c r="S1195" s="348" t="str">
        <f t="shared" si="154"/>
        <v/>
      </c>
      <c r="T1195" s="348" t="str">
        <f t="shared" si="155"/>
        <v/>
      </c>
      <c r="U1195" s="348" t="str">
        <f t="shared" si="156"/>
        <v/>
      </c>
      <c r="V1195" s="348" t="str">
        <f t="shared" si="157"/>
        <v/>
      </c>
      <c r="W1195" s="348" t="str">
        <f t="shared" si="158"/>
        <v/>
      </c>
      <c r="X1195" s="348" t="str">
        <f t="shared" si="159"/>
        <v/>
      </c>
    </row>
    <row r="1196" spans="1:24" x14ac:dyDescent="0.2">
      <c r="A1196" s="407">
        <v>1188</v>
      </c>
      <c r="B1196" s="438"/>
      <c r="C1196" s="438"/>
      <c r="D1196" s="438"/>
      <c r="E1196" s="438"/>
      <c r="F1196" s="438"/>
      <c r="G1196" s="438"/>
      <c r="H1196" s="438"/>
      <c r="I1196" s="438"/>
      <c r="J1196" s="11"/>
      <c r="Q1196" s="348" t="str">
        <f t="shared" si="152"/>
        <v/>
      </c>
      <c r="R1196" s="348" t="str">
        <f t="shared" si="153"/>
        <v/>
      </c>
      <c r="S1196" s="348" t="str">
        <f t="shared" si="154"/>
        <v/>
      </c>
      <c r="T1196" s="348" t="str">
        <f t="shared" si="155"/>
        <v/>
      </c>
      <c r="U1196" s="348" t="str">
        <f t="shared" si="156"/>
        <v/>
      </c>
      <c r="V1196" s="348" t="str">
        <f t="shared" si="157"/>
        <v/>
      </c>
      <c r="W1196" s="348" t="str">
        <f t="shared" si="158"/>
        <v/>
      </c>
      <c r="X1196" s="348" t="str">
        <f t="shared" si="159"/>
        <v/>
      </c>
    </row>
    <row r="1197" spans="1:24" x14ac:dyDescent="0.2">
      <c r="A1197" s="407">
        <v>1189</v>
      </c>
      <c r="B1197" s="438"/>
      <c r="C1197" s="438"/>
      <c r="D1197" s="438"/>
      <c r="E1197" s="438"/>
      <c r="F1197" s="438"/>
      <c r="G1197" s="438"/>
      <c r="H1197" s="438"/>
      <c r="I1197" s="437"/>
      <c r="J1197" s="11"/>
      <c r="Q1197" s="348" t="str">
        <f t="shared" si="152"/>
        <v/>
      </c>
      <c r="R1197" s="348" t="str">
        <f t="shared" si="153"/>
        <v/>
      </c>
      <c r="S1197" s="348" t="str">
        <f t="shared" si="154"/>
        <v/>
      </c>
      <c r="T1197" s="348" t="str">
        <f t="shared" si="155"/>
        <v/>
      </c>
      <c r="U1197" s="348" t="str">
        <f t="shared" si="156"/>
        <v/>
      </c>
      <c r="V1197" s="348" t="str">
        <f t="shared" si="157"/>
        <v/>
      </c>
      <c r="W1197" s="348" t="str">
        <f t="shared" si="158"/>
        <v/>
      </c>
      <c r="X1197" s="348" t="str">
        <f t="shared" si="159"/>
        <v/>
      </c>
    </row>
    <row r="1198" spans="1:24" x14ac:dyDescent="0.2">
      <c r="A1198" s="407">
        <v>1190</v>
      </c>
      <c r="B1198" s="438"/>
      <c r="C1198" s="438"/>
      <c r="D1198" s="438"/>
      <c r="E1198" s="438"/>
      <c r="F1198" s="438"/>
      <c r="G1198" s="438"/>
      <c r="H1198" s="438"/>
      <c r="I1198" s="438"/>
      <c r="J1198" s="11"/>
      <c r="Q1198" s="348" t="str">
        <f t="shared" si="152"/>
        <v/>
      </c>
      <c r="R1198" s="348" t="str">
        <f t="shared" si="153"/>
        <v/>
      </c>
      <c r="S1198" s="348" t="str">
        <f t="shared" si="154"/>
        <v/>
      </c>
      <c r="T1198" s="348" t="str">
        <f t="shared" si="155"/>
        <v/>
      </c>
      <c r="U1198" s="348" t="str">
        <f t="shared" si="156"/>
        <v/>
      </c>
      <c r="V1198" s="348" t="str">
        <f t="shared" si="157"/>
        <v/>
      </c>
      <c r="W1198" s="348" t="str">
        <f t="shared" si="158"/>
        <v/>
      </c>
      <c r="X1198" s="348" t="str">
        <f t="shared" si="159"/>
        <v/>
      </c>
    </row>
    <row r="1199" spans="1:24" x14ac:dyDescent="0.2">
      <c r="A1199" s="407">
        <v>1191</v>
      </c>
      <c r="B1199" s="437"/>
      <c r="C1199" s="438"/>
      <c r="D1199" s="438"/>
      <c r="E1199" s="438"/>
      <c r="F1199" s="438"/>
      <c r="G1199" s="438"/>
      <c r="H1199" s="438"/>
      <c r="I1199" s="438"/>
      <c r="J1199" s="11"/>
      <c r="Q1199" s="348" t="str">
        <f t="shared" si="152"/>
        <v/>
      </c>
      <c r="R1199" s="348" t="str">
        <f t="shared" si="153"/>
        <v/>
      </c>
      <c r="S1199" s="348" t="str">
        <f t="shared" si="154"/>
        <v/>
      </c>
      <c r="T1199" s="348" t="str">
        <f t="shared" si="155"/>
        <v/>
      </c>
      <c r="U1199" s="348" t="str">
        <f t="shared" si="156"/>
        <v/>
      </c>
      <c r="V1199" s="348" t="str">
        <f t="shared" si="157"/>
        <v/>
      </c>
      <c r="W1199" s="348" t="str">
        <f t="shared" si="158"/>
        <v/>
      </c>
      <c r="X1199" s="348" t="str">
        <f t="shared" si="159"/>
        <v/>
      </c>
    </row>
    <row r="1200" spans="1:24" x14ac:dyDescent="0.2">
      <c r="A1200" s="407">
        <v>1192</v>
      </c>
      <c r="B1200" s="438"/>
      <c r="C1200" s="438"/>
      <c r="D1200" s="438"/>
      <c r="E1200" s="438"/>
      <c r="F1200" s="438"/>
      <c r="G1200" s="438"/>
      <c r="H1200" s="438"/>
      <c r="I1200" s="438"/>
      <c r="J1200" s="11"/>
      <c r="Q1200" s="348" t="str">
        <f t="shared" si="152"/>
        <v/>
      </c>
      <c r="R1200" s="348" t="str">
        <f t="shared" si="153"/>
        <v/>
      </c>
      <c r="S1200" s="348" t="str">
        <f t="shared" si="154"/>
        <v/>
      </c>
      <c r="T1200" s="348" t="str">
        <f t="shared" si="155"/>
        <v/>
      </c>
      <c r="U1200" s="348" t="str">
        <f t="shared" si="156"/>
        <v/>
      </c>
      <c r="V1200" s="348" t="str">
        <f t="shared" si="157"/>
        <v/>
      </c>
      <c r="W1200" s="348" t="str">
        <f t="shared" si="158"/>
        <v/>
      </c>
      <c r="X1200" s="348" t="str">
        <f t="shared" si="159"/>
        <v/>
      </c>
    </row>
    <row r="1201" spans="1:24" x14ac:dyDescent="0.2">
      <c r="A1201" s="407">
        <v>1193</v>
      </c>
      <c r="B1201" s="438"/>
      <c r="C1201" s="437"/>
      <c r="D1201" s="438"/>
      <c r="E1201" s="438"/>
      <c r="F1201" s="438"/>
      <c r="G1201" s="438"/>
      <c r="H1201" s="438"/>
      <c r="I1201" s="438"/>
      <c r="J1201" s="11"/>
      <c r="Q1201" s="348" t="str">
        <f t="shared" si="152"/>
        <v/>
      </c>
      <c r="R1201" s="348" t="str">
        <f t="shared" si="153"/>
        <v/>
      </c>
      <c r="S1201" s="348" t="str">
        <f t="shared" si="154"/>
        <v/>
      </c>
      <c r="T1201" s="348" t="str">
        <f t="shared" si="155"/>
        <v/>
      </c>
      <c r="U1201" s="348" t="str">
        <f t="shared" si="156"/>
        <v/>
      </c>
      <c r="V1201" s="348" t="str">
        <f t="shared" si="157"/>
        <v/>
      </c>
      <c r="W1201" s="348" t="str">
        <f t="shared" si="158"/>
        <v/>
      </c>
      <c r="X1201" s="348" t="str">
        <f t="shared" si="159"/>
        <v/>
      </c>
    </row>
    <row r="1202" spans="1:24" x14ac:dyDescent="0.2">
      <c r="A1202" s="407">
        <v>1194</v>
      </c>
      <c r="B1202" s="438"/>
      <c r="C1202" s="438"/>
      <c r="D1202" s="438"/>
      <c r="E1202" s="437"/>
      <c r="F1202" s="438"/>
      <c r="G1202" s="438"/>
      <c r="H1202" s="438"/>
      <c r="I1202" s="438"/>
      <c r="J1202" s="11"/>
      <c r="Q1202" s="348" t="str">
        <f t="shared" si="152"/>
        <v/>
      </c>
      <c r="R1202" s="348" t="str">
        <f t="shared" si="153"/>
        <v/>
      </c>
      <c r="S1202" s="348" t="str">
        <f t="shared" si="154"/>
        <v/>
      </c>
      <c r="T1202" s="348" t="str">
        <f t="shared" si="155"/>
        <v/>
      </c>
      <c r="U1202" s="348" t="str">
        <f t="shared" si="156"/>
        <v/>
      </c>
      <c r="V1202" s="348" t="str">
        <f t="shared" si="157"/>
        <v/>
      </c>
      <c r="W1202" s="348" t="str">
        <f t="shared" si="158"/>
        <v/>
      </c>
      <c r="X1202" s="348" t="str">
        <f t="shared" si="159"/>
        <v/>
      </c>
    </row>
    <row r="1203" spans="1:24" x14ac:dyDescent="0.2">
      <c r="A1203" s="407">
        <v>1195</v>
      </c>
      <c r="B1203" s="438"/>
      <c r="C1203" s="438"/>
      <c r="D1203" s="438"/>
      <c r="E1203" s="438"/>
      <c r="F1203" s="438"/>
      <c r="G1203" s="438"/>
      <c r="H1203" s="438"/>
      <c r="I1203" s="438"/>
      <c r="J1203" s="11"/>
      <c r="Q1203" s="348" t="str">
        <f t="shared" si="152"/>
        <v/>
      </c>
      <c r="R1203" s="348" t="str">
        <f t="shared" si="153"/>
        <v/>
      </c>
      <c r="S1203" s="348" t="str">
        <f t="shared" si="154"/>
        <v/>
      </c>
      <c r="T1203" s="348" t="str">
        <f t="shared" si="155"/>
        <v/>
      </c>
      <c r="U1203" s="348" t="str">
        <f t="shared" si="156"/>
        <v/>
      </c>
      <c r="V1203" s="348" t="str">
        <f t="shared" si="157"/>
        <v/>
      </c>
      <c r="W1203" s="348" t="str">
        <f t="shared" si="158"/>
        <v/>
      </c>
      <c r="X1203" s="348" t="str">
        <f t="shared" si="159"/>
        <v/>
      </c>
    </row>
    <row r="1204" spans="1:24" x14ac:dyDescent="0.2">
      <c r="A1204" s="407">
        <v>1196</v>
      </c>
      <c r="B1204" s="438"/>
      <c r="C1204" s="438"/>
      <c r="D1204" s="438"/>
      <c r="E1204" s="438"/>
      <c r="F1204" s="438"/>
      <c r="G1204" s="438"/>
      <c r="H1204" s="438"/>
      <c r="I1204" s="438"/>
      <c r="J1204" s="11"/>
      <c r="Q1204" s="348" t="str">
        <f t="shared" si="152"/>
        <v/>
      </c>
      <c r="R1204" s="348" t="str">
        <f t="shared" si="153"/>
        <v/>
      </c>
      <c r="S1204" s="348" t="str">
        <f t="shared" si="154"/>
        <v/>
      </c>
      <c r="T1204" s="348" t="str">
        <f t="shared" si="155"/>
        <v/>
      </c>
      <c r="U1204" s="348" t="str">
        <f t="shared" si="156"/>
        <v/>
      </c>
      <c r="V1204" s="348" t="str">
        <f t="shared" si="157"/>
        <v/>
      </c>
      <c r="W1204" s="348" t="str">
        <f t="shared" si="158"/>
        <v/>
      </c>
      <c r="X1204" s="348" t="str">
        <f t="shared" si="159"/>
        <v/>
      </c>
    </row>
    <row r="1205" spans="1:24" x14ac:dyDescent="0.2">
      <c r="A1205" s="407">
        <v>1197</v>
      </c>
      <c r="B1205" s="438"/>
      <c r="C1205" s="438"/>
      <c r="D1205" s="438"/>
      <c r="E1205" s="438"/>
      <c r="F1205" s="438"/>
      <c r="G1205" s="438"/>
      <c r="H1205" s="438"/>
      <c r="I1205" s="438"/>
      <c r="J1205" s="11"/>
      <c r="Q1205" s="348" t="str">
        <f t="shared" si="152"/>
        <v/>
      </c>
      <c r="R1205" s="348" t="str">
        <f t="shared" si="153"/>
        <v/>
      </c>
      <c r="S1205" s="348" t="str">
        <f t="shared" si="154"/>
        <v/>
      </c>
      <c r="T1205" s="348" t="str">
        <f t="shared" si="155"/>
        <v/>
      </c>
      <c r="U1205" s="348" t="str">
        <f t="shared" si="156"/>
        <v/>
      </c>
      <c r="V1205" s="348" t="str">
        <f t="shared" si="157"/>
        <v/>
      </c>
      <c r="W1205" s="348" t="str">
        <f t="shared" si="158"/>
        <v/>
      </c>
      <c r="X1205" s="348" t="str">
        <f t="shared" si="159"/>
        <v/>
      </c>
    </row>
    <row r="1206" spans="1:24" x14ac:dyDescent="0.2">
      <c r="A1206" s="407">
        <v>1198</v>
      </c>
      <c r="B1206" s="438"/>
      <c r="C1206" s="438"/>
      <c r="D1206" s="438"/>
      <c r="E1206" s="438"/>
      <c r="F1206" s="438"/>
      <c r="G1206" s="438"/>
      <c r="H1206" s="438"/>
      <c r="I1206" s="438"/>
      <c r="J1206" s="11"/>
      <c r="Q1206" s="348" t="str">
        <f t="shared" si="152"/>
        <v/>
      </c>
      <c r="R1206" s="348" t="str">
        <f t="shared" si="153"/>
        <v/>
      </c>
      <c r="S1206" s="348" t="str">
        <f t="shared" si="154"/>
        <v/>
      </c>
      <c r="T1206" s="348" t="str">
        <f t="shared" si="155"/>
        <v/>
      </c>
      <c r="U1206" s="348" t="str">
        <f t="shared" si="156"/>
        <v/>
      </c>
      <c r="V1206" s="348" t="str">
        <f t="shared" si="157"/>
        <v/>
      </c>
      <c r="W1206" s="348" t="str">
        <f t="shared" si="158"/>
        <v/>
      </c>
      <c r="X1206" s="348" t="str">
        <f t="shared" si="159"/>
        <v/>
      </c>
    </row>
    <row r="1207" spans="1:24" x14ac:dyDescent="0.2">
      <c r="A1207" s="407">
        <v>1199</v>
      </c>
      <c r="B1207" s="438"/>
      <c r="C1207" s="438"/>
      <c r="D1207" s="438"/>
      <c r="E1207" s="438"/>
      <c r="F1207" s="438"/>
      <c r="G1207" s="437"/>
      <c r="H1207" s="438"/>
      <c r="I1207" s="438"/>
      <c r="J1207" s="11"/>
      <c r="Q1207" s="348" t="str">
        <f t="shared" si="152"/>
        <v/>
      </c>
      <c r="R1207" s="348" t="str">
        <f t="shared" si="153"/>
        <v/>
      </c>
      <c r="S1207" s="348" t="str">
        <f t="shared" si="154"/>
        <v/>
      </c>
      <c r="T1207" s="348" t="str">
        <f t="shared" si="155"/>
        <v/>
      </c>
      <c r="U1207" s="348" t="str">
        <f t="shared" si="156"/>
        <v/>
      </c>
      <c r="V1207" s="348" t="str">
        <f t="shared" si="157"/>
        <v/>
      </c>
      <c r="W1207" s="348" t="str">
        <f t="shared" si="158"/>
        <v/>
      </c>
      <c r="X1207" s="348" t="str">
        <f t="shared" si="159"/>
        <v/>
      </c>
    </row>
    <row r="1208" spans="1:24" x14ac:dyDescent="0.2">
      <c r="A1208" s="407">
        <v>1200</v>
      </c>
      <c r="B1208" s="438"/>
      <c r="C1208" s="438"/>
      <c r="D1208" s="438"/>
      <c r="E1208" s="438"/>
      <c r="F1208" s="438"/>
      <c r="G1208" s="438"/>
      <c r="H1208" s="438"/>
      <c r="I1208" s="438"/>
      <c r="J1208" s="11"/>
      <c r="Q1208" s="348" t="str">
        <f t="shared" si="152"/>
        <v/>
      </c>
      <c r="R1208" s="348" t="str">
        <f t="shared" si="153"/>
        <v/>
      </c>
      <c r="S1208" s="348" t="str">
        <f t="shared" si="154"/>
        <v/>
      </c>
      <c r="T1208" s="348" t="str">
        <f t="shared" si="155"/>
        <v/>
      </c>
      <c r="U1208" s="348" t="str">
        <f t="shared" si="156"/>
        <v/>
      </c>
      <c r="V1208" s="348" t="str">
        <f t="shared" si="157"/>
        <v/>
      </c>
      <c r="W1208" s="348" t="str">
        <f t="shared" si="158"/>
        <v/>
      </c>
      <c r="X1208" s="348" t="str">
        <f t="shared" si="159"/>
        <v/>
      </c>
    </row>
    <row r="1209" spans="1:24" x14ac:dyDescent="0.2">
      <c r="A1209" s="407">
        <v>1201</v>
      </c>
      <c r="B1209" s="438"/>
      <c r="C1209" s="437"/>
      <c r="D1209" s="438"/>
      <c r="E1209" s="437"/>
      <c r="F1209" s="437"/>
      <c r="G1209" s="437"/>
      <c r="H1209" s="437"/>
      <c r="I1209" s="438"/>
      <c r="J1209" s="11"/>
      <c r="Q1209" s="348" t="str">
        <f t="shared" si="152"/>
        <v/>
      </c>
      <c r="R1209" s="348" t="str">
        <f t="shared" si="153"/>
        <v/>
      </c>
      <c r="S1209" s="348" t="str">
        <f t="shared" si="154"/>
        <v/>
      </c>
      <c r="T1209" s="348" t="str">
        <f t="shared" si="155"/>
        <v/>
      </c>
      <c r="U1209" s="348" t="str">
        <f t="shared" si="156"/>
        <v/>
      </c>
      <c r="V1209" s="348" t="str">
        <f t="shared" si="157"/>
        <v/>
      </c>
      <c r="W1209" s="348" t="str">
        <f t="shared" si="158"/>
        <v/>
      </c>
      <c r="X1209" s="348" t="str">
        <f t="shared" si="159"/>
        <v/>
      </c>
    </row>
    <row r="1210" spans="1:24" x14ac:dyDescent="0.2">
      <c r="A1210" s="407">
        <v>1202</v>
      </c>
      <c r="B1210" s="438"/>
      <c r="C1210" s="438"/>
      <c r="D1210" s="438"/>
      <c r="E1210" s="438"/>
      <c r="F1210" s="438"/>
      <c r="G1210" s="438"/>
      <c r="H1210" s="438"/>
      <c r="I1210" s="438"/>
      <c r="J1210" s="11"/>
      <c r="Q1210" s="348" t="str">
        <f t="shared" si="152"/>
        <v/>
      </c>
      <c r="R1210" s="348" t="str">
        <f t="shared" si="153"/>
        <v/>
      </c>
      <c r="S1210" s="348" t="str">
        <f t="shared" si="154"/>
        <v/>
      </c>
      <c r="T1210" s="348" t="str">
        <f t="shared" si="155"/>
        <v/>
      </c>
      <c r="U1210" s="348" t="str">
        <f t="shared" si="156"/>
        <v/>
      </c>
      <c r="V1210" s="348" t="str">
        <f t="shared" si="157"/>
        <v/>
      </c>
      <c r="W1210" s="348" t="str">
        <f t="shared" si="158"/>
        <v/>
      </c>
      <c r="X1210" s="348" t="str">
        <f t="shared" si="159"/>
        <v/>
      </c>
    </row>
    <row r="1211" spans="1:24" x14ac:dyDescent="0.2">
      <c r="A1211" s="407">
        <v>1203</v>
      </c>
      <c r="B1211" s="438"/>
      <c r="C1211" s="438"/>
      <c r="D1211" s="438"/>
      <c r="E1211" s="438"/>
      <c r="F1211" s="438"/>
      <c r="G1211" s="438"/>
      <c r="H1211" s="438"/>
      <c r="I1211" s="438"/>
      <c r="J1211" s="11"/>
      <c r="Q1211" s="348" t="str">
        <f t="shared" si="152"/>
        <v/>
      </c>
      <c r="R1211" s="348" t="str">
        <f t="shared" si="153"/>
        <v/>
      </c>
      <c r="S1211" s="348" t="str">
        <f t="shared" si="154"/>
        <v/>
      </c>
      <c r="T1211" s="348" t="str">
        <f t="shared" si="155"/>
        <v/>
      </c>
      <c r="U1211" s="348" t="str">
        <f t="shared" si="156"/>
        <v/>
      </c>
      <c r="V1211" s="348" t="str">
        <f t="shared" si="157"/>
        <v/>
      </c>
      <c r="W1211" s="348" t="str">
        <f t="shared" si="158"/>
        <v/>
      </c>
      <c r="X1211" s="348" t="str">
        <f t="shared" si="159"/>
        <v/>
      </c>
    </row>
    <row r="1212" spans="1:24" x14ac:dyDescent="0.2">
      <c r="A1212" s="407">
        <v>1204</v>
      </c>
      <c r="B1212" s="438"/>
      <c r="C1212" s="438"/>
      <c r="D1212" s="438"/>
      <c r="E1212" s="438"/>
      <c r="F1212" s="438"/>
      <c r="G1212" s="438"/>
      <c r="H1212" s="438"/>
      <c r="I1212" s="438"/>
      <c r="J1212" s="11"/>
      <c r="Q1212" s="348" t="str">
        <f t="shared" si="152"/>
        <v/>
      </c>
      <c r="R1212" s="348" t="str">
        <f t="shared" si="153"/>
        <v/>
      </c>
      <c r="S1212" s="348" t="str">
        <f t="shared" si="154"/>
        <v/>
      </c>
      <c r="T1212" s="348" t="str">
        <f t="shared" si="155"/>
        <v/>
      </c>
      <c r="U1212" s="348" t="str">
        <f t="shared" si="156"/>
        <v/>
      </c>
      <c r="V1212" s="348" t="str">
        <f t="shared" si="157"/>
        <v/>
      </c>
      <c r="W1212" s="348" t="str">
        <f t="shared" si="158"/>
        <v/>
      </c>
      <c r="X1212" s="348" t="str">
        <f t="shared" si="159"/>
        <v/>
      </c>
    </row>
    <row r="1213" spans="1:24" x14ac:dyDescent="0.2">
      <c r="A1213" s="407">
        <v>1205</v>
      </c>
      <c r="B1213" s="437"/>
      <c r="C1213" s="438"/>
      <c r="D1213" s="438"/>
      <c r="E1213" s="438"/>
      <c r="F1213" s="438"/>
      <c r="G1213" s="438"/>
      <c r="H1213" s="438"/>
      <c r="I1213" s="438"/>
      <c r="J1213" s="11"/>
      <c r="Q1213" s="348" t="str">
        <f t="shared" si="152"/>
        <v/>
      </c>
      <c r="R1213" s="348" t="str">
        <f t="shared" si="153"/>
        <v/>
      </c>
      <c r="S1213" s="348" t="str">
        <f t="shared" si="154"/>
        <v/>
      </c>
      <c r="T1213" s="348" t="str">
        <f t="shared" si="155"/>
        <v/>
      </c>
      <c r="U1213" s="348" t="str">
        <f t="shared" si="156"/>
        <v/>
      </c>
      <c r="V1213" s="348" t="str">
        <f t="shared" si="157"/>
        <v/>
      </c>
      <c r="W1213" s="348" t="str">
        <f t="shared" si="158"/>
        <v/>
      </c>
      <c r="X1213" s="348" t="str">
        <f t="shared" si="159"/>
        <v/>
      </c>
    </row>
    <row r="1214" spans="1:24" x14ac:dyDescent="0.2">
      <c r="A1214" s="407">
        <v>1206</v>
      </c>
      <c r="B1214" s="438"/>
      <c r="C1214" s="438"/>
      <c r="D1214" s="438"/>
      <c r="E1214" s="438"/>
      <c r="F1214" s="438"/>
      <c r="G1214" s="438"/>
      <c r="H1214" s="438"/>
      <c r="I1214" s="438"/>
      <c r="J1214" s="11"/>
      <c r="Q1214" s="348" t="str">
        <f t="shared" si="152"/>
        <v/>
      </c>
      <c r="R1214" s="348" t="str">
        <f t="shared" si="153"/>
        <v/>
      </c>
      <c r="S1214" s="348" t="str">
        <f t="shared" si="154"/>
        <v/>
      </c>
      <c r="T1214" s="348" t="str">
        <f t="shared" si="155"/>
        <v/>
      </c>
      <c r="U1214" s="348" t="str">
        <f t="shared" si="156"/>
        <v/>
      </c>
      <c r="V1214" s="348" t="str">
        <f t="shared" si="157"/>
        <v/>
      </c>
      <c r="W1214" s="348" t="str">
        <f t="shared" si="158"/>
        <v/>
      </c>
      <c r="X1214" s="348" t="str">
        <f t="shared" si="159"/>
        <v/>
      </c>
    </row>
    <row r="1215" spans="1:24" x14ac:dyDescent="0.2">
      <c r="A1215" s="407">
        <v>1207</v>
      </c>
      <c r="B1215" s="438"/>
      <c r="C1215" s="438"/>
      <c r="D1215" s="438"/>
      <c r="E1215" s="438"/>
      <c r="F1215" s="438"/>
      <c r="G1215" s="438"/>
      <c r="H1215" s="438"/>
      <c r="I1215" s="438"/>
      <c r="J1215" s="11"/>
      <c r="Q1215" s="348" t="str">
        <f t="shared" si="152"/>
        <v/>
      </c>
      <c r="R1215" s="348" t="str">
        <f t="shared" si="153"/>
        <v/>
      </c>
      <c r="S1215" s="348" t="str">
        <f t="shared" si="154"/>
        <v/>
      </c>
      <c r="T1215" s="348" t="str">
        <f t="shared" si="155"/>
        <v/>
      </c>
      <c r="U1215" s="348" t="str">
        <f t="shared" si="156"/>
        <v/>
      </c>
      <c r="V1215" s="348" t="str">
        <f t="shared" si="157"/>
        <v/>
      </c>
      <c r="W1215" s="348" t="str">
        <f t="shared" si="158"/>
        <v/>
      </c>
      <c r="X1215" s="348" t="str">
        <f t="shared" si="159"/>
        <v/>
      </c>
    </row>
    <row r="1216" spans="1:24" x14ac:dyDescent="0.2">
      <c r="A1216" s="407">
        <v>1208</v>
      </c>
      <c r="B1216" s="438"/>
      <c r="C1216" s="438"/>
      <c r="D1216" s="438"/>
      <c r="E1216" s="438"/>
      <c r="F1216" s="438"/>
      <c r="G1216" s="438"/>
      <c r="H1216" s="438"/>
      <c r="I1216" s="438"/>
      <c r="J1216" s="11"/>
      <c r="Q1216" s="348" t="str">
        <f t="shared" si="152"/>
        <v/>
      </c>
      <c r="R1216" s="348" t="str">
        <f t="shared" si="153"/>
        <v/>
      </c>
      <c r="S1216" s="348" t="str">
        <f t="shared" si="154"/>
        <v/>
      </c>
      <c r="T1216" s="348" t="str">
        <f t="shared" si="155"/>
        <v/>
      </c>
      <c r="U1216" s="348" t="str">
        <f t="shared" si="156"/>
        <v/>
      </c>
      <c r="V1216" s="348" t="str">
        <f t="shared" si="157"/>
        <v/>
      </c>
      <c r="W1216" s="348" t="str">
        <f t="shared" si="158"/>
        <v/>
      </c>
      <c r="X1216" s="348" t="str">
        <f t="shared" si="159"/>
        <v/>
      </c>
    </row>
    <row r="1217" spans="1:24" x14ac:dyDescent="0.2">
      <c r="A1217" s="407">
        <v>1209</v>
      </c>
      <c r="B1217" s="438"/>
      <c r="C1217" s="438"/>
      <c r="D1217" s="438"/>
      <c r="E1217" s="438"/>
      <c r="F1217" s="438"/>
      <c r="G1217" s="438"/>
      <c r="H1217" s="438"/>
      <c r="I1217" s="438"/>
      <c r="J1217" s="11"/>
      <c r="Q1217" s="348" t="str">
        <f t="shared" si="152"/>
        <v/>
      </c>
      <c r="R1217" s="348" t="str">
        <f t="shared" si="153"/>
        <v/>
      </c>
      <c r="S1217" s="348" t="str">
        <f t="shared" si="154"/>
        <v/>
      </c>
      <c r="T1217" s="348" t="str">
        <f t="shared" si="155"/>
        <v/>
      </c>
      <c r="U1217" s="348" t="str">
        <f t="shared" si="156"/>
        <v/>
      </c>
      <c r="V1217" s="348" t="str">
        <f t="shared" si="157"/>
        <v/>
      </c>
      <c r="W1217" s="348" t="str">
        <f t="shared" si="158"/>
        <v/>
      </c>
      <c r="X1217" s="348" t="str">
        <f t="shared" si="159"/>
        <v/>
      </c>
    </row>
    <row r="1218" spans="1:24" x14ac:dyDescent="0.2">
      <c r="A1218" s="407">
        <v>1210</v>
      </c>
      <c r="B1218" s="438"/>
      <c r="C1218" s="438"/>
      <c r="D1218" s="438"/>
      <c r="E1218" s="438"/>
      <c r="F1218" s="438"/>
      <c r="G1218" s="438"/>
      <c r="H1218" s="438"/>
      <c r="I1218" s="438"/>
      <c r="J1218" s="11"/>
      <c r="Q1218" s="348" t="str">
        <f t="shared" si="152"/>
        <v/>
      </c>
      <c r="R1218" s="348" t="str">
        <f t="shared" si="153"/>
        <v/>
      </c>
      <c r="S1218" s="348" t="str">
        <f t="shared" si="154"/>
        <v/>
      </c>
      <c r="T1218" s="348" t="str">
        <f t="shared" si="155"/>
        <v/>
      </c>
      <c r="U1218" s="348" t="str">
        <f t="shared" si="156"/>
        <v/>
      </c>
      <c r="V1218" s="348" t="str">
        <f t="shared" si="157"/>
        <v/>
      </c>
      <c r="W1218" s="348" t="str">
        <f t="shared" si="158"/>
        <v/>
      </c>
      <c r="X1218" s="348" t="str">
        <f t="shared" si="159"/>
        <v/>
      </c>
    </row>
    <row r="1219" spans="1:24" x14ac:dyDescent="0.2">
      <c r="A1219" s="407">
        <v>1211</v>
      </c>
      <c r="B1219" s="438"/>
      <c r="C1219" s="438"/>
      <c r="D1219" s="438"/>
      <c r="E1219" s="438"/>
      <c r="F1219" s="438"/>
      <c r="G1219" s="438"/>
      <c r="H1219" s="438"/>
      <c r="I1219" s="438"/>
      <c r="J1219" s="11"/>
      <c r="Q1219" s="348" t="str">
        <f t="shared" si="152"/>
        <v/>
      </c>
      <c r="R1219" s="348" t="str">
        <f t="shared" si="153"/>
        <v/>
      </c>
      <c r="S1219" s="348" t="str">
        <f t="shared" si="154"/>
        <v/>
      </c>
      <c r="T1219" s="348" t="str">
        <f t="shared" si="155"/>
        <v/>
      </c>
      <c r="U1219" s="348" t="str">
        <f t="shared" si="156"/>
        <v/>
      </c>
      <c r="V1219" s="348" t="str">
        <f t="shared" si="157"/>
        <v/>
      </c>
      <c r="W1219" s="348" t="str">
        <f t="shared" si="158"/>
        <v/>
      </c>
      <c r="X1219" s="348" t="str">
        <f t="shared" si="159"/>
        <v/>
      </c>
    </row>
    <row r="1220" spans="1:24" x14ac:dyDescent="0.2">
      <c r="A1220" s="407">
        <v>1212</v>
      </c>
      <c r="B1220" s="438"/>
      <c r="C1220" s="438"/>
      <c r="D1220" s="438"/>
      <c r="E1220" s="438"/>
      <c r="F1220" s="438"/>
      <c r="G1220" s="438"/>
      <c r="H1220" s="438"/>
      <c r="I1220" s="438"/>
      <c r="J1220" s="11"/>
      <c r="Q1220" s="348" t="str">
        <f t="shared" si="152"/>
        <v/>
      </c>
      <c r="R1220" s="348" t="str">
        <f t="shared" si="153"/>
        <v/>
      </c>
      <c r="S1220" s="348" t="str">
        <f t="shared" si="154"/>
        <v/>
      </c>
      <c r="T1220" s="348" t="str">
        <f t="shared" si="155"/>
        <v/>
      </c>
      <c r="U1220" s="348" t="str">
        <f t="shared" si="156"/>
        <v/>
      </c>
      <c r="V1220" s="348" t="str">
        <f t="shared" si="157"/>
        <v/>
      </c>
      <c r="W1220" s="348" t="str">
        <f t="shared" si="158"/>
        <v/>
      </c>
      <c r="X1220" s="348" t="str">
        <f t="shared" si="159"/>
        <v/>
      </c>
    </row>
    <row r="1221" spans="1:24" x14ac:dyDescent="0.2">
      <c r="A1221" s="407">
        <v>1213</v>
      </c>
      <c r="B1221" s="438"/>
      <c r="C1221" s="438"/>
      <c r="D1221" s="437"/>
      <c r="E1221" s="438"/>
      <c r="F1221" s="438"/>
      <c r="G1221" s="438"/>
      <c r="H1221" s="438"/>
      <c r="I1221" s="438"/>
      <c r="J1221" s="11"/>
      <c r="Q1221" s="348" t="str">
        <f t="shared" si="152"/>
        <v/>
      </c>
      <c r="R1221" s="348" t="str">
        <f t="shared" si="153"/>
        <v/>
      </c>
      <c r="S1221" s="348" t="str">
        <f t="shared" si="154"/>
        <v/>
      </c>
      <c r="T1221" s="348" t="str">
        <f t="shared" si="155"/>
        <v/>
      </c>
      <c r="U1221" s="348" t="str">
        <f t="shared" si="156"/>
        <v/>
      </c>
      <c r="V1221" s="348" t="str">
        <f t="shared" si="157"/>
        <v/>
      </c>
      <c r="W1221" s="348" t="str">
        <f t="shared" si="158"/>
        <v/>
      </c>
      <c r="X1221" s="348" t="str">
        <f t="shared" si="159"/>
        <v/>
      </c>
    </row>
    <row r="1222" spans="1:24" x14ac:dyDescent="0.2">
      <c r="A1222" s="407">
        <v>1214</v>
      </c>
      <c r="B1222" s="438"/>
      <c r="C1222" s="438"/>
      <c r="D1222" s="438"/>
      <c r="E1222" s="438"/>
      <c r="F1222" s="438"/>
      <c r="G1222" s="438"/>
      <c r="H1222" s="438"/>
      <c r="I1222" s="438"/>
      <c r="J1222" s="11"/>
      <c r="Q1222" s="348" t="str">
        <f t="shared" si="152"/>
        <v/>
      </c>
      <c r="R1222" s="348" t="str">
        <f t="shared" si="153"/>
        <v/>
      </c>
      <c r="S1222" s="348" t="str">
        <f t="shared" si="154"/>
        <v/>
      </c>
      <c r="T1222" s="348" t="str">
        <f t="shared" si="155"/>
        <v/>
      </c>
      <c r="U1222" s="348" t="str">
        <f t="shared" si="156"/>
        <v/>
      </c>
      <c r="V1222" s="348" t="str">
        <f t="shared" si="157"/>
        <v/>
      </c>
      <c r="W1222" s="348" t="str">
        <f t="shared" si="158"/>
        <v/>
      </c>
      <c r="X1222" s="348" t="str">
        <f t="shared" si="159"/>
        <v/>
      </c>
    </row>
    <row r="1223" spans="1:24" x14ac:dyDescent="0.2">
      <c r="A1223" s="407">
        <v>1215</v>
      </c>
      <c r="B1223" s="438"/>
      <c r="C1223" s="437"/>
      <c r="D1223" s="438"/>
      <c r="E1223" s="438"/>
      <c r="F1223" s="438"/>
      <c r="G1223" s="438"/>
      <c r="H1223" s="438"/>
      <c r="I1223" s="438"/>
      <c r="J1223" s="11"/>
      <c r="Q1223" s="348" t="str">
        <f t="shared" si="152"/>
        <v/>
      </c>
      <c r="R1223" s="348" t="str">
        <f t="shared" si="153"/>
        <v/>
      </c>
      <c r="S1223" s="348" t="str">
        <f t="shared" si="154"/>
        <v/>
      </c>
      <c r="T1223" s="348" t="str">
        <f t="shared" si="155"/>
        <v/>
      </c>
      <c r="U1223" s="348" t="str">
        <f t="shared" si="156"/>
        <v/>
      </c>
      <c r="V1223" s="348" t="str">
        <f t="shared" si="157"/>
        <v/>
      </c>
      <c r="W1223" s="348" t="str">
        <f t="shared" si="158"/>
        <v/>
      </c>
      <c r="X1223" s="348" t="str">
        <f t="shared" si="159"/>
        <v/>
      </c>
    </row>
    <row r="1224" spans="1:24" x14ac:dyDescent="0.2">
      <c r="A1224" s="407">
        <v>1216</v>
      </c>
      <c r="B1224" s="438"/>
      <c r="C1224" s="438"/>
      <c r="D1224" s="438"/>
      <c r="E1224" s="438"/>
      <c r="F1224" s="438"/>
      <c r="G1224" s="438"/>
      <c r="H1224" s="438"/>
      <c r="I1224" s="438"/>
      <c r="J1224" s="11"/>
      <c r="Q1224" s="348" t="str">
        <f t="shared" si="152"/>
        <v/>
      </c>
      <c r="R1224" s="348" t="str">
        <f t="shared" si="153"/>
        <v/>
      </c>
      <c r="S1224" s="348" t="str">
        <f t="shared" si="154"/>
        <v/>
      </c>
      <c r="T1224" s="348" t="str">
        <f t="shared" si="155"/>
        <v/>
      </c>
      <c r="U1224" s="348" t="str">
        <f t="shared" si="156"/>
        <v/>
      </c>
      <c r="V1224" s="348" t="str">
        <f t="shared" si="157"/>
        <v/>
      </c>
      <c r="W1224" s="348" t="str">
        <f t="shared" si="158"/>
        <v/>
      </c>
      <c r="X1224" s="348" t="str">
        <f t="shared" si="159"/>
        <v/>
      </c>
    </row>
    <row r="1225" spans="1:24" x14ac:dyDescent="0.2">
      <c r="A1225" s="407">
        <v>1217</v>
      </c>
      <c r="B1225" s="438"/>
      <c r="C1225" s="438"/>
      <c r="D1225" s="438"/>
      <c r="E1225" s="438"/>
      <c r="F1225" s="438"/>
      <c r="G1225" s="438"/>
      <c r="H1225" s="438"/>
      <c r="I1225" s="438"/>
      <c r="J1225" s="11"/>
      <c r="Q1225" s="348" t="str">
        <f t="shared" si="152"/>
        <v/>
      </c>
      <c r="R1225" s="348" t="str">
        <f t="shared" si="153"/>
        <v/>
      </c>
      <c r="S1225" s="348" t="str">
        <f t="shared" si="154"/>
        <v/>
      </c>
      <c r="T1225" s="348" t="str">
        <f t="shared" si="155"/>
        <v/>
      </c>
      <c r="U1225" s="348" t="str">
        <f t="shared" si="156"/>
        <v/>
      </c>
      <c r="V1225" s="348" t="str">
        <f t="shared" si="157"/>
        <v/>
      </c>
      <c r="W1225" s="348" t="str">
        <f t="shared" si="158"/>
        <v/>
      </c>
      <c r="X1225" s="348" t="str">
        <f t="shared" si="159"/>
        <v/>
      </c>
    </row>
    <row r="1226" spans="1:24" x14ac:dyDescent="0.2">
      <c r="A1226" s="407">
        <v>1218</v>
      </c>
      <c r="B1226" s="438"/>
      <c r="C1226" s="438"/>
      <c r="D1226" s="438"/>
      <c r="E1226" s="438"/>
      <c r="F1226" s="438"/>
      <c r="G1226" s="438"/>
      <c r="H1226" s="438"/>
      <c r="I1226" s="438"/>
      <c r="J1226" s="11"/>
      <c r="Q1226" s="348" t="str">
        <f t="shared" ref="Q1226:Q1289" si="160">IFERROR(B1226^4*$AB$9+B1226^3*$AC$9+B1226^2*$AD$9+B1226^1*$AE$9+B1226^0*$AF$9,"")</f>
        <v/>
      </c>
      <c r="R1226" s="348" t="str">
        <f t="shared" ref="R1226:R1289" si="161">IFERROR(C1226^4*$AB$10+C1226^3*$AC$10+C1226^2*$AD$10+C1226^1*$AE$10+C1226^0*$AF$10,"")</f>
        <v/>
      </c>
      <c r="S1226" s="348" t="str">
        <f t="shared" ref="S1226:S1289" si="162">IFERROR(D1226^4*$AB$11+D1226^3*$AC$11+D1226^2*$AD$11+D1226^1*$AE$11+D1226^0*$AF$11,"")</f>
        <v/>
      </c>
      <c r="T1226" s="348" t="str">
        <f t="shared" ref="T1226:T1289" si="163">IFERROR(E1226^4*$AB$12+E1226^3*$AC$12+E1226^2*$AD$12+E1226^1*$AE$12+E1226^0*$AF$12,"")</f>
        <v/>
      </c>
      <c r="U1226" s="348" t="str">
        <f t="shared" ref="U1226:U1289" si="164">IFERROR(F1226^4*$AB$13+F1226^3*$AC$13+F1226^2*$AD$13+F1226^1*$AE$13+F1226^0*$AF$13,"")</f>
        <v/>
      </c>
      <c r="V1226" s="348" t="str">
        <f t="shared" ref="V1226:V1289" si="165">IFERROR(G1226^4*$AB$14+G1226^3*$AC$14+G1226^2*$AD$14+G1226^1*$AE$14+G1226^0*$AF$14,"")</f>
        <v/>
      </c>
      <c r="W1226" s="348" t="str">
        <f t="shared" ref="W1226:W1289" si="166">IFERROR(H1226^4*$AB$15+H1226^3*$AC$15+H1226^2*$AD$15+H1226^1*$AE$15+H1226^0*$AF$15,"")</f>
        <v/>
      </c>
      <c r="X1226" s="348" t="str">
        <f t="shared" ref="X1226:X1289" si="167">IFERROR(I1226^4*$AB$16+I1226^3*$AC$16+I1226^2*$AD$16+I1226^1*$AE$16+I1226^0*$AF$16,"")</f>
        <v/>
      </c>
    </row>
    <row r="1227" spans="1:24" x14ac:dyDescent="0.2">
      <c r="A1227" s="407">
        <v>1219</v>
      </c>
      <c r="B1227" s="438"/>
      <c r="C1227" s="438"/>
      <c r="D1227" s="438"/>
      <c r="E1227" s="438"/>
      <c r="F1227" s="438"/>
      <c r="G1227" s="438"/>
      <c r="H1227" s="438"/>
      <c r="I1227" s="438"/>
      <c r="J1227" s="11"/>
      <c r="Q1227" s="348" t="str">
        <f t="shared" si="160"/>
        <v/>
      </c>
      <c r="R1227" s="348" t="str">
        <f t="shared" si="161"/>
        <v/>
      </c>
      <c r="S1227" s="348" t="str">
        <f t="shared" si="162"/>
        <v/>
      </c>
      <c r="T1227" s="348" t="str">
        <f t="shared" si="163"/>
        <v/>
      </c>
      <c r="U1227" s="348" t="str">
        <f t="shared" si="164"/>
        <v/>
      </c>
      <c r="V1227" s="348" t="str">
        <f t="shared" si="165"/>
        <v/>
      </c>
      <c r="W1227" s="348" t="str">
        <f t="shared" si="166"/>
        <v/>
      </c>
      <c r="X1227" s="348" t="str">
        <f t="shared" si="167"/>
        <v/>
      </c>
    </row>
    <row r="1228" spans="1:24" x14ac:dyDescent="0.2">
      <c r="A1228" s="407">
        <v>1220</v>
      </c>
      <c r="B1228" s="438"/>
      <c r="C1228" s="438"/>
      <c r="D1228" s="438"/>
      <c r="E1228" s="438"/>
      <c r="F1228" s="438"/>
      <c r="G1228" s="438"/>
      <c r="H1228" s="438"/>
      <c r="I1228" s="438"/>
      <c r="J1228" s="11"/>
      <c r="Q1228" s="348" t="str">
        <f t="shared" si="160"/>
        <v/>
      </c>
      <c r="R1228" s="348" t="str">
        <f t="shared" si="161"/>
        <v/>
      </c>
      <c r="S1228" s="348" t="str">
        <f t="shared" si="162"/>
        <v/>
      </c>
      <c r="T1228" s="348" t="str">
        <f t="shared" si="163"/>
        <v/>
      </c>
      <c r="U1228" s="348" t="str">
        <f t="shared" si="164"/>
        <v/>
      </c>
      <c r="V1228" s="348" t="str">
        <f t="shared" si="165"/>
        <v/>
      </c>
      <c r="W1228" s="348" t="str">
        <f t="shared" si="166"/>
        <v/>
      </c>
      <c r="X1228" s="348" t="str">
        <f t="shared" si="167"/>
        <v/>
      </c>
    </row>
    <row r="1229" spans="1:24" x14ac:dyDescent="0.2">
      <c r="A1229" s="407">
        <v>1221</v>
      </c>
      <c r="B1229" s="438"/>
      <c r="C1229" s="438"/>
      <c r="D1229" s="438"/>
      <c r="E1229" s="438"/>
      <c r="F1229" s="438"/>
      <c r="G1229" s="438"/>
      <c r="H1229" s="438"/>
      <c r="I1229" s="438"/>
      <c r="J1229" s="11"/>
      <c r="Q1229" s="348" t="str">
        <f t="shared" si="160"/>
        <v/>
      </c>
      <c r="R1229" s="348" t="str">
        <f t="shared" si="161"/>
        <v/>
      </c>
      <c r="S1229" s="348" t="str">
        <f t="shared" si="162"/>
        <v/>
      </c>
      <c r="T1229" s="348" t="str">
        <f t="shared" si="163"/>
        <v/>
      </c>
      <c r="U1229" s="348" t="str">
        <f t="shared" si="164"/>
        <v/>
      </c>
      <c r="V1229" s="348" t="str">
        <f t="shared" si="165"/>
        <v/>
      </c>
      <c r="W1229" s="348" t="str">
        <f t="shared" si="166"/>
        <v/>
      </c>
      <c r="X1229" s="348" t="str">
        <f t="shared" si="167"/>
        <v/>
      </c>
    </row>
    <row r="1230" spans="1:24" x14ac:dyDescent="0.2">
      <c r="A1230" s="407">
        <v>1222</v>
      </c>
      <c r="B1230" s="438"/>
      <c r="C1230" s="438"/>
      <c r="D1230" s="438"/>
      <c r="E1230" s="438"/>
      <c r="F1230" s="438"/>
      <c r="G1230" s="438"/>
      <c r="H1230" s="438"/>
      <c r="I1230" s="438"/>
      <c r="J1230" s="11"/>
      <c r="Q1230" s="348" t="str">
        <f t="shared" si="160"/>
        <v/>
      </c>
      <c r="R1230" s="348" t="str">
        <f t="shared" si="161"/>
        <v/>
      </c>
      <c r="S1230" s="348" t="str">
        <f t="shared" si="162"/>
        <v/>
      </c>
      <c r="T1230" s="348" t="str">
        <f t="shared" si="163"/>
        <v/>
      </c>
      <c r="U1230" s="348" t="str">
        <f t="shared" si="164"/>
        <v/>
      </c>
      <c r="V1230" s="348" t="str">
        <f t="shared" si="165"/>
        <v/>
      </c>
      <c r="W1230" s="348" t="str">
        <f t="shared" si="166"/>
        <v/>
      </c>
      <c r="X1230" s="348" t="str">
        <f t="shared" si="167"/>
        <v/>
      </c>
    </row>
    <row r="1231" spans="1:24" x14ac:dyDescent="0.2">
      <c r="A1231" s="407">
        <v>1223</v>
      </c>
      <c r="B1231" s="438"/>
      <c r="C1231" s="438"/>
      <c r="D1231" s="438"/>
      <c r="E1231" s="438"/>
      <c r="F1231" s="438"/>
      <c r="G1231" s="438"/>
      <c r="H1231" s="438"/>
      <c r="I1231" s="438"/>
      <c r="J1231" s="11"/>
      <c r="Q1231" s="348" t="str">
        <f t="shared" si="160"/>
        <v/>
      </c>
      <c r="R1231" s="348" t="str">
        <f t="shared" si="161"/>
        <v/>
      </c>
      <c r="S1231" s="348" t="str">
        <f t="shared" si="162"/>
        <v/>
      </c>
      <c r="T1231" s="348" t="str">
        <f t="shared" si="163"/>
        <v/>
      </c>
      <c r="U1231" s="348" t="str">
        <f t="shared" si="164"/>
        <v/>
      </c>
      <c r="V1231" s="348" t="str">
        <f t="shared" si="165"/>
        <v/>
      </c>
      <c r="W1231" s="348" t="str">
        <f t="shared" si="166"/>
        <v/>
      </c>
      <c r="X1231" s="348" t="str">
        <f t="shared" si="167"/>
        <v/>
      </c>
    </row>
    <row r="1232" spans="1:24" x14ac:dyDescent="0.2">
      <c r="A1232" s="407">
        <v>1224</v>
      </c>
      <c r="B1232" s="437"/>
      <c r="C1232" s="438"/>
      <c r="D1232" s="438"/>
      <c r="E1232" s="438"/>
      <c r="F1232" s="438"/>
      <c r="G1232" s="438"/>
      <c r="H1232" s="438"/>
      <c r="I1232" s="438"/>
      <c r="J1232" s="11"/>
      <c r="Q1232" s="348" t="str">
        <f t="shared" si="160"/>
        <v/>
      </c>
      <c r="R1232" s="348" t="str">
        <f t="shared" si="161"/>
        <v/>
      </c>
      <c r="S1232" s="348" t="str">
        <f t="shared" si="162"/>
        <v/>
      </c>
      <c r="T1232" s="348" t="str">
        <f t="shared" si="163"/>
        <v/>
      </c>
      <c r="U1232" s="348" t="str">
        <f t="shared" si="164"/>
        <v/>
      </c>
      <c r="V1232" s="348" t="str">
        <f t="shared" si="165"/>
        <v/>
      </c>
      <c r="W1232" s="348" t="str">
        <f t="shared" si="166"/>
        <v/>
      </c>
      <c r="X1232" s="348" t="str">
        <f t="shared" si="167"/>
        <v/>
      </c>
    </row>
    <row r="1233" spans="1:24" x14ac:dyDescent="0.2">
      <c r="A1233" s="407">
        <v>1225</v>
      </c>
      <c r="B1233" s="438"/>
      <c r="C1233" s="438"/>
      <c r="D1233" s="438"/>
      <c r="E1233" s="438"/>
      <c r="F1233" s="438"/>
      <c r="G1233" s="438"/>
      <c r="H1233" s="438"/>
      <c r="I1233" s="437"/>
      <c r="J1233" s="11"/>
      <c r="Q1233" s="348" t="str">
        <f t="shared" si="160"/>
        <v/>
      </c>
      <c r="R1233" s="348" t="str">
        <f t="shared" si="161"/>
        <v/>
      </c>
      <c r="S1233" s="348" t="str">
        <f t="shared" si="162"/>
        <v/>
      </c>
      <c r="T1233" s="348" t="str">
        <f t="shared" si="163"/>
        <v/>
      </c>
      <c r="U1233" s="348" t="str">
        <f t="shared" si="164"/>
        <v/>
      </c>
      <c r="V1233" s="348" t="str">
        <f t="shared" si="165"/>
        <v/>
      </c>
      <c r="W1233" s="348" t="str">
        <f t="shared" si="166"/>
        <v/>
      </c>
      <c r="X1233" s="348" t="str">
        <f t="shared" si="167"/>
        <v/>
      </c>
    </row>
    <row r="1234" spans="1:24" x14ac:dyDescent="0.2">
      <c r="A1234" s="407">
        <v>1226</v>
      </c>
      <c r="B1234" s="438"/>
      <c r="C1234" s="438"/>
      <c r="D1234" s="438"/>
      <c r="E1234" s="437"/>
      <c r="F1234" s="437"/>
      <c r="G1234" s="437"/>
      <c r="H1234" s="437"/>
      <c r="I1234" s="438"/>
      <c r="J1234" s="11"/>
      <c r="Q1234" s="348" t="str">
        <f t="shared" si="160"/>
        <v/>
      </c>
      <c r="R1234" s="348" t="str">
        <f t="shared" si="161"/>
        <v/>
      </c>
      <c r="S1234" s="348" t="str">
        <f t="shared" si="162"/>
        <v/>
      </c>
      <c r="T1234" s="348" t="str">
        <f t="shared" si="163"/>
        <v/>
      </c>
      <c r="U1234" s="348" t="str">
        <f t="shared" si="164"/>
        <v/>
      </c>
      <c r="V1234" s="348" t="str">
        <f t="shared" si="165"/>
        <v/>
      </c>
      <c r="W1234" s="348" t="str">
        <f t="shared" si="166"/>
        <v/>
      </c>
      <c r="X1234" s="348" t="str">
        <f t="shared" si="167"/>
        <v/>
      </c>
    </row>
    <row r="1235" spans="1:24" x14ac:dyDescent="0.2">
      <c r="A1235" s="407">
        <v>1227</v>
      </c>
      <c r="B1235" s="438"/>
      <c r="C1235" s="438"/>
      <c r="D1235" s="438"/>
      <c r="E1235" s="438"/>
      <c r="F1235" s="438"/>
      <c r="G1235" s="438"/>
      <c r="H1235" s="438"/>
      <c r="I1235" s="438"/>
      <c r="J1235" s="11"/>
      <c r="Q1235" s="348" t="str">
        <f t="shared" si="160"/>
        <v/>
      </c>
      <c r="R1235" s="348" t="str">
        <f t="shared" si="161"/>
        <v/>
      </c>
      <c r="S1235" s="348" t="str">
        <f t="shared" si="162"/>
        <v/>
      </c>
      <c r="T1235" s="348" t="str">
        <f t="shared" si="163"/>
        <v/>
      </c>
      <c r="U1235" s="348" t="str">
        <f t="shared" si="164"/>
        <v/>
      </c>
      <c r="V1235" s="348" t="str">
        <f t="shared" si="165"/>
        <v/>
      </c>
      <c r="W1235" s="348" t="str">
        <f t="shared" si="166"/>
        <v/>
      </c>
      <c r="X1235" s="348" t="str">
        <f t="shared" si="167"/>
        <v/>
      </c>
    </row>
    <row r="1236" spans="1:24" x14ac:dyDescent="0.2">
      <c r="A1236" s="407">
        <v>1228</v>
      </c>
      <c r="B1236" s="438"/>
      <c r="C1236" s="438"/>
      <c r="D1236" s="438"/>
      <c r="E1236" s="438"/>
      <c r="F1236" s="438"/>
      <c r="G1236" s="438"/>
      <c r="H1236" s="438"/>
      <c r="I1236" s="438"/>
      <c r="J1236" s="11"/>
      <c r="Q1236" s="348" t="str">
        <f t="shared" si="160"/>
        <v/>
      </c>
      <c r="R1236" s="348" t="str">
        <f t="shared" si="161"/>
        <v/>
      </c>
      <c r="S1236" s="348" t="str">
        <f t="shared" si="162"/>
        <v/>
      </c>
      <c r="T1236" s="348" t="str">
        <f t="shared" si="163"/>
        <v/>
      </c>
      <c r="U1236" s="348" t="str">
        <f t="shared" si="164"/>
        <v/>
      </c>
      <c r="V1236" s="348" t="str">
        <f t="shared" si="165"/>
        <v/>
      </c>
      <c r="W1236" s="348" t="str">
        <f t="shared" si="166"/>
        <v/>
      </c>
      <c r="X1236" s="348" t="str">
        <f t="shared" si="167"/>
        <v/>
      </c>
    </row>
    <row r="1237" spans="1:24" x14ac:dyDescent="0.2">
      <c r="A1237" s="407">
        <v>1229</v>
      </c>
      <c r="B1237" s="438"/>
      <c r="C1237" s="438"/>
      <c r="D1237" s="438"/>
      <c r="E1237" s="438"/>
      <c r="F1237" s="438"/>
      <c r="G1237" s="438"/>
      <c r="H1237" s="438"/>
      <c r="I1237" s="438"/>
      <c r="J1237" s="11"/>
      <c r="Q1237" s="348" t="str">
        <f t="shared" si="160"/>
        <v/>
      </c>
      <c r="R1237" s="348" t="str">
        <f t="shared" si="161"/>
        <v/>
      </c>
      <c r="S1237" s="348" t="str">
        <f t="shared" si="162"/>
        <v/>
      </c>
      <c r="T1237" s="348" t="str">
        <f t="shared" si="163"/>
        <v/>
      </c>
      <c r="U1237" s="348" t="str">
        <f t="shared" si="164"/>
        <v/>
      </c>
      <c r="V1237" s="348" t="str">
        <f t="shared" si="165"/>
        <v/>
      </c>
      <c r="W1237" s="348" t="str">
        <f t="shared" si="166"/>
        <v/>
      </c>
      <c r="X1237" s="348" t="str">
        <f t="shared" si="167"/>
        <v/>
      </c>
    </row>
    <row r="1238" spans="1:24" x14ac:dyDescent="0.2">
      <c r="A1238" s="407">
        <v>1230</v>
      </c>
      <c r="B1238" s="438"/>
      <c r="C1238" s="438"/>
      <c r="D1238" s="438"/>
      <c r="E1238" s="438"/>
      <c r="F1238" s="438"/>
      <c r="G1238" s="438"/>
      <c r="H1238" s="438"/>
      <c r="I1238" s="438"/>
      <c r="J1238" s="11"/>
      <c r="Q1238" s="348" t="str">
        <f t="shared" si="160"/>
        <v/>
      </c>
      <c r="R1238" s="348" t="str">
        <f t="shared" si="161"/>
        <v/>
      </c>
      <c r="S1238" s="348" t="str">
        <f t="shared" si="162"/>
        <v/>
      </c>
      <c r="T1238" s="348" t="str">
        <f t="shared" si="163"/>
        <v/>
      </c>
      <c r="U1238" s="348" t="str">
        <f t="shared" si="164"/>
        <v/>
      </c>
      <c r="V1238" s="348" t="str">
        <f t="shared" si="165"/>
        <v/>
      </c>
      <c r="W1238" s="348" t="str">
        <f t="shared" si="166"/>
        <v/>
      </c>
      <c r="X1238" s="348" t="str">
        <f t="shared" si="167"/>
        <v/>
      </c>
    </row>
    <row r="1239" spans="1:24" x14ac:dyDescent="0.2">
      <c r="A1239" s="407">
        <v>1231</v>
      </c>
      <c r="B1239" s="438"/>
      <c r="C1239" s="438"/>
      <c r="D1239" s="438"/>
      <c r="E1239" s="438"/>
      <c r="F1239" s="438"/>
      <c r="G1239" s="438"/>
      <c r="H1239" s="438"/>
      <c r="I1239" s="438"/>
      <c r="J1239" s="11"/>
      <c r="Q1239" s="348" t="str">
        <f t="shared" si="160"/>
        <v/>
      </c>
      <c r="R1239" s="348" t="str">
        <f t="shared" si="161"/>
        <v/>
      </c>
      <c r="S1239" s="348" t="str">
        <f t="shared" si="162"/>
        <v/>
      </c>
      <c r="T1239" s="348" t="str">
        <f t="shared" si="163"/>
        <v/>
      </c>
      <c r="U1239" s="348" t="str">
        <f t="shared" si="164"/>
        <v/>
      </c>
      <c r="V1239" s="348" t="str">
        <f t="shared" si="165"/>
        <v/>
      </c>
      <c r="W1239" s="348" t="str">
        <f t="shared" si="166"/>
        <v/>
      </c>
      <c r="X1239" s="348" t="str">
        <f t="shared" si="167"/>
        <v/>
      </c>
    </row>
    <row r="1240" spans="1:24" x14ac:dyDescent="0.2">
      <c r="A1240" s="407">
        <v>1232</v>
      </c>
      <c r="B1240" s="438"/>
      <c r="C1240" s="438"/>
      <c r="D1240" s="438"/>
      <c r="E1240" s="438"/>
      <c r="F1240" s="438"/>
      <c r="G1240" s="438"/>
      <c r="H1240" s="438"/>
      <c r="I1240" s="438"/>
      <c r="J1240" s="11"/>
      <c r="Q1240" s="348" t="str">
        <f t="shared" si="160"/>
        <v/>
      </c>
      <c r="R1240" s="348" t="str">
        <f t="shared" si="161"/>
        <v/>
      </c>
      <c r="S1240" s="348" t="str">
        <f t="shared" si="162"/>
        <v/>
      </c>
      <c r="T1240" s="348" t="str">
        <f t="shared" si="163"/>
        <v/>
      </c>
      <c r="U1240" s="348" t="str">
        <f t="shared" si="164"/>
        <v/>
      </c>
      <c r="V1240" s="348" t="str">
        <f t="shared" si="165"/>
        <v/>
      </c>
      <c r="W1240" s="348" t="str">
        <f t="shared" si="166"/>
        <v/>
      </c>
      <c r="X1240" s="348" t="str">
        <f t="shared" si="167"/>
        <v/>
      </c>
    </row>
    <row r="1241" spans="1:24" x14ac:dyDescent="0.2">
      <c r="A1241" s="407">
        <v>1233</v>
      </c>
      <c r="B1241" s="438"/>
      <c r="C1241" s="438"/>
      <c r="D1241" s="438"/>
      <c r="E1241" s="438"/>
      <c r="F1241" s="438"/>
      <c r="G1241" s="438"/>
      <c r="H1241" s="438"/>
      <c r="I1241" s="438"/>
      <c r="J1241" s="11"/>
      <c r="Q1241" s="348" t="str">
        <f t="shared" si="160"/>
        <v/>
      </c>
      <c r="R1241" s="348" t="str">
        <f t="shared" si="161"/>
        <v/>
      </c>
      <c r="S1241" s="348" t="str">
        <f t="shared" si="162"/>
        <v/>
      </c>
      <c r="T1241" s="348" t="str">
        <f t="shared" si="163"/>
        <v/>
      </c>
      <c r="U1241" s="348" t="str">
        <f t="shared" si="164"/>
        <v/>
      </c>
      <c r="V1241" s="348" t="str">
        <f t="shared" si="165"/>
        <v/>
      </c>
      <c r="W1241" s="348" t="str">
        <f t="shared" si="166"/>
        <v/>
      </c>
      <c r="X1241" s="348" t="str">
        <f t="shared" si="167"/>
        <v/>
      </c>
    </row>
    <row r="1242" spans="1:24" x14ac:dyDescent="0.2">
      <c r="A1242" s="407">
        <v>1234</v>
      </c>
      <c r="B1242" s="437"/>
      <c r="C1242" s="438"/>
      <c r="D1242" s="438"/>
      <c r="E1242" s="438"/>
      <c r="F1242" s="438"/>
      <c r="G1242" s="438"/>
      <c r="H1242" s="438"/>
      <c r="I1242" s="438"/>
      <c r="J1242" s="11"/>
      <c r="Q1242" s="348" t="str">
        <f t="shared" si="160"/>
        <v/>
      </c>
      <c r="R1242" s="348" t="str">
        <f t="shared" si="161"/>
        <v/>
      </c>
      <c r="S1242" s="348" t="str">
        <f t="shared" si="162"/>
        <v/>
      </c>
      <c r="T1242" s="348" t="str">
        <f t="shared" si="163"/>
        <v/>
      </c>
      <c r="U1242" s="348" t="str">
        <f t="shared" si="164"/>
        <v/>
      </c>
      <c r="V1242" s="348" t="str">
        <f t="shared" si="165"/>
        <v/>
      </c>
      <c r="W1242" s="348" t="str">
        <f t="shared" si="166"/>
        <v/>
      </c>
      <c r="X1242" s="348" t="str">
        <f t="shared" si="167"/>
        <v/>
      </c>
    </row>
    <row r="1243" spans="1:24" x14ac:dyDescent="0.2">
      <c r="A1243" s="407">
        <v>1235</v>
      </c>
      <c r="B1243" s="438"/>
      <c r="C1243" s="438"/>
      <c r="D1243" s="437"/>
      <c r="E1243" s="438"/>
      <c r="F1243" s="438"/>
      <c r="G1243" s="438"/>
      <c r="H1243" s="438"/>
      <c r="I1243" s="438"/>
      <c r="J1243" s="11"/>
      <c r="Q1243" s="348" t="str">
        <f t="shared" si="160"/>
        <v/>
      </c>
      <c r="R1243" s="348" t="str">
        <f t="shared" si="161"/>
        <v/>
      </c>
      <c r="S1243" s="348" t="str">
        <f t="shared" si="162"/>
        <v/>
      </c>
      <c r="T1243" s="348" t="str">
        <f t="shared" si="163"/>
        <v/>
      </c>
      <c r="U1243" s="348" t="str">
        <f t="shared" si="164"/>
        <v/>
      </c>
      <c r="V1243" s="348" t="str">
        <f t="shared" si="165"/>
        <v/>
      </c>
      <c r="W1243" s="348" t="str">
        <f t="shared" si="166"/>
        <v/>
      </c>
      <c r="X1243" s="348" t="str">
        <f t="shared" si="167"/>
        <v/>
      </c>
    </row>
    <row r="1244" spans="1:24" x14ac:dyDescent="0.2">
      <c r="A1244" s="407">
        <v>1236</v>
      </c>
      <c r="B1244" s="438"/>
      <c r="C1244" s="437"/>
      <c r="D1244" s="438"/>
      <c r="E1244" s="438"/>
      <c r="F1244" s="438"/>
      <c r="G1244" s="438"/>
      <c r="H1244" s="438"/>
      <c r="I1244" s="438"/>
      <c r="J1244" s="11"/>
      <c r="Q1244" s="348" t="str">
        <f t="shared" si="160"/>
        <v/>
      </c>
      <c r="R1244" s="348" t="str">
        <f t="shared" si="161"/>
        <v/>
      </c>
      <c r="S1244" s="348" t="str">
        <f t="shared" si="162"/>
        <v/>
      </c>
      <c r="T1244" s="348" t="str">
        <f t="shared" si="163"/>
        <v/>
      </c>
      <c r="U1244" s="348" t="str">
        <f t="shared" si="164"/>
        <v/>
      </c>
      <c r="V1244" s="348" t="str">
        <f t="shared" si="165"/>
        <v/>
      </c>
      <c r="W1244" s="348" t="str">
        <f t="shared" si="166"/>
        <v/>
      </c>
      <c r="X1244" s="348" t="str">
        <f t="shared" si="167"/>
        <v/>
      </c>
    </row>
    <row r="1245" spans="1:24" x14ac:dyDescent="0.2">
      <c r="A1245" s="407">
        <v>1237</v>
      </c>
      <c r="B1245" s="438"/>
      <c r="C1245" s="438"/>
      <c r="D1245" s="438"/>
      <c r="E1245" s="438"/>
      <c r="F1245" s="438"/>
      <c r="G1245" s="438"/>
      <c r="H1245" s="438"/>
      <c r="I1245" s="438"/>
      <c r="J1245" s="11"/>
      <c r="Q1245" s="348" t="str">
        <f t="shared" si="160"/>
        <v/>
      </c>
      <c r="R1245" s="348" t="str">
        <f t="shared" si="161"/>
        <v/>
      </c>
      <c r="S1245" s="348" t="str">
        <f t="shared" si="162"/>
        <v/>
      </c>
      <c r="T1245" s="348" t="str">
        <f t="shared" si="163"/>
        <v/>
      </c>
      <c r="U1245" s="348" t="str">
        <f t="shared" si="164"/>
        <v/>
      </c>
      <c r="V1245" s="348" t="str">
        <f t="shared" si="165"/>
        <v/>
      </c>
      <c r="W1245" s="348" t="str">
        <f t="shared" si="166"/>
        <v/>
      </c>
      <c r="X1245" s="348" t="str">
        <f t="shared" si="167"/>
        <v/>
      </c>
    </row>
    <row r="1246" spans="1:24" x14ac:dyDescent="0.2">
      <c r="A1246" s="407">
        <v>1238</v>
      </c>
      <c r="B1246" s="438"/>
      <c r="C1246" s="438"/>
      <c r="D1246" s="438"/>
      <c r="E1246" s="438"/>
      <c r="F1246" s="438"/>
      <c r="G1246" s="438"/>
      <c r="H1246" s="438"/>
      <c r="I1246" s="438"/>
      <c r="J1246" s="11"/>
      <c r="Q1246" s="348" t="str">
        <f t="shared" si="160"/>
        <v/>
      </c>
      <c r="R1246" s="348" t="str">
        <f t="shared" si="161"/>
        <v/>
      </c>
      <c r="S1246" s="348" t="str">
        <f t="shared" si="162"/>
        <v/>
      </c>
      <c r="T1246" s="348" t="str">
        <f t="shared" si="163"/>
        <v/>
      </c>
      <c r="U1246" s="348" t="str">
        <f t="shared" si="164"/>
        <v/>
      </c>
      <c r="V1246" s="348" t="str">
        <f t="shared" si="165"/>
        <v/>
      </c>
      <c r="W1246" s="348" t="str">
        <f t="shared" si="166"/>
        <v/>
      </c>
      <c r="X1246" s="348" t="str">
        <f t="shared" si="167"/>
        <v/>
      </c>
    </row>
    <row r="1247" spans="1:24" x14ac:dyDescent="0.2">
      <c r="A1247" s="407">
        <v>1239</v>
      </c>
      <c r="B1247" s="438"/>
      <c r="C1247" s="438"/>
      <c r="D1247" s="438"/>
      <c r="E1247" s="438"/>
      <c r="F1247" s="438"/>
      <c r="G1247" s="438"/>
      <c r="H1247" s="438"/>
      <c r="I1247" s="438"/>
      <c r="J1247" s="11"/>
      <c r="Q1247" s="348" t="str">
        <f t="shared" si="160"/>
        <v/>
      </c>
      <c r="R1247" s="348" t="str">
        <f t="shared" si="161"/>
        <v/>
      </c>
      <c r="S1247" s="348" t="str">
        <f t="shared" si="162"/>
        <v/>
      </c>
      <c r="T1247" s="348" t="str">
        <f t="shared" si="163"/>
        <v/>
      </c>
      <c r="U1247" s="348" t="str">
        <f t="shared" si="164"/>
        <v/>
      </c>
      <c r="V1247" s="348" t="str">
        <f t="shared" si="165"/>
        <v/>
      </c>
      <c r="W1247" s="348" t="str">
        <f t="shared" si="166"/>
        <v/>
      </c>
      <c r="X1247" s="348" t="str">
        <f t="shared" si="167"/>
        <v/>
      </c>
    </row>
    <row r="1248" spans="1:24" x14ac:dyDescent="0.2">
      <c r="A1248" s="407">
        <v>1240</v>
      </c>
      <c r="B1248" s="438"/>
      <c r="C1248" s="438"/>
      <c r="D1248" s="438"/>
      <c r="E1248" s="438"/>
      <c r="F1248" s="438"/>
      <c r="G1248" s="438"/>
      <c r="H1248" s="438"/>
      <c r="I1248" s="438"/>
      <c r="J1248" s="11"/>
      <c r="Q1248" s="348" t="str">
        <f t="shared" si="160"/>
        <v/>
      </c>
      <c r="R1248" s="348" t="str">
        <f t="shared" si="161"/>
        <v/>
      </c>
      <c r="S1248" s="348" t="str">
        <f t="shared" si="162"/>
        <v/>
      </c>
      <c r="T1248" s="348" t="str">
        <f t="shared" si="163"/>
        <v/>
      </c>
      <c r="U1248" s="348" t="str">
        <f t="shared" si="164"/>
        <v/>
      </c>
      <c r="V1248" s="348" t="str">
        <f t="shared" si="165"/>
        <v/>
      </c>
      <c r="W1248" s="348" t="str">
        <f t="shared" si="166"/>
        <v/>
      </c>
      <c r="X1248" s="348" t="str">
        <f t="shared" si="167"/>
        <v/>
      </c>
    </row>
    <row r="1249" spans="1:24" x14ac:dyDescent="0.2">
      <c r="A1249" s="407">
        <v>1241</v>
      </c>
      <c r="B1249" s="438"/>
      <c r="C1249" s="438"/>
      <c r="D1249" s="438"/>
      <c r="E1249" s="438"/>
      <c r="F1249" s="438"/>
      <c r="G1249" s="438"/>
      <c r="H1249" s="438"/>
      <c r="I1249" s="438"/>
      <c r="J1249" s="11"/>
      <c r="Q1249" s="348" t="str">
        <f t="shared" si="160"/>
        <v/>
      </c>
      <c r="R1249" s="348" t="str">
        <f t="shared" si="161"/>
        <v/>
      </c>
      <c r="S1249" s="348" t="str">
        <f t="shared" si="162"/>
        <v/>
      </c>
      <c r="T1249" s="348" t="str">
        <f t="shared" si="163"/>
        <v/>
      </c>
      <c r="U1249" s="348" t="str">
        <f t="shared" si="164"/>
        <v/>
      </c>
      <c r="V1249" s="348" t="str">
        <f t="shared" si="165"/>
        <v/>
      </c>
      <c r="W1249" s="348" t="str">
        <f t="shared" si="166"/>
        <v/>
      </c>
      <c r="X1249" s="348" t="str">
        <f t="shared" si="167"/>
        <v/>
      </c>
    </row>
    <row r="1250" spans="1:24" x14ac:dyDescent="0.2">
      <c r="A1250" s="407">
        <v>1242</v>
      </c>
      <c r="B1250" s="438"/>
      <c r="C1250" s="438"/>
      <c r="D1250" s="438"/>
      <c r="E1250" s="438"/>
      <c r="F1250" s="438"/>
      <c r="G1250" s="438"/>
      <c r="H1250" s="438"/>
      <c r="I1250" s="438"/>
      <c r="J1250" s="11"/>
      <c r="Q1250" s="348" t="str">
        <f t="shared" si="160"/>
        <v/>
      </c>
      <c r="R1250" s="348" t="str">
        <f t="shared" si="161"/>
        <v/>
      </c>
      <c r="S1250" s="348" t="str">
        <f t="shared" si="162"/>
        <v/>
      </c>
      <c r="T1250" s="348" t="str">
        <f t="shared" si="163"/>
        <v/>
      </c>
      <c r="U1250" s="348" t="str">
        <f t="shared" si="164"/>
        <v/>
      </c>
      <c r="V1250" s="348" t="str">
        <f t="shared" si="165"/>
        <v/>
      </c>
      <c r="W1250" s="348" t="str">
        <f t="shared" si="166"/>
        <v/>
      </c>
      <c r="X1250" s="348" t="str">
        <f t="shared" si="167"/>
        <v/>
      </c>
    </row>
    <row r="1251" spans="1:24" x14ac:dyDescent="0.2">
      <c r="A1251" s="407">
        <v>1243</v>
      </c>
      <c r="B1251" s="438"/>
      <c r="C1251" s="438"/>
      <c r="D1251" s="438"/>
      <c r="E1251" s="438"/>
      <c r="F1251" s="438"/>
      <c r="G1251" s="438"/>
      <c r="H1251" s="438"/>
      <c r="I1251" s="438"/>
      <c r="J1251" s="11"/>
      <c r="Q1251" s="348" t="str">
        <f t="shared" si="160"/>
        <v/>
      </c>
      <c r="R1251" s="348" t="str">
        <f t="shared" si="161"/>
        <v/>
      </c>
      <c r="S1251" s="348" t="str">
        <f t="shared" si="162"/>
        <v/>
      </c>
      <c r="T1251" s="348" t="str">
        <f t="shared" si="163"/>
        <v/>
      </c>
      <c r="U1251" s="348" t="str">
        <f t="shared" si="164"/>
        <v/>
      </c>
      <c r="V1251" s="348" t="str">
        <f t="shared" si="165"/>
        <v/>
      </c>
      <c r="W1251" s="348" t="str">
        <f t="shared" si="166"/>
        <v/>
      </c>
      <c r="X1251" s="348" t="str">
        <f t="shared" si="167"/>
        <v/>
      </c>
    </row>
    <row r="1252" spans="1:24" x14ac:dyDescent="0.2">
      <c r="A1252" s="407">
        <v>1244</v>
      </c>
      <c r="B1252" s="438"/>
      <c r="C1252" s="438"/>
      <c r="D1252" s="438"/>
      <c r="E1252" s="438"/>
      <c r="F1252" s="438"/>
      <c r="G1252" s="438"/>
      <c r="H1252" s="438"/>
      <c r="I1252" s="438"/>
      <c r="J1252" s="11"/>
      <c r="Q1252" s="348" t="str">
        <f t="shared" si="160"/>
        <v/>
      </c>
      <c r="R1252" s="348" t="str">
        <f t="shared" si="161"/>
        <v/>
      </c>
      <c r="S1252" s="348" t="str">
        <f t="shared" si="162"/>
        <v/>
      </c>
      <c r="T1252" s="348" t="str">
        <f t="shared" si="163"/>
        <v/>
      </c>
      <c r="U1252" s="348" t="str">
        <f t="shared" si="164"/>
        <v/>
      </c>
      <c r="V1252" s="348" t="str">
        <f t="shared" si="165"/>
        <v/>
      </c>
      <c r="W1252" s="348" t="str">
        <f t="shared" si="166"/>
        <v/>
      </c>
      <c r="X1252" s="348" t="str">
        <f t="shared" si="167"/>
        <v/>
      </c>
    </row>
    <row r="1253" spans="1:24" x14ac:dyDescent="0.2">
      <c r="A1253" s="407">
        <v>1245</v>
      </c>
      <c r="B1253" s="438"/>
      <c r="C1253" s="438"/>
      <c r="D1253" s="438"/>
      <c r="E1253" s="438"/>
      <c r="F1253" s="438"/>
      <c r="G1253" s="438"/>
      <c r="H1253" s="438"/>
      <c r="I1253" s="438"/>
      <c r="J1253" s="11"/>
      <c r="Q1253" s="348" t="str">
        <f t="shared" si="160"/>
        <v/>
      </c>
      <c r="R1253" s="348" t="str">
        <f t="shared" si="161"/>
        <v/>
      </c>
      <c r="S1253" s="348" t="str">
        <f t="shared" si="162"/>
        <v/>
      </c>
      <c r="T1253" s="348" t="str">
        <f t="shared" si="163"/>
        <v/>
      </c>
      <c r="U1253" s="348" t="str">
        <f t="shared" si="164"/>
        <v/>
      </c>
      <c r="V1253" s="348" t="str">
        <f t="shared" si="165"/>
        <v/>
      </c>
      <c r="W1253" s="348" t="str">
        <f t="shared" si="166"/>
        <v/>
      </c>
      <c r="X1253" s="348" t="str">
        <f t="shared" si="167"/>
        <v/>
      </c>
    </row>
    <row r="1254" spans="1:24" x14ac:dyDescent="0.2">
      <c r="A1254" s="407">
        <v>1246</v>
      </c>
      <c r="B1254" s="438"/>
      <c r="C1254" s="438"/>
      <c r="D1254" s="438"/>
      <c r="E1254" s="438"/>
      <c r="F1254" s="438"/>
      <c r="G1254" s="438"/>
      <c r="H1254" s="438"/>
      <c r="I1254" s="438"/>
      <c r="J1254" s="11"/>
      <c r="Q1254" s="348" t="str">
        <f t="shared" si="160"/>
        <v/>
      </c>
      <c r="R1254" s="348" t="str">
        <f t="shared" si="161"/>
        <v/>
      </c>
      <c r="S1254" s="348" t="str">
        <f t="shared" si="162"/>
        <v/>
      </c>
      <c r="T1254" s="348" t="str">
        <f t="shared" si="163"/>
        <v/>
      </c>
      <c r="U1254" s="348" t="str">
        <f t="shared" si="164"/>
        <v/>
      </c>
      <c r="V1254" s="348" t="str">
        <f t="shared" si="165"/>
        <v/>
      </c>
      <c r="W1254" s="348" t="str">
        <f t="shared" si="166"/>
        <v/>
      </c>
      <c r="X1254" s="348" t="str">
        <f t="shared" si="167"/>
        <v/>
      </c>
    </row>
    <row r="1255" spans="1:24" x14ac:dyDescent="0.2">
      <c r="A1255" s="407">
        <v>1247</v>
      </c>
      <c r="B1255" s="438"/>
      <c r="C1255" s="438"/>
      <c r="D1255" s="438"/>
      <c r="E1255" s="438"/>
      <c r="F1255" s="438"/>
      <c r="G1255" s="438"/>
      <c r="H1255" s="438"/>
      <c r="I1255" s="438"/>
      <c r="J1255" s="11"/>
      <c r="Q1255" s="348" t="str">
        <f t="shared" si="160"/>
        <v/>
      </c>
      <c r="R1255" s="348" t="str">
        <f t="shared" si="161"/>
        <v/>
      </c>
      <c r="S1255" s="348" t="str">
        <f t="shared" si="162"/>
        <v/>
      </c>
      <c r="T1255" s="348" t="str">
        <f t="shared" si="163"/>
        <v/>
      </c>
      <c r="U1255" s="348" t="str">
        <f t="shared" si="164"/>
        <v/>
      </c>
      <c r="V1255" s="348" t="str">
        <f t="shared" si="165"/>
        <v/>
      </c>
      <c r="W1255" s="348" t="str">
        <f t="shared" si="166"/>
        <v/>
      </c>
      <c r="X1255" s="348" t="str">
        <f t="shared" si="167"/>
        <v/>
      </c>
    </row>
    <row r="1256" spans="1:24" x14ac:dyDescent="0.2">
      <c r="A1256" s="407">
        <v>1248</v>
      </c>
      <c r="B1256" s="437"/>
      <c r="C1256" s="438"/>
      <c r="D1256" s="438"/>
      <c r="E1256" s="438"/>
      <c r="F1256" s="438"/>
      <c r="G1256" s="438"/>
      <c r="H1256" s="438"/>
      <c r="I1256" s="438"/>
      <c r="J1256" s="11"/>
      <c r="Q1256" s="348" t="str">
        <f t="shared" si="160"/>
        <v/>
      </c>
      <c r="R1256" s="348" t="str">
        <f t="shared" si="161"/>
        <v/>
      </c>
      <c r="S1256" s="348" t="str">
        <f t="shared" si="162"/>
        <v/>
      </c>
      <c r="T1256" s="348" t="str">
        <f t="shared" si="163"/>
        <v/>
      </c>
      <c r="U1256" s="348" t="str">
        <f t="shared" si="164"/>
        <v/>
      </c>
      <c r="V1256" s="348" t="str">
        <f t="shared" si="165"/>
        <v/>
      </c>
      <c r="W1256" s="348" t="str">
        <f t="shared" si="166"/>
        <v/>
      </c>
      <c r="X1256" s="348" t="str">
        <f t="shared" si="167"/>
        <v/>
      </c>
    </row>
    <row r="1257" spans="1:24" x14ac:dyDescent="0.2">
      <c r="A1257" s="407">
        <v>1249</v>
      </c>
      <c r="B1257" s="438"/>
      <c r="C1257" s="438"/>
      <c r="D1257" s="438"/>
      <c r="E1257" s="438"/>
      <c r="F1257" s="438"/>
      <c r="G1257" s="438"/>
      <c r="H1257" s="438"/>
      <c r="I1257" s="438"/>
      <c r="J1257" s="11"/>
      <c r="Q1257" s="348" t="str">
        <f t="shared" si="160"/>
        <v/>
      </c>
      <c r="R1257" s="348" t="str">
        <f t="shared" si="161"/>
        <v/>
      </c>
      <c r="S1257" s="348" t="str">
        <f t="shared" si="162"/>
        <v/>
      </c>
      <c r="T1257" s="348" t="str">
        <f t="shared" si="163"/>
        <v/>
      </c>
      <c r="U1257" s="348" t="str">
        <f t="shared" si="164"/>
        <v/>
      </c>
      <c r="V1257" s="348" t="str">
        <f t="shared" si="165"/>
        <v/>
      </c>
      <c r="W1257" s="348" t="str">
        <f t="shared" si="166"/>
        <v/>
      </c>
      <c r="X1257" s="348" t="str">
        <f t="shared" si="167"/>
        <v/>
      </c>
    </row>
    <row r="1258" spans="1:24" x14ac:dyDescent="0.2">
      <c r="A1258" s="407">
        <v>1250</v>
      </c>
      <c r="B1258" s="438"/>
      <c r="C1258" s="437"/>
      <c r="D1258" s="438"/>
      <c r="E1258" s="438"/>
      <c r="F1258" s="438"/>
      <c r="G1258" s="438"/>
      <c r="H1258" s="438"/>
      <c r="I1258" s="437"/>
      <c r="J1258" s="11"/>
      <c r="Q1258" s="348" t="str">
        <f t="shared" si="160"/>
        <v/>
      </c>
      <c r="R1258" s="348" t="str">
        <f t="shared" si="161"/>
        <v/>
      </c>
      <c r="S1258" s="348" t="str">
        <f t="shared" si="162"/>
        <v/>
      </c>
      <c r="T1258" s="348" t="str">
        <f t="shared" si="163"/>
        <v/>
      </c>
      <c r="U1258" s="348" t="str">
        <f t="shared" si="164"/>
        <v/>
      </c>
      <c r="V1258" s="348" t="str">
        <f t="shared" si="165"/>
        <v/>
      </c>
      <c r="W1258" s="348" t="str">
        <f t="shared" si="166"/>
        <v/>
      </c>
      <c r="X1258" s="348" t="str">
        <f t="shared" si="167"/>
        <v/>
      </c>
    </row>
    <row r="1259" spans="1:24" x14ac:dyDescent="0.2">
      <c r="A1259" s="407">
        <v>1251</v>
      </c>
      <c r="B1259" s="438"/>
      <c r="C1259" s="438"/>
      <c r="D1259" s="438"/>
      <c r="E1259" s="437"/>
      <c r="F1259" s="438"/>
      <c r="G1259" s="438"/>
      <c r="H1259" s="438"/>
      <c r="I1259" s="438"/>
      <c r="J1259" s="11"/>
      <c r="Q1259" s="348" t="str">
        <f t="shared" si="160"/>
        <v/>
      </c>
      <c r="R1259" s="348" t="str">
        <f t="shared" si="161"/>
        <v/>
      </c>
      <c r="S1259" s="348" t="str">
        <f t="shared" si="162"/>
        <v/>
      </c>
      <c r="T1259" s="348" t="str">
        <f t="shared" si="163"/>
        <v/>
      </c>
      <c r="U1259" s="348" t="str">
        <f t="shared" si="164"/>
        <v/>
      </c>
      <c r="V1259" s="348" t="str">
        <f t="shared" si="165"/>
        <v/>
      </c>
      <c r="W1259" s="348" t="str">
        <f t="shared" si="166"/>
        <v/>
      </c>
      <c r="X1259" s="348" t="str">
        <f t="shared" si="167"/>
        <v/>
      </c>
    </row>
    <row r="1260" spans="1:24" x14ac:dyDescent="0.2">
      <c r="A1260" s="407">
        <v>1252</v>
      </c>
      <c r="B1260" s="438"/>
      <c r="C1260" s="438"/>
      <c r="D1260" s="438"/>
      <c r="E1260" s="438"/>
      <c r="F1260" s="438"/>
      <c r="G1260" s="438"/>
      <c r="H1260" s="438"/>
      <c r="I1260" s="438"/>
      <c r="J1260" s="11"/>
      <c r="Q1260" s="348" t="str">
        <f t="shared" si="160"/>
        <v/>
      </c>
      <c r="R1260" s="348" t="str">
        <f t="shared" si="161"/>
        <v/>
      </c>
      <c r="S1260" s="348" t="str">
        <f t="shared" si="162"/>
        <v/>
      </c>
      <c r="T1260" s="348" t="str">
        <f t="shared" si="163"/>
        <v/>
      </c>
      <c r="U1260" s="348" t="str">
        <f t="shared" si="164"/>
        <v/>
      </c>
      <c r="V1260" s="348" t="str">
        <f t="shared" si="165"/>
        <v/>
      </c>
      <c r="W1260" s="348" t="str">
        <f t="shared" si="166"/>
        <v/>
      </c>
      <c r="X1260" s="348" t="str">
        <f t="shared" si="167"/>
        <v/>
      </c>
    </row>
    <row r="1261" spans="1:24" x14ac:dyDescent="0.2">
      <c r="A1261" s="407">
        <v>1253</v>
      </c>
      <c r="B1261" s="438"/>
      <c r="C1261" s="438"/>
      <c r="D1261" s="438"/>
      <c r="E1261" s="438"/>
      <c r="F1261" s="438"/>
      <c r="G1261" s="438"/>
      <c r="H1261" s="438"/>
      <c r="I1261" s="438"/>
      <c r="J1261" s="11"/>
      <c r="Q1261" s="348" t="str">
        <f t="shared" si="160"/>
        <v/>
      </c>
      <c r="R1261" s="348" t="str">
        <f t="shared" si="161"/>
        <v/>
      </c>
      <c r="S1261" s="348" t="str">
        <f t="shared" si="162"/>
        <v/>
      </c>
      <c r="T1261" s="348" t="str">
        <f t="shared" si="163"/>
        <v/>
      </c>
      <c r="U1261" s="348" t="str">
        <f t="shared" si="164"/>
        <v/>
      </c>
      <c r="V1261" s="348" t="str">
        <f t="shared" si="165"/>
        <v/>
      </c>
      <c r="W1261" s="348" t="str">
        <f t="shared" si="166"/>
        <v/>
      </c>
      <c r="X1261" s="348" t="str">
        <f t="shared" si="167"/>
        <v/>
      </c>
    </row>
    <row r="1262" spans="1:24" x14ac:dyDescent="0.2">
      <c r="A1262" s="407">
        <v>1254</v>
      </c>
      <c r="B1262" s="438"/>
      <c r="C1262" s="438"/>
      <c r="D1262" s="438"/>
      <c r="E1262" s="438"/>
      <c r="F1262" s="438"/>
      <c r="G1262" s="438"/>
      <c r="H1262" s="438"/>
      <c r="I1262" s="438"/>
      <c r="J1262" s="11"/>
      <c r="Q1262" s="348" t="str">
        <f t="shared" si="160"/>
        <v/>
      </c>
      <c r="R1262" s="348" t="str">
        <f t="shared" si="161"/>
        <v/>
      </c>
      <c r="S1262" s="348" t="str">
        <f t="shared" si="162"/>
        <v/>
      </c>
      <c r="T1262" s="348" t="str">
        <f t="shared" si="163"/>
        <v/>
      </c>
      <c r="U1262" s="348" t="str">
        <f t="shared" si="164"/>
        <v/>
      </c>
      <c r="V1262" s="348" t="str">
        <f t="shared" si="165"/>
        <v/>
      </c>
      <c r="W1262" s="348" t="str">
        <f t="shared" si="166"/>
        <v/>
      </c>
      <c r="X1262" s="348" t="str">
        <f t="shared" si="167"/>
        <v/>
      </c>
    </row>
    <row r="1263" spans="1:24" x14ac:dyDescent="0.2">
      <c r="A1263" s="407">
        <v>1255</v>
      </c>
      <c r="B1263" s="438"/>
      <c r="C1263" s="438"/>
      <c r="D1263" s="438"/>
      <c r="E1263" s="438"/>
      <c r="F1263" s="438"/>
      <c r="G1263" s="438"/>
      <c r="H1263" s="438"/>
      <c r="I1263" s="438"/>
      <c r="J1263" s="11"/>
      <c r="Q1263" s="348" t="str">
        <f t="shared" si="160"/>
        <v/>
      </c>
      <c r="R1263" s="348" t="str">
        <f t="shared" si="161"/>
        <v/>
      </c>
      <c r="S1263" s="348" t="str">
        <f t="shared" si="162"/>
        <v/>
      </c>
      <c r="T1263" s="348" t="str">
        <f t="shared" si="163"/>
        <v/>
      </c>
      <c r="U1263" s="348" t="str">
        <f t="shared" si="164"/>
        <v/>
      </c>
      <c r="V1263" s="348" t="str">
        <f t="shared" si="165"/>
        <v/>
      </c>
      <c r="W1263" s="348" t="str">
        <f t="shared" si="166"/>
        <v/>
      </c>
      <c r="X1263" s="348" t="str">
        <f t="shared" si="167"/>
        <v/>
      </c>
    </row>
    <row r="1264" spans="1:24" x14ac:dyDescent="0.2">
      <c r="A1264" s="407">
        <v>1256</v>
      </c>
      <c r="B1264" s="438"/>
      <c r="C1264" s="438"/>
      <c r="D1264" s="438"/>
      <c r="E1264" s="438"/>
      <c r="F1264" s="438"/>
      <c r="G1264" s="438"/>
      <c r="H1264" s="438"/>
      <c r="I1264" s="438"/>
      <c r="J1264" s="11"/>
      <c r="Q1264" s="348" t="str">
        <f t="shared" si="160"/>
        <v/>
      </c>
      <c r="R1264" s="348" t="str">
        <f t="shared" si="161"/>
        <v/>
      </c>
      <c r="S1264" s="348" t="str">
        <f t="shared" si="162"/>
        <v/>
      </c>
      <c r="T1264" s="348" t="str">
        <f t="shared" si="163"/>
        <v/>
      </c>
      <c r="U1264" s="348" t="str">
        <f t="shared" si="164"/>
        <v/>
      </c>
      <c r="V1264" s="348" t="str">
        <f t="shared" si="165"/>
        <v/>
      </c>
      <c r="W1264" s="348" t="str">
        <f t="shared" si="166"/>
        <v/>
      </c>
      <c r="X1264" s="348" t="str">
        <f t="shared" si="167"/>
        <v/>
      </c>
    </row>
    <row r="1265" spans="1:24" x14ac:dyDescent="0.2">
      <c r="A1265" s="407">
        <v>1257</v>
      </c>
      <c r="B1265" s="438"/>
      <c r="C1265" s="438"/>
      <c r="D1265" s="438"/>
      <c r="E1265" s="438"/>
      <c r="F1265" s="438"/>
      <c r="G1265" s="438"/>
      <c r="H1265" s="438"/>
      <c r="I1265" s="438"/>
      <c r="J1265" s="11"/>
      <c r="Q1265" s="348" t="str">
        <f t="shared" si="160"/>
        <v/>
      </c>
      <c r="R1265" s="348" t="str">
        <f t="shared" si="161"/>
        <v/>
      </c>
      <c r="S1265" s="348" t="str">
        <f t="shared" si="162"/>
        <v/>
      </c>
      <c r="T1265" s="348" t="str">
        <f t="shared" si="163"/>
        <v/>
      </c>
      <c r="U1265" s="348" t="str">
        <f t="shared" si="164"/>
        <v/>
      </c>
      <c r="V1265" s="348" t="str">
        <f t="shared" si="165"/>
        <v/>
      </c>
      <c r="W1265" s="348" t="str">
        <f t="shared" si="166"/>
        <v/>
      </c>
      <c r="X1265" s="348" t="str">
        <f t="shared" si="167"/>
        <v/>
      </c>
    </row>
    <row r="1266" spans="1:24" x14ac:dyDescent="0.2">
      <c r="A1266" s="407">
        <v>1258</v>
      </c>
      <c r="B1266" s="438"/>
      <c r="C1266" s="438"/>
      <c r="D1266" s="438"/>
      <c r="E1266" s="438"/>
      <c r="F1266" s="438"/>
      <c r="G1266" s="438"/>
      <c r="H1266" s="438"/>
      <c r="I1266" s="438"/>
      <c r="J1266" s="11"/>
      <c r="Q1266" s="348" t="str">
        <f t="shared" si="160"/>
        <v/>
      </c>
      <c r="R1266" s="348" t="str">
        <f t="shared" si="161"/>
        <v/>
      </c>
      <c r="S1266" s="348" t="str">
        <f t="shared" si="162"/>
        <v/>
      </c>
      <c r="T1266" s="348" t="str">
        <f t="shared" si="163"/>
        <v/>
      </c>
      <c r="U1266" s="348" t="str">
        <f t="shared" si="164"/>
        <v/>
      </c>
      <c r="V1266" s="348" t="str">
        <f t="shared" si="165"/>
        <v/>
      </c>
      <c r="W1266" s="348" t="str">
        <f t="shared" si="166"/>
        <v/>
      </c>
      <c r="X1266" s="348" t="str">
        <f t="shared" si="167"/>
        <v/>
      </c>
    </row>
    <row r="1267" spans="1:24" x14ac:dyDescent="0.2">
      <c r="A1267" s="407">
        <v>1259</v>
      </c>
      <c r="B1267" s="438"/>
      <c r="C1267" s="438"/>
      <c r="D1267" s="438"/>
      <c r="E1267" s="438"/>
      <c r="F1267" s="438"/>
      <c r="G1267" s="438"/>
      <c r="H1267" s="438"/>
      <c r="I1267" s="438"/>
      <c r="J1267" s="11"/>
      <c r="Q1267" s="348" t="str">
        <f t="shared" si="160"/>
        <v/>
      </c>
      <c r="R1267" s="348" t="str">
        <f t="shared" si="161"/>
        <v/>
      </c>
      <c r="S1267" s="348" t="str">
        <f t="shared" si="162"/>
        <v/>
      </c>
      <c r="T1267" s="348" t="str">
        <f t="shared" si="163"/>
        <v/>
      </c>
      <c r="U1267" s="348" t="str">
        <f t="shared" si="164"/>
        <v/>
      </c>
      <c r="V1267" s="348" t="str">
        <f t="shared" si="165"/>
        <v/>
      </c>
      <c r="W1267" s="348" t="str">
        <f t="shared" si="166"/>
        <v/>
      </c>
      <c r="X1267" s="348" t="str">
        <f t="shared" si="167"/>
        <v/>
      </c>
    </row>
    <row r="1268" spans="1:24" x14ac:dyDescent="0.2">
      <c r="A1268" s="407">
        <v>1260</v>
      </c>
      <c r="B1268" s="438"/>
      <c r="C1268" s="438"/>
      <c r="D1268" s="438"/>
      <c r="E1268" s="438"/>
      <c r="F1268" s="438"/>
      <c r="G1268" s="438"/>
      <c r="H1268" s="438"/>
      <c r="I1268" s="438"/>
      <c r="J1268" s="11"/>
      <c r="Q1268" s="348" t="str">
        <f t="shared" si="160"/>
        <v/>
      </c>
      <c r="R1268" s="348" t="str">
        <f t="shared" si="161"/>
        <v/>
      </c>
      <c r="S1268" s="348" t="str">
        <f t="shared" si="162"/>
        <v/>
      </c>
      <c r="T1268" s="348" t="str">
        <f t="shared" si="163"/>
        <v/>
      </c>
      <c r="U1268" s="348" t="str">
        <f t="shared" si="164"/>
        <v/>
      </c>
      <c r="V1268" s="348" t="str">
        <f t="shared" si="165"/>
        <v/>
      </c>
      <c r="W1268" s="348" t="str">
        <f t="shared" si="166"/>
        <v/>
      </c>
      <c r="X1268" s="348" t="str">
        <f t="shared" si="167"/>
        <v/>
      </c>
    </row>
    <row r="1269" spans="1:24" x14ac:dyDescent="0.2">
      <c r="A1269" s="407">
        <v>1261</v>
      </c>
      <c r="B1269" s="438"/>
      <c r="C1269" s="438"/>
      <c r="D1269" s="438"/>
      <c r="E1269" s="438"/>
      <c r="F1269" s="438"/>
      <c r="G1269" s="438"/>
      <c r="H1269" s="438"/>
      <c r="I1269" s="438"/>
      <c r="J1269" s="11"/>
      <c r="Q1269" s="348" t="str">
        <f t="shared" si="160"/>
        <v/>
      </c>
      <c r="R1269" s="348" t="str">
        <f t="shared" si="161"/>
        <v/>
      </c>
      <c r="S1269" s="348" t="str">
        <f t="shared" si="162"/>
        <v/>
      </c>
      <c r="T1269" s="348" t="str">
        <f t="shared" si="163"/>
        <v/>
      </c>
      <c r="U1269" s="348" t="str">
        <f t="shared" si="164"/>
        <v/>
      </c>
      <c r="V1269" s="348" t="str">
        <f t="shared" si="165"/>
        <v/>
      </c>
      <c r="W1269" s="348" t="str">
        <f t="shared" si="166"/>
        <v/>
      </c>
      <c r="X1269" s="348" t="str">
        <f t="shared" si="167"/>
        <v/>
      </c>
    </row>
    <row r="1270" spans="1:24" x14ac:dyDescent="0.2">
      <c r="A1270" s="407">
        <v>1262</v>
      </c>
      <c r="B1270" s="438"/>
      <c r="C1270" s="438"/>
      <c r="D1270" s="438"/>
      <c r="E1270" s="438"/>
      <c r="F1270" s="438"/>
      <c r="G1270" s="437"/>
      <c r="H1270" s="438"/>
      <c r="I1270" s="438"/>
      <c r="J1270" s="11"/>
      <c r="Q1270" s="348" t="str">
        <f t="shared" si="160"/>
        <v/>
      </c>
      <c r="R1270" s="348" t="str">
        <f t="shared" si="161"/>
        <v/>
      </c>
      <c r="S1270" s="348" t="str">
        <f t="shared" si="162"/>
        <v/>
      </c>
      <c r="T1270" s="348" t="str">
        <f t="shared" si="163"/>
        <v/>
      </c>
      <c r="U1270" s="348" t="str">
        <f t="shared" si="164"/>
        <v/>
      </c>
      <c r="V1270" s="348" t="str">
        <f t="shared" si="165"/>
        <v/>
      </c>
      <c r="W1270" s="348" t="str">
        <f t="shared" si="166"/>
        <v/>
      </c>
      <c r="X1270" s="348" t="str">
        <f t="shared" si="167"/>
        <v/>
      </c>
    </row>
    <row r="1271" spans="1:24" x14ac:dyDescent="0.2">
      <c r="A1271" s="407">
        <v>1263</v>
      </c>
      <c r="B1271" s="438"/>
      <c r="C1271" s="438"/>
      <c r="D1271" s="438"/>
      <c r="E1271" s="438"/>
      <c r="F1271" s="438"/>
      <c r="G1271" s="438"/>
      <c r="H1271" s="438"/>
      <c r="I1271" s="438"/>
      <c r="J1271" s="11"/>
      <c r="Q1271" s="348" t="str">
        <f t="shared" si="160"/>
        <v/>
      </c>
      <c r="R1271" s="348" t="str">
        <f t="shared" si="161"/>
        <v/>
      </c>
      <c r="S1271" s="348" t="str">
        <f t="shared" si="162"/>
        <v/>
      </c>
      <c r="T1271" s="348" t="str">
        <f t="shared" si="163"/>
        <v/>
      </c>
      <c r="U1271" s="348" t="str">
        <f t="shared" si="164"/>
        <v/>
      </c>
      <c r="V1271" s="348" t="str">
        <f t="shared" si="165"/>
        <v/>
      </c>
      <c r="W1271" s="348" t="str">
        <f t="shared" si="166"/>
        <v/>
      </c>
      <c r="X1271" s="348" t="str">
        <f t="shared" si="167"/>
        <v/>
      </c>
    </row>
    <row r="1272" spans="1:24" x14ac:dyDescent="0.2">
      <c r="A1272" s="407">
        <v>1264</v>
      </c>
      <c r="B1272" s="438"/>
      <c r="C1272" s="437"/>
      <c r="D1272" s="438"/>
      <c r="E1272" s="438"/>
      <c r="F1272" s="437"/>
      <c r="G1272" s="438"/>
      <c r="H1272" s="437"/>
      <c r="I1272" s="438"/>
      <c r="J1272" s="11"/>
      <c r="Q1272" s="348" t="str">
        <f t="shared" si="160"/>
        <v/>
      </c>
      <c r="R1272" s="348" t="str">
        <f t="shared" si="161"/>
        <v/>
      </c>
      <c r="S1272" s="348" t="str">
        <f t="shared" si="162"/>
        <v/>
      </c>
      <c r="T1272" s="348" t="str">
        <f t="shared" si="163"/>
        <v/>
      </c>
      <c r="U1272" s="348" t="str">
        <f t="shared" si="164"/>
        <v/>
      </c>
      <c r="V1272" s="348" t="str">
        <f t="shared" si="165"/>
        <v/>
      </c>
      <c r="W1272" s="348" t="str">
        <f t="shared" si="166"/>
        <v/>
      </c>
      <c r="X1272" s="348" t="str">
        <f t="shared" si="167"/>
        <v/>
      </c>
    </row>
    <row r="1273" spans="1:24" x14ac:dyDescent="0.2">
      <c r="A1273" s="407">
        <v>1265</v>
      </c>
      <c r="B1273" s="438"/>
      <c r="C1273" s="438"/>
      <c r="D1273" s="437"/>
      <c r="E1273" s="438"/>
      <c r="F1273" s="438"/>
      <c r="G1273" s="438"/>
      <c r="H1273" s="438"/>
      <c r="I1273" s="438"/>
      <c r="J1273" s="11"/>
      <c r="Q1273" s="348" t="str">
        <f t="shared" si="160"/>
        <v/>
      </c>
      <c r="R1273" s="348" t="str">
        <f t="shared" si="161"/>
        <v/>
      </c>
      <c r="S1273" s="348" t="str">
        <f t="shared" si="162"/>
        <v/>
      </c>
      <c r="T1273" s="348" t="str">
        <f t="shared" si="163"/>
        <v/>
      </c>
      <c r="U1273" s="348" t="str">
        <f t="shared" si="164"/>
        <v/>
      </c>
      <c r="V1273" s="348" t="str">
        <f t="shared" si="165"/>
        <v/>
      </c>
      <c r="W1273" s="348" t="str">
        <f t="shared" si="166"/>
        <v/>
      </c>
      <c r="X1273" s="348" t="str">
        <f t="shared" si="167"/>
        <v/>
      </c>
    </row>
    <row r="1274" spans="1:24" x14ac:dyDescent="0.2">
      <c r="A1274" s="407">
        <v>1266</v>
      </c>
      <c r="B1274" s="438"/>
      <c r="C1274" s="438"/>
      <c r="D1274" s="438"/>
      <c r="E1274" s="438"/>
      <c r="F1274" s="438"/>
      <c r="G1274" s="438"/>
      <c r="H1274" s="438"/>
      <c r="I1274" s="438"/>
      <c r="J1274" s="11"/>
      <c r="Q1274" s="348" t="str">
        <f t="shared" si="160"/>
        <v/>
      </c>
      <c r="R1274" s="348" t="str">
        <f t="shared" si="161"/>
        <v/>
      </c>
      <c r="S1274" s="348" t="str">
        <f t="shared" si="162"/>
        <v/>
      </c>
      <c r="T1274" s="348" t="str">
        <f t="shared" si="163"/>
        <v/>
      </c>
      <c r="U1274" s="348" t="str">
        <f t="shared" si="164"/>
        <v/>
      </c>
      <c r="V1274" s="348" t="str">
        <f t="shared" si="165"/>
        <v/>
      </c>
      <c r="W1274" s="348" t="str">
        <f t="shared" si="166"/>
        <v/>
      </c>
      <c r="X1274" s="348" t="str">
        <f t="shared" si="167"/>
        <v/>
      </c>
    </row>
    <row r="1275" spans="1:24" x14ac:dyDescent="0.2">
      <c r="A1275" s="407">
        <v>1267</v>
      </c>
      <c r="B1275" s="437"/>
      <c r="C1275" s="438"/>
      <c r="D1275" s="438"/>
      <c r="E1275" s="438"/>
      <c r="F1275" s="438"/>
      <c r="G1275" s="438"/>
      <c r="H1275" s="438"/>
      <c r="I1275" s="438"/>
      <c r="J1275" s="11"/>
      <c r="Q1275" s="348" t="str">
        <f t="shared" si="160"/>
        <v/>
      </c>
      <c r="R1275" s="348" t="str">
        <f t="shared" si="161"/>
        <v/>
      </c>
      <c r="S1275" s="348" t="str">
        <f t="shared" si="162"/>
        <v/>
      </c>
      <c r="T1275" s="348" t="str">
        <f t="shared" si="163"/>
        <v/>
      </c>
      <c r="U1275" s="348" t="str">
        <f t="shared" si="164"/>
        <v/>
      </c>
      <c r="V1275" s="348" t="str">
        <f t="shared" si="165"/>
        <v/>
      </c>
      <c r="W1275" s="348" t="str">
        <f t="shared" si="166"/>
        <v/>
      </c>
      <c r="X1275" s="348" t="str">
        <f t="shared" si="167"/>
        <v/>
      </c>
    </row>
    <row r="1276" spans="1:24" x14ac:dyDescent="0.2">
      <c r="A1276" s="407">
        <v>1268</v>
      </c>
      <c r="B1276" s="438"/>
      <c r="C1276" s="438"/>
      <c r="D1276" s="438"/>
      <c r="E1276" s="438"/>
      <c r="F1276" s="438"/>
      <c r="G1276" s="438"/>
      <c r="H1276" s="438"/>
      <c r="I1276" s="438"/>
      <c r="J1276" s="11"/>
      <c r="Q1276" s="348" t="str">
        <f t="shared" si="160"/>
        <v/>
      </c>
      <c r="R1276" s="348" t="str">
        <f t="shared" si="161"/>
        <v/>
      </c>
      <c r="S1276" s="348" t="str">
        <f t="shared" si="162"/>
        <v/>
      </c>
      <c r="T1276" s="348" t="str">
        <f t="shared" si="163"/>
        <v/>
      </c>
      <c r="U1276" s="348" t="str">
        <f t="shared" si="164"/>
        <v/>
      </c>
      <c r="V1276" s="348" t="str">
        <f t="shared" si="165"/>
        <v/>
      </c>
      <c r="W1276" s="348" t="str">
        <f t="shared" si="166"/>
        <v/>
      </c>
      <c r="X1276" s="348" t="str">
        <f t="shared" si="167"/>
        <v/>
      </c>
    </row>
    <row r="1277" spans="1:24" x14ac:dyDescent="0.2">
      <c r="A1277" s="407">
        <v>1269</v>
      </c>
      <c r="B1277" s="438"/>
      <c r="C1277" s="438"/>
      <c r="D1277" s="438"/>
      <c r="E1277" s="437"/>
      <c r="F1277" s="438"/>
      <c r="G1277" s="438"/>
      <c r="H1277" s="438"/>
      <c r="I1277" s="438"/>
      <c r="J1277" s="11"/>
      <c r="Q1277" s="348" t="str">
        <f t="shared" si="160"/>
        <v/>
      </c>
      <c r="R1277" s="348" t="str">
        <f t="shared" si="161"/>
        <v/>
      </c>
      <c r="S1277" s="348" t="str">
        <f t="shared" si="162"/>
        <v/>
      </c>
      <c r="T1277" s="348" t="str">
        <f t="shared" si="163"/>
        <v/>
      </c>
      <c r="U1277" s="348" t="str">
        <f t="shared" si="164"/>
        <v/>
      </c>
      <c r="V1277" s="348" t="str">
        <f t="shared" si="165"/>
        <v/>
      </c>
      <c r="W1277" s="348" t="str">
        <f t="shared" si="166"/>
        <v/>
      </c>
      <c r="X1277" s="348" t="str">
        <f t="shared" si="167"/>
        <v/>
      </c>
    </row>
    <row r="1278" spans="1:24" x14ac:dyDescent="0.2">
      <c r="A1278" s="407">
        <v>1270</v>
      </c>
      <c r="B1278" s="438"/>
      <c r="C1278" s="438"/>
      <c r="D1278" s="438"/>
      <c r="E1278" s="438"/>
      <c r="F1278" s="438"/>
      <c r="G1278" s="438"/>
      <c r="H1278" s="438"/>
      <c r="I1278" s="438"/>
      <c r="J1278" s="11"/>
      <c r="Q1278" s="348" t="str">
        <f t="shared" si="160"/>
        <v/>
      </c>
      <c r="R1278" s="348" t="str">
        <f t="shared" si="161"/>
        <v/>
      </c>
      <c r="S1278" s="348" t="str">
        <f t="shared" si="162"/>
        <v/>
      </c>
      <c r="T1278" s="348" t="str">
        <f t="shared" si="163"/>
        <v/>
      </c>
      <c r="U1278" s="348" t="str">
        <f t="shared" si="164"/>
        <v/>
      </c>
      <c r="V1278" s="348" t="str">
        <f t="shared" si="165"/>
        <v/>
      </c>
      <c r="W1278" s="348" t="str">
        <f t="shared" si="166"/>
        <v/>
      </c>
      <c r="X1278" s="348" t="str">
        <f t="shared" si="167"/>
        <v/>
      </c>
    </row>
    <row r="1279" spans="1:24" x14ac:dyDescent="0.2">
      <c r="A1279" s="407">
        <v>1271</v>
      </c>
      <c r="B1279" s="438"/>
      <c r="C1279" s="438"/>
      <c r="D1279" s="438"/>
      <c r="E1279" s="438"/>
      <c r="F1279" s="438"/>
      <c r="G1279" s="438"/>
      <c r="H1279" s="438"/>
      <c r="I1279" s="438"/>
      <c r="J1279" s="11"/>
      <c r="Q1279" s="348" t="str">
        <f t="shared" si="160"/>
        <v/>
      </c>
      <c r="R1279" s="348" t="str">
        <f t="shared" si="161"/>
        <v/>
      </c>
      <c r="S1279" s="348" t="str">
        <f t="shared" si="162"/>
        <v/>
      </c>
      <c r="T1279" s="348" t="str">
        <f t="shared" si="163"/>
        <v/>
      </c>
      <c r="U1279" s="348" t="str">
        <f t="shared" si="164"/>
        <v/>
      </c>
      <c r="V1279" s="348" t="str">
        <f t="shared" si="165"/>
        <v/>
      </c>
      <c r="W1279" s="348" t="str">
        <f t="shared" si="166"/>
        <v/>
      </c>
      <c r="X1279" s="348" t="str">
        <f t="shared" si="167"/>
        <v/>
      </c>
    </row>
    <row r="1280" spans="1:24" x14ac:dyDescent="0.2">
      <c r="A1280" s="407">
        <v>1272</v>
      </c>
      <c r="B1280" s="438"/>
      <c r="C1280" s="438"/>
      <c r="D1280" s="438"/>
      <c r="E1280" s="438"/>
      <c r="F1280" s="438"/>
      <c r="G1280" s="438"/>
      <c r="H1280" s="438"/>
      <c r="I1280" s="438"/>
      <c r="J1280" s="11"/>
      <c r="Q1280" s="348" t="str">
        <f t="shared" si="160"/>
        <v/>
      </c>
      <c r="R1280" s="348" t="str">
        <f t="shared" si="161"/>
        <v/>
      </c>
      <c r="S1280" s="348" t="str">
        <f t="shared" si="162"/>
        <v/>
      </c>
      <c r="T1280" s="348" t="str">
        <f t="shared" si="163"/>
        <v/>
      </c>
      <c r="U1280" s="348" t="str">
        <f t="shared" si="164"/>
        <v/>
      </c>
      <c r="V1280" s="348" t="str">
        <f t="shared" si="165"/>
        <v/>
      </c>
      <c r="W1280" s="348" t="str">
        <f t="shared" si="166"/>
        <v/>
      </c>
      <c r="X1280" s="348" t="str">
        <f t="shared" si="167"/>
        <v/>
      </c>
    </row>
    <row r="1281" spans="1:24" x14ac:dyDescent="0.2">
      <c r="A1281" s="407">
        <v>1273</v>
      </c>
      <c r="B1281" s="438"/>
      <c r="C1281" s="438"/>
      <c r="D1281" s="438"/>
      <c r="E1281" s="438"/>
      <c r="F1281" s="438"/>
      <c r="G1281" s="438"/>
      <c r="H1281" s="438"/>
      <c r="I1281" s="438"/>
      <c r="J1281" s="11"/>
      <c r="Q1281" s="348" t="str">
        <f t="shared" si="160"/>
        <v/>
      </c>
      <c r="R1281" s="348" t="str">
        <f t="shared" si="161"/>
        <v/>
      </c>
      <c r="S1281" s="348" t="str">
        <f t="shared" si="162"/>
        <v/>
      </c>
      <c r="T1281" s="348" t="str">
        <f t="shared" si="163"/>
        <v/>
      </c>
      <c r="U1281" s="348" t="str">
        <f t="shared" si="164"/>
        <v/>
      </c>
      <c r="V1281" s="348" t="str">
        <f t="shared" si="165"/>
        <v/>
      </c>
      <c r="W1281" s="348" t="str">
        <f t="shared" si="166"/>
        <v/>
      </c>
      <c r="X1281" s="348" t="str">
        <f t="shared" si="167"/>
        <v/>
      </c>
    </row>
    <row r="1282" spans="1:24" x14ac:dyDescent="0.2">
      <c r="A1282" s="407">
        <v>1274</v>
      </c>
      <c r="B1282" s="438"/>
      <c r="C1282" s="438"/>
      <c r="D1282" s="438"/>
      <c r="E1282" s="438"/>
      <c r="F1282" s="438"/>
      <c r="G1282" s="438"/>
      <c r="H1282" s="438"/>
      <c r="I1282" s="438"/>
      <c r="J1282" s="11"/>
      <c r="Q1282" s="348" t="str">
        <f t="shared" si="160"/>
        <v/>
      </c>
      <c r="R1282" s="348" t="str">
        <f t="shared" si="161"/>
        <v/>
      </c>
      <c r="S1282" s="348" t="str">
        <f t="shared" si="162"/>
        <v/>
      </c>
      <c r="T1282" s="348" t="str">
        <f t="shared" si="163"/>
        <v/>
      </c>
      <c r="U1282" s="348" t="str">
        <f t="shared" si="164"/>
        <v/>
      </c>
      <c r="V1282" s="348" t="str">
        <f t="shared" si="165"/>
        <v/>
      </c>
      <c r="W1282" s="348" t="str">
        <f t="shared" si="166"/>
        <v/>
      </c>
      <c r="X1282" s="348" t="str">
        <f t="shared" si="167"/>
        <v/>
      </c>
    </row>
    <row r="1283" spans="1:24" x14ac:dyDescent="0.2">
      <c r="A1283" s="407">
        <v>1275</v>
      </c>
      <c r="B1283" s="437"/>
      <c r="C1283" s="438"/>
      <c r="D1283" s="438"/>
      <c r="E1283" s="438"/>
      <c r="F1283" s="438"/>
      <c r="G1283" s="438"/>
      <c r="H1283" s="438"/>
      <c r="I1283" s="438"/>
      <c r="J1283" s="11"/>
      <c r="Q1283" s="348" t="str">
        <f t="shared" si="160"/>
        <v/>
      </c>
      <c r="R1283" s="348" t="str">
        <f t="shared" si="161"/>
        <v/>
      </c>
      <c r="S1283" s="348" t="str">
        <f t="shared" si="162"/>
        <v/>
      </c>
      <c r="T1283" s="348" t="str">
        <f t="shared" si="163"/>
        <v/>
      </c>
      <c r="U1283" s="348" t="str">
        <f t="shared" si="164"/>
        <v/>
      </c>
      <c r="V1283" s="348" t="str">
        <f t="shared" si="165"/>
        <v/>
      </c>
      <c r="W1283" s="348" t="str">
        <f t="shared" si="166"/>
        <v/>
      </c>
      <c r="X1283" s="348" t="str">
        <f t="shared" si="167"/>
        <v/>
      </c>
    </row>
    <row r="1284" spans="1:24" x14ac:dyDescent="0.2">
      <c r="A1284" s="407">
        <v>1276</v>
      </c>
      <c r="B1284" s="438"/>
      <c r="C1284" s="438"/>
      <c r="D1284" s="438"/>
      <c r="E1284" s="438"/>
      <c r="F1284" s="438"/>
      <c r="G1284" s="438"/>
      <c r="H1284" s="438"/>
      <c r="I1284" s="438"/>
      <c r="J1284" s="11"/>
      <c r="Q1284" s="348" t="str">
        <f t="shared" si="160"/>
        <v/>
      </c>
      <c r="R1284" s="348" t="str">
        <f t="shared" si="161"/>
        <v/>
      </c>
      <c r="S1284" s="348" t="str">
        <f t="shared" si="162"/>
        <v/>
      </c>
      <c r="T1284" s="348" t="str">
        <f t="shared" si="163"/>
        <v/>
      </c>
      <c r="U1284" s="348" t="str">
        <f t="shared" si="164"/>
        <v/>
      </c>
      <c r="V1284" s="348" t="str">
        <f t="shared" si="165"/>
        <v/>
      </c>
      <c r="W1284" s="348" t="str">
        <f t="shared" si="166"/>
        <v/>
      </c>
      <c r="X1284" s="348" t="str">
        <f t="shared" si="167"/>
        <v/>
      </c>
    </row>
    <row r="1285" spans="1:24" x14ac:dyDescent="0.2">
      <c r="A1285" s="407">
        <v>1277</v>
      </c>
      <c r="B1285" s="438"/>
      <c r="C1285" s="438"/>
      <c r="D1285" s="438"/>
      <c r="E1285" s="438"/>
      <c r="F1285" s="438"/>
      <c r="G1285" s="438"/>
      <c r="H1285" s="438"/>
      <c r="I1285" s="438"/>
      <c r="J1285" s="11"/>
      <c r="Q1285" s="348" t="str">
        <f t="shared" si="160"/>
        <v/>
      </c>
      <c r="R1285" s="348" t="str">
        <f t="shared" si="161"/>
        <v/>
      </c>
      <c r="S1285" s="348" t="str">
        <f t="shared" si="162"/>
        <v/>
      </c>
      <c r="T1285" s="348" t="str">
        <f t="shared" si="163"/>
        <v/>
      </c>
      <c r="U1285" s="348" t="str">
        <f t="shared" si="164"/>
        <v/>
      </c>
      <c r="V1285" s="348" t="str">
        <f t="shared" si="165"/>
        <v/>
      </c>
      <c r="W1285" s="348" t="str">
        <f t="shared" si="166"/>
        <v/>
      </c>
      <c r="X1285" s="348" t="str">
        <f t="shared" si="167"/>
        <v/>
      </c>
    </row>
    <row r="1286" spans="1:24" x14ac:dyDescent="0.2">
      <c r="A1286" s="407">
        <v>1278</v>
      </c>
      <c r="B1286" s="438"/>
      <c r="C1286" s="438"/>
      <c r="D1286" s="438"/>
      <c r="E1286" s="438"/>
      <c r="F1286" s="438"/>
      <c r="G1286" s="438"/>
      <c r="H1286" s="438"/>
      <c r="I1286" s="438"/>
      <c r="J1286" s="11"/>
      <c r="Q1286" s="348" t="str">
        <f t="shared" si="160"/>
        <v/>
      </c>
      <c r="R1286" s="348" t="str">
        <f t="shared" si="161"/>
        <v/>
      </c>
      <c r="S1286" s="348" t="str">
        <f t="shared" si="162"/>
        <v/>
      </c>
      <c r="T1286" s="348" t="str">
        <f t="shared" si="163"/>
        <v/>
      </c>
      <c r="U1286" s="348" t="str">
        <f t="shared" si="164"/>
        <v/>
      </c>
      <c r="V1286" s="348" t="str">
        <f t="shared" si="165"/>
        <v/>
      </c>
      <c r="W1286" s="348" t="str">
        <f t="shared" si="166"/>
        <v/>
      </c>
      <c r="X1286" s="348" t="str">
        <f t="shared" si="167"/>
        <v/>
      </c>
    </row>
    <row r="1287" spans="1:24" x14ac:dyDescent="0.2">
      <c r="A1287" s="407">
        <v>1279</v>
      </c>
      <c r="B1287" s="438"/>
      <c r="C1287" s="438"/>
      <c r="D1287" s="438"/>
      <c r="E1287" s="438"/>
      <c r="F1287" s="438"/>
      <c r="G1287" s="438"/>
      <c r="H1287" s="438"/>
      <c r="I1287" s="438"/>
      <c r="J1287" s="11"/>
      <c r="Q1287" s="348" t="str">
        <f t="shared" si="160"/>
        <v/>
      </c>
      <c r="R1287" s="348" t="str">
        <f t="shared" si="161"/>
        <v/>
      </c>
      <c r="S1287" s="348" t="str">
        <f t="shared" si="162"/>
        <v/>
      </c>
      <c r="T1287" s="348" t="str">
        <f t="shared" si="163"/>
        <v/>
      </c>
      <c r="U1287" s="348" t="str">
        <f t="shared" si="164"/>
        <v/>
      </c>
      <c r="V1287" s="348" t="str">
        <f t="shared" si="165"/>
        <v/>
      </c>
      <c r="W1287" s="348" t="str">
        <f t="shared" si="166"/>
        <v/>
      </c>
      <c r="X1287" s="348" t="str">
        <f t="shared" si="167"/>
        <v/>
      </c>
    </row>
    <row r="1288" spans="1:24" x14ac:dyDescent="0.2">
      <c r="A1288" s="407">
        <v>1280</v>
      </c>
      <c r="B1288" s="438"/>
      <c r="C1288" s="438"/>
      <c r="D1288" s="438"/>
      <c r="E1288" s="438"/>
      <c r="F1288" s="438"/>
      <c r="G1288" s="438"/>
      <c r="H1288" s="438"/>
      <c r="I1288" s="438"/>
      <c r="J1288" s="11"/>
      <c r="Q1288" s="348" t="str">
        <f t="shared" si="160"/>
        <v/>
      </c>
      <c r="R1288" s="348" t="str">
        <f t="shared" si="161"/>
        <v/>
      </c>
      <c r="S1288" s="348" t="str">
        <f t="shared" si="162"/>
        <v/>
      </c>
      <c r="T1288" s="348" t="str">
        <f t="shared" si="163"/>
        <v/>
      </c>
      <c r="U1288" s="348" t="str">
        <f t="shared" si="164"/>
        <v/>
      </c>
      <c r="V1288" s="348" t="str">
        <f t="shared" si="165"/>
        <v/>
      </c>
      <c r="W1288" s="348" t="str">
        <f t="shared" si="166"/>
        <v/>
      </c>
      <c r="X1288" s="348" t="str">
        <f t="shared" si="167"/>
        <v/>
      </c>
    </row>
    <row r="1289" spans="1:24" x14ac:dyDescent="0.2">
      <c r="A1289" s="407">
        <v>1281</v>
      </c>
      <c r="B1289" s="438"/>
      <c r="C1289" s="438"/>
      <c r="D1289" s="438"/>
      <c r="E1289" s="438"/>
      <c r="F1289" s="438"/>
      <c r="G1289" s="438"/>
      <c r="H1289" s="438"/>
      <c r="I1289" s="438"/>
      <c r="J1289" s="11"/>
      <c r="Q1289" s="348" t="str">
        <f t="shared" si="160"/>
        <v/>
      </c>
      <c r="R1289" s="348" t="str">
        <f t="shared" si="161"/>
        <v/>
      </c>
      <c r="S1289" s="348" t="str">
        <f t="shared" si="162"/>
        <v/>
      </c>
      <c r="T1289" s="348" t="str">
        <f t="shared" si="163"/>
        <v/>
      </c>
      <c r="U1289" s="348" t="str">
        <f t="shared" si="164"/>
        <v/>
      </c>
      <c r="V1289" s="348" t="str">
        <f t="shared" si="165"/>
        <v/>
      </c>
      <c r="W1289" s="348" t="str">
        <f t="shared" si="166"/>
        <v/>
      </c>
      <c r="X1289" s="348" t="str">
        <f t="shared" si="167"/>
        <v/>
      </c>
    </row>
    <row r="1290" spans="1:24" x14ac:dyDescent="0.2">
      <c r="A1290" s="407">
        <v>1282</v>
      </c>
      <c r="B1290" s="438"/>
      <c r="C1290" s="438"/>
      <c r="D1290" s="438"/>
      <c r="E1290" s="438"/>
      <c r="F1290" s="438"/>
      <c r="G1290" s="438"/>
      <c r="H1290" s="438"/>
      <c r="I1290" s="438"/>
      <c r="J1290" s="11"/>
      <c r="Q1290" s="348" t="str">
        <f t="shared" ref="Q1290:Q1353" si="168">IFERROR(B1290^4*$AB$9+B1290^3*$AC$9+B1290^2*$AD$9+B1290^1*$AE$9+B1290^0*$AF$9,"")</f>
        <v/>
      </c>
      <c r="R1290" s="348" t="str">
        <f t="shared" ref="R1290:R1353" si="169">IFERROR(C1290^4*$AB$10+C1290^3*$AC$10+C1290^2*$AD$10+C1290^1*$AE$10+C1290^0*$AF$10,"")</f>
        <v/>
      </c>
      <c r="S1290" s="348" t="str">
        <f t="shared" ref="S1290:S1353" si="170">IFERROR(D1290^4*$AB$11+D1290^3*$AC$11+D1290^2*$AD$11+D1290^1*$AE$11+D1290^0*$AF$11,"")</f>
        <v/>
      </c>
      <c r="T1290" s="348" t="str">
        <f t="shared" ref="T1290:T1353" si="171">IFERROR(E1290^4*$AB$12+E1290^3*$AC$12+E1290^2*$AD$12+E1290^1*$AE$12+E1290^0*$AF$12,"")</f>
        <v/>
      </c>
      <c r="U1290" s="348" t="str">
        <f t="shared" ref="U1290:U1353" si="172">IFERROR(F1290^4*$AB$13+F1290^3*$AC$13+F1290^2*$AD$13+F1290^1*$AE$13+F1290^0*$AF$13,"")</f>
        <v/>
      </c>
      <c r="V1290" s="348" t="str">
        <f t="shared" ref="V1290:V1353" si="173">IFERROR(G1290^4*$AB$14+G1290^3*$AC$14+G1290^2*$AD$14+G1290^1*$AE$14+G1290^0*$AF$14,"")</f>
        <v/>
      </c>
      <c r="W1290" s="348" t="str">
        <f t="shared" ref="W1290:W1353" si="174">IFERROR(H1290^4*$AB$15+H1290^3*$AC$15+H1290^2*$AD$15+H1290^1*$AE$15+H1290^0*$AF$15,"")</f>
        <v/>
      </c>
      <c r="X1290" s="348" t="str">
        <f t="shared" ref="X1290:X1353" si="175">IFERROR(I1290^4*$AB$16+I1290^3*$AC$16+I1290^2*$AD$16+I1290^1*$AE$16+I1290^0*$AF$16,"")</f>
        <v/>
      </c>
    </row>
    <row r="1291" spans="1:24" x14ac:dyDescent="0.2">
      <c r="A1291" s="407">
        <v>1283</v>
      </c>
      <c r="B1291" s="438"/>
      <c r="C1291" s="438"/>
      <c r="D1291" s="438"/>
      <c r="E1291" s="438"/>
      <c r="F1291" s="438"/>
      <c r="G1291" s="438"/>
      <c r="H1291" s="438"/>
      <c r="I1291" s="438"/>
      <c r="J1291" s="11"/>
      <c r="Q1291" s="348" t="str">
        <f t="shared" si="168"/>
        <v/>
      </c>
      <c r="R1291" s="348" t="str">
        <f t="shared" si="169"/>
        <v/>
      </c>
      <c r="S1291" s="348" t="str">
        <f t="shared" si="170"/>
        <v/>
      </c>
      <c r="T1291" s="348" t="str">
        <f t="shared" si="171"/>
        <v/>
      </c>
      <c r="U1291" s="348" t="str">
        <f t="shared" si="172"/>
        <v/>
      </c>
      <c r="V1291" s="348" t="str">
        <f t="shared" si="173"/>
        <v/>
      </c>
      <c r="W1291" s="348" t="str">
        <f t="shared" si="174"/>
        <v/>
      </c>
      <c r="X1291" s="348" t="str">
        <f t="shared" si="175"/>
        <v/>
      </c>
    </row>
    <row r="1292" spans="1:24" x14ac:dyDescent="0.2">
      <c r="A1292" s="407">
        <v>1284</v>
      </c>
      <c r="B1292" s="438"/>
      <c r="C1292" s="438"/>
      <c r="D1292" s="438"/>
      <c r="E1292" s="438"/>
      <c r="F1292" s="438"/>
      <c r="G1292" s="438"/>
      <c r="H1292" s="438"/>
      <c r="I1292" s="438"/>
      <c r="J1292" s="11"/>
      <c r="Q1292" s="348" t="str">
        <f t="shared" si="168"/>
        <v/>
      </c>
      <c r="R1292" s="348" t="str">
        <f t="shared" si="169"/>
        <v/>
      </c>
      <c r="S1292" s="348" t="str">
        <f t="shared" si="170"/>
        <v/>
      </c>
      <c r="T1292" s="348" t="str">
        <f t="shared" si="171"/>
        <v/>
      </c>
      <c r="U1292" s="348" t="str">
        <f t="shared" si="172"/>
        <v/>
      </c>
      <c r="V1292" s="348" t="str">
        <f t="shared" si="173"/>
        <v/>
      </c>
      <c r="W1292" s="348" t="str">
        <f t="shared" si="174"/>
        <v/>
      </c>
      <c r="X1292" s="348" t="str">
        <f t="shared" si="175"/>
        <v/>
      </c>
    </row>
    <row r="1293" spans="1:24" x14ac:dyDescent="0.2">
      <c r="A1293" s="407">
        <v>1285</v>
      </c>
      <c r="B1293" s="438"/>
      <c r="C1293" s="438"/>
      <c r="D1293" s="438"/>
      <c r="E1293" s="438"/>
      <c r="F1293" s="438"/>
      <c r="G1293" s="438"/>
      <c r="H1293" s="438"/>
      <c r="I1293" s="438"/>
      <c r="J1293" s="11"/>
      <c r="Q1293" s="348" t="str">
        <f t="shared" si="168"/>
        <v/>
      </c>
      <c r="R1293" s="348" t="str">
        <f t="shared" si="169"/>
        <v/>
      </c>
      <c r="S1293" s="348" t="str">
        <f t="shared" si="170"/>
        <v/>
      </c>
      <c r="T1293" s="348" t="str">
        <f t="shared" si="171"/>
        <v/>
      </c>
      <c r="U1293" s="348" t="str">
        <f t="shared" si="172"/>
        <v/>
      </c>
      <c r="V1293" s="348" t="str">
        <f t="shared" si="173"/>
        <v/>
      </c>
      <c r="W1293" s="348" t="str">
        <f t="shared" si="174"/>
        <v/>
      </c>
      <c r="X1293" s="348" t="str">
        <f t="shared" si="175"/>
        <v/>
      </c>
    </row>
    <row r="1294" spans="1:24" x14ac:dyDescent="0.2">
      <c r="A1294" s="407">
        <v>1286</v>
      </c>
      <c r="B1294" s="438"/>
      <c r="C1294" s="438"/>
      <c r="D1294" s="438"/>
      <c r="E1294" s="438"/>
      <c r="F1294" s="438"/>
      <c r="G1294" s="438"/>
      <c r="H1294" s="438"/>
      <c r="I1294" s="438"/>
      <c r="J1294" s="11"/>
      <c r="Q1294" s="348" t="str">
        <f t="shared" si="168"/>
        <v/>
      </c>
      <c r="R1294" s="348" t="str">
        <f t="shared" si="169"/>
        <v/>
      </c>
      <c r="S1294" s="348" t="str">
        <f t="shared" si="170"/>
        <v/>
      </c>
      <c r="T1294" s="348" t="str">
        <f t="shared" si="171"/>
        <v/>
      </c>
      <c r="U1294" s="348" t="str">
        <f t="shared" si="172"/>
        <v/>
      </c>
      <c r="V1294" s="348" t="str">
        <f t="shared" si="173"/>
        <v/>
      </c>
      <c r="W1294" s="348" t="str">
        <f t="shared" si="174"/>
        <v/>
      </c>
      <c r="X1294" s="348" t="str">
        <f t="shared" si="175"/>
        <v/>
      </c>
    </row>
    <row r="1295" spans="1:24" x14ac:dyDescent="0.2">
      <c r="A1295" s="407">
        <v>1287</v>
      </c>
      <c r="B1295" s="438"/>
      <c r="C1295" s="438"/>
      <c r="D1295" s="438"/>
      <c r="E1295" s="438"/>
      <c r="F1295" s="438"/>
      <c r="G1295" s="438"/>
      <c r="H1295" s="438"/>
      <c r="I1295" s="438"/>
      <c r="J1295" s="11"/>
      <c r="Q1295" s="348" t="str">
        <f t="shared" si="168"/>
        <v/>
      </c>
      <c r="R1295" s="348" t="str">
        <f t="shared" si="169"/>
        <v/>
      </c>
      <c r="S1295" s="348" t="str">
        <f t="shared" si="170"/>
        <v/>
      </c>
      <c r="T1295" s="348" t="str">
        <f t="shared" si="171"/>
        <v/>
      </c>
      <c r="U1295" s="348" t="str">
        <f t="shared" si="172"/>
        <v/>
      </c>
      <c r="V1295" s="348" t="str">
        <f t="shared" si="173"/>
        <v/>
      </c>
      <c r="W1295" s="348" t="str">
        <f t="shared" si="174"/>
        <v/>
      </c>
      <c r="X1295" s="348" t="str">
        <f t="shared" si="175"/>
        <v/>
      </c>
    </row>
    <row r="1296" spans="1:24" x14ac:dyDescent="0.2">
      <c r="A1296" s="407">
        <v>1288</v>
      </c>
      <c r="B1296" s="438"/>
      <c r="C1296" s="438"/>
      <c r="D1296" s="438"/>
      <c r="E1296" s="438"/>
      <c r="F1296" s="438"/>
      <c r="G1296" s="438"/>
      <c r="H1296" s="438"/>
      <c r="I1296" s="438"/>
      <c r="J1296" s="11"/>
      <c r="Q1296" s="348" t="str">
        <f t="shared" si="168"/>
        <v/>
      </c>
      <c r="R1296" s="348" t="str">
        <f t="shared" si="169"/>
        <v/>
      </c>
      <c r="S1296" s="348" t="str">
        <f t="shared" si="170"/>
        <v/>
      </c>
      <c r="T1296" s="348" t="str">
        <f t="shared" si="171"/>
        <v/>
      </c>
      <c r="U1296" s="348" t="str">
        <f t="shared" si="172"/>
        <v/>
      </c>
      <c r="V1296" s="348" t="str">
        <f t="shared" si="173"/>
        <v/>
      </c>
      <c r="W1296" s="348" t="str">
        <f t="shared" si="174"/>
        <v/>
      </c>
      <c r="X1296" s="348" t="str">
        <f t="shared" si="175"/>
        <v/>
      </c>
    </row>
    <row r="1297" spans="1:24" x14ac:dyDescent="0.2">
      <c r="A1297" s="407">
        <v>1289</v>
      </c>
      <c r="B1297" s="437"/>
      <c r="C1297" s="438"/>
      <c r="D1297" s="438"/>
      <c r="E1297" s="438"/>
      <c r="F1297" s="438"/>
      <c r="G1297" s="438"/>
      <c r="H1297" s="438"/>
      <c r="I1297" s="437"/>
      <c r="J1297" s="11"/>
      <c r="Q1297" s="348" t="str">
        <f t="shared" si="168"/>
        <v/>
      </c>
      <c r="R1297" s="348" t="str">
        <f t="shared" si="169"/>
        <v/>
      </c>
      <c r="S1297" s="348" t="str">
        <f t="shared" si="170"/>
        <v/>
      </c>
      <c r="T1297" s="348" t="str">
        <f t="shared" si="171"/>
        <v/>
      </c>
      <c r="U1297" s="348" t="str">
        <f t="shared" si="172"/>
        <v/>
      </c>
      <c r="V1297" s="348" t="str">
        <f t="shared" si="173"/>
        <v/>
      </c>
      <c r="W1297" s="348" t="str">
        <f t="shared" si="174"/>
        <v/>
      </c>
      <c r="X1297" s="348" t="str">
        <f t="shared" si="175"/>
        <v/>
      </c>
    </row>
    <row r="1298" spans="1:24" x14ac:dyDescent="0.2">
      <c r="A1298" s="407">
        <v>1290</v>
      </c>
      <c r="B1298" s="438"/>
      <c r="C1298" s="438"/>
      <c r="D1298" s="438"/>
      <c r="E1298" s="438"/>
      <c r="F1298" s="438"/>
      <c r="G1298" s="438"/>
      <c r="H1298" s="438"/>
      <c r="I1298" s="438"/>
      <c r="J1298" s="11"/>
      <c r="Q1298" s="348" t="str">
        <f t="shared" si="168"/>
        <v/>
      </c>
      <c r="R1298" s="348" t="str">
        <f t="shared" si="169"/>
        <v/>
      </c>
      <c r="S1298" s="348" t="str">
        <f t="shared" si="170"/>
        <v/>
      </c>
      <c r="T1298" s="348" t="str">
        <f t="shared" si="171"/>
        <v/>
      </c>
      <c r="U1298" s="348" t="str">
        <f t="shared" si="172"/>
        <v/>
      </c>
      <c r="V1298" s="348" t="str">
        <f t="shared" si="173"/>
        <v/>
      </c>
      <c r="W1298" s="348" t="str">
        <f t="shared" si="174"/>
        <v/>
      </c>
      <c r="X1298" s="348" t="str">
        <f t="shared" si="175"/>
        <v/>
      </c>
    </row>
    <row r="1299" spans="1:24" x14ac:dyDescent="0.2">
      <c r="A1299" s="407">
        <v>1291</v>
      </c>
      <c r="B1299" s="438"/>
      <c r="C1299" s="438"/>
      <c r="D1299" s="438"/>
      <c r="E1299" s="438"/>
      <c r="F1299" s="438"/>
      <c r="G1299" s="438"/>
      <c r="H1299" s="438"/>
      <c r="I1299" s="438"/>
      <c r="J1299" s="11"/>
      <c r="Q1299" s="348" t="str">
        <f t="shared" si="168"/>
        <v/>
      </c>
      <c r="R1299" s="348" t="str">
        <f t="shared" si="169"/>
        <v/>
      </c>
      <c r="S1299" s="348" t="str">
        <f t="shared" si="170"/>
        <v/>
      </c>
      <c r="T1299" s="348" t="str">
        <f t="shared" si="171"/>
        <v/>
      </c>
      <c r="U1299" s="348" t="str">
        <f t="shared" si="172"/>
        <v/>
      </c>
      <c r="V1299" s="348" t="str">
        <f t="shared" si="173"/>
        <v/>
      </c>
      <c r="W1299" s="348" t="str">
        <f t="shared" si="174"/>
        <v/>
      </c>
      <c r="X1299" s="348" t="str">
        <f t="shared" si="175"/>
        <v/>
      </c>
    </row>
    <row r="1300" spans="1:24" x14ac:dyDescent="0.2">
      <c r="A1300" s="407">
        <v>1292</v>
      </c>
      <c r="B1300" s="438"/>
      <c r="C1300" s="438"/>
      <c r="D1300" s="438"/>
      <c r="E1300" s="438"/>
      <c r="F1300" s="438"/>
      <c r="G1300" s="438"/>
      <c r="H1300" s="438"/>
      <c r="I1300" s="438"/>
      <c r="J1300" s="11"/>
      <c r="Q1300" s="348" t="str">
        <f t="shared" si="168"/>
        <v/>
      </c>
      <c r="R1300" s="348" t="str">
        <f t="shared" si="169"/>
        <v/>
      </c>
      <c r="S1300" s="348" t="str">
        <f t="shared" si="170"/>
        <v/>
      </c>
      <c r="T1300" s="348" t="str">
        <f t="shared" si="171"/>
        <v/>
      </c>
      <c r="U1300" s="348" t="str">
        <f t="shared" si="172"/>
        <v/>
      </c>
      <c r="V1300" s="348" t="str">
        <f t="shared" si="173"/>
        <v/>
      </c>
      <c r="W1300" s="348" t="str">
        <f t="shared" si="174"/>
        <v/>
      </c>
      <c r="X1300" s="348" t="str">
        <f t="shared" si="175"/>
        <v/>
      </c>
    </row>
    <row r="1301" spans="1:24" x14ac:dyDescent="0.2">
      <c r="A1301" s="407">
        <v>1293</v>
      </c>
      <c r="B1301" s="438"/>
      <c r="C1301" s="437"/>
      <c r="D1301" s="438"/>
      <c r="E1301" s="438"/>
      <c r="F1301" s="438"/>
      <c r="G1301" s="438"/>
      <c r="H1301" s="438"/>
      <c r="I1301" s="438"/>
      <c r="J1301" s="11"/>
      <c r="Q1301" s="348" t="str">
        <f t="shared" si="168"/>
        <v/>
      </c>
      <c r="R1301" s="348" t="str">
        <f t="shared" si="169"/>
        <v/>
      </c>
      <c r="S1301" s="348" t="str">
        <f t="shared" si="170"/>
        <v/>
      </c>
      <c r="T1301" s="348" t="str">
        <f t="shared" si="171"/>
        <v/>
      </c>
      <c r="U1301" s="348" t="str">
        <f t="shared" si="172"/>
        <v/>
      </c>
      <c r="V1301" s="348" t="str">
        <f t="shared" si="173"/>
        <v/>
      </c>
      <c r="W1301" s="348" t="str">
        <f t="shared" si="174"/>
        <v/>
      </c>
      <c r="X1301" s="348" t="str">
        <f t="shared" si="175"/>
        <v/>
      </c>
    </row>
    <row r="1302" spans="1:24" x14ac:dyDescent="0.2">
      <c r="A1302" s="407">
        <v>1294</v>
      </c>
      <c r="B1302" s="438"/>
      <c r="C1302" s="438"/>
      <c r="D1302" s="438"/>
      <c r="E1302" s="437"/>
      <c r="F1302" s="438"/>
      <c r="G1302" s="438"/>
      <c r="H1302" s="438"/>
      <c r="I1302" s="438"/>
      <c r="J1302" s="11"/>
      <c r="Q1302" s="348" t="str">
        <f t="shared" si="168"/>
        <v/>
      </c>
      <c r="R1302" s="348" t="str">
        <f t="shared" si="169"/>
        <v/>
      </c>
      <c r="S1302" s="348" t="str">
        <f t="shared" si="170"/>
        <v/>
      </c>
      <c r="T1302" s="348" t="str">
        <f t="shared" si="171"/>
        <v/>
      </c>
      <c r="U1302" s="348" t="str">
        <f t="shared" si="172"/>
        <v/>
      </c>
      <c r="V1302" s="348" t="str">
        <f t="shared" si="173"/>
        <v/>
      </c>
      <c r="W1302" s="348" t="str">
        <f t="shared" si="174"/>
        <v/>
      </c>
      <c r="X1302" s="348" t="str">
        <f t="shared" si="175"/>
        <v/>
      </c>
    </row>
    <row r="1303" spans="1:24" x14ac:dyDescent="0.2">
      <c r="A1303" s="407">
        <v>1295</v>
      </c>
      <c r="B1303" s="438"/>
      <c r="C1303" s="438"/>
      <c r="D1303" s="438"/>
      <c r="E1303" s="438"/>
      <c r="F1303" s="438"/>
      <c r="G1303" s="438"/>
      <c r="H1303" s="438"/>
      <c r="I1303" s="438"/>
      <c r="J1303" s="11"/>
      <c r="Q1303" s="348" t="str">
        <f t="shared" si="168"/>
        <v/>
      </c>
      <c r="R1303" s="348" t="str">
        <f t="shared" si="169"/>
        <v/>
      </c>
      <c r="S1303" s="348" t="str">
        <f t="shared" si="170"/>
        <v/>
      </c>
      <c r="T1303" s="348" t="str">
        <f t="shared" si="171"/>
        <v/>
      </c>
      <c r="U1303" s="348" t="str">
        <f t="shared" si="172"/>
        <v/>
      </c>
      <c r="V1303" s="348" t="str">
        <f t="shared" si="173"/>
        <v/>
      </c>
      <c r="W1303" s="348" t="str">
        <f t="shared" si="174"/>
        <v/>
      </c>
      <c r="X1303" s="348" t="str">
        <f t="shared" si="175"/>
        <v/>
      </c>
    </row>
    <row r="1304" spans="1:24" x14ac:dyDescent="0.2">
      <c r="A1304" s="407">
        <v>1296</v>
      </c>
      <c r="B1304" s="438"/>
      <c r="C1304" s="438"/>
      <c r="D1304" s="438"/>
      <c r="E1304" s="438"/>
      <c r="F1304" s="438"/>
      <c r="G1304" s="438"/>
      <c r="H1304" s="438"/>
      <c r="I1304" s="438"/>
      <c r="J1304" s="11"/>
      <c r="Q1304" s="348" t="str">
        <f t="shared" si="168"/>
        <v/>
      </c>
      <c r="R1304" s="348" t="str">
        <f t="shared" si="169"/>
        <v/>
      </c>
      <c r="S1304" s="348" t="str">
        <f t="shared" si="170"/>
        <v/>
      </c>
      <c r="T1304" s="348" t="str">
        <f t="shared" si="171"/>
        <v/>
      </c>
      <c r="U1304" s="348" t="str">
        <f t="shared" si="172"/>
        <v/>
      </c>
      <c r="V1304" s="348" t="str">
        <f t="shared" si="173"/>
        <v/>
      </c>
      <c r="W1304" s="348" t="str">
        <f t="shared" si="174"/>
        <v/>
      </c>
      <c r="X1304" s="348" t="str">
        <f t="shared" si="175"/>
        <v/>
      </c>
    </row>
    <row r="1305" spans="1:24" x14ac:dyDescent="0.2">
      <c r="A1305" s="407">
        <v>1297</v>
      </c>
      <c r="B1305" s="438"/>
      <c r="C1305" s="438"/>
      <c r="D1305" s="438"/>
      <c r="E1305" s="438"/>
      <c r="F1305" s="438"/>
      <c r="G1305" s="438"/>
      <c r="H1305" s="438"/>
      <c r="I1305" s="438"/>
      <c r="J1305" s="11"/>
      <c r="Q1305" s="348" t="str">
        <f t="shared" si="168"/>
        <v/>
      </c>
      <c r="R1305" s="348" t="str">
        <f t="shared" si="169"/>
        <v/>
      </c>
      <c r="S1305" s="348" t="str">
        <f t="shared" si="170"/>
        <v/>
      </c>
      <c r="T1305" s="348" t="str">
        <f t="shared" si="171"/>
        <v/>
      </c>
      <c r="U1305" s="348" t="str">
        <f t="shared" si="172"/>
        <v/>
      </c>
      <c r="V1305" s="348" t="str">
        <f t="shared" si="173"/>
        <v/>
      </c>
      <c r="W1305" s="348" t="str">
        <f t="shared" si="174"/>
        <v/>
      </c>
      <c r="X1305" s="348" t="str">
        <f t="shared" si="175"/>
        <v/>
      </c>
    </row>
    <row r="1306" spans="1:24" x14ac:dyDescent="0.2">
      <c r="A1306" s="407">
        <v>1298</v>
      </c>
      <c r="B1306" s="438"/>
      <c r="C1306" s="438"/>
      <c r="D1306" s="438"/>
      <c r="E1306" s="438"/>
      <c r="F1306" s="438"/>
      <c r="G1306" s="438"/>
      <c r="H1306" s="438"/>
      <c r="I1306" s="438"/>
      <c r="J1306" s="11"/>
      <c r="Q1306" s="348" t="str">
        <f t="shared" si="168"/>
        <v/>
      </c>
      <c r="R1306" s="348" t="str">
        <f t="shared" si="169"/>
        <v/>
      </c>
      <c r="S1306" s="348" t="str">
        <f t="shared" si="170"/>
        <v/>
      </c>
      <c r="T1306" s="348" t="str">
        <f t="shared" si="171"/>
        <v/>
      </c>
      <c r="U1306" s="348" t="str">
        <f t="shared" si="172"/>
        <v/>
      </c>
      <c r="V1306" s="348" t="str">
        <f t="shared" si="173"/>
        <v/>
      </c>
      <c r="W1306" s="348" t="str">
        <f t="shared" si="174"/>
        <v/>
      </c>
      <c r="X1306" s="348" t="str">
        <f t="shared" si="175"/>
        <v/>
      </c>
    </row>
    <row r="1307" spans="1:24" x14ac:dyDescent="0.2">
      <c r="A1307" s="407">
        <v>1299</v>
      </c>
      <c r="B1307" s="438"/>
      <c r="C1307" s="438"/>
      <c r="D1307" s="438"/>
      <c r="E1307" s="438"/>
      <c r="F1307" s="438"/>
      <c r="G1307" s="437"/>
      <c r="H1307" s="438"/>
      <c r="I1307" s="438"/>
      <c r="J1307" s="11"/>
      <c r="Q1307" s="348" t="str">
        <f t="shared" si="168"/>
        <v/>
      </c>
      <c r="R1307" s="348" t="str">
        <f t="shared" si="169"/>
        <v/>
      </c>
      <c r="S1307" s="348" t="str">
        <f t="shared" si="170"/>
        <v/>
      </c>
      <c r="T1307" s="348" t="str">
        <f t="shared" si="171"/>
        <v/>
      </c>
      <c r="U1307" s="348" t="str">
        <f t="shared" si="172"/>
        <v/>
      </c>
      <c r="V1307" s="348" t="str">
        <f t="shared" si="173"/>
        <v/>
      </c>
      <c r="W1307" s="348" t="str">
        <f t="shared" si="174"/>
        <v/>
      </c>
      <c r="X1307" s="348" t="str">
        <f t="shared" si="175"/>
        <v/>
      </c>
    </row>
    <row r="1308" spans="1:24" x14ac:dyDescent="0.2">
      <c r="A1308" s="407">
        <v>1300</v>
      </c>
      <c r="B1308" s="438"/>
      <c r="C1308" s="438"/>
      <c r="D1308" s="438"/>
      <c r="E1308" s="438"/>
      <c r="F1308" s="438"/>
      <c r="G1308" s="438"/>
      <c r="H1308" s="438"/>
      <c r="I1308" s="438"/>
      <c r="J1308" s="11"/>
      <c r="Q1308" s="348" t="str">
        <f t="shared" si="168"/>
        <v/>
      </c>
      <c r="R1308" s="348" t="str">
        <f t="shared" si="169"/>
        <v/>
      </c>
      <c r="S1308" s="348" t="str">
        <f t="shared" si="170"/>
        <v/>
      </c>
      <c r="T1308" s="348" t="str">
        <f t="shared" si="171"/>
        <v/>
      </c>
      <c r="U1308" s="348" t="str">
        <f t="shared" si="172"/>
        <v/>
      </c>
      <c r="V1308" s="348" t="str">
        <f t="shared" si="173"/>
        <v/>
      </c>
      <c r="W1308" s="348" t="str">
        <f t="shared" si="174"/>
        <v/>
      </c>
      <c r="X1308" s="348" t="str">
        <f t="shared" si="175"/>
        <v/>
      </c>
    </row>
    <row r="1309" spans="1:24" x14ac:dyDescent="0.2">
      <c r="A1309" s="407">
        <v>1301</v>
      </c>
      <c r="B1309" s="438"/>
      <c r="C1309" s="437"/>
      <c r="D1309" s="438"/>
      <c r="E1309" s="437"/>
      <c r="F1309" s="437"/>
      <c r="G1309" s="437"/>
      <c r="H1309" s="437"/>
      <c r="I1309" s="438"/>
      <c r="J1309" s="11"/>
      <c r="Q1309" s="348" t="str">
        <f t="shared" si="168"/>
        <v/>
      </c>
      <c r="R1309" s="348" t="str">
        <f t="shared" si="169"/>
        <v/>
      </c>
      <c r="S1309" s="348" t="str">
        <f t="shared" si="170"/>
        <v/>
      </c>
      <c r="T1309" s="348" t="str">
        <f t="shared" si="171"/>
        <v/>
      </c>
      <c r="U1309" s="348" t="str">
        <f t="shared" si="172"/>
        <v/>
      </c>
      <c r="V1309" s="348" t="str">
        <f t="shared" si="173"/>
        <v/>
      </c>
      <c r="W1309" s="348" t="str">
        <f t="shared" si="174"/>
        <v/>
      </c>
      <c r="X1309" s="348" t="str">
        <f t="shared" si="175"/>
        <v/>
      </c>
    </row>
    <row r="1310" spans="1:24" x14ac:dyDescent="0.2">
      <c r="A1310" s="407">
        <v>1302</v>
      </c>
      <c r="B1310" s="438"/>
      <c r="C1310" s="438"/>
      <c r="D1310" s="438"/>
      <c r="E1310" s="438"/>
      <c r="F1310" s="438"/>
      <c r="G1310" s="438"/>
      <c r="H1310" s="438"/>
      <c r="I1310" s="438"/>
      <c r="J1310" s="11"/>
      <c r="Q1310" s="348" t="str">
        <f t="shared" si="168"/>
        <v/>
      </c>
      <c r="R1310" s="348" t="str">
        <f t="shared" si="169"/>
        <v/>
      </c>
      <c r="S1310" s="348" t="str">
        <f t="shared" si="170"/>
        <v/>
      </c>
      <c r="T1310" s="348" t="str">
        <f t="shared" si="171"/>
        <v/>
      </c>
      <c r="U1310" s="348" t="str">
        <f t="shared" si="172"/>
        <v/>
      </c>
      <c r="V1310" s="348" t="str">
        <f t="shared" si="173"/>
        <v/>
      </c>
      <c r="W1310" s="348" t="str">
        <f t="shared" si="174"/>
        <v/>
      </c>
      <c r="X1310" s="348" t="str">
        <f t="shared" si="175"/>
        <v/>
      </c>
    </row>
    <row r="1311" spans="1:24" x14ac:dyDescent="0.2">
      <c r="A1311" s="407">
        <v>1303</v>
      </c>
      <c r="B1311" s="438"/>
      <c r="C1311" s="438"/>
      <c r="D1311" s="438"/>
      <c r="E1311" s="438"/>
      <c r="F1311" s="438"/>
      <c r="G1311" s="438"/>
      <c r="H1311" s="438"/>
      <c r="I1311" s="438"/>
      <c r="J1311" s="11"/>
      <c r="Q1311" s="348" t="str">
        <f t="shared" si="168"/>
        <v/>
      </c>
      <c r="R1311" s="348" t="str">
        <f t="shared" si="169"/>
        <v/>
      </c>
      <c r="S1311" s="348" t="str">
        <f t="shared" si="170"/>
        <v/>
      </c>
      <c r="T1311" s="348" t="str">
        <f t="shared" si="171"/>
        <v/>
      </c>
      <c r="U1311" s="348" t="str">
        <f t="shared" si="172"/>
        <v/>
      </c>
      <c r="V1311" s="348" t="str">
        <f t="shared" si="173"/>
        <v/>
      </c>
      <c r="W1311" s="348" t="str">
        <f t="shared" si="174"/>
        <v/>
      </c>
      <c r="X1311" s="348" t="str">
        <f t="shared" si="175"/>
        <v/>
      </c>
    </row>
    <row r="1312" spans="1:24" x14ac:dyDescent="0.2">
      <c r="A1312" s="407">
        <v>1304</v>
      </c>
      <c r="B1312" s="438"/>
      <c r="C1312" s="438"/>
      <c r="D1312" s="438"/>
      <c r="E1312" s="438"/>
      <c r="F1312" s="438"/>
      <c r="G1312" s="438"/>
      <c r="H1312" s="438"/>
      <c r="I1312" s="438"/>
      <c r="J1312" s="11"/>
      <c r="Q1312" s="348" t="str">
        <f t="shared" si="168"/>
        <v/>
      </c>
      <c r="R1312" s="348" t="str">
        <f t="shared" si="169"/>
        <v/>
      </c>
      <c r="S1312" s="348" t="str">
        <f t="shared" si="170"/>
        <v/>
      </c>
      <c r="T1312" s="348" t="str">
        <f t="shared" si="171"/>
        <v/>
      </c>
      <c r="U1312" s="348" t="str">
        <f t="shared" si="172"/>
        <v/>
      </c>
      <c r="V1312" s="348" t="str">
        <f t="shared" si="173"/>
        <v/>
      </c>
      <c r="W1312" s="348" t="str">
        <f t="shared" si="174"/>
        <v/>
      </c>
      <c r="X1312" s="348" t="str">
        <f t="shared" si="175"/>
        <v/>
      </c>
    </row>
    <row r="1313" spans="1:24" x14ac:dyDescent="0.2">
      <c r="A1313" s="407">
        <v>1305</v>
      </c>
      <c r="B1313" s="438"/>
      <c r="C1313" s="438"/>
      <c r="D1313" s="438"/>
      <c r="E1313" s="438"/>
      <c r="F1313" s="438"/>
      <c r="G1313" s="438"/>
      <c r="H1313" s="438"/>
      <c r="I1313" s="438"/>
      <c r="J1313" s="11"/>
      <c r="Q1313" s="348" t="str">
        <f t="shared" si="168"/>
        <v/>
      </c>
      <c r="R1313" s="348" t="str">
        <f t="shared" si="169"/>
        <v/>
      </c>
      <c r="S1313" s="348" t="str">
        <f t="shared" si="170"/>
        <v/>
      </c>
      <c r="T1313" s="348" t="str">
        <f t="shared" si="171"/>
        <v/>
      </c>
      <c r="U1313" s="348" t="str">
        <f t="shared" si="172"/>
        <v/>
      </c>
      <c r="V1313" s="348" t="str">
        <f t="shared" si="173"/>
        <v/>
      </c>
      <c r="W1313" s="348" t="str">
        <f t="shared" si="174"/>
        <v/>
      </c>
      <c r="X1313" s="348" t="str">
        <f t="shared" si="175"/>
        <v/>
      </c>
    </row>
    <row r="1314" spans="1:24" x14ac:dyDescent="0.2">
      <c r="A1314" s="407">
        <v>1306</v>
      </c>
      <c r="B1314" s="438"/>
      <c r="C1314" s="438"/>
      <c r="D1314" s="438"/>
      <c r="E1314" s="438"/>
      <c r="F1314" s="438"/>
      <c r="G1314" s="438"/>
      <c r="H1314" s="438"/>
      <c r="I1314" s="438"/>
      <c r="J1314" s="11"/>
      <c r="Q1314" s="348" t="str">
        <f t="shared" si="168"/>
        <v/>
      </c>
      <c r="R1314" s="348" t="str">
        <f t="shared" si="169"/>
        <v/>
      </c>
      <c r="S1314" s="348" t="str">
        <f t="shared" si="170"/>
        <v/>
      </c>
      <c r="T1314" s="348" t="str">
        <f t="shared" si="171"/>
        <v/>
      </c>
      <c r="U1314" s="348" t="str">
        <f t="shared" si="172"/>
        <v/>
      </c>
      <c r="V1314" s="348" t="str">
        <f t="shared" si="173"/>
        <v/>
      </c>
      <c r="W1314" s="348" t="str">
        <f t="shared" si="174"/>
        <v/>
      </c>
      <c r="X1314" s="348" t="str">
        <f t="shared" si="175"/>
        <v/>
      </c>
    </row>
    <row r="1315" spans="1:24" x14ac:dyDescent="0.2">
      <c r="A1315" s="407">
        <v>1307</v>
      </c>
      <c r="B1315" s="438"/>
      <c r="C1315" s="438"/>
      <c r="D1315" s="438"/>
      <c r="E1315" s="438"/>
      <c r="F1315" s="438"/>
      <c r="G1315" s="438"/>
      <c r="H1315" s="438"/>
      <c r="I1315" s="438"/>
      <c r="J1315" s="11"/>
      <c r="Q1315" s="348" t="str">
        <f t="shared" si="168"/>
        <v/>
      </c>
      <c r="R1315" s="348" t="str">
        <f t="shared" si="169"/>
        <v/>
      </c>
      <c r="S1315" s="348" t="str">
        <f t="shared" si="170"/>
        <v/>
      </c>
      <c r="T1315" s="348" t="str">
        <f t="shared" si="171"/>
        <v/>
      </c>
      <c r="U1315" s="348" t="str">
        <f t="shared" si="172"/>
        <v/>
      </c>
      <c r="V1315" s="348" t="str">
        <f t="shared" si="173"/>
        <v/>
      </c>
      <c r="W1315" s="348" t="str">
        <f t="shared" si="174"/>
        <v/>
      </c>
      <c r="X1315" s="348" t="str">
        <f t="shared" si="175"/>
        <v/>
      </c>
    </row>
    <row r="1316" spans="1:24" x14ac:dyDescent="0.2">
      <c r="A1316" s="407">
        <v>1308</v>
      </c>
      <c r="B1316" s="437"/>
      <c r="C1316" s="438"/>
      <c r="D1316" s="438"/>
      <c r="E1316" s="438"/>
      <c r="F1316" s="438"/>
      <c r="G1316" s="438"/>
      <c r="H1316" s="438"/>
      <c r="I1316" s="438"/>
      <c r="J1316" s="11"/>
      <c r="Q1316" s="348" t="str">
        <f t="shared" si="168"/>
        <v/>
      </c>
      <c r="R1316" s="348" t="str">
        <f t="shared" si="169"/>
        <v/>
      </c>
      <c r="S1316" s="348" t="str">
        <f t="shared" si="170"/>
        <v/>
      </c>
      <c r="T1316" s="348" t="str">
        <f t="shared" si="171"/>
        <v/>
      </c>
      <c r="U1316" s="348" t="str">
        <f t="shared" si="172"/>
        <v/>
      </c>
      <c r="V1316" s="348" t="str">
        <f t="shared" si="173"/>
        <v/>
      </c>
      <c r="W1316" s="348" t="str">
        <f t="shared" si="174"/>
        <v/>
      </c>
      <c r="X1316" s="348" t="str">
        <f t="shared" si="175"/>
        <v/>
      </c>
    </row>
    <row r="1317" spans="1:24" x14ac:dyDescent="0.2">
      <c r="A1317" s="407">
        <v>1309</v>
      </c>
      <c r="B1317" s="438"/>
      <c r="C1317" s="438"/>
      <c r="D1317" s="438"/>
      <c r="E1317" s="438"/>
      <c r="F1317" s="438"/>
      <c r="G1317" s="438"/>
      <c r="H1317" s="438"/>
      <c r="I1317" s="438"/>
      <c r="J1317" s="11"/>
      <c r="Q1317" s="348" t="str">
        <f t="shared" si="168"/>
        <v/>
      </c>
      <c r="R1317" s="348" t="str">
        <f t="shared" si="169"/>
        <v/>
      </c>
      <c r="S1317" s="348" t="str">
        <f t="shared" si="170"/>
        <v/>
      </c>
      <c r="T1317" s="348" t="str">
        <f t="shared" si="171"/>
        <v/>
      </c>
      <c r="U1317" s="348" t="str">
        <f t="shared" si="172"/>
        <v/>
      </c>
      <c r="V1317" s="348" t="str">
        <f t="shared" si="173"/>
        <v/>
      </c>
      <c r="W1317" s="348" t="str">
        <f t="shared" si="174"/>
        <v/>
      </c>
      <c r="X1317" s="348" t="str">
        <f t="shared" si="175"/>
        <v/>
      </c>
    </row>
    <row r="1318" spans="1:24" x14ac:dyDescent="0.2">
      <c r="A1318" s="407">
        <v>1310</v>
      </c>
      <c r="B1318" s="438"/>
      <c r="C1318" s="438"/>
      <c r="D1318" s="438"/>
      <c r="E1318" s="438"/>
      <c r="F1318" s="438"/>
      <c r="G1318" s="438"/>
      <c r="H1318" s="438"/>
      <c r="I1318" s="438"/>
      <c r="J1318" s="11"/>
      <c r="Q1318" s="348" t="str">
        <f t="shared" si="168"/>
        <v/>
      </c>
      <c r="R1318" s="348" t="str">
        <f t="shared" si="169"/>
        <v/>
      </c>
      <c r="S1318" s="348" t="str">
        <f t="shared" si="170"/>
        <v/>
      </c>
      <c r="T1318" s="348" t="str">
        <f t="shared" si="171"/>
        <v/>
      </c>
      <c r="U1318" s="348" t="str">
        <f t="shared" si="172"/>
        <v/>
      </c>
      <c r="V1318" s="348" t="str">
        <f t="shared" si="173"/>
        <v/>
      </c>
      <c r="W1318" s="348" t="str">
        <f t="shared" si="174"/>
        <v/>
      </c>
      <c r="X1318" s="348" t="str">
        <f t="shared" si="175"/>
        <v/>
      </c>
    </row>
    <row r="1319" spans="1:24" x14ac:dyDescent="0.2">
      <c r="A1319" s="407">
        <v>1311</v>
      </c>
      <c r="B1319" s="438"/>
      <c r="C1319" s="438"/>
      <c r="D1319" s="438"/>
      <c r="E1319" s="438"/>
      <c r="F1319" s="438"/>
      <c r="G1319" s="438"/>
      <c r="H1319" s="438"/>
      <c r="I1319" s="438"/>
      <c r="J1319" s="11"/>
      <c r="Q1319" s="348" t="str">
        <f t="shared" si="168"/>
        <v/>
      </c>
      <c r="R1319" s="348" t="str">
        <f t="shared" si="169"/>
        <v/>
      </c>
      <c r="S1319" s="348" t="str">
        <f t="shared" si="170"/>
        <v/>
      </c>
      <c r="T1319" s="348" t="str">
        <f t="shared" si="171"/>
        <v/>
      </c>
      <c r="U1319" s="348" t="str">
        <f t="shared" si="172"/>
        <v/>
      </c>
      <c r="V1319" s="348" t="str">
        <f t="shared" si="173"/>
        <v/>
      </c>
      <c r="W1319" s="348" t="str">
        <f t="shared" si="174"/>
        <v/>
      </c>
      <c r="X1319" s="348" t="str">
        <f t="shared" si="175"/>
        <v/>
      </c>
    </row>
    <row r="1320" spans="1:24" x14ac:dyDescent="0.2">
      <c r="A1320" s="407">
        <v>1312</v>
      </c>
      <c r="B1320" s="438"/>
      <c r="C1320" s="438"/>
      <c r="D1320" s="438"/>
      <c r="E1320" s="438"/>
      <c r="F1320" s="438"/>
      <c r="G1320" s="438"/>
      <c r="H1320" s="438"/>
      <c r="I1320" s="438"/>
      <c r="J1320" s="11"/>
      <c r="Q1320" s="348" t="str">
        <f t="shared" si="168"/>
        <v/>
      </c>
      <c r="R1320" s="348" t="str">
        <f t="shared" si="169"/>
        <v/>
      </c>
      <c r="S1320" s="348" t="str">
        <f t="shared" si="170"/>
        <v/>
      </c>
      <c r="T1320" s="348" t="str">
        <f t="shared" si="171"/>
        <v/>
      </c>
      <c r="U1320" s="348" t="str">
        <f t="shared" si="172"/>
        <v/>
      </c>
      <c r="V1320" s="348" t="str">
        <f t="shared" si="173"/>
        <v/>
      </c>
      <c r="W1320" s="348" t="str">
        <f t="shared" si="174"/>
        <v/>
      </c>
      <c r="X1320" s="348" t="str">
        <f t="shared" si="175"/>
        <v/>
      </c>
    </row>
    <row r="1321" spans="1:24" x14ac:dyDescent="0.2">
      <c r="A1321" s="407">
        <v>1313</v>
      </c>
      <c r="B1321" s="438"/>
      <c r="C1321" s="438"/>
      <c r="D1321" s="438"/>
      <c r="E1321" s="438"/>
      <c r="F1321" s="438"/>
      <c r="G1321" s="438"/>
      <c r="H1321" s="438"/>
      <c r="I1321" s="438"/>
      <c r="J1321" s="11"/>
      <c r="Q1321" s="348" t="str">
        <f t="shared" si="168"/>
        <v/>
      </c>
      <c r="R1321" s="348" t="str">
        <f t="shared" si="169"/>
        <v/>
      </c>
      <c r="S1321" s="348" t="str">
        <f t="shared" si="170"/>
        <v/>
      </c>
      <c r="T1321" s="348" t="str">
        <f t="shared" si="171"/>
        <v/>
      </c>
      <c r="U1321" s="348" t="str">
        <f t="shared" si="172"/>
        <v/>
      </c>
      <c r="V1321" s="348" t="str">
        <f t="shared" si="173"/>
        <v/>
      </c>
      <c r="W1321" s="348" t="str">
        <f t="shared" si="174"/>
        <v/>
      </c>
      <c r="X1321" s="348" t="str">
        <f t="shared" si="175"/>
        <v/>
      </c>
    </row>
    <row r="1322" spans="1:24" x14ac:dyDescent="0.2">
      <c r="A1322" s="407">
        <v>1314</v>
      </c>
      <c r="B1322" s="438"/>
      <c r="C1322" s="438"/>
      <c r="D1322" s="438"/>
      <c r="E1322" s="438"/>
      <c r="F1322" s="438"/>
      <c r="G1322" s="438"/>
      <c r="H1322" s="438"/>
      <c r="I1322" s="438"/>
      <c r="J1322" s="11"/>
      <c r="Q1322" s="348" t="str">
        <f t="shared" si="168"/>
        <v/>
      </c>
      <c r="R1322" s="348" t="str">
        <f t="shared" si="169"/>
        <v/>
      </c>
      <c r="S1322" s="348" t="str">
        <f t="shared" si="170"/>
        <v/>
      </c>
      <c r="T1322" s="348" t="str">
        <f t="shared" si="171"/>
        <v/>
      </c>
      <c r="U1322" s="348" t="str">
        <f t="shared" si="172"/>
        <v/>
      </c>
      <c r="V1322" s="348" t="str">
        <f t="shared" si="173"/>
        <v/>
      </c>
      <c r="W1322" s="348" t="str">
        <f t="shared" si="174"/>
        <v/>
      </c>
      <c r="X1322" s="348" t="str">
        <f t="shared" si="175"/>
        <v/>
      </c>
    </row>
    <row r="1323" spans="1:24" x14ac:dyDescent="0.2">
      <c r="A1323" s="407">
        <v>1315</v>
      </c>
      <c r="B1323" s="438"/>
      <c r="C1323" s="437"/>
      <c r="D1323" s="438"/>
      <c r="E1323" s="438"/>
      <c r="F1323" s="438"/>
      <c r="G1323" s="438"/>
      <c r="H1323" s="438"/>
      <c r="I1323" s="438"/>
      <c r="J1323" s="11"/>
      <c r="Q1323" s="348" t="str">
        <f t="shared" si="168"/>
        <v/>
      </c>
      <c r="R1323" s="348" t="str">
        <f t="shared" si="169"/>
        <v/>
      </c>
      <c r="S1323" s="348" t="str">
        <f t="shared" si="170"/>
        <v/>
      </c>
      <c r="T1323" s="348" t="str">
        <f t="shared" si="171"/>
        <v/>
      </c>
      <c r="U1323" s="348" t="str">
        <f t="shared" si="172"/>
        <v/>
      </c>
      <c r="V1323" s="348" t="str">
        <f t="shared" si="173"/>
        <v/>
      </c>
      <c r="W1323" s="348" t="str">
        <f t="shared" si="174"/>
        <v/>
      </c>
      <c r="X1323" s="348" t="str">
        <f t="shared" si="175"/>
        <v/>
      </c>
    </row>
    <row r="1324" spans="1:24" x14ac:dyDescent="0.2">
      <c r="A1324" s="407">
        <v>1316</v>
      </c>
      <c r="B1324" s="438"/>
      <c r="C1324" s="438"/>
      <c r="D1324" s="438"/>
      <c r="E1324" s="438"/>
      <c r="F1324" s="438"/>
      <c r="G1324" s="438"/>
      <c r="H1324" s="438"/>
      <c r="I1324" s="438"/>
      <c r="J1324" s="11"/>
      <c r="Q1324" s="348" t="str">
        <f t="shared" si="168"/>
        <v/>
      </c>
      <c r="R1324" s="348" t="str">
        <f t="shared" si="169"/>
        <v/>
      </c>
      <c r="S1324" s="348" t="str">
        <f t="shared" si="170"/>
        <v/>
      </c>
      <c r="T1324" s="348" t="str">
        <f t="shared" si="171"/>
        <v/>
      </c>
      <c r="U1324" s="348" t="str">
        <f t="shared" si="172"/>
        <v/>
      </c>
      <c r="V1324" s="348" t="str">
        <f t="shared" si="173"/>
        <v/>
      </c>
      <c r="W1324" s="348" t="str">
        <f t="shared" si="174"/>
        <v/>
      </c>
      <c r="X1324" s="348" t="str">
        <f t="shared" si="175"/>
        <v/>
      </c>
    </row>
    <row r="1325" spans="1:24" x14ac:dyDescent="0.2">
      <c r="A1325" s="407">
        <v>1317</v>
      </c>
      <c r="B1325" s="438"/>
      <c r="C1325" s="438"/>
      <c r="D1325" s="438"/>
      <c r="E1325" s="438"/>
      <c r="F1325" s="438"/>
      <c r="G1325" s="438"/>
      <c r="H1325" s="438"/>
      <c r="I1325" s="438"/>
      <c r="J1325" s="11"/>
      <c r="Q1325" s="348" t="str">
        <f t="shared" si="168"/>
        <v/>
      </c>
      <c r="R1325" s="348" t="str">
        <f t="shared" si="169"/>
        <v/>
      </c>
      <c r="S1325" s="348" t="str">
        <f t="shared" si="170"/>
        <v/>
      </c>
      <c r="T1325" s="348" t="str">
        <f t="shared" si="171"/>
        <v/>
      </c>
      <c r="U1325" s="348" t="str">
        <f t="shared" si="172"/>
        <v/>
      </c>
      <c r="V1325" s="348" t="str">
        <f t="shared" si="173"/>
        <v/>
      </c>
      <c r="W1325" s="348" t="str">
        <f t="shared" si="174"/>
        <v/>
      </c>
      <c r="X1325" s="348" t="str">
        <f t="shared" si="175"/>
        <v/>
      </c>
    </row>
    <row r="1326" spans="1:24" x14ac:dyDescent="0.2">
      <c r="A1326" s="407">
        <v>1318</v>
      </c>
      <c r="B1326" s="437"/>
      <c r="C1326" s="438"/>
      <c r="D1326" s="438"/>
      <c r="E1326" s="438"/>
      <c r="F1326" s="438"/>
      <c r="G1326" s="438"/>
      <c r="H1326" s="438"/>
      <c r="I1326" s="438"/>
      <c r="J1326" s="11"/>
      <c r="Q1326" s="348" t="str">
        <f t="shared" si="168"/>
        <v/>
      </c>
      <c r="R1326" s="348" t="str">
        <f t="shared" si="169"/>
        <v/>
      </c>
      <c r="S1326" s="348" t="str">
        <f t="shared" si="170"/>
        <v/>
      </c>
      <c r="T1326" s="348" t="str">
        <f t="shared" si="171"/>
        <v/>
      </c>
      <c r="U1326" s="348" t="str">
        <f t="shared" si="172"/>
        <v/>
      </c>
      <c r="V1326" s="348" t="str">
        <f t="shared" si="173"/>
        <v/>
      </c>
      <c r="W1326" s="348" t="str">
        <f t="shared" si="174"/>
        <v/>
      </c>
      <c r="X1326" s="348" t="str">
        <f t="shared" si="175"/>
        <v/>
      </c>
    </row>
    <row r="1327" spans="1:24" x14ac:dyDescent="0.2">
      <c r="A1327" s="407">
        <v>1319</v>
      </c>
      <c r="B1327" s="438"/>
      <c r="C1327" s="438"/>
      <c r="D1327" s="438"/>
      <c r="E1327" s="438"/>
      <c r="F1327" s="438"/>
      <c r="G1327" s="438"/>
      <c r="H1327" s="438"/>
      <c r="I1327" s="438"/>
      <c r="J1327" s="11"/>
      <c r="Q1327" s="348" t="str">
        <f t="shared" si="168"/>
        <v/>
      </c>
      <c r="R1327" s="348" t="str">
        <f t="shared" si="169"/>
        <v/>
      </c>
      <c r="S1327" s="348" t="str">
        <f t="shared" si="170"/>
        <v/>
      </c>
      <c r="T1327" s="348" t="str">
        <f t="shared" si="171"/>
        <v/>
      </c>
      <c r="U1327" s="348" t="str">
        <f t="shared" si="172"/>
        <v/>
      </c>
      <c r="V1327" s="348" t="str">
        <f t="shared" si="173"/>
        <v/>
      </c>
      <c r="W1327" s="348" t="str">
        <f t="shared" si="174"/>
        <v/>
      </c>
      <c r="X1327" s="348" t="str">
        <f t="shared" si="175"/>
        <v/>
      </c>
    </row>
    <row r="1328" spans="1:24" x14ac:dyDescent="0.2">
      <c r="A1328" s="407">
        <v>1320</v>
      </c>
      <c r="B1328" s="438"/>
      <c r="C1328" s="438"/>
      <c r="D1328" s="438"/>
      <c r="E1328" s="438"/>
      <c r="F1328" s="438"/>
      <c r="G1328" s="438"/>
      <c r="H1328" s="438"/>
      <c r="I1328" s="438"/>
      <c r="J1328" s="11"/>
      <c r="Q1328" s="348" t="str">
        <f t="shared" si="168"/>
        <v/>
      </c>
      <c r="R1328" s="348" t="str">
        <f t="shared" si="169"/>
        <v/>
      </c>
      <c r="S1328" s="348" t="str">
        <f t="shared" si="170"/>
        <v/>
      </c>
      <c r="T1328" s="348" t="str">
        <f t="shared" si="171"/>
        <v/>
      </c>
      <c r="U1328" s="348" t="str">
        <f t="shared" si="172"/>
        <v/>
      </c>
      <c r="V1328" s="348" t="str">
        <f t="shared" si="173"/>
        <v/>
      </c>
      <c r="W1328" s="348" t="str">
        <f t="shared" si="174"/>
        <v/>
      </c>
      <c r="X1328" s="348" t="str">
        <f t="shared" si="175"/>
        <v/>
      </c>
    </row>
    <row r="1329" spans="1:24" x14ac:dyDescent="0.2">
      <c r="A1329" s="407">
        <v>1321</v>
      </c>
      <c r="B1329" s="438"/>
      <c r="C1329" s="438"/>
      <c r="D1329" s="438"/>
      <c r="E1329" s="438"/>
      <c r="F1329" s="438"/>
      <c r="G1329" s="438"/>
      <c r="H1329" s="438"/>
      <c r="I1329" s="438"/>
      <c r="J1329" s="11"/>
      <c r="Q1329" s="348" t="str">
        <f t="shared" si="168"/>
        <v/>
      </c>
      <c r="R1329" s="348" t="str">
        <f t="shared" si="169"/>
        <v/>
      </c>
      <c r="S1329" s="348" t="str">
        <f t="shared" si="170"/>
        <v/>
      </c>
      <c r="T1329" s="348" t="str">
        <f t="shared" si="171"/>
        <v/>
      </c>
      <c r="U1329" s="348" t="str">
        <f t="shared" si="172"/>
        <v/>
      </c>
      <c r="V1329" s="348" t="str">
        <f t="shared" si="173"/>
        <v/>
      </c>
      <c r="W1329" s="348" t="str">
        <f t="shared" si="174"/>
        <v/>
      </c>
      <c r="X1329" s="348" t="str">
        <f t="shared" si="175"/>
        <v/>
      </c>
    </row>
    <row r="1330" spans="1:24" x14ac:dyDescent="0.2">
      <c r="A1330" s="407">
        <v>1322</v>
      </c>
      <c r="B1330" s="438"/>
      <c r="C1330" s="438"/>
      <c r="D1330" s="438"/>
      <c r="E1330" s="438"/>
      <c r="F1330" s="438"/>
      <c r="G1330" s="438"/>
      <c r="H1330" s="438"/>
      <c r="I1330" s="438"/>
      <c r="J1330" s="11"/>
      <c r="Q1330" s="348" t="str">
        <f t="shared" si="168"/>
        <v/>
      </c>
      <c r="R1330" s="348" t="str">
        <f t="shared" si="169"/>
        <v/>
      </c>
      <c r="S1330" s="348" t="str">
        <f t="shared" si="170"/>
        <v/>
      </c>
      <c r="T1330" s="348" t="str">
        <f t="shared" si="171"/>
        <v/>
      </c>
      <c r="U1330" s="348" t="str">
        <f t="shared" si="172"/>
        <v/>
      </c>
      <c r="V1330" s="348" t="str">
        <f t="shared" si="173"/>
        <v/>
      </c>
      <c r="W1330" s="348" t="str">
        <f t="shared" si="174"/>
        <v/>
      </c>
      <c r="X1330" s="348" t="str">
        <f t="shared" si="175"/>
        <v/>
      </c>
    </row>
    <row r="1331" spans="1:24" x14ac:dyDescent="0.2">
      <c r="A1331" s="407">
        <v>1323</v>
      </c>
      <c r="B1331" s="438"/>
      <c r="C1331" s="438"/>
      <c r="D1331" s="437"/>
      <c r="E1331" s="438"/>
      <c r="F1331" s="438"/>
      <c r="G1331" s="438"/>
      <c r="H1331" s="438"/>
      <c r="I1331" s="438"/>
      <c r="J1331" s="11"/>
      <c r="Q1331" s="348" t="str">
        <f t="shared" si="168"/>
        <v/>
      </c>
      <c r="R1331" s="348" t="str">
        <f t="shared" si="169"/>
        <v/>
      </c>
      <c r="S1331" s="348" t="str">
        <f t="shared" si="170"/>
        <v/>
      </c>
      <c r="T1331" s="348" t="str">
        <f t="shared" si="171"/>
        <v/>
      </c>
      <c r="U1331" s="348" t="str">
        <f t="shared" si="172"/>
        <v/>
      </c>
      <c r="V1331" s="348" t="str">
        <f t="shared" si="173"/>
        <v/>
      </c>
      <c r="W1331" s="348" t="str">
        <f t="shared" si="174"/>
        <v/>
      </c>
      <c r="X1331" s="348" t="str">
        <f t="shared" si="175"/>
        <v/>
      </c>
    </row>
    <row r="1332" spans="1:24" x14ac:dyDescent="0.2">
      <c r="A1332" s="407">
        <v>1324</v>
      </c>
      <c r="B1332" s="438"/>
      <c r="C1332" s="438"/>
      <c r="D1332" s="438"/>
      <c r="E1332" s="438"/>
      <c r="F1332" s="438"/>
      <c r="G1332" s="438"/>
      <c r="H1332" s="438"/>
      <c r="I1332" s="438"/>
      <c r="J1332" s="11"/>
      <c r="Q1332" s="348" t="str">
        <f t="shared" si="168"/>
        <v/>
      </c>
      <c r="R1332" s="348" t="str">
        <f t="shared" si="169"/>
        <v/>
      </c>
      <c r="S1332" s="348" t="str">
        <f t="shared" si="170"/>
        <v/>
      </c>
      <c r="T1332" s="348" t="str">
        <f t="shared" si="171"/>
        <v/>
      </c>
      <c r="U1332" s="348" t="str">
        <f t="shared" si="172"/>
        <v/>
      </c>
      <c r="V1332" s="348" t="str">
        <f t="shared" si="173"/>
        <v/>
      </c>
      <c r="W1332" s="348" t="str">
        <f t="shared" si="174"/>
        <v/>
      </c>
      <c r="X1332" s="348" t="str">
        <f t="shared" si="175"/>
        <v/>
      </c>
    </row>
    <row r="1333" spans="1:24" x14ac:dyDescent="0.2">
      <c r="A1333" s="407">
        <v>1325</v>
      </c>
      <c r="B1333" s="438"/>
      <c r="C1333" s="438"/>
      <c r="D1333" s="438"/>
      <c r="E1333" s="438"/>
      <c r="F1333" s="438"/>
      <c r="G1333" s="438"/>
      <c r="H1333" s="438"/>
      <c r="I1333" s="437"/>
      <c r="J1333" s="11"/>
      <c r="Q1333" s="348" t="str">
        <f t="shared" si="168"/>
        <v/>
      </c>
      <c r="R1333" s="348" t="str">
        <f t="shared" si="169"/>
        <v/>
      </c>
      <c r="S1333" s="348" t="str">
        <f t="shared" si="170"/>
        <v/>
      </c>
      <c r="T1333" s="348" t="str">
        <f t="shared" si="171"/>
        <v/>
      </c>
      <c r="U1333" s="348" t="str">
        <f t="shared" si="172"/>
        <v/>
      </c>
      <c r="V1333" s="348" t="str">
        <f t="shared" si="173"/>
        <v/>
      </c>
      <c r="W1333" s="348" t="str">
        <f t="shared" si="174"/>
        <v/>
      </c>
      <c r="X1333" s="348" t="str">
        <f t="shared" si="175"/>
        <v/>
      </c>
    </row>
    <row r="1334" spans="1:24" x14ac:dyDescent="0.2">
      <c r="A1334" s="407">
        <v>1326</v>
      </c>
      <c r="B1334" s="438"/>
      <c r="C1334" s="438"/>
      <c r="D1334" s="438"/>
      <c r="E1334" s="437"/>
      <c r="F1334" s="437"/>
      <c r="G1334" s="437"/>
      <c r="H1334" s="437"/>
      <c r="I1334" s="438"/>
      <c r="J1334" s="11"/>
      <c r="Q1334" s="348" t="str">
        <f t="shared" si="168"/>
        <v/>
      </c>
      <c r="R1334" s="348" t="str">
        <f t="shared" si="169"/>
        <v/>
      </c>
      <c r="S1334" s="348" t="str">
        <f t="shared" si="170"/>
        <v/>
      </c>
      <c r="T1334" s="348" t="str">
        <f t="shared" si="171"/>
        <v/>
      </c>
      <c r="U1334" s="348" t="str">
        <f t="shared" si="172"/>
        <v/>
      </c>
      <c r="V1334" s="348" t="str">
        <f t="shared" si="173"/>
        <v/>
      </c>
      <c r="W1334" s="348" t="str">
        <f t="shared" si="174"/>
        <v/>
      </c>
      <c r="X1334" s="348" t="str">
        <f t="shared" si="175"/>
        <v/>
      </c>
    </row>
    <row r="1335" spans="1:24" x14ac:dyDescent="0.2">
      <c r="A1335" s="407">
        <v>1327</v>
      </c>
      <c r="B1335" s="438"/>
      <c r="C1335" s="438"/>
      <c r="D1335" s="438"/>
      <c r="E1335" s="438"/>
      <c r="F1335" s="438"/>
      <c r="G1335" s="438"/>
      <c r="H1335" s="438"/>
      <c r="I1335" s="438"/>
      <c r="J1335" s="11"/>
      <c r="Q1335" s="348" t="str">
        <f t="shared" si="168"/>
        <v/>
      </c>
      <c r="R1335" s="348" t="str">
        <f t="shared" si="169"/>
        <v/>
      </c>
      <c r="S1335" s="348" t="str">
        <f t="shared" si="170"/>
        <v/>
      </c>
      <c r="T1335" s="348" t="str">
        <f t="shared" si="171"/>
        <v/>
      </c>
      <c r="U1335" s="348" t="str">
        <f t="shared" si="172"/>
        <v/>
      </c>
      <c r="V1335" s="348" t="str">
        <f t="shared" si="173"/>
        <v/>
      </c>
      <c r="W1335" s="348" t="str">
        <f t="shared" si="174"/>
        <v/>
      </c>
      <c r="X1335" s="348" t="str">
        <f t="shared" si="175"/>
        <v/>
      </c>
    </row>
    <row r="1336" spans="1:24" x14ac:dyDescent="0.2">
      <c r="A1336" s="407">
        <v>1328</v>
      </c>
      <c r="B1336" s="438"/>
      <c r="C1336" s="438"/>
      <c r="D1336" s="438"/>
      <c r="E1336" s="438"/>
      <c r="F1336" s="438"/>
      <c r="G1336" s="438"/>
      <c r="H1336" s="438"/>
      <c r="I1336" s="438"/>
      <c r="J1336" s="11"/>
      <c r="Q1336" s="348" t="str">
        <f t="shared" si="168"/>
        <v/>
      </c>
      <c r="R1336" s="348" t="str">
        <f t="shared" si="169"/>
        <v/>
      </c>
      <c r="S1336" s="348" t="str">
        <f t="shared" si="170"/>
        <v/>
      </c>
      <c r="T1336" s="348" t="str">
        <f t="shared" si="171"/>
        <v/>
      </c>
      <c r="U1336" s="348" t="str">
        <f t="shared" si="172"/>
        <v/>
      </c>
      <c r="V1336" s="348" t="str">
        <f t="shared" si="173"/>
        <v/>
      </c>
      <c r="W1336" s="348" t="str">
        <f t="shared" si="174"/>
        <v/>
      </c>
      <c r="X1336" s="348" t="str">
        <f t="shared" si="175"/>
        <v/>
      </c>
    </row>
    <row r="1337" spans="1:24" x14ac:dyDescent="0.2">
      <c r="A1337" s="407">
        <v>1329</v>
      </c>
      <c r="B1337" s="438"/>
      <c r="C1337" s="438"/>
      <c r="D1337" s="438"/>
      <c r="E1337" s="438"/>
      <c r="F1337" s="438"/>
      <c r="G1337" s="438"/>
      <c r="H1337" s="438"/>
      <c r="I1337" s="438"/>
      <c r="J1337" s="11"/>
      <c r="Q1337" s="348" t="str">
        <f t="shared" si="168"/>
        <v/>
      </c>
      <c r="R1337" s="348" t="str">
        <f t="shared" si="169"/>
        <v/>
      </c>
      <c r="S1337" s="348" t="str">
        <f t="shared" si="170"/>
        <v/>
      </c>
      <c r="T1337" s="348" t="str">
        <f t="shared" si="171"/>
        <v/>
      </c>
      <c r="U1337" s="348" t="str">
        <f t="shared" si="172"/>
        <v/>
      </c>
      <c r="V1337" s="348" t="str">
        <f t="shared" si="173"/>
        <v/>
      </c>
      <c r="W1337" s="348" t="str">
        <f t="shared" si="174"/>
        <v/>
      </c>
      <c r="X1337" s="348" t="str">
        <f t="shared" si="175"/>
        <v/>
      </c>
    </row>
    <row r="1338" spans="1:24" x14ac:dyDescent="0.2">
      <c r="A1338" s="407">
        <v>1330</v>
      </c>
      <c r="B1338" s="438"/>
      <c r="C1338" s="438"/>
      <c r="D1338" s="438"/>
      <c r="E1338" s="438"/>
      <c r="F1338" s="438"/>
      <c r="G1338" s="438"/>
      <c r="H1338" s="438"/>
      <c r="I1338" s="438"/>
      <c r="J1338" s="11"/>
      <c r="Q1338" s="348" t="str">
        <f t="shared" si="168"/>
        <v/>
      </c>
      <c r="R1338" s="348" t="str">
        <f t="shared" si="169"/>
        <v/>
      </c>
      <c r="S1338" s="348" t="str">
        <f t="shared" si="170"/>
        <v/>
      </c>
      <c r="T1338" s="348" t="str">
        <f t="shared" si="171"/>
        <v/>
      </c>
      <c r="U1338" s="348" t="str">
        <f t="shared" si="172"/>
        <v/>
      </c>
      <c r="V1338" s="348" t="str">
        <f t="shared" si="173"/>
        <v/>
      </c>
      <c r="W1338" s="348" t="str">
        <f t="shared" si="174"/>
        <v/>
      </c>
      <c r="X1338" s="348" t="str">
        <f t="shared" si="175"/>
        <v/>
      </c>
    </row>
    <row r="1339" spans="1:24" x14ac:dyDescent="0.2">
      <c r="A1339" s="407">
        <v>1331</v>
      </c>
      <c r="B1339" s="438"/>
      <c r="C1339" s="438"/>
      <c r="D1339" s="438"/>
      <c r="E1339" s="438"/>
      <c r="F1339" s="438"/>
      <c r="G1339" s="438"/>
      <c r="H1339" s="438"/>
      <c r="I1339" s="438"/>
      <c r="J1339" s="11"/>
      <c r="Q1339" s="348" t="str">
        <f t="shared" si="168"/>
        <v/>
      </c>
      <c r="R1339" s="348" t="str">
        <f t="shared" si="169"/>
        <v/>
      </c>
      <c r="S1339" s="348" t="str">
        <f t="shared" si="170"/>
        <v/>
      </c>
      <c r="T1339" s="348" t="str">
        <f t="shared" si="171"/>
        <v/>
      </c>
      <c r="U1339" s="348" t="str">
        <f t="shared" si="172"/>
        <v/>
      </c>
      <c r="V1339" s="348" t="str">
        <f t="shared" si="173"/>
        <v/>
      </c>
      <c r="W1339" s="348" t="str">
        <f t="shared" si="174"/>
        <v/>
      </c>
      <c r="X1339" s="348" t="str">
        <f t="shared" si="175"/>
        <v/>
      </c>
    </row>
    <row r="1340" spans="1:24" x14ac:dyDescent="0.2">
      <c r="A1340" s="407">
        <v>1332</v>
      </c>
      <c r="B1340" s="437"/>
      <c r="C1340" s="438"/>
      <c r="D1340" s="438"/>
      <c r="E1340" s="438"/>
      <c r="F1340" s="438"/>
      <c r="G1340" s="438"/>
      <c r="H1340" s="438"/>
      <c r="I1340" s="438"/>
      <c r="J1340" s="11"/>
      <c r="Q1340" s="348" t="str">
        <f t="shared" si="168"/>
        <v/>
      </c>
      <c r="R1340" s="348" t="str">
        <f t="shared" si="169"/>
        <v/>
      </c>
      <c r="S1340" s="348" t="str">
        <f t="shared" si="170"/>
        <v/>
      </c>
      <c r="T1340" s="348" t="str">
        <f t="shared" si="171"/>
        <v/>
      </c>
      <c r="U1340" s="348" t="str">
        <f t="shared" si="172"/>
        <v/>
      </c>
      <c r="V1340" s="348" t="str">
        <f t="shared" si="173"/>
        <v/>
      </c>
      <c r="W1340" s="348" t="str">
        <f t="shared" si="174"/>
        <v/>
      </c>
      <c r="X1340" s="348" t="str">
        <f t="shared" si="175"/>
        <v/>
      </c>
    </row>
    <row r="1341" spans="1:24" x14ac:dyDescent="0.2">
      <c r="A1341" s="407">
        <v>1333</v>
      </c>
      <c r="B1341" s="438"/>
      <c r="C1341" s="438"/>
      <c r="D1341" s="438"/>
      <c r="E1341" s="438"/>
      <c r="F1341" s="438"/>
      <c r="G1341" s="438"/>
      <c r="H1341" s="438"/>
      <c r="I1341" s="438"/>
      <c r="J1341" s="11"/>
      <c r="Q1341" s="348" t="str">
        <f t="shared" si="168"/>
        <v/>
      </c>
      <c r="R1341" s="348" t="str">
        <f t="shared" si="169"/>
        <v/>
      </c>
      <c r="S1341" s="348" t="str">
        <f t="shared" si="170"/>
        <v/>
      </c>
      <c r="T1341" s="348" t="str">
        <f t="shared" si="171"/>
        <v/>
      </c>
      <c r="U1341" s="348" t="str">
        <f t="shared" si="172"/>
        <v/>
      </c>
      <c r="V1341" s="348" t="str">
        <f t="shared" si="173"/>
        <v/>
      </c>
      <c r="W1341" s="348" t="str">
        <f t="shared" si="174"/>
        <v/>
      </c>
      <c r="X1341" s="348" t="str">
        <f t="shared" si="175"/>
        <v/>
      </c>
    </row>
    <row r="1342" spans="1:24" x14ac:dyDescent="0.2">
      <c r="A1342" s="407">
        <v>1334</v>
      </c>
      <c r="B1342" s="438"/>
      <c r="C1342" s="438"/>
      <c r="D1342" s="438"/>
      <c r="E1342" s="438"/>
      <c r="F1342" s="438"/>
      <c r="G1342" s="438"/>
      <c r="H1342" s="438"/>
      <c r="I1342" s="438"/>
      <c r="J1342" s="11"/>
      <c r="Q1342" s="348" t="str">
        <f t="shared" si="168"/>
        <v/>
      </c>
      <c r="R1342" s="348" t="str">
        <f t="shared" si="169"/>
        <v/>
      </c>
      <c r="S1342" s="348" t="str">
        <f t="shared" si="170"/>
        <v/>
      </c>
      <c r="T1342" s="348" t="str">
        <f t="shared" si="171"/>
        <v/>
      </c>
      <c r="U1342" s="348" t="str">
        <f t="shared" si="172"/>
        <v/>
      </c>
      <c r="V1342" s="348" t="str">
        <f t="shared" si="173"/>
        <v/>
      </c>
      <c r="W1342" s="348" t="str">
        <f t="shared" si="174"/>
        <v/>
      </c>
      <c r="X1342" s="348" t="str">
        <f t="shared" si="175"/>
        <v/>
      </c>
    </row>
    <row r="1343" spans="1:24" x14ac:dyDescent="0.2">
      <c r="A1343" s="407">
        <v>1335</v>
      </c>
      <c r="B1343" s="438"/>
      <c r="C1343" s="438"/>
      <c r="D1343" s="438"/>
      <c r="E1343" s="438"/>
      <c r="F1343" s="438"/>
      <c r="G1343" s="438"/>
      <c r="H1343" s="438"/>
      <c r="I1343" s="438"/>
      <c r="J1343" s="11"/>
      <c r="Q1343" s="348" t="str">
        <f t="shared" si="168"/>
        <v/>
      </c>
      <c r="R1343" s="348" t="str">
        <f t="shared" si="169"/>
        <v/>
      </c>
      <c r="S1343" s="348" t="str">
        <f t="shared" si="170"/>
        <v/>
      </c>
      <c r="T1343" s="348" t="str">
        <f t="shared" si="171"/>
        <v/>
      </c>
      <c r="U1343" s="348" t="str">
        <f t="shared" si="172"/>
        <v/>
      </c>
      <c r="V1343" s="348" t="str">
        <f t="shared" si="173"/>
        <v/>
      </c>
      <c r="W1343" s="348" t="str">
        <f t="shared" si="174"/>
        <v/>
      </c>
      <c r="X1343" s="348" t="str">
        <f t="shared" si="175"/>
        <v/>
      </c>
    </row>
    <row r="1344" spans="1:24" x14ac:dyDescent="0.2">
      <c r="A1344" s="407">
        <v>1336</v>
      </c>
      <c r="B1344" s="438"/>
      <c r="C1344" s="437"/>
      <c r="D1344" s="438"/>
      <c r="E1344" s="438"/>
      <c r="F1344" s="438"/>
      <c r="G1344" s="438"/>
      <c r="H1344" s="438"/>
      <c r="I1344" s="438"/>
      <c r="J1344" s="11"/>
      <c r="Q1344" s="348" t="str">
        <f t="shared" si="168"/>
        <v/>
      </c>
      <c r="R1344" s="348" t="str">
        <f t="shared" si="169"/>
        <v/>
      </c>
      <c r="S1344" s="348" t="str">
        <f t="shared" si="170"/>
        <v/>
      </c>
      <c r="T1344" s="348" t="str">
        <f t="shared" si="171"/>
        <v/>
      </c>
      <c r="U1344" s="348" t="str">
        <f t="shared" si="172"/>
        <v/>
      </c>
      <c r="V1344" s="348" t="str">
        <f t="shared" si="173"/>
        <v/>
      </c>
      <c r="W1344" s="348" t="str">
        <f t="shared" si="174"/>
        <v/>
      </c>
      <c r="X1344" s="348" t="str">
        <f t="shared" si="175"/>
        <v/>
      </c>
    </row>
    <row r="1345" spans="1:24" x14ac:dyDescent="0.2">
      <c r="A1345" s="407">
        <v>1337</v>
      </c>
      <c r="B1345" s="438"/>
      <c r="C1345" s="438"/>
      <c r="D1345" s="438"/>
      <c r="E1345" s="438"/>
      <c r="F1345" s="438"/>
      <c r="G1345" s="438"/>
      <c r="H1345" s="438"/>
      <c r="I1345" s="438"/>
      <c r="J1345" s="11"/>
      <c r="Q1345" s="348" t="str">
        <f t="shared" si="168"/>
        <v/>
      </c>
      <c r="R1345" s="348" t="str">
        <f t="shared" si="169"/>
        <v/>
      </c>
      <c r="S1345" s="348" t="str">
        <f t="shared" si="170"/>
        <v/>
      </c>
      <c r="T1345" s="348" t="str">
        <f t="shared" si="171"/>
        <v/>
      </c>
      <c r="U1345" s="348" t="str">
        <f t="shared" si="172"/>
        <v/>
      </c>
      <c r="V1345" s="348" t="str">
        <f t="shared" si="173"/>
        <v/>
      </c>
      <c r="W1345" s="348" t="str">
        <f t="shared" si="174"/>
        <v/>
      </c>
      <c r="X1345" s="348" t="str">
        <f t="shared" si="175"/>
        <v/>
      </c>
    </row>
    <row r="1346" spans="1:24" x14ac:dyDescent="0.2">
      <c r="A1346" s="407">
        <v>1338</v>
      </c>
      <c r="B1346" s="438"/>
      <c r="C1346" s="438"/>
      <c r="D1346" s="438"/>
      <c r="E1346" s="438"/>
      <c r="F1346" s="438"/>
      <c r="G1346" s="438"/>
      <c r="H1346" s="438"/>
      <c r="I1346" s="438"/>
      <c r="J1346" s="11"/>
      <c r="Q1346" s="348" t="str">
        <f t="shared" si="168"/>
        <v/>
      </c>
      <c r="R1346" s="348" t="str">
        <f t="shared" si="169"/>
        <v/>
      </c>
      <c r="S1346" s="348" t="str">
        <f t="shared" si="170"/>
        <v/>
      </c>
      <c r="T1346" s="348" t="str">
        <f t="shared" si="171"/>
        <v/>
      </c>
      <c r="U1346" s="348" t="str">
        <f t="shared" si="172"/>
        <v/>
      </c>
      <c r="V1346" s="348" t="str">
        <f t="shared" si="173"/>
        <v/>
      </c>
      <c r="W1346" s="348" t="str">
        <f t="shared" si="174"/>
        <v/>
      </c>
      <c r="X1346" s="348" t="str">
        <f t="shared" si="175"/>
        <v/>
      </c>
    </row>
    <row r="1347" spans="1:24" x14ac:dyDescent="0.2">
      <c r="A1347" s="407">
        <v>1339</v>
      </c>
      <c r="B1347" s="438"/>
      <c r="C1347" s="438"/>
      <c r="D1347" s="438"/>
      <c r="E1347" s="438"/>
      <c r="F1347" s="438"/>
      <c r="G1347" s="438"/>
      <c r="H1347" s="438"/>
      <c r="I1347" s="438"/>
      <c r="J1347" s="11"/>
      <c r="Q1347" s="348" t="str">
        <f t="shared" si="168"/>
        <v/>
      </c>
      <c r="R1347" s="348" t="str">
        <f t="shared" si="169"/>
        <v/>
      </c>
      <c r="S1347" s="348" t="str">
        <f t="shared" si="170"/>
        <v/>
      </c>
      <c r="T1347" s="348" t="str">
        <f t="shared" si="171"/>
        <v/>
      </c>
      <c r="U1347" s="348" t="str">
        <f t="shared" si="172"/>
        <v/>
      </c>
      <c r="V1347" s="348" t="str">
        <f t="shared" si="173"/>
        <v/>
      </c>
      <c r="W1347" s="348" t="str">
        <f t="shared" si="174"/>
        <v/>
      </c>
      <c r="X1347" s="348" t="str">
        <f t="shared" si="175"/>
        <v/>
      </c>
    </row>
    <row r="1348" spans="1:24" x14ac:dyDescent="0.2">
      <c r="A1348" s="407">
        <v>1340</v>
      </c>
      <c r="B1348" s="438"/>
      <c r="C1348" s="438"/>
      <c r="D1348" s="438"/>
      <c r="E1348" s="438"/>
      <c r="F1348" s="438"/>
      <c r="G1348" s="438"/>
      <c r="H1348" s="438"/>
      <c r="I1348" s="438"/>
      <c r="J1348" s="11"/>
      <c r="Q1348" s="348" t="str">
        <f t="shared" si="168"/>
        <v/>
      </c>
      <c r="R1348" s="348" t="str">
        <f t="shared" si="169"/>
        <v/>
      </c>
      <c r="S1348" s="348" t="str">
        <f t="shared" si="170"/>
        <v/>
      </c>
      <c r="T1348" s="348" t="str">
        <f t="shared" si="171"/>
        <v/>
      </c>
      <c r="U1348" s="348" t="str">
        <f t="shared" si="172"/>
        <v/>
      </c>
      <c r="V1348" s="348" t="str">
        <f t="shared" si="173"/>
        <v/>
      </c>
      <c r="W1348" s="348" t="str">
        <f t="shared" si="174"/>
        <v/>
      </c>
      <c r="X1348" s="348" t="str">
        <f t="shared" si="175"/>
        <v/>
      </c>
    </row>
    <row r="1349" spans="1:24" x14ac:dyDescent="0.2">
      <c r="A1349" s="407">
        <v>1341</v>
      </c>
      <c r="B1349" s="438"/>
      <c r="C1349" s="438"/>
      <c r="D1349" s="438"/>
      <c r="E1349" s="438"/>
      <c r="F1349" s="438"/>
      <c r="G1349" s="438"/>
      <c r="H1349" s="438"/>
      <c r="I1349" s="438"/>
      <c r="J1349" s="11"/>
      <c r="Q1349" s="348" t="str">
        <f t="shared" si="168"/>
        <v/>
      </c>
      <c r="R1349" s="348" t="str">
        <f t="shared" si="169"/>
        <v/>
      </c>
      <c r="S1349" s="348" t="str">
        <f t="shared" si="170"/>
        <v/>
      </c>
      <c r="T1349" s="348" t="str">
        <f t="shared" si="171"/>
        <v/>
      </c>
      <c r="U1349" s="348" t="str">
        <f t="shared" si="172"/>
        <v/>
      </c>
      <c r="V1349" s="348" t="str">
        <f t="shared" si="173"/>
        <v/>
      </c>
      <c r="W1349" s="348" t="str">
        <f t="shared" si="174"/>
        <v/>
      </c>
      <c r="X1349" s="348" t="str">
        <f t="shared" si="175"/>
        <v/>
      </c>
    </row>
    <row r="1350" spans="1:24" x14ac:dyDescent="0.2">
      <c r="A1350" s="407">
        <v>1342</v>
      </c>
      <c r="B1350" s="438"/>
      <c r="C1350" s="438"/>
      <c r="D1350" s="438"/>
      <c r="E1350" s="438"/>
      <c r="F1350" s="438"/>
      <c r="G1350" s="438"/>
      <c r="H1350" s="438"/>
      <c r="I1350" s="438"/>
      <c r="J1350" s="11"/>
      <c r="Q1350" s="348" t="str">
        <f t="shared" si="168"/>
        <v/>
      </c>
      <c r="R1350" s="348" t="str">
        <f t="shared" si="169"/>
        <v/>
      </c>
      <c r="S1350" s="348" t="str">
        <f t="shared" si="170"/>
        <v/>
      </c>
      <c r="T1350" s="348" t="str">
        <f t="shared" si="171"/>
        <v/>
      </c>
      <c r="U1350" s="348" t="str">
        <f t="shared" si="172"/>
        <v/>
      </c>
      <c r="V1350" s="348" t="str">
        <f t="shared" si="173"/>
        <v/>
      </c>
      <c r="W1350" s="348" t="str">
        <f t="shared" si="174"/>
        <v/>
      </c>
      <c r="X1350" s="348" t="str">
        <f t="shared" si="175"/>
        <v/>
      </c>
    </row>
    <row r="1351" spans="1:24" x14ac:dyDescent="0.2">
      <c r="A1351" s="407">
        <v>1343</v>
      </c>
      <c r="B1351" s="438"/>
      <c r="C1351" s="438"/>
      <c r="D1351" s="438"/>
      <c r="E1351" s="438"/>
      <c r="F1351" s="438"/>
      <c r="G1351" s="438"/>
      <c r="H1351" s="438"/>
      <c r="I1351" s="438"/>
      <c r="J1351" s="11"/>
      <c r="Q1351" s="348" t="str">
        <f t="shared" si="168"/>
        <v/>
      </c>
      <c r="R1351" s="348" t="str">
        <f t="shared" si="169"/>
        <v/>
      </c>
      <c r="S1351" s="348" t="str">
        <f t="shared" si="170"/>
        <v/>
      </c>
      <c r="T1351" s="348" t="str">
        <f t="shared" si="171"/>
        <v/>
      </c>
      <c r="U1351" s="348" t="str">
        <f t="shared" si="172"/>
        <v/>
      </c>
      <c r="V1351" s="348" t="str">
        <f t="shared" si="173"/>
        <v/>
      </c>
      <c r="W1351" s="348" t="str">
        <f t="shared" si="174"/>
        <v/>
      </c>
      <c r="X1351" s="348" t="str">
        <f t="shared" si="175"/>
        <v/>
      </c>
    </row>
    <row r="1352" spans="1:24" x14ac:dyDescent="0.2">
      <c r="A1352" s="407">
        <v>1344</v>
      </c>
      <c r="B1352" s="438"/>
      <c r="C1352" s="438"/>
      <c r="D1352" s="438"/>
      <c r="E1352" s="438"/>
      <c r="F1352" s="438"/>
      <c r="G1352" s="438"/>
      <c r="H1352" s="438"/>
      <c r="I1352" s="438"/>
      <c r="J1352" s="11"/>
      <c r="Q1352" s="348" t="str">
        <f t="shared" si="168"/>
        <v/>
      </c>
      <c r="R1352" s="348" t="str">
        <f t="shared" si="169"/>
        <v/>
      </c>
      <c r="S1352" s="348" t="str">
        <f t="shared" si="170"/>
        <v/>
      </c>
      <c r="T1352" s="348" t="str">
        <f t="shared" si="171"/>
        <v/>
      </c>
      <c r="U1352" s="348" t="str">
        <f t="shared" si="172"/>
        <v/>
      </c>
      <c r="V1352" s="348" t="str">
        <f t="shared" si="173"/>
        <v/>
      </c>
      <c r="W1352" s="348" t="str">
        <f t="shared" si="174"/>
        <v/>
      </c>
      <c r="X1352" s="348" t="str">
        <f t="shared" si="175"/>
        <v/>
      </c>
    </row>
    <row r="1353" spans="1:24" x14ac:dyDescent="0.2">
      <c r="A1353" s="407">
        <v>1345</v>
      </c>
      <c r="B1353" s="438"/>
      <c r="C1353" s="438"/>
      <c r="D1353" s="437"/>
      <c r="E1353" s="438"/>
      <c r="F1353" s="438"/>
      <c r="G1353" s="438"/>
      <c r="H1353" s="438"/>
      <c r="I1353" s="438"/>
      <c r="J1353" s="11"/>
      <c r="Q1353" s="348" t="str">
        <f t="shared" si="168"/>
        <v/>
      </c>
      <c r="R1353" s="348" t="str">
        <f t="shared" si="169"/>
        <v/>
      </c>
      <c r="S1353" s="348" t="str">
        <f t="shared" si="170"/>
        <v/>
      </c>
      <c r="T1353" s="348" t="str">
        <f t="shared" si="171"/>
        <v/>
      </c>
      <c r="U1353" s="348" t="str">
        <f t="shared" si="172"/>
        <v/>
      </c>
      <c r="V1353" s="348" t="str">
        <f t="shared" si="173"/>
        <v/>
      </c>
      <c r="W1353" s="348" t="str">
        <f t="shared" si="174"/>
        <v/>
      </c>
      <c r="X1353" s="348" t="str">
        <f t="shared" si="175"/>
        <v/>
      </c>
    </row>
    <row r="1354" spans="1:24" x14ac:dyDescent="0.2">
      <c r="A1354" s="407">
        <v>1346</v>
      </c>
      <c r="B1354" s="438"/>
      <c r="C1354" s="438"/>
      <c r="D1354" s="438"/>
      <c r="E1354" s="438"/>
      <c r="F1354" s="438"/>
      <c r="G1354" s="438"/>
      <c r="H1354" s="438"/>
      <c r="I1354" s="438"/>
      <c r="J1354" s="11"/>
      <c r="Q1354" s="348" t="str">
        <f t="shared" ref="Q1354:Q1417" si="176">IFERROR(B1354^4*$AB$9+B1354^3*$AC$9+B1354^2*$AD$9+B1354^1*$AE$9+B1354^0*$AF$9,"")</f>
        <v/>
      </c>
      <c r="R1354" s="348" t="str">
        <f t="shared" ref="R1354:R1417" si="177">IFERROR(C1354^4*$AB$10+C1354^3*$AC$10+C1354^2*$AD$10+C1354^1*$AE$10+C1354^0*$AF$10,"")</f>
        <v/>
      </c>
      <c r="S1354" s="348" t="str">
        <f t="shared" ref="S1354:S1417" si="178">IFERROR(D1354^4*$AB$11+D1354^3*$AC$11+D1354^2*$AD$11+D1354^1*$AE$11+D1354^0*$AF$11,"")</f>
        <v/>
      </c>
      <c r="T1354" s="348" t="str">
        <f t="shared" ref="T1354:T1417" si="179">IFERROR(E1354^4*$AB$12+E1354^3*$AC$12+E1354^2*$AD$12+E1354^1*$AE$12+E1354^0*$AF$12,"")</f>
        <v/>
      </c>
      <c r="U1354" s="348" t="str">
        <f t="shared" ref="U1354:U1417" si="180">IFERROR(F1354^4*$AB$13+F1354^3*$AC$13+F1354^2*$AD$13+F1354^1*$AE$13+F1354^0*$AF$13,"")</f>
        <v/>
      </c>
      <c r="V1354" s="348" t="str">
        <f t="shared" ref="V1354:V1417" si="181">IFERROR(G1354^4*$AB$14+G1354^3*$AC$14+G1354^2*$AD$14+G1354^1*$AE$14+G1354^0*$AF$14,"")</f>
        <v/>
      </c>
      <c r="W1354" s="348" t="str">
        <f t="shared" ref="W1354:W1417" si="182">IFERROR(H1354^4*$AB$15+H1354^3*$AC$15+H1354^2*$AD$15+H1354^1*$AE$15+H1354^0*$AF$15,"")</f>
        <v/>
      </c>
      <c r="X1354" s="348" t="str">
        <f t="shared" ref="X1354:X1417" si="183">IFERROR(I1354^4*$AB$16+I1354^3*$AC$16+I1354^2*$AD$16+I1354^1*$AE$16+I1354^0*$AF$16,"")</f>
        <v/>
      </c>
    </row>
    <row r="1355" spans="1:24" x14ac:dyDescent="0.2">
      <c r="A1355" s="407">
        <v>1347</v>
      </c>
      <c r="B1355" s="438"/>
      <c r="C1355" s="438"/>
      <c r="D1355" s="438"/>
      <c r="E1355" s="438"/>
      <c r="F1355" s="438"/>
      <c r="G1355" s="438"/>
      <c r="H1355" s="438"/>
      <c r="I1355" s="438"/>
      <c r="J1355" s="11"/>
      <c r="Q1355" s="348" t="str">
        <f t="shared" si="176"/>
        <v/>
      </c>
      <c r="R1355" s="348" t="str">
        <f t="shared" si="177"/>
        <v/>
      </c>
      <c r="S1355" s="348" t="str">
        <f t="shared" si="178"/>
        <v/>
      </c>
      <c r="T1355" s="348" t="str">
        <f t="shared" si="179"/>
        <v/>
      </c>
      <c r="U1355" s="348" t="str">
        <f t="shared" si="180"/>
        <v/>
      </c>
      <c r="V1355" s="348" t="str">
        <f t="shared" si="181"/>
        <v/>
      </c>
      <c r="W1355" s="348" t="str">
        <f t="shared" si="182"/>
        <v/>
      </c>
      <c r="X1355" s="348" t="str">
        <f t="shared" si="183"/>
        <v/>
      </c>
    </row>
    <row r="1356" spans="1:24" x14ac:dyDescent="0.2">
      <c r="A1356" s="407">
        <v>1348</v>
      </c>
      <c r="B1356" s="438"/>
      <c r="C1356" s="438"/>
      <c r="D1356" s="438"/>
      <c r="E1356" s="438"/>
      <c r="F1356" s="438"/>
      <c r="G1356" s="438"/>
      <c r="H1356" s="438"/>
      <c r="I1356" s="438"/>
      <c r="J1356" s="11"/>
      <c r="Q1356" s="348" t="str">
        <f t="shared" si="176"/>
        <v/>
      </c>
      <c r="R1356" s="348" t="str">
        <f t="shared" si="177"/>
        <v/>
      </c>
      <c r="S1356" s="348" t="str">
        <f t="shared" si="178"/>
        <v/>
      </c>
      <c r="T1356" s="348" t="str">
        <f t="shared" si="179"/>
        <v/>
      </c>
      <c r="U1356" s="348" t="str">
        <f t="shared" si="180"/>
        <v/>
      </c>
      <c r="V1356" s="348" t="str">
        <f t="shared" si="181"/>
        <v/>
      </c>
      <c r="W1356" s="348" t="str">
        <f t="shared" si="182"/>
        <v/>
      </c>
      <c r="X1356" s="348" t="str">
        <f t="shared" si="183"/>
        <v/>
      </c>
    </row>
    <row r="1357" spans="1:24" x14ac:dyDescent="0.2">
      <c r="A1357" s="407">
        <v>1349</v>
      </c>
      <c r="B1357" s="438"/>
      <c r="C1357" s="438"/>
      <c r="D1357" s="438"/>
      <c r="E1357" s="438"/>
      <c r="F1357" s="438"/>
      <c r="G1357" s="438"/>
      <c r="H1357" s="438"/>
      <c r="I1357" s="438"/>
      <c r="J1357" s="11"/>
      <c r="Q1357" s="348" t="str">
        <f t="shared" si="176"/>
        <v/>
      </c>
      <c r="R1357" s="348" t="str">
        <f t="shared" si="177"/>
        <v/>
      </c>
      <c r="S1357" s="348" t="str">
        <f t="shared" si="178"/>
        <v/>
      </c>
      <c r="T1357" s="348" t="str">
        <f t="shared" si="179"/>
        <v/>
      </c>
      <c r="U1357" s="348" t="str">
        <f t="shared" si="180"/>
        <v/>
      </c>
      <c r="V1357" s="348" t="str">
        <f t="shared" si="181"/>
        <v/>
      </c>
      <c r="W1357" s="348" t="str">
        <f t="shared" si="182"/>
        <v/>
      </c>
      <c r="X1357" s="348" t="str">
        <f t="shared" si="183"/>
        <v/>
      </c>
    </row>
    <row r="1358" spans="1:24" x14ac:dyDescent="0.2">
      <c r="A1358" s="407">
        <v>1350</v>
      </c>
      <c r="B1358" s="438"/>
      <c r="C1358" s="437"/>
      <c r="D1358" s="438"/>
      <c r="E1358" s="438"/>
      <c r="F1358" s="438"/>
      <c r="G1358" s="438"/>
      <c r="H1358" s="438"/>
      <c r="I1358" s="437"/>
      <c r="J1358" s="11"/>
      <c r="Q1358" s="348" t="str">
        <f t="shared" si="176"/>
        <v/>
      </c>
      <c r="R1358" s="348" t="str">
        <f t="shared" si="177"/>
        <v/>
      </c>
      <c r="S1358" s="348" t="str">
        <f t="shared" si="178"/>
        <v/>
      </c>
      <c r="T1358" s="348" t="str">
        <f t="shared" si="179"/>
        <v/>
      </c>
      <c r="U1358" s="348" t="str">
        <f t="shared" si="180"/>
        <v/>
      </c>
      <c r="V1358" s="348" t="str">
        <f t="shared" si="181"/>
        <v/>
      </c>
      <c r="W1358" s="348" t="str">
        <f t="shared" si="182"/>
        <v/>
      </c>
      <c r="X1358" s="348" t="str">
        <f t="shared" si="183"/>
        <v/>
      </c>
    </row>
    <row r="1359" spans="1:24" x14ac:dyDescent="0.2">
      <c r="A1359" s="407">
        <v>1351</v>
      </c>
      <c r="B1359" s="437"/>
      <c r="C1359" s="438"/>
      <c r="D1359" s="438"/>
      <c r="E1359" s="437"/>
      <c r="F1359" s="438"/>
      <c r="G1359" s="438"/>
      <c r="H1359" s="438"/>
      <c r="I1359" s="438"/>
      <c r="J1359" s="11"/>
      <c r="Q1359" s="348" t="str">
        <f t="shared" si="176"/>
        <v/>
      </c>
      <c r="R1359" s="348" t="str">
        <f t="shared" si="177"/>
        <v/>
      </c>
      <c r="S1359" s="348" t="str">
        <f t="shared" si="178"/>
        <v/>
      </c>
      <c r="T1359" s="348" t="str">
        <f t="shared" si="179"/>
        <v/>
      </c>
      <c r="U1359" s="348" t="str">
        <f t="shared" si="180"/>
        <v/>
      </c>
      <c r="V1359" s="348" t="str">
        <f t="shared" si="181"/>
        <v/>
      </c>
      <c r="W1359" s="348" t="str">
        <f t="shared" si="182"/>
        <v/>
      </c>
      <c r="X1359" s="348" t="str">
        <f t="shared" si="183"/>
        <v/>
      </c>
    </row>
    <row r="1360" spans="1:24" x14ac:dyDescent="0.2">
      <c r="A1360" s="407">
        <v>1352</v>
      </c>
      <c r="B1360" s="438"/>
      <c r="C1360" s="438"/>
      <c r="D1360" s="438"/>
      <c r="E1360" s="438"/>
      <c r="F1360" s="438"/>
      <c r="G1360" s="438"/>
      <c r="H1360" s="438"/>
      <c r="I1360" s="438"/>
      <c r="J1360" s="11"/>
      <c r="Q1360" s="348" t="str">
        <f t="shared" si="176"/>
        <v/>
      </c>
      <c r="R1360" s="348" t="str">
        <f t="shared" si="177"/>
        <v/>
      </c>
      <c r="S1360" s="348" t="str">
        <f t="shared" si="178"/>
        <v/>
      </c>
      <c r="T1360" s="348" t="str">
        <f t="shared" si="179"/>
        <v/>
      </c>
      <c r="U1360" s="348" t="str">
        <f t="shared" si="180"/>
        <v/>
      </c>
      <c r="V1360" s="348" t="str">
        <f t="shared" si="181"/>
        <v/>
      </c>
      <c r="W1360" s="348" t="str">
        <f t="shared" si="182"/>
        <v/>
      </c>
      <c r="X1360" s="348" t="str">
        <f t="shared" si="183"/>
        <v/>
      </c>
    </row>
    <row r="1361" spans="1:24" x14ac:dyDescent="0.2">
      <c r="A1361" s="407">
        <v>1353</v>
      </c>
      <c r="B1361" s="438"/>
      <c r="C1361" s="438"/>
      <c r="D1361" s="438"/>
      <c r="E1361" s="438"/>
      <c r="F1361" s="438"/>
      <c r="G1361" s="438"/>
      <c r="H1361" s="438"/>
      <c r="I1361" s="438"/>
      <c r="J1361" s="11"/>
      <c r="Q1361" s="348" t="str">
        <f t="shared" si="176"/>
        <v/>
      </c>
      <c r="R1361" s="348" t="str">
        <f t="shared" si="177"/>
        <v/>
      </c>
      <c r="S1361" s="348" t="str">
        <f t="shared" si="178"/>
        <v/>
      </c>
      <c r="T1361" s="348" t="str">
        <f t="shared" si="179"/>
        <v/>
      </c>
      <c r="U1361" s="348" t="str">
        <f t="shared" si="180"/>
        <v/>
      </c>
      <c r="V1361" s="348" t="str">
        <f t="shared" si="181"/>
        <v/>
      </c>
      <c r="W1361" s="348" t="str">
        <f t="shared" si="182"/>
        <v/>
      </c>
      <c r="X1361" s="348" t="str">
        <f t="shared" si="183"/>
        <v/>
      </c>
    </row>
    <row r="1362" spans="1:24" x14ac:dyDescent="0.2">
      <c r="A1362" s="407">
        <v>1354</v>
      </c>
      <c r="B1362" s="438"/>
      <c r="C1362" s="438"/>
      <c r="D1362" s="438"/>
      <c r="E1362" s="438"/>
      <c r="F1362" s="438"/>
      <c r="G1362" s="438"/>
      <c r="H1362" s="438"/>
      <c r="I1362" s="438"/>
      <c r="J1362" s="11"/>
      <c r="Q1362" s="348" t="str">
        <f t="shared" si="176"/>
        <v/>
      </c>
      <c r="R1362" s="348" t="str">
        <f t="shared" si="177"/>
        <v/>
      </c>
      <c r="S1362" s="348" t="str">
        <f t="shared" si="178"/>
        <v/>
      </c>
      <c r="T1362" s="348" t="str">
        <f t="shared" si="179"/>
        <v/>
      </c>
      <c r="U1362" s="348" t="str">
        <f t="shared" si="180"/>
        <v/>
      </c>
      <c r="V1362" s="348" t="str">
        <f t="shared" si="181"/>
        <v/>
      </c>
      <c r="W1362" s="348" t="str">
        <f t="shared" si="182"/>
        <v/>
      </c>
      <c r="X1362" s="348" t="str">
        <f t="shared" si="183"/>
        <v/>
      </c>
    </row>
    <row r="1363" spans="1:24" x14ac:dyDescent="0.2">
      <c r="A1363" s="407">
        <v>1355</v>
      </c>
      <c r="B1363" s="438"/>
      <c r="C1363" s="438"/>
      <c r="D1363" s="438"/>
      <c r="E1363" s="438"/>
      <c r="F1363" s="438"/>
      <c r="G1363" s="438"/>
      <c r="H1363" s="438"/>
      <c r="I1363" s="438"/>
      <c r="J1363" s="11"/>
      <c r="Q1363" s="348" t="str">
        <f t="shared" si="176"/>
        <v/>
      </c>
      <c r="R1363" s="348" t="str">
        <f t="shared" si="177"/>
        <v/>
      </c>
      <c r="S1363" s="348" t="str">
        <f t="shared" si="178"/>
        <v/>
      </c>
      <c r="T1363" s="348" t="str">
        <f t="shared" si="179"/>
        <v/>
      </c>
      <c r="U1363" s="348" t="str">
        <f t="shared" si="180"/>
        <v/>
      </c>
      <c r="V1363" s="348" t="str">
        <f t="shared" si="181"/>
        <v/>
      </c>
      <c r="W1363" s="348" t="str">
        <f t="shared" si="182"/>
        <v/>
      </c>
      <c r="X1363" s="348" t="str">
        <f t="shared" si="183"/>
        <v/>
      </c>
    </row>
    <row r="1364" spans="1:24" x14ac:dyDescent="0.2">
      <c r="A1364" s="407">
        <v>1356</v>
      </c>
      <c r="B1364" s="438"/>
      <c r="C1364" s="438"/>
      <c r="D1364" s="438"/>
      <c r="E1364" s="438"/>
      <c r="F1364" s="438"/>
      <c r="G1364" s="438"/>
      <c r="H1364" s="438"/>
      <c r="I1364" s="438"/>
      <c r="J1364" s="11"/>
      <c r="Q1364" s="348" t="str">
        <f t="shared" si="176"/>
        <v/>
      </c>
      <c r="R1364" s="348" t="str">
        <f t="shared" si="177"/>
        <v/>
      </c>
      <c r="S1364" s="348" t="str">
        <f t="shared" si="178"/>
        <v/>
      </c>
      <c r="T1364" s="348" t="str">
        <f t="shared" si="179"/>
        <v/>
      </c>
      <c r="U1364" s="348" t="str">
        <f t="shared" si="180"/>
        <v/>
      </c>
      <c r="V1364" s="348" t="str">
        <f t="shared" si="181"/>
        <v/>
      </c>
      <c r="W1364" s="348" t="str">
        <f t="shared" si="182"/>
        <v/>
      </c>
      <c r="X1364" s="348" t="str">
        <f t="shared" si="183"/>
        <v/>
      </c>
    </row>
    <row r="1365" spans="1:24" x14ac:dyDescent="0.2">
      <c r="A1365" s="407">
        <v>1357</v>
      </c>
      <c r="B1365" s="438"/>
      <c r="C1365" s="438"/>
      <c r="D1365" s="438"/>
      <c r="E1365" s="438"/>
      <c r="F1365" s="438"/>
      <c r="G1365" s="438"/>
      <c r="H1365" s="438"/>
      <c r="I1365" s="438"/>
      <c r="J1365" s="11"/>
      <c r="Q1365" s="348" t="str">
        <f t="shared" si="176"/>
        <v/>
      </c>
      <c r="R1365" s="348" t="str">
        <f t="shared" si="177"/>
        <v/>
      </c>
      <c r="S1365" s="348" t="str">
        <f t="shared" si="178"/>
        <v/>
      </c>
      <c r="T1365" s="348" t="str">
        <f t="shared" si="179"/>
        <v/>
      </c>
      <c r="U1365" s="348" t="str">
        <f t="shared" si="180"/>
        <v/>
      </c>
      <c r="V1365" s="348" t="str">
        <f t="shared" si="181"/>
        <v/>
      </c>
      <c r="W1365" s="348" t="str">
        <f t="shared" si="182"/>
        <v/>
      </c>
      <c r="X1365" s="348" t="str">
        <f t="shared" si="183"/>
        <v/>
      </c>
    </row>
    <row r="1366" spans="1:24" x14ac:dyDescent="0.2">
      <c r="A1366" s="407">
        <v>1358</v>
      </c>
      <c r="B1366" s="438"/>
      <c r="C1366" s="438"/>
      <c r="D1366" s="438"/>
      <c r="E1366" s="438"/>
      <c r="F1366" s="438"/>
      <c r="G1366" s="438"/>
      <c r="H1366" s="438"/>
      <c r="I1366" s="438"/>
      <c r="J1366" s="11"/>
      <c r="Q1366" s="348" t="str">
        <f t="shared" si="176"/>
        <v/>
      </c>
      <c r="R1366" s="348" t="str">
        <f t="shared" si="177"/>
        <v/>
      </c>
      <c r="S1366" s="348" t="str">
        <f t="shared" si="178"/>
        <v/>
      </c>
      <c r="T1366" s="348" t="str">
        <f t="shared" si="179"/>
        <v/>
      </c>
      <c r="U1366" s="348" t="str">
        <f t="shared" si="180"/>
        <v/>
      </c>
      <c r="V1366" s="348" t="str">
        <f t="shared" si="181"/>
        <v/>
      </c>
      <c r="W1366" s="348" t="str">
        <f t="shared" si="182"/>
        <v/>
      </c>
      <c r="X1366" s="348" t="str">
        <f t="shared" si="183"/>
        <v/>
      </c>
    </row>
    <row r="1367" spans="1:24" x14ac:dyDescent="0.2">
      <c r="A1367" s="407">
        <v>1359</v>
      </c>
      <c r="B1367" s="438"/>
      <c r="C1367" s="438"/>
      <c r="D1367" s="438"/>
      <c r="E1367" s="438"/>
      <c r="F1367" s="438"/>
      <c r="G1367" s="438"/>
      <c r="H1367" s="438"/>
      <c r="I1367" s="438"/>
      <c r="J1367" s="11"/>
      <c r="Q1367" s="348" t="str">
        <f t="shared" si="176"/>
        <v/>
      </c>
      <c r="R1367" s="348" t="str">
        <f t="shared" si="177"/>
        <v/>
      </c>
      <c r="S1367" s="348" t="str">
        <f t="shared" si="178"/>
        <v/>
      </c>
      <c r="T1367" s="348" t="str">
        <f t="shared" si="179"/>
        <v/>
      </c>
      <c r="U1367" s="348" t="str">
        <f t="shared" si="180"/>
        <v/>
      </c>
      <c r="V1367" s="348" t="str">
        <f t="shared" si="181"/>
        <v/>
      </c>
      <c r="W1367" s="348" t="str">
        <f t="shared" si="182"/>
        <v/>
      </c>
      <c r="X1367" s="348" t="str">
        <f t="shared" si="183"/>
        <v/>
      </c>
    </row>
    <row r="1368" spans="1:24" x14ac:dyDescent="0.2">
      <c r="A1368" s="407">
        <v>1360</v>
      </c>
      <c r="B1368" s="438"/>
      <c r="C1368" s="438"/>
      <c r="D1368" s="438"/>
      <c r="E1368" s="438"/>
      <c r="F1368" s="438"/>
      <c r="G1368" s="438"/>
      <c r="H1368" s="438"/>
      <c r="I1368" s="438"/>
      <c r="J1368" s="11"/>
      <c r="Q1368" s="348" t="str">
        <f t="shared" si="176"/>
        <v/>
      </c>
      <c r="R1368" s="348" t="str">
        <f t="shared" si="177"/>
        <v/>
      </c>
      <c r="S1368" s="348" t="str">
        <f t="shared" si="178"/>
        <v/>
      </c>
      <c r="T1368" s="348" t="str">
        <f t="shared" si="179"/>
        <v/>
      </c>
      <c r="U1368" s="348" t="str">
        <f t="shared" si="180"/>
        <v/>
      </c>
      <c r="V1368" s="348" t="str">
        <f t="shared" si="181"/>
        <v/>
      </c>
      <c r="W1368" s="348" t="str">
        <f t="shared" si="182"/>
        <v/>
      </c>
      <c r="X1368" s="348" t="str">
        <f t="shared" si="183"/>
        <v/>
      </c>
    </row>
    <row r="1369" spans="1:24" x14ac:dyDescent="0.2">
      <c r="A1369" s="407">
        <v>1361</v>
      </c>
      <c r="B1369" s="437"/>
      <c r="C1369" s="438"/>
      <c r="D1369" s="438"/>
      <c r="E1369" s="438"/>
      <c r="F1369" s="438"/>
      <c r="G1369" s="438"/>
      <c r="H1369" s="438"/>
      <c r="I1369" s="438"/>
      <c r="J1369" s="11"/>
      <c r="Q1369" s="348" t="str">
        <f t="shared" si="176"/>
        <v/>
      </c>
      <c r="R1369" s="348" t="str">
        <f t="shared" si="177"/>
        <v/>
      </c>
      <c r="S1369" s="348" t="str">
        <f t="shared" si="178"/>
        <v/>
      </c>
      <c r="T1369" s="348" t="str">
        <f t="shared" si="179"/>
        <v/>
      </c>
      <c r="U1369" s="348" t="str">
        <f t="shared" si="180"/>
        <v/>
      </c>
      <c r="V1369" s="348" t="str">
        <f t="shared" si="181"/>
        <v/>
      </c>
      <c r="W1369" s="348" t="str">
        <f t="shared" si="182"/>
        <v/>
      </c>
      <c r="X1369" s="348" t="str">
        <f t="shared" si="183"/>
        <v/>
      </c>
    </row>
    <row r="1370" spans="1:24" x14ac:dyDescent="0.2">
      <c r="A1370" s="407">
        <v>1362</v>
      </c>
      <c r="B1370" s="438"/>
      <c r="C1370" s="438"/>
      <c r="D1370" s="438"/>
      <c r="E1370" s="438"/>
      <c r="F1370" s="438"/>
      <c r="G1370" s="437"/>
      <c r="H1370" s="438"/>
      <c r="I1370" s="438"/>
      <c r="J1370" s="11"/>
      <c r="Q1370" s="348" t="str">
        <f t="shared" si="176"/>
        <v/>
      </c>
      <c r="R1370" s="348" t="str">
        <f t="shared" si="177"/>
        <v/>
      </c>
      <c r="S1370" s="348" t="str">
        <f t="shared" si="178"/>
        <v/>
      </c>
      <c r="T1370" s="348" t="str">
        <f t="shared" si="179"/>
        <v/>
      </c>
      <c r="U1370" s="348" t="str">
        <f t="shared" si="180"/>
        <v/>
      </c>
      <c r="V1370" s="348" t="str">
        <f t="shared" si="181"/>
        <v/>
      </c>
      <c r="W1370" s="348" t="str">
        <f t="shared" si="182"/>
        <v/>
      </c>
      <c r="X1370" s="348" t="str">
        <f t="shared" si="183"/>
        <v/>
      </c>
    </row>
    <row r="1371" spans="1:24" x14ac:dyDescent="0.2">
      <c r="A1371" s="407">
        <v>1363</v>
      </c>
      <c r="B1371" s="438"/>
      <c r="C1371" s="438"/>
      <c r="D1371" s="438"/>
      <c r="E1371" s="438"/>
      <c r="F1371" s="438"/>
      <c r="G1371" s="438"/>
      <c r="H1371" s="438"/>
      <c r="I1371" s="438"/>
      <c r="J1371" s="11"/>
      <c r="Q1371" s="348" t="str">
        <f t="shared" si="176"/>
        <v/>
      </c>
      <c r="R1371" s="348" t="str">
        <f t="shared" si="177"/>
        <v/>
      </c>
      <c r="S1371" s="348" t="str">
        <f t="shared" si="178"/>
        <v/>
      </c>
      <c r="T1371" s="348" t="str">
        <f t="shared" si="179"/>
        <v/>
      </c>
      <c r="U1371" s="348" t="str">
        <f t="shared" si="180"/>
        <v/>
      </c>
      <c r="V1371" s="348" t="str">
        <f t="shared" si="181"/>
        <v/>
      </c>
      <c r="W1371" s="348" t="str">
        <f t="shared" si="182"/>
        <v/>
      </c>
      <c r="X1371" s="348" t="str">
        <f t="shared" si="183"/>
        <v/>
      </c>
    </row>
    <row r="1372" spans="1:24" x14ac:dyDescent="0.2">
      <c r="A1372" s="407">
        <v>1364</v>
      </c>
      <c r="B1372" s="438"/>
      <c r="C1372" s="437"/>
      <c r="D1372" s="438"/>
      <c r="E1372" s="438"/>
      <c r="F1372" s="437"/>
      <c r="G1372" s="438"/>
      <c r="H1372" s="437"/>
      <c r="I1372" s="438"/>
      <c r="J1372" s="11"/>
      <c r="Q1372" s="348" t="str">
        <f t="shared" si="176"/>
        <v/>
      </c>
      <c r="R1372" s="348" t="str">
        <f t="shared" si="177"/>
        <v/>
      </c>
      <c r="S1372" s="348" t="str">
        <f t="shared" si="178"/>
        <v/>
      </c>
      <c r="T1372" s="348" t="str">
        <f t="shared" si="179"/>
        <v/>
      </c>
      <c r="U1372" s="348" t="str">
        <f t="shared" si="180"/>
        <v/>
      </c>
      <c r="V1372" s="348" t="str">
        <f t="shared" si="181"/>
        <v/>
      </c>
      <c r="W1372" s="348" t="str">
        <f t="shared" si="182"/>
        <v/>
      </c>
      <c r="X1372" s="348" t="str">
        <f t="shared" si="183"/>
        <v/>
      </c>
    </row>
    <row r="1373" spans="1:24" x14ac:dyDescent="0.2">
      <c r="A1373" s="407">
        <v>1365</v>
      </c>
      <c r="B1373" s="438"/>
      <c r="C1373" s="438"/>
      <c r="D1373" s="438"/>
      <c r="E1373" s="438"/>
      <c r="F1373" s="438"/>
      <c r="G1373" s="438"/>
      <c r="H1373" s="438"/>
      <c r="I1373" s="438"/>
      <c r="J1373" s="11"/>
      <c r="Q1373" s="348" t="str">
        <f t="shared" si="176"/>
        <v/>
      </c>
      <c r="R1373" s="348" t="str">
        <f t="shared" si="177"/>
        <v/>
      </c>
      <c r="S1373" s="348" t="str">
        <f t="shared" si="178"/>
        <v/>
      </c>
      <c r="T1373" s="348" t="str">
        <f t="shared" si="179"/>
        <v/>
      </c>
      <c r="U1373" s="348" t="str">
        <f t="shared" si="180"/>
        <v/>
      </c>
      <c r="V1373" s="348" t="str">
        <f t="shared" si="181"/>
        <v/>
      </c>
      <c r="W1373" s="348" t="str">
        <f t="shared" si="182"/>
        <v/>
      </c>
      <c r="X1373" s="348" t="str">
        <f t="shared" si="183"/>
        <v/>
      </c>
    </row>
    <row r="1374" spans="1:24" x14ac:dyDescent="0.2">
      <c r="A1374" s="407">
        <v>1366</v>
      </c>
      <c r="B1374" s="438"/>
      <c r="C1374" s="438"/>
      <c r="D1374" s="438"/>
      <c r="E1374" s="438"/>
      <c r="F1374" s="438"/>
      <c r="G1374" s="438"/>
      <c r="H1374" s="438"/>
      <c r="I1374" s="438"/>
      <c r="J1374" s="11"/>
      <c r="Q1374" s="348" t="str">
        <f t="shared" si="176"/>
        <v/>
      </c>
      <c r="R1374" s="348" t="str">
        <f t="shared" si="177"/>
        <v/>
      </c>
      <c r="S1374" s="348" t="str">
        <f t="shared" si="178"/>
        <v/>
      </c>
      <c r="T1374" s="348" t="str">
        <f t="shared" si="179"/>
        <v/>
      </c>
      <c r="U1374" s="348" t="str">
        <f t="shared" si="180"/>
        <v/>
      </c>
      <c r="V1374" s="348" t="str">
        <f t="shared" si="181"/>
        <v/>
      </c>
      <c r="W1374" s="348" t="str">
        <f t="shared" si="182"/>
        <v/>
      </c>
      <c r="X1374" s="348" t="str">
        <f t="shared" si="183"/>
        <v/>
      </c>
    </row>
    <row r="1375" spans="1:24" x14ac:dyDescent="0.2">
      <c r="A1375" s="407">
        <v>1367</v>
      </c>
      <c r="B1375" s="438"/>
      <c r="C1375" s="438"/>
      <c r="D1375" s="438"/>
      <c r="E1375" s="438"/>
      <c r="F1375" s="438"/>
      <c r="G1375" s="438"/>
      <c r="H1375" s="438"/>
      <c r="I1375" s="438"/>
      <c r="J1375" s="11"/>
      <c r="Q1375" s="348" t="str">
        <f t="shared" si="176"/>
        <v/>
      </c>
      <c r="R1375" s="348" t="str">
        <f t="shared" si="177"/>
        <v/>
      </c>
      <c r="S1375" s="348" t="str">
        <f t="shared" si="178"/>
        <v/>
      </c>
      <c r="T1375" s="348" t="str">
        <f t="shared" si="179"/>
        <v/>
      </c>
      <c r="U1375" s="348" t="str">
        <f t="shared" si="180"/>
        <v/>
      </c>
      <c r="V1375" s="348" t="str">
        <f t="shared" si="181"/>
        <v/>
      </c>
      <c r="W1375" s="348" t="str">
        <f t="shared" si="182"/>
        <v/>
      </c>
      <c r="X1375" s="348" t="str">
        <f t="shared" si="183"/>
        <v/>
      </c>
    </row>
    <row r="1376" spans="1:24" x14ac:dyDescent="0.2">
      <c r="A1376" s="407">
        <v>1368</v>
      </c>
      <c r="B1376" s="438"/>
      <c r="C1376" s="438"/>
      <c r="D1376" s="438"/>
      <c r="E1376" s="438"/>
      <c r="F1376" s="438"/>
      <c r="G1376" s="438"/>
      <c r="H1376" s="438"/>
      <c r="I1376" s="438"/>
      <c r="J1376" s="11"/>
      <c r="Q1376" s="348" t="str">
        <f t="shared" si="176"/>
        <v/>
      </c>
      <c r="R1376" s="348" t="str">
        <f t="shared" si="177"/>
        <v/>
      </c>
      <c r="S1376" s="348" t="str">
        <f t="shared" si="178"/>
        <v/>
      </c>
      <c r="T1376" s="348" t="str">
        <f t="shared" si="179"/>
        <v/>
      </c>
      <c r="U1376" s="348" t="str">
        <f t="shared" si="180"/>
        <v/>
      </c>
      <c r="V1376" s="348" t="str">
        <f t="shared" si="181"/>
        <v/>
      </c>
      <c r="W1376" s="348" t="str">
        <f t="shared" si="182"/>
        <v/>
      </c>
      <c r="X1376" s="348" t="str">
        <f t="shared" si="183"/>
        <v/>
      </c>
    </row>
    <row r="1377" spans="1:24" x14ac:dyDescent="0.2">
      <c r="A1377" s="407">
        <v>1369</v>
      </c>
      <c r="B1377" s="438"/>
      <c r="C1377" s="438"/>
      <c r="D1377" s="438"/>
      <c r="E1377" s="437"/>
      <c r="F1377" s="438"/>
      <c r="G1377" s="438"/>
      <c r="H1377" s="438"/>
      <c r="I1377" s="438"/>
      <c r="J1377" s="11"/>
      <c r="Q1377" s="348" t="str">
        <f t="shared" si="176"/>
        <v/>
      </c>
      <c r="R1377" s="348" t="str">
        <f t="shared" si="177"/>
        <v/>
      </c>
      <c r="S1377" s="348" t="str">
        <f t="shared" si="178"/>
        <v/>
      </c>
      <c r="T1377" s="348" t="str">
        <f t="shared" si="179"/>
        <v/>
      </c>
      <c r="U1377" s="348" t="str">
        <f t="shared" si="180"/>
        <v/>
      </c>
      <c r="V1377" s="348" t="str">
        <f t="shared" si="181"/>
        <v/>
      </c>
      <c r="W1377" s="348" t="str">
        <f t="shared" si="182"/>
        <v/>
      </c>
      <c r="X1377" s="348" t="str">
        <f t="shared" si="183"/>
        <v/>
      </c>
    </row>
    <row r="1378" spans="1:24" x14ac:dyDescent="0.2">
      <c r="A1378" s="407">
        <v>1370</v>
      </c>
      <c r="B1378" s="438"/>
      <c r="C1378" s="438"/>
      <c r="D1378" s="438"/>
      <c r="E1378" s="438"/>
      <c r="F1378" s="438"/>
      <c r="G1378" s="438"/>
      <c r="H1378" s="438"/>
      <c r="I1378" s="438"/>
      <c r="J1378" s="11"/>
      <c r="Q1378" s="348" t="str">
        <f t="shared" si="176"/>
        <v/>
      </c>
      <c r="R1378" s="348" t="str">
        <f t="shared" si="177"/>
        <v/>
      </c>
      <c r="S1378" s="348" t="str">
        <f t="shared" si="178"/>
        <v/>
      </c>
      <c r="T1378" s="348" t="str">
        <f t="shared" si="179"/>
        <v/>
      </c>
      <c r="U1378" s="348" t="str">
        <f t="shared" si="180"/>
        <v/>
      </c>
      <c r="V1378" s="348" t="str">
        <f t="shared" si="181"/>
        <v/>
      </c>
      <c r="W1378" s="348" t="str">
        <f t="shared" si="182"/>
        <v/>
      </c>
      <c r="X1378" s="348" t="str">
        <f t="shared" si="183"/>
        <v/>
      </c>
    </row>
    <row r="1379" spans="1:24" x14ac:dyDescent="0.2">
      <c r="A1379" s="407">
        <v>1371</v>
      </c>
      <c r="B1379" s="438"/>
      <c r="C1379" s="438"/>
      <c r="D1379" s="438"/>
      <c r="E1379" s="438"/>
      <c r="F1379" s="438"/>
      <c r="G1379" s="438"/>
      <c r="H1379" s="438"/>
      <c r="I1379" s="438"/>
      <c r="J1379" s="11"/>
      <c r="Q1379" s="348" t="str">
        <f t="shared" si="176"/>
        <v/>
      </c>
      <c r="R1379" s="348" t="str">
        <f t="shared" si="177"/>
        <v/>
      </c>
      <c r="S1379" s="348" t="str">
        <f t="shared" si="178"/>
        <v/>
      </c>
      <c r="T1379" s="348" t="str">
        <f t="shared" si="179"/>
        <v/>
      </c>
      <c r="U1379" s="348" t="str">
        <f t="shared" si="180"/>
        <v/>
      </c>
      <c r="V1379" s="348" t="str">
        <f t="shared" si="181"/>
        <v/>
      </c>
      <c r="W1379" s="348" t="str">
        <f t="shared" si="182"/>
        <v/>
      </c>
      <c r="X1379" s="348" t="str">
        <f t="shared" si="183"/>
        <v/>
      </c>
    </row>
    <row r="1380" spans="1:24" x14ac:dyDescent="0.2">
      <c r="A1380" s="407">
        <v>1372</v>
      </c>
      <c r="B1380" s="438"/>
      <c r="C1380" s="438"/>
      <c r="D1380" s="438"/>
      <c r="E1380" s="438"/>
      <c r="F1380" s="438"/>
      <c r="G1380" s="438"/>
      <c r="H1380" s="438"/>
      <c r="I1380" s="438"/>
      <c r="J1380" s="11"/>
      <c r="Q1380" s="348" t="str">
        <f t="shared" si="176"/>
        <v/>
      </c>
      <c r="R1380" s="348" t="str">
        <f t="shared" si="177"/>
        <v/>
      </c>
      <c r="S1380" s="348" t="str">
        <f t="shared" si="178"/>
        <v/>
      </c>
      <c r="T1380" s="348" t="str">
        <f t="shared" si="179"/>
        <v/>
      </c>
      <c r="U1380" s="348" t="str">
        <f t="shared" si="180"/>
        <v/>
      </c>
      <c r="V1380" s="348" t="str">
        <f t="shared" si="181"/>
        <v/>
      </c>
      <c r="W1380" s="348" t="str">
        <f t="shared" si="182"/>
        <v/>
      </c>
      <c r="X1380" s="348" t="str">
        <f t="shared" si="183"/>
        <v/>
      </c>
    </row>
    <row r="1381" spans="1:24" x14ac:dyDescent="0.2">
      <c r="A1381" s="407">
        <v>1373</v>
      </c>
      <c r="B1381" s="438"/>
      <c r="C1381" s="438"/>
      <c r="D1381" s="438"/>
      <c r="E1381" s="438"/>
      <c r="F1381" s="438"/>
      <c r="G1381" s="438"/>
      <c r="H1381" s="438"/>
      <c r="I1381" s="438"/>
      <c r="J1381" s="11"/>
      <c r="Q1381" s="348" t="str">
        <f t="shared" si="176"/>
        <v/>
      </c>
      <c r="R1381" s="348" t="str">
        <f t="shared" si="177"/>
        <v/>
      </c>
      <c r="S1381" s="348" t="str">
        <f t="shared" si="178"/>
        <v/>
      </c>
      <c r="T1381" s="348" t="str">
        <f t="shared" si="179"/>
        <v/>
      </c>
      <c r="U1381" s="348" t="str">
        <f t="shared" si="180"/>
        <v/>
      </c>
      <c r="V1381" s="348" t="str">
        <f t="shared" si="181"/>
        <v/>
      </c>
      <c r="W1381" s="348" t="str">
        <f t="shared" si="182"/>
        <v/>
      </c>
      <c r="X1381" s="348" t="str">
        <f t="shared" si="183"/>
        <v/>
      </c>
    </row>
    <row r="1382" spans="1:24" x14ac:dyDescent="0.2">
      <c r="A1382" s="407">
        <v>1374</v>
      </c>
      <c r="B1382" s="438"/>
      <c r="C1382" s="438"/>
      <c r="D1382" s="438"/>
      <c r="E1382" s="438"/>
      <c r="F1382" s="438"/>
      <c r="G1382" s="438"/>
      <c r="H1382" s="438"/>
      <c r="I1382" s="438"/>
      <c r="J1382" s="11"/>
      <c r="Q1382" s="348" t="str">
        <f t="shared" si="176"/>
        <v/>
      </c>
      <c r="R1382" s="348" t="str">
        <f t="shared" si="177"/>
        <v/>
      </c>
      <c r="S1382" s="348" t="str">
        <f t="shared" si="178"/>
        <v/>
      </c>
      <c r="T1382" s="348" t="str">
        <f t="shared" si="179"/>
        <v/>
      </c>
      <c r="U1382" s="348" t="str">
        <f t="shared" si="180"/>
        <v/>
      </c>
      <c r="V1382" s="348" t="str">
        <f t="shared" si="181"/>
        <v/>
      </c>
      <c r="W1382" s="348" t="str">
        <f t="shared" si="182"/>
        <v/>
      </c>
      <c r="X1382" s="348" t="str">
        <f t="shared" si="183"/>
        <v/>
      </c>
    </row>
    <row r="1383" spans="1:24" x14ac:dyDescent="0.2">
      <c r="A1383" s="407">
        <v>1375</v>
      </c>
      <c r="B1383" s="437"/>
      <c r="C1383" s="438"/>
      <c r="D1383" s="437"/>
      <c r="E1383" s="438"/>
      <c r="F1383" s="438"/>
      <c r="G1383" s="438"/>
      <c r="H1383" s="438"/>
      <c r="I1383" s="438"/>
      <c r="J1383" s="11"/>
      <c r="Q1383" s="348" t="str">
        <f t="shared" si="176"/>
        <v/>
      </c>
      <c r="R1383" s="348" t="str">
        <f t="shared" si="177"/>
        <v/>
      </c>
      <c r="S1383" s="348" t="str">
        <f t="shared" si="178"/>
        <v/>
      </c>
      <c r="T1383" s="348" t="str">
        <f t="shared" si="179"/>
        <v/>
      </c>
      <c r="U1383" s="348" t="str">
        <f t="shared" si="180"/>
        <v/>
      </c>
      <c r="V1383" s="348" t="str">
        <f t="shared" si="181"/>
        <v/>
      </c>
      <c r="W1383" s="348" t="str">
        <f t="shared" si="182"/>
        <v/>
      </c>
      <c r="X1383" s="348" t="str">
        <f t="shared" si="183"/>
        <v/>
      </c>
    </row>
    <row r="1384" spans="1:24" x14ac:dyDescent="0.2">
      <c r="A1384" s="407">
        <v>1376</v>
      </c>
      <c r="B1384" s="438"/>
      <c r="C1384" s="438"/>
      <c r="D1384" s="438"/>
      <c r="E1384" s="438"/>
      <c r="F1384" s="438"/>
      <c r="G1384" s="438"/>
      <c r="H1384" s="438"/>
      <c r="I1384" s="438"/>
      <c r="J1384" s="11"/>
      <c r="Q1384" s="348" t="str">
        <f t="shared" si="176"/>
        <v/>
      </c>
      <c r="R1384" s="348" t="str">
        <f t="shared" si="177"/>
        <v/>
      </c>
      <c r="S1384" s="348" t="str">
        <f t="shared" si="178"/>
        <v/>
      </c>
      <c r="T1384" s="348" t="str">
        <f t="shared" si="179"/>
        <v/>
      </c>
      <c r="U1384" s="348" t="str">
        <f t="shared" si="180"/>
        <v/>
      </c>
      <c r="V1384" s="348" t="str">
        <f t="shared" si="181"/>
        <v/>
      </c>
      <c r="W1384" s="348" t="str">
        <f t="shared" si="182"/>
        <v/>
      </c>
      <c r="X1384" s="348" t="str">
        <f t="shared" si="183"/>
        <v/>
      </c>
    </row>
    <row r="1385" spans="1:24" x14ac:dyDescent="0.2">
      <c r="A1385" s="407">
        <v>1377</v>
      </c>
      <c r="B1385" s="438"/>
      <c r="C1385" s="438"/>
      <c r="D1385" s="438"/>
      <c r="E1385" s="438"/>
      <c r="F1385" s="438"/>
      <c r="G1385" s="438"/>
      <c r="H1385" s="438"/>
      <c r="I1385" s="438"/>
      <c r="J1385" s="11"/>
      <c r="Q1385" s="348" t="str">
        <f t="shared" si="176"/>
        <v/>
      </c>
      <c r="R1385" s="348" t="str">
        <f t="shared" si="177"/>
        <v/>
      </c>
      <c r="S1385" s="348" t="str">
        <f t="shared" si="178"/>
        <v/>
      </c>
      <c r="T1385" s="348" t="str">
        <f t="shared" si="179"/>
        <v/>
      </c>
      <c r="U1385" s="348" t="str">
        <f t="shared" si="180"/>
        <v/>
      </c>
      <c r="V1385" s="348" t="str">
        <f t="shared" si="181"/>
        <v/>
      </c>
      <c r="W1385" s="348" t="str">
        <f t="shared" si="182"/>
        <v/>
      </c>
      <c r="X1385" s="348" t="str">
        <f t="shared" si="183"/>
        <v/>
      </c>
    </row>
    <row r="1386" spans="1:24" x14ac:dyDescent="0.2">
      <c r="A1386" s="407">
        <v>1378</v>
      </c>
      <c r="B1386" s="438"/>
      <c r="C1386" s="438"/>
      <c r="D1386" s="438"/>
      <c r="E1386" s="438"/>
      <c r="F1386" s="438"/>
      <c r="G1386" s="438"/>
      <c r="H1386" s="438"/>
      <c r="I1386" s="438"/>
      <c r="J1386" s="11"/>
      <c r="Q1386" s="348" t="str">
        <f t="shared" si="176"/>
        <v/>
      </c>
      <c r="R1386" s="348" t="str">
        <f t="shared" si="177"/>
        <v/>
      </c>
      <c r="S1386" s="348" t="str">
        <f t="shared" si="178"/>
        <v/>
      </c>
      <c r="T1386" s="348" t="str">
        <f t="shared" si="179"/>
        <v/>
      </c>
      <c r="U1386" s="348" t="str">
        <f t="shared" si="180"/>
        <v/>
      </c>
      <c r="V1386" s="348" t="str">
        <f t="shared" si="181"/>
        <v/>
      </c>
      <c r="W1386" s="348" t="str">
        <f t="shared" si="182"/>
        <v/>
      </c>
      <c r="X1386" s="348" t="str">
        <f t="shared" si="183"/>
        <v/>
      </c>
    </row>
    <row r="1387" spans="1:24" x14ac:dyDescent="0.2">
      <c r="A1387" s="407">
        <v>1379</v>
      </c>
      <c r="B1387" s="438"/>
      <c r="C1387" s="438"/>
      <c r="D1387" s="438"/>
      <c r="E1387" s="438"/>
      <c r="F1387" s="438"/>
      <c r="G1387" s="438"/>
      <c r="H1387" s="438"/>
      <c r="I1387" s="438"/>
      <c r="J1387" s="11"/>
      <c r="Q1387" s="348" t="str">
        <f t="shared" si="176"/>
        <v/>
      </c>
      <c r="R1387" s="348" t="str">
        <f t="shared" si="177"/>
        <v/>
      </c>
      <c r="S1387" s="348" t="str">
        <f t="shared" si="178"/>
        <v/>
      </c>
      <c r="T1387" s="348" t="str">
        <f t="shared" si="179"/>
        <v/>
      </c>
      <c r="U1387" s="348" t="str">
        <f t="shared" si="180"/>
        <v/>
      </c>
      <c r="V1387" s="348" t="str">
        <f t="shared" si="181"/>
        <v/>
      </c>
      <c r="W1387" s="348" t="str">
        <f t="shared" si="182"/>
        <v/>
      </c>
      <c r="X1387" s="348" t="str">
        <f t="shared" si="183"/>
        <v/>
      </c>
    </row>
    <row r="1388" spans="1:24" x14ac:dyDescent="0.2">
      <c r="A1388" s="407">
        <v>1380</v>
      </c>
      <c r="B1388" s="438"/>
      <c r="C1388" s="438"/>
      <c r="D1388" s="438"/>
      <c r="E1388" s="438"/>
      <c r="F1388" s="438"/>
      <c r="G1388" s="438"/>
      <c r="H1388" s="438"/>
      <c r="I1388" s="438"/>
      <c r="J1388" s="11"/>
      <c r="Q1388" s="348" t="str">
        <f t="shared" si="176"/>
        <v/>
      </c>
      <c r="R1388" s="348" t="str">
        <f t="shared" si="177"/>
        <v/>
      </c>
      <c r="S1388" s="348" t="str">
        <f t="shared" si="178"/>
        <v/>
      </c>
      <c r="T1388" s="348" t="str">
        <f t="shared" si="179"/>
        <v/>
      </c>
      <c r="U1388" s="348" t="str">
        <f t="shared" si="180"/>
        <v/>
      </c>
      <c r="V1388" s="348" t="str">
        <f t="shared" si="181"/>
        <v/>
      </c>
      <c r="W1388" s="348" t="str">
        <f t="shared" si="182"/>
        <v/>
      </c>
      <c r="X1388" s="348" t="str">
        <f t="shared" si="183"/>
        <v/>
      </c>
    </row>
    <row r="1389" spans="1:24" x14ac:dyDescent="0.2">
      <c r="A1389" s="407">
        <v>1381</v>
      </c>
      <c r="B1389" s="438"/>
      <c r="C1389" s="438"/>
      <c r="D1389" s="438"/>
      <c r="E1389" s="438"/>
      <c r="F1389" s="438"/>
      <c r="G1389" s="438"/>
      <c r="H1389" s="438"/>
      <c r="I1389" s="438"/>
      <c r="J1389" s="11"/>
      <c r="Q1389" s="348" t="str">
        <f t="shared" si="176"/>
        <v/>
      </c>
      <c r="R1389" s="348" t="str">
        <f t="shared" si="177"/>
        <v/>
      </c>
      <c r="S1389" s="348" t="str">
        <f t="shared" si="178"/>
        <v/>
      </c>
      <c r="T1389" s="348" t="str">
        <f t="shared" si="179"/>
        <v/>
      </c>
      <c r="U1389" s="348" t="str">
        <f t="shared" si="180"/>
        <v/>
      </c>
      <c r="V1389" s="348" t="str">
        <f t="shared" si="181"/>
        <v/>
      </c>
      <c r="W1389" s="348" t="str">
        <f t="shared" si="182"/>
        <v/>
      </c>
      <c r="X1389" s="348" t="str">
        <f t="shared" si="183"/>
        <v/>
      </c>
    </row>
    <row r="1390" spans="1:24" x14ac:dyDescent="0.2">
      <c r="A1390" s="407">
        <v>1382</v>
      </c>
      <c r="B1390" s="438"/>
      <c r="C1390" s="438"/>
      <c r="D1390" s="438"/>
      <c r="E1390" s="438"/>
      <c r="F1390" s="438"/>
      <c r="G1390" s="438"/>
      <c r="H1390" s="438"/>
      <c r="I1390" s="438"/>
      <c r="J1390" s="11"/>
      <c r="Q1390" s="348" t="str">
        <f t="shared" si="176"/>
        <v/>
      </c>
      <c r="R1390" s="348" t="str">
        <f t="shared" si="177"/>
        <v/>
      </c>
      <c r="S1390" s="348" t="str">
        <f t="shared" si="178"/>
        <v/>
      </c>
      <c r="T1390" s="348" t="str">
        <f t="shared" si="179"/>
        <v/>
      </c>
      <c r="U1390" s="348" t="str">
        <f t="shared" si="180"/>
        <v/>
      </c>
      <c r="V1390" s="348" t="str">
        <f t="shared" si="181"/>
        <v/>
      </c>
      <c r="W1390" s="348" t="str">
        <f t="shared" si="182"/>
        <v/>
      </c>
      <c r="X1390" s="348" t="str">
        <f t="shared" si="183"/>
        <v/>
      </c>
    </row>
    <row r="1391" spans="1:24" x14ac:dyDescent="0.2">
      <c r="A1391" s="407">
        <v>1383</v>
      </c>
      <c r="B1391" s="438"/>
      <c r="C1391" s="438"/>
      <c r="D1391" s="438"/>
      <c r="E1391" s="438"/>
      <c r="F1391" s="438"/>
      <c r="G1391" s="438"/>
      <c r="H1391" s="438"/>
      <c r="I1391" s="438"/>
      <c r="J1391" s="11"/>
      <c r="Q1391" s="348" t="str">
        <f t="shared" si="176"/>
        <v/>
      </c>
      <c r="R1391" s="348" t="str">
        <f t="shared" si="177"/>
        <v/>
      </c>
      <c r="S1391" s="348" t="str">
        <f t="shared" si="178"/>
        <v/>
      </c>
      <c r="T1391" s="348" t="str">
        <f t="shared" si="179"/>
        <v/>
      </c>
      <c r="U1391" s="348" t="str">
        <f t="shared" si="180"/>
        <v/>
      </c>
      <c r="V1391" s="348" t="str">
        <f t="shared" si="181"/>
        <v/>
      </c>
      <c r="W1391" s="348" t="str">
        <f t="shared" si="182"/>
        <v/>
      </c>
      <c r="X1391" s="348" t="str">
        <f t="shared" si="183"/>
        <v/>
      </c>
    </row>
    <row r="1392" spans="1:24" x14ac:dyDescent="0.2">
      <c r="A1392" s="407">
        <v>1384</v>
      </c>
      <c r="B1392" s="438"/>
      <c r="C1392" s="438"/>
      <c r="D1392" s="438"/>
      <c r="E1392" s="438"/>
      <c r="F1392" s="438"/>
      <c r="G1392" s="438"/>
      <c r="H1392" s="438"/>
      <c r="I1392" s="438"/>
      <c r="J1392" s="11"/>
      <c r="Q1392" s="348" t="str">
        <f t="shared" si="176"/>
        <v/>
      </c>
      <c r="R1392" s="348" t="str">
        <f t="shared" si="177"/>
        <v/>
      </c>
      <c r="S1392" s="348" t="str">
        <f t="shared" si="178"/>
        <v/>
      </c>
      <c r="T1392" s="348" t="str">
        <f t="shared" si="179"/>
        <v/>
      </c>
      <c r="U1392" s="348" t="str">
        <f t="shared" si="180"/>
        <v/>
      </c>
      <c r="V1392" s="348" t="str">
        <f t="shared" si="181"/>
        <v/>
      </c>
      <c r="W1392" s="348" t="str">
        <f t="shared" si="182"/>
        <v/>
      </c>
      <c r="X1392" s="348" t="str">
        <f t="shared" si="183"/>
        <v/>
      </c>
    </row>
    <row r="1393" spans="1:24" x14ac:dyDescent="0.2">
      <c r="A1393" s="407">
        <v>1385</v>
      </c>
      <c r="B1393" s="438"/>
      <c r="C1393" s="438"/>
      <c r="D1393" s="438"/>
      <c r="E1393" s="438"/>
      <c r="F1393" s="438"/>
      <c r="G1393" s="438"/>
      <c r="H1393" s="438"/>
      <c r="I1393" s="438"/>
      <c r="J1393" s="11"/>
      <c r="Q1393" s="348" t="str">
        <f t="shared" si="176"/>
        <v/>
      </c>
      <c r="R1393" s="348" t="str">
        <f t="shared" si="177"/>
        <v/>
      </c>
      <c r="S1393" s="348" t="str">
        <f t="shared" si="178"/>
        <v/>
      </c>
      <c r="T1393" s="348" t="str">
        <f t="shared" si="179"/>
        <v/>
      </c>
      <c r="U1393" s="348" t="str">
        <f t="shared" si="180"/>
        <v/>
      </c>
      <c r="V1393" s="348" t="str">
        <f t="shared" si="181"/>
        <v/>
      </c>
      <c r="W1393" s="348" t="str">
        <f t="shared" si="182"/>
        <v/>
      </c>
      <c r="X1393" s="348" t="str">
        <f t="shared" si="183"/>
        <v/>
      </c>
    </row>
    <row r="1394" spans="1:24" x14ac:dyDescent="0.2">
      <c r="A1394" s="407">
        <v>1386</v>
      </c>
      <c r="B1394" s="438"/>
      <c r="C1394" s="438"/>
      <c r="D1394" s="438"/>
      <c r="E1394" s="438"/>
      <c r="F1394" s="438"/>
      <c r="G1394" s="438"/>
      <c r="H1394" s="438"/>
      <c r="I1394" s="438"/>
      <c r="J1394" s="11"/>
      <c r="Q1394" s="348" t="str">
        <f t="shared" si="176"/>
        <v/>
      </c>
      <c r="R1394" s="348" t="str">
        <f t="shared" si="177"/>
        <v/>
      </c>
      <c r="S1394" s="348" t="str">
        <f t="shared" si="178"/>
        <v/>
      </c>
      <c r="T1394" s="348" t="str">
        <f t="shared" si="179"/>
        <v/>
      </c>
      <c r="U1394" s="348" t="str">
        <f t="shared" si="180"/>
        <v/>
      </c>
      <c r="V1394" s="348" t="str">
        <f t="shared" si="181"/>
        <v/>
      </c>
      <c r="W1394" s="348" t="str">
        <f t="shared" si="182"/>
        <v/>
      </c>
      <c r="X1394" s="348" t="str">
        <f t="shared" si="183"/>
        <v/>
      </c>
    </row>
    <row r="1395" spans="1:24" x14ac:dyDescent="0.2">
      <c r="A1395" s="407">
        <v>1387</v>
      </c>
      <c r="B1395" s="438"/>
      <c r="C1395" s="438"/>
      <c r="D1395" s="438"/>
      <c r="E1395" s="438"/>
      <c r="F1395" s="438"/>
      <c r="G1395" s="438"/>
      <c r="H1395" s="438"/>
      <c r="I1395" s="438"/>
      <c r="J1395" s="11"/>
      <c r="Q1395" s="348" t="str">
        <f t="shared" si="176"/>
        <v/>
      </c>
      <c r="R1395" s="348" t="str">
        <f t="shared" si="177"/>
        <v/>
      </c>
      <c r="S1395" s="348" t="str">
        <f t="shared" si="178"/>
        <v/>
      </c>
      <c r="T1395" s="348" t="str">
        <f t="shared" si="179"/>
        <v/>
      </c>
      <c r="U1395" s="348" t="str">
        <f t="shared" si="180"/>
        <v/>
      </c>
      <c r="V1395" s="348" t="str">
        <f t="shared" si="181"/>
        <v/>
      </c>
      <c r="W1395" s="348" t="str">
        <f t="shared" si="182"/>
        <v/>
      </c>
      <c r="X1395" s="348" t="str">
        <f t="shared" si="183"/>
        <v/>
      </c>
    </row>
    <row r="1396" spans="1:24" x14ac:dyDescent="0.2">
      <c r="A1396" s="407">
        <v>1388</v>
      </c>
      <c r="B1396" s="438"/>
      <c r="C1396" s="438"/>
      <c r="D1396" s="438"/>
      <c r="E1396" s="438"/>
      <c r="F1396" s="438"/>
      <c r="G1396" s="438"/>
      <c r="H1396" s="438"/>
      <c r="I1396" s="438"/>
      <c r="J1396" s="11"/>
      <c r="Q1396" s="348" t="str">
        <f t="shared" si="176"/>
        <v/>
      </c>
      <c r="R1396" s="348" t="str">
        <f t="shared" si="177"/>
        <v/>
      </c>
      <c r="S1396" s="348" t="str">
        <f t="shared" si="178"/>
        <v/>
      </c>
      <c r="T1396" s="348" t="str">
        <f t="shared" si="179"/>
        <v/>
      </c>
      <c r="U1396" s="348" t="str">
        <f t="shared" si="180"/>
        <v/>
      </c>
      <c r="V1396" s="348" t="str">
        <f t="shared" si="181"/>
        <v/>
      </c>
      <c r="W1396" s="348" t="str">
        <f t="shared" si="182"/>
        <v/>
      </c>
      <c r="X1396" s="348" t="str">
        <f t="shared" si="183"/>
        <v/>
      </c>
    </row>
    <row r="1397" spans="1:24" x14ac:dyDescent="0.2">
      <c r="A1397" s="407">
        <v>1389</v>
      </c>
      <c r="B1397" s="438"/>
      <c r="C1397" s="438"/>
      <c r="D1397" s="438"/>
      <c r="E1397" s="438"/>
      <c r="F1397" s="438"/>
      <c r="G1397" s="438"/>
      <c r="H1397" s="438"/>
      <c r="I1397" s="437"/>
      <c r="J1397" s="11"/>
      <c r="Q1397" s="348" t="str">
        <f t="shared" si="176"/>
        <v/>
      </c>
      <c r="R1397" s="348" t="str">
        <f t="shared" si="177"/>
        <v/>
      </c>
      <c r="S1397" s="348" t="str">
        <f t="shared" si="178"/>
        <v/>
      </c>
      <c r="T1397" s="348" t="str">
        <f t="shared" si="179"/>
        <v/>
      </c>
      <c r="U1397" s="348" t="str">
        <f t="shared" si="180"/>
        <v/>
      </c>
      <c r="V1397" s="348" t="str">
        <f t="shared" si="181"/>
        <v/>
      </c>
      <c r="W1397" s="348" t="str">
        <f t="shared" si="182"/>
        <v/>
      </c>
      <c r="X1397" s="348" t="str">
        <f t="shared" si="183"/>
        <v/>
      </c>
    </row>
    <row r="1398" spans="1:24" x14ac:dyDescent="0.2">
      <c r="A1398" s="407">
        <v>1390</v>
      </c>
      <c r="B1398" s="438"/>
      <c r="C1398" s="438"/>
      <c r="D1398" s="438"/>
      <c r="E1398" s="438"/>
      <c r="F1398" s="438"/>
      <c r="G1398" s="438"/>
      <c r="H1398" s="438"/>
      <c r="I1398" s="438"/>
      <c r="J1398" s="11"/>
      <c r="Q1398" s="348" t="str">
        <f t="shared" si="176"/>
        <v/>
      </c>
      <c r="R1398" s="348" t="str">
        <f t="shared" si="177"/>
        <v/>
      </c>
      <c r="S1398" s="348" t="str">
        <f t="shared" si="178"/>
        <v/>
      </c>
      <c r="T1398" s="348" t="str">
        <f t="shared" si="179"/>
        <v/>
      </c>
      <c r="U1398" s="348" t="str">
        <f t="shared" si="180"/>
        <v/>
      </c>
      <c r="V1398" s="348" t="str">
        <f t="shared" si="181"/>
        <v/>
      </c>
      <c r="W1398" s="348" t="str">
        <f t="shared" si="182"/>
        <v/>
      </c>
      <c r="X1398" s="348" t="str">
        <f t="shared" si="183"/>
        <v/>
      </c>
    </row>
    <row r="1399" spans="1:24" x14ac:dyDescent="0.2">
      <c r="A1399" s="407">
        <v>1391</v>
      </c>
      <c r="B1399" s="438"/>
      <c r="C1399" s="438"/>
      <c r="D1399" s="438"/>
      <c r="E1399" s="438"/>
      <c r="F1399" s="438"/>
      <c r="G1399" s="438"/>
      <c r="H1399" s="438"/>
      <c r="I1399" s="438"/>
      <c r="J1399" s="11"/>
      <c r="Q1399" s="348" t="str">
        <f t="shared" si="176"/>
        <v/>
      </c>
      <c r="R1399" s="348" t="str">
        <f t="shared" si="177"/>
        <v/>
      </c>
      <c r="S1399" s="348" t="str">
        <f t="shared" si="178"/>
        <v/>
      </c>
      <c r="T1399" s="348" t="str">
        <f t="shared" si="179"/>
        <v/>
      </c>
      <c r="U1399" s="348" t="str">
        <f t="shared" si="180"/>
        <v/>
      </c>
      <c r="V1399" s="348" t="str">
        <f t="shared" si="181"/>
        <v/>
      </c>
      <c r="W1399" s="348" t="str">
        <f t="shared" si="182"/>
        <v/>
      </c>
      <c r="X1399" s="348" t="str">
        <f t="shared" si="183"/>
        <v/>
      </c>
    </row>
    <row r="1400" spans="1:24" x14ac:dyDescent="0.2">
      <c r="A1400" s="407">
        <v>1392</v>
      </c>
      <c r="B1400" s="438"/>
      <c r="C1400" s="438"/>
      <c r="D1400" s="438"/>
      <c r="E1400" s="438"/>
      <c r="F1400" s="438"/>
      <c r="G1400" s="438"/>
      <c r="H1400" s="438"/>
      <c r="I1400" s="438"/>
      <c r="J1400" s="11"/>
      <c r="Q1400" s="348" t="str">
        <f t="shared" si="176"/>
        <v/>
      </c>
      <c r="R1400" s="348" t="str">
        <f t="shared" si="177"/>
        <v/>
      </c>
      <c r="S1400" s="348" t="str">
        <f t="shared" si="178"/>
        <v/>
      </c>
      <c r="T1400" s="348" t="str">
        <f t="shared" si="179"/>
        <v/>
      </c>
      <c r="U1400" s="348" t="str">
        <f t="shared" si="180"/>
        <v/>
      </c>
      <c r="V1400" s="348" t="str">
        <f t="shared" si="181"/>
        <v/>
      </c>
      <c r="W1400" s="348" t="str">
        <f t="shared" si="182"/>
        <v/>
      </c>
      <c r="X1400" s="348" t="str">
        <f t="shared" si="183"/>
        <v/>
      </c>
    </row>
    <row r="1401" spans="1:24" x14ac:dyDescent="0.2">
      <c r="A1401" s="407">
        <v>1393</v>
      </c>
      <c r="B1401" s="438"/>
      <c r="C1401" s="437"/>
      <c r="D1401" s="438"/>
      <c r="E1401" s="438"/>
      <c r="F1401" s="438"/>
      <c r="G1401" s="438"/>
      <c r="H1401" s="438"/>
      <c r="I1401" s="438"/>
      <c r="J1401" s="11"/>
      <c r="Q1401" s="348" t="str">
        <f t="shared" si="176"/>
        <v/>
      </c>
      <c r="R1401" s="348" t="str">
        <f t="shared" si="177"/>
        <v/>
      </c>
      <c r="S1401" s="348" t="str">
        <f t="shared" si="178"/>
        <v/>
      </c>
      <c r="T1401" s="348" t="str">
        <f t="shared" si="179"/>
        <v/>
      </c>
      <c r="U1401" s="348" t="str">
        <f t="shared" si="180"/>
        <v/>
      </c>
      <c r="V1401" s="348" t="str">
        <f t="shared" si="181"/>
        <v/>
      </c>
      <c r="W1401" s="348" t="str">
        <f t="shared" si="182"/>
        <v/>
      </c>
      <c r="X1401" s="348" t="str">
        <f t="shared" si="183"/>
        <v/>
      </c>
    </row>
    <row r="1402" spans="1:24" x14ac:dyDescent="0.2">
      <c r="A1402" s="407">
        <v>1394</v>
      </c>
      <c r="B1402" s="437"/>
      <c r="C1402" s="438"/>
      <c r="D1402" s="438"/>
      <c r="E1402" s="437"/>
      <c r="F1402" s="438"/>
      <c r="G1402" s="438"/>
      <c r="H1402" s="438"/>
      <c r="I1402" s="438"/>
      <c r="J1402" s="11"/>
      <c r="Q1402" s="348" t="str">
        <f t="shared" si="176"/>
        <v/>
      </c>
      <c r="R1402" s="348" t="str">
        <f t="shared" si="177"/>
        <v/>
      </c>
      <c r="S1402" s="348" t="str">
        <f t="shared" si="178"/>
        <v/>
      </c>
      <c r="T1402" s="348" t="str">
        <f t="shared" si="179"/>
        <v/>
      </c>
      <c r="U1402" s="348" t="str">
        <f t="shared" si="180"/>
        <v/>
      </c>
      <c r="V1402" s="348" t="str">
        <f t="shared" si="181"/>
        <v/>
      </c>
      <c r="W1402" s="348" t="str">
        <f t="shared" si="182"/>
        <v/>
      </c>
      <c r="X1402" s="348" t="str">
        <f t="shared" si="183"/>
        <v/>
      </c>
    </row>
    <row r="1403" spans="1:24" x14ac:dyDescent="0.2">
      <c r="A1403" s="407">
        <v>1395</v>
      </c>
      <c r="B1403" s="438"/>
      <c r="C1403" s="438"/>
      <c r="D1403" s="438"/>
      <c r="E1403" s="438"/>
      <c r="F1403" s="438"/>
      <c r="G1403" s="438"/>
      <c r="H1403" s="438"/>
      <c r="I1403" s="438"/>
      <c r="J1403" s="11"/>
      <c r="Q1403" s="348" t="str">
        <f t="shared" si="176"/>
        <v/>
      </c>
      <c r="R1403" s="348" t="str">
        <f t="shared" si="177"/>
        <v/>
      </c>
      <c r="S1403" s="348" t="str">
        <f t="shared" si="178"/>
        <v/>
      </c>
      <c r="T1403" s="348" t="str">
        <f t="shared" si="179"/>
        <v/>
      </c>
      <c r="U1403" s="348" t="str">
        <f t="shared" si="180"/>
        <v/>
      </c>
      <c r="V1403" s="348" t="str">
        <f t="shared" si="181"/>
        <v/>
      </c>
      <c r="W1403" s="348" t="str">
        <f t="shared" si="182"/>
        <v/>
      </c>
      <c r="X1403" s="348" t="str">
        <f t="shared" si="183"/>
        <v/>
      </c>
    </row>
    <row r="1404" spans="1:24" x14ac:dyDescent="0.2">
      <c r="A1404" s="407">
        <v>1396</v>
      </c>
      <c r="B1404" s="438"/>
      <c r="C1404" s="438"/>
      <c r="D1404" s="438"/>
      <c r="E1404" s="438"/>
      <c r="F1404" s="438"/>
      <c r="G1404" s="438"/>
      <c r="H1404" s="438"/>
      <c r="I1404" s="438"/>
      <c r="J1404" s="11"/>
      <c r="Q1404" s="348" t="str">
        <f t="shared" si="176"/>
        <v/>
      </c>
      <c r="R1404" s="348" t="str">
        <f t="shared" si="177"/>
        <v/>
      </c>
      <c r="S1404" s="348" t="str">
        <f t="shared" si="178"/>
        <v/>
      </c>
      <c r="T1404" s="348" t="str">
        <f t="shared" si="179"/>
        <v/>
      </c>
      <c r="U1404" s="348" t="str">
        <f t="shared" si="180"/>
        <v/>
      </c>
      <c r="V1404" s="348" t="str">
        <f t="shared" si="181"/>
        <v/>
      </c>
      <c r="W1404" s="348" t="str">
        <f t="shared" si="182"/>
        <v/>
      </c>
      <c r="X1404" s="348" t="str">
        <f t="shared" si="183"/>
        <v/>
      </c>
    </row>
    <row r="1405" spans="1:24" x14ac:dyDescent="0.2">
      <c r="A1405" s="407">
        <v>1397</v>
      </c>
      <c r="B1405" s="438"/>
      <c r="C1405" s="438"/>
      <c r="D1405" s="438"/>
      <c r="E1405" s="438"/>
      <c r="F1405" s="438"/>
      <c r="G1405" s="438"/>
      <c r="H1405" s="438"/>
      <c r="I1405" s="438"/>
      <c r="J1405" s="11"/>
      <c r="Q1405" s="348" t="str">
        <f t="shared" si="176"/>
        <v/>
      </c>
      <c r="R1405" s="348" t="str">
        <f t="shared" si="177"/>
        <v/>
      </c>
      <c r="S1405" s="348" t="str">
        <f t="shared" si="178"/>
        <v/>
      </c>
      <c r="T1405" s="348" t="str">
        <f t="shared" si="179"/>
        <v/>
      </c>
      <c r="U1405" s="348" t="str">
        <f t="shared" si="180"/>
        <v/>
      </c>
      <c r="V1405" s="348" t="str">
        <f t="shared" si="181"/>
        <v/>
      </c>
      <c r="W1405" s="348" t="str">
        <f t="shared" si="182"/>
        <v/>
      </c>
      <c r="X1405" s="348" t="str">
        <f t="shared" si="183"/>
        <v/>
      </c>
    </row>
    <row r="1406" spans="1:24" x14ac:dyDescent="0.2">
      <c r="A1406" s="407">
        <v>1398</v>
      </c>
      <c r="B1406" s="438"/>
      <c r="C1406" s="438"/>
      <c r="D1406" s="438"/>
      <c r="E1406" s="438"/>
      <c r="F1406" s="438"/>
      <c r="G1406" s="438"/>
      <c r="H1406" s="438"/>
      <c r="I1406" s="438"/>
      <c r="J1406" s="11"/>
      <c r="Q1406" s="348" t="str">
        <f t="shared" si="176"/>
        <v/>
      </c>
      <c r="R1406" s="348" t="str">
        <f t="shared" si="177"/>
        <v/>
      </c>
      <c r="S1406" s="348" t="str">
        <f t="shared" si="178"/>
        <v/>
      </c>
      <c r="T1406" s="348" t="str">
        <f t="shared" si="179"/>
        <v/>
      </c>
      <c r="U1406" s="348" t="str">
        <f t="shared" si="180"/>
        <v/>
      </c>
      <c r="V1406" s="348" t="str">
        <f t="shared" si="181"/>
        <v/>
      </c>
      <c r="W1406" s="348" t="str">
        <f t="shared" si="182"/>
        <v/>
      </c>
      <c r="X1406" s="348" t="str">
        <f t="shared" si="183"/>
        <v/>
      </c>
    </row>
    <row r="1407" spans="1:24" x14ac:dyDescent="0.2">
      <c r="A1407" s="407">
        <v>1399</v>
      </c>
      <c r="B1407" s="438"/>
      <c r="C1407" s="438"/>
      <c r="D1407" s="438"/>
      <c r="E1407" s="438"/>
      <c r="F1407" s="438"/>
      <c r="G1407" s="437"/>
      <c r="H1407" s="438"/>
      <c r="I1407" s="438"/>
      <c r="J1407" s="11"/>
      <c r="Q1407" s="348" t="str">
        <f t="shared" si="176"/>
        <v/>
      </c>
      <c r="R1407" s="348" t="str">
        <f t="shared" si="177"/>
        <v/>
      </c>
      <c r="S1407" s="348" t="str">
        <f t="shared" si="178"/>
        <v/>
      </c>
      <c r="T1407" s="348" t="str">
        <f t="shared" si="179"/>
        <v/>
      </c>
      <c r="U1407" s="348" t="str">
        <f t="shared" si="180"/>
        <v/>
      </c>
      <c r="V1407" s="348" t="str">
        <f t="shared" si="181"/>
        <v/>
      </c>
      <c r="W1407" s="348" t="str">
        <f t="shared" si="182"/>
        <v/>
      </c>
      <c r="X1407" s="348" t="str">
        <f t="shared" si="183"/>
        <v/>
      </c>
    </row>
    <row r="1408" spans="1:24" x14ac:dyDescent="0.2">
      <c r="A1408" s="407">
        <v>1400</v>
      </c>
      <c r="B1408" s="438"/>
      <c r="C1408" s="438"/>
      <c r="D1408" s="438"/>
      <c r="E1408" s="438"/>
      <c r="F1408" s="438"/>
      <c r="G1408" s="438"/>
      <c r="H1408" s="438"/>
      <c r="I1408" s="438"/>
      <c r="J1408" s="11"/>
      <c r="Q1408" s="348" t="str">
        <f t="shared" si="176"/>
        <v/>
      </c>
      <c r="R1408" s="348" t="str">
        <f t="shared" si="177"/>
        <v/>
      </c>
      <c r="S1408" s="348" t="str">
        <f t="shared" si="178"/>
        <v/>
      </c>
      <c r="T1408" s="348" t="str">
        <f t="shared" si="179"/>
        <v/>
      </c>
      <c r="U1408" s="348" t="str">
        <f t="shared" si="180"/>
        <v/>
      </c>
      <c r="V1408" s="348" t="str">
        <f t="shared" si="181"/>
        <v/>
      </c>
      <c r="W1408" s="348" t="str">
        <f t="shared" si="182"/>
        <v/>
      </c>
      <c r="X1408" s="348" t="str">
        <f t="shared" si="183"/>
        <v/>
      </c>
    </row>
    <row r="1409" spans="1:24" x14ac:dyDescent="0.2">
      <c r="A1409" s="407">
        <v>1401</v>
      </c>
      <c r="B1409" s="438"/>
      <c r="C1409" s="437"/>
      <c r="D1409" s="438"/>
      <c r="E1409" s="437"/>
      <c r="F1409" s="437"/>
      <c r="G1409" s="437"/>
      <c r="H1409" s="437"/>
      <c r="I1409" s="438"/>
      <c r="J1409" s="11"/>
      <c r="Q1409" s="348" t="str">
        <f t="shared" si="176"/>
        <v/>
      </c>
      <c r="R1409" s="348" t="str">
        <f t="shared" si="177"/>
        <v/>
      </c>
      <c r="S1409" s="348" t="str">
        <f t="shared" si="178"/>
        <v/>
      </c>
      <c r="T1409" s="348" t="str">
        <f t="shared" si="179"/>
        <v/>
      </c>
      <c r="U1409" s="348" t="str">
        <f t="shared" si="180"/>
        <v/>
      </c>
      <c r="V1409" s="348" t="str">
        <f t="shared" si="181"/>
        <v/>
      </c>
      <c r="W1409" s="348" t="str">
        <f t="shared" si="182"/>
        <v/>
      </c>
      <c r="X1409" s="348" t="str">
        <f t="shared" si="183"/>
        <v/>
      </c>
    </row>
    <row r="1410" spans="1:24" x14ac:dyDescent="0.2">
      <c r="A1410" s="407">
        <v>1402</v>
      </c>
      <c r="B1410" s="438"/>
      <c r="C1410" s="438"/>
      <c r="D1410" s="438"/>
      <c r="E1410" s="438"/>
      <c r="F1410" s="438"/>
      <c r="G1410" s="438"/>
      <c r="H1410" s="438"/>
      <c r="I1410" s="438"/>
      <c r="J1410" s="11"/>
      <c r="Q1410" s="348" t="str">
        <f t="shared" si="176"/>
        <v/>
      </c>
      <c r="R1410" s="348" t="str">
        <f t="shared" si="177"/>
        <v/>
      </c>
      <c r="S1410" s="348" t="str">
        <f t="shared" si="178"/>
        <v/>
      </c>
      <c r="T1410" s="348" t="str">
        <f t="shared" si="179"/>
        <v/>
      </c>
      <c r="U1410" s="348" t="str">
        <f t="shared" si="180"/>
        <v/>
      </c>
      <c r="V1410" s="348" t="str">
        <f t="shared" si="181"/>
        <v/>
      </c>
      <c r="W1410" s="348" t="str">
        <f t="shared" si="182"/>
        <v/>
      </c>
      <c r="X1410" s="348" t="str">
        <f t="shared" si="183"/>
        <v/>
      </c>
    </row>
    <row r="1411" spans="1:24" x14ac:dyDescent="0.2">
      <c r="A1411" s="407">
        <v>1403</v>
      </c>
      <c r="B1411" s="438"/>
      <c r="C1411" s="438"/>
      <c r="D1411" s="438"/>
      <c r="E1411" s="438"/>
      <c r="F1411" s="438"/>
      <c r="G1411" s="438"/>
      <c r="H1411" s="438"/>
      <c r="I1411" s="438"/>
      <c r="J1411" s="11"/>
      <c r="Q1411" s="348" t="str">
        <f t="shared" si="176"/>
        <v/>
      </c>
      <c r="R1411" s="348" t="str">
        <f t="shared" si="177"/>
        <v/>
      </c>
      <c r="S1411" s="348" t="str">
        <f t="shared" si="178"/>
        <v/>
      </c>
      <c r="T1411" s="348" t="str">
        <f t="shared" si="179"/>
        <v/>
      </c>
      <c r="U1411" s="348" t="str">
        <f t="shared" si="180"/>
        <v/>
      </c>
      <c r="V1411" s="348" t="str">
        <f t="shared" si="181"/>
        <v/>
      </c>
      <c r="W1411" s="348" t="str">
        <f t="shared" si="182"/>
        <v/>
      </c>
      <c r="X1411" s="348" t="str">
        <f t="shared" si="183"/>
        <v/>
      </c>
    </row>
    <row r="1412" spans="1:24" x14ac:dyDescent="0.2">
      <c r="A1412" s="407">
        <v>1404</v>
      </c>
      <c r="B1412" s="437"/>
      <c r="C1412" s="438"/>
      <c r="D1412" s="438"/>
      <c r="E1412" s="438"/>
      <c r="F1412" s="438"/>
      <c r="G1412" s="438"/>
      <c r="H1412" s="438"/>
      <c r="I1412" s="438"/>
      <c r="J1412" s="11"/>
      <c r="Q1412" s="348" t="str">
        <f t="shared" si="176"/>
        <v/>
      </c>
      <c r="R1412" s="348" t="str">
        <f t="shared" si="177"/>
        <v/>
      </c>
      <c r="S1412" s="348" t="str">
        <f t="shared" si="178"/>
        <v/>
      </c>
      <c r="T1412" s="348" t="str">
        <f t="shared" si="179"/>
        <v/>
      </c>
      <c r="U1412" s="348" t="str">
        <f t="shared" si="180"/>
        <v/>
      </c>
      <c r="V1412" s="348" t="str">
        <f t="shared" si="181"/>
        <v/>
      </c>
      <c r="W1412" s="348" t="str">
        <f t="shared" si="182"/>
        <v/>
      </c>
      <c r="X1412" s="348" t="str">
        <f t="shared" si="183"/>
        <v/>
      </c>
    </row>
    <row r="1413" spans="1:24" x14ac:dyDescent="0.2">
      <c r="A1413" s="407">
        <v>1405</v>
      </c>
      <c r="B1413" s="438"/>
      <c r="C1413" s="438"/>
      <c r="D1413" s="438"/>
      <c r="E1413" s="438"/>
      <c r="F1413" s="438"/>
      <c r="G1413" s="438"/>
      <c r="H1413" s="438"/>
      <c r="I1413" s="438"/>
      <c r="J1413" s="11"/>
      <c r="Q1413" s="348" t="str">
        <f t="shared" si="176"/>
        <v/>
      </c>
      <c r="R1413" s="348" t="str">
        <f t="shared" si="177"/>
        <v/>
      </c>
      <c r="S1413" s="348" t="str">
        <f t="shared" si="178"/>
        <v/>
      </c>
      <c r="T1413" s="348" t="str">
        <f t="shared" si="179"/>
        <v/>
      </c>
      <c r="U1413" s="348" t="str">
        <f t="shared" si="180"/>
        <v/>
      </c>
      <c r="V1413" s="348" t="str">
        <f t="shared" si="181"/>
        <v/>
      </c>
      <c r="W1413" s="348" t="str">
        <f t="shared" si="182"/>
        <v/>
      </c>
      <c r="X1413" s="348" t="str">
        <f t="shared" si="183"/>
        <v/>
      </c>
    </row>
    <row r="1414" spans="1:24" x14ac:dyDescent="0.2">
      <c r="A1414" s="407">
        <v>1406</v>
      </c>
      <c r="B1414" s="438"/>
      <c r="C1414" s="438"/>
      <c r="D1414" s="438"/>
      <c r="E1414" s="438"/>
      <c r="F1414" s="438"/>
      <c r="G1414" s="438"/>
      <c r="H1414" s="438"/>
      <c r="I1414" s="438"/>
      <c r="J1414" s="11"/>
      <c r="Q1414" s="348" t="str">
        <f t="shared" si="176"/>
        <v/>
      </c>
      <c r="R1414" s="348" t="str">
        <f t="shared" si="177"/>
        <v/>
      </c>
      <c r="S1414" s="348" t="str">
        <f t="shared" si="178"/>
        <v/>
      </c>
      <c r="T1414" s="348" t="str">
        <f t="shared" si="179"/>
        <v/>
      </c>
      <c r="U1414" s="348" t="str">
        <f t="shared" si="180"/>
        <v/>
      </c>
      <c r="V1414" s="348" t="str">
        <f t="shared" si="181"/>
        <v/>
      </c>
      <c r="W1414" s="348" t="str">
        <f t="shared" si="182"/>
        <v/>
      </c>
      <c r="X1414" s="348" t="str">
        <f t="shared" si="183"/>
        <v/>
      </c>
    </row>
    <row r="1415" spans="1:24" x14ac:dyDescent="0.2">
      <c r="A1415" s="407">
        <v>1407</v>
      </c>
      <c r="B1415" s="438"/>
      <c r="C1415" s="438"/>
      <c r="D1415" s="438"/>
      <c r="E1415" s="438"/>
      <c r="F1415" s="438"/>
      <c r="G1415" s="438"/>
      <c r="H1415" s="438"/>
      <c r="I1415" s="438"/>
      <c r="J1415" s="11"/>
      <c r="Q1415" s="348" t="str">
        <f t="shared" si="176"/>
        <v/>
      </c>
      <c r="R1415" s="348" t="str">
        <f t="shared" si="177"/>
        <v/>
      </c>
      <c r="S1415" s="348" t="str">
        <f t="shared" si="178"/>
        <v/>
      </c>
      <c r="T1415" s="348" t="str">
        <f t="shared" si="179"/>
        <v/>
      </c>
      <c r="U1415" s="348" t="str">
        <f t="shared" si="180"/>
        <v/>
      </c>
      <c r="V1415" s="348" t="str">
        <f t="shared" si="181"/>
        <v/>
      </c>
      <c r="W1415" s="348" t="str">
        <f t="shared" si="182"/>
        <v/>
      </c>
      <c r="X1415" s="348" t="str">
        <f t="shared" si="183"/>
        <v/>
      </c>
    </row>
    <row r="1416" spans="1:24" x14ac:dyDescent="0.2">
      <c r="A1416" s="407">
        <v>1408</v>
      </c>
      <c r="B1416" s="438"/>
      <c r="C1416" s="438"/>
      <c r="D1416" s="438"/>
      <c r="E1416" s="438"/>
      <c r="F1416" s="438"/>
      <c r="G1416" s="438"/>
      <c r="H1416" s="438"/>
      <c r="I1416" s="438"/>
      <c r="J1416" s="11"/>
      <c r="Q1416" s="348" t="str">
        <f t="shared" si="176"/>
        <v/>
      </c>
      <c r="R1416" s="348" t="str">
        <f t="shared" si="177"/>
        <v/>
      </c>
      <c r="S1416" s="348" t="str">
        <f t="shared" si="178"/>
        <v/>
      </c>
      <c r="T1416" s="348" t="str">
        <f t="shared" si="179"/>
        <v/>
      </c>
      <c r="U1416" s="348" t="str">
        <f t="shared" si="180"/>
        <v/>
      </c>
      <c r="V1416" s="348" t="str">
        <f t="shared" si="181"/>
        <v/>
      </c>
      <c r="W1416" s="348" t="str">
        <f t="shared" si="182"/>
        <v/>
      </c>
      <c r="X1416" s="348" t="str">
        <f t="shared" si="183"/>
        <v/>
      </c>
    </row>
    <row r="1417" spans="1:24" x14ac:dyDescent="0.2">
      <c r="A1417" s="407">
        <v>1409</v>
      </c>
      <c r="B1417" s="438"/>
      <c r="C1417" s="438"/>
      <c r="D1417" s="438"/>
      <c r="E1417" s="438"/>
      <c r="F1417" s="438"/>
      <c r="G1417" s="438"/>
      <c r="H1417" s="438"/>
      <c r="I1417" s="438"/>
      <c r="J1417" s="11"/>
      <c r="Q1417" s="348" t="str">
        <f t="shared" si="176"/>
        <v/>
      </c>
      <c r="R1417" s="348" t="str">
        <f t="shared" si="177"/>
        <v/>
      </c>
      <c r="S1417" s="348" t="str">
        <f t="shared" si="178"/>
        <v/>
      </c>
      <c r="T1417" s="348" t="str">
        <f t="shared" si="179"/>
        <v/>
      </c>
      <c r="U1417" s="348" t="str">
        <f t="shared" si="180"/>
        <v/>
      </c>
      <c r="V1417" s="348" t="str">
        <f t="shared" si="181"/>
        <v/>
      </c>
      <c r="W1417" s="348" t="str">
        <f t="shared" si="182"/>
        <v/>
      </c>
      <c r="X1417" s="348" t="str">
        <f t="shared" si="183"/>
        <v/>
      </c>
    </row>
    <row r="1418" spans="1:24" x14ac:dyDescent="0.2">
      <c r="A1418" s="407">
        <v>1410</v>
      </c>
      <c r="B1418" s="438"/>
      <c r="C1418" s="438"/>
      <c r="D1418" s="438"/>
      <c r="E1418" s="438"/>
      <c r="F1418" s="438"/>
      <c r="G1418" s="438"/>
      <c r="H1418" s="438"/>
      <c r="I1418" s="438"/>
      <c r="J1418" s="11"/>
      <c r="Q1418" s="348" t="str">
        <f t="shared" ref="Q1418:Q1481" si="184">IFERROR(B1418^4*$AB$9+B1418^3*$AC$9+B1418^2*$AD$9+B1418^1*$AE$9+B1418^0*$AF$9,"")</f>
        <v/>
      </c>
      <c r="R1418" s="348" t="str">
        <f t="shared" ref="R1418:R1481" si="185">IFERROR(C1418^4*$AB$10+C1418^3*$AC$10+C1418^2*$AD$10+C1418^1*$AE$10+C1418^0*$AF$10,"")</f>
        <v/>
      </c>
      <c r="S1418" s="348" t="str">
        <f t="shared" ref="S1418:S1481" si="186">IFERROR(D1418^4*$AB$11+D1418^3*$AC$11+D1418^2*$AD$11+D1418^1*$AE$11+D1418^0*$AF$11,"")</f>
        <v/>
      </c>
      <c r="T1418" s="348" t="str">
        <f t="shared" ref="T1418:T1481" si="187">IFERROR(E1418^4*$AB$12+E1418^3*$AC$12+E1418^2*$AD$12+E1418^1*$AE$12+E1418^0*$AF$12,"")</f>
        <v/>
      </c>
      <c r="U1418" s="348" t="str">
        <f t="shared" ref="U1418:U1481" si="188">IFERROR(F1418^4*$AB$13+F1418^3*$AC$13+F1418^2*$AD$13+F1418^1*$AE$13+F1418^0*$AF$13,"")</f>
        <v/>
      </c>
      <c r="V1418" s="348" t="str">
        <f t="shared" ref="V1418:V1481" si="189">IFERROR(G1418^4*$AB$14+G1418^3*$AC$14+G1418^2*$AD$14+G1418^1*$AE$14+G1418^0*$AF$14,"")</f>
        <v/>
      </c>
      <c r="W1418" s="348" t="str">
        <f t="shared" ref="W1418:W1481" si="190">IFERROR(H1418^4*$AB$15+H1418^3*$AC$15+H1418^2*$AD$15+H1418^1*$AE$15+H1418^0*$AF$15,"")</f>
        <v/>
      </c>
      <c r="X1418" s="348" t="str">
        <f t="shared" ref="X1418:X1481" si="191">IFERROR(I1418^4*$AB$16+I1418^3*$AC$16+I1418^2*$AD$16+I1418^1*$AE$16+I1418^0*$AF$16,"")</f>
        <v/>
      </c>
    </row>
    <row r="1419" spans="1:24" x14ac:dyDescent="0.2">
      <c r="A1419" s="407">
        <v>1411</v>
      </c>
      <c r="B1419" s="438"/>
      <c r="C1419" s="438"/>
      <c r="D1419" s="438"/>
      <c r="E1419" s="438"/>
      <c r="F1419" s="438"/>
      <c r="G1419" s="438"/>
      <c r="H1419" s="438"/>
      <c r="I1419" s="438"/>
      <c r="J1419" s="11"/>
      <c r="Q1419" s="348" t="str">
        <f t="shared" si="184"/>
        <v/>
      </c>
      <c r="R1419" s="348" t="str">
        <f t="shared" si="185"/>
        <v/>
      </c>
      <c r="S1419" s="348" t="str">
        <f t="shared" si="186"/>
        <v/>
      </c>
      <c r="T1419" s="348" t="str">
        <f t="shared" si="187"/>
        <v/>
      </c>
      <c r="U1419" s="348" t="str">
        <f t="shared" si="188"/>
        <v/>
      </c>
      <c r="V1419" s="348" t="str">
        <f t="shared" si="189"/>
        <v/>
      </c>
      <c r="W1419" s="348" t="str">
        <f t="shared" si="190"/>
        <v/>
      </c>
      <c r="X1419" s="348" t="str">
        <f t="shared" si="191"/>
        <v/>
      </c>
    </row>
    <row r="1420" spans="1:24" x14ac:dyDescent="0.2">
      <c r="A1420" s="407">
        <v>1412</v>
      </c>
      <c r="B1420" s="438"/>
      <c r="C1420" s="438"/>
      <c r="D1420" s="438"/>
      <c r="E1420" s="438"/>
      <c r="F1420" s="438"/>
      <c r="G1420" s="438"/>
      <c r="H1420" s="438"/>
      <c r="I1420" s="438"/>
      <c r="J1420" s="11"/>
      <c r="Q1420" s="348" t="str">
        <f t="shared" si="184"/>
        <v/>
      </c>
      <c r="R1420" s="348" t="str">
        <f t="shared" si="185"/>
        <v/>
      </c>
      <c r="S1420" s="348" t="str">
        <f t="shared" si="186"/>
        <v/>
      </c>
      <c r="T1420" s="348" t="str">
        <f t="shared" si="187"/>
        <v/>
      </c>
      <c r="U1420" s="348" t="str">
        <f t="shared" si="188"/>
        <v/>
      </c>
      <c r="V1420" s="348" t="str">
        <f t="shared" si="189"/>
        <v/>
      </c>
      <c r="W1420" s="348" t="str">
        <f t="shared" si="190"/>
        <v/>
      </c>
      <c r="X1420" s="348" t="str">
        <f t="shared" si="191"/>
        <v/>
      </c>
    </row>
    <row r="1421" spans="1:24" x14ac:dyDescent="0.2">
      <c r="A1421" s="407">
        <v>1413</v>
      </c>
      <c r="B1421" s="438"/>
      <c r="C1421" s="438"/>
      <c r="D1421" s="438"/>
      <c r="E1421" s="438"/>
      <c r="F1421" s="438"/>
      <c r="G1421" s="438"/>
      <c r="H1421" s="438"/>
      <c r="I1421" s="438"/>
      <c r="J1421" s="11"/>
      <c r="Q1421" s="348" t="str">
        <f t="shared" si="184"/>
        <v/>
      </c>
      <c r="R1421" s="348" t="str">
        <f t="shared" si="185"/>
        <v/>
      </c>
      <c r="S1421" s="348" t="str">
        <f t="shared" si="186"/>
        <v/>
      </c>
      <c r="T1421" s="348" t="str">
        <f t="shared" si="187"/>
        <v/>
      </c>
      <c r="U1421" s="348" t="str">
        <f t="shared" si="188"/>
        <v/>
      </c>
      <c r="V1421" s="348" t="str">
        <f t="shared" si="189"/>
        <v/>
      </c>
      <c r="W1421" s="348" t="str">
        <f t="shared" si="190"/>
        <v/>
      </c>
      <c r="X1421" s="348" t="str">
        <f t="shared" si="191"/>
        <v/>
      </c>
    </row>
    <row r="1422" spans="1:24" x14ac:dyDescent="0.2">
      <c r="A1422" s="407">
        <v>1414</v>
      </c>
      <c r="B1422" s="438"/>
      <c r="C1422" s="438"/>
      <c r="D1422" s="438"/>
      <c r="E1422" s="438"/>
      <c r="F1422" s="438"/>
      <c r="G1422" s="438"/>
      <c r="H1422" s="438"/>
      <c r="I1422" s="438"/>
      <c r="J1422" s="11"/>
      <c r="Q1422" s="348" t="str">
        <f t="shared" si="184"/>
        <v/>
      </c>
      <c r="R1422" s="348" t="str">
        <f t="shared" si="185"/>
        <v/>
      </c>
      <c r="S1422" s="348" t="str">
        <f t="shared" si="186"/>
        <v/>
      </c>
      <c r="T1422" s="348" t="str">
        <f t="shared" si="187"/>
        <v/>
      </c>
      <c r="U1422" s="348" t="str">
        <f t="shared" si="188"/>
        <v/>
      </c>
      <c r="V1422" s="348" t="str">
        <f t="shared" si="189"/>
        <v/>
      </c>
      <c r="W1422" s="348" t="str">
        <f t="shared" si="190"/>
        <v/>
      </c>
      <c r="X1422" s="348" t="str">
        <f t="shared" si="191"/>
        <v/>
      </c>
    </row>
    <row r="1423" spans="1:24" x14ac:dyDescent="0.2">
      <c r="A1423" s="407">
        <v>1415</v>
      </c>
      <c r="B1423" s="438"/>
      <c r="C1423" s="437"/>
      <c r="D1423" s="438"/>
      <c r="E1423" s="438"/>
      <c r="F1423" s="438"/>
      <c r="G1423" s="438"/>
      <c r="H1423" s="438"/>
      <c r="I1423" s="438"/>
      <c r="J1423" s="11"/>
      <c r="Q1423" s="348" t="str">
        <f t="shared" si="184"/>
        <v/>
      </c>
      <c r="R1423" s="348" t="str">
        <f t="shared" si="185"/>
        <v/>
      </c>
      <c r="S1423" s="348" t="str">
        <f t="shared" si="186"/>
        <v/>
      </c>
      <c r="T1423" s="348" t="str">
        <f t="shared" si="187"/>
        <v/>
      </c>
      <c r="U1423" s="348" t="str">
        <f t="shared" si="188"/>
        <v/>
      </c>
      <c r="V1423" s="348" t="str">
        <f t="shared" si="189"/>
        <v/>
      </c>
      <c r="W1423" s="348" t="str">
        <f t="shared" si="190"/>
        <v/>
      </c>
      <c r="X1423" s="348" t="str">
        <f t="shared" si="191"/>
        <v/>
      </c>
    </row>
    <row r="1424" spans="1:24" x14ac:dyDescent="0.2">
      <c r="A1424" s="407">
        <v>1416</v>
      </c>
      <c r="B1424" s="438"/>
      <c r="C1424" s="438"/>
      <c r="D1424" s="438"/>
      <c r="E1424" s="438"/>
      <c r="F1424" s="438"/>
      <c r="G1424" s="438"/>
      <c r="H1424" s="438"/>
      <c r="I1424" s="438"/>
      <c r="J1424" s="11"/>
      <c r="Q1424" s="348" t="str">
        <f t="shared" si="184"/>
        <v/>
      </c>
      <c r="R1424" s="348" t="str">
        <f t="shared" si="185"/>
        <v/>
      </c>
      <c r="S1424" s="348" t="str">
        <f t="shared" si="186"/>
        <v/>
      </c>
      <c r="T1424" s="348" t="str">
        <f t="shared" si="187"/>
        <v/>
      </c>
      <c r="U1424" s="348" t="str">
        <f t="shared" si="188"/>
        <v/>
      </c>
      <c r="V1424" s="348" t="str">
        <f t="shared" si="189"/>
        <v/>
      </c>
      <c r="W1424" s="348" t="str">
        <f t="shared" si="190"/>
        <v/>
      </c>
      <c r="X1424" s="348" t="str">
        <f t="shared" si="191"/>
        <v/>
      </c>
    </row>
    <row r="1425" spans="1:24" x14ac:dyDescent="0.2">
      <c r="A1425" s="407">
        <v>1417</v>
      </c>
      <c r="B1425" s="438"/>
      <c r="C1425" s="438"/>
      <c r="D1425" s="438"/>
      <c r="E1425" s="438"/>
      <c r="F1425" s="438"/>
      <c r="G1425" s="438"/>
      <c r="H1425" s="438"/>
      <c r="I1425" s="438"/>
      <c r="J1425" s="11"/>
      <c r="Q1425" s="348" t="str">
        <f t="shared" si="184"/>
        <v/>
      </c>
      <c r="R1425" s="348" t="str">
        <f t="shared" si="185"/>
        <v/>
      </c>
      <c r="S1425" s="348" t="str">
        <f t="shared" si="186"/>
        <v/>
      </c>
      <c r="T1425" s="348" t="str">
        <f t="shared" si="187"/>
        <v/>
      </c>
      <c r="U1425" s="348" t="str">
        <f t="shared" si="188"/>
        <v/>
      </c>
      <c r="V1425" s="348" t="str">
        <f t="shared" si="189"/>
        <v/>
      </c>
      <c r="W1425" s="348" t="str">
        <f t="shared" si="190"/>
        <v/>
      </c>
      <c r="X1425" s="348" t="str">
        <f t="shared" si="191"/>
        <v/>
      </c>
    </row>
    <row r="1426" spans="1:24" x14ac:dyDescent="0.2">
      <c r="A1426" s="407">
        <v>1418</v>
      </c>
      <c r="B1426" s="437"/>
      <c r="C1426" s="438"/>
      <c r="D1426" s="438"/>
      <c r="E1426" s="438"/>
      <c r="F1426" s="438"/>
      <c r="G1426" s="438"/>
      <c r="H1426" s="438"/>
      <c r="I1426" s="438"/>
      <c r="J1426" s="11"/>
      <c r="Q1426" s="348" t="str">
        <f t="shared" si="184"/>
        <v/>
      </c>
      <c r="R1426" s="348" t="str">
        <f t="shared" si="185"/>
        <v/>
      </c>
      <c r="S1426" s="348" t="str">
        <f t="shared" si="186"/>
        <v/>
      </c>
      <c r="T1426" s="348" t="str">
        <f t="shared" si="187"/>
        <v/>
      </c>
      <c r="U1426" s="348" t="str">
        <f t="shared" si="188"/>
        <v/>
      </c>
      <c r="V1426" s="348" t="str">
        <f t="shared" si="189"/>
        <v/>
      </c>
      <c r="W1426" s="348" t="str">
        <f t="shared" si="190"/>
        <v/>
      </c>
      <c r="X1426" s="348" t="str">
        <f t="shared" si="191"/>
        <v/>
      </c>
    </row>
    <row r="1427" spans="1:24" x14ac:dyDescent="0.2">
      <c r="A1427" s="407">
        <v>1419</v>
      </c>
      <c r="B1427" s="438"/>
      <c r="C1427" s="438"/>
      <c r="D1427" s="438"/>
      <c r="E1427" s="438"/>
      <c r="F1427" s="438"/>
      <c r="G1427" s="438"/>
      <c r="H1427" s="438"/>
      <c r="I1427" s="438"/>
      <c r="J1427" s="11"/>
      <c r="Q1427" s="348" t="str">
        <f t="shared" si="184"/>
        <v/>
      </c>
      <c r="R1427" s="348" t="str">
        <f t="shared" si="185"/>
        <v/>
      </c>
      <c r="S1427" s="348" t="str">
        <f t="shared" si="186"/>
        <v/>
      </c>
      <c r="T1427" s="348" t="str">
        <f t="shared" si="187"/>
        <v/>
      </c>
      <c r="U1427" s="348" t="str">
        <f t="shared" si="188"/>
        <v/>
      </c>
      <c r="V1427" s="348" t="str">
        <f t="shared" si="189"/>
        <v/>
      </c>
      <c r="W1427" s="348" t="str">
        <f t="shared" si="190"/>
        <v/>
      </c>
      <c r="X1427" s="348" t="str">
        <f t="shared" si="191"/>
        <v/>
      </c>
    </row>
    <row r="1428" spans="1:24" x14ac:dyDescent="0.2">
      <c r="A1428" s="407">
        <v>1420</v>
      </c>
      <c r="B1428" s="438"/>
      <c r="C1428" s="438"/>
      <c r="D1428" s="438"/>
      <c r="E1428" s="438"/>
      <c r="F1428" s="438"/>
      <c r="G1428" s="438"/>
      <c r="H1428" s="438"/>
      <c r="I1428" s="438"/>
      <c r="J1428" s="11"/>
      <c r="Q1428" s="348" t="str">
        <f t="shared" si="184"/>
        <v/>
      </c>
      <c r="R1428" s="348" t="str">
        <f t="shared" si="185"/>
        <v/>
      </c>
      <c r="S1428" s="348" t="str">
        <f t="shared" si="186"/>
        <v/>
      </c>
      <c r="T1428" s="348" t="str">
        <f t="shared" si="187"/>
        <v/>
      </c>
      <c r="U1428" s="348" t="str">
        <f t="shared" si="188"/>
        <v/>
      </c>
      <c r="V1428" s="348" t="str">
        <f t="shared" si="189"/>
        <v/>
      </c>
      <c r="W1428" s="348" t="str">
        <f t="shared" si="190"/>
        <v/>
      </c>
      <c r="X1428" s="348" t="str">
        <f t="shared" si="191"/>
        <v/>
      </c>
    </row>
    <row r="1429" spans="1:24" x14ac:dyDescent="0.2">
      <c r="A1429" s="407">
        <v>1421</v>
      </c>
      <c r="B1429" s="438"/>
      <c r="C1429" s="438"/>
      <c r="D1429" s="438"/>
      <c r="E1429" s="438"/>
      <c r="F1429" s="438"/>
      <c r="G1429" s="438"/>
      <c r="H1429" s="438"/>
      <c r="I1429" s="438"/>
      <c r="J1429" s="11"/>
      <c r="Q1429" s="348" t="str">
        <f t="shared" si="184"/>
        <v/>
      </c>
      <c r="R1429" s="348" t="str">
        <f t="shared" si="185"/>
        <v/>
      </c>
      <c r="S1429" s="348" t="str">
        <f t="shared" si="186"/>
        <v/>
      </c>
      <c r="T1429" s="348" t="str">
        <f t="shared" si="187"/>
        <v/>
      </c>
      <c r="U1429" s="348" t="str">
        <f t="shared" si="188"/>
        <v/>
      </c>
      <c r="V1429" s="348" t="str">
        <f t="shared" si="189"/>
        <v/>
      </c>
      <c r="W1429" s="348" t="str">
        <f t="shared" si="190"/>
        <v/>
      </c>
      <c r="X1429" s="348" t="str">
        <f t="shared" si="191"/>
        <v/>
      </c>
    </row>
    <row r="1430" spans="1:24" x14ac:dyDescent="0.2">
      <c r="A1430" s="407">
        <v>1422</v>
      </c>
      <c r="B1430" s="438"/>
      <c r="C1430" s="438"/>
      <c r="D1430" s="438"/>
      <c r="E1430" s="438"/>
      <c r="F1430" s="438"/>
      <c r="G1430" s="438"/>
      <c r="H1430" s="438"/>
      <c r="I1430" s="438"/>
      <c r="J1430" s="11"/>
      <c r="Q1430" s="348" t="str">
        <f t="shared" si="184"/>
        <v/>
      </c>
      <c r="R1430" s="348" t="str">
        <f t="shared" si="185"/>
        <v/>
      </c>
      <c r="S1430" s="348" t="str">
        <f t="shared" si="186"/>
        <v/>
      </c>
      <c r="T1430" s="348" t="str">
        <f t="shared" si="187"/>
        <v/>
      </c>
      <c r="U1430" s="348" t="str">
        <f t="shared" si="188"/>
        <v/>
      </c>
      <c r="V1430" s="348" t="str">
        <f t="shared" si="189"/>
        <v/>
      </c>
      <c r="W1430" s="348" t="str">
        <f t="shared" si="190"/>
        <v/>
      </c>
      <c r="X1430" s="348" t="str">
        <f t="shared" si="191"/>
        <v/>
      </c>
    </row>
    <row r="1431" spans="1:24" x14ac:dyDescent="0.2">
      <c r="A1431" s="407">
        <v>1423</v>
      </c>
      <c r="B1431" s="438"/>
      <c r="C1431" s="438"/>
      <c r="D1431" s="438"/>
      <c r="E1431" s="438"/>
      <c r="F1431" s="438"/>
      <c r="G1431" s="438"/>
      <c r="H1431" s="438"/>
      <c r="I1431" s="438"/>
      <c r="J1431" s="11"/>
      <c r="Q1431" s="348" t="str">
        <f t="shared" si="184"/>
        <v/>
      </c>
      <c r="R1431" s="348" t="str">
        <f t="shared" si="185"/>
        <v/>
      </c>
      <c r="S1431" s="348" t="str">
        <f t="shared" si="186"/>
        <v/>
      </c>
      <c r="T1431" s="348" t="str">
        <f t="shared" si="187"/>
        <v/>
      </c>
      <c r="U1431" s="348" t="str">
        <f t="shared" si="188"/>
        <v/>
      </c>
      <c r="V1431" s="348" t="str">
        <f t="shared" si="189"/>
        <v/>
      </c>
      <c r="W1431" s="348" t="str">
        <f t="shared" si="190"/>
        <v/>
      </c>
      <c r="X1431" s="348" t="str">
        <f t="shared" si="191"/>
        <v/>
      </c>
    </row>
    <row r="1432" spans="1:24" x14ac:dyDescent="0.2">
      <c r="A1432" s="407">
        <v>1424</v>
      </c>
      <c r="B1432" s="438"/>
      <c r="C1432" s="438"/>
      <c r="D1432" s="438"/>
      <c r="E1432" s="438"/>
      <c r="F1432" s="438"/>
      <c r="G1432" s="438"/>
      <c r="H1432" s="438"/>
      <c r="I1432" s="438"/>
      <c r="J1432" s="11"/>
      <c r="Q1432" s="348" t="str">
        <f t="shared" si="184"/>
        <v/>
      </c>
      <c r="R1432" s="348" t="str">
        <f t="shared" si="185"/>
        <v/>
      </c>
      <c r="S1432" s="348" t="str">
        <f t="shared" si="186"/>
        <v/>
      </c>
      <c r="T1432" s="348" t="str">
        <f t="shared" si="187"/>
        <v/>
      </c>
      <c r="U1432" s="348" t="str">
        <f t="shared" si="188"/>
        <v/>
      </c>
      <c r="V1432" s="348" t="str">
        <f t="shared" si="189"/>
        <v/>
      </c>
      <c r="W1432" s="348" t="str">
        <f t="shared" si="190"/>
        <v/>
      </c>
      <c r="X1432" s="348" t="str">
        <f t="shared" si="191"/>
        <v/>
      </c>
    </row>
    <row r="1433" spans="1:24" x14ac:dyDescent="0.2">
      <c r="A1433" s="407">
        <v>1425</v>
      </c>
      <c r="B1433" s="438"/>
      <c r="C1433" s="438"/>
      <c r="D1433" s="438"/>
      <c r="E1433" s="438"/>
      <c r="F1433" s="438"/>
      <c r="G1433" s="438"/>
      <c r="H1433" s="438"/>
      <c r="I1433" s="437"/>
      <c r="J1433" s="11"/>
      <c r="Q1433" s="348" t="str">
        <f t="shared" si="184"/>
        <v/>
      </c>
      <c r="R1433" s="348" t="str">
        <f t="shared" si="185"/>
        <v/>
      </c>
      <c r="S1433" s="348" t="str">
        <f t="shared" si="186"/>
        <v/>
      </c>
      <c r="T1433" s="348" t="str">
        <f t="shared" si="187"/>
        <v/>
      </c>
      <c r="U1433" s="348" t="str">
        <f t="shared" si="188"/>
        <v/>
      </c>
      <c r="V1433" s="348" t="str">
        <f t="shared" si="189"/>
        <v/>
      </c>
      <c r="W1433" s="348" t="str">
        <f t="shared" si="190"/>
        <v/>
      </c>
      <c r="X1433" s="348" t="str">
        <f t="shared" si="191"/>
        <v/>
      </c>
    </row>
    <row r="1434" spans="1:24" x14ac:dyDescent="0.2">
      <c r="A1434" s="407">
        <v>1426</v>
      </c>
      <c r="B1434" s="438"/>
      <c r="C1434" s="438"/>
      <c r="D1434" s="438"/>
      <c r="E1434" s="437"/>
      <c r="F1434" s="437"/>
      <c r="G1434" s="437"/>
      <c r="H1434" s="437"/>
      <c r="I1434" s="438"/>
      <c r="J1434" s="11"/>
      <c r="Q1434" s="348" t="str">
        <f t="shared" si="184"/>
        <v/>
      </c>
      <c r="R1434" s="348" t="str">
        <f t="shared" si="185"/>
        <v/>
      </c>
      <c r="S1434" s="348" t="str">
        <f t="shared" si="186"/>
        <v/>
      </c>
      <c r="T1434" s="348" t="str">
        <f t="shared" si="187"/>
        <v/>
      </c>
      <c r="U1434" s="348" t="str">
        <f t="shared" si="188"/>
        <v/>
      </c>
      <c r="V1434" s="348" t="str">
        <f t="shared" si="189"/>
        <v/>
      </c>
      <c r="W1434" s="348" t="str">
        <f t="shared" si="190"/>
        <v/>
      </c>
      <c r="X1434" s="348" t="str">
        <f t="shared" si="191"/>
        <v/>
      </c>
    </row>
    <row r="1435" spans="1:24" x14ac:dyDescent="0.2">
      <c r="A1435" s="407">
        <v>1427</v>
      </c>
      <c r="B1435" s="438"/>
      <c r="C1435" s="438"/>
      <c r="D1435" s="438"/>
      <c r="E1435" s="438"/>
      <c r="F1435" s="438"/>
      <c r="G1435" s="438"/>
      <c r="H1435" s="438"/>
      <c r="I1435" s="438"/>
      <c r="J1435" s="11"/>
      <c r="Q1435" s="348" t="str">
        <f t="shared" si="184"/>
        <v/>
      </c>
      <c r="R1435" s="348" t="str">
        <f t="shared" si="185"/>
        <v/>
      </c>
      <c r="S1435" s="348" t="str">
        <f t="shared" si="186"/>
        <v/>
      </c>
      <c r="T1435" s="348" t="str">
        <f t="shared" si="187"/>
        <v/>
      </c>
      <c r="U1435" s="348" t="str">
        <f t="shared" si="188"/>
        <v/>
      </c>
      <c r="V1435" s="348" t="str">
        <f t="shared" si="189"/>
        <v/>
      </c>
      <c r="W1435" s="348" t="str">
        <f t="shared" si="190"/>
        <v/>
      </c>
      <c r="X1435" s="348" t="str">
        <f t="shared" si="191"/>
        <v/>
      </c>
    </row>
    <row r="1436" spans="1:24" x14ac:dyDescent="0.2">
      <c r="A1436" s="407">
        <v>1428</v>
      </c>
      <c r="B1436" s="438"/>
      <c r="C1436" s="438"/>
      <c r="D1436" s="438"/>
      <c r="E1436" s="438"/>
      <c r="F1436" s="438"/>
      <c r="G1436" s="438"/>
      <c r="H1436" s="438"/>
      <c r="I1436" s="438"/>
      <c r="J1436" s="11"/>
      <c r="Q1436" s="348" t="str">
        <f t="shared" si="184"/>
        <v/>
      </c>
      <c r="R1436" s="348" t="str">
        <f t="shared" si="185"/>
        <v/>
      </c>
      <c r="S1436" s="348" t="str">
        <f t="shared" si="186"/>
        <v/>
      </c>
      <c r="T1436" s="348" t="str">
        <f t="shared" si="187"/>
        <v/>
      </c>
      <c r="U1436" s="348" t="str">
        <f t="shared" si="188"/>
        <v/>
      </c>
      <c r="V1436" s="348" t="str">
        <f t="shared" si="189"/>
        <v/>
      </c>
      <c r="W1436" s="348" t="str">
        <f t="shared" si="190"/>
        <v/>
      </c>
      <c r="X1436" s="348" t="str">
        <f t="shared" si="191"/>
        <v/>
      </c>
    </row>
    <row r="1437" spans="1:24" x14ac:dyDescent="0.2">
      <c r="A1437" s="407">
        <v>1429</v>
      </c>
      <c r="B1437" s="438"/>
      <c r="C1437" s="438"/>
      <c r="D1437" s="438"/>
      <c r="E1437" s="438"/>
      <c r="F1437" s="438"/>
      <c r="G1437" s="438"/>
      <c r="H1437" s="438"/>
      <c r="I1437" s="438"/>
      <c r="J1437" s="11"/>
      <c r="Q1437" s="348" t="str">
        <f t="shared" si="184"/>
        <v/>
      </c>
      <c r="R1437" s="348" t="str">
        <f t="shared" si="185"/>
        <v/>
      </c>
      <c r="S1437" s="348" t="str">
        <f t="shared" si="186"/>
        <v/>
      </c>
      <c r="T1437" s="348" t="str">
        <f t="shared" si="187"/>
        <v/>
      </c>
      <c r="U1437" s="348" t="str">
        <f t="shared" si="188"/>
        <v/>
      </c>
      <c r="V1437" s="348" t="str">
        <f t="shared" si="189"/>
        <v/>
      </c>
      <c r="W1437" s="348" t="str">
        <f t="shared" si="190"/>
        <v/>
      </c>
      <c r="X1437" s="348" t="str">
        <f t="shared" si="191"/>
        <v/>
      </c>
    </row>
    <row r="1438" spans="1:24" x14ac:dyDescent="0.2">
      <c r="A1438" s="407">
        <v>1430</v>
      </c>
      <c r="B1438" s="438"/>
      <c r="C1438" s="438"/>
      <c r="D1438" s="438"/>
      <c r="E1438" s="438"/>
      <c r="F1438" s="438"/>
      <c r="G1438" s="438"/>
      <c r="H1438" s="438"/>
      <c r="I1438" s="438"/>
      <c r="J1438" s="11"/>
      <c r="Q1438" s="348" t="str">
        <f t="shared" si="184"/>
        <v/>
      </c>
      <c r="R1438" s="348" t="str">
        <f t="shared" si="185"/>
        <v/>
      </c>
      <c r="S1438" s="348" t="str">
        <f t="shared" si="186"/>
        <v/>
      </c>
      <c r="T1438" s="348" t="str">
        <f t="shared" si="187"/>
        <v/>
      </c>
      <c r="U1438" s="348" t="str">
        <f t="shared" si="188"/>
        <v/>
      </c>
      <c r="V1438" s="348" t="str">
        <f t="shared" si="189"/>
        <v/>
      </c>
      <c r="W1438" s="348" t="str">
        <f t="shared" si="190"/>
        <v/>
      </c>
      <c r="X1438" s="348" t="str">
        <f t="shared" si="191"/>
        <v/>
      </c>
    </row>
    <row r="1439" spans="1:24" x14ac:dyDescent="0.2">
      <c r="A1439" s="407">
        <v>1431</v>
      </c>
      <c r="B1439" s="438"/>
      <c r="C1439" s="438"/>
      <c r="D1439" s="438"/>
      <c r="E1439" s="438"/>
      <c r="F1439" s="438"/>
      <c r="G1439" s="438"/>
      <c r="H1439" s="438"/>
      <c r="I1439" s="438"/>
      <c r="J1439" s="11"/>
      <c r="Q1439" s="348" t="str">
        <f t="shared" si="184"/>
        <v/>
      </c>
      <c r="R1439" s="348" t="str">
        <f t="shared" si="185"/>
        <v/>
      </c>
      <c r="S1439" s="348" t="str">
        <f t="shared" si="186"/>
        <v/>
      </c>
      <c r="T1439" s="348" t="str">
        <f t="shared" si="187"/>
        <v/>
      </c>
      <c r="U1439" s="348" t="str">
        <f t="shared" si="188"/>
        <v/>
      </c>
      <c r="V1439" s="348" t="str">
        <f t="shared" si="189"/>
        <v/>
      </c>
      <c r="W1439" s="348" t="str">
        <f t="shared" si="190"/>
        <v/>
      </c>
      <c r="X1439" s="348" t="str">
        <f t="shared" si="191"/>
        <v/>
      </c>
    </row>
    <row r="1440" spans="1:24" x14ac:dyDescent="0.2">
      <c r="A1440" s="407">
        <v>1432</v>
      </c>
      <c r="B1440" s="438"/>
      <c r="C1440" s="438"/>
      <c r="D1440" s="438"/>
      <c r="E1440" s="438"/>
      <c r="F1440" s="438"/>
      <c r="G1440" s="438"/>
      <c r="H1440" s="438"/>
      <c r="I1440" s="438"/>
      <c r="J1440" s="11"/>
      <c r="Q1440" s="348" t="str">
        <f t="shared" si="184"/>
        <v/>
      </c>
      <c r="R1440" s="348" t="str">
        <f t="shared" si="185"/>
        <v/>
      </c>
      <c r="S1440" s="348" t="str">
        <f t="shared" si="186"/>
        <v/>
      </c>
      <c r="T1440" s="348" t="str">
        <f t="shared" si="187"/>
        <v/>
      </c>
      <c r="U1440" s="348" t="str">
        <f t="shared" si="188"/>
        <v/>
      </c>
      <c r="V1440" s="348" t="str">
        <f t="shared" si="189"/>
        <v/>
      </c>
      <c r="W1440" s="348" t="str">
        <f t="shared" si="190"/>
        <v/>
      </c>
      <c r="X1440" s="348" t="str">
        <f t="shared" si="191"/>
        <v/>
      </c>
    </row>
    <row r="1441" spans="1:24" x14ac:dyDescent="0.2">
      <c r="A1441" s="407">
        <v>1433</v>
      </c>
      <c r="B1441" s="438"/>
      <c r="C1441" s="438"/>
      <c r="D1441" s="437"/>
      <c r="E1441" s="438"/>
      <c r="F1441" s="438"/>
      <c r="G1441" s="438"/>
      <c r="H1441" s="438"/>
      <c r="I1441" s="438"/>
      <c r="J1441" s="11"/>
      <c r="Q1441" s="348" t="str">
        <f t="shared" si="184"/>
        <v/>
      </c>
      <c r="R1441" s="348" t="str">
        <f t="shared" si="185"/>
        <v/>
      </c>
      <c r="S1441" s="348" t="str">
        <f t="shared" si="186"/>
        <v/>
      </c>
      <c r="T1441" s="348" t="str">
        <f t="shared" si="187"/>
        <v/>
      </c>
      <c r="U1441" s="348" t="str">
        <f t="shared" si="188"/>
        <v/>
      </c>
      <c r="V1441" s="348" t="str">
        <f t="shared" si="189"/>
        <v/>
      </c>
      <c r="W1441" s="348" t="str">
        <f t="shared" si="190"/>
        <v/>
      </c>
      <c r="X1441" s="348" t="str">
        <f t="shared" si="191"/>
        <v/>
      </c>
    </row>
    <row r="1442" spans="1:24" x14ac:dyDescent="0.2">
      <c r="A1442" s="407">
        <v>1434</v>
      </c>
      <c r="B1442" s="438"/>
      <c r="C1442" s="438"/>
      <c r="D1442" s="438"/>
      <c r="E1442" s="438"/>
      <c r="F1442" s="438"/>
      <c r="G1442" s="438"/>
      <c r="H1442" s="438"/>
      <c r="I1442" s="438"/>
      <c r="J1442" s="11"/>
      <c r="Q1442" s="348" t="str">
        <f t="shared" si="184"/>
        <v/>
      </c>
      <c r="R1442" s="348" t="str">
        <f t="shared" si="185"/>
        <v/>
      </c>
      <c r="S1442" s="348" t="str">
        <f t="shared" si="186"/>
        <v/>
      </c>
      <c r="T1442" s="348" t="str">
        <f t="shared" si="187"/>
        <v/>
      </c>
      <c r="U1442" s="348" t="str">
        <f t="shared" si="188"/>
        <v/>
      </c>
      <c r="V1442" s="348" t="str">
        <f t="shared" si="189"/>
        <v/>
      </c>
      <c r="W1442" s="348" t="str">
        <f t="shared" si="190"/>
        <v/>
      </c>
      <c r="X1442" s="348" t="str">
        <f t="shared" si="191"/>
        <v/>
      </c>
    </row>
    <row r="1443" spans="1:24" x14ac:dyDescent="0.2">
      <c r="A1443" s="407">
        <v>1435</v>
      </c>
      <c r="B1443" s="438"/>
      <c r="C1443" s="438"/>
      <c r="D1443" s="438"/>
      <c r="E1443" s="438"/>
      <c r="F1443" s="438"/>
      <c r="G1443" s="438"/>
      <c r="H1443" s="438"/>
      <c r="I1443" s="438"/>
      <c r="J1443" s="11"/>
      <c r="Q1443" s="348" t="str">
        <f t="shared" si="184"/>
        <v/>
      </c>
      <c r="R1443" s="348" t="str">
        <f t="shared" si="185"/>
        <v/>
      </c>
      <c r="S1443" s="348" t="str">
        <f t="shared" si="186"/>
        <v/>
      </c>
      <c r="T1443" s="348" t="str">
        <f t="shared" si="187"/>
        <v/>
      </c>
      <c r="U1443" s="348" t="str">
        <f t="shared" si="188"/>
        <v/>
      </c>
      <c r="V1443" s="348" t="str">
        <f t="shared" si="189"/>
        <v/>
      </c>
      <c r="W1443" s="348" t="str">
        <f t="shared" si="190"/>
        <v/>
      </c>
      <c r="X1443" s="348" t="str">
        <f t="shared" si="191"/>
        <v/>
      </c>
    </row>
    <row r="1444" spans="1:24" x14ac:dyDescent="0.2">
      <c r="A1444" s="407">
        <v>1436</v>
      </c>
      <c r="B1444" s="438"/>
      <c r="C1444" s="437"/>
      <c r="D1444" s="438"/>
      <c r="E1444" s="438"/>
      <c r="F1444" s="438"/>
      <c r="G1444" s="438"/>
      <c r="H1444" s="438"/>
      <c r="I1444" s="438"/>
      <c r="J1444" s="11"/>
      <c r="Q1444" s="348" t="str">
        <f t="shared" si="184"/>
        <v/>
      </c>
      <c r="R1444" s="348" t="str">
        <f t="shared" si="185"/>
        <v/>
      </c>
      <c r="S1444" s="348" t="str">
        <f t="shared" si="186"/>
        <v/>
      </c>
      <c r="T1444" s="348" t="str">
        <f t="shared" si="187"/>
        <v/>
      </c>
      <c r="U1444" s="348" t="str">
        <f t="shared" si="188"/>
        <v/>
      </c>
      <c r="V1444" s="348" t="str">
        <f t="shared" si="189"/>
        <v/>
      </c>
      <c r="W1444" s="348" t="str">
        <f t="shared" si="190"/>
        <v/>
      </c>
      <c r="X1444" s="348" t="str">
        <f t="shared" si="191"/>
        <v/>
      </c>
    </row>
    <row r="1445" spans="1:24" x14ac:dyDescent="0.2">
      <c r="A1445" s="407">
        <v>1437</v>
      </c>
      <c r="B1445" s="437"/>
      <c r="C1445" s="438"/>
      <c r="D1445" s="438"/>
      <c r="E1445" s="438"/>
      <c r="F1445" s="438"/>
      <c r="G1445" s="438"/>
      <c r="H1445" s="438"/>
      <c r="I1445" s="438"/>
      <c r="J1445" s="11"/>
      <c r="Q1445" s="348" t="str">
        <f t="shared" si="184"/>
        <v/>
      </c>
      <c r="R1445" s="348" t="str">
        <f t="shared" si="185"/>
        <v/>
      </c>
      <c r="S1445" s="348" t="str">
        <f t="shared" si="186"/>
        <v/>
      </c>
      <c r="T1445" s="348" t="str">
        <f t="shared" si="187"/>
        <v/>
      </c>
      <c r="U1445" s="348" t="str">
        <f t="shared" si="188"/>
        <v/>
      </c>
      <c r="V1445" s="348" t="str">
        <f t="shared" si="189"/>
        <v/>
      </c>
      <c r="W1445" s="348" t="str">
        <f t="shared" si="190"/>
        <v/>
      </c>
      <c r="X1445" s="348" t="str">
        <f t="shared" si="191"/>
        <v/>
      </c>
    </row>
    <row r="1446" spans="1:24" x14ac:dyDescent="0.2">
      <c r="A1446" s="407">
        <v>1438</v>
      </c>
      <c r="B1446" s="438"/>
      <c r="C1446" s="438"/>
      <c r="D1446" s="438"/>
      <c r="E1446" s="438"/>
      <c r="F1446" s="438"/>
      <c r="G1446" s="438"/>
      <c r="H1446" s="438"/>
      <c r="I1446" s="438"/>
      <c r="J1446" s="11"/>
      <c r="Q1446" s="348" t="str">
        <f t="shared" si="184"/>
        <v/>
      </c>
      <c r="R1446" s="348" t="str">
        <f t="shared" si="185"/>
        <v/>
      </c>
      <c r="S1446" s="348" t="str">
        <f t="shared" si="186"/>
        <v/>
      </c>
      <c r="T1446" s="348" t="str">
        <f t="shared" si="187"/>
        <v/>
      </c>
      <c r="U1446" s="348" t="str">
        <f t="shared" si="188"/>
        <v/>
      </c>
      <c r="V1446" s="348" t="str">
        <f t="shared" si="189"/>
        <v/>
      </c>
      <c r="W1446" s="348" t="str">
        <f t="shared" si="190"/>
        <v/>
      </c>
      <c r="X1446" s="348" t="str">
        <f t="shared" si="191"/>
        <v/>
      </c>
    </row>
    <row r="1447" spans="1:24" x14ac:dyDescent="0.2">
      <c r="A1447" s="407">
        <v>1439</v>
      </c>
      <c r="B1447" s="438"/>
      <c r="C1447" s="438"/>
      <c r="D1447" s="438"/>
      <c r="E1447" s="438"/>
      <c r="F1447" s="438"/>
      <c r="G1447" s="438"/>
      <c r="H1447" s="438"/>
      <c r="I1447" s="438"/>
      <c r="J1447" s="11"/>
      <c r="Q1447" s="348" t="str">
        <f t="shared" si="184"/>
        <v/>
      </c>
      <c r="R1447" s="348" t="str">
        <f t="shared" si="185"/>
        <v/>
      </c>
      <c r="S1447" s="348" t="str">
        <f t="shared" si="186"/>
        <v/>
      </c>
      <c r="T1447" s="348" t="str">
        <f t="shared" si="187"/>
        <v/>
      </c>
      <c r="U1447" s="348" t="str">
        <f t="shared" si="188"/>
        <v/>
      </c>
      <c r="V1447" s="348" t="str">
        <f t="shared" si="189"/>
        <v/>
      </c>
      <c r="W1447" s="348" t="str">
        <f t="shared" si="190"/>
        <v/>
      </c>
      <c r="X1447" s="348" t="str">
        <f t="shared" si="191"/>
        <v/>
      </c>
    </row>
    <row r="1448" spans="1:24" x14ac:dyDescent="0.2">
      <c r="A1448" s="407">
        <v>1440</v>
      </c>
      <c r="B1448" s="438"/>
      <c r="C1448" s="438"/>
      <c r="D1448" s="438"/>
      <c r="E1448" s="438"/>
      <c r="F1448" s="438"/>
      <c r="G1448" s="438"/>
      <c r="H1448" s="438"/>
      <c r="I1448" s="438"/>
      <c r="J1448" s="11"/>
      <c r="Q1448" s="348" t="str">
        <f t="shared" si="184"/>
        <v/>
      </c>
      <c r="R1448" s="348" t="str">
        <f t="shared" si="185"/>
        <v/>
      </c>
      <c r="S1448" s="348" t="str">
        <f t="shared" si="186"/>
        <v/>
      </c>
      <c r="T1448" s="348" t="str">
        <f t="shared" si="187"/>
        <v/>
      </c>
      <c r="U1448" s="348" t="str">
        <f t="shared" si="188"/>
        <v/>
      </c>
      <c r="V1448" s="348" t="str">
        <f t="shared" si="189"/>
        <v/>
      </c>
      <c r="W1448" s="348" t="str">
        <f t="shared" si="190"/>
        <v/>
      </c>
      <c r="X1448" s="348" t="str">
        <f t="shared" si="191"/>
        <v/>
      </c>
    </row>
    <row r="1449" spans="1:24" x14ac:dyDescent="0.2">
      <c r="A1449" s="407">
        <v>1441</v>
      </c>
      <c r="B1449" s="438"/>
      <c r="C1449" s="438"/>
      <c r="D1449" s="438"/>
      <c r="E1449" s="438"/>
      <c r="F1449" s="438"/>
      <c r="G1449" s="438"/>
      <c r="H1449" s="438"/>
      <c r="I1449" s="438"/>
      <c r="J1449" s="11"/>
      <c r="Q1449" s="348" t="str">
        <f t="shared" si="184"/>
        <v/>
      </c>
      <c r="R1449" s="348" t="str">
        <f t="shared" si="185"/>
        <v/>
      </c>
      <c r="S1449" s="348" t="str">
        <f t="shared" si="186"/>
        <v/>
      </c>
      <c r="T1449" s="348" t="str">
        <f t="shared" si="187"/>
        <v/>
      </c>
      <c r="U1449" s="348" t="str">
        <f t="shared" si="188"/>
        <v/>
      </c>
      <c r="V1449" s="348" t="str">
        <f t="shared" si="189"/>
        <v/>
      </c>
      <c r="W1449" s="348" t="str">
        <f t="shared" si="190"/>
        <v/>
      </c>
      <c r="X1449" s="348" t="str">
        <f t="shared" si="191"/>
        <v/>
      </c>
    </row>
    <row r="1450" spans="1:24" x14ac:dyDescent="0.2">
      <c r="A1450" s="407">
        <v>1442</v>
      </c>
      <c r="B1450" s="438"/>
      <c r="C1450" s="438"/>
      <c r="D1450" s="438"/>
      <c r="E1450" s="438"/>
      <c r="F1450" s="438"/>
      <c r="G1450" s="438"/>
      <c r="H1450" s="438"/>
      <c r="I1450" s="438"/>
      <c r="J1450" s="11"/>
      <c r="Q1450" s="348" t="str">
        <f t="shared" si="184"/>
        <v/>
      </c>
      <c r="R1450" s="348" t="str">
        <f t="shared" si="185"/>
        <v/>
      </c>
      <c r="S1450" s="348" t="str">
        <f t="shared" si="186"/>
        <v/>
      </c>
      <c r="T1450" s="348" t="str">
        <f t="shared" si="187"/>
        <v/>
      </c>
      <c r="U1450" s="348" t="str">
        <f t="shared" si="188"/>
        <v/>
      </c>
      <c r="V1450" s="348" t="str">
        <f t="shared" si="189"/>
        <v/>
      </c>
      <c r="W1450" s="348" t="str">
        <f t="shared" si="190"/>
        <v/>
      </c>
      <c r="X1450" s="348" t="str">
        <f t="shared" si="191"/>
        <v/>
      </c>
    </row>
    <row r="1451" spans="1:24" x14ac:dyDescent="0.2">
      <c r="A1451" s="407">
        <v>1443</v>
      </c>
      <c r="B1451" s="438"/>
      <c r="C1451" s="438"/>
      <c r="D1451" s="438"/>
      <c r="E1451" s="438"/>
      <c r="F1451" s="438"/>
      <c r="G1451" s="438"/>
      <c r="H1451" s="438"/>
      <c r="I1451" s="438"/>
      <c r="J1451" s="11"/>
      <c r="Q1451" s="348" t="str">
        <f t="shared" si="184"/>
        <v/>
      </c>
      <c r="R1451" s="348" t="str">
        <f t="shared" si="185"/>
        <v/>
      </c>
      <c r="S1451" s="348" t="str">
        <f t="shared" si="186"/>
        <v/>
      </c>
      <c r="T1451" s="348" t="str">
        <f t="shared" si="187"/>
        <v/>
      </c>
      <c r="U1451" s="348" t="str">
        <f t="shared" si="188"/>
        <v/>
      </c>
      <c r="V1451" s="348" t="str">
        <f t="shared" si="189"/>
        <v/>
      </c>
      <c r="W1451" s="348" t="str">
        <f t="shared" si="190"/>
        <v/>
      </c>
      <c r="X1451" s="348" t="str">
        <f t="shared" si="191"/>
        <v/>
      </c>
    </row>
    <row r="1452" spans="1:24" x14ac:dyDescent="0.2">
      <c r="A1452" s="407">
        <v>1444</v>
      </c>
      <c r="B1452" s="438"/>
      <c r="C1452" s="438"/>
      <c r="D1452" s="438"/>
      <c r="E1452" s="438"/>
      <c r="F1452" s="438"/>
      <c r="G1452" s="438"/>
      <c r="H1452" s="438"/>
      <c r="I1452" s="438"/>
      <c r="J1452" s="11"/>
      <c r="Q1452" s="348" t="str">
        <f t="shared" si="184"/>
        <v/>
      </c>
      <c r="R1452" s="348" t="str">
        <f t="shared" si="185"/>
        <v/>
      </c>
      <c r="S1452" s="348" t="str">
        <f t="shared" si="186"/>
        <v/>
      </c>
      <c r="T1452" s="348" t="str">
        <f t="shared" si="187"/>
        <v/>
      </c>
      <c r="U1452" s="348" t="str">
        <f t="shared" si="188"/>
        <v/>
      </c>
      <c r="V1452" s="348" t="str">
        <f t="shared" si="189"/>
        <v/>
      </c>
      <c r="W1452" s="348" t="str">
        <f t="shared" si="190"/>
        <v/>
      </c>
      <c r="X1452" s="348" t="str">
        <f t="shared" si="191"/>
        <v/>
      </c>
    </row>
    <row r="1453" spans="1:24" x14ac:dyDescent="0.2">
      <c r="A1453" s="407">
        <v>1445</v>
      </c>
      <c r="B1453" s="438"/>
      <c r="C1453" s="438"/>
      <c r="D1453" s="438"/>
      <c r="E1453" s="438"/>
      <c r="F1453" s="438"/>
      <c r="G1453" s="438"/>
      <c r="H1453" s="438"/>
      <c r="I1453" s="438"/>
      <c r="J1453" s="11"/>
      <c r="Q1453" s="348" t="str">
        <f t="shared" si="184"/>
        <v/>
      </c>
      <c r="R1453" s="348" t="str">
        <f t="shared" si="185"/>
        <v/>
      </c>
      <c r="S1453" s="348" t="str">
        <f t="shared" si="186"/>
        <v/>
      </c>
      <c r="T1453" s="348" t="str">
        <f t="shared" si="187"/>
        <v/>
      </c>
      <c r="U1453" s="348" t="str">
        <f t="shared" si="188"/>
        <v/>
      </c>
      <c r="V1453" s="348" t="str">
        <f t="shared" si="189"/>
        <v/>
      </c>
      <c r="W1453" s="348" t="str">
        <f t="shared" si="190"/>
        <v/>
      </c>
      <c r="X1453" s="348" t="str">
        <f t="shared" si="191"/>
        <v/>
      </c>
    </row>
    <row r="1454" spans="1:24" x14ac:dyDescent="0.2">
      <c r="A1454" s="407">
        <v>1446</v>
      </c>
      <c r="B1454" s="438"/>
      <c r="C1454" s="438"/>
      <c r="D1454" s="438"/>
      <c r="E1454" s="438"/>
      <c r="F1454" s="438"/>
      <c r="G1454" s="438"/>
      <c r="H1454" s="438"/>
      <c r="I1454" s="438"/>
      <c r="J1454" s="11"/>
      <c r="Q1454" s="348" t="str">
        <f t="shared" si="184"/>
        <v/>
      </c>
      <c r="R1454" s="348" t="str">
        <f t="shared" si="185"/>
        <v/>
      </c>
      <c r="S1454" s="348" t="str">
        <f t="shared" si="186"/>
        <v/>
      </c>
      <c r="T1454" s="348" t="str">
        <f t="shared" si="187"/>
        <v/>
      </c>
      <c r="U1454" s="348" t="str">
        <f t="shared" si="188"/>
        <v/>
      </c>
      <c r="V1454" s="348" t="str">
        <f t="shared" si="189"/>
        <v/>
      </c>
      <c r="W1454" s="348" t="str">
        <f t="shared" si="190"/>
        <v/>
      </c>
      <c r="X1454" s="348" t="str">
        <f t="shared" si="191"/>
        <v/>
      </c>
    </row>
    <row r="1455" spans="1:24" x14ac:dyDescent="0.2">
      <c r="A1455" s="407">
        <v>1447</v>
      </c>
      <c r="B1455" s="437"/>
      <c r="C1455" s="438"/>
      <c r="D1455" s="438"/>
      <c r="E1455" s="438"/>
      <c r="F1455" s="438"/>
      <c r="G1455" s="438"/>
      <c r="H1455" s="438"/>
      <c r="I1455" s="438"/>
      <c r="J1455" s="11"/>
      <c r="Q1455" s="348" t="str">
        <f t="shared" si="184"/>
        <v/>
      </c>
      <c r="R1455" s="348" t="str">
        <f t="shared" si="185"/>
        <v/>
      </c>
      <c r="S1455" s="348" t="str">
        <f t="shared" si="186"/>
        <v/>
      </c>
      <c r="T1455" s="348" t="str">
        <f t="shared" si="187"/>
        <v/>
      </c>
      <c r="U1455" s="348" t="str">
        <f t="shared" si="188"/>
        <v/>
      </c>
      <c r="V1455" s="348" t="str">
        <f t="shared" si="189"/>
        <v/>
      </c>
      <c r="W1455" s="348" t="str">
        <f t="shared" si="190"/>
        <v/>
      </c>
      <c r="X1455" s="348" t="str">
        <f t="shared" si="191"/>
        <v/>
      </c>
    </row>
    <row r="1456" spans="1:24" x14ac:dyDescent="0.2">
      <c r="A1456" s="407">
        <v>1448</v>
      </c>
      <c r="B1456" s="438"/>
      <c r="C1456" s="438"/>
      <c r="D1456" s="438"/>
      <c r="E1456" s="438"/>
      <c r="F1456" s="438"/>
      <c r="G1456" s="438"/>
      <c r="H1456" s="438"/>
      <c r="I1456" s="438"/>
      <c r="J1456" s="11"/>
      <c r="Q1456" s="348" t="str">
        <f t="shared" si="184"/>
        <v/>
      </c>
      <c r="R1456" s="348" t="str">
        <f t="shared" si="185"/>
        <v/>
      </c>
      <c r="S1456" s="348" t="str">
        <f t="shared" si="186"/>
        <v/>
      </c>
      <c r="T1456" s="348" t="str">
        <f t="shared" si="187"/>
        <v/>
      </c>
      <c r="U1456" s="348" t="str">
        <f t="shared" si="188"/>
        <v/>
      </c>
      <c r="V1456" s="348" t="str">
        <f t="shared" si="189"/>
        <v/>
      </c>
      <c r="W1456" s="348" t="str">
        <f t="shared" si="190"/>
        <v/>
      </c>
      <c r="X1456" s="348" t="str">
        <f t="shared" si="191"/>
        <v/>
      </c>
    </row>
    <row r="1457" spans="1:24" x14ac:dyDescent="0.2">
      <c r="A1457" s="407">
        <v>1449</v>
      </c>
      <c r="B1457" s="438"/>
      <c r="C1457" s="438"/>
      <c r="D1457" s="438"/>
      <c r="E1457" s="438"/>
      <c r="F1457" s="438"/>
      <c r="G1457" s="438"/>
      <c r="H1457" s="438"/>
      <c r="I1457" s="438"/>
      <c r="J1457" s="11"/>
      <c r="Q1457" s="348" t="str">
        <f t="shared" si="184"/>
        <v/>
      </c>
      <c r="R1457" s="348" t="str">
        <f t="shared" si="185"/>
        <v/>
      </c>
      <c r="S1457" s="348" t="str">
        <f t="shared" si="186"/>
        <v/>
      </c>
      <c r="T1457" s="348" t="str">
        <f t="shared" si="187"/>
        <v/>
      </c>
      <c r="U1457" s="348" t="str">
        <f t="shared" si="188"/>
        <v/>
      </c>
      <c r="V1457" s="348" t="str">
        <f t="shared" si="189"/>
        <v/>
      </c>
      <c r="W1457" s="348" t="str">
        <f t="shared" si="190"/>
        <v/>
      </c>
      <c r="X1457" s="348" t="str">
        <f t="shared" si="191"/>
        <v/>
      </c>
    </row>
    <row r="1458" spans="1:24" x14ac:dyDescent="0.2">
      <c r="A1458" s="407">
        <v>1450</v>
      </c>
      <c r="B1458" s="438"/>
      <c r="C1458" s="437"/>
      <c r="D1458" s="438"/>
      <c r="E1458" s="438"/>
      <c r="F1458" s="438"/>
      <c r="G1458" s="438"/>
      <c r="H1458" s="438"/>
      <c r="I1458" s="437"/>
      <c r="J1458" s="11"/>
      <c r="Q1458" s="348" t="str">
        <f t="shared" si="184"/>
        <v/>
      </c>
      <c r="R1458" s="348" t="str">
        <f t="shared" si="185"/>
        <v/>
      </c>
      <c r="S1458" s="348" t="str">
        <f t="shared" si="186"/>
        <v/>
      </c>
      <c r="T1458" s="348" t="str">
        <f t="shared" si="187"/>
        <v/>
      </c>
      <c r="U1458" s="348" t="str">
        <f t="shared" si="188"/>
        <v/>
      </c>
      <c r="V1458" s="348" t="str">
        <f t="shared" si="189"/>
        <v/>
      </c>
      <c r="W1458" s="348" t="str">
        <f t="shared" si="190"/>
        <v/>
      </c>
      <c r="X1458" s="348" t="str">
        <f t="shared" si="191"/>
        <v/>
      </c>
    </row>
    <row r="1459" spans="1:24" x14ac:dyDescent="0.2">
      <c r="A1459" s="407">
        <v>1451</v>
      </c>
      <c r="B1459" s="438"/>
      <c r="C1459" s="438"/>
      <c r="D1459" s="438"/>
      <c r="E1459" s="437"/>
      <c r="F1459" s="438"/>
      <c r="G1459" s="438"/>
      <c r="H1459" s="438"/>
      <c r="I1459" s="438"/>
      <c r="J1459" s="11"/>
      <c r="Q1459" s="348" t="str">
        <f t="shared" si="184"/>
        <v/>
      </c>
      <c r="R1459" s="348" t="str">
        <f t="shared" si="185"/>
        <v/>
      </c>
      <c r="S1459" s="348" t="str">
        <f t="shared" si="186"/>
        <v/>
      </c>
      <c r="T1459" s="348" t="str">
        <f t="shared" si="187"/>
        <v/>
      </c>
      <c r="U1459" s="348" t="str">
        <f t="shared" si="188"/>
        <v/>
      </c>
      <c r="V1459" s="348" t="str">
        <f t="shared" si="189"/>
        <v/>
      </c>
      <c r="W1459" s="348" t="str">
        <f t="shared" si="190"/>
        <v/>
      </c>
      <c r="X1459" s="348" t="str">
        <f t="shared" si="191"/>
        <v/>
      </c>
    </row>
    <row r="1460" spans="1:24" x14ac:dyDescent="0.2">
      <c r="A1460" s="407">
        <v>1452</v>
      </c>
      <c r="B1460" s="438"/>
      <c r="C1460" s="438"/>
      <c r="D1460" s="438"/>
      <c r="E1460" s="438"/>
      <c r="F1460" s="438"/>
      <c r="G1460" s="438"/>
      <c r="H1460" s="438"/>
      <c r="I1460" s="438"/>
      <c r="J1460" s="11"/>
      <c r="Q1460" s="348" t="str">
        <f t="shared" si="184"/>
        <v/>
      </c>
      <c r="R1460" s="348" t="str">
        <f t="shared" si="185"/>
        <v/>
      </c>
      <c r="S1460" s="348" t="str">
        <f t="shared" si="186"/>
        <v/>
      </c>
      <c r="T1460" s="348" t="str">
        <f t="shared" si="187"/>
        <v/>
      </c>
      <c r="U1460" s="348" t="str">
        <f t="shared" si="188"/>
        <v/>
      </c>
      <c r="V1460" s="348" t="str">
        <f t="shared" si="189"/>
        <v/>
      </c>
      <c r="W1460" s="348" t="str">
        <f t="shared" si="190"/>
        <v/>
      </c>
      <c r="X1460" s="348" t="str">
        <f t="shared" si="191"/>
        <v/>
      </c>
    </row>
    <row r="1461" spans="1:24" x14ac:dyDescent="0.2">
      <c r="A1461" s="407">
        <v>1453</v>
      </c>
      <c r="B1461" s="438"/>
      <c r="C1461" s="438"/>
      <c r="D1461" s="438"/>
      <c r="E1461" s="438"/>
      <c r="F1461" s="438"/>
      <c r="G1461" s="438"/>
      <c r="H1461" s="438"/>
      <c r="I1461" s="438"/>
      <c r="J1461" s="11"/>
      <c r="Q1461" s="348" t="str">
        <f t="shared" si="184"/>
        <v/>
      </c>
      <c r="R1461" s="348" t="str">
        <f t="shared" si="185"/>
        <v/>
      </c>
      <c r="S1461" s="348" t="str">
        <f t="shared" si="186"/>
        <v/>
      </c>
      <c r="T1461" s="348" t="str">
        <f t="shared" si="187"/>
        <v/>
      </c>
      <c r="U1461" s="348" t="str">
        <f t="shared" si="188"/>
        <v/>
      </c>
      <c r="V1461" s="348" t="str">
        <f t="shared" si="189"/>
        <v/>
      </c>
      <c r="W1461" s="348" t="str">
        <f t="shared" si="190"/>
        <v/>
      </c>
      <c r="X1461" s="348" t="str">
        <f t="shared" si="191"/>
        <v/>
      </c>
    </row>
    <row r="1462" spans="1:24" x14ac:dyDescent="0.2">
      <c r="A1462" s="407">
        <v>1454</v>
      </c>
      <c r="B1462" s="438"/>
      <c r="C1462" s="438"/>
      <c r="D1462" s="438"/>
      <c r="E1462" s="438"/>
      <c r="F1462" s="438"/>
      <c r="G1462" s="438"/>
      <c r="H1462" s="438"/>
      <c r="I1462" s="438"/>
      <c r="J1462" s="11"/>
      <c r="Q1462" s="348" t="str">
        <f t="shared" si="184"/>
        <v/>
      </c>
      <c r="R1462" s="348" t="str">
        <f t="shared" si="185"/>
        <v/>
      </c>
      <c r="S1462" s="348" t="str">
        <f t="shared" si="186"/>
        <v/>
      </c>
      <c r="T1462" s="348" t="str">
        <f t="shared" si="187"/>
        <v/>
      </c>
      <c r="U1462" s="348" t="str">
        <f t="shared" si="188"/>
        <v/>
      </c>
      <c r="V1462" s="348" t="str">
        <f t="shared" si="189"/>
        <v/>
      </c>
      <c r="W1462" s="348" t="str">
        <f t="shared" si="190"/>
        <v/>
      </c>
      <c r="X1462" s="348" t="str">
        <f t="shared" si="191"/>
        <v/>
      </c>
    </row>
    <row r="1463" spans="1:24" x14ac:dyDescent="0.2">
      <c r="A1463" s="407">
        <v>1455</v>
      </c>
      <c r="B1463" s="438"/>
      <c r="C1463" s="438"/>
      <c r="D1463" s="438"/>
      <c r="E1463" s="438"/>
      <c r="F1463" s="438"/>
      <c r="G1463" s="438"/>
      <c r="H1463" s="438"/>
      <c r="I1463" s="438"/>
      <c r="J1463" s="11"/>
      <c r="Q1463" s="348" t="str">
        <f t="shared" si="184"/>
        <v/>
      </c>
      <c r="R1463" s="348" t="str">
        <f t="shared" si="185"/>
        <v/>
      </c>
      <c r="S1463" s="348" t="str">
        <f t="shared" si="186"/>
        <v/>
      </c>
      <c r="T1463" s="348" t="str">
        <f t="shared" si="187"/>
        <v/>
      </c>
      <c r="U1463" s="348" t="str">
        <f t="shared" si="188"/>
        <v/>
      </c>
      <c r="V1463" s="348" t="str">
        <f t="shared" si="189"/>
        <v/>
      </c>
      <c r="W1463" s="348" t="str">
        <f t="shared" si="190"/>
        <v/>
      </c>
      <c r="X1463" s="348" t="str">
        <f t="shared" si="191"/>
        <v/>
      </c>
    </row>
    <row r="1464" spans="1:24" x14ac:dyDescent="0.2">
      <c r="A1464" s="407">
        <v>1456</v>
      </c>
      <c r="B1464" s="438"/>
      <c r="C1464" s="438"/>
      <c r="D1464" s="438"/>
      <c r="E1464" s="438"/>
      <c r="F1464" s="438"/>
      <c r="G1464" s="438"/>
      <c r="H1464" s="438"/>
      <c r="I1464" s="438"/>
      <c r="J1464" s="11"/>
      <c r="Q1464" s="348" t="str">
        <f t="shared" si="184"/>
        <v/>
      </c>
      <c r="R1464" s="348" t="str">
        <f t="shared" si="185"/>
        <v/>
      </c>
      <c r="S1464" s="348" t="str">
        <f t="shared" si="186"/>
        <v/>
      </c>
      <c r="T1464" s="348" t="str">
        <f t="shared" si="187"/>
        <v/>
      </c>
      <c r="U1464" s="348" t="str">
        <f t="shared" si="188"/>
        <v/>
      </c>
      <c r="V1464" s="348" t="str">
        <f t="shared" si="189"/>
        <v/>
      </c>
      <c r="W1464" s="348" t="str">
        <f t="shared" si="190"/>
        <v/>
      </c>
      <c r="X1464" s="348" t="str">
        <f t="shared" si="191"/>
        <v/>
      </c>
    </row>
    <row r="1465" spans="1:24" x14ac:dyDescent="0.2">
      <c r="A1465" s="407">
        <v>1457</v>
      </c>
      <c r="B1465" s="438"/>
      <c r="C1465" s="438"/>
      <c r="D1465" s="438"/>
      <c r="E1465" s="438"/>
      <c r="F1465" s="438"/>
      <c r="G1465" s="438"/>
      <c r="H1465" s="438"/>
      <c r="I1465" s="438"/>
      <c r="J1465" s="11"/>
      <c r="Q1465" s="348" t="str">
        <f t="shared" si="184"/>
        <v/>
      </c>
      <c r="R1465" s="348" t="str">
        <f t="shared" si="185"/>
        <v/>
      </c>
      <c r="S1465" s="348" t="str">
        <f t="shared" si="186"/>
        <v/>
      </c>
      <c r="T1465" s="348" t="str">
        <f t="shared" si="187"/>
        <v/>
      </c>
      <c r="U1465" s="348" t="str">
        <f t="shared" si="188"/>
        <v/>
      </c>
      <c r="V1465" s="348" t="str">
        <f t="shared" si="189"/>
        <v/>
      </c>
      <c r="W1465" s="348" t="str">
        <f t="shared" si="190"/>
        <v/>
      </c>
      <c r="X1465" s="348" t="str">
        <f t="shared" si="191"/>
        <v/>
      </c>
    </row>
    <row r="1466" spans="1:24" x14ac:dyDescent="0.2">
      <c r="A1466" s="407">
        <v>1458</v>
      </c>
      <c r="B1466" s="438"/>
      <c r="C1466" s="438"/>
      <c r="D1466" s="438"/>
      <c r="E1466" s="438"/>
      <c r="F1466" s="438"/>
      <c r="G1466" s="438"/>
      <c r="H1466" s="438"/>
      <c r="I1466" s="438"/>
      <c r="J1466" s="11"/>
      <c r="Q1466" s="348" t="str">
        <f t="shared" si="184"/>
        <v/>
      </c>
      <c r="R1466" s="348" t="str">
        <f t="shared" si="185"/>
        <v/>
      </c>
      <c r="S1466" s="348" t="str">
        <f t="shared" si="186"/>
        <v/>
      </c>
      <c r="T1466" s="348" t="str">
        <f t="shared" si="187"/>
        <v/>
      </c>
      <c r="U1466" s="348" t="str">
        <f t="shared" si="188"/>
        <v/>
      </c>
      <c r="V1466" s="348" t="str">
        <f t="shared" si="189"/>
        <v/>
      </c>
      <c r="W1466" s="348" t="str">
        <f t="shared" si="190"/>
        <v/>
      </c>
      <c r="X1466" s="348" t="str">
        <f t="shared" si="191"/>
        <v/>
      </c>
    </row>
    <row r="1467" spans="1:24" x14ac:dyDescent="0.2">
      <c r="A1467" s="407">
        <v>1459</v>
      </c>
      <c r="B1467" s="438"/>
      <c r="C1467" s="438"/>
      <c r="D1467" s="438"/>
      <c r="E1467" s="438"/>
      <c r="F1467" s="438"/>
      <c r="G1467" s="438"/>
      <c r="H1467" s="438"/>
      <c r="I1467" s="438"/>
      <c r="J1467" s="11"/>
      <c r="Q1467" s="348" t="str">
        <f t="shared" si="184"/>
        <v/>
      </c>
      <c r="R1467" s="348" t="str">
        <f t="shared" si="185"/>
        <v/>
      </c>
      <c r="S1467" s="348" t="str">
        <f t="shared" si="186"/>
        <v/>
      </c>
      <c r="T1467" s="348" t="str">
        <f t="shared" si="187"/>
        <v/>
      </c>
      <c r="U1467" s="348" t="str">
        <f t="shared" si="188"/>
        <v/>
      </c>
      <c r="V1467" s="348" t="str">
        <f t="shared" si="189"/>
        <v/>
      </c>
      <c r="W1467" s="348" t="str">
        <f t="shared" si="190"/>
        <v/>
      </c>
      <c r="X1467" s="348" t="str">
        <f t="shared" si="191"/>
        <v/>
      </c>
    </row>
    <row r="1468" spans="1:24" x14ac:dyDescent="0.2">
      <c r="A1468" s="407">
        <v>1460</v>
      </c>
      <c r="B1468" s="438"/>
      <c r="C1468" s="438"/>
      <c r="D1468" s="438"/>
      <c r="E1468" s="438"/>
      <c r="F1468" s="438"/>
      <c r="G1468" s="438"/>
      <c r="H1468" s="438"/>
      <c r="I1468" s="438"/>
      <c r="J1468" s="11"/>
      <c r="Q1468" s="348" t="str">
        <f t="shared" si="184"/>
        <v/>
      </c>
      <c r="R1468" s="348" t="str">
        <f t="shared" si="185"/>
        <v/>
      </c>
      <c r="S1468" s="348" t="str">
        <f t="shared" si="186"/>
        <v/>
      </c>
      <c r="T1468" s="348" t="str">
        <f t="shared" si="187"/>
        <v/>
      </c>
      <c r="U1468" s="348" t="str">
        <f t="shared" si="188"/>
        <v/>
      </c>
      <c r="V1468" s="348" t="str">
        <f t="shared" si="189"/>
        <v/>
      </c>
      <c r="W1468" s="348" t="str">
        <f t="shared" si="190"/>
        <v/>
      </c>
      <c r="X1468" s="348" t="str">
        <f t="shared" si="191"/>
        <v/>
      </c>
    </row>
    <row r="1469" spans="1:24" x14ac:dyDescent="0.2">
      <c r="A1469" s="407">
        <v>1461</v>
      </c>
      <c r="B1469" s="437"/>
      <c r="C1469" s="438"/>
      <c r="D1469" s="437"/>
      <c r="E1469" s="438"/>
      <c r="F1469" s="438"/>
      <c r="G1469" s="438"/>
      <c r="H1469" s="438"/>
      <c r="I1469" s="438"/>
      <c r="J1469" s="11"/>
      <c r="Q1469" s="348" t="str">
        <f t="shared" si="184"/>
        <v/>
      </c>
      <c r="R1469" s="348" t="str">
        <f t="shared" si="185"/>
        <v/>
      </c>
      <c r="S1469" s="348" t="str">
        <f t="shared" si="186"/>
        <v/>
      </c>
      <c r="T1469" s="348" t="str">
        <f t="shared" si="187"/>
        <v/>
      </c>
      <c r="U1469" s="348" t="str">
        <f t="shared" si="188"/>
        <v/>
      </c>
      <c r="V1469" s="348" t="str">
        <f t="shared" si="189"/>
        <v/>
      </c>
      <c r="W1469" s="348" t="str">
        <f t="shared" si="190"/>
        <v/>
      </c>
      <c r="X1469" s="348" t="str">
        <f t="shared" si="191"/>
        <v/>
      </c>
    </row>
    <row r="1470" spans="1:24" x14ac:dyDescent="0.2">
      <c r="A1470" s="407">
        <v>1462</v>
      </c>
      <c r="B1470" s="438"/>
      <c r="C1470" s="438"/>
      <c r="D1470" s="438"/>
      <c r="E1470" s="438"/>
      <c r="F1470" s="438"/>
      <c r="G1470" s="437"/>
      <c r="H1470" s="438"/>
      <c r="I1470" s="438"/>
      <c r="J1470" s="11"/>
      <c r="Q1470" s="348" t="str">
        <f t="shared" si="184"/>
        <v/>
      </c>
      <c r="R1470" s="348" t="str">
        <f t="shared" si="185"/>
        <v/>
      </c>
      <c r="S1470" s="348" t="str">
        <f t="shared" si="186"/>
        <v/>
      </c>
      <c r="T1470" s="348" t="str">
        <f t="shared" si="187"/>
        <v/>
      </c>
      <c r="U1470" s="348" t="str">
        <f t="shared" si="188"/>
        <v/>
      </c>
      <c r="V1470" s="348" t="str">
        <f t="shared" si="189"/>
        <v/>
      </c>
      <c r="W1470" s="348" t="str">
        <f t="shared" si="190"/>
        <v/>
      </c>
      <c r="X1470" s="348" t="str">
        <f t="shared" si="191"/>
        <v/>
      </c>
    </row>
    <row r="1471" spans="1:24" x14ac:dyDescent="0.2">
      <c r="A1471" s="407">
        <v>1463</v>
      </c>
      <c r="B1471" s="438"/>
      <c r="C1471" s="438"/>
      <c r="D1471" s="438"/>
      <c r="E1471" s="438"/>
      <c r="F1471" s="438"/>
      <c r="G1471" s="438"/>
      <c r="H1471" s="438"/>
      <c r="I1471" s="438"/>
      <c r="J1471" s="11"/>
      <c r="Q1471" s="348" t="str">
        <f t="shared" si="184"/>
        <v/>
      </c>
      <c r="R1471" s="348" t="str">
        <f t="shared" si="185"/>
        <v/>
      </c>
      <c r="S1471" s="348" t="str">
        <f t="shared" si="186"/>
        <v/>
      </c>
      <c r="T1471" s="348" t="str">
        <f t="shared" si="187"/>
        <v/>
      </c>
      <c r="U1471" s="348" t="str">
        <f t="shared" si="188"/>
        <v/>
      </c>
      <c r="V1471" s="348" t="str">
        <f t="shared" si="189"/>
        <v/>
      </c>
      <c r="W1471" s="348" t="str">
        <f t="shared" si="190"/>
        <v/>
      </c>
      <c r="X1471" s="348" t="str">
        <f t="shared" si="191"/>
        <v/>
      </c>
    </row>
    <row r="1472" spans="1:24" x14ac:dyDescent="0.2">
      <c r="A1472" s="407">
        <v>1464</v>
      </c>
      <c r="B1472" s="438"/>
      <c r="C1472" s="437"/>
      <c r="D1472" s="438"/>
      <c r="E1472" s="438"/>
      <c r="F1472" s="437"/>
      <c r="G1472" s="438"/>
      <c r="H1472" s="437"/>
      <c r="I1472" s="438"/>
      <c r="J1472" s="11"/>
      <c r="Q1472" s="348" t="str">
        <f t="shared" si="184"/>
        <v/>
      </c>
      <c r="R1472" s="348" t="str">
        <f t="shared" si="185"/>
        <v/>
      </c>
      <c r="S1472" s="348" t="str">
        <f t="shared" si="186"/>
        <v/>
      </c>
      <c r="T1472" s="348" t="str">
        <f t="shared" si="187"/>
        <v/>
      </c>
      <c r="U1472" s="348" t="str">
        <f t="shared" si="188"/>
        <v/>
      </c>
      <c r="V1472" s="348" t="str">
        <f t="shared" si="189"/>
        <v/>
      </c>
      <c r="W1472" s="348" t="str">
        <f t="shared" si="190"/>
        <v/>
      </c>
      <c r="X1472" s="348" t="str">
        <f t="shared" si="191"/>
        <v/>
      </c>
    </row>
    <row r="1473" spans="1:24" x14ac:dyDescent="0.2">
      <c r="A1473" s="407">
        <v>1465</v>
      </c>
      <c r="B1473" s="438"/>
      <c r="C1473" s="438"/>
      <c r="D1473" s="438"/>
      <c r="E1473" s="438"/>
      <c r="F1473" s="438"/>
      <c r="G1473" s="438"/>
      <c r="H1473" s="438"/>
      <c r="I1473" s="438"/>
      <c r="J1473" s="11"/>
      <c r="Q1473" s="348" t="str">
        <f t="shared" si="184"/>
        <v/>
      </c>
      <c r="R1473" s="348" t="str">
        <f t="shared" si="185"/>
        <v/>
      </c>
      <c r="S1473" s="348" t="str">
        <f t="shared" si="186"/>
        <v/>
      </c>
      <c r="T1473" s="348" t="str">
        <f t="shared" si="187"/>
        <v/>
      </c>
      <c r="U1473" s="348" t="str">
        <f t="shared" si="188"/>
        <v/>
      </c>
      <c r="V1473" s="348" t="str">
        <f t="shared" si="189"/>
        <v/>
      </c>
      <c r="W1473" s="348" t="str">
        <f t="shared" si="190"/>
        <v/>
      </c>
      <c r="X1473" s="348" t="str">
        <f t="shared" si="191"/>
        <v/>
      </c>
    </row>
    <row r="1474" spans="1:24" x14ac:dyDescent="0.2">
      <c r="A1474" s="407">
        <v>1466</v>
      </c>
      <c r="B1474" s="438"/>
      <c r="C1474" s="438"/>
      <c r="D1474" s="438"/>
      <c r="E1474" s="438"/>
      <c r="F1474" s="438"/>
      <c r="G1474" s="438"/>
      <c r="H1474" s="438"/>
      <c r="I1474" s="438"/>
      <c r="J1474" s="11"/>
      <c r="Q1474" s="348" t="str">
        <f t="shared" si="184"/>
        <v/>
      </c>
      <c r="R1474" s="348" t="str">
        <f t="shared" si="185"/>
        <v/>
      </c>
      <c r="S1474" s="348" t="str">
        <f t="shared" si="186"/>
        <v/>
      </c>
      <c r="T1474" s="348" t="str">
        <f t="shared" si="187"/>
        <v/>
      </c>
      <c r="U1474" s="348" t="str">
        <f t="shared" si="188"/>
        <v/>
      </c>
      <c r="V1474" s="348" t="str">
        <f t="shared" si="189"/>
        <v/>
      </c>
      <c r="W1474" s="348" t="str">
        <f t="shared" si="190"/>
        <v/>
      </c>
      <c r="X1474" s="348" t="str">
        <f t="shared" si="191"/>
        <v/>
      </c>
    </row>
    <row r="1475" spans="1:24" x14ac:dyDescent="0.2">
      <c r="A1475" s="407">
        <v>1467</v>
      </c>
      <c r="B1475" s="438"/>
      <c r="C1475" s="438"/>
      <c r="D1475" s="438"/>
      <c r="E1475" s="438"/>
      <c r="F1475" s="438"/>
      <c r="G1475" s="438"/>
      <c r="H1475" s="438"/>
      <c r="I1475" s="438"/>
      <c r="J1475" s="11"/>
      <c r="Q1475" s="348" t="str">
        <f t="shared" si="184"/>
        <v/>
      </c>
      <c r="R1475" s="348" t="str">
        <f t="shared" si="185"/>
        <v/>
      </c>
      <c r="S1475" s="348" t="str">
        <f t="shared" si="186"/>
        <v/>
      </c>
      <c r="T1475" s="348" t="str">
        <f t="shared" si="187"/>
        <v/>
      </c>
      <c r="U1475" s="348" t="str">
        <f t="shared" si="188"/>
        <v/>
      </c>
      <c r="V1475" s="348" t="str">
        <f t="shared" si="189"/>
        <v/>
      </c>
      <c r="W1475" s="348" t="str">
        <f t="shared" si="190"/>
        <v/>
      </c>
      <c r="X1475" s="348" t="str">
        <f t="shared" si="191"/>
        <v/>
      </c>
    </row>
    <row r="1476" spans="1:24" x14ac:dyDescent="0.2">
      <c r="A1476" s="407">
        <v>1468</v>
      </c>
      <c r="B1476" s="438"/>
      <c r="C1476" s="438"/>
      <c r="D1476" s="438"/>
      <c r="E1476" s="438"/>
      <c r="F1476" s="438"/>
      <c r="G1476" s="438"/>
      <c r="H1476" s="438"/>
      <c r="I1476" s="438"/>
      <c r="J1476" s="11"/>
      <c r="Q1476" s="348" t="str">
        <f t="shared" si="184"/>
        <v/>
      </c>
      <c r="R1476" s="348" t="str">
        <f t="shared" si="185"/>
        <v/>
      </c>
      <c r="S1476" s="348" t="str">
        <f t="shared" si="186"/>
        <v/>
      </c>
      <c r="T1476" s="348" t="str">
        <f t="shared" si="187"/>
        <v/>
      </c>
      <c r="U1476" s="348" t="str">
        <f t="shared" si="188"/>
        <v/>
      </c>
      <c r="V1476" s="348" t="str">
        <f t="shared" si="189"/>
        <v/>
      </c>
      <c r="W1476" s="348" t="str">
        <f t="shared" si="190"/>
        <v/>
      </c>
      <c r="X1476" s="348" t="str">
        <f t="shared" si="191"/>
        <v/>
      </c>
    </row>
    <row r="1477" spans="1:24" x14ac:dyDescent="0.2">
      <c r="A1477" s="407">
        <v>1469</v>
      </c>
      <c r="B1477" s="438"/>
      <c r="C1477" s="438"/>
      <c r="D1477" s="438"/>
      <c r="E1477" s="437"/>
      <c r="F1477" s="438"/>
      <c r="G1477" s="438"/>
      <c r="H1477" s="438"/>
      <c r="I1477" s="438"/>
      <c r="J1477" s="11"/>
      <c r="Q1477" s="348" t="str">
        <f t="shared" si="184"/>
        <v/>
      </c>
      <c r="R1477" s="348" t="str">
        <f t="shared" si="185"/>
        <v/>
      </c>
      <c r="S1477" s="348" t="str">
        <f t="shared" si="186"/>
        <v/>
      </c>
      <c r="T1477" s="348" t="str">
        <f t="shared" si="187"/>
        <v/>
      </c>
      <c r="U1477" s="348" t="str">
        <f t="shared" si="188"/>
        <v/>
      </c>
      <c r="V1477" s="348" t="str">
        <f t="shared" si="189"/>
        <v/>
      </c>
      <c r="W1477" s="348" t="str">
        <f t="shared" si="190"/>
        <v/>
      </c>
      <c r="X1477" s="348" t="str">
        <f t="shared" si="191"/>
        <v/>
      </c>
    </row>
    <row r="1478" spans="1:24" x14ac:dyDescent="0.2">
      <c r="A1478" s="407">
        <v>1470</v>
      </c>
      <c r="B1478" s="438"/>
      <c r="C1478" s="438"/>
      <c r="D1478" s="438"/>
      <c r="E1478" s="438"/>
      <c r="F1478" s="438"/>
      <c r="G1478" s="438"/>
      <c r="H1478" s="438"/>
      <c r="I1478" s="438"/>
      <c r="J1478" s="11"/>
      <c r="Q1478" s="348" t="str">
        <f t="shared" si="184"/>
        <v/>
      </c>
      <c r="R1478" s="348" t="str">
        <f t="shared" si="185"/>
        <v/>
      </c>
      <c r="S1478" s="348" t="str">
        <f t="shared" si="186"/>
        <v/>
      </c>
      <c r="T1478" s="348" t="str">
        <f t="shared" si="187"/>
        <v/>
      </c>
      <c r="U1478" s="348" t="str">
        <f t="shared" si="188"/>
        <v/>
      </c>
      <c r="V1478" s="348" t="str">
        <f t="shared" si="189"/>
        <v/>
      </c>
      <c r="W1478" s="348" t="str">
        <f t="shared" si="190"/>
        <v/>
      </c>
      <c r="X1478" s="348" t="str">
        <f t="shared" si="191"/>
        <v/>
      </c>
    </row>
    <row r="1479" spans="1:24" x14ac:dyDescent="0.2">
      <c r="A1479" s="407">
        <v>1471</v>
      </c>
      <c r="B1479" s="438"/>
      <c r="C1479" s="438"/>
      <c r="D1479" s="438"/>
      <c r="E1479" s="438"/>
      <c r="F1479" s="438"/>
      <c r="G1479" s="438"/>
      <c r="H1479" s="438"/>
      <c r="I1479" s="438"/>
      <c r="J1479" s="11"/>
      <c r="Q1479" s="348" t="str">
        <f t="shared" si="184"/>
        <v/>
      </c>
      <c r="R1479" s="348" t="str">
        <f t="shared" si="185"/>
        <v/>
      </c>
      <c r="S1479" s="348" t="str">
        <f t="shared" si="186"/>
        <v/>
      </c>
      <c r="T1479" s="348" t="str">
        <f t="shared" si="187"/>
        <v/>
      </c>
      <c r="U1479" s="348" t="str">
        <f t="shared" si="188"/>
        <v/>
      </c>
      <c r="V1479" s="348" t="str">
        <f t="shared" si="189"/>
        <v/>
      </c>
      <c r="W1479" s="348" t="str">
        <f t="shared" si="190"/>
        <v/>
      </c>
      <c r="X1479" s="348" t="str">
        <f t="shared" si="191"/>
        <v/>
      </c>
    </row>
    <row r="1480" spans="1:24" x14ac:dyDescent="0.2">
      <c r="A1480" s="407">
        <v>1472</v>
      </c>
      <c r="B1480" s="438"/>
      <c r="C1480" s="438"/>
      <c r="D1480" s="438"/>
      <c r="E1480" s="438"/>
      <c r="F1480" s="438"/>
      <c r="G1480" s="438"/>
      <c r="H1480" s="438"/>
      <c r="I1480" s="438"/>
      <c r="J1480" s="11"/>
      <c r="Q1480" s="348" t="str">
        <f t="shared" si="184"/>
        <v/>
      </c>
      <c r="R1480" s="348" t="str">
        <f t="shared" si="185"/>
        <v/>
      </c>
      <c r="S1480" s="348" t="str">
        <f t="shared" si="186"/>
        <v/>
      </c>
      <c r="T1480" s="348" t="str">
        <f t="shared" si="187"/>
        <v/>
      </c>
      <c r="U1480" s="348" t="str">
        <f t="shared" si="188"/>
        <v/>
      </c>
      <c r="V1480" s="348" t="str">
        <f t="shared" si="189"/>
        <v/>
      </c>
      <c r="W1480" s="348" t="str">
        <f t="shared" si="190"/>
        <v/>
      </c>
      <c r="X1480" s="348" t="str">
        <f t="shared" si="191"/>
        <v/>
      </c>
    </row>
    <row r="1481" spans="1:24" x14ac:dyDescent="0.2">
      <c r="A1481" s="407">
        <v>1473</v>
      </c>
      <c r="B1481" s="438"/>
      <c r="C1481" s="438"/>
      <c r="D1481" s="438"/>
      <c r="E1481" s="438"/>
      <c r="F1481" s="438"/>
      <c r="G1481" s="438"/>
      <c r="H1481" s="438"/>
      <c r="I1481" s="438"/>
      <c r="J1481" s="11"/>
      <c r="Q1481" s="348" t="str">
        <f t="shared" si="184"/>
        <v/>
      </c>
      <c r="R1481" s="348" t="str">
        <f t="shared" si="185"/>
        <v/>
      </c>
      <c r="S1481" s="348" t="str">
        <f t="shared" si="186"/>
        <v/>
      </c>
      <c r="T1481" s="348" t="str">
        <f t="shared" si="187"/>
        <v/>
      </c>
      <c r="U1481" s="348" t="str">
        <f t="shared" si="188"/>
        <v/>
      </c>
      <c r="V1481" s="348" t="str">
        <f t="shared" si="189"/>
        <v/>
      </c>
      <c r="W1481" s="348" t="str">
        <f t="shared" si="190"/>
        <v/>
      </c>
      <c r="X1481" s="348" t="str">
        <f t="shared" si="191"/>
        <v/>
      </c>
    </row>
    <row r="1482" spans="1:24" x14ac:dyDescent="0.2">
      <c r="A1482" s="407">
        <v>1474</v>
      </c>
      <c r="B1482" s="438"/>
      <c r="C1482" s="438"/>
      <c r="D1482" s="438"/>
      <c r="E1482" s="438"/>
      <c r="F1482" s="438"/>
      <c r="G1482" s="438"/>
      <c r="H1482" s="438"/>
      <c r="I1482" s="438"/>
      <c r="J1482" s="11"/>
      <c r="Q1482" s="348" t="str">
        <f t="shared" ref="Q1482:Q1545" si="192">IFERROR(B1482^4*$AB$9+B1482^3*$AC$9+B1482^2*$AD$9+B1482^1*$AE$9+B1482^0*$AF$9,"")</f>
        <v/>
      </c>
      <c r="R1482" s="348" t="str">
        <f t="shared" ref="R1482:R1545" si="193">IFERROR(C1482^4*$AB$10+C1482^3*$AC$10+C1482^2*$AD$10+C1482^1*$AE$10+C1482^0*$AF$10,"")</f>
        <v/>
      </c>
      <c r="S1482" s="348" t="str">
        <f t="shared" ref="S1482:S1545" si="194">IFERROR(D1482^4*$AB$11+D1482^3*$AC$11+D1482^2*$AD$11+D1482^1*$AE$11+D1482^0*$AF$11,"")</f>
        <v/>
      </c>
      <c r="T1482" s="348" t="str">
        <f t="shared" ref="T1482:T1545" si="195">IFERROR(E1482^4*$AB$12+E1482^3*$AC$12+E1482^2*$AD$12+E1482^1*$AE$12+E1482^0*$AF$12,"")</f>
        <v/>
      </c>
      <c r="U1482" s="348" t="str">
        <f t="shared" ref="U1482:U1545" si="196">IFERROR(F1482^4*$AB$13+F1482^3*$AC$13+F1482^2*$AD$13+F1482^1*$AE$13+F1482^0*$AF$13,"")</f>
        <v/>
      </c>
      <c r="V1482" s="348" t="str">
        <f t="shared" ref="V1482:V1545" si="197">IFERROR(G1482^4*$AB$14+G1482^3*$AC$14+G1482^2*$AD$14+G1482^1*$AE$14+G1482^0*$AF$14,"")</f>
        <v/>
      </c>
      <c r="W1482" s="348" t="str">
        <f t="shared" ref="W1482:W1545" si="198">IFERROR(H1482^4*$AB$15+H1482^3*$AC$15+H1482^2*$AD$15+H1482^1*$AE$15+H1482^0*$AF$15,"")</f>
        <v/>
      </c>
      <c r="X1482" s="348" t="str">
        <f t="shared" ref="X1482:X1545" si="199">IFERROR(I1482^4*$AB$16+I1482^3*$AC$16+I1482^2*$AD$16+I1482^1*$AE$16+I1482^0*$AF$16,"")</f>
        <v/>
      </c>
    </row>
    <row r="1483" spans="1:24" x14ac:dyDescent="0.2">
      <c r="A1483" s="407">
        <v>1475</v>
      </c>
      <c r="B1483" s="438"/>
      <c r="C1483" s="438"/>
      <c r="D1483" s="438"/>
      <c r="E1483" s="438"/>
      <c r="F1483" s="438"/>
      <c r="G1483" s="438"/>
      <c r="H1483" s="438"/>
      <c r="I1483" s="438"/>
      <c r="J1483" s="11"/>
      <c r="Q1483" s="348" t="str">
        <f t="shared" si="192"/>
        <v/>
      </c>
      <c r="R1483" s="348" t="str">
        <f t="shared" si="193"/>
        <v/>
      </c>
      <c r="S1483" s="348" t="str">
        <f t="shared" si="194"/>
        <v/>
      </c>
      <c r="T1483" s="348" t="str">
        <f t="shared" si="195"/>
        <v/>
      </c>
      <c r="U1483" s="348" t="str">
        <f t="shared" si="196"/>
        <v/>
      </c>
      <c r="V1483" s="348" t="str">
        <f t="shared" si="197"/>
        <v/>
      </c>
      <c r="W1483" s="348" t="str">
        <f t="shared" si="198"/>
        <v/>
      </c>
      <c r="X1483" s="348" t="str">
        <f t="shared" si="199"/>
        <v/>
      </c>
    </row>
    <row r="1484" spans="1:24" x14ac:dyDescent="0.2">
      <c r="A1484" s="407">
        <v>1476</v>
      </c>
      <c r="B1484" s="438"/>
      <c r="C1484" s="438"/>
      <c r="D1484" s="438"/>
      <c r="E1484" s="438"/>
      <c r="F1484" s="438"/>
      <c r="G1484" s="438"/>
      <c r="H1484" s="438"/>
      <c r="I1484" s="438"/>
      <c r="J1484" s="11"/>
      <c r="Q1484" s="348" t="str">
        <f t="shared" si="192"/>
        <v/>
      </c>
      <c r="R1484" s="348" t="str">
        <f t="shared" si="193"/>
        <v/>
      </c>
      <c r="S1484" s="348" t="str">
        <f t="shared" si="194"/>
        <v/>
      </c>
      <c r="T1484" s="348" t="str">
        <f t="shared" si="195"/>
        <v/>
      </c>
      <c r="U1484" s="348" t="str">
        <f t="shared" si="196"/>
        <v/>
      </c>
      <c r="V1484" s="348" t="str">
        <f t="shared" si="197"/>
        <v/>
      </c>
      <c r="W1484" s="348" t="str">
        <f t="shared" si="198"/>
        <v/>
      </c>
      <c r="X1484" s="348" t="str">
        <f t="shared" si="199"/>
        <v/>
      </c>
    </row>
    <row r="1485" spans="1:24" x14ac:dyDescent="0.2">
      <c r="A1485" s="407">
        <v>1477</v>
      </c>
      <c r="B1485" s="438"/>
      <c r="C1485" s="438"/>
      <c r="D1485" s="438"/>
      <c r="E1485" s="438"/>
      <c r="F1485" s="438"/>
      <c r="G1485" s="438"/>
      <c r="H1485" s="438"/>
      <c r="I1485" s="438"/>
      <c r="J1485" s="11"/>
      <c r="Q1485" s="348" t="str">
        <f t="shared" si="192"/>
        <v/>
      </c>
      <c r="R1485" s="348" t="str">
        <f t="shared" si="193"/>
        <v/>
      </c>
      <c r="S1485" s="348" t="str">
        <f t="shared" si="194"/>
        <v/>
      </c>
      <c r="T1485" s="348" t="str">
        <f t="shared" si="195"/>
        <v/>
      </c>
      <c r="U1485" s="348" t="str">
        <f t="shared" si="196"/>
        <v/>
      </c>
      <c r="V1485" s="348" t="str">
        <f t="shared" si="197"/>
        <v/>
      </c>
      <c r="W1485" s="348" t="str">
        <f t="shared" si="198"/>
        <v/>
      </c>
      <c r="X1485" s="348" t="str">
        <f t="shared" si="199"/>
        <v/>
      </c>
    </row>
    <row r="1486" spans="1:24" x14ac:dyDescent="0.2">
      <c r="A1486" s="407">
        <v>1478</v>
      </c>
      <c r="B1486" s="438"/>
      <c r="C1486" s="438"/>
      <c r="D1486" s="438"/>
      <c r="E1486" s="438"/>
      <c r="F1486" s="438"/>
      <c r="G1486" s="438"/>
      <c r="H1486" s="438"/>
      <c r="I1486" s="438"/>
      <c r="J1486" s="11"/>
      <c r="Q1486" s="348" t="str">
        <f t="shared" si="192"/>
        <v/>
      </c>
      <c r="R1486" s="348" t="str">
        <f t="shared" si="193"/>
        <v/>
      </c>
      <c r="S1486" s="348" t="str">
        <f t="shared" si="194"/>
        <v/>
      </c>
      <c r="T1486" s="348" t="str">
        <f t="shared" si="195"/>
        <v/>
      </c>
      <c r="U1486" s="348" t="str">
        <f t="shared" si="196"/>
        <v/>
      </c>
      <c r="V1486" s="348" t="str">
        <f t="shared" si="197"/>
        <v/>
      </c>
      <c r="W1486" s="348" t="str">
        <f t="shared" si="198"/>
        <v/>
      </c>
      <c r="X1486" s="348" t="str">
        <f t="shared" si="199"/>
        <v/>
      </c>
    </row>
    <row r="1487" spans="1:24" x14ac:dyDescent="0.2">
      <c r="A1487" s="407">
        <v>1479</v>
      </c>
      <c r="B1487" s="438"/>
      <c r="C1487" s="438"/>
      <c r="D1487" s="438"/>
      <c r="E1487" s="438"/>
      <c r="F1487" s="438"/>
      <c r="G1487" s="438"/>
      <c r="H1487" s="438"/>
      <c r="I1487" s="438"/>
      <c r="J1487" s="11"/>
      <c r="Q1487" s="348" t="str">
        <f t="shared" si="192"/>
        <v/>
      </c>
      <c r="R1487" s="348" t="str">
        <f t="shared" si="193"/>
        <v/>
      </c>
      <c r="S1487" s="348" t="str">
        <f t="shared" si="194"/>
        <v/>
      </c>
      <c r="T1487" s="348" t="str">
        <f t="shared" si="195"/>
        <v/>
      </c>
      <c r="U1487" s="348" t="str">
        <f t="shared" si="196"/>
        <v/>
      </c>
      <c r="V1487" s="348" t="str">
        <f t="shared" si="197"/>
        <v/>
      </c>
      <c r="W1487" s="348" t="str">
        <f t="shared" si="198"/>
        <v/>
      </c>
      <c r="X1487" s="348" t="str">
        <f t="shared" si="199"/>
        <v/>
      </c>
    </row>
    <row r="1488" spans="1:24" x14ac:dyDescent="0.2">
      <c r="A1488" s="407">
        <v>1480</v>
      </c>
      <c r="B1488" s="437"/>
      <c r="C1488" s="438"/>
      <c r="D1488" s="438"/>
      <c r="E1488" s="438"/>
      <c r="F1488" s="438"/>
      <c r="G1488" s="438"/>
      <c r="H1488" s="438"/>
      <c r="I1488" s="438"/>
      <c r="J1488" s="11"/>
      <c r="Q1488" s="348" t="str">
        <f t="shared" si="192"/>
        <v/>
      </c>
      <c r="R1488" s="348" t="str">
        <f t="shared" si="193"/>
        <v/>
      </c>
      <c r="S1488" s="348" t="str">
        <f t="shared" si="194"/>
        <v/>
      </c>
      <c r="T1488" s="348" t="str">
        <f t="shared" si="195"/>
        <v/>
      </c>
      <c r="U1488" s="348" t="str">
        <f t="shared" si="196"/>
        <v/>
      </c>
      <c r="V1488" s="348" t="str">
        <f t="shared" si="197"/>
        <v/>
      </c>
      <c r="W1488" s="348" t="str">
        <f t="shared" si="198"/>
        <v/>
      </c>
      <c r="X1488" s="348" t="str">
        <f t="shared" si="199"/>
        <v/>
      </c>
    </row>
    <row r="1489" spans="1:24" x14ac:dyDescent="0.2">
      <c r="A1489" s="407">
        <v>1481</v>
      </c>
      <c r="B1489" s="438"/>
      <c r="C1489" s="438"/>
      <c r="D1489" s="438"/>
      <c r="E1489" s="438"/>
      <c r="F1489" s="438"/>
      <c r="G1489" s="438"/>
      <c r="H1489" s="438"/>
      <c r="I1489" s="438"/>
      <c r="J1489" s="11"/>
      <c r="Q1489" s="348" t="str">
        <f t="shared" si="192"/>
        <v/>
      </c>
      <c r="R1489" s="348" t="str">
        <f t="shared" si="193"/>
        <v/>
      </c>
      <c r="S1489" s="348" t="str">
        <f t="shared" si="194"/>
        <v/>
      </c>
      <c r="T1489" s="348" t="str">
        <f t="shared" si="195"/>
        <v/>
      </c>
      <c r="U1489" s="348" t="str">
        <f t="shared" si="196"/>
        <v/>
      </c>
      <c r="V1489" s="348" t="str">
        <f t="shared" si="197"/>
        <v/>
      </c>
      <c r="W1489" s="348" t="str">
        <f t="shared" si="198"/>
        <v/>
      </c>
      <c r="X1489" s="348" t="str">
        <f t="shared" si="199"/>
        <v/>
      </c>
    </row>
    <row r="1490" spans="1:24" x14ac:dyDescent="0.2">
      <c r="A1490" s="407">
        <v>1482</v>
      </c>
      <c r="B1490" s="438"/>
      <c r="C1490" s="438"/>
      <c r="D1490" s="438"/>
      <c r="E1490" s="438"/>
      <c r="F1490" s="438"/>
      <c r="G1490" s="438"/>
      <c r="H1490" s="438"/>
      <c r="I1490" s="438"/>
      <c r="J1490" s="11"/>
      <c r="Q1490" s="348" t="str">
        <f t="shared" si="192"/>
        <v/>
      </c>
      <c r="R1490" s="348" t="str">
        <f t="shared" si="193"/>
        <v/>
      </c>
      <c r="S1490" s="348" t="str">
        <f t="shared" si="194"/>
        <v/>
      </c>
      <c r="T1490" s="348" t="str">
        <f t="shared" si="195"/>
        <v/>
      </c>
      <c r="U1490" s="348" t="str">
        <f t="shared" si="196"/>
        <v/>
      </c>
      <c r="V1490" s="348" t="str">
        <f t="shared" si="197"/>
        <v/>
      </c>
      <c r="W1490" s="348" t="str">
        <f t="shared" si="198"/>
        <v/>
      </c>
      <c r="X1490" s="348" t="str">
        <f t="shared" si="199"/>
        <v/>
      </c>
    </row>
    <row r="1491" spans="1:24" x14ac:dyDescent="0.2">
      <c r="A1491" s="407">
        <v>1483</v>
      </c>
      <c r="B1491" s="438"/>
      <c r="C1491" s="438"/>
      <c r="D1491" s="438"/>
      <c r="E1491" s="438"/>
      <c r="F1491" s="438"/>
      <c r="G1491" s="438"/>
      <c r="H1491" s="438"/>
      <c r="I1491" s="438"/>
      <c r="J1491" s="11"/>
      <c r="Q1491" s="348" t="str">
        <f t="shared" si="192"/>
        <v/>
      </c>
      <c r="R1491" s="348" t="str">
        <f t="shared" si="193"/>
        <v/>
      </c>
      <c r="S1491" s="348" t="str">
        <f t="shared" si="194"/>
        <v/>
      </c>
      <c r="T1491" s="348" t="str">
        <f t="shared" si="195"/>
        <v/>
      </c>
      <c r="U1491" s="348" t="str">
        <f t="shared" si="196"/>
        <v/>
      </c>
      <c r="V1491" s="348" t="str">
        <f t="shared" si="197"/>
        <v/>
      </c>
      <c r="W1491" s="348" t="str">
        <f t="shared" si="198"/>
        <v/>
      </c>
      <c r="X1491" s="348" t="str">
        <f t="shared" si="199"/>
        <v/>
      </c>
    </row>
    <row r="1492" spans="1:24" x14ac:dyDescent="0.2">
      <c r="A1492" s="407">
        <v>1484</v>
      </c>
      <c r="B1492" s="438"/>
      <c r="C1492" s="438"/>
      <c r="D1492" s="438"/>
      <c r="E1492" s="438"/>
      <c r="F1492" s="438"/>
      <c r="G1492" s="438"/>
      <c r="H1492" s="438"/>
      <c r="I1492" s="438"/>
      <c r="J1492" s="11"/>
      <c r="Q1492" s="348" t="str">
        <f t="shared" si="192"/>
        <v/>
      </c>
      <c r="R1492" s="348" t="str">
        <f t="shared" si="193"/>
        <v/>
      </c>
      <c r="S1492" s="348" t="str">
        <f t="shared" si="194"/>
        <v/>
      </c>
      <c r="T1492" s="348" t="str">
        <f t="shared" si="195"/>
        <v/>
      </c>
      <c r="U1492" s="348" t="str">
        <f t="shared" si="196"/>
        <v/>
      </c>
      <c r="V1492" s="348" t="str">
        <f t="shared" si="197"/>
        <v/>
      </c>
      <c r="W1492" s="348" t="str">
        <f t="shared" si="198"/>
        <v/>
      </c>
      <c r="X1492" s="348" t="str">
        <f t="shared" si="199"/>
        <v/>
      </c>
    </row>
    <row r="1493" spans="1:24" x14ac:dyDescent="0.2">
      <c r="A1493" s="407">
        <v>1485</v>
      </c>
      <c r="B1493" s="438"/>
      <c r="C1493" s="438"/>
      <c r="D1493" s="438"/>
      <c r="E1493" s="438"/>
      <c r="F1493" s="438"/>
      <c r="G1493" s="438"/>
      <c r="H1493" s="438"/>
      <c r="I1493" s="438"/>
      <c r="J1493" s="11"/>
      <c r="Q1493" s="348" t="str">
        <f t="shared" si="192"/>
        <v/>
      </c>
      <c r="R1493" s="348" t="str">
        <f t="shared" si="193"/>
        <v/>
      </c>
      <c r="S1493" s="348" t="str">
        <f t="shared" si="194"/>
        <v/>
      </c>
      <c r="T1493" s="348" t="str">
        <f t="shared" si="195"/>
        <v/>
      </c>
      <c r="U1493" s="348" t="str">
        <f t="shared" si="196"/>
        <v/>
      </c>
      <c r="V1493" s="348" t="str">
        <f t="shared" si="197"/>
        <v/>
      </c>
      <c r="W1493" s="348" t="str">
        <f t="shared" si="198"/>
        <v/>
      </c>
      <c r="X1493" s="348" t="str">
        <f t="shared" si="199"/>
        <v/>
      </c>
    </row>
    <row r="1494" spans="1:24" x14ac:dyDescent="0.2">
      <c r="A1494" s="407">
        <v>1486</v>
      </c>
      <c r="B1494" s="438"/>
      <c r="C1494" s="438"/>
      <c r="D1494" s="438"/>
      <c r="E1494" s="438"/>
      <c r="F1494" s="438"/>
      <c r="G1494" s="438"/>
      <c r="H1494" s="438"/>
      <c r="I1494" s="438"/>
      <c r="J1494" s="11"/>
      <c r="Q1494" s="348" t="str">
        <f t="shared" si="192"/>
        <v/>
      </c>
      <c r="R1494" s="348" t="str">
        <f t="shared" si="193"/>
        <v/>
      </c>
      <c r="S1494" s="348" t="str">
        <f t="shared" si="194"/>
        <v/>
      </c>
      <c r="T1494" s="348" t="str">
        <f t="shared" si="195"/>
        <v/>
      </c>
      <c r="U1494" s="348" t="str">
        <f t="shared" si="196"/>
        <v/>
      </c>
      <c r="V1494" s="348" t="str">
        <f t="shared" si="197"/>
        <v/>
      </c>
      <c r="W1494" s="348" t="str">
        <f t="shared" si="198"/>
        <v/>
      </c>
      <c r="X1494" s="348" t="str">
        <f t="shared" si="199"/>
        <v/>
      </c>
    </row>
    <row r="1495" spans="1:24" x14ac:dyDescent="0.2">
      <c r="A1495" s="407">
        <v>1487</v>
      </c>
      <c r="B1495" s="438"/>
      <c r="C1495" s="438"/>
      <c r="D1495" s="438"/>
      <c r="E1495" s="438"/>
      <c r="F1495" s="438"/>
      <c r="G1495" s="438"/>
      <c r="H1495" s="438"/>
      <c r="I1495" s="438"/>
      <c r="J1495" s="11"/>
      <c r="Q1495" s="348" t="str">
        <f t="shared" si="192"/>
        <v/>
      </c>
      <c r="R1495" s="348" t="str">
        <f t="shared" si="193"/>
        <v/>
      </c>
      <c r="S1495" s="348" t="str">
        <f t="shared" si="194"/>
        <v/>
      </c>
      <c r="T1495" s="348" t="str">
        <f t="shared" si="195"/>
        <v/>
      </c>
      <c r="U1495" s="348" t="str">
        <f t="shared" si="196"/>
        <v/>
      </c>
      <c r="V1495" s="348" t="str">
        <f t="shared" si="197"/>
        <v/>
      </c>
      <c r="W1495" s="348" t="str">
        <f t="shared" si="198"/>
        <v/>
      </c>
      <c r="X1495" s="348" t="str">
        <f t="shared" si="199"/>
        <v/>
      </c>
    </row>
    <row r="1496" spans="1:24" x14ac:dyDescent="0.2">
      <c r="A1496" s="407">
        <v>1488</v>
      </c>
      <c r="B1496" s="438"/>
      <c r="C1496" s="438"/>
      <c r="D1496" s="438"/>
      <c r="E1496" s="438"/>
      <c r="F1496" s="438"/>
      <c r="G1496" s="438"/>
      <c r="H1496" s="438"/>
      <c r="I1496" s="438"/>
      <c r="J1496" s="11"/>
      <c r="Q1496" s="348" t="str">
        <f t="shared" si="192"/>
        <v/>
      </c>
      <c r="R1496" s="348" t="str">
        <f t="shared" si="193"/>
        <v/>
      </c>
      <c r="S1496" s="348" t="str">
        <f t="shared" si="194"/>
        <v/>
      </c>
      <c r="T1496" s="348" t="str">
        <f t="shared" si="195"/>
        <v/>
      </c>
      <c r="U1496" s="348" t="str">
        <f t="shared" si="196"/>
        <v/>
      </c>
      <c r="V1496" s="348" t="str">
        <f t="shared" si="197"/>
        <v/>
      </c>
      <c r="W1496" s="348" t="str">
        <f t="shared" si="198"/>
        <v/>
      </c>
      <c r="X1496" s="348" t="str">
        <f t="shared" si="199"/>
        <v/>
      </c>
    </row>
    <row r="1497" spans="1:24" x14ac:dyDescent="0.2">
      <c r="A1497" s="407">
        <v>1489</v>
      </c>
      <c r="B1497" s="438"/>
      <c r="C1497" s="438"/>
      <c r="D1497" s="438"/>
      <c r="E1497" s="438"/>
      <c r="F1497" s="438"/>
      <c r="G1497" s="438"/>
      <c r="H1497" s="438"/>
      <c r="I1497" s="437"/>
      <c r="J1497" s="11"/>
      <c r="Q1497" s="348" t="str">
        <f t="shared" si="192"/>
        <v/>
      </c>
      <c r="R1497" s="348" t="str">
        <f t="shared" si="193"/>
        <v/>
      </c>
      <c r="S1497" s="348" t="str">
        <f t="shared" si="194"/>
        <v/>
      </c>
      <c r="T1497" s="348" t="str">
        <f t="shared" si="195"/>
        <v/>
      </c>
      <c r="U1497" s="348" t="str">
        <f t="shared" si="196"/>
        <v/>
      </c>
      <c r="V1497" s="348" t="str">
        <f t="shared" si="197"/>
        <v/>
      </c>
      <c r="W1497" s="348" t="str">
        <f t="shared" si="198"/>
        <v/>
      </c>
      <c r="X1497" s="348" t="str">
        <f t="shared" si="199"/>
        <v/>
      </c>
    </row>
    <row r="1498" spans="1:24" x14ac:dyDescent="0.2">
      <c r="A1498" s="407">
        <v>1490</v>
      </c>
      <c r="B1498" s="437"/>
      <c r="C1498" s="438"/>
      <c r="D1498" s="438"/>
      <c r="E1498" s="438"/>
      <c r="F1498" s="438"/>
      <c r="G1498" s="438"/>
      <c r="H1498" s="438"/>
      <c r="I1498" s="438"/>
      <c r="J1498" s="11"/>
      <c r="Q1498" s="348" t="str">
        <f t="shared" si="192"/>
        <v/>
      </c>
      <c r="R1498" s="348" t="str">
        <f t="shared" si="193"/>
        <v/>
      </c>
      <c r="S1498" s="348" t="str">
        <f t="shared" si="194"/>
        <v/>
      </c>
      <c r="T1498" s="348" t="str">
        <f t="shared" si="195"/>
        <v/>
      </c>
      <c r="U1498" s="348" t="str">
        <f t="shared" si="196"/>
        <v/>
      </c>
      <c r="V1498" s="348" t="str">
        <f t="shared" si="197"/>
        <v/>
      </c>
      <c r="W1498" s="348" t="str">
        <f t="shared" si="198"/>
        <v/>
      </c>
      <c r="X1498" s="348" t="str">
        <f t="shared" si="199"/>
        <v/>
      </c>
    </row>
    <row r="1499" spans="1:24" x14ac:dyDescent="0.2">
      <c r="A1499" s="407">
        <v>1491</v>
      </c>
      <c r="B1499" s="438"/>
      <c r="C1499" s="438"/>
      <c r="D1499" s="437"/>
      <c r="E1499" s="438"/>
      <c r="F1499" s="438"/>
      <c r="G1499" s="438"/>
      <c r="H1499" s="438"/>
      <c r="I1499" s="438"/>
      <c r="J1499" s="11"/>
      <c r="Q1499" s="348" t="str">
        <f t="shared" si="192"/>
        <v/>
      </c>
      <c r="R1499" s="348" t="str">
        <f t="shared" si="193"/>
        <v/>
      </c>
      <c r="S1499" s="348" t="str">
        <f t="shared" si="194"/>
        <v/>
      </c>
      <c r="T1499" s="348" t="str">
        <f t="shared" si="195"/>
        <v/>
      </c>
      <c r="U1499" s="348" t="str">
        <f t="shared" si="196"/>
        <v/>
      </c>
      <c r="V1499" s="348" t="str">
        <f t="shared" si="197"/>
        <v/>
      </c>
      <c r="W1499" s="348" t="str">
        <f t="shared" si="198"/>
        <v/>
      </c>
      <c r="X1499" s="348" t="str">
        <f t="shared" si="199"/>
        <v/>
      </c>
    </row>
    <row r="1500" spans="1:24" x14ac:dyDescent="0.2">
      <c r="A1500" s="407">
        <v>1492</v>
      </c>
      <c r="B1500" s="438"/>
      <c r="C1500" s="438"/>
      <c r="D1500" s="438"/>
      <c r="E1500" s="438"/>
      <c r="F1500" s="438"/>
      <c r="G1500" s="438"/>
      <c r="H1500" s="438"/>
      <c r="I1500" s="438"/>
      <c r="J1500" s="11"/>
      <c r="Q1500" s="348" t="str">
        <f t="shared" si="192"/>
        <v/>
      </c>
      <c r="R1500" s="348" t="str">
        <f t="shared" si="193"/>
        <v/>
      </c>
      <c r="S1500" s="348" t="str">
        <f t="shared" si="194"/>
        <v/>
      </c>
      <c r="T1500" s="348" t="str">
        <f t="shared" si="195"/>
        <v/>
      </c>
      <c r="U1500" s="348" t="str">
        <f t="shared" si="196"/>
        <v/>
      </c>
      <c r="V1500" s="348" t="str">
        <f t="shared" si="197"/>
        <v/>
      </c>
      <c r="W1500" s="348" t="str">
        <f t="shared" si="198"/>
        <v/>
      </c>
      <c r="X1500" s="348" t="str">
        <f t="shared" si="199"/>
        <v/>
      </c>
    </row>
    <row r="1501" spans="1:24" x14ac:dyDescent="0.2">
      <c r="A1501" s="407">
        <v>1493</v>
      </c>
      <c r="B1501" s="438"/>
      <c r="C1501" s="437"/>
      <c r="D1501" s="438"/>
      <c r="E1501" s="438"/>
      <c r="F1501" s="438"/>
      <c r="G1501" s="438"/>
      <c r="H1501" s="438"/>
      <c r="I1501" s="438"/>
      <c r="J1501" s="11"/>
      <c r="Q1501" s="348" t="str">
        <f t="shared" si="192"/>
        <v/>
      </c>
      <c r="R1501" s="348" t="str">
        <f t="shared" si="193"/>
        <v/>
      </c>
      <c r="S1501" s="348" t="str">
        <f t="shared" si="194"/>
        <v/>
      </c>
      <c r="T1501" s="348" t="str">
        <f t="shared" si="195"/>
        <v/>
      </c>
      <c r="U1501" s="348" t="str">
        <f t="shared" si="196"/>
        <v/>
      </c>
      <c r="V1501" s="348" t="str">
        <f t="shared" si="197"/>
        <v/>
      </c>
      <c r="W1501" s="348" t="str">
        <f t="shared" si="198"/>
        <v/>
      </c>
      <c r="X1501" s="348" t="str">
        <f t="shared" si="199"/>
        <v/>
      </c>
    </row>
    <row r="1502" spans="1:24" x14ac:dyDescent="0.2">
      <c r="A1502" s="407">
        <v>1494</v>
      </c>
      <c r="B1502" s="438"/>
      <c r="C1502" s="438"/>
      <c r="D1502" s="438"/>
      <c r="E1502" s="437"/>
      <c r="F1502" s="438"/>
      <c r="G1502" s="438"/>
      <c r="H1502" s="438"/>
      <c r="I1502" s="438"/>
      <c r="J1502" s="11"/>
      <c r="Q1502" s="348" t="str">
        <f t="shared" si="192"/>
        <v/>
      </c>
      <c r="R1502" s="348" t="str">
        <f t="shared" si="193"/>
        <v/>
      </c>
      <c r="S1502" s="348" t="str">
        <f t="shared" si="194"/>
        <v/>
      </c>
      <c r="T1502" s="348" t="str">
        <f t="shared" si="195"/>
        <v/>
      </c>
      <c r="U1502" s="348" t="str">
        <f t="shared" si="196"/>
        <v/>
      </c>
      <c r="V1502" s="348" t="str">
        <f t="shared" si="197"/>
        <v/>
      </c>
      <c r="W1502" s="348" t="str">
        <f t="shared" si="198"/>
        <v/>
      </c>
      <c r="X1502" s="348" t="str">
        <f t="shared" si="199"/>
        <v/>
      </c>
    </row>
    <row r="1503" spans="1:24" x14ac:dyDescent="0.2">
      <c r="A1503" s="407">
        <v>1495</v>
      </c>
      <c r="B1503" s="438"/>
      <c r="C1503" s="438"/>
      <c r="D1503" s="438"/>
      <c r="E1503" s="438"/>
      <c r="F1503" s="438"/>
      <c r="G1503" s="438"/>
      <c r="H1503" s="438"/>
      <c r="I1503" s="438"/>
      <c r="J1503" s="11"/>
      <c r="Q1503" s="348" t="str">
        <f t="shared" si="192"/>
        <v/>
      </c>
      <c r="R1503" s="348" t="str">
        <f t="shared" si="193"/>
        <v/>
      </c>
      <c r="S1503" s="348" t="str">
        <f t="shared" si="194"/>
        <v/>
      </c>
      <c r="T1503" s="348" t="str">
        <f t="shared" si="195"/>
        <v/>
      </c>
      <c r="U1503" s="348" t="str">
        <f t="shared" si="196"/>
        <v/>
      </c>
      <c r="V1503" s="348" t="str">
        <f t="shared" si="197"/>
        <v/>
      </c>
      <c r="W1503" s="348" t="str">
        <f t="shared" si="198"/>
        <v/>
      </c>
      <c r="X1503" s="348" t="str">
        <f t="shared" si="199"/>
        <v/>
      </c>
    </row>
    <row r="1504" spans="1:24" x14ac:dyDescent="0.2">
      <c r="A1504" s="407">
        <v>1496</v>
      </c>
      <c r="B1504" s="438"/>
      <c r="C1504" s="438"/>
      <c r="D1504" s="438"/>
      <c r="E1504" s="438"/>
      <c r="F1504" s="438"/>
      <c r="G1504" s="438"/>
      <c r="H1504" s="438"/>
      <c r="I1504" s="438"/>
      <c r="J1504" s="11"/>
      <c r="Q1504" s="348" t="str">
        <f t="shared" si="192"/>
        <v/>
      </c>
      <c r="R1504" s="348" t="str">
        <f t="shared" si="193"/>
        <v/>
      </c>
      <c r="S1504" s="348" t="str">
        <f t="shared" si="194"/>
        <v/>
      </c>
      <c r="T1504" s="348" t="str">
        <f t="shared" si="195"/>
        <v/>
      </c>
      <c r="U1504" s="348" t="str">
        <f t="shared" si="196"/>
        <v/>
      </c>
      <c r="V1504" s="348" t="str">
        <f t="shared" si="197"/>
        <v/>
      </c>
      <c r="W1504" s="348" t="str">
        <f t="shared" si="198"/>
        <v/>
      </c>
      <c r="X1504" s="348" t="str">
        <f t="shared" si="199"/>
        <v/>
      </c>
    </row>
    <row r="1505" spans="1:24" x14ac:dyDescent="0.2">
      <c r="A1505" s="407">
        <v>1497</v>
      </c>
      <c r="B1505" s="438"/>
      <c r="C1505" s="438"/>
      <c r="D1505" s="438"/>
      <c r="E1505" s="438"/>
      <c r="F1505" s="438"/>
      <c r="G1505" s="438"/>
      <c r="H1505" s="438"/>
      <c r="I1505" s="438"/>
      <c r="J1505" s="11"/>
      <c r="Q1505" s="348" t="str">
        <f t="shared" si="192"/>
        <v/>
      </c>
      <c r="R1505" s="348" t="str">
        <f t="shared" si="193"/>
        <v/>
      </c>
      <c r="S1505" s="348" t="str">
        <f t="shared" si="194"/>
        <v/>
      </c>
      <c r="T1505" s="348" t="str">
        <f t="shared" si="195"/>
        <v/>
      </c>
      <c r="U1505" s="348" t="str">
        <f t="shared" si="196"/>
        <v/>
      </c>
      <c r="V1505" s="348" t="str">
        <f t="shared" si="197"/>
        <v/>
      </c>
      <c r="W1505" s="348" t="str">
        <f t="shared" si="198"/>
        <v/>
      </c>
      <c r="X1505" s="348" t="str">
        <f t="shared" si="199"/>
        <v/>
      </c>
    </row>
    <row r="1506" spans="1:24" x14ac:dyDescent="0.2">
      <c r="A1506" s="407">
        <v>1498</v>
      </c>
      <c r="B1506" s="438"/>
      <c r="C1506" s="438"/>
      <c r="D1506" s="438"/>
      <c r="E1506" s="438"/>
      <c r="F1506" s="438"/>
      <c r="G1506" s="438"/>
      <c r="H1506" s="438"/>
      <c r="I1506" s="438"/>
      <c r="J1506" s="11"/>
      <c r="Q1506" s="348" t="str">
        <f t="shared" si="192"/>
        <v/>
      </c>
      <c r="R1506" s="348" t="str">
        <f t="shared" si="193"/>
        <v/>
      </c>
      <c r="S1506" s="348" t="str">
        <f t="shared" si="194"/>
        <v/>
      </c>
      <c r="T1506" s="348" t="str">
        <f t="shared" si="195"/>
        <v/>
      </c>
      <c r="U1506" s="348" t="str">
        <f t="shared" si="196"/>
        <v/>
      </c>
      <c r="V1506" s="348" t="str">
        <f t="shared" si="197"/>
        <v/>
      </c>
      <c r="W1506" s="348" t="str">
        <f t="shared" si="198"/>
        <v/>
      </c>
      <c r="X1506" s="348" t="str">
        <f t="shared" si="199"/>
        <v/>
      </c>
    </row>
    <row r="1507" spans="1:24" x14ac:dyDescent="0.2">
      <c r="A1507" s="407">
        <v>1499</v>
      </c>
      <c r="B1507" s="438"/>
      <c r="C1507" s="438"/>
      <c r="D1507" s="438"/>
      <c r="E1507" s="438"/>
      <c r="F1507" s="438"/>
      <c r="G1507" s="437"/>
      <c r="H1507" s="438"/>
      <c r="I1507" s="438"/>
      <c r="J1507" s="11"/>
      <c r="Q1507" s="348" t="str">
        <f t="shared" si="192"/>
        <v/>
      </c>
      <c r="R1507" s="348" t="str">
        <f t="shared" si="193"/>
        <v/>
      </c>
      <c r="S1507" s="348" t="str">
        <f t="shared" si="194"/>
        <v/>
      </c>
      <c r="T1507" s="348" t="str">
        <f t="shared" si="195"/>
        <v/>
      </c>
      <c r="U1507" s="348" t="str">
        <f t="shared" si="196"/>
        <v/>
      </c>
      <c r="V1507" s="348" t="str">
        <f t="shared" si="197"/>
        <v/>
      </c>
      <c r="W1507" s="348" t="str">
        <f t="shared" si="198"/>
        <v/>
      </c>
      <c r="X1507" s="348" t="str">
        <f t="shared" si="199"/>
        <v/>
      </c>
    </row>
    <row r="1508" spans="1:24" x14ac:dyDescent="0.2">
      <c r="A1508" s="407">
        <v>1500</v>
      </c>
      <c r="B1508" s="438"/>
      <c r="C1508" s="438"/>
      <c r="D1508" s="438"/>
      <c r="E1508" s="438"/>
      <c r="F1508" s="438"/>
      <c r="G1508" s="438"/>
      <c r="H1508" s="438"/>
      <c r="I1508" s="438"/>
      <c r="J1508" s="11"/>
      <c r="Q1508" s="348" t="str">
        <f t="shared" si="192"/>
        <v/>
      </c>
      <c r="R1508" s="348" t="str">
        <f t="shared" si="193"/>
        <v/>
      </c>
      <c r="S1508" s="348" t="str">
        <f t="shared" si="194"/>
        <v/>
      </c>
      <c r="T1508" s="348" t="str">
        <f t="shared" si="195"/>
        <v/>
      </c>
      <c r="U1508" s="348" t="str">
        <f t="shared" si="196"/>
        <v/>
      </c>
      <c r="V1508" s="348" t="str">
        <f t="shared" si="197"/>
        <v/>
      </c>
      <c r="W1508" s="348" t="str">
        <f t="shared" si="198"/>
        <v/>
      </c>
      <c r="X1508" s="348" t="str">
        <f t="shared" si="199"/>
        <v/>
      </c>
    </row>
    <row r="1509" spans="1:24" x14ac:dyDescent="0.2">
      <c r="A1509" s="407">
        <v>1501</v>
      </c>
      <c r="B1509" s="438"/>
      <c r="C1509" s="437"/>
      <c r="D1509" s="438"/>
      <c r="E1509" s="437"/>
      <c r="F1509" s="437"/>
      <c r="G1509" s="437"/>
      <c r="H1509" s="437"/>
      <c r="I1509" s="438"/>
      <c r="J1509" s="11"/>
      <c r="Q1509" s="348" t="str">
        <f t="shared" si="192"/>
        <v/>
      </c>
      <c r="R1509" s="348" t="str">
        <f t="shared" si="193"/>
        <v/>
      </c>
      <c r="S1509" s="348" t="str">
        <f t="shared" si="194"/>
        <v/>
      </c>
      <c r="T1509" s="348" t="str">
        <f t="shared" si="195"/>
        <v/>
      </c>
      <c r="U1509" s="348" t="str">
        <f t="shared" si="196"/>
        <v/>
      </c>
      <c r="V1509" s="348" t="str">
        <f t="shared" si="197"/>
        <v/>
      </c>
      <c r="W1509" s="348" t="str">
        <f t="shared" si="198"/>
        <v/>
      </c>
      <c r="X1509" s="348" t="str">
        <f t="shared" si="199"/>
        <v/>
      </c>
    </row>
    <row r="1510" spans="1:24" x14ac:dyDescent="0.2">
      <c r="A1510" s="407">
        <v>1502</v>
      </c>
      <c r="B1510" s="438"/>
      <c r="C1510" s="438"/>
      <c r="D1510" s="438"/>
      <c r="E1510" s="438"/>
      <c r="F1510" s="438"/>
      <c r="G1510" s="438"/>
      <c r="H1510" s="438"/>
      <c r="I1510" s="438"/>
      <c r="J1510" s="11"/>
      <c r="Q1510" s="348" t="str">
        <f t="shared" si="192"/>
        <v/>
      </c>
      <c r="R1510" s="348" t="str">
        <f t="shared" si="193"/>
        <v/>
      </c>
      <c r="S1510" s="348" t="str">
        <f t="shared" si="194"/>
        <v/>
      </c>
      <c r="T1510" s="348" t="str">
        <f t="shared" si="195"/>
        <v/>
      </c>
      <c r="U1510" s="348" t="str">
        <f t="shared" si="196"/>
        <v/>
      </c>
      <c r="V1510" s="348" t="str">
        <f t="shared" si="197"/>
        <v/>
      </c>
      <c r="W1510" s="348" t="str">
        <f t="shared" si="198"/>
        <v/>
      </c>
      <c r="X1510" s="348" t="str">
        <f t="shared" si="199"/>
        <v/>
      </c>
    </row>
    <row r="1511" spans="1:24" x14ac:dyDescent="0.2">
      <c r="A1511" s="407">
        <v>1503</v>
      </c>
      <c r="B1511" s="438"/>
      <c r="C1511" s="438"/>
      <c r="D1511" s="438"/>
      <c r="E1511" s="438"/>
      <c r="F1511" s="438"/>
      <c r="G1511" s="438"/>
      <c r="H1511" s="438"/>
      <c r="I1511" s="438"/>
      <c r="J1511" s="11"/>
      <c r="Q1511" s="348" t="str">
        <f t="shared" si="192"/>
        <v/>
      </c>
      <c r="R1511" s="348" t="str">
        <f t="shared" si="193"/>
        <v/>
      </c>
      <c r="S1511" s="348" t="str">
        <f t="shared" si="194"/>
        <v/>
      </c>
      <c r="T1511" s="348" t="str">
        <f t="shared" si="195"/>
        <v/>
      </c>
      <c r="U1511" s="348" t="str">
        <f t="shared" si="196"/>
        <v/>
      </c>
      <c r="V1511" s="348" t="str">
        <f t="shared" si="197"/>
        <v/>
      </c>
      <c r="W1511" s="348" t="str">
        <f t="shared" si="198"/>
        <v/>
      </c>
      <c r="X1511" s="348" t="str">
        <f t="shared" si="199"/>
        <v/>
      </c>
    </row>
    <row r="1512" spans="1:24" x14ac:dyDescent="0.2">
      <c r="A1512" s="407">
        <v>1504</v>
      </c>
      <c r="B1512" s="437"/>
      <c r="C1512" s="438"/>
      <c r="D1512" s="438"/>
      <c r="E1512" s="438"/>
      <c r="F1512" s="438"/>
      <c r="G1512" s="438"/>
      <c r="H1512" s="438"/>
      <c r="I1512" s="438"/>
      <c r="J1512" s="11"/>
      <c r="Q1512" s="348" t="str">
        <f t="shared" si="192"/>
        <v/>
      </c>
      <c r="R1512" s="348" t="str">
        <f t="shared" si="193"/>
        <v/>
      </c>
      <c r="S1512" s="348" t="str">
        <f t="shared" si="194"/>
        <v/>
      </c>
      <c r="T1512" s="348" t="str">
        <f t="shared" si="195"/>
        <v/>
      </c>
      <c r="U1512" s="348" t="str">
        <f t="shared" si="196"/>
        <v/>
      </c>
      <c r="V1512" s="348" t="str">
        <f t="shared" si="197"/>
        <v/>
      </c>
      <c r="W1512" s="348" t="str">
        <f t="shared" si="198"/>
        <v/>
      </c>
      <c r="X1512" s="348" t="str">
        <f t="shared" si="199"/>
        <v/>
      </c>
    </row>
    <row r="1513" spans="1:24" x14ac:dyDescent="0.2">
      <c r="A1513" s="407">
        <v>1505</v>
      </c>
      <c r="B1513" s="438"/>
      <c r="C1513" s="438"/>
      <c r="D1513" s="438"/>
      <c r="E1513" s="438"/>
      <c r="F1513" s="438"/>
      <c r="G1513" s="438"/>
      <c r="H1513" s="438"/>
      <c r="I1513" s="438"/>
      <c r="J1513" s="11"/>
      <c r="Q1513" s="348" t="str">
        <f t="shared" si="192"/>
        <v/>
      </c>
      <c r="R1513" s="348" t="str">
        <f t="shared" si="193"/>
        <v/>
      </c>
      <c r="S1513" s="348" t="str">
        <f t="shared" si="194"/>
        <v/>
      </c>
      <c r="T1513" s="348" t="str">
        <f t="shared" si="195"/>
        <v/>
      </c>
      <c r="U1513" s="348" t="str">
        <f t="shared" si="196"/>
        <v/>
      </c>
      <c r="V1513" s="348" t="str">
        <f t="shared" si="197"/>
        <v/>
      </c>
      <c r="W1513" s="348" t="str">
        <f t="shared" si="198"/>
        <v/>
      </c>
      <c r="X1513" s="348" t="str">
        <f t="shared" si="199"/>
        <v/>
      </c>
    </row>
    <row r="1514" spans="1:24" x14ac:dyDescent="0.2">
      <c r="A1514" s="407">
        <v>1506</v>
      </c>
      <c r="B1514" s="438"/>
      <c r="C1514" s="438"/>
      <c r="D1514" s="438"/>
      <c r="E1514" s="438"/>
      <c r="F1514" s="438"/>
      <c r="G1514" s="438"/>
      <c r="H1514" s="438"/>
      <c r="I1514" s="438"/>
      <c r="J1514" s="11"/>
      <c r="Q1514" s="348" t="str">
        <f t="shared" si="192"/>
        <v/>
      </c>
      <c r="R1514" s="348" t="str">
        <f t="shared" si="193"/>
        <v/>
      </c>
      <c r="S1514" s="348" t="str">
        <f t="shared" si="194"/>
        <v/>
      </c>
      <c r="T1514" s="348" t="str">
        <f t="shared" si="195"/>
        <v/>
      </c>
      <c r="U1514" s="348" t="str">
        <f t="shared" si="196"/>
        <v/>
      </c>
      <c r="V1514" s="348" t="str">
        <f t="shared" si="197"/>
        <v/>
      </c>
      <c r="W1514" s="348" t="str">
        <f t="shared" si="198"/>
        <v/>
      </c>
      <c r="X1514" s="348" t="str">
        <f t="shared" si="199"/>
        <v/>
      </c>
    </row>
    <row r="1515" spans="1:24" x14ac:dyDescent="0.2">
      <c r="A1515" s="407">
        <v>1507</v>
      </c>
      <c r="B1515" s="438"/>
      <c r="C1515" s="438"/>
      <c r="D1515" s="438"/>
      <c r="E1515" s="438"/>
      <c r="F1515" s="438"/>
      <c r="G1515" s="438"/>
      <c r="H1515" s="438"/>
      <c r="I1515" s="438"/>
      <c r="J1515" s="11"/>
      <c r="Q1515" s="348" t="str">
        <f t="shared" si="192"/>
        <v/>
      </c>
      <c r="R1515" s="348" t="str">
        <f t="shared" si="193"/>
        <v/>
      </c>
      <c r="S1515" s="348" t="str">
        <f t="shared" si="194"/>
        <v/>
      </c>
      <c r="T1515" s="348" t="str">
        <f t="shared" si="195"/>
        <v/>
      </c>
      <c r="U1515" s="348" t="str">
        <f t="shared" si="196"/>
        <v/>
      </c>
      <c r="V1515" s="348" t="str">
        <f t="shared" si="197"/>
        <v/>
      </c>
      <c r="W1515" s="348" t="str">
        <f t="shared" si="198"/>
        <v/>
      </c>
      <c r="X1515" s="348" t="str">
        <f t="shared" si="199"/>
        <v/>
      </c>
    </row>
    <row r="1516" spans="1:24" x14ac:dyDescent="0.2">
      <c r="A1516" s="407">
        <v>1508</v>
      </c>
      <c r="B1516" s="438"/>
      <c r="C1516" s="438"/>
      <c r="D1516" s="438"/>
      <c r="E1516" s="438"/>
      <c r="F1516" s="438"/>
      <c r="G1516" s="438"/>
      <c r="H1516" s="438"/>
      <c r="I1516" s="438"/>
      <c r="J1516" s="11"/>
      <c r="Q1516" s="348" t="str">
        <f t="shared" si="192"/>
        <v/>
      </c>
      <c r="R1516" s="348" t="str">
        <f t="shared" si="193"/>
        <v/>
      </c>
      <c r="S1516" s="348" t="str">
        <f t="shared" si="194"/>
        <v/>
      </c>
      <c r="T1516" s="348" t="str">
        <f t="shared" si="195"/>
        <v/>
      </c>
      <c r="U1516" s="348" t="str">
        <f t="shared" si="196"/>
        <v/>
      </c>
      <c r="V1516" s="348" t="str">
        <f t="shared" si="197"/>
        <v/>
      </c>
      <c r="W1516" s="348" t="str">
        <f t="shared" si="198"/>
        <v/>
      </c>
      <c r="X1516" s="348" t="str">
        <f t="shared" si="199"/>
        <v/>
      </c>
    </row>
    <row r="1517" spans="1:24" x14ac:dyDescent="0.2">
      <c r="A1517" s="407">
        <v>1509</v>
      </c>
      <c r="B1517" s="438"/>
      <c r="C1517" s="438"/>
      <c r="D1517" s="438"/>
      <c r="E1517" s="438"/>
      <c r="F1517" s="438"/>
      <c r="G1517" s="438"/>
      <c r="H1517" s="438"/>
      <c r="I1517" s="438"/>
      <c r="J1517" s="11"/>
      <c r="Q1517" s="348" t="str">
        <f t="shared" si="192"/>
        <v/>
      </c>
      <c r="R1517" s="348" t="str">
        <f t="shared" si="193"/>
        <v/>
      </c>
      <c r="S1517" s="348" t="str">
        <f t="shared" si="194"/>
        <v/>
      </c>
      <c r="T1517" s="348" t="str">
        <f t="shared" si="195"/>
        <v/>
      </c>
      <c r="U1517" s="348" t="str">
        <f t="shared" si="196"/>
        <v/>
      </c>
      <c r="V1517" s="348" t="str">
        <f t="shared" si="197"/>
        <v/>
      </c>
      <c r="W1517" s="348" t="str">
        <f t="shared" si="198"/>
        <v/>
      </c>
      <c r="X1517" s="348" t="str">
        <f t="shared" si="199"/>
        <v/>
      </c>
    </row>
    <row r="1518" spans="1:24" x14ac:dyDescent="0.2">
      <c r="A1518" s="407">
        <v>1510</v>
      </c>
      <c r="B1518" s="438"/>
      <c r="C1518" s="438"/>
      <c r="D1518" s="438"/>
      <c r="E1518" s="438"/>
      <c r="F1518" s="438"/>
      <c r="G1518" s="438"/>
      <c r="H1518" s="438"/>
      <c r="I1518" s="438"/>
      <c r="J1518" s="11"/>
      <c r="Q1518" s="348" t="str">
        <f t="shared" si="192"/>
        <v/>
      </c>
      <c r="R1518" s="348" t="str">
        <f t="shared" si="193"/>
        <v/>
      </c>
      <c r="S1518" s="348" t="str">
        <f t="shared" si="194"/>
        <v/>
      </c>
      <c r="T1518" s="348" t="str">
        <f t="shared" si="195"/>
        <v/>
      </c>
      <c r="U1518" s="348" t="str">
        <f t="shared" si="196"/>
        <v/>
      </c>
      <c r="V1518" s="348" t="str">
        <f t="shared" si="197"/>
        <v/>
      </c>
      <c r="W1518" s="348" t="str">
        <f t="shared" si="198"/>
        <v/>
      </c>
      <c r="X1518" s="348" t="str">
        <f t="shared" si="199"/>
        <v/>
      </c>
    </row>
    <row r="1519" spans="1:24" x14ac:dyDescent="0.2">
      <c r="A1519" s="407">
        <v>1511</v>
      </c>
      <c r="B1519" s="438"/>
      <c r="C1519" s="438"/>
      <c r="D1519" s="438"/>
      <c r="E1519" s="438"/>
      <c r="F1519" s="438"/>
      <c r="G1519" s="438"/>
      <c r="H1519" s="438"/>
      <c r="I1519" s="438"/>
      <c r="J1519" s="11"/>
      <c r="Q1519" s="348" t="str">
        <f t="shared" si="192"/>
        <v/>
      </c>
      <c r="R1519" s="348" t="str">
        <f t="shared" si="193"/>
        <v/>
      </c>
      <c r="S1519" s="348" t="str">
        <f t="shared" si="194"/>
        <v/>
      </c>
      <c r="T1519" s="348" t="str">
        <f t="shared" si="195"/>
        <v/>
      </c>
      <c r="U1519" s="348" t="str">
        <f t="shared" si="196"/>
        <v/>
      </c>
      <c r="V1519" s="348" t="str">
        <f t="shared" si="197"/>
        <v/>
      </c>
      <c r="W1519" s="348" t="str">
        <f t="shared" si="198"/>
        <v/>
      </c>
      <c r="X1519" s="348" t="str">
        <f t="shared" si="199"/>
        <v/>
      </c>
    </row>
    <row r="1520" spans="1:24" x14ac:dyDescent="0.2">
      <c r="A1520" s="407">
        <v>1512</v>
      </c>
      <c r="B1520" s="438"/>
      <c r="C1520" s="438"/>
      <c r="D1520" s="438"/>
      <c r="E1520" s="438"/>
      <c r="F1520" s="438"/>
      <c r="G1520" s="438"/>
      <c r="H1520" s="438"/>
      <c r="I1520" s="438"/>
      <c r="J1520" s="11"/>
      <c r="Q1520" s="348" t="str">
        <f t="shared" si="192"/>
        <v/>
      </c>
      <c r="R1520" s="348" t="str">
        <f t="shared" si="193"/>
        <v/>
      </c>
      <c r="S1520" s="348" t="str">
        <f t="shared" si="194"/>
        <v/>
      </c>
      <c r="T1520" s="348" t="str">
        <f t="shared" si="195"/>
        <v/>
      </c>
      <c r="U1520" s="348" t="str">
        <f t="shared" si="196"/>
        <v/>
      </c>
      <c r="V1520" s="348" t="str">
        <f t="shared" si="197"/>
        <v/>
      </c>
      <c r="W1520" s="348" t="str">
        <f t="shared" si="198"/>
        <v/>
      </c>
      <c r="X1520" s="348" t="str">
        <f t="shared" si="199"/>
        <v/>
      </c>
    </row>
    <row r="1521" spans="1:24" x14ac:dyDescent="0.2">
      <c r="A1521" s="407">
        <v>1513</v>
      </c>
      <c r="B1521" s="438"/>
      <c r="C1521" s="438"/>
      <c r="D1521" s="438"/>
      <c r="E1521" s="438"/>
      <c r="F1521" s="438"/>
      <c r="G1521" s="438"/>
      <c r="H1521" s="438"/>
      <c r="I1521" s="438"/>
      <c r="J1521" s="11"/>
      <c r="Q1521" s="348" t="str">
        <f t="shared" si="192"/>
        <v/>
      </c>
      <c r="R1521" s="348" t="str">
        <f t="shared" si="193"/>
        <v/>
      </c>
      <c r="S1521" s="348" t="str">
        <f t="shared" si="194"/>
        <v/>
      </c>
      <c r="T1521" s="348" t="str">
        <f t="shared" si="195"/>
        <v/>
      </c>
      <c r="U1521" s="348" t="str">
        <f t="shared" si="196"/>
        <v/>
      </c>
      <c r="V1521" s="348" t="str">
        <f t="shared" si="197"/>
        <v/>
      </c>
      <c r="W1521" s="348" t="str">
        <f t="shared" si="198"/>
        <v/>
      </c>
      <c r="X1521" s="348" t="str">
        <f t="shared" si="199"/>
        <v/>
      </c>
    </row>
    <row r="1522" spans="1:24" x14ac:dyDescent="0.2">
      <c r="A1522" s="407">
        <v>1514</v>
      </c>
      <c r="B1522" s="438"/>
      <c r="C1522" s="438"/>
      <c r="D1522" s="438"/>
      <c r="E1522" s="438"/>
      <c r="F1522" s="438"/>
      <c r="G1522" s="438"/>
      <c r="H1522" s="438"/>
      <c r="I1522" s="438"/>
      <c r="J1522" s="11"/>
      <c r="Q1522" s="348" t="str">
        <f t="shared" si="192"/>
        <v/>
      </c>
      <c r="R1522" s="348" t="str">
        <f t="shared" si="193"/>
        <v/>
      </c>
      <c r="S1522" s="348" t="str">
        <f t="shared" si="194"/>
        <v/>
      </c>
      <c r="T1522" s="348" t="str">
        <f t="shared" si="195"/>
        <v/>
      </c>
      <c r="U1522" s="348" t="str">
        <f t="shared" si="196"/>
        <v/>
      </c>
      <c r="V1522" s="348" t="str">
        <f t="shared" si="197"/>
        <v/>
      </c>
      <c r="W1522" s="348" t="str">
        <f t="shared" si="198"/>
        <v/>
      </c>
      <c r="X1522" s="348" t="str">
        <f t="shared" si="199"/>
        <v/>
      </c>
    </row>
    <row r="1523" spans="1:24" x14ac:dyDescent="0.2">
      <c r="A1523" s="407">
        <v>1515</v>
      </c>
      <c r="B1523" s="438"/>
      <c r="C1523" s="437"/>
      <c r="D1523" s="438"/>
      <c r="E1523" s="438"/>
      <c r="F1523" s="438"/>
      <c r="G1523" s="438"/>
      <c r="H1523" s="438"/>
      <c r="I1523" s="438"/>
      <c r="J1523" s="11"/>
      <c r="Q1523" s="348" t="str">
        <f t="shared" si="192"/>
        <v/>
      </c>
      <c r="R1523" s="348" t="str">
        <f t="shared" si="193"/>
        <v/>
      </c>
      <c r="S1523" s="348" t="str">
        <f t="shared" si="194"/>
        <v/>
      </c>
      <c r="T1523" s="348" t="str">
        <f t="shared" si="195"/>
        <v/>
      </c>
      <c r="U1523" s="348" t="str">
        <f t="shared" si="196"/>
        <v/>
      </c>
      <c r="V1523" s="348" t="str">
        <f t="shared" si="197"/>
        <v/>
      </c>
      <c r="W1523" s="348" t="str">
        <f t="shared" si="198"/>
        <v/>
      </c>
      <c r="X1523" s="348" t="str">
        <f t="shared" si="199"/>
        <v/>
      </c>
    </row>
    <row r="1524" spans="1:24" x14ac:dyDescent="0.2">
      <c r="A1524" s="407">
        <v>1516</v>
      </c>
      <c r="B1524" s="438"/>
      <c r="C1524" s="438"/>
      <c r="D1524" s="438"/>
      <c r="E1524" s="438"/>
      <c r="F1524" s="438"/>
      <c r="G1524" s="438"/>
      <c r="H1524" s="438"/>
      <c r="I1524" s="438"/>
      <c r="J1524" s="11"/>
      <c r="Q1524" s="348" t="str">
        <f t="shared" si="192"/>
        <v/>
      </c>
      <c r="R1524" s="348" t="str">
        <f t="shared" si="193"/>
        <v/>
      </c>
      <c r="S1524" s="348" t="str">
        <f t="shared" si="194"/>
        <v/>
      </c>
      <c r="T1524" s="348" t="str">
        <f t="shared" si="195"/>
        <v/>
      </c>
      <c r="U1524" s="348" t="str">
        <f t="shared" si="196"/>
        <v/>
      </c>
      <c r="V1524" s="348" t="str">
        <f t="shared" si="197"/>
        <v/>
      </c>
      <c r="W1524" s="348" t="str">
        <f t="shared" si="198"/>
        <v/>
      </c>
      <c r="X1524" s="348" t="str">
        <f t="shared" si="199"/>
        <v/>
      </c>
    </row>
    <row r="1525" spans="1:24" x14ac:dyDescent="0.2">
      <c r="A1525" s="407">
        <v>1517</v>
      </c>
      <c r="B1525" s="438"/>
      <c r="C1525" s="438"/>
      <c r="D1525" s="438"/>
      <c r="E1525" s="438"/>
      <c r="F1525" s="438"/>
      <c r="G1525" s="438"/>
      <c r="H1525" s="438"/>
      <c r="I1525" s="438"/>
      <c r="J1525" s="11"/>
      <c r="Q1525" s="348" t="str">
        <f t="shared" si="192"/>
        <v/>
      </c>
      <c r="R1525" s="348" t="str">
        <f t="shared" si="193"/>
        <v/>
      </c>
      <c r="S1525" s="348" t="str">
        <f t="shared" si="194"/>
        <v/>
      </c>
      <c r="T1525" s="348" t="str">
        <f t="shared" si="195"/>
        <v/>
      </c>
      <c r="U1525" s="348" t="str">
        <f t="shared" si="196"/>
        <v/>
      </c>
      <c r="V1525" s="348" t="str">
        <f t="shared" si="197"/>
        <v/>
      </c>
      <c r="W1525" s="348" t="str">
        <f t="shared" si="198"/>
        <v/>
      </c>
      <c r="X1525" s="348" t="str">
        <f t="shared" si="199"/>
        <v/>
      </c>
    </row>
    <row r="1526" spans="1:24" x14ac:dyDescent="0.2">
      <c r="A1526" s="407">
        <v>1518</v>
      </c>
      <c r="B1526" s="438"/>
      <c r="C1526" s="438"/>
      <c r="D1526" s="438"/>
      <c r="E1526" s="438"/>
      <c r="F1526" s="438"/>
      <c r="G1526" s="438"/>
      <c r="H1526" s="438"/>
      <c r="I1526" s="438"/>
      <c r="J1526" s="11"/>
      <c r="Q1526" s="348" t="str">
        <f t="shared" si="192"/>
        <v/>
      </c>
      <c r="R1526" s="348" t="str">
        <f t="shared" si="193"/>
        <v/>
      </c>
      <c r="S1526" s="348" t="str">
        <f t="shared" si="194"/>
        <v/>
      </c>
      <c r="T1526" s="348" t="str">
        <f t="shared" si="195"/>
        <v/>
      </c>
      <c r="U1526" s="348" t="str">
        <f t="shared" si="196"/>
        <v/>
      </c>
      <c r="V1526" s="348" t="str">
        <f t="shared" si="197"/>
        <v/>
      </c>
      <c r="W1526" s="348" t="str">
        <f t="shared" si="198"/>
        <v/>
      </c>
      <c r="X1526" s="348" t="str">
        <f t="shared" si="199"/>
        <v/>
      </c>
    </row>
    <row r="1527" spans="1:24" x14ac:dyDescent="0.2">
      <c r="A1527" s="407">
        <v>1519</v>
      </c>
      <c r="B1527" s="438"/>
      <c r="C1527" s="438"/>
      <c r="D1527" s="438"/>
      <c r="E1527" s="438"/>
      <c r="F1527" s="438"/>
      <c r="G1527" s="438"/>
      <c r="H1527" s="438"/>
      <c r="I1527" s="438"/>
      <c r="J1527" s="11"/>
      <c r="Q1527" s="348" t="str">
        <f t="shared" si="192"/>
        <v/>
      </c>
      <c r="R1527" s="348" t="str">
        <f t="shared" si="193"/>
        <v/>
      </c>
      <c r="S1527" s="348" t="str">
        <f t="shared" si="194"/>
        <v/>
      </c>
      <c r="T1527" s="348" t="str">
        <f t="shared" si="195"/>
        <v/>
      </c>
      <c r="U1527" s="348" t="str">
        <f t="shared" si="196"/>
        <v/>
      </c>
      <c r="V1527" s="348" t="str">
        <f t="shared" si="197"/>
        <v/>
      </c>
      <c r="W1527" s="348" t="str">
        <f t="shared" si="198"/>
        <v/>
      </c>
      <c r="X1527" s="348" t="str">
        <f t="shared" si="199"/>
        <v/>
      </c>
    </row>
    <row r="1528" spans="1:24" x14ac:dyDescent="0.2">
      <c r="A1528" s="407">
        <v>1520</v>
      </c>
      <c r="B1528" s="438"/>
      <c r="C1528" s="438"/>
      <c r="D1528" s="438"/>
      <c r="E1528" s="438"/>
      <c r="F1528" s="438"/>
      <c r="G1528" s="438"/>
      <c r="H1528" s="438"/>
      <c r="I1528" s="438"/>
      <c r="J1528" s="11"/>
      <c r="Q1528" s="348" t="str">
        <f t="shared" si="192"/>
        <v/>
      </c>
      <c r="R1528" s="348" t="str">
        <f t="shared" si="193"/>
        <v/>
      </c>
      <c r="S1528" s="348" t="str">
        <f t="shared" si="194"/>
        <v/>
      </c>
      <c r="T1528" s="348" t="str">
        <f t="shared" si="195"/>
        <v/>
      </c>
      <c r="U1528" s="348" t="str">
        <f t="shared" si="196"/>
        <v/>
      </c>
      <c r="V1528" s="348" t="str">
        <f t="shared" si="197"/>
        <v/>
      </c>
      <c r="W1528" s="348" t="str">
        <f t="shared" si="198"/>
        <v/>
      </c>
      <c r="X1528" s="348" t="str">
        <f t="shared" si="199"/>
        <v/>
      </c>
    </row>
    <row r="1529" spans="1:24" x14ac:dyDescent="0.2">
      <c r="A1529" s="407">
        <v>1521</v>
      </c>
      <c r="B1529" s="438"/>
      <c r="C1529" s="438"/>
      <c r="D1529" s="438"/>
      <c r="E1529" s="438"/>
      <c r="F1529" s="438"/>
      <c r="G1529" s="438"/>
      <c r="H1529" s="438"/>
      <c r="I1529" s="438"/>
      <c r="J1529" s="11"/>
      <c r="Q1529" s="348" t="str">
        <f t="shared" si="192"/>
        <v/>
      </c>
      <c r="R1529" s="348" t="str">
        <f t="shared" si="193"/>
        <v/>
      </c>
      <c r="S1529" s="348" t="str">
        <f t="shared" si="194"/>
        <v/>
      </c>
      <c r="T1529" s="348" t="str">
        <f t="shared" si="195"/>
        <v/>
      </c>
      <c r="U1529" s="348" t="str">
        <f t="shared" si="196"/>
        <v/>
      </c>
      <c r="V1529" s="348" t="str">
        <f t="shared" si="197"/>
        <v/>
      </c>
      <c r="W1529" s="348" t="str">
        <f t="shared" si="198"/>
        <v/>
      </c>
      <c r="X1529" s="348" t="str">
        <f t="shared" si="199"/>
        <v/>
      </c>
    </row>
    <row r="1530" spans="1:24" x14ac:dyDescent="0.2">
      <c r="A1530" s="407">
        <v>1522</v>
      </c>
      <c r="B1530" s="438"/>
      <c r="C1530" s="438"/>
      <c r="D1530" s="438"/>
      <c r="E1530" s="438"/>
      <c r="F1530" s="438"/>
      <c r="G1530" s="438"/>
      <c r="H1530" s="438"/>
      <c r="I1530" s="438"/>
      <c r="J1530" s="11"/>
      <c r="Q1530" s="348" t="str">
        <f t="shared" si="192"/>
        <v/>
      </c>
      <c r="R1530" s="348" t="str">
        <f t="shared" si="193"/>
        <v/>
      </c>
      <c r="S1530" s="348" t="str">
        <f t="shared" si="194"/>
        <v/>
      </c>
      <c r="T1530" s="348" t="str">
        <f t="shared" si="195"/>
        <v/>
      </c>
      <c r="U1530" s="348" t="str">
        <f t="shared" si="196"/>
        <v/>
      </c>
      <c r="V1530" s="348" t="str">
        <f t="shared" si="197"/>
        <v/>
      </c>
      <c r="W1530" s="348" t="str">
        <f t="shared" si="198"/>
        <v/>
      </c>
      <c r="X1530" s="348" t="str">
        <f t="shared" si="199"/>
        <v/>
      </c>
    </row>
    <row r="1531" spans="1:24" x14ac:dyDescent="0.2">
      <c r="A1531" s="407">
        <v>1523</v>
      </c>
      <c r="B1531" s="437"/>
      <c r="C1531" s="438"/>
      <c r="D1531" s="438"/>
      <c r="E1531" s="438"/>
      <c r="F1531" s="438"/>
      <c r="G1531" s="438"/>
      <c r="H1531" s="438"/>
      <c r="I1531" s="438"/>
      <c r="J1531" s="11"/>
      <c r="Q1531" s="348" t="str">
        <f t="shared" si="192"/>
        <v/>
      </c>
      <c r="R1531" s="348" t="str">
        <f t="shared" si="193"/>
        <v/>
      </c>
      <c r="S1531" s="348" t="str">
        <f t="shared" si="194"/>
        <v/>
      </c>
      <c r="T1531" s="348" t="str">
        <f t="shared" si="195"/>
        <v/>
      </c>
      <c r="U1531" s="348" t="str">
        <f t="shared" si="196"/>
        <v/>
      </c>
      <c r="V1531" s="348" t="str">
        <f t="shared" si="197"/>
        <v/>
      </c>
      <c r="W1531" s="348" t="str">
        <f t="shared" si="198"/>
        <v/>
      </c>
      <c r="X1531" s="348" t="str">
        <f t="shared" si="199"/>
        <v/>
      </c>
    </row>
    <row r="1532" spans="1:24" x14ac:dyDescent="0.2">
      <c r="A1532" s="407">
        <v>1524</v>
      </c>
      <c r="B1532" s="438"/>
      <c r="C1532" s="438"/>
      <c r="D1532" s="438"/>
      <c r="E1532" s="438"/>
      <c r="F1532" s="438"/>
      <c r="G1532" s="438"/>
      <c r="H1532" s="438"/>
      <c r="I1532" s="438"/>
      <c r="J1532" s="11"/>
      <c r="Q1532" s="348" t="str">
        <f t="shared" si="192"/>
        <v/>
      </c>
      <c r="R1532" s="348" t="str">
        <f t="shared" si="193"/>
        <v/>
      </c>
      <c r="S1532" s="348" t="str">
        <f t="shared" si="194"/>
        <v/>
      </c>
      <c r="T1532" s="348" t="str">
        <f t="shared" si="195"/>
        <v/>
      </c>
      <c r="U1532" s="348" t="str">
        <f t="shared" si="196"/>
        <v/>
      </c>
      <c r="V1532" s="348" t="str">
        <f t="shared" si="197"/>
        <v/>
      </c>
      <c r="W1532" s="348" t="str">
        <f t="shared" si="198"/>
        <v/>
      </c>
      <c r="X1532" s="348" t="str">
        <f t="shared" si="199"/>
        <v/>
      </c>
    </row>
    <row r="1533" spans="1:24" x14ac:dyDescent="0.2">
      <c r="A1533" s="407">
        <v>1525</v>
      </c>
      <c r="B1533" s="438"/>
      <c r="C1533" s="438"/>
      <c r="D1533" s="438"/>
      <c r="E1533" s="438"/>
      <c r="F1533" s="438"/>
      <c r="G1533" s="438"/>
      <c r="H1533" s="438"/>
      <c r="I1533" s="437"/>
      <c r="J1533" s="11"/>
      <c r="Q1533" s="348" t="str">
        <f t="shared" si="192"/>
        <v/>
      </c>
      <c r="R1533" s="348" t="str">
        <f t="shared" si="193"/>
        <v/>
      </c>
      <c r="S1533" s="348" t="str">
        <f t="shared" si="194"/>
        <v/>
      </c>
      <c r="T1533" s="348" t="str">
        <f t="shared" si="195"/>
        <v/>
      </c>
      <c r="U1533" s="348" t="str">
        <f t="shared" si="196"/>
        <v/>
      </c>
      <c r="V1533" s="348" t="str">
        <f t="shared" si="197"/>
        <v/>
      </c>
      <c r="W1533" s="348" t="str">
        <f t="shared" si="198"/>
        <v/>
      </c>
      <c r="X1533" s="348" t="str">
        <f t="shared" si="199"/>
        <v/>
      </c>
    </row>
    <row r="1534" spans="1:24" x14ac:dyDescent="0.2">
      <c r="A1534" s="407">
        <v>1526</v>
      </c>
      <c r="B1534" s="438"/>
      <c r="C1534" s="438"/>
      <c r="D1534" s="438"/>
      <c r="E1534" s="437"/>
      <c r="F1534" s="437"/>
      <c r="G1534" s="437"/>
      <c r="H1534" s="437"/>
      <c r="I1534" s="438"/>
      <c r="J1534" s="11"/>
      <c r="Q1534" s="348" t="str">
        <f t="shared" si="192"/>
        <v/>
      </c>
      <c r="R1534" s="348" t="str">
        <f t="shared" si="193"/>
        <v/>
      </c>
      <c r="S1534" s="348" t="str">
        <f t="shared" si="194"/>
        <v/>
      </c>
      <c r="T1534" s="348" t="str">
        <f t="shared" si="195"/>
        <v/>
      </c>
      <c r="U1534" s="348" t="str">
        <f t="shared" si="196"/>
        <v/>
      </c>
      <c r="V1534" s="348" t="str">
        <f t="shared" si="197"/>
        <v/>
      </c>
      <c r="W1534" s="348" t="str">
        <f t="shared" si="198"/>
        <v/>
      </c>
      <c r="X1534" s="348" t="str">
        <f t="shared" si="199"/>
        <v/>
      </c>
    </row>
    <row r="1535" spans="1:24" x14ac:dyDescent="0.2">
      <c r="A1535" s="407">
        <v>1527</v>
      </c>
      <c r="B1535" s="438"/>
      <c r="C1535" s="438"/>
      <c r="D1535" s="438"/>
      <c r="E1535" s="438"/>
      <c r="F1535" s="438"/>
      <c r="G1535" s="438"/>
      <c r="H1535" s="438"/>
      <c r="I1535" s="438"/>
      <c r="J1535" s="11"/>
      <c r="Q1535" s="348" t="str">
        <f t="shared" si="192"/>
        <v/>
      </c>
      <c r="R1535" s="348" t="str">
        <f t="shared" si="193"/>
        <v/>
      </c>
      <c r="S1535" s="348" t="str">
        <f t="shared" si="194"/>
        <v/>
      </c>
      <c r="T1535" s="348" t="str">
        <f t="shared" si="195"/>
        <v/>
      </c>
      <c r="U1535" s="348" t="str">
        <f t="shared" si="196"/>
        <v/>
      </c>
      <c r="V1535" s="348" t="str">
        <f t="shared" si="197"/>
        <v/>
      </c>
      <c r="W1535" s="348" t="str">
        <f t="shared" si="198"/>
        <v/>
      </c>
      <c r="X1535" s="348" t="str">
        <f t="shared" si="199"/>
        <v/>
      </c>
    </row>
    <row r="1536" spans="1:24" x14ac:dyDescent="0.2">
      <c r="A1536" s="407">
        <v>1528</v>
      </c>
      <c r="B1536" s="438"/>
      <c r="C1536" s="438"/>
      <c r="D1536" s="438"/>
      <c r="E1536" s="438"/>
      <c r="F1536" s="438"/>
      <c r="G1536" s="438"/>
      <c r="H1536" s="438"/>
      <c r="I1536" s="438"/>
      <c r="J1536" s="11"/>
      <c r="Q1536" s="348" t="str">
        <f t="shared" si="192"/>
        <v/>
      </c>
      <c r="R1536" s="348" t="str">
        <f t="shared" si="193"/>
        <v/>
      </c>
      <c r="S1536" s="348" t="str">
        <f t="shared" si="194"/>
        <v/>
      </c>
      <c r="T1536" s="348" t="str">
        <f t="shared" si="195"/>
        <v/>
      </c>
      <c r="U1536" s="348" t="str">
        <f t="shared" si="196"/>
        <v/>
      </c>
      <c r="V1536" s="348" t="str">
        <f t="shared" si="197"/>
        <v/>
      </c>
      <c r="W1536" s="348" t="str">
        <f t="shared" si="198"/>
        <v/>
      </c>
      <c r="X1536" s="348" t="str">
        <f t="shared" si="199"/>
        <v/>
      </c>
    </row>
    <row r="1537" spans="1:24" x14ac:dyDescent="0.2">
      <c r="A1537" s="407">
        <v>1529</v>
      </c>
      <c r="B1537" s="438"/>
      <c r="C1537" s="438"/>
      <c r="D1537" s="438"/>
      <c r="E1537" s="438"/>
      <c r="F1537" s="438"/>
      <c r="G1537" s="438"/>
      <c r="H1537" s="438"/>
      <c r="I1537" s="438"/>
      <c r="J1537" s="11"/>
      <c r="Q1537" s="348" t="str">
        <f t="shared" si="192"/>
        <v/>
      </c>
      <c r="R1537" s="348" t="str">
        <f t="shared" si="193"/>
        <v/>
      </c>
      <c r="S1537" s="348" t="str">
        <f t="shared" si="194"/>
        <v/>
      </c>
      <c r="T1537" s="348" t="str">
        <f t="shared" si="195"/>
        <v/>
      </c>
      <c r="U1537" s="348" t="str">
        <f t="shared" si="196"/>
        <v/>
      </c>
      <c r="V1537" s="348" t="str">
        <f t="shared" si="197"/>
        <v/>
      </c>
      <c r="W1537" s="348" t="str">
        <f t="shared" si="198"/>
        <v/>
      </c>
      <c r="X1537" s="348" t="str">
        <f t="shared" si="199"/>
        <v/>
      </c>
    </row>
    <row r="1538" spans="1:24" x14ac:dyDescent="0.2">
      <c r="A1538" s="407">
        <v>1530</v>
      </c>
      <c r="B1538" s="438"/>
      <c r="C1538" s="438"/>
      <c r="D1538" s="438"/>
      <c r="E1538" s="438"/>
      <c r="F1538" s="438"/>
      <c r="G1538" s="438"/>
      <c r="H1538" s="438"/>
      <c r="I1538" s="438"/>
      <c r="J1538" s="11"/>
      <c r="Q1538" s="348" t="str">
        <f t="shared" si="192"/>
        <v/>
      </c>
      <c r="R1538" s="348" t="str">
        <f t="shared" si="193"/>
        <v/>
      </c>
      <c r="S1538" s="348" t="str">
        <f t="shared" si="194"/>
        <v/>
      </c>
      <c r="T1538" s="348" t="str">
        <f t="shared" si="195"/>
        <v/>
      </c>
      <c r="U1538" s="348" t="str">
        <f t="shared" si="196"/>
        <v/>
      </c>
      <c r="V1538" s="348" t="str">
        <f t="shared" si="197"/>
        <v/>
      </c>
      <c r="W1538" s="348" t="str">
        <f t="shared" si="198"/>
        <v/>
      </c>
      <c r="X1538" s="348" t="str">
        <f t="shared" si="199"/>
        <v/>
      </c>
    </row>
    <row r="1539" spans="1:24" x14ac:dyDescent="0.2">
      <c r="A1539" s="407">
        <v>1531</v>
      </c>
      <c r="B1539" s="437"/>
      <c r="C1539" s="438"/>
      <c r="D1539" s="438"/>
      <c r="E1539" s="438"/>
      <c r="F1539" s="438"/>
      <c r="G1539" s="438"/>
      <c r="H1539" s="438"/>
      <c r="I1539" s="438"/>
      <c r="J1539" s="11"/>
      <c r="Q1539" s="348" t="str">
        <f t="shared" si="192"/>
        <v/>
      </c>
      <c r="R1539" s="348" t="str">
        <f t="shared" si="193"/>
        <v/>
      </c>
      <c r="S1539" s="348" t="str">
        <f t="shared" si="194"/>
        <v/>
      </c>
      <c r="T1539" s="348" t="str">
        <f t="shared" si="195"/>
        <v/>
      </c>
      <c r="U1539" s="348" t="str">
        <f t="shared" si="196"/>
        <v/>
      </c>
      <c r="V1539" s="348" t="str">
        <f t="shared" si="197"/>
        <v/>
      </c>
      <c r="W1539" s="348" t="str">
        <f t="shared" si="198"/>
        <v/>
      </c>
      <c r="X1539" s="348" t="str">
        <f t="shared" si="199"/>
        <v/>
      </c>
    </row>
    <row r="1540" spans="1:24" x14ac:dyDescent="0.2">
      <c r="A1540" s="407">
        <v>1532</v>
      </c>
      <c r="B1540" s="438"/>
      <c r="C1540" s="438"/>
      <c r="D1540" s="438"/>
      <c r="E1540" s="438"/>
      <c r="F1540" s="438"/>
      <c r="G1540" s="438"/>
      <c r="H1540" s="438"/>
      <c r="I1540" s="438"/>
      <c r="J1540" s="11"/>
      <c r="Q1540" s="348" t="str">
        <f t="shared" si="192"/>
        <v/>
      </c>
      <c r="R1540" s="348" t="str">
        <f t="shared" si="193"/>
        <v/>
      </c>
      <c r="S1540" s="348" t="str">
        <f t="shared" si="194"/>
        <v/>
      </c>
      <c r="T1540" s="348" t="str">
        <f t="shared" si="195"/>
        <v/>
      </c>
      <c r="U1540" s="348" t="str">
        <f t="shared" si="196"/>
        <v/>
      </c>
      <c r="V1540" s="348" t="str">
        <f t="shared" si="197"/>
        <v/>
      </c>
      <c r="W1540" s="348" t="str">
        <f t="shared" si="198"/>
        <v/>
      </c>
      <c r="X1540" s="348" t="str">
        <f t="shared" si="199"/>
        <v/>
      </c>
    </row>
    <row r="1541" spans="1:24" x14ac:dyDescent="0.2">
      <c r="A1541" s="407">
        <v>1533</v>
      </c>
      <c r="B1541" s="438"/>
      <c r="C1541" s="438"/>
      <c r="D1541" s="438"/>
      <c r="E1541" s="438"/>
      <c r="F1541" s="438"/>
      <c r="G1541" s="438"/>
      <c r="H1541" s="438"/>
      <c r="I1541" s="438"/>
      <c r="J1541" s="11"/>
      <c r="Q1541" s="348" t="str">
        <f t="shared" si="192"/>
        <v/>
      </c>
      <c r="R1541" s="348" t="str">
        <f t="shared" si="193"/>
        <v/>
      </c>
      <c r="S1541" s="348" t="str">
        <f t="shared" si="194"/>
        <v/>
      </c>
      <c r="T1541" s="348" t="str">
        <f t="shared" si="195"/>
        <v/>
      </c>
      <c r="U1541" s="348" t="str">
        <f t="shared" si="196"/>
        <v/>
      </c>
      <c r="V1541" s="348" t="str">
        <f t="shared" si="197"/>
        <v/>
      </c>
      <c r="W1541" s="348" t="str">
        <f t="shared" si="198"/>
        <v/>
      </c>
      <c r="X1541" s="348" t="str">
        <f t="shared" si="199"/>
        <v/>
      </c>
    </row>
    <row r="1542" spans="1:24" x14ac:dyDescent="0.2">
      <c r="A1542" s="407">
        <v>1534</v>
      </c>
      <c r="B1542" s="438"/>
      <c r="C1542" s="438"/>
      <c r="D1542" s="438"/>
      <c r="E1542" s="438"/>
      <c r="F1542" s="438"/>
      <c r="G1542" s="438"/>
      <c r="H1542" s="438"/>
      <c r="I1542" s="438"/>
      <c r="J1542" s="11"/>
      <c r="Q1542" s="348" t="str">
        <f t="shared" si="192"/>
        <v/>
      </c>
      <c r="R1542" s="348" t="str">
        <f t="shared" si="193"/>
        <v/>
      </c>
      <c r="S1542" s="348" t="str">
        <f t="shared" si="194"/>
        <v/>
      </c>
      <c r="T1542" s="348" t="str">
        <f t="shared" si="195"/>
        <v/>
      </c>
      <c r="U1542" s="348" t="str">
        <f t="shared" si="196"/>
        <v/>
      </c>
      <c r="V1542" s="348" t="str">
        <f t="shared" si="197"/>
        <v/>
      </c>
      <c r="W1542" s="348" t="str">
        <f t="shared" si="198"/>
        <v/>
      </c>
      <c r="X1542" s="348" t="str">
        <f t="shared" si="199"/>
        <v/>
      </c>
    </row>
    <row r="1543" spans="1:24" x14ac:dyDescent="0.2">
      <c r="A1543" s="407">
        <v>1535</v>
      </c>
      <c r="B1543" s="438"/>
      <c r="C1543" s="438"/>
      <c r="D1543" s="438"/>
      <c r="E1543" s="438"/>
      <c r="F1543" s="438"/>
      <c r="G1543" s="438"/>
      <c r="H1543" s="438"/>
      <c r="I1543" s="438"/>
      <c r="J1543" s="11"/>
      <c r="Q1543" s="348" t="str">
        <f t="shared" si="192"/>
        <v/>
      </c>
      <c r="R1543" s="348" t="str">
        <f t="shared" si="193"/>
        <v/>
      </c>
      <c r="S1543" s="348" t="str">
        <f t="shared" si="194"/>
        <v/>
      </c>
      <c r="T1543" s="348" t="str">
        <f t="shared" si="195"/>
        <v/>
      </c>
      <c r="U1543" s="348" t="str">
        <f t="shared" si="196"/>
        <v/>
      </c>
      <c r="V1543" s="348" t="str">
        <f t="shared" si="197"/>
        <v/>
      </c>
      <c r="W1543" s="348" t="str">
        <f t="shared" si="198"/>
        <v/>
      </c>
      <c r="X1543" s="348" t="str">
        <f t="shared" si="199"/>
        <v/>
      </c>
    </row>
    <row r="1544" spans="1:24" x14ac:dyDescent="0.2">
      <c r="A1544" s="407">
        <v>1536</v>
      </c>
      <c r="B1544" s="438"/>
      <c r="C1544" s="437"/>
      <c r="D1544" s="438"/>
      <c r="E1544" s="438"/>
      <c r="F1544" s="438"/>
      <c r="G1544" s="438"/>
      <c r="H1544" s="438"/>
      <c r="I1544" s="438"/>
      <c r="J1544" s="11"/>
      <c r="Q1544" s="348" t="str">
        <f t="shared" si="192"/>
        <v/>
      </c>
      <c r="R1544" s="348" t="str">
        <f t="shared" si="193"/>
        <v/>
      </c>
      <c r="S1544" s="348" t="str">
        <f t="shared" si="194"/>
        <v/>
      </c>
      <c r="T1544" s="348" t="str">
        <f t="shared" si="195"/>
        <v/>
      </c>
      <c r="U1544" s="348" t="str">
        <f t="shared" si="196"/>
        <v/>
      </c>
      <c r="V1544" s="348" t="str">
        <f t="shared" si="197"/>
        <v/>
      </c>
      <c r="W1544" s="348" t="str">
        <f t="shared" si="198"/>
        <v/>
      </c>
      <c r="X1544" s="348" t="str">
        <f t="shared" si="199"/>
        <v/>
      </c>
    </row>
    <row r="1545" spans="1:24" x14ac:dyDescent="0.2">
      <c r="A1545" s="407">
        <v>1537</v>
      </c>
      <c r="B1545" s="438"/>
      <c r="C1545" s="438"/>
      <c r="D1545" s="438"/>
      <c r="E1545" s="438"/>
      <c r="F1545" s="438"/>
      <c r="G1545" s="438"/>
      <c r="H1545" s="438"/>
      <c r="I1545" s="438"/>
      <c r="J1545" s="11"/>
      <c r="Q1545" s="348" t="str">
        <f t="shared" si="192"/>
        <v/>
      </c>
      <c r="R1545" s="348" t="str">
        <f t="shared" si="193"/>
        <v/>
      </c>
      <c r="S1545" s="348" t="str">
        <f t="shared" si="194"/>
        <v/>
      </c>
      <c r="T1545" s="348" t="str">
        <f t="shared" si="195"/>
        <v/>
      </c>
      <c r="U1545" s="348" t="str">
        <f t="shared" si="196"/>
        <v/>
      </c>
      <c r="V1545" s="348" t="str">
        <f t="shared" si="197"/>
        <v/>
      </c>
      <c r="W1545" s="348" t="str">
        <f t="shared" si="198"/>
        <v/>
      </c>
      <c r="X1545" s="348" t="str">
        <f t="shared" si="199"/>
        <v/>
      </c>
    </row>
    <row r="1546" spans="1:24" x14ac:dyDescent="0.2">
      <c r="A1546" s="407">
        <v>1538</v>
      </c>
      <c r="B1546" s="438"/>
      <c r="C1546" s="438"/>
      <c r="D1546" s="438"/>
      <c r="E1546" s="438"/>
      <c r="F1546" s="438"/>
      <c r="G1546" s="438"/>
      <c r="H1546" s="438"/>
      <c r="I1546" s="438"/>
      <c r="J1546" s="11"/>
      <c r="Q1546" s="348" t="str">
        <f t="shared" ref="Q1546:Q1609" si="200">IFERROR(B1546^4*$AB$9+B1546^3*$AC$9+B1546^2*$AD$9+B1546^1*$AE$9+B1546^0*$AF$9,"")</f>
        <v/>
      </c>
      <c r="R1546" s="348" t="str">
        <f t="shared" ref="R1546:R1609" si="201">IFERROR(C1546^4*$AB$10+C1546^3*$AC$10+C1546^2*$AD$10+C1546^1*$AE$10+C1546^0*$AF$10,"")</f>
        <v/>
      </c>
      <c r="S1546" s="348" t="str">
        <f t="shared" ref="S1546:S1609" si="202">IFERROR(D1546^4*$AB$11+D1546^3*$AC$11+D1546^2*$AD$11+D1546^1*$AE$11+D1546^0*$AF$11,"")</f>
        <v/>
      </c>
      <c r="T1546" s="348" t="str">
        <f t="shared" ref="T1546:T1609" si="203">IFERROR(E1546^4*$AB$12+E1546^3*$AC$12+E1546^2*$AD$12+E1546^1*$AE$12+E1546^0*$AF$12,"")</f>
        <v/>
      </c>
      <c r="U1546" s="348" t="str">
        <f t="shared" ref="U1546:U1609" si="204">IFERROR(F1546^4*$AB$13+F1546^3*$AC$13+F1546^2*$AD$13+F1546^1*$AE$13+F1546^0*$AF$13,"")</f>
        <v/>
      </c>
      <c r="V1546" s="348" t="str">
        <f t="shared" ref="V1546:V1609" si="205">IFERROR(G1546^4*$AB$14+G1546^3*$AC$14+G1546^2*$AD$14+G1546^1*$AE$14+G1546^0*$AF$14,"")</f>
        <v/>
      </c>
      <c r="W1546" s="348" t="str">
        <f t="shared" ref="W1546:W1609" si="206">IFERROR(H1546^4*$AB$15+H1546^3*$AC$15+H1546^2*$AD$15+H1546^1*$AE$15+H1546^0*$AF$15,"")</f>
        <v/>
      </c>
      <c r="X1546" s="348" t="str">
        <f t="shared" ref="X1546:X1609" si="207">IFERROR(I1546^4*$AB$16+I1546^3*$AC$16+I1546^2*$AD$16+I1546^1*$AE$16+I1546^0*$AF$16,"")</f>
        <v/>
      </c>
    </row>
    <row r="1547" spans="1:24" x14ac:dyDescent="0.2">
      <c r="A1547" s="407">
        <v>1539</v>
      </c>
      <c r="B1547" s="438"/>
      <c r="C1547" s="438"/>
      <c r="D1547" s="438"/>
      <c r="E1547" s="438"/>
      <c r="F1547" s="438"/>
      <c r="G1547" s="438"/>
      <c r="H1547" s="438"/>
      <c r="I1547" s="438"/>
      <c r="J1547" s="11"/>
      <c r="Q1547" s="348" t="str">
        <f t="shared" si="200"/>
        <v/>
      </c>
      <c r="R1547" s="348" t="str">
        <f t="shared" si="201"/>
        <v/>
      </c>
      <c r="S1547" s="348" t="str">
        <f t="shared" si="202"/>
        <v/>
      </c>
      <c r="T1547" s="348" t="str">
        <f t="shared" si="203"/>
        <v/>
      </c>
      <c r="U1547" s="348" t="str">
        <f t="shared" si="204"/>
        <v/>
      </c>
      <c r="V1547" s="348" t="str">
        <f t="shared" si="205"/>
        <v/>
      </c>
      <c r="W1547" s="348" t="str">
        <f t="shared" si="206"/>
        <v/>
      </c>
      <c r="X1547" s="348" t="str">
        <f t="shared" si="207"/>
        <v/>
      </c>
    </row>
    <row r="1548" spans="1:24" x14ac:dyDescent="0.2">
      <c r="A1548" s="407">
        <v>1540</v>
      </c>
      <c r="B1548" s="438"/>
      <c r="C1548" s="438"/>
      <c r="D1548" s="438"/>
      <c r="E1548" s="438"/>
      <c r="F1548" s="438"/>
      <c r="G1548" s="438"/>
      <c r="H1548" s="438"/>
      <c r="I1548" s="438"/>
      <c r="J1548" s="11"/>
      <c r="Q1548" s="348" t="str">
        <f t="shared" si="200"/>
        <v/>
      </c>
      <c r="R1548" s="348" t="str">
        <f t="shared" si="201"/>
        <v/>
      </c>
      <c r="S1548" s="348" t="str">
        <f t="shared" si="202"/>
        <v/>
      </c>
      <c r="T1548" s="348" t="str">
        <f t="shared" si="203"/>
        <v/>
      </c>
      <c r="U1548" s="348" t="str">
        <f t="shared" si="204"/>
        <v/>
      </c>
      <c r="V1548" s="348" t="str">
        <f t="shared" si="205"/>
        <v/>
      </c>
      <c r="W1548" s="348" t="str">
        <f t="shared" si="206"/>
        <v/>
      </c>
      <c r="X1548" s="348" t="str">
        <f t="shared" si="207"/>
        <v/>
      </c>
    </row>
    <row r="1549" spans="1:24" x14ac:dyDescent="0.2">
      <c r="A1549" s="407">
        <v>1541</v>
      </c>
      <c r="B1549" s="438"/>
      <c r="C1549" s="438"/>
      <c r="D1549" s="438"/>
      <c r="E1549" s="438"/>
      <c r="F1549" s="438"/>
      <c r="G1549" s="438"/>
      <c r="H1549" s="438"/>
      <c r="I1549" s="438"/>
      <c r="J1549" s="11"/>
      <c r="Q1549" s="348" t="str">
        <f t="shared" si="200"/>
        <v/>
      </c>
      <c r="R1549" s="348" t="str">
        <f t="shared" si="201"/>
        <v/>
      </c>
      <c r="S1549" s="348" t="str">
        <f t="shared" si="202"/>
        <v/>
      </c>
      <c r="T1549" s="348" t="str">
        <f t="shared" si="203"/>
        <v/>
      </c>
      <c r="U1549" s="348" t="str">
        <f t="shared" si="204"/>
        <v/>
      </c>
      <c r="V1549" s="348" t="str">
        <f t="shared" si="205"/>
        <v/>
      </c>
      <c r="W1549" s="348" t="str">
        <f t="shared" si="206"/>
        <v/>
      </c>
      <c r="X1549" s="348" t="str">
        <f t="shared" si="207"/>
        <v/>
      </c>
    </row>
    <row r="1550" spans="1:24" x14ac:dyDescent="0.2">
      <c r="A1550" s="407">
        <v>1542</v>
      </c>
      <c r="B1550" s="438"/>
      <c r="C1550" s="438"/>
      <c r="D1550" s="438"/>
      <c r="E1550" s="438"/>
      <c r="F1550" s="438"/>
      <c r="G1550" s="438"/>
      <c r="H1550" s="438"/>
      <c r="I1550" s="438"/>
      <c r="J1550" s="11"/>
      <c r="Q1550" s="348" t="str">
        <f t="shared" si="200"/>
        <v/>
      </c>
      <c r="R1550" s="348" t="str">
        <f t="shared" si="201"/>
        <v/>
      </c>
      <c r="S1550" s="348" t="str">
        <f t="shared" si="202"/>
        <v/>
      </c>
      <c r="T1550" s="348" t="str">
        <f t="shared" si="203"/>
        <v/>
      </c>
      <c r="U1550" s="348" t="str">
        <f t="shared" si="204"/>
        <v/>
      </c>
      <c r="V1550" s="348" t="str">
        <f t="shared" si="205"/>
        <v/>
      </c>
      <c r="W1550" s="348" t="str">
        <f t="shared" si="206"/>
        <v/>
      </c>
      <c r="X1550" s="348" t="str">
        <f t="shared" si="207"/>
        <v/>
      </c>
    </row>
    <row r="1551" spans="1:24" x14ac:dyDescent="0.2">
      <c r="A1551" s="407">
        <v>1543</v>
      </c>
      <c r="B1551" s="438"/>
      <c r="C1551" s="438"/>
      <c r="D1551" s="438"/>
      <c r="E1551" s="438"/>
      <c r="F1551" s="438"/>
      <c r="G1551" s="438"/>
      <c r="H1551" s="438"/>
      <c r="I1551" s="438"/>
      <c r="J1551" s="11"/>
      <c r="Q1551" s="348" t="str">
        <f t="shared" si="200"/>
        <v/>
      </c>
      <c r="R1551" s="348" t="str">
        <f t="shared" si="201"/>
        <v/>
      </c>
      <c r="S1551" s="348" t="str">
        <f t="shared" si="202"/>
        <v/>
      </c>
      <c r="T1551" s="348" t="str">
        <f t="shared" si="203"/>
        <v/>
      </c>
      <c r="U1551" s="348" t="str">
        <f t="shared" si="204"/>
        <v/>
      </c>
      <c r="V1551" s="348" t="str">
        <f t="shared" si="205"/>
        <v/>
      </c>
      <c r="W1551" s="348" t="str">
        <f t="shared" si="206"/>
        <v/>
      </c>
      <c r="X1551" s="348" t="str">
        <f t="shared" si="207"/>
        <v/>
      </c>
    </row>
    <row r="1552" spans="1:24" x14ac:dyDescent="0.2">
      <c r="A1552" s="407">
        <v>1544</v>
      </c>
      <c r="B1552" s="438"/>
      <c r="C1552" s="438"/>
      <c r="D1552" s="438"/>
      <c r="E1552" s="438"/>
      <c r="F1552" s="438"/>
      <c r="G1552" s="438"/>
      <c r="H1552" s="438"/>
      <c r="I1552" s="438"/>
      <c r="J1552" s="11"/>
      <c r="Q1552" s="348" t="str">
        <f t="shared" si="200"/>
        <v/>
      </c>
      <c r="R1552" s="348" t="str">
        <f t="shared" si="201"/>
        <v/>
      </c>
      <c r="S1552" s="348" t="str">
        <f t="shared" si="202"/>
        <v/>
      </c>
      <c r="T1552" s="348" t="str">
        <f t="shared" si="203"/>
        <v/>
      </c>
      <c r="U1552" s="348" t="str">
        <f t="shared" si="204"/>
        <v/>
      </c>
      <c r="V1552" s="348" t="str">
        <f t="shared" si="205"/>
        <v/>
      </c>
      <c r="W1552" s="348" t="str">
        <f t="shared" si="206"/>
        <v/>
      </c>
      <c r="X1552" s="348" t="str">
        <f t="shared" si="207"/>
        <v/>
      </c>
    </row>
    <row r="1553" spans="1:24" x14ac:dyDescent="0.2">
      <c r="A1553" s="407">
        <v>1545</v>
      </c>
      <c r="B1553" s="437"/>
      <c r="C1553" s="438"/>
      <c r="D1553" s="438"/>
      <c r="E1553" s="438"/>
      <c r="F1553" s="438"/>
      <c r="G1553" s="438"/>
      <c r="H1553" s="438"/>
      <c r="I1553" s="438"/>
      <c r="J1553" s="11"/>
      <c r="Q1553" s="348" t="str">
        <f t="shared" si="200"/>
        <v/>
      </c>
      <c r="R1553" s="348" t="str">
        <f t="shared" si="201"/>
        <v/>
      </c>
      <c r="S1553" s="348" t="str">
        <f t="shared" si="202"/>
        <v/>
      </c>
      <c r="T1553" s="348" t="str">
        <f t="shared" si="203"/>
        <v/>
      </c>
      <c r="U1553" s="348" t="str">
        <f t="shared" si="204"/>
        <v/>
      </c>
      <c r="V1553" s="348" t="str">
        <f t="shared" si="205"/>
        <v/>
      </c>
      <c r="W1553" s="348" t="str">
        <f t="shared" si="206"/>
        <v/>
      </c>
      <c r="X1553" s="348" t="str">
        <f t="shared" si="207"/>
        <v/>
      </c>
    </row>
    <row r="1554" spans="1:24" x14ac:dyDescent="0.2">
      <c r="A1554" s="407">
        <v>1546</v>
      </c>
      <c r="B1554" s="438"/>
      <c r="C1554" s="438"/>
      <c r="D1554" s="438"/>
      <c r="E1554" s="438"/>
      <c r="F1554" s="438"/>
      <c r="G1554" s="438"/>
      <c r="H1554" s="438"/>
      <c r="I1554" s="438"/>
      <c r="J1554" s="11"/>
      <c r="Q1554" s="348" t="str">
        <f t="shared" si="200"/>
        <v/>
      </c>
      <c r="R1554" s="348" t="str">
        <f t="shared" si="201"/>
        <v/>
      </c>
      <c r="S1554" s="348" t="str">
        <f t="shared" si="202"/>
        <v/>
      </c>
      <c r="T1554" s="348" t="str">
        <f t="shared" si="203"/>
        <v/>
      </c>
      <c r="U1554" s="348" t="str">
        <f t="shared" si="204"/>
        <v/>
      </c>
      <c r="V1554" s="348" t="str">
        <f t="shared" si="205"/>
        <v/>
      </c>
      <c r="W1554" s="348" t="str">
        <f t="shared" si="206"/>
        <v/>
      </c>
      <c r="X1554" s="348" t="str">
        <f t="shared" si="207"/>
        <v/>
      </c>
    </row>
    <row r="1555" spans="1:24" x14ac:dyDescent="0.2">
      <c r="A1555" s="407">
        <v>1547</v>
      </c>
      <c r="B1555" s="438"/>
      <c r="C1555" s="438"/>
      <c r="D1555" s="438"/>
      <c r="E1555" s="438"/>
      <c r="F1555" s="438"/>
      <c r="G1555" s="438"/>
      <c r="H1555" s="438"/>
      <c r="I1555" s="438"/>
      <c r="J1555" s="11"/>
      <c r="Q1555" s="348" t="str">
        <f t="shared" si="200"/>
        <v/>
      </c>
      <c r="R1555" s="348" t="str">
        <f t="shared" si="201"/>
        <v/>
      </c>
      <c r="S1555" s="348" t="str">
        <f t="shared" si="202"/>
        <v/>
      </c>
      <c r="T1555" s="348" t="str">
        <f t="shared" si="203"/>
        <v/>
      </c>
      <c r="U1555" s="348" t="str">
        <f t="shared" si="204"/>
        <v/>
      </c>
      <c r="V1555" s="348" t="str">
        <f t="shared" si="205"/>
        <v/>
      </c>
      <c r="W1555" s="348" t="str">
        <f t="shared" si="206"/>
        <v/>
      </c>
      <c r="X1555" s="348" t="str">
        <f t="shared" si="207"/>
        <v/>
      </c>
    </row>
    <row r="1556" spans="1:24" x14ac:dyDescent="0.2">
      <c r="A1556" s="407">
        <v>1548</v>
      </c>
      <c r="B1556" s="438"/>
      <c r="C1556" s="438"/>
      <c r="D1556" s="438"/>
      <c r="E1556" s="438"/>
      <c r="F1556" s="438"/>
      <c r="G1556" s="438"/>
      <c r="H1556" s="438"/>
      <c r="I1556" s="438"/>
      <c r="J1556" s="11"/>
      <c r="Q1556" s="348" t="str">
        <f t="shared" si="200"/>
        <v/>
      </c>
      <c r="R1556" s="348" t="str">
        <f t="shared" si="201"/>
        <v/>
      </c>
      <c r="S1556" s="348" t="str">
        <f t="shared" si="202"/>
        <v/>
      </c>
      <c r="T1556" s="348" t="str">
        <f t="shared" si="203"/>
        <v/>
      </c>
      <c r="U1556" s="348" t="str">
        <f t="shared" si="204"/>
        <v/>
      </c>
      <c r="V1556" s="348" t="str">
        <f t="shared" si="205"/>
        <v/>
      </c>
      <c r="W1556" s="348" t="str">
        <f t="shared" si="206"/>
        <v/>
      </c>
      <c r="X1556" s="348" t="str">
        <f t="shared" si="207"/>
        <v/>
      </c>
    </row>
    <row r="1557" spans="1:24" x14ac:dyDescent="0.2">
      <c r="A1557" s="407">
        <v>1549</v>
      </c>
      <c r="B1557" s="438"/>
      <c r="C1557" s="438"/>
      <c r="D1557" s="437"/>
      <c r="E1557" s="438"/>
      <c r="F1557" s="438"/>
      <c r="G1557" s="438"/>
      <c r="H1557" s="438"/>
      <c r="I1557" s="438"/>
      <c r="J1557" s="11"/>
      <c r="Q1557" s="348" t="str">
        <f t="shared" si="200"/>
        <v/>
      </c>
      <c r="R1557" s="348" t="str">
        <f t="shared" si="201"/>
        <v/>
      </c>
      <c r="S1557" s="348" t="str">
        <f t="shared" si="202"/>
        <v/>
      </c>
      <c r="T1557" s="348" t="str">
        <f t="shared" si="203"/>
        <v/>
      </c>
      <c r="U1557" s="348" t="str">
        <f t="shared" si="204"/>
        <v/>
      </c>
      <c r="V1557" s="348" t="str">
        <f t="shared" si="205"/>
        <v/>
      </c>
      <c r="W1557" s="348" t="str">
        <f t="shared" si="206"/>
        <v/>
      </c>
      <c r="X1557" s="348" t="str">
        <f t="shared" si="207"/>
        <v/>
      </c>
    </row>
    <row r="1558" spans="1:24" x14ac:dyDescent="0.2">
      <c r="A1558" s="407">
        <v>1550</v>
      </c>
      <c r="B1558" s="438"/>
      <c r="C1558" s="437"/>
      <c r="D1558" s="438"/>
      <c r="E1558" s="438"/>
      <c r="F1558" s="438"/>
      <c r="G1558" s="438"/>
      <c r="H1558" s="438"/>
      <c r="I1558" s="437"/>
      <c r="J1558" s="11"/>
      <c r="Q1558" s="348" t="str">
        <f t="shared" si="200"/>
        <v/>
      </c>
      <c r="R1558" s="348" t="str">
        <f t="shared" si="201"/>
        <v/>
      </c>
      <c r="S1558" s="348" t="str">
        <f t="shared" si="202"/>
        <v/>
      </c>
      <c r="T1558" s="348" t="str">
        <f t="shared" si="203"/>
        <v/>
      </c>
      <c r="U1558" s="348" t="str">
        <f t="shared" si="204"/>
        <v/>
      </c>
      <c r="V1558" s="348" t="str">
        <f t="shared" si="205"/>
        <v/>
      </c>
      <c r="W1558" s="348" t="str">
        <f t="shared" si="206"/>
        <v/>
      </c>
      <c r="X1558" s="348" t="str">
        <f t="shared" si="207"/>
        <v/>
      </c>
    </row>
    <row r="1559" spans="1:24" x14ac:dyDescent="0.2">
      <c r="A1559" s="407">
        <v>1551</v>
      </c>
      <c r="B1559" s="438"/>
      <c r="C1559" s="438"/>
      <c r="D1559" s="438"/>
      <c r="E1559" s="437"/>
      <c r="F1559" s="438"/>
      <c r="G1559" s="438"/>
      <c r="H1559" s="438"/>
      <c r="I1559" s="438"/>
      <c r="J1559" s="11"/>
      <c r="Q1559" s="348" t="str">
        <f t="shared" si="200"/>
        <v/>
      </c>
      <c r="R1559" s="348" t="str">
        <f t="shared" si="201"/>
        <v/>
      </c>
      <c r="S1559" s="348" t="str">
        <f t="shared" si="202"/>
        <v/>
      </c>
      <c r="T1559" s="348" t="str">
        <f t="shared" si="203"/>
        <v/>
      </c>
      <c r="U1559" s="348" t="str">
        <f t="shared" si="204"/>
        <v/>
      </c>
      <c r="V1559" s="348" t="str">
        <f t="shared" si="205"/>
        <v/>
      </c>
      <c r="W1559" s="348" t="str">
        <f t="shared" si="206"/>
        <v/>
      </c>
      <c r="X1559" s="348" t="str">
        <f t="shared" si="207"/>
        <v/>
      </c>
    </row>
    <row r="1560" spans="1:24" x14ac:dyDescent="0.2">
      <c r="A1560" s="407">
        <v>1552</v>
      </c>
      <c r="B1560" s="438"/>
      <c r="C1560" s="438"/>
      <c r="D1560" s="438"/>
      <c r="E1560" s="438"/>
      <c r="F1560" s="438"/>
      <c r="G1560" s="438"/>
      <c r="H1560" s="438"/>
      <c r="I1560" s="438"/>
      <c r="J1560" s="11"/>
      <c r="Q1560" s="348" t="str">
        <f t="shared" si="200"/>
        <v/>
      </c>
      <c r="R1560" s="348" t="str">
        <f t="shared" si="201"/>
        <v/>
      </c>
      <c r="S1560" s="348" t="str">
        <f t="shared" si="202"/>
        <v/>
      </c>
      <c r="T1560" s="348" t="str">
        <f t="shared" si="203"/>
        <v/>
      </c>
      <c r="U1560" s="348" t="str">
        <f t="shared" si="204"/>
        <v/>
      </c>
      <c r="V1560" s="348" t="str">
        <f t="shared" si="205"/>
        <v/>
      </c>
      <c r="W1560" s="348" t="str">
        <f t="shared" si="206"/>
        <v/>
      </c>
      <c r="X1560" s="348" t="str">
        <f t="shared" si="207"/>
        <v/>
      </c>
    </row>
    <row r="1561" spans="1:24" x14ac:dyDescent="0.2">
      <c r="A1561" s="407">
        <v>1553</v>
      </c>
      <c r="B1561" s="438"/>
      <c r="C1561" s="438"/>
      <c r="D1561" s="438"/>
      <c r="E1561" s="438"/>
      <c r="F1561" s="438"/>
      <c r="G1561" s="438"/>
      <c r="H1561" s="438"/>
      <c r="I1561" s="438"/>
      <c r="J1561" s="11"/>
      <c r="Q1561" s="348" t="str">
        <f t="shared" si="200"/>
        <v/>
      </c>
      <c r="R1561" s="348" t="str">
        <f t="shared" si="201"/>
        <v/>
      </c>
      <c r="S1561" s="348" t="str">
        <f t="shared" si="202"/>
        <v/>
      </c>
      <c r="T1561" s="348" t="str">
        <f t="shared" si="203"/>
        <v/>
      </c>
      <c r="U1561" s="348" t="str">
        <f t="shared" si="204"/>
        <v/>
      </c>
      <c r="V1561" s="348" t="str">
        <f t="shared" si="205"/>
        <v/>
      </c>
      <c r="W1561" s="348" t="str">
        <f t="shared" si="206"/>
        <v/>
      </c>
      <c r="X1561" s="348" t="str">
        <f t="shared" si="207"/>
        <v/>
      </c>
    </row>
    <row r="1562" spans="1:24" x14ac:dyDescent="0.2">
      <c r="A1562" s="407">
        <v>1554</v>
      </c>
      <c r="B1562" s="438"/>
      <c r="C1562" s="438"/>
      <c r="D1562" s="438"/>
      <c r="E1562" s="438"/>
      <c r="F1562" s="438"/>
      <c r="G1562" s="438"/>
      <c r="H1562" s="438"/>
      <c r="I1562" s="438"/>
      <c r="J1562" s="11"/>
      <c r="Q1562" s="348" t="str">
        <f t="shared" si="200"/>
        <v/>
      </c>
      <c r="R1562" s="348" t="str">
        <f t="shared" si="201"/>
        <v/>
      </c>
      <c r="S1562" s="348" t="str">
        <f t="shared" si="202"/>
        <v/>
      </c>
      <c r="T1562" s="348" t="str">
        <f t="shared" si="203"/>
        <v/>
      </c>
      <c r="U1562" s="348" t="str">
        <f t="shared" si="204"/>
        <v/>
      </c>
      <c r="V1562" s="348" t="str">
        <f t="shared" si="205"/>
        <v/>
      </c>
      <c r="W1562" s="348" t="str">
        <f t="shared" si="206"/>
        <v/>
      </c>
      <c r="X1562" s="348" t="str">
        <f t="shared" si="207"/>
        <v/>
      </c>
    </row>
    <row r="1563" spans="1:24" x14ac:dyDescent="0.2">
      <c r="A1563" s="407">
        <v>1555</v>
      </c>
      <c r="B1563" s="438"/>
      <c r="C1563" s="438"/>
      <c r="D1563" s="438"/>
      <c r="E1563" s="438"/>
      <c r="F1563" s="438"/>
      <c r="G1563" s="438"/>
      <c r="H1563" s="438"/>
      <c r="I1563" s="438"/>
      <c r="J1563" s="11"/>
      <c r="Q1563" s="348" t="str">
        <f t="shared" si="200"/>
        <v/>
      </c>
      <c r="R1563" s="348" t="str">
        <f t="shared" si="201"/>
        <v/>
      </c>
      <c r="S1563" s="348" t="str">
        <f t="shared" si="202"/>
        <v/>
      </c>
      <c r="T1563" s="348" t="str">
        <f t="shared" si="203"/>
        <v/>
      </c>
      <c r="U1563" s="348" t="str">
        <f t="shared" si="204"/>
        <v/>
      </c>
      <c r="V1563" s="348" t="str">
        <f t="shared" si="205"/>
        <v/>
      </c>
      <c r="W1563" s="348" t="str">
        <f t="shared" si="206"/>
        <v/>
      </c>
      <c r="X1563" s="348" t="str">
        <f t="shared" si="207"/>
        <v/>
      </c>
    </row>
    <row r="1564" spans="1:24" x14ac:dyDescent="0.2">
      <c r="A1564" s="407">
        <v>1556</v>
      </c>
      <c r="B1564" s="438"/>
      <c r="C1564" s="438"/>
      <c r="D1564" s="438"/>
      <c r="E1564" s="438"/>
      <c r="F1564" s="438"/>
      <c r="G1564" s="438"/>
      <c r="H1564" s="438"/>
      <c r="I1564" s="438"/>
      <c r="J1564" s="11"/>
      <c r="Q1564" s="348" t="str">
        <f t="shared" si="200"/>
        <v/>
      </c>
      <c r="R1564" s="348" t="str">
        <f t="shared" si="201"/>
        <v/>
      </c>
      <c r="S1564" s="348" t="str">
        <f t="shared" si="202"/>
        <v/>
      </c>
      <c r="T1564" s="348" t="str">
        <f t="shared" si="203"/>
        <v/>
      </c>
      <c r="U1564" s="348" t="str">
        <f t="shared" si="204"/>
        <v/>
      </c>
      <c r="V1564" s="348" t="str">
        <f t="shared" si="205"/>
        <v/>
      </c>
      <c r="W1564" s="348" t="str">
        <f t="shared" si="206"/>
        <v/>
      </c>
      <c r="X1564" s="348" t="str">
        <f t="shared" si="207"/>
        <v/>
      </c>
    </row>
    <row r="1565" spans="1:24" x14ac:dyDescent="0.2">
      <c r="A1565" s="407">
        <v>1557</v>
      </c>
      <c r="B1565" s="438"/>
      <c r="C1565" s="438"/>
      <c r="D1565" s="438"/>
      <c r="E1565" s="438"/>
      <c r="F1565" s="438"/>
      <c r="G1565" s="438"/>
      <c r="H1565" s="438"/>
      <c r="I1565" s="438"/>
      <c r="J1565" s="11"/>
      <c r="Q1565" s="348" t="str">
        <f t="shared" si="200"/>
        <v/>
      </c>
      <c r="R1565" s="348" t="str">
        <f t="shared" si="201"/>
        <v/>
      </c>
      <c r="S1565" s="348" t="str">
        <f t="shared" si="202"/>
        <v/>
      </c>
      <c r="T1565" s="348" t="str">
        <f t="shared" si="203"/>
        <v/>
      </c>
      <c r="U1565" s="348" t="str">
        <f t="shared" si="204"/>
        <v/>
      </c>
      <c r="V1565" s="348" t="str">
        <f t="shared" si="205"/>
        <v/>
      </c>
      <c r="W1565" s="348" t="str">
        <f t="shared" si="206"/>
        <v/>
      </c>
      <c r="X1565" s="348" t="str">
        <f t="shared" si="207"/>
        <v/>
      </c>
    </row>
    <row r="1566" spans="1:24" x14ac:dyDescent="0.2">
      <c r="A1566" s="407">
        <v>1558</v>
      </c>
      <c r="B1566" s="438"/>
      <c r="C1566" s="438"/>
      <c r="D1566" s="438"/>
      <c r="E1566" s="438"/>
      <c r="F1566" s="438"/>
      <c r="G1566" s="438"/>
      <c r="H1566" s="438"/>
      <c r="I1566" s="438"/>
      <c r="J1566" s="11"/>
      <c r="Q1566" s="348" t="str">
        <f t="shared" si="200"/>
        <v/>
      </c>
      <c r="R1566" s="348" t="str">
        <f t="shared" si="201"/>
        <v/>
      </c>
      <c r="S1566" s="348" t="str">
        <f t="shared" si="202"/>
        <v/>
      </c>
      <c r="T1566" s="348" t="str">
        <f t="shared" si="203"/>
        <v/>
      </c>
      <c r="U1566" s="348" t="str">
        <f t="shared" si="204"/>
        <v/>
      </c>
      <c r="V1566" s="348" t="str">
        <f t="shared" si="205"/>
        <v/>
      </c>
      <c r="W1566" s="348" t="str">
        <f t="shared" si="206"/>
        <v/>
      </c>
      <c r="X1566" s="348" t="str">
        <f t="shared" si="207"/>
        <v/>
      </c>
    </row>
    <row r="1567" spans="1:24" x14ac:dyDescent="0.2">
      <c r="A1567" s="407">
        <v>1559</v>
      </c>
      <c r="B1567" s="438"/>
      <c r="C1567" s="438"/>
      <c r="D1567" s="438"/>
      <c r="E1567" s="438"/>
      <c r="F1567" s="438"/>
      <c r="G1567" s="438"/>
      <c r="H1567" s="438"/>
      <c r="I1567" s="438"/>
      <c r="J1567" s="11"/>
      <c r="Q1567" s="348" t="str">
        <f t="shared" si="200"/>
        <v/>
      </c>
      <c r="R1567" s="348" t="str">
        <f t="shared" si="201"/>
        <v/>
      </c>
      <c r="S1567" s="348" t="str">
        <f t="shared" si="202"/>
        <v/>
      </c>
      <c r="T1567" s="348" t="str">
        <f t="shared" si="203"/>
        <v/>
      </c>
      <c r="U1567" s="348" t="str">
        <f t="shared" si="204"/>
        <v/>
      </c>
      <c r="V1567" s="348" t="str">
        <f t="shared" si="205"/>
        <v/>
      </c>
      <c r="W1567" s="348" t="str">
        <f t="shared" si="206"/>
        <v/>
      </c>
      <c r="X1567" s="348" t="str">
        <f t="shared" si="207"/>
        <v/>
      </c>
    </row>
    <row r="1568" spans="1:24" x14ac:dyDescent="0.2">
      <c r="A1568" s="407">
        <v>1560</v>
      </c>
      <c r="B1568" s="438"/>
      <c r="C1568" s="438"/>
      <c r="D1568" s="438"/>
      <c r="E1568" s="438"/>
      <c r="F1568" s="438"/>
      <c r="G1568" s="438"/>
      <c r="H1568" s="438"/>
      <c r="I1568" s="438"/>
      <c r="J1568" s="11"/>
      <c r="Q1568" s="348" t="str">
        <f t="shared" si="200"/>
        <v/>
      </c>
      <c r="R1568" s="348" t="str">
        <f t="shared" si="201"/>
        <v/>
      </c>
      <c r="S1568" s="348" t="str">
        <f t="shared" si="202"/>
        <v/>
      </c>
      <c r="T1568" s="348" t="str">
        <f t="shared" si="203"/>
        <v/>
      </c>
      <c r="U1568" s="348" t="str">
        <f t="shared" si="204"/>
        <v/>
      </c>
      <c r="V1568" s="348" t="str">
        <f t="shared" si="205"/>
        <v/>
      </c>
      <c r="W1568" s="348" t="str">
        <f t="shared" si="206"/>
        <v/>
      </c>
      <c r="X1568" s="348" t="str">
        <f t="shared" si="207"/>
        <v/>
      </c>
    </row>
    <row r="1569" spans="1:24" x14ac:dyDescent="0.2">
      <c r="A1569" s="407">
        <v>1561</v>
      </c>
      <c r="B1569" s="438"/>
      <c r="C1569" s="438"/>
      <c r="D1569" s="438"/>
      <c r="E1569" s="438"/>
      <c r="F1569" s="438"/>
      <c r="G1569" s="438"/>
      <c r="H1569" s="438"/>
      <c r="I1569" s="438"/>
      <c r="J1569" s="11"/>
      <c r="Q1569" s="348" t="str">
        <f t="shared" si="200"/>
        <v/>
      </c>
      <c r="R1569" s="348" t="str">
        <f t="shared" si="201"/>
        <v/>
      </c>
      <c r="S1569" s="348" t="str">
        <f t="shared" si="202"/>
        <v/>
      </c>
      <c r="T1569" s="348" t="str">
        <f t="shared" si="203"/>
        <v/>
      </c>
      <c r="U1569" s="348" t="str">
        <f t="shared" si="204"/>
        <v/>
      </c>
      <c r="V1569" s="348" t="str">
        <f t="shared" si="205"/>
        <v/>
      </c>
      <c r="W1569" s="348" t="str">
        <f t="shared" si="206"/>
        <v/>
      </c>
      <c r="X1569" s="348" t="str">
        <f t="shared" si="207"/>
        <v/>
      </c>
    </row>
    <row r="1570" spans="1:24" x14ac:dyDescent="0.2">
      <c r="A1570" s="407">
        <v>1562</v>
      </c>
      <c r="B1570" s="438"/>
      <c r="C1570" s="438"/>
      <c r="D1570" s="438"/>
      <c r="E1570" s="438"/>
      <c r="F1570" s="438"/>
      <c r="G1570" s="437"/>
      <c r="H1570" s="438"/>
      <c r="I1570" s="438"/>
      <c r="J1570" s="11"/>
      <c r="Q1570" s="348" t="str">
        <f t="shared" si="200"/>
        <v/>
      </c>
      <c r="R1570" s="348" t="str">
        <f t="shared" si="201"/>
        <v/>
      </c>
      <c r="S1570" s="348" t="str">
        <f t="shared" si="202"/>
        <v/>
      </c>
      <c r="T1570" s="348" t="str">
        <f t="shared" si="203"/>
        <v/>
      </c>
      <c r="U1570" s="348" t="str">
        <f t="shared" si="204"/>
        <v/>
      </c>
      <c r="V1570" s="348" t="str">
        <f t="shared" si="205"/>
        <v/>
      </c>
      <c r="W1570" s="348" t="str">
        <f t="shared" si="206"/>
        <v/>
      </c>
      <c r="X1570" s="348" t="str">
        <f t="shared" si="207"/>
        <v/>
      </c>
    </row>
    <row r="1571" spans="1:24" x14ac:dyDescent="0.2">
      <c r="A1571" s="407">
        <v>1563</v>
      </c>
      <c r="B1571" s="438"/>
      <c r="C1571" s="438"/>
      <c r="D1571" s="438"/>
      <c r="E1571" s="438"/>
      <c r="F1571" s="438"/>
      <c r="G1571" s="438"/>
      <c r="H1571" s="438"/>
      <c r="I1571" s="438"/>
      <c r="J1571" s="11"/>
      <c r="Q1571" s="348" t="str">
        <f t="shared" si="200"/>
        <v/>
      </c>
      <c r="R1571" s="348" t="str">
        <f t="shared" si="201"/>
        <v/>
      </c>
      <c r="S1571" s="348" t="str">
        <f t="shared" si="202"/>
        <v/>
      </c>
      <c r="T1571" s="348" t="str">
        <f t="shared" si="203"/>
        <v/>
      </c>
      <c r="U1571" s="348" t="str">
        <f t="shared" si="204"/>
        <v/>
      </c>
      <c r="V1571" s="348" t="str">
        <f t="shared" si="205"/>
        <v/>
      </c>
      <c r="W1571" s="348" t="str">
        <f t="shared" si="206"/>
        <v/>
      </c>
      <c r="X1571" s="348" t="str">
        <f t="shared" si="207"/>
        <v/>
      </c>
    </row>
    <row r="1572" spans="1:24" x14ac:dyDescent="0.2">
      <c r="A1572" s="407">
        <v>1564</v>
      </c>
      <c r="B1572" s="437"/>
      <c r="C1572" s="437"/>
      <c r="D1572" s="438"/>
      <c r="E1572" s="438"/>
      <c r="F1572" s="437"/>
      <c r="G1572" s="438"/>
      <c r="H1572" s="437"/>
      <c r="I1572" s="438"/>
      <c r="J1572" s="11"/>
      <c r="Q1572" s="348" t="str">
        <f t="shared" si="200"/>
        <v/>
      </c>
      <c r="R1572" s="348" t="str">
        <f t="shared" si="201"/>
        <v/>
      </c>
      <c r="S1572" s="348" t="str">
        <f t="shared" si="202"/>
        <v/>
      </c>
      <c r="T1572" s="348" t="str">
        <f t="shared" si="203"/>
        <v/>
      </c>
      <c r="U1572" s="348" t="str">
        <f t="shared" si="204"/>
        <v/>
      </c>
      <c r="V1572" s="348" t="str">
        <f t="shared" si="205"/>
        <v/>
      </c>
      <c r="W1572" s="348" t="str">
        <f t="shared" si="206"/>
        <v/>
      </c>
      <c r="X1572" s="348" t="str">
        <f t="shared" si="207"/>
        <v/>
      </c>
    </row>
    <row r="1573" spans="1:24" x14ac:dyDescent="0.2">
      <c r="A1573" s="407">
        <v>1565</v>
      </c>
      <c r="B1573" s="438"/>
      <c r="C1573" s="438"/>
      <c r="D1573" s="438"/>
      <c r="E1573" s="438"/>
      <c r="F1573" s="438"/>
      <c r="G1573" s="438"/>
      <c r="H1573" s="438"/>
      <c r="I1573" s="438"/>
      <c r="J1573" s="11"/>
      <c r="Q1573" s="348" t="str">
        <f t="shared" si="200"/>
        <v/>
      </c>
      <c r="R1573" s="348" t="str">
        <f t="shared" si="201"/>
        <v/>
      </c>
      <c r="S1573" s="348" t="str">
        <f t="shared" si="202"/>
        <v/>
      </c>
      <c r="T1573" s="348" t="str">
        <f t="shared" si="203"/>
        <v/>
      </c>
      <c r="U1573" s="348" t="str">
        <f t="shared" si="204"/>
        <v/>
      </c>
      <c r="V1573" s="348" t="str">
        <f t="shared" si="205"/>
        <v/>
      </c>
      <c r="W1573" s="348" t="str">
        <f t="shared" si="206"/>
        <v/>
      </c>
      <c r="X1573" s="348" t="str">
        <f t="shared" si="207"/>
        <v/>
      </c>
    </row>
    <row r="1574" spans="1:24" x14ac:dyDescent="0.2">
      <c r="A1574" s="407">
        <v>1566</v>
      </c>
      <c r="B1574" s="438"/>
      <c r="C1574" s="438"/>
      <c r="D1574" s="438"/>
      <c r="E1574" s="438"/>
      <c r="F1574" s="438"/>
      <c r="G1574" s="438"/>
      <c r="H1574" s="438"/>
      <c r="I1574" s="438"/>
      <c r="J1574" s="11"/>
      <c r="Q1574" s="348" t="str">
        <f t="shared" si="200"/>
        <v/>
      </c>
      <c r="R1574" s="348" t="str">
        <f t="shared" si="201"/>
        <v/>
      </c>
      <c r="S1574" s="348" t="str">
        <f t="shared" si="202"/>
        <v/>
      </c>
      <c r="T1574" s="348" t="str">
        <f t="shared" si="203"/>
        <v/>
      </c>
      <c r="U1574" s="348" t="str">
        <f t="shared" si="204"/>
        <v/>
      </c>
      <c r="V1574" s="348" t="str">
        <f t="shared" si="205"/>
        <v/>
      </c>
      <c r="W1574" s="348" t="str">
        <f t="shared" si="206"/>
        <v/>
      </c>
      <c r="X1574" s="348" t="str">
        <f t="shared" si="207"/>
        <v/>
      </c>
    </row>
    <row r="1575" spans="1:24" x14ac:dyDescent="0.2">
      <c r="A1575" s="407">
        <v>1567</v>
      </c>
      <c r="B1575" s="438"/>
      <c r="C1575" s="438"/>
      <c r="D1575" s="438"/>
      <c r="E1575" s="438"/>
      <c r="F1575" s="438"/>
      <c r="G1575" s="438"/>
      <c r="H1575" s="438"/>
      <c r="I1575" s="438"/>
      <c r="J1575" s="11"/>
      <c r="Q1575" s="348" t="str">
        <f t="shared" si="200"/>
        <v/>
      </c>
      <c r="R1575" s="348" t="str">
        <f t="shared" si="201"/>
        <v/>
      </c>
      <c r="S1575" s="348" t="str">
        <f t="shared" si="202"/>
        <v/>
      </c>
      <c r="T1575" s="348" t="str">
        <f t="shared" si="203"/>
        <v/>
      </c>
      <c r="U1575" s="348" t="str">
        <f t="shared" si="204"/>
        <v/>
      </c>
      <c r="V1575" s="348" t="str">
        <f t="shared" si="205"/>
        <v/>
      </c>
      <c r="W1575" s="348" t="str">
        <f t="shared" si="206"/>
        <v/>
      </c>
      <c r="X1575" s="348" t="str">
        <f t="shared" si="207"/>
        <v/>
      </c>
    </row>
    <row r="1576" spans="1:24" x14ac:dyDescent="0.2">
      <c r="A1576" s="407">
        <v>1568</v>
      </c>
      <c r="B1576" s="438"/>
      <c r="C1576" s="438"/>
      <c r="D1576" s="438"/>
      <c r="E1576" s="438"/>
      <c r="F1576" s="438"/>
      <c r="G1576" s="438"/>
      <c r="H1576" s="438"/>
      <c r="I1576" s="438"/>
      <c r="J1576" s="11"/>
      <c r="Q1576" s="348" t="str">
        <f t="shared" si="200"/>
        <v/>
      </c>
      <c r="R1576" s="348" t="str">
        <f t="shared" si="201"/>
        <v/>
      </c>
      <c r="S1576" s="348" t="str">
        <f t="shared" si="202"/>
        <v/>
      </c>
      <c r="T1576" s="348" t="str">
        <f t="shared" si="203"/>
        <v/>
      </c>
      <c r="U1576" s="348" t="str">
        <f t="shared" si="204"/>
        <v/>
      </c>
      <c r="V1576" s="348" t="str">
        <f t="shared" si="205"/>
        <v/>
      </c>
      <c r="W1576" s="348" t="str">
        <f t="shared" si="206"/>
        <v/>
      </c>
      <c r="X1576" s="348" t="str">
        <f t="shared" si="207"/>
        <v/>
      </c>
    </row>
    <row r="1577" spans="1:24" x14ac:dyDescent="0.2">
      <c r="A1577" s="407">
        <v>1569</v>
      </c>
      <c r="B1577" s="438"/>
      <c r="C1577" s="438"/>
      <c r="D1577" s="438"/>
      <c r="E1577" s="437"/>
      <c r="F1577" s="438"/>
      <c r="G1577" s="438"/>
      <c r="H1577" s="438"/>
      <c r="I1577" s="438"/>
      <c r="J1577" s="11"/>
      <c r="Q1577" s="348" t="str">
        <f t="shared" si="200"/>
        <v/>
      </c>
      <c r="R1577" s="348" t="str">
        <f t="shared" si="201"/>
        <v/>
      </c>
      <c r="S1577" s="348" t="str">
        <f t="shared" si="202"/>
        <v/>
      </c>
      <c r="T1577" s="348" t="str">
        <f t="shared" si="203"/>
        <v/>
      </c>
      <c r="U1577" s="348" t="str">
        <f t="shared" si="204"/>
        <v/>
      </c>
      <c r="V1577" s="348" t="str">
        <f t="shared" si="205"/>
        <v/>
      </c>
      <c r="W1577" s="348" t="str">
        <f t="shared" si="206"/>
        <v/>
      </c>
      <c r="X1577" s="348" t="str">
        <f t="shared" si="207"/>
        <v/>
      </c>
    </row>
    <row r="1578" spans="1:24" x14ac:dyDescent="0.2">
      <c r="A1578" s="407">
        <v>1570</v>
      </c>
      <c r="B1578" s="438"/>
      <c r="C1578" s="438"/>
      <c r="D1578" s="438"/>
      <c r="E1578" s="438"/>
      <c r="F1578" s="438"/>
      <c r="G1578" s="438"/>
      <c r="H1578" s="438"/>
      <c r="I1578" s="438"/>
      <c r="J1578" s="11"/>
      <c r="Q1578" s="348" t="str">
        <f t="shared" si="200"/>
        <v/>
      </c>
      <c r="R1578" s="348" t="str">
        <f t="shared" si="201"/>
        <v/>
      </c>
      <c r="S1578" s="348" t="str">
        <f t="shared" si="202"/>
        <v/>
      </c>
      <c r="T1578" s="348" t="str">
        <f t="shared" si="203"/>
        <v/>
      </c>
      <c r="U1578" s="348" t="str">
        <f t="shared" si="204"/>
        <v/>
      </c>
      <c r="V1578" s="348" t="str">
        <f t="shared" si="205"/>
        <v/>
      </c>
      <c r="W1578" s="348" t="str">
        <f t="shared" si="206"/>
        <v/>
      </c>
      <c r="X1578" s="348" t="str">
        <f t="shared" si="207"/>
        <v/>
      </c>
    </row>
    <row r="1579" spans="1:24" x14ac:dyDescent="0.2">
      <c r="A1579" s="407">
        <v>1571</v>
      </c>
      <c r="B1579" s="438"/>
      <c r="C1579" s="438"/>
      <c r="D1579" s="437"/>
      <c r="E1579" s="438"/>
      <c r="F1579" s="438"/>
      <c r="G1579" s="438"/>
      <c r="H1579" s="438"/>
      <c r="I1579" s="438"/>
      <c r="J1579" s="11"/>
      <c r="Q1579" s="348" t="str">
        <f t="shared" si="200"/>
        <v/>
      </c>
      <c r="R1579" s="348" t="str">
        <f t="shared" si="201"/>
        <v/>
      </c>
      <c r="S1579" s="348" t="str">
        <f t="shared" si="202"/>
        <v/>
      </c>
      <c r="T1579" s="348" t="str">
        <f t="shared" si="203"/>
        <v/>
      </c>
      <c r="U1579" s="348" t="str">
        <f t="shared" si="204"/>
        <v/>
      </c>
      <c r="V1579" s="348" t="str">
        <f t="shared" si="205"/>
        <v/>
      </c>
      <c r="W1579" s="348" t="str">
        <f t="shared" si="206"/>
        <v/>
      </c>
      <c r="X1579" s="348" t="str">
        <f t="shared" si="207"/>
        <v/>
      </c>
    </row>
    <row r="1580" spans="1:24" x14ac:dyDescent="0.2">
      <c r="A1580" s="407">
        <v>1572</v>
      </c>
      <c r="B1580" s="438"/>
      <c r="C1580" s="438"/>
      <c r="D1580" s="438"/>
      <c r="E1580" s="438"/>
      <c r="F1580" s="438"/>
      <c r="G1580" s="438"/>
      <c r="H1580" s="438"/>
      <c r="I1580" s="438"/>
      <c r="J1580" s="11"/>
      <c r="Q1580" s="348" t="str">
        <f t="shared" si="200"/>
        <v/>
      </c>
      <c r="R1580" s="348" t="str">
        <f t="shared" si="201"/>
        <v/>
      </c>
      <c r="S1580" s="348" t="str">
        <f t="shared" si="202"/>
        <v/>
      </c>
      <c r="T1580" s="348" t="str">
        <f t="shared" si="203"/>
        <v/>
      </c>
      <c r="U1580" s="348" t="str">
        <f t="shared" si="204"/>
        <v/>
      </c>
      <c r="V1580" s="348" t="str">
        <f t="shared" si="205"/>
        <v/>
      </c>
      <c r="W1580" s="348" t="str">
        <f t="shared" si="206"/>
        <v/>
      </c>
      <c r="X1580" s="348" t="str">
        <f t="shared" si="207"/>
        <v/>
      </c>
    </row>
    <row r="1581" spans="1:24" x14ac:dyDescent="0.2">
      <c r="A1581" s="407">
        <v>1573</v>
      </c>
      <c r="B1581" s="438"/>
      <c r="C1581" s="438"/>
      <c r="D1581" s="438"/>
      <c r="E1581" s="438"/>
      <c r="F1581" s="438"/>
      <c r="G1581" s="438"/>
      <c r="H1581" s="438"/>
      <c r="I1581" s="438"/>
      <c r="J1581" s="11"/>
      <c r="Q1581" s="348" t="str">
        <f t="shared" si="200"/>
        <v/>
      </c>
      <c r="R1581" s="348" t="str">
        <f t="shared" si="201"/>
        <v/>
      </c>
      <c r="S1581" s="348" t="str">
        <f t="shared" si="202"/>
        <v/>
      </c>
      <c r="T1581" s="348" t="str">
        <f t="shared" si="203"/>
        <v/>
      </c>
      <c r="U1581" s="348" t="str">
        <f t="shared" si="204"/>
        <v/>
      </c>
      <c r="V1581" s="348" t="str">
        <f t="shared" si="205"/>
        <v/>
      </c>
      <c r="W1581" s="348" t="str">
        <f t="shared" si="206"/>
        <v/>
      </c>
      <c r="X1581" s="348" t="str">
        <f t="shared" si="207"/>
        <v/>
      </c>
    </row>
    <row r="1582" spans="1:24" x14ac:dyDescent="0.2">
      <c r="A1582" s="407">
        <v>1574</v>
      </c>
      <c r="B1582" s="437"/>
      <c r="C1582" s="438"/>
      <c r="D1582" s="438"/>
      <c r="E1582" s="438"/>
      <c r="F1582" s="438"/>
      <c r="G1582" s="438"/>
      <c r="H1582" s="438"/>
      <c r="I1582" s="438"/>
      <c r="J1582" s="11"/>
      <c r="Q1582" s="348" t="str">
        <f t="shared" si="200"/>
        <v/>
      </c>
      <c r="R1582" s="348" t="str">
        <f t="shared" si="201"/>
        <v/>
      </c>
      <c r="S1582" s="348" t="str">
        <f t="shared" si="202"/>
        <v/>
      </c>
      <c r="T1582" s="348" t="str">
        <f t="shared" si="203"/>
        <v/>
      </c>
      <c r="U1582" s="348" t="str">
        <f t="shared" si="204"/>
        <v/>
      </c>
      <c r="V1582" s="348" t="str">
        <f t="shared" si="205"/>
        <v/>
      </c>
      <c r="W1582" s="348" t="str">
        <f t="shared" si="206"/>
        <v/>
      </c>
      <c r="X1582" s="348" t="str">
        <f t="shared" si="207"/>
        <v/>
      </c>
    </row>
    <row r="1583" spans="1:24" x14ac:dyDescent="0.2">
      <c r="A1583" s="407">
        <v>1575</v>
      </c>
      <c r="B1583" s="438"/>
      <c r="C1583" s="438"/>
      <c r="D1583" s="438"/>
      <c r="E1583" s="438"/>
      <c r="F1583" s="438"/>
      <c r="G1583" s="438"/>
      <c r="H1583" s="438"/>
      <c r="I1583" s="438"/>
      <c r="J1583" s="11"/>
      <c r="Q1583" s="348" t="str">
        <f t="shared" si="200"/>
        <v/>
      </c>
      <c r="R1583" s="348" t="str">
        <f t="shared" si="201"/>
        <v/>
      </c>
      <c r="S1583" s="348" t="str">
        <f t="shared" si="202"/>
        <v/>
      </c>
      <c r="T1583" s="348" t="str">
        <f t="shared" si="203"/>
        <v/>
      </c>
      <c r="U1583" s="348" t="str">
        <f t="shared" si="204"/>
        <v/>
      </c>
      <c r="V1583" s="348" t="str">
        <f t="shared" si="205"/>
        <v/>
      </c>
      <c r="W1583" s="348" t="str">
        <f t="shared" si="206"/>
        <v/>
      </c>
      <c r="X1583" s="348" t="str">
        <f t="shared" si="207"/>
        <v/>
      </c>
    </row>
    <row r="1584" spans="1:24" x14ac:dyDescent="0.2">
      <c r="A1584" s="407">
        <v>1576</v>
      </c>
      <c r="B1584" s="438"/>
      <c r="C1584" s="438"/>
      <c r="D1584" s="438"/>
      <c r="E1584" s="438"/>
      <c r="F1584" s="438"/>
      <c r="G1584" s="438"/>
      <c r="H1584" s="438"/>
      <c r="I1584" s="438"/>
      <c r="J1584" s="11"/>
      <c r="Q1584" s="348" t="str">
        <f t="shared" si="200"/>
        <v/>
      </c>
      <c r="R1584" s="348" t="str">
        <f t="shared" si="201"/>
        <v/>
      </c>
      <c r="S1584" s="348" t="str">
        <f t="shared" si="202"/>
        <v/>
      </c>
      <c r="T1584" s="348" t="str">
        <f t="shared" si="203"/>
        <v/>
      </c>
      <c r="U1584" s="348" t="str">
        <f t="shared" si="204"/>
        <v/>
      </c>
      <c r="V1584" s="348" t="str">
        <f t="shared" si="205"/>
        <v/>
      </c>
      <c r="W1584" s="348" t="str">
        <f t="shared" si="206"/>
        <v/>
      </c>
      <c r="X1584" s="348" t="str">
        <f t="shared" si="207"/>
        <v/>
      </c>
    </row>
    <row r="1585" spans="1:24" x14ac:dyDescent="0.2">
      <c r="A1585" s="407">
        <v>1577</v>
      </c>
      <c r="B1585" s="438"/>
      <c r="C1585" s="438"/>
      <c r="D1585" s="438"/>
      <c r="E1585" s="438"/>
      <c r="F1585" s="438"/>
      <c r="G1585" s="438"/>
      <c r="H1585" s="438"/>
      <c r="I1585" s="438"/>
      <c r="J1585" s="11"/>
      <c r="Q1585" s="348" t="str">
        <f t="shared" si="200"/>
        <v/>
      </c>
      <c r="R1585" s="348" t="str">
        <f t="shared" si="201"/>
        <v/>
      </c>
      <c r="S1585" s="348" t="str">
        <f t="shared" si="202"/>
        <v/>
      </c>
      <c r="T1585" s="348" t="str">
        <f t="shared" si="203"/>
        <v/>
      </c>
      <c r="U1585" s="348" t="str">
        <f t="shared" si="204"/>
        <v/>
      </c>
      <c r="V1585" s="348" t="str">
        <f t="shared" si="205"/>
        <v/>
      </c>
      <c r="W1585" s="348" t="str">
        <f t="shared" si="206"/>
        <v/>
      </c>
      <c r="X1585" s="348" t="str">
        <f t="shared" si="207"/>
        <v/>
      </c>
    </row>
    <row r="1586" spans="1:24" x14ac:dyDescent="0.2">
      <c r="A1586" s="407">
        <v>1578</v>
      </c>
      <c r="B1586" s="438"/>
      <c r="C1586" s="438"/>
      <c r="D1586" s="438"/>
      <c r="E1586" s="438"/>
      <c r="F1586" s="438"/>
      <c r="G1586" s="438"/>
      <c r="H1586" s="438"/>
      <c r="I1586" s="438"/>
      <c r="J1586" s="11"/>
      <c r="Q1586" s="348" t="str">
        <f t="shared" si="200"/>
        <v/>
      </c>
      <c r="R1586" s="348" t="str">
        <f t="shared" si="201"/>
        <v/>
      </c>
      <c r="S1586" s="348" t="str">
        <f t="shared" si="202"/>
        <v/>
      </c>
      <c r="T1586" s="348" t="str">
        <f t="shared" si="203"/>
        <v/>
      </c>
      <c r="U1586" s="348" t="str">
        <f t="shared" si="204"/>
        <v/>
      </c>
      <c r="V1586" s="348" t="str">
        <f t="shared" si="205"/>
        <v/>
      </c>
      <c r="W1586" s="348" t="str">
        <f t="shared" si="206"/>
        <v/>
      </c>
      <c r="X1586" s="348" t="str">
        <f t="shared" si="207"/>
        <v/>
      </c>
    </row>
    <row r="1587" spans="1:24" x14ac:dyDescent="0.2">
      <c r="A1587" s="407">
        <v>1579</v>
      </c>
      <c r="B1587" s="438"/>
      <c r="C1587" s="438"/>
      <c r="D1587" s="438"/>
      <c r="E1587" s="438"/>
      <c r="F1587" s="438"/>
      <c r="G1587" s="438"/>
      <c r="H1587" s="438"/>
      <c r="I1587" s="438"/>
      <c r="J1587" s="11"/>
      <c r="Q1587" s="348" t="str">
        <f t="shared" si="200"/>
        <v/>
      </c>
      <c r="R1587" s="348" t="str">
        <f t="shared" si="201"/>
        <v/>
      </c>
      <c r="S1587" s="348" t="str">
        <f t="shared" si="202"/>
        <v/>
      </c>
      <c r="T1587" s="348" t="str">
        <f t="shared" si="203"/>
        <v/>
      </c>
      <c r="U1587" s="348" t="str">
        <f t="shared" si="204"/>
        <v/>
      </c>
      <c r="V1587" s="348" t="str">
        <f t="shared" si="205"/>
        <v/>
      </c>
      <c r="W1587" s="348" t="str">
        <f t="shared" si="206"/>
        <v/>
      </c>
      <c r="X1587" s="348" t="str">
        <f t="shared" si="207"/>
        <v/>
      </c>
    </row>
    <row r="1588" spans="1:24" x14ac:dyDescent="0.2">
      <c r="A1588" s="407">
        <v>1580</v>
      </c>
      <c r="B1588" s="438"/>
      <c r="C1588" s="438"/>
      <c r="D1588" s="438"/>
      <c r="E1588" s="438"/>
      <c r="F1588" s="438"/>
      <c r="G1588" s="438"/>
      <c r="H1588" s="438"/>
      <c r="I1588" s="438"/>
      <c r="J1588" s="11"/>
      <c r="Q1588" s="348" t="str">
        <f t="shared" si="200"/>
        <v/>
      </c>
      <c r="R1588" s="348" t="str">
        <f t="shared" si="201"/>
        <v/>
      </c>
      <c r="S1588" s="348" t="str">
        <f t="shared" si="202"/>
        <v/>
      </c>
      <c r="T1588" s="348" t="str">
        <f t="shared" si="203"/>
        <v/>
      </c>
      <c r="U1588" s="348" t="str">
        <f t="shared" si="204"/>
        <v/>
      </c>
      <c r="V1588" s="348" t="str">
        <f t="shared" si="205"/>
        <v/>
      </c>
      <c r="W1588" s="348" t="str">
        <f t="shared" si="206"/>
        <v/>
      </c>
      <c r="X1588" s="348" t="str">
        <f t="shared" si="207"/>
        <v/>
      </c>
    </row>
    <row r="1589" spans="1:24" x14ac:dyDescent="0.2">
      <c r="A1589" s="407">
        <v>1581</v>
      </c>
      <c r="B1589" s="438"/>
      <c r="C1589" s="438"/>
      <c r="D1589" s="438"/>
      <c r="E1589" s="438"/>
      <c r="F1589" s="438"/>
      <c r="G1589" s="438"/>
      <c r="H1589" s="438"/>
      <c r="I1589" s="438"/>
      <c r="J1589" s="11"/>
      <c r="Q1589" s="348" t="str">
        <f t="shared" si="200"/>
        <v/>
      </c>
      <c r="R1589" s="348" t="str">
        <f t="shared" si="201"/>
        <v/>
      </c>
      <c r="S1589" s="348" t="str">
        <f t="shared" si="202"/>
        <v/>
      </c>
      <c r="T1589" s="348" t="str">
        <f t="shared" si="203"/>
        <v/>
      </c>
      <c r="U1589" s="348" t="str">
        <f t="shared" si="204"/>
        <v/>
      </c>
      <c r="V1589" s="348" t="str">
        <f t="shared" si="205"/>
        <v/>
      </c>
      <c r="W1589" s="348" t="str">
        <f t="shared" si="206"/>
        <v/>
      </c>
      <c r="X1589" s="348" t="str">
        <f t="shared" si="207"/>
        <v/>
      </c>
    </row>
    <row r="1590" spans="1:24" x14ac:dyDescent="0.2">
      <c r="A1590" s="407">
        <v>1582</v>
      </c>
      <c r="B1590" s="438"/>
      <c r="C1590" s="438"/>
      <c r="D1590" s="438"/>
      <c r="E1590" s="438"/>
      <c r="F1590" s="438"/>
      <c r="G1590" s="438"/>
      <c r="H1590" s="438"/>
      <c r="I1590" s="438"/>
      <c r="J1590" s="11"/>
      <c r="Q1590" s="348" t="str">
        <f t="shared" si="200"/>
        <v/>
      </c>
      <c r="R1590" s="348" t="str">
        <f t="shared" si="201"/>
        <v/>
      </c>
      <c r="S1590" s="348" t="str">
        <f t="shared" si="202"/>
        <v/>
      </c>
      <c r="T1590" s="348" t="str">
        <f t="shared" si="203"/>
        <v/>
      </c>
      <c r="U1590" s="348" t="str">
        <f t="shared" si="204"/>
        <v/>
      </c>
      <c r="V1590" s="348" t="str">
        <f t="shared" si="205"/>
        <v/>
      </c>
      <c r="W1590" s="348" t="str">
        <f t="shared" si="206"/>
        <v/>
      </c>
      <c r="X1590" s="348" t="str">
        <f t="shared" si="207"/>
        <v/>
      </c>
    </row>
    <row r="1591" spans="1:24" x14ac:dyDescent="0.2">
      <c r="A1591" s="407">
        <v>1583</v>
      </c>
      <c r="B1591" s="438"/>
      <c r="C1591" s="438"/>
      <c r="D1591" s="438"/>
      <c r="E1591" s="438"/>
      <c r="F1591" s="438"/>
      <c r="G1591" s="438"/>
      <c r="H1591" s="438"/>
      <c r="I1591" s="438"/>
      <c r="J1591" s="11"/>
      <c r="Q1591" s="348" t="str">
        <f t="shared" si="200"/>
        <v/>
      </c>
      <c r="R1591" s="348" t="str">
        <f t="shared" si="201"/>
        <v/>
      </c>
      <c r="S1591" s="348" t="str">
        <f t="shared" si="202"/>
        <v/>
      </c>
      <c r="T1591" s="348" t="str">
        <f t="shared" si="203"/>
        <v/>
      </c>
      <c r="U1591" s="348" t="str">
        <f t="shared" si="204"/>
        <v/>
      </c>
      <c r="V1591" s="348" t="str">
        <f t="shared" si="205"/>
        <v/>
      </c>
      <c r="W1591" s="348" t="str">
        <f t="shared" si="206"/>
        <v/>
      </c>
      <c r="X1591" s="348" t="str">
        <f t="shared" si="207"/>
        <v/>
      </c>
    </row>
    <row r="1592" spans="1:24" x14ac:dyDescent="0.2">
      <c r="A1592" s="407">
        <v>1584</v>
      </c>
      <c r="B1592" s="438"/>
      <c r="C1592" s="438"/>
      <c r="D1592" s="438"/>
      <c r="E1592" s="438"/>
      <c r="F1592" s="438"/>
      <c r="G1592" s="438"/>
      <c r="H1592" s="438"/>
      <c r="I1592" s="438"/>
      <c r="J1592" s="11"/>
      <c r="Q1592" s="348" t="str">
        <f t="shared" si="200"/>
        <v/>
      </c>
      <c r="R1592" s="348" t="str">
        <f t="shared" si="201"/>
        <v/>
      </c>
      <c r="S1592" s="348" t="str">
        <f t="shared" si="202"/>
        <v/>
      </c>
      <c r="T1592" s="348" t="str">
        <f t="shared" si="203"/>
        <v/>
      </c>
      <c r="U1592" s="348" t="str">
        <f t="shared" si="204"/>
        <v/>
      </c>
      <c r="V1592" s="348" t="str">
        <f t="shared" si="205"/>
        <v/>
      </c>
      <c r="W1592" s="348" t="str">
        <f t="shared" si="206"/>
        <v/>
      </c>
      <c r="X1592" s="348" t="str">
        <f t="shared" si="207"/>
        <v/>
      </c>
    </row>
    <row r="1593" spans="1:24" x14ac:dyDescent="0.2">
      <c r="A1593" s="407">
        <v>1585</v>
      </c>
      <c r="B1593" s="438"/>
      <c r="C1593" s="438"/>
      <c r="D1593" s="438"/>
      <c r="E1593" s="438"/>
      <c r="F1593" s="438"/>
      <c r="G1593" s="438"/>
      <c r="H1593" s="438"/>
      <c r="I1593" s="438"/>
      <c r="J1593" s="11"/>
      <c r="Q1593" s="348" t="str">
        <f t="shared" si="200"/>
        <v/>
      </c>
      <c r="R1593" s="348" t="str">
        <f t="shared" si="201"/>
        <v/>
      </c>
      <c r="S1593" s="348" t="str">
        <f t="shared" si="202"/>
        <v/>
      </c>
      <c r="T1593" s="348" t="str">
        <f t="shared" si="203"/>
        <v/>
      </c>
      <c r="U1593" s="348" t="str">
        <f t="shared" si="204"/>
        <v/>
      </c>
      <c r="V1593" s="348" t="str">
        <f t="shared" si="205"/>
        <v/>
      </c>
      <c r="W1593" s="348" t="str">
        <f t="shared" si="206"/>
        <v/>
      </c>
      <c r="X1593" s="348" t="str">
        <f t="shared" si="207"/>
        <v/>
      </c>
    </row>
    <row r="1594" spans="1:24" x14ac:dyDescent="0.2">
      <c r="A1594" s="407">
        <v>1586</v>
      </c>
      <c r="B1594" s="438"/>
      <c r="C1594" s="438"/>
      <c r="D1594" s="438"/>
      <c r="E1594" s="438"/>
      <c r="F1594" s="438"/>
      <c r="G1594" s="438"/>
      <c r="H1594" s="438"/>
      <c r="I1594" s="438"/>
      <c r="J1594" s="11"/>
      <c r="Q1594" s="348" t="str">
        <f t="shared" si="200"/>
        <v/>
      </c>
      <c r="R1594" s="348" t="str">
        <f t="shared" si="201"/>
        <v/>
      </c>
      <c r="S1594" s="348" t="str">
        <f t="shared" si="202"/>
        <v/>
      </c>
      <c r="T1594" s="348" t="str">
        <f t="shared" si="203"/>
        <v/>
      </c>
      <c r="U1594" s="348" t="str">
        <f t="shared" si="204"/>
        <v/>
      </c>
      <c r="V1594" s="348" t="str">
        <f t="shared" si="205"/>
        <v/>
      </c>
      <c r="W1594" s="348" t="str">
        <f t="shared" si="206"/>
        <v/>
      </c>
      <c r="X1594" s="348" t="str">
        <f t="shared" si="207"/>
        <v/>
      </c>
    </row>
    <row r="1595" spans="1:24" x14ac:dyDescent="0.2">
      <c r="A1595" s="407">
        <v>1587</v>
      </c>
      <c r="B1595" s="438"/>
      <c r="C1595" s="438"/>
      <c r="D1595" s="438"/>
      <c r="E1595" s="438"/>
      <c r="F1595" s="438"/>
      <c r="G1595" s="438"/>
      <c r="H1595" s="438"/>
      <c r="I1595" s="438"/>
      <c r="J1595" s="11"/>
      <c r="Q1595" s="348" t="str">
        <f t="shared" si="200"/>
        <v/>
      </c>
      <c r="R1595" s="348" t="str">
        <f t="shared" si="201"/>
        <v/>
      </c>
      <c r="S1595" s="348" t="str">
        <f t="shared" si="202"/>
        <v/>
      </c>
      <c r="T1595" s="348" t="str">
        <f t="shared" si="203"/>
        <v/>
      </c>
      <c r="U1595" s="348" t="str">
        <f t="shared" si="204"/>
        <v/>
      </c>
      <c r="V1595" s="348" t="str">
        <f t="shared" si="205"/>
        <v/>
      </c>
      <c r="W1595" s="348" t="str">
        <f t="shared" si="206"/>
        <v/>
      </c>
      <c r="X1595" s="348" t="str">
        <f t="shared" si="207"/>
        <v/>
      </c>
    </row>
    <row r="1596" spans="1:24" x14ac:dyDescent="0.2">
      <c r="A1596" s="407">
        <v>1588</v>
      </c>
      <c r="B1596" s="437"/>
      <c r="C1596" s="438"/>
      <c r="D1596" s="438"/>
      <c r="E1596" s="438"/>
      <c r="F1596" s="438"/>
      <c r="G1596" s="438"/>
      <c r="H1596" s="438"/>
      <c r="I1596" s="438"/>
      <c r="J1596" s="11"/>
      <c r="Q1596" s="348" t="str">
        <f t="shared" si="200"/>
        <v/>
      </c>
      <c r="R1596" s="348" t="str">
        <f t="shared" si="201"/>
        <v/>
      </c>
      <c r="S1596" s="348" t="str">
        <f t="shared" si="202"/>
        <v/>
      </c>
      <c r="T1596" s="348" t="str">
        <f t="shared" si="203"/>
        <v/>
      </c>
      <c r="U1596" s="348" t="str">
        <f t="shared" si="204"/>
        <v/>
      </c>
      <c r="V1596" s="348" t="str">
        <f t="shared" si="205"/>
        <v/>
      </c>
      <c r="W1596" s="348" t="str">
        <f t="shared" si="206"/>
        <v/>
      </c>
      <c r="X1596" s="348" t="str">
        <f t="shared" si="207"/>
        <v/>
      </c>
    </row>
    <row r="1597" spans="1:24" x14ac:dyDescent="0.2">
      <c r="A1597" s="407">
        <v>1589</v>
      </c>
      <c r="B1597" s="438"/>
      <c r="C1597" s="438"/>
      <c r="D1597" s="438"/>
      <c r="E1597" s="438"/>
      <c r="F1597" s="438"/>
      <c r="G1597" s="438"/>
      <c r="H1597" s="438"/>
      <c r="I1597" s="437"/>
      <c r="J1597" s="11"/>
      <c r="Q1597" s="348" t="str">
        <f t="shared" si="200"/>
        <v/>
      </c>
      <c r="R1597" s="348" t="str">
        <f t="shared" si="201"/>
        <v/>
      </c>
      <c r="S1597" s="348" t="str">
        <f t="shared" si="202"/>
        <v/>
      </c>
      <c r="T1597" s="348" t="str">
        <f t="shared" si="203"/>
        <v/>
      </c>
      <c r="U1597" s="348" t="str">
        <f t="shared" si="204"/>
        <v/>
      </c>
      <c r="V1597" s="348" t="str">
        <f t="shared" si="205"/>
        <v/>
      </c>
      <c r="W1597" s="348" t="str">
        <f t="shared" si="206"/>
        <v/>
      </c>
      <c r="X1597" s="348" t="str">
        <f t="shared" si="207"/>
        <v/>
      </c>
    </row>
    <row r="1598" spans="1:24" x14ac:dyDescent="0.2">
      <c r="A1598" s="407">
        <v>1590</v>
      </c>
      <c r="B1598" s="438"/>
      <c r="C1598" s="438"/>
      <c r="D1598" s="438"/>
      <c r="E1598" s="438"/>
      <c r="F1598" s="438"/>
      <c r="G1598" s="438"/>
      <c r="H1598" s="438"/>
      <c r="I1598" s="438"/>
      <c r="J1598" s="11"/>
      <c r="Q1598" s="348" t="str">
        <f t="shared" si="200"/>
        <v/>
      </c>
      <c r="R1598" s="348" t="str">
        <f t="shared" si="201"/>
        <v/>
      </c>
      <c r="S1598" s="348" t="str">
        <f t="shared" si="202"/>
        <v/>
      </c>
      <c r="T1598" s="348" t="str">
        <f t="shared" si="203"/>
        <v/>
      </c>
      <c r="U1598" s="348" t="str">
        <f t="shared" si="204"/>
        <v/>
      </c>
      <c r="V1598" s="348" t="str">
        <f t="shared" si="205"/>
        <v/>
      </c>
      <c r="W1598" s="348" t="str">
        <f t="shared" si="206"/>
        <v/>
      </c>
      <c r="X1598" s="348" t="str">
        <f t="shared" si="207"/>
        <v/>
      </c>
    </row>
    <row r="1599" spans="1:24" x14ac:dyDescent="0.2">
      <c r="A1599" s="407">
        <v>1591</v>
      </c>
      <c r="B1599" s="438"/>
      <c r="C1599" s="438"/>
      <c r="D1599" s="438"/>
      <c r="E1599" s="438"/>
      <c r="F1599" s="438"/>
      <c r="G1599" s="438"/>
      <c r="H1599" s="438"/>
      <c r="I1599" s="438"/>
      <c r="J1599" s="11"/>
      <c r="Q1599" s="348" t="str">
        <f t="shared" si="200"/>
        <v/>
      </c>
      <c r="R1599" s="348" t="str">
        <f t="shared" si="201"/>
        <v/>
      </c>
      <c r="S1599" s="348" t="str">
        <f t="shared" si="202"/>
        <v/>
      </c>
      <c r="T1599" s="348" t="str">
        <f t="shared" si="203"/>
        <v/>
      </c>
      <c r="U1599" s="348" t="str">
        <f t="shared" si="204"/>
        <v/>
      </c>
      <c r="V1599" s="348" t="str">
        <f t="shared" si="205"/>
        <v/>
      </c>
      <c r="W1599" s="348" t="str">
        <f t="shared" si="206"/>
        <v/>
      </c>
      <c r="X1599" s="348" t="str">
        <f t="shared" si="207"/>
        <v/>
      </c>
    </row>
    <row r="1600" spans="1:24" x14ac:dyDescent="0.2">
      <c r="A1600" s="407">
        <v>1592</v>
      </c>
      <c r="B1600" s="438"/>
      <c r="C1600" s="438"/>
      <c r="D1600" s="438"/>
      <c r="E1600" s="438"/>
      <c r="F1600" s="438"/>
      <c r="G1600" s="438"/>
      <c r="H1600" s="438"/>
      <c r="I1600" s="438"/>
      <c r="J1600" s="11"/>
      <c r="Q1600" s="348" t="str">
        <f t="shared" si="200"/>
        <v/>
      </c>
      <c r="R1600" s="348" t="str">
        <f t="shared" si="201"/>
        <v/>
      </c>
      <c r="S1600" s="348" t="str">
        <f t="shared" si="202"/>
        <v/>
      </c>
      <c r="T1600" s="348" t="str">
        <f t="shared" si="203"/>
        <v/>
      </c>
      <c r="U1600" s="348" t="str">
        <f t="shared" si="204"/>
        <v/>
      </c>
      <c r="V1600" s="348" t="str">
        <f t="shared" si="205"/>
        <v/>
      </c>
      <c r="W1600" s="348" t="str">
        <f t="shared" si="206"/>
        <v/>
      </c>
      <c r="X1600" s="348" t="str">
        <f t="shared" si="207"/>
        <v/>
      </c>
    </row>
    <row r="1601" spans="1:24" x14ac:dyDescent="0.2">
      <c r="A1601" s="407">
        <v>1593</v>
      </c>
      <c r="B1601" s="438"/>
      <c r="C1601" s="437"/>
      <c r="D1601" s="438"/>
      <c r="E1601" s="438"/>
      <c r="F1601" s="438"/>
      <c r="G1601" s="438"/>
      <c r="H1601" s="438"/>
      <c r="I1601" s="438"/>
      <c r="J1601" s="11"/>
      <c r="Q1601" s="348" t="str">
        <f t="shared" si="200"/>
        <v/>
      </c>
      <c r="R1601" s="348" t="str">
        <f t="shared" si="201"/>
        <v/>
      </c>
      <c r="S1601" s="348" t="str">
        <f t="shared" si="202"/>
        <v/>
      </c>
      <c r="T1601" s="348" t="str">
        <f t="shared" si="203"/>
        <v/>
      </c>
      <c r="U1601" s="348" t="str">
        <f t="shared" si="204"/>
        <v/>
      </c>
      <c r="V1601" s="348" t="str">
        <f t="shared" si="205"/>
        <v/>
      </c>
      <c r="W1601" s="348" t="str">
        <f t="shared" si="206"/>
        <v/>
      </c>
      <c r="X1601" s="348" t="str">
        <f t="shared" si="207"/>
        <v/>
      </c>
    </row>
    <row r="1602" spans="1:24" x14ac:dyDescent="0.2">
      <c r="A1602" s="407">
        <v>1594</v>
      </c>
      <c r="B1602" s="438"/>
      <c r="C1602" s="438"/>
      <c r="D1602" s="438"/>
      <c r="E1602" s="437"/>
      <c r="F1602" s="438"/>
      <c r="G1602" s="438"/>
      <c r="H1602" s="438"/>
      <c r="I1602" s="438"/>
      <c r="J1602" s="11"/>
      <c r="Q1602" s="348" t="str">
        <f t="shared" si="200"/>
        <v/>
      </c>
      <c r="R1602" s="348" t="str">
        <f t="shared" si="201"/>
        <v/>
      </c>
      <c r="S1602" s="348" t="str">
        <f t="shared" si="202"/>
        <v/>
      </c>
      <c r="T1602" s="348" t="str">
        <f t="shared" si="203"/>
        <v/>
      </c>
      <c r="U1602" s="348" t="str">
        <f t="shared" si="204"/>
        <v/>
      </c>
      <c r="V1602" s="348" t="str">
        <f t="shared" si="205"/>
        <v/>
      </c>
      <c r="W1602" s="348" t="str">
        <f t="shared" si="206"/>
        <v/>
      </c>
      <c r="X1602" s="348" t="str">
        <f t="shared" si="207"/>
        <v/>
      </c>
    </row>
    <row r="1603" spans="1:24" x14ac:dyDescent="0.2">
      <c r="A1603" s="407">
        <v>1595</v>
      </c>
      <c r="B1603" s="438"/>
      <c r="C1603" s="438"/>
      <c r="D1603" s="438"/>
      <c r="E1603" s="438"/>
      <c r="F1603" s="438"/>
      <c r="G1603" s="438"/>
      <c r="H1603" s="438"/>
      <c r="I1603" s="438"/>
      <c r="J1603" s="11"/>
      <c r="Q1603" s="348" t="str">
        <f t="shared" si="200"/>
        <v/>
      </c>
      <c r="R1603" s="348" t="str">
        <f t="shared" si="201"/>
        <v/>
      </c>
      <c r="S1603" s="348" t="str">
        <f t="shared" si="202"/>
        <v/>
      </c>
      <c r="T1603" s="348" t="str">
        <f t="shared" si="203"/>
        <v/>
      </c>
      <c r="U1603" s="348" t="str">
        <f t="shared" si="204"/>
        <v/>
      </c>
      <c r="V1603" s="348" t="str">
        <f t="shared" si="205"/>
        <v/>
      </c>
      <c r="W1603" s="348" t="str">
        <f t="shared" si="206"/>
        <v/>
      </c>
      <c r="X1603" s="348" t="str">
        <f t="shared" si="207"/>
        <v/>
      </c>
    </row>
    <row r="1604" spans="1:24" x14ac:dyDescent="0.2">
      <c r="A1604" s="407">
        <v>1596</v>
      </c>
      <c r="B1604" s="438"/>
      <c r="C1604" s="438"/>
      <c r="D1604" s="438"/>
      <c r="E1604" s="438"/>
      <c r="F1604" s="438"/>
      <c r="G1604" s="438"/>
      <c r="H1604" s="438"/>
      <c r="I1604" s="438"/>
      <c r="J1604" s="11"/>
      <c r="Q1604" s="348" t="str">
        <f t="shared" si="200"/>
        <v/>
      </c>
      <c r="R1604" s="348" t="str">
        <f t="shared" si="201"/>
        <v/>
      </c>
      <c r="S1604" s="348" t="str">
        <f t="shared" si="202"/>
        <v/>
      </c>
      <c r="T1604" s="348" t="str">
        <f t="shared" si="203"/>
        <v/>
      </c>
      <c r="U1604" s="348" t="str">
        <f t="shared" si="204"/>
        <v/>
      </c>
      <c r="V1604" s="348" t="str">
        <f t="shared" si="205"/>
        <v/>
      </c>
      <c r="W1604" s="348" t="str">
        <f t="shared" si="206"/>
        <v/>
      </c>
      <c r="X1604" s="348" t="str">
        <f t="shared" si="207"/>
        <v/>
      </c>
    </row>
    <row r="1605" spans="1:24" x14ac:dyDescent="0.2">
      <c r="A1605" s="407">
        <v>1597</v>
      </c>
      <c r="B1605" s="438"/>
      <c r="C1605" s="438"/>
      <c r="D1605" s="438"/>
      <c r="E1605" s="438"/>
      <c r="F1605" s="438"/>
      <c r="G1605" s="438"/>
      <c r="H1605" s="438"/>
      <c r="I1605" s="438"/>
      <c r="J1605" s="11"/>
      <c r="Q1605" s="348" t="str">
        <f t="shared" si="200"/>
        <v/>
      </c>
      <c r="R1605" s="348" t="str">
        <f t="shared" si="201"/>
        <v/>
      </c>
      <c r="S1605" s="348" t="str">
        <f t="shared" si="202"/>
        <v/>
      </c>
      <c r="T1605" s="348" t="str">
        <f t="shared" si="203"/>
        <v/>
      </c>
      <c r="U1605" s="348" t="str">
        <f t="shared" si="204"/>
        <v/>
      </c>
      <c r="V1605" s="348" t="str">
        <f t="shared" si="205"/>
        <v/>
      </c>
      <c r="W1605" s="348" t="str">
        <f t="shared" si="206"/>
        <v/>
      </c>
      <c r="X1605" s="348" t="str">
        <f t="shared" si="207"/>
        <v/>
      </c>
    </row>
    <row r="1606" spans="1:24" x14ac:dyDescent="0.2">
      <c r="A1606" s="407">
        <v>1598</v>
      </c>
      <c r="B1606" s="438"/>
      <c r="C1606" s="438"/>
      <c r="D1606" s="438"/>
      <c r="E1606" s="438"/>
      <c r="F1606" s="438"/>
      <c r="G1606" s="438"/>
      <c r="H1606" s="438"/>
      <c r="I1606" s="438"/>
      <c r="J1606" s="11"/>
      <c r="Q1606" s="348" t="str">
        <f t="shared" si="200"/>
        <v/>
      </c>
      <c r="R1606" s="348" t="str">
        <f t="shared" si="201"/>
        <v/>
      </c>
      <c r="S1606" s="348" t="str">
        <f t="shared" si="202"/>
        <v/>
      </c>
      <c r="T1606" s="348" t="str">
        <f t="shared" si="203"/>
        <v/>
      </c>
      <c r="U1606" s="348" t="str">
        <f t="shared" si="204"/>
        <v/>
      </c>
      <c r="V1606" s="348" t="str">
        <f t="shared" si="205"/>
        <v/>
      </c>
      <c r="W1606" s="348" t="str">
        <f t="shared" si="206"/>
        <v/>
      </c>
      <c r="X1606" s="348" t="str">
        <f t="shared" si="207"/>
        <v/>
      </c>
    </row>
    <row r="1607" spans="1:24" x14ac:dyDescent="0.2">
      <c r="A1607" s="407">
        <v>1599</v>
      </c>
      <c r="B1607" s="438"/>
      <c r="C1607" s="438"/>
      <c r="D1607" s="438"/>
      <c r="E1607" s="438"/>
      <c r="F1607" s="438"/>
      <c r="G1607" s="437"/>
      <c r="H1607" s="438"/>
      <c r="I1607" s="438"/>
      <c r="J1607" s="11"/>
      <c r="Q1607" s="348" t="str">
        <f t="shared" si="200"/>
        <v/>
      </c>
      <c r="R1607" s="348" t="str">
        <f t="shared" si="201"/>
        <v/>
      </c>
      <c r="S1607" s="348" t="str">
        <f t="shared" si="202"/>
        <v/>
      </c>
      <c r="T1607" s="348" t="str">
        <f t="shared" si="203"/>
        <v/>
      </c>
      <c r="U1607" s="348" t="str">
        <f t="shared" si="204"/>
        <v/>
      </c>
      <c r="V1607" s="348" t="str">
        <f t="shared" si="205"/>
        <v/>
      </c>
      <c r="W1607" s="348" t="str">
        <f t="shared" si="206"/>
        <v/>
      </c>
      <c r="X1607" s="348" t="str">
        <f t="shared" si="207"/>
        <v/>
      </c>
    </row>
    <row r="1608" spans="1:24" x14ac:dyDescent="0.2">
      <c r="A1608" s="407">
        <v>1600</v>
      </c>
      <c r="B1608" s="438"/>
      <c r="C1608" s="438"/>
      <c r="D1608" s="438"/>
      <c r="E1608" s="438"/>
      <c r="F1608" s="438"/>
      <c r="G1608" s="438"/>
      <c r="H1608" s="438"/>
      <c r="I1608" s="438"/>
      <c r="J1608" s="11"/>
      <c r="Q1608" s="348" t="str">
        <f t="shared" si="200"/>
        <v/>
      </c>
      <c r="R1608" s="348" t="str">
        <f t="shared" si="201"/>
        <v/>
      </c>
      <c r="S1608" s="348" t="str">
        <f t="shared" si="202"/>
        <v/>
      </c>
      <c r="T1608" s="348" t="str">
        <f t="shared" si="203"/>
        <v/>
      </c>
      <c r="U1608" s="348" t="str">
        <f t="shared" si="204"/>
        <v/>
      </c>
      <c r="V1608" s="348" t="str">
        <f t="shared" si="205"/>
        <v/>
      </c>
      <c r="W1608" s="348" t="str">
        <f t="shared" si="206"/>
        <v/>
      </c>
      <c r="X1608" s="348" t="str">
        <f t="shared" si="207"/>
        <v/>
      </c>
    </row>
    <row r="1609" spans="1:24" x14ac:dyDescent="0.2">
      <c r="A1609" s="407">
        <v>1601</v>
      </c>
      <c r="B1609" s="438"/>
      <c r="C1609" s="437"/>
      <c r="D1609" s="437"/>
      <c r="E1609" s="437"/>
      <c r="F1609" s="437"/>
      <c r="G1609" s="437"/>
      <c r="H1609" s="437"/>
      <c r="I1609" s="438"/>
      <c r="J1609" s="11"/>
      <c r="Q1609" s="348" t="str">
        <f t="shared" si="200"/>
        <v/>
      </c>
      <c r="R1609" s="348" t="str">
        <f t="shared" si="201"/>
        <v/>
      </c>
      <c r="S1609" s="348" t="str">
        <f t="shared" si="202"/>
        <v/>
      </c>
      <c r="T1609" s="348" t="str">
        <f t="shared" si="203"/>
        <v/>
      </c>
      <c r="U1609" s="348" t="str">
        <f t="shared" si="204"/>
        <v/>
      </c>
      <c r="V1609" s="348" t="str">
        <f t="shared" si="205"/>
        <v/>
      </c>
      <c r="W1609" s="348" t="str">
        <f t="shared" si="206"/>
        <v/>
      </c>
      <c r="X1609" s="348" t="str">
        <f t="shared" si="207"/>
        <v/>
      </c>
    </row>
    <row r="1610" spans="1:24" x14ac:dyDescent="0.2">
      <c r="A1610" s="407">
        <v>1602</v>
      </c>
      <c r="B1610" s="438"/>
      <c r="C1610" s="438"/>
      <c r="D1610" s="438"/>
      <c r="E1610" s="438"/>
      <c r="F1610" s="438"/>
      <c r="G1610" s="438"/>
      <c r="H1610" s="438"/>
      <c r="I1610" s="438"/>
      <c r="J1610" s="11"/>
      <c r="Q1610" s="348" t="str">
        <f t="shared" ref="Q1610:Q1673" si="208">IFERROR(B1610^4*$AB$9+B1610^3*$AC$9+B1610^2*$AD$9+B1610^1*$AE$9+B1610^0*$AF$9,"")</f>
        <v/>
      </c>
      <c r="R1610" s="348" t="str">
        <f t="shared" ref="R1610:R1673" si="209">IFERROR(C1610^4*$AB$10+C1610^3*$AC$10+C1610^2*$AD$10+C1610^1*$AE$10+C1610^0*$AF$10,"")</f>
        <v/>
      </c>
      <c r="S1610" s="348" t="str">
        <f t="shared" ref="S1610:S1673" si="210">IFERROR(D1610^4*$AB$11+D1610^3*$AC$11+D1610^2*$AD$11+D1610^1*$AE$11+D1610^0*$AF$11,"")</f>
        <v/>
      </c>
      <c r="T1610" s="348" t="str">
        <f t="shared" ref="T1610:T1673" si="211">IFERROR(E1610^4*$AB$12+E1610^3*$AC$12+E1610^2*$AD$12+E1610^1*$AE$12+E1610^0*$AF$12,"")</f>
        <v/>
      </c>
      <c r="U1610" s="348" t="str">
        <f t="shared" ref="U1610:U1673" si="212">IFERROR(F1610^4*$AB$13+F1610^3*$AC$13+F1610^2*$AD$13+F1610^1*$AE$13+F1610^0*$AF$13,"")</f>
        <v/>
      </c>
      <c r="V1610" s="348" t="str">
        <f t="shared" ref="V1610:V1673" si="213">IFERROR(G1610^4*$AB$14+G1610^3*$AC$14+G1610^2*$AD$14+G1610^1*$AE$14+G1610^0*$AF$14,"")</f>
        <v/>
      </c>
      <c r="W1610" s="348" t="str">
        <f t="shared" ref="W1610:W1673" si="214">IFERROR(H1610^4*$AB$15+H1610^3*$AC$15+H1610^2*$AD$15+H1610^1*$AE$15+H1610^0*$AF$15,"")</f>
        <v/>
      </c>
      <c r="X1610" s="348" t="str">
        <f t="shared" ref="X1610:X1673" si="215">IFERROR(I1610^4*$AB$16+I1610^3*$AC$16+I1610^2*$AD$16+I1610^1*$AE$16+I1610^0*$AF$16,"")</f>
        <v/>
      </c>
    </row>
    <row r="1611" spans="1:24" x14ac:dyDescent="0.2">
      <c r="A1611" s="407">
        <v>1603</v>
      </c>
      <c r="B1611" s="438"/>
      <c r="C1611" s="438"/>
      <c r="D1611" s="438"/>
      <c r="E1611" s="438"/>
      <c r="F1611" s="438"/>
      <c r="G1611" s="438"/>
      <c r="H1611" s="438"/>
      <c r="I1611" s="438"/>
      <c r="J1611" s="11"/>
      <c r="Q1611" s="348" t="str">
        <f t="shared" si="208"/>
        <v/>
      </c>
      <c r="R1611" s="348" t="str">
        <f t="shared" si="209"/>
        <v/>
      </c>
      <c r="S1611" s="348" t="str">
        <f t="shared" si="210"/>
        <v/>
      </c>
      <c r="T1611" s="348" t="str">
        <f t="shared" si="211"/>
        <v/>
      </c>
      <c r="U1611" s="348" t="str">
        <f t="shared" si="212"/>
        <v/>
      </c>
      <c r="V1611" s="348" t="str">
        <f t="shared" si="213"/>
        <v/>
      </c>
      <c r="W1611" s="348" t="str">
        <f t="shared" si="214"/>
        <v/>
      </c>
      <c r="X1611" s="348" t="str">
        <f t="shared" si="215"/>
        <v/>
      </c>
    </row>
    <row r="1612" spans="1:24" x14ac:dyDescent="0.2">
      <c r="A1612" s="407">
        <v>1604</v>
      </c>
      <c r="B1612" s="438"/>
      <c r="C1612" s="438"/>
      <c r="D1612" s="438"/>
      <c r="E1612" s="438"/>
      <c r="F1612" s="438"/>
      <c r="G1612" s="438"/>
      <c r="H1612" s="438"/>
      <c r="I1612" s="438"/>
      <c r="J1612" s="11"/>
      <c r="Q1612" s="348" t="str">
        <f t="shared" si="208"/>
        <v/>
      </c>
      <c r="R1612" s="348" t="str">
        <f t="shared" si="209"/>
        <v/>
      </c>
      <c r="S1612" s="348" t="str">
        <f t="shared" si="210"/>
        <v/>
      </c>
      <c r="T1612" s="348" t="str">
        <f t="shared" si="211"/>
        <v/>
      </c>
      <c r="U1612" s="348" t="str">
        <f t="shared" si="212"/>
        <v/>
      </c>
      <c r="V1612" s="348" t="str">
        <f t="shared" si="213"/>
        <v/>
      </c>
      <c r="W1612" s="348" t="str">
        <f t="shared" si="214"/>
        <v/>
      </c>
      <c r="X1612" s="348" t="str">
        <f t="shared" si="215"/>
        <v/>
      </c>
    </row>
    <row r="1613" spans="1:24" x14ac:dyDescent="0.2">
      <c r="A1613" s="407">
        <v>1605</v>
      </c>
      <c r="B1613" s="438"/>
      <c r="C1613" s="438"/>
      <c r="D1613" s="438"/>
      <c r="E1613" s="438"/>
      <c r="F1613" s="438"/>
      <c r="G1613" s="438"/>
      <c r="H1613" s="438"/>
      <c r="I1613" s="438"/>
      <c r="J1613" s="11"/>
      <c r="Q1613" s="348" t="str">
        <f t="shared" si="208"/>
        <v/>
      </c>
      <c r="R1613" s="348" t="str">
        <f t="shared" si="209"/>
        <v/>
      </c>
      <c r="S1613" s="348" t="str">
        <f t="shared" si="210"/>
        <v/>
      </c>
      <c r="T1613" s="348" t="str">
        <f t="shared" si="211"/>
        <v/>
      </c>
      <c r="U1613" s="348" t="str">
        <f t="shared" si="212"/>
        <v/>
      </c>
      <c r="V1613" s="348" t="str">
        <f t="shared" si="213"/>
        <v/>
      </c>
      <c r="W1613" s="348" t="str">
        <f t="shared" si="214"/>
        <v/>
      </c>
      <c r="X1613" s="348" t="str">
        <f t="shared" si="215"/>
        <v/>
      </c>
    </row>
    <row r="1614" spans="1:24" x14ac:dyDescent="0.2">
      <c r="A1614" s="407">
        <v>1606</v>
      </c>
      <c r="B1614" s="438"/>
      <c r="C1614" s="438"/>
      <c r="D1614" s="438"/>
      <c r="E1614" s="438"/>
      <c r="F1614" s="438"/>
      <c r="G1614" s="438"/>
      <c r="H1614" s="438"/>
      <c r="I1614" s="438"/>
      <c r="J1614" s="11"/>
      <c r="Q1614" s="348" t="str">
        <f t="shared" si="208"/>
        <v/>
      </c>
      <c r="R1614" s="348" t="str">
        <f t="shared" si="209"/>
        <v/>
      </c>
      <c r="S1614" s="348" t="str">
        <f t="shared" si="210"/>
        <v/>
      </c>
      <c r="T1614" s="348" t="str">
        <f t="shared" si="211"/>
        <v/>
      </c>
      <c r="U1614" s="348" t="str">
        <f t="shared" si="212"/>
        <v/>
      </c>
      <c r="V1614" s="348" t="str">
        <f t="shared" si="213"/>
        <v/>
      </c>
      <c r="W1614" s="348" t="str">
        <f t="shared" si="214"/>
        <v/>
      </c>
      <c r="X1614" s="348" t="str">
        <f t="shared" si="215"/>
        <v/>
      </c>
    </row>
    <row r="1615" spans="1:24" x14ac:dyDescent="0.2">
      <c r="A1615" s="407">
        <v>1607</v>
      </c>
      <c r="B1615" s="437"/>
      <c r="C1615" s="438"/>
      <c r="D1615" s="438"/>
      <c r="E1615" s="438"/>
      <c r="F1615" s="438"/>
      <c r="G1615" s="438"/>
      <c r="H1615" s="438"/>
      <c r="I1615" s="438"/>
      <c r="J1615" s="11"/>
      <c r="Q1615" s="348" t="str">
        <f t="shared" si="208"/>
        <v/>
      </c>
      <c r="R1615" s="348" t="str">
        <f t="shared" si="209"/>
        <v/>
      </c>
      <c r="S1615" s="348" t="str">
        <f t="shared" si="210"/>
        <v/>
      </c>
      <c r="T1615" s="348" t="str">
        <f t="shared" si="211"/>
        <v/>
      </c>
      <c r="U1615" s="348" t="str">
        <f t="shared" si="212"/>
        <v/>
      </c>
      <c r="V1615" s="348" t="str">
        <f t="shared" si="213"/>
        <v/>
      </c>
      <c r="W1615" s="348" t="str">
        <f t="shared" si="214"/>
        <v/>
      </c>
      <c r="X1615" s="348" t="str">
        <f t="shared" si="215"/>
        <v/>
      </c>
    </row>
    <row r="1616" spans="1:24" x14ac:dyDescent="0.2">
      <c r="A1616" s="407">
        <v>1608</v>
      </c>
      <c r="B1616" s="438"/>
      <c r="C1616" s="438"/>
      <c r="D1616" s="438"/>
      <c r="E1616" s="438"/>
      <c r="F1616" s="438"/>
      <c r="G1616" s="438"/>
      <c r="H1616" s="438"/>
      <c r="I1616" s="438"/>
      <c r="J1616" s="11"/>
      <c r="Q1616" s="348" t="str">
        <f t="shared" si="208"/>
        <v/>
      </c>
      <c r="R1616" s="348" t="str">
        <f t="shared" si="209"/>
        <v/>
      </c>
      <c r="S1616" s="348" t="str">
        <f t="shared" si="210"/>
        <v/>
      </c>
      <c r="T1616" s="348" t="str">
        <f t="shared" si="211"/>
        <v/>
      </c>
      <c r="U1616" s="348" t="str">
        <f t="shared" si="212"/>
        <v/>
      </c>
      <c r="V1616" s="348" t="str">
        <f t="shared" si="213"/>
        <v/>
      </c>
      <c r="W1616" s="348" t="str">
        <f t="shared" si="214"/>
        <v/>
      </c>
      <c r="X1616" s="348" t="str">
        <f t="shared" si="215"/>
        <v/>
      </c>
    </row>
    <row r="1617" spans="1:24" x14ac:dyDescent="0.2">
      <c r="A1617" s="407">
        <v>1609</v>
      </c>
      <c r="B1617" s="438"/>
      <c r="C1617" s="438"/>
      <c r="D1617" s="438"/>
      <c r="E1617" s="438"/>
      <c r="F1617" s="438"/>
      <c r="G1617" s="438"/>
      <c r="H1617" s="438"/>
      <c r="I1617" s="438"/>
      <c r="J1617" s="11"/>
      <c r="Q1617" s="348" t="str">
        <f t="shared" si="208"/>
        <v/>
      </c>
      <c r="R1617" s="348" t="str">
        <f t="shared" si="209"/>
        <v/>
      </c>
      <c r="S1617" s="348" t="str">
        <f t="shared" si="210"/>
        <v/>
      </c>
      <c r="T1617" s="348" t="str">
        <f t="shared" si="211"/>
        <v/>
      </c>
      <c r="U1617" s="348" t="str">
        <f t="shared" si="212"/>
        <v/>
      </c>
      <c r="V1617" s="348" t="str">
        <f t="shared" si="213"/>
        <v/>
      </c>
      <c r="W1617" s="348" t="str">
        <f t="shared" si="214"/>
        <v/>
      </c>
      <c r="X1617" s="348" t="str">
        <f t="shared" si="215"/>
        <v/>
      </c>
    </row>
    <row r="1618" spans="1:24" x14ac:dyDescent="0.2">
      <c r="A1618" s="407">
        <v>1610</v>
      </c>
      <c r="B1618" s="438"/>
      <c r="C1618" s="438"/>
      <c r="D1618" s="438"/>
      <c r="E1618" s="438"/>
      <c r="F1618" s="438"/>
      <c r="G1618" s="438"/>
      <c r="H1618" s="438"/>
      <c r="I1618" s="438"/>
      <c r="J1618" s="11"/>
      <c r="Q1618" s="348" t="str">
        <f t="shared" si="208"/>
        <v/>
      </c>
      <c r="R1618" s="348" t="str">
        <f t="shared" si="209"/>
        <v/>
      </c>
      <c r="S1618" s="348" t="str">
        <f t="shared" si="210"/>
        <v/>
      </c>
      <c r="T1618" s="348" t="str">
        <f t="shared" si="211"/>
        <v/>
      </c>
      <c r="U1618" s="348" t="str">
        <f t="shared" si="212"/>
        <v/>
      </c>
      <c r="V1618" s="348" t="str">
        <f t="shared" si="213"/>
        <v/>
      </c>
      <c r="W1618" s="348" t="str">
        <f t="shared" si="214"/>
        <v/>
      </c>
      <c r="X1618" s="348" t="str">
        <f t="shared" si="215"/>
        <v/>
      </c>
    </row>
    <row r="1619" spans="1:24" x14ac:dyDescent="0.2">
      <c r="A1619" s="407">
        <v>1611</v>
      </c>
      <c r="B1619" s="438"/>
      <c r="C1619" s="438"/>
      <c r="D1619" s="438"/>
      <c r="E1619" s="438"/>
      <c r="F1619" s="438"/>
      <c r="G1619" s="438"/>
      <c r="H1619" s="438"/>
      <c r="I1619" s="438"/>
      <c r="J1619" s="11"/>
      <c r="Q1619" s="348" t="str">
        <f t="shared" si="208"/>
        <v/>
      </c>
      <c r="R1619" s="348" t="str">
        <f t="shared" si="209"/>
        <v/>
      </c>
      <c r="S1619" s="348" t="str">
        <f t="shared" si="210"/>
        <v/>
      </c>
      <c r="T1619" s="348" t="str">
        <f t="shared" si="211"/>
        <v/>
      </c>
      <c r="U1619" s="348" t="str">
        <f t="shared" si="212"/>
        <v/>
      </c>
      <c r="V1619" s="348" t="str">
        <f t="shared" si="213"/>
        <v/>
      </c>
      <c r="W1619" s="348" t="str">
        <f t="shared" si="214"/>
        <v/>
      </c>
      <c r="X1619" s="348" t="str">
        <f t="shared" si="215"/>
        <v/>
      </c>
    </row>
    <row r="1620" spans="1:24" x14ac:dyDescent="0.2">
      <c r="A1620" s="407">
        <v>1612</v>
      </c>
      <c r="B1620" s="438"/>
      <c r="C1620" s="438"/>
      <c r="D1620" s="438"/>
      <c r="E1620" s="438"/>
      <c r="F1620" s="438"/>
      <c r="G1620" s="438"/>
      <c r="H1620" s="438"/>
      <c r="I1620" s="438"/>
      <c r="J1620" s="11"/>
      <c r="Q1620" s="348" t="str">
        <f t="shared" si="208"/>
        <v/>
      </c>
      <c r="R1620" s="348" t="str">
        <f t="shared" si="209"/>
        <v/>
      </c>
      <c r="S1620" s="348" t="str">
        <f t="shared" si="210"/>
        <v/>
      </c>
      <c r="T1620" s="348" t="str">
        <f t="shared" si="211"/>
        <v/>
      </c>
      <c r="U1620" s="348" t="str">
        <f t="shared" si="212"/>
        <v/>
      </c>
      <c r="V1620" s="348" t="str">
        <f t="shared" si="213"/>
        <v/>
      </c>
      <c r="W1620" s="348" t="str">
        <f t="shared" si="214"/>
        <v/>
      </c>
      <c r="X1620" s="348" t="str">
        <f t="shared" si="215"/>
        <v/>
      </c>
    </row>
    <row r="1621" spans="1:24" x14ac:dyDescent="0.2">
      <c r="A1621" s="407">
        <v>1613</v>
      </c>
      <c r="B1621" s="438"/>
      <c r="C1621" s="438"/>
      <c r="D1621" s="438"/>
      <c r="E1621" s="438"/>
      <c r="F1621" s="438"/>
      <c r="G1621" s="438"/>
      <c r="H1621" s="438"/>
      <c r="I1621" s="438"/>
      <c r="J1621" s="11"/>
      <c r="Q1621" s="348" t="str">
        <f t="shared" si="208"/>
        <v/>
      </c>
      <c r="R1621" s="348" t="str">
        <f t="shared" si="209"/>
        <v/>
      </c>
      <c r="S1621" s="348" t="str">
        <f t="shared" si="210"/>
        <v/>
      </c>
      <c r="T1621" s="348" t="str">
        <f t="shared" si="211"/>
        <v/>
      </c>
      <c r="U1621" s="348" t="str">
        <f t="shared" si="212"/>
        <v/>
      </c>
      <c r="V1621" s="348" t="str">
        <f t="shared" si="213"/>
        <v/>
      </c>
      <c r="W1621" s="348" t="str">
        <f t="shared" si="214"/>
        <v/>
      </c>
      <c r="X1621" s="348" t="str">
        <f t="shared" si="215"/>
        <v/>
      </c>
    </row>
    <row r="1622" spans="1:24" x14ac:dyDescent="0.2">
      <c r="A1622" s="407">
        <v>1614</v>
      </c>
      <c r="B1622" s="438"/>
      <c r="C1622" s="438"/>
      <c r="D1622" s="438"/>
      <c r="E1622" s="438"/>
      <c r="F1622" s="438"/>
      <c r="G1622" s="438"/>
      <c r="H1622" s="438"/>
      <c r="I1622" s="438"/>
      <c r="J1622" s="11"/>
      <c r="Q1622" s="348" t="str">
        <f t="shared" si="208"/>
        <v/>
      </c>
      <c r="R1622" s="348" t="str">
        <f t="shared" si="209"/>
        <v/>
      </c>
      <c r="S1622" s="348" t="str">
        <f t="shared" si="210"/>
        <v/>
      </c>
      <c r="T1622" s="348" t="str">
        <f t="shared" si="211"/>
        <v/>
      </c>
      <c r="U1622" s="348" t="str">
        <f t="shared" si="212"/>
        <v/>
      </c>
      <c r="V1622" s="348" t="str">
        <f t="shared" si="213"/>
        <v/>
      </c>
      <c r="W1622" s="348" t="str">
        <f t="shared" si="214"/>
        <v/>
      </c>
      <c r="X1622" s="348" t="str">
        <f t="shared" si="215"/>
        <v/>
      </c>
    </row>
    <row r="1623" spans="1:24" x14ac:dyDescent="0.2">
      <c r="A1623" s="407">
        <v>1615</v>
      </c>
      <c r="B1623" s="438"/>
      <c r="C1623" s="437"/>
      <c r="D1623" s="438"/>
      <c r="E1623" s="438"/>
      <c r="F1623" s="438"/>
      <c r="G1623" s="438"/>
      <c r="H1623" s="438"/>
      <c r="I1623" s="438"/>
      <c r="J1623" s="11"/>
      <c r="Q1623" s="348" t="str">
        <f t="shared" si="208"/>
        <v/>
      </c>
      <c r="R1623" s="348" t="str">
        <f t="shared" si="209"/>
        <v/>
      </c>
      <c r="S1623" s="348" t="str">
        <f t="shared" si="210"/>
        <v/>
      </c>
      <c r="T1623" s="348" t="str">
        <f t="shared" si="211"/>
        <v/>
      </c>
      <c r="U1623" s="348" t="str">
        <f t="shared" si="212"/>
        <v/>
      </c>
      <c r="V1623" s="348" t="str">
        <f t="shared" si="213"/>
        <v/>
      </c>
      <c r="W1623" s="348" t="str">
        <f t="shared" si="214"/>
        <v/>
      </c>
      <c r="X1623" s="348" t="str">
        <f t="shared" si="215"/>
        <v/>
      </c>
    </row>
    <row r="1624" spans="1:24" x14ac:dyDescent="0.2">
      <c r="A1624" s="407">
        <v>1616</v>
      </c>
      <c r="B1624" s="438"/>
      <c r="C1624" s="438"/>
      <c r="D1624" s="438"/>
      <c r="E1624" s="438"/>
      <c r="F1624" s="438"/>
      <c r="G1624" s="438"/>
      <c r="H1624" s="438"/>
      <c r="I1624" s="438"/>
      <c r="J1624" s="11"/>
      <c r="Q1624" s="348" t="str">
        <f t="shared" si="208"/>
        <v/>
      </c>
      <c r="R1624" s="348" t="str">
        <f t="shared" si="209"/>
        <v/>
      </c>
      <c r="S1624" s="348" t="str">
        <f t="shared" si="210"/>
        <v/>
      </c>
      <c r="T1624" s="348" t="str">
        <f t="shared" si="211"/>
        <v/>
      </c>
      <c r="U1624" s="348" t="str">
        <f t="shared" si="212"/>
        <v/>
      </c>
      <c r="V1624" s="348" t="str">
        <f t="shared" si="213"/>
        <v/>
      </c>
      <c r="W1624" s="348" t="str">
        <f t="shared" si="214"/>
        <v/>
      </c>
      <c r="X1624" s="348" t="str">
        <f t="shared" si="215"/>
        <v/>
      </c>
    </row>
    <row r="1625" spans="1:24" x14ac:dyDescent="0.2">
      <c r="A1625" s="407">
        <v>1617</v>
      </c>
      <c r="B1625" s="437"/>
      <c r="C1625" s="438"/>
      <c r="D1625" s="438"/>
      <c r="E1625" s="438"/>
      <c r="F1625" s="438"/>
      <c r="G1625" s="438"/>
      <c r="H1625" s="438"/>
      <c r="I1625" s="438"/>
      <c r="J1625" s="11"/>
      <c r="Q1625" s="348" t="str">
        <f t="shared" si="208"/>
        <v/>
      </c>
      <c r="R1625" s="348" t="str">
        <f t="shared" si="209"/>
        <v/>
      </c>
      <c r="S1625" s="348" t="str">
        <f t="shared" si="210"/>
        <v/>
      </c>
      <c r="T1625" s="348" t="str">
        <f t="shared" si="211"/>
        <v/>
      </c>
      <c r="U1625" s="348" t="str">
        <f t="shared" si="212"/>
        <v/>
      </c>
      <c r="V1625" s="348" t="str">
        <f t="shared" si="213"/>
        <v/>
      </c>
      <c r="W1625" s="348" t="str">
        <f t="shared" si="214"/>
        <v/>
      </c>
      <c r="X1625" s="348" t="str">
        <f t="shared" si="215"/>
        <v/>
      </c>
    </row>
    <row r="1626" spans="1:24" x14ac:dyDescent="0.2">
      <c r="A1626" s="407">
        <v>1618</v>
      </c>
      <c r="B1626" s="438"/>
      <c r="C1626" s="438"/>
      <c r="D1626" s="438"/>
      <c r="E1626" s="438"/>
      <c r="F1626" s="438"/>
      <c r="G1626" s="438"/>
      <c r="H1626" s="438"/>
      <c r="I1626" s="438"/>
      <c r="J1626" s="11"/>
      <c r="Q1626" s="348" t="str">
        <f t="shared" si="208"/>
        <v/>
      </c>
      <c r="R1626" s="348" t="str">
        <f t="shared" si="209"/>
        <v/>
      </c>
      <c r="S1626" s="348" t="str">
        <f t="shared" si="210"/>
        <v/>
      </c>
      <c r="T1626" s="348" t="str">
        <f t="shared" si="211"/>
        <v/>
      </c>
      <c r="U1626" s="348" t="str">
        <f t="shared" si="212"/>
        <v/>
      </c>
      <c r="V1626" s="348" t="str">
        <f t="shared" si="213"/>
        <v/>
      </c>
      <c r="W1626" s="348" t="str">
        <f t="shared" si="214"/>
        <v/>
      </c>
      <c r="X1626" s="348" t="str">
        <f t="shared" si="215"/>
        <v/>
      </c>
    </row>
    <row r="1627" spans="1:24" x14ac:dyDescent="0.2">
      <c r="A1627" s="407">
        <v>1619</v>
      </c>
      <c r="B1627" s="438"/>
      <c r="C1627" s="438"/>
      <c r="D1627" s="438"/>
      <c r="E1627" s="438"/>
      <c r="F1627" s="438"/>
      <c r="G1627" s="438"/>
      <c r="H1627" s="438"/>
      <c r="I1627" s="438"/>
      <c r="J1627" s="11"/>
      <c r="Q1627" s="348" t="str">
        <f t="shared" si="208"/>
        <v/>
      </c>
      <c r="R1627" s="348" t="str">
        <f t="shared" si="209"/>
        <v/>
      </c>
      <c r="S1627" s="348" t="str">
        <f t="shared" si="210"/>
        <v/>
      </c>
      <c r="T1627" s="348" t="str">
        <f t="shared" si="211"/>
        <v/>
      </c>
      <c r="U1627" s="348" t="str">
        <f t="shared" si="212"/>
        <v/>
      </c>
      <c r="V1627" s="348" t="str">
        <f t="shared" si="213"/>
        <v/>
      </c>
      <c r="W1627" s="348" t="str">
        <f t="shared" si="214"/>
        <v/>
      </c>
      <c r="X1627" s="348" t="str">
        <f t="shared" si="215"/>
        <v/>
      </c>
    </row>
    <row r="1628" spans="1:24" x14ac:dyDescent="0.2">
      <c r="A1628" s="407">
        <v>1620</v>
      </c>
      <c r="B1628" s="438"/>
      <c r="C1628" s="438"/>
      <c r="D1628" s="438"/>
      <c r="E1628" s="438"/>
      <c r="F1628" s="438"/>
      <c r="G1628" s="438"/>
      <c r="H1628" s="438"/>
      <c r="I1628" s="438"/>
      <c r="J1628" s="11"/>
      <c r="Q1628" s="348" t="str">
        <f t="shared" si="208"/>
        <v/>
      </c>
      <c r="R1628" s="348" t="str">
        <f t="shared" si="209"/>
        <v/>
      </c>
      <c r="S1628" s="348" t="str">
        <f t="shared" si="210"/>
        <v/>
      </c>
      <c r="T1628" s="348" t="str">
        <f t="shared" si="211"/>
        <v/>
      </c>
      <c r="U1628" s="348" t="str">
        <f t="shared" si="212"/>
        <v/>
      </c>
      <c r="V1628" s="348" t="str">
        <f t="shared" si="213"/>
        <v/>
      </c>
      <c r="W1628" s="348" t="str">
        <f t="shared" si="214"/>
        <v/>
      </c>
      <c r="X1628" s="348" t="str">
        <f t="shared" si="215"/>
        <v/>
      </c>
    </row>
    <row r="1629" spans="1:24" x14ac:dyDescent="0.2">
      <c r="A1629" s="407">
        <v>1621</v>
      </c>
      <c r="B1629" s="438"/>
      <c r="C1629" s="438"/>
      <c r="D1629" s="438"/>
      <c r="E1629" s="438"/>
      <c r="F1629" s="438"/>
      <c r="G1629" s="438"/>
      <c r="H1629" s="438"/>
      <c r="I1629" s="438"/>
      <c r="J1629" s="11"/>
      <c r="Q1629" s="348" t="str">
        <f t="shared" si="208"/>
        <v/>
      </c>
      <c r="R1629" s="348" t="str">
        <f t="shared" si="209"/>
        <v/>
      </c>
      <c r="S1629" s="348" t="str">
        <f t="shared" si="210"/>
        <v/>
      </c>
      <c r="T1629" s="348" t="str">
        <f t="shared" si="211"/>
        <v/>
      </c>
      <c r="U1629" s="348" t="str">
        <f t="shared" si="212"/>
        <v/>
      </c>
      <c r="V1629" s="348" t="str">
        <f t="shared" si="213"/>
        <v/>
      </c>
      <c r="W1629" s="348" t="str">
        <f t="shared" si="214"/>
        <v/>
      </c>
      <c r="X1629" s="348" t="str">
        <f t="shared" si="215"/>
        <v/>
      </c>
    </row>
    <row r="1630" spans="1:24" x14ac:dyDescent="0.2">
      <c r="A1630" s="407">
        <v>1622</v>
      </c>
      <c r="B1630" s="438"/>
      <c r="C1630" s="438"/>
      <c r="D1630" s="438"/>
      <c r="E1630" s="438"/>
      <c r="F1630" s="438"/>
      <c r="G1630" s="438"/>
      <c r="H1630" s="438"/>
      <c r="I1630" s="438"/>
      <c r="J1630" s="11"/>
      <c r="Q1630" s="348" t="str">
        <f t="shared" si="208"/>
        <v/>
      </c>
      <c r="R1630" s="348" t="str">
        <f t="shared" si="209"/>
        <v/>
      </c>
      <c r="S1630" s="348" t="str">
        <f t="shared" si="210"/>
        <v/>
      </c>
      <c r="T1630" s="348" t="str">
        <f t="shared" si="211"/>
        <v/>
      </c>
      <c r="U1630" s="348" t="str">
        <f t="shared" si="212"/>
        <v/>
      </c>
      <c r="V1630" s="348" t="str">
        <f t="shared" si="213"/>
        <v/>
      </c>
      <c r="W1630" s="348" t="str">
        <f t="shared" si="214"/>
        <v/>
      </c>
      <c r="X1630" s="348" t="str">
        <f t="shared" si="215"/>
        <v/>
      </c>
    </row>
    <row r="1631" spans="1:24" x14ac:dyDescent="0.2">
      <c r="A1631" s="407">
        <v>1623</v>
      </c>
      <c r="B1631" s="438"/>
      <c r="C1631" s="438"/>
      <c r="D1631" s="438"/>
      <c r="E1631" s="438"/>
      <c r="F1631" s="438"/>
      <c r="G1631" s="438"/>
      <c r="H1631" s="438"/>
      <c r="I1631" s="438"/>
      <c r="J1631" s="11"/>
      <c r="Q1631" s="348" t="str">
        <f t="shared" si="208"/>
        <v/>
      </c>
      <c r="R1631" s="348" t="str">
        <f t="shared" si="209"/>
        <v/>
      </c>
      <c r="S1631" s="348" t="str">
        <f t="shared" si="210"/>
        <v/>
      </c>
      <c r="T1631" s="348" t="str">
        <f t="shared" si="211"/>
        <v/>
      </c>
      <c r="U1631" s="348" t="str">
        <f t="shared" si="212"/>
        <v/>
      </c>
      <c r="V1631" s="348" t="str">
        <f t="shared" si="213"/>
        <v/>
      </c>
      <c r="W1631" s="348" t="str">
        <f t="shared" si="214"/>
        <v/>
      </c>
      <c r="X1631" s="348" t="str">
        <f t="shared" si="215"/>
        <v/>
      </c>
    </row>
    <row r="1632" spans="1:24" x14ac:dyDescent="0.2">
      <c r="A1632" s="407">
        <v>1624</v>
      </c>
      <c r="B1632" s="438"/>
      <c r="C1632" s="438"/>
      <c r="D1632" s="438"/>
      <c r="E1632" s="438"/>
      <c r="F1632" s="438"/>
      <c r="G1632" s="438"/>
      <c r="H1632" s="438"/>
      <c r="I1632" s="438"/>
      <c r="J1632" s="11"/>
      <c r="Q1632" s="348" t="str">
        <f t="shared" si="208"/>
        <v/>
      </c>
      <c r="R1632" s="348" t="str">
        <f t="shared" si="209"/>
        <v/>
      </c>
      <c r="S1632" s="348" t="str">
        <f t="shared" si="210"/>
        <v/>
      </c>
      <c r="T1632" s="348" t="str">
        <f t="shared" si="211"/>
        <v/>
      </c>
      <c r="U1632" s="348" t="str">
        <f t="shared" si="212"/>
        <v/>
      </c>
      <c r="V1632" s="348" t="str">
        <f t="shared" si="213"/>
        <v/>
      </c>
      <c r="W1632" s="348" t="str">
        <f t="shared" si="214"/>
        <v/>
      </c>
      <c r="X1632" s="348" t="str">
        <f t="shared" si="215"/>
        <v/>
      </c>
    </row>
    <row r="1633" spans="1:24" x14ac:dyDescent="0.2">
      <c r="A1633" s="407">
        <v>1625</v>
      </c>
      <c r="B1633" s="438"/>
      <c r="C1633" s="438"/>
      <c r="D1633" s="438"/>
      <c r="E1633" s="438"/>
      <c r="F1633" s="438"/>
      <c r="G1633" s="438"/>
      <c r="H1633" s="438"/>
      <c r="I1633" s="437"/>
      <c r="J1633" s="11"/>
      <c r="Q1633" s="348" t="str">
        <f t="shared" si="208"/>
        <v/>
      </c>
      <c r="R1633" s="348" t="str">
        <f t="shared" si="209"/>
        <v/>
      </c>
      <c r="S1633" s="348" t="str">
        <f t="shared" si="210"/>
        <v/>
      </c>
      <c r="T1633" s="348" t="str">
        <f t="shared" si="211"/>
        <v/>
      </c>
      <c r="U1633" s="348" t="str">
        <f t="shared" si="212"/>
        <v/>
      </c>
      <c r="V1633" s="348" t="str">
        <f t="shared" si="213"/>
        <v/>
      </c>
      <c r="W1633" s="348" t="str">
        <f t="shared" si="214"/>
        <v/>
      </c>
      <c r="X1633" s="348" t="str">
        <f t="shared" si="215"/>
        <v/>
      </c>
    </row>
    <row r="1634" spans="1:24" x14ac:dyDescent="0.2">
      <c r="A1634" s="407">
        <v>1626</v>
      </c>
      <c r="B1634" s="438"/>
      <c r="C1634" s="438"/>
      <c r="D1634" s="438"/>
      <c r="E1634" s="437"/>
      <c r="F1634" s="437"/>
      <c r="G1634" s="437"/>
      <c r="H1634" s="437"/>
      <c r="I1634" s="438"/>
      <c r="J1634" s="11"/>
      <c r="Q1634" s="348" t="str">
        <f t="shared" si="208"/>
        <v/>
      </c>
      <c r="R1634" s="348" t="str">
        <f t="shared" si="209"/>
        <v/>
      </c>
      <c r="S1634" s="348" t="str">
        <f t="shared" si="210"/>
        <v/>
      </c>
      <c r="T1634" s="348" t="str">
        <f t="shared" si="211"/>
        <v/>
      </c>
      <c r="U1634" s="348" t="str">
        <f t="shared" si="212"/>
        <v/>
      </c>
      <c r="V1634" s="348" t="str">
        <f t="shared" si="213"/>
        <v/>
      </c>
      <c r="W1634" s="348" t="str">
        <f t="shared" si="214"/>
        <v/>
      </c>
      <c r="X1634" s="348" t="str">
        <f t="shared" si="215"/>
        <v/>
      </c>
    </row>
    <row r="1635" spans="1:24" x14ac:dyDescent="0.2">
      <c r="A1635" s="407">
        <v>1627</v>
      </c>
      <c r="B1635" s="438"/>
      <c r="C1635" s="438"/>
      <c r="D1635" s="438"/>
      <c r="E1635" s="438"/>
      <c r="F1635" s="438"/>
      <c r="G1635" s="438"/>
      <c r="H1635" s="438"/>
      <c r="I1635" s="438"/>
      <c r="J1635" s="11"/>
      <c r="Q1635" s="348" t="str">
        <f t="shared" si="208"/>
        <v/>
      </c>
      <c r="R1635" s="348" t="str">
        <f t="shared" si="209"/>
        <v/>
      </c>
      <c r="S1635" s="348" t="str">
        <f t="shared" si="210"/>
        <v/>
      </c>
      <c r="T1635" s="348" t="str">
        <f t="shared" si="211"/>
        <v/>
      </c>
      <c r="U1635" s="348" t="str">
        <f t="shared" si="212"/>
        <v/>
      </c>
      <c r="V1635" s="348" t="str">
        <f t="shared" si="213"/>
        <v/>
      </c>
      <c r="W1635" s="348" t="str">
        <f t="shared" si="214"/>
        <v/>
      </c>
      <c r="X1635" s="348" t="str">
        <f t="shared" si="215"/>
        <v/>
      </c>
    </row>
    <row r="1636" spans="1:24" x14ac:dyDescent="0.2">
      <c r="A1636" s="407">
        <v>1628</v>
      </c>
      <c r="B1636" s="438"/>
      <c r="C1636" s="438"/>
      <c r="D1636" s="438"/>
      <c r="E1636" s="438"/>
      <c r="F1636" s="438"/>
      <c r="G1636" s="438"/>
      <c r="H1636" s="438"/>
      <c r="I1636" s="438"/>
      <c r="J1636" s="11"/>
      <c r="Q1636" s="348" t="str">
        <f t="shared" si="208"/>
        <v/>
      </c>
      <c r="R1636" s="348" t="str">
        <f t="shared" si="209"/>
        <v/>
      </c>
      <c r="S1636" s="348" t="str">
        <f t="shared" si="210"/>
        <v/>
      </c>
      <c r="T1636" s="348" t="str">
        <f t="shared" si="211"/>
        <v/>
      </c>
      <c r="U1636" s="348" t="str">
        <f t="shared" si="212"/>
        <v/>
      </c>
      <c r="V1636" s="348" t="str">
        <f t="shared" si="213"/>
        <v/>
      </c>
      <c r="W1636" s="348" t="str">
        <f t="shared" si="214"/>
        <v/>
      </c>
      <c r="X1636" s="348" t="str">
        <f t="shared" si="215"/>
        <v/>
      </c>
    </row>
    <row r="1637" spans="1:24" x14ac:dyDescent="0.2">
      <c r="A1637" s="407">
        <v>1629</v>
      </c>
      <c r="B1637" s="438"/>
      <c r="C1637" s="438"/>
      <c r="D1637" s="438"/>
      <c r="E1637" s="438"/>
      <c r="F1637" s="438"/>
      <c r="G1637" s="438"/>
      <c r="H1637" s="438"/>
      <c r="I1637" s="438"/>
      <c r="J1637" s="11"/>
      <c r="Q1637" s="348" t="str">
        <f t="shared" si="208"/>
        <v/>
      </c>
      <c r="R1637" s="348" t="str">
        <f t="shared" si="209"/>
        <v/>
      </c>
      <c r="S1637" s="348" t="str">
        <f t="shared" si="210"/>
        <v/>
      </c>
      <c r="T1637" s="348" t="str">
        <f t="shared" si="211"/>
        <v/>
      </c>
      <c r="U1637" s="348" t="str">
        <f t="shared" si="212"/>
        <v/>
      </c>
      <c r="V1637" s="348" t="str">
        <f t="shared" si="213"/>
        <v/>
      </c>
      <c r="W1637" s="348" t="str">
        <f t="shared" si="214"/>
        <v/>
      </c>
      <c r="X1637" s="348" t="str">
        <f t="shared" si="215"/>
        <v/>
      </c>
    </row>
    <row r="1638" spans="1:24" x14ac:dyDescent="0.2">
      <c r="A1638" s="407">
        <v>1630</v>
      </c>
      <c r="B1638" s="438"/>
      <c r="C1638" s="438"/>
      <c r="D1638" s="438"/>
      <c r="E1638" s="438"/>
      <c r="F1638" s="438"/>
      <c r="G1638" s="438"/>
      <c r="H1638" s="438"/>
      <c r="I1638" s="438"/>
      <c r="J1638" s="11"/>
      <c r="Q1638" s="348" t="str">
        <f t="shared" si="208"/>
        <v/>
      </c>
      <c r="R1638" s="348" t="str">
        <f t="shared" si="209"/>
        <v/>
      </c>
      <c r="S1638" s="348" t="str">
        <f t="shared" si="210"/>
        <v/>
      </c>
      <c r="T1638" s="348" t="str">
        <f t="shared" si="211"/>
        <v/>
      </c>
      <c r="U1638" s="348" t="str">
        <f t="shared" si="212"/>
        <v/>
      </c>
      <c r="V1638" s="348" t="str">
        <f t="shared" si="213"/>
        <v/>
      </c>
      <c r="W1638" s="348" t="str">
        <f t="shared" si="214"/>
        <v/>
      </c>
      <c r="X1638" s="348" t="str">
        <f t="shared" si="215"/>
        <v/>
      </c>
    </row>
    <row r="1639" spans="1:24" x14ac:dyDescent="0.2">
      <c r="A1639" s="407">
        <v>1631</v>
      </c>
      <c r="B1639" s="437"/>
      <c r="C1639" s="438"/>
      <c r="D1639" s="438"/>
      <c r="E1639" s="438"/>
      <c r="F1639" s="438"/>
      <c r="G1639" s="438"/>
      <c r="H1639" s="438"/>
      <c r="I1639" s="438"/>
      <c r="J1639" s="11"/>
      <c r="Q1639" s="348" t="str">
        <f t="shared" si="208"/>
        <v/>
      </c>
      <c r="R1639" s="348" t="str">
        <f t="shared" si="209"/>
        <v/>
      </c>
      <c r="S1639" s="348" t="str">
        <f t="shared" si="210"/>
        <v/>
      </c>
      <c r="T1639" s="348" t="str">
        <f t="shared" si="211"/>
        <v/>
      </c>
      <c r="U1639" s="348" t="str">
        <f t="shared" si="212"/>
        <v/>
      </c>
      <c r="V1639" s="348" t="str">
        <f t="shared" si="213"/>
        <v/>
      </c>
      <c r="W1639" s="348" t="str">
        <f t="shared" si="214"/>
        <v/>
      </c>
      <c r="X1639" s="348" t="str">
        <f t="shared" si="215"/>
        <v/>
      </c>
    </row>
    <row r="1640" spans="1:24" x14ac:dyDescent="0.2">
      <c r="A1640" s="407">
        <v>1632</v>
      </c>
      <c r="B1640" s="438"/>
      <c r="C1640" s="438"/>
      <c r="D1640" s="438"/>
      <c r="E1640" s="438"/>
      <c r="F1640" s="438"/>
      <c r="G1640" s="438"/>
      <c r="H1640" s="438"/>
      <c r="I1640" s="438"/>
      <c r="J1640" s="11"/>
      <c r="Q1640" s="348" t="str">
        <f t="shared" si="208"/>
        <v/>
      </c>
      <c r="R1640" s="348" t="str">
        <f t="shared" si="209"/>
        <v/>
      </c>
      <c r="S1640" s="348" t="str">
        <f t="shared" si="210"/>
        <v/>
      </c>
      <c r="T1640" s="348" t="str">
        <f t="shared" si="211"/>
        <v/>
      </c>
      <c r="U1640" s="348" t="str">
        <f t="shared" si="212"/>
        <v/>
      </c>
      <c r="V1640" s="348" t="str">
        <f t="shared" si="213"/>
        <v/>
      </c>
      <c r="W1640" s="348" t="str">
        <f t="shared" si="214"/>
        <v/>
      </c>
      <c r="X1640" s="348" t="str">
        <f t="shared" si="215"/>
        <v/>
      </c>
    </row>
    <row r="1641" spans="1:24" x14ac:dyDescent="0.2">
      <c r="A1641" s="407">
        <v>1633</v>
      </c>
      <c r="B1641" s="438"/>
      <c r="C1641" s="438"/>
      <c r="D1641" s="438"/>
      <c r="E1641" s="438"/>
      <c r="F1641" s="438"/>
      <c r="G1641" s="438"/>
      <c r="H1641" s="438"/>
      <c r="I1641" s="438"/>
      <c r="J1641" s="11"/>
      <c r="Q1641" s="348" t="str">
        <f t="shared" si="208"/>
        <v/>
      </c>
      <c r="R1641" s="348" t="str">
        <f t="shared" si="209"/>
        <v/>
      </c>
      <c r="S1641" s="348" t="str">
        <f t="shared" si="210"/>
        <v/>
      </c>
      <c r="T1641" s="348" t="str">
        <f t="shared" si="211"/>
        <v/>
      </c>
      <c r="U1641" s="348" t="str">
        <f t="shared" si="212"/>
        <v/>
      </c>
      <c r="V1641" s="348" t="str">
        <f t="shared" si="213"/>
        <v/>
      </c>
      <c r="W1641" s="348" t="str">
        <f t="shared" si="214"/>
        <v/>
      </c>
      <c r="X1641" s="348" t="str">
        <f t="shared" si="215"/>
        <v/>
      </c>
    </row>
    <row r="1642" spans="1:24" x14ac:dyDescent="0.2">
      <c r="A1642" s="407">
        <v>1634</v>
      </c>
      <c r="B1642" s="438"/>
      <c r="C1642" s="438"/>
      <c r="D1642" s="438"/>
      <c r="E1642" s="438"/>
      <c r="F1642" s="438"/>
      <c r="G1642" s="438"/>
      <c r="H1642" s="438"/>
      <c r="I1642" s="438"/>
      <c r="J1642" s="11"/>
      <c r="Q1642" s="348" t="str">
        <f t="shared" si="208"/>
        <v/>
      </c>
      <c r="R1642" s="348" t="str">
        <f t="shared" si="209"/>
        <v/>
      </c>
      <c r="S1642" s="348" t="str">
        <f t="shared" si="210"/>
        <v/>
      </c>
      <c r="T1642" s="348" t="str">
        <f t="shared" si="211"/>
        <v/>
      </c>
      <c r="U1642" s="348" t="str">
        <f t="shared" si="212"/>
        <v/>
      </c>
      <c r="V1642" s="348" t="str">
        <f t="shared" si="213"/>
        <v/>
      </c>
      <c r="W1642" s="348" t="str">
        <f t="shared" si="214"/>
        <v/>
      </c>
      <c r="X1642" s="348" t="str">
        <f t="shared" si="215"/>
        <v/>
      </c>
    </row>
    <row r="1643" spans="1:24" x14ac:dyDescent="0.2">
      <c r="A1643" s="407">
        <v>1635</v>
      </c>
      <c r="B1643" s="438"/>
      <c r="C1643" s="438"/>
      <c r="D1643" s="438"/>
      <c r="E1643" s="438"/>
      <c r="F1643" s="438"/>
      <c r="G1643" s="438"/>
      <c r="H1643" s="438"/>
      <c r="I1643" s="438"/>
      <c r="J1643" s="11"/>
      <c r="Q1643" s="348" t="str">
        <f t="shared" si="208"/>
        <v/>
      </c>
      <c r="R1643" s="348" t="str">
        <f t="shared" si="209"/>
        <v/>
      </c>
      <c r="S1643" s="348" t="str">
        <f t="shared" si="210"/>
        <v/>
      </c>
      <c r="T1643" s="348" t="str">
        <f t="shared" si="211"/>
        <v/>
      </c>
      <c r="U1643" s="348" t="str">
        <f t="shared" si="212"/>
        <v/>
      </c>
      <c r="V1643" s="348" t="str">
        <f t="shared" si="213"/>
        <v/>
      </c>
      <c r="W1643" s="348" t="str">
        <f t="shared" si="214"/>
        <v/>
      </c>
      <c r="X1643" s="348" t="str">
        <f t="shared" si="215"/>
        <v/>
      </c>
    </row>
    <row r="1644" spans="1:24" x14ac:dyDescent="0.2">
      <c r="A1644" s="407">
        <v>1636</v>
      </c>
      <c r="B1644" s="438"/>
      <c r="C1644" s="437"/>
      <c r="D1644" s="438"/>
      <c r="E1644" s="438"/>
      <c r="F1644" s="438"/>
      <c r="G1644" s="438"/>
      <c r="H1644" s="438"/>
      <c r="I1644" s="438"/>
      <c r="J1644" s="11"/>
      <c r="Q1644" s="348" t="str">
        <f t="shared" si="208"/>
        <v/>
      </c>
      <c r="R1644" s="348" t="str">
        <f t="shared" si="209"/>
        <v/>
      </c>
      <c r="S1644" s="348" t="str">
        <f t="shared" si="210"/>
        <v/>
      </c>
      <c r="T1644" s="348" t="str">
        <f t="shared" si="211"/>
        <v/>
      </c>
      <c r="U1644" s="348" t="str">
        <f t="shared" si="212"/>
        <v/>
      </c>
      <c r="V1644" s="348" t="str">
        <f t="shared" si="213"/>
        <v/>
      </c>
      <c r="W1644" s="348" t="str">
        <f t="shared" si="214"/>
        <v/>
      </c>
      <c r="X1644" s="348" t="str">
        <f t="shared" si="215"/>
        <v/>
      </c>
    </row>
    <row r="1645" spans="1:24" x14ac:dyDescent="0.2">
      <c r="A1645" s="407">
        <v>1637</v>
      </c>
      <c r="B1645" s="438"/>
      <c r="C1645" s="438"/>
      <c r="D1645" s="438"/>
      <c r="E1645" s="438"/>
      <c r="F1645" s="438"/>
      <c r="G1645" s="438"/>
      <c r="H1645" s="438"/>
      <c r="I1645" s="438"/>
      <c r="J1645" s="11"/>
      <c r="Q1645" s="348" t="str">
        <f t="shared" si="208"/>
        <v/>
      </c>
      <c r="R1645" s="348" t="str">
        <f t="shared" si="209"/>
        <v/>
      </c>
      <c r="S1645" s="348" t="str">
        <f t="shared" si="210"/>
        <v/>
      </c>
      <c r="T1645" s="348" t="str">
        <f t="shared" si="211"/>
        <v/>
      </c>
      <c r="U1645" s="348" t="str">
        <f t="shared" si="212"/>
        <v/>
      </c>
      <c r="V1645" s="348" t="str">
        <f t="shared" si="213"/>
        <v/>
      </c>
      <c r="W1645" s="348" t="str">
        <f t="shared" si="214"/>
        <v/>
      </c>
      <c r="X1645" s="348" t="str">
        <f t="shared" si="215"/>
        <v/>
      </c>
    </row>
    <row r="1646" spans="1:24" x14ac:dyDescent="0.2">
      <c r="A1646" s="407">
        <v>1638</v>
      </c>
      <c r="B1646" s="438"/>
      <c r="C1646" s="438"/>
      <c r="D1646" s="438"/>
      <c r="E1646" s="438"/>
      <c r="F1646" s="438"/>
      <c r="G1646" s="438"/>
      <c r="H1646" s="438"/>
      <c r="I1646" s="438"/>
      <c r="J1646" s="11"/>
      <c r="Q1646" s="348" t="str">
        <f t="shared" si="208"/>
        <v/>
      </c>
      <c r="R1646" s="348" t="str">
        <f t="shared" si="209"/>
        <v/>
      </c>
      <c r="S1646" s="348" t="str">
        <f t="shared" si="210"/>
        <v/>
      </c>
      <c r="T1646" s="348" t="str">
        <f t="shared" si="211"/>
        <v/>
      </c>
      <c r="U1646" s="348" t="str">
        <f t="shared" si="212"/>
        <v/>
      </c>
      <c r="V1646" s="348" t="str">
        <f t="shared" si="213"/>
        <v/>
      </c>
      <c r="W1646" s="348" t="str">
        <f t="shared" si="214"/>
        <v/>
      </c>
      <c r="X1646" s="348" t="str">
        <f t="shared" si="215"/>
        <v/>
      </c>
    </row>
    <row r="1647" spans="1:24" x14ac:dyDescent="0.2">
      <c r="A1647" s="407">
        <v>1639</v>
      </c>
      <c r="B1647" s="438"/>
      <c r="C1647" s="438"/>
      <c r="D1647" s="438"/>
      <c r="E1647" s="438"/>
      <c r="F1647" s="438"/>
      <c r="G1647" s="438"/>
      <c r="H1647" s="438"/>
      <c r="I1647" s="438"/>
      <c r="J1647" s="11"/>
      <c r="Q1647" s="348" t="str">
        <f t="shared" si="208"/>
        <v/>
      </c>
      <c r="R1647" s="348" t="str">
        <f t="shared" si="209"/>
        <v/>
      </c>
      <c r="S1647" s="348" t="str">
        <f t="shared" si="210"/>
        <v/>
      </c>
      <c r="T1647" s="348" t="str">
        <f t="shared" si="211"/>
        <v/>
      </c>
      <c r="U1647" s="348" t="str">
        <f t="shared" si="212"/>
        <v/>
      </c>
      <c r="V1647" s="348" t="str">
        <f t="shared" si="213"/>
        <v/>
      </c>
      <c r="W1647" s="348" t="str">
        <f t="shared" si="214"/>
        <v/>
      </c>
      <c r="X1647" s="348" t="str">
        <f t="shared" si="215"/>
        <v/>
      </c>
    </row>
    <row r="1648" spans="1:24" x14ac:dyDescent="0.2">
      <c r="A1648" s="407">
        <v>1640</v>
      </c>
      <c r="B1648" s="438"/>
      <c r="C1648" s="438"/>
      <c r="D1648" s="438"/>
      <c r="E1648" s="438"/>
      <c r="F1648" s="438"/>
      <c r="G1648" s="438"/>
      <c r="H1648" s="438"/>
      <c r="I1648" s="438"/>
      <c r="J1648" s="11"/>
      <c r="Q1648" s="348" t="str">
        <f t="shared" si="208"/>
        <v/>
      </c>
      <c r="R1648" s="348" t="str">
        <f t="shared" si="209"/>
        <v/>
      </c>
      <c r="S1648" s="348" t="str">
        <f t="shared" si="210"/>
        <v/>
      </c>
      <c r="T1648" s="348" t="str">
        <f t="shared" si="211"/>
        <v/>
      </c>
      <c r="U1648" s="348" t="str">
        <f t="shared" si="212"/>
        <v/>
      </c>
      <c r="V1648" s="348" t="str">
        <f t="shared" si="213"/>
        <v/>
      </c>
      <c r="W1648" s="348" t="str">
        <f t="shared" si="214"/>
        <v/>
      </c>
      <c r="X1648" s="348" t="str">
        <f t="shared" si="215"/>
        <v/>
      </c>
    </row>
    <row r="1649" spans="1:24" x14ac:dyDescent="0.2">
      <c r="A1649" s="407">
        <v>1641</v>
      </c>
      <c r="B1649" s="438"/>
      <c r="C1649" s="438"/>
      <c r="D1649" s="438"/>
      <c r="E1649" s="438"/>
      <c r="F1649" s="438"/>
      <c r="G1649" s="438"/>
      <c r="H1649" s="438"/>
      <c r="I1649" s="438"/>
      <c r="J1649" s="11"/>
      <c r="Q1649" s="348" t="str">
        <f t="shared" si="208"/>
        <v/>
      </c>
      <c r="R1649" s="348" t="str">
        <f t="shared" si="209"/>
        <v/>
      </c>
      <c r="S1649" s="348" t="str">
        <f t="shared" si="210"/>
        <v/>
      </c>
      <c r="T1649" s="348" t="str">
        <f t="shared" si="211"/>
        <v/>
      </c>
      <c r="U1649" s="348" t="str">
        <f t="shared" si="212"/>
        <v/>
      </c>
      <c r="V1649" s="348" t="str">
        <f t="shared" si="213"/>
        <v/>
      </c>
      <c r="W1649" s="348" t="str">
        <f t="shared" si="214"/>
        <v/>
      </c>
      <c r="X1649" s="348" t="str">
        <f t="shared" si="215"/>
        <v/>
      </c>
    </row>
    <row r="1650" spans="1:24" x14ac:dyDescent="0.2">
      <c r="A1650" s="407">
        <v>1642</v>
      </c>
      <c r="B1650" s="438"/>
      <c r="C1650" s="438"/>
      <c r="D1650" s="438"/>
      <c r="E1650" s="438"/>
      <c r="F1650" s="438"/>
      <c r="G1650" s="438"/>
      <c r="H1650" s="438"/>
      <c r="I1650" s="438"/>
      <c r="J1650" s="11"/>
      <c r="Q1650" s="348" t="str">
        <f t="shared" si="208"/>
        <v/>
      </c>
      <c r="R1650" s="348" t="str">
        <f t="shared" si="209"/>
        <v/>
      </c>
      <c r="S1650" s="348" t="str">
        <f t="shared" si="210"/>
        <v/>
      </c>
      <c r="T1650" s="348" t="str">
        <f t="shared" si="211"/>
        <v/>
      </c>
      <c r="U1650" s="348" t="str">
        <f t="shared" si="212"/>
        <v/>
      </c>
      <c r="V1650" s="348" t="str">
        <f t="shared" si="213"/>
        <v/>
      </c>
      <c r="W1650" s="348" t="str">
        <f t="shared" si="214"/>
        <v/>
      </c>
      <c r="X1650" s="348" t="str">
        <f t="shared" si="215"/>
        <v/>
      </c>
    </row>
    <row r="1651" spans="1:24" x14ac:dyDescent="0.2">
      <c r="A1651" s="407">
        <v>1643</v>
      </c>
      <c r="B1651" s="438"/>
      <c r="C1651" s="438"/>
      <c r="D1651" s="438"/>
      <c r="E1651" s="438"/>
      <c r="F1651" s="438"/>
      <c r="G1651" s="438"/>
      <c r="H1651" s="438"/>
      <c r="I1651" s="438"/>
      <c r="J1651" s="11"/>
      <c r="Q1651" s="348" t="str">
        <f t="shared" si="208"/>
        <v/>
      </c>
      <c r="R1651" s="348" t="str">
        <f t="shared" si="209"/>
        <v/>
      </c>
      <c r="S1651" s="348" t="str">
        <f t="shared" si="210"/>
        <v/>
      </c>
      <c r="T1651" s="348" t="str">
        <f t="shared" si="211"/>
        <v/>
      </c>
      <c r="U1651" s="348" t="str">
        <f t="shared" si="212"/>
        <v/>
      </c>
      <c r="V1651" s="348" t="str">
        <f t="shared" si="213"/>
        <v/>
      </c>
      <c r="W1651" s="348" t="str">
        <f t="shared" si="214"/>
        <v/>
      </c>
      <c r="X1651" s="348" t="str">
        <f t="shared" si="215"/>
        <v/>
      </c>
    </row>
    <row r="1652" spans="1:24" x14ac:dyDescent="0.2">
      <c r="A1652" s="407">
        <v>1644</v>
      </c>
      <c r="B1652" s="438"/>
      <c r="C1652" s="438"/>
      <c r="D1652" s="438"/>
      <c r="E1652" s="438"/>
      <c r="F1652" s="438"/>
      <c r="G1652" s="438"/>
      <c r="H1652" s="438"/>
      <c r="I1652" s="438"/>
      <c r="J1652" s="11"/>
      <c r="Q1652" s="348" t="str">
        <f t="shared" si="208"/>
        <v/>
      </c>
      <c r="R1652" s="348" t="str">
        <f t="shared" si="209"/>
        <v/>
      </c>
      <c r="S1652" s="348" t="str">
        <f t="shared" si="210"/>
        <v/>
      </c>
      <c r="T1652" s="348" t="str">
        <f t="shared" si="211"/>
        <v/>
      </c>
      <c r="U1652" s="348" t="str">
        <f t="shared" si="212"/>
        <v/>
      </c>
      <c r="V1652" s="348" t="str">
        <f t="shared" si="213"/>
        <v/>
      </c>
      <c r="W1652" s="348" t="str">
        <f t="shared" si="214"/>
        <v/>
      </c>
      <c r="X1652" s="348" t="str">
        <f t="shared" si="215"/>
        <v/>
      </c>
    </row>
    <row r="1653" spans="1:24" x14ac:dyDescent="0.2">
      <c r="A1653" s="407">
        <v>1645</v>
      </c>
      <c r="B1653" s="438"/>
      <c r="C1653" s="438"/>
      <c r="D1653" s="438"/>
      <c r="E1653" s="438"/>
      <c r="F1653" s="438"/>
      <c r="G1653" s="438"/>
      <c r="H1653" s="438"/>
      <c r="I1653" s="438"/>
      <c r="J1653" s="11"/>
      <c r="Q1653" s="348" t="str">
        <f t="shared" si="208"/>
        <v/>
      </c>
      <c r="R1653" s="348" t="str">
        <f t="shared" si="209"/>
        <v/>
      </c>
      <c r="S1653" s="348" t="str">
        <f t="shared" si="210"/>
        <v/>
      </c>
      <c r="T1653" s="348" t="str">
        <f t="shared" si="211"/>
        <v/>
      </c>
      <c r="U1653" s="348" t="str">
        <f t="shared" si="212"/>
        <v/>
      </c>
      <c r="V1653" s="348" t="str">
        <f t="shared" si="213"/>
        <v/>
      </c>
      <c r="W1653" s="348" t="str">
        <f t="shared" si="214"/>
        <v/>
      </c>
      <c r="X1653" s="348" t="str">
        <f t="shared" si="215"/>
        <v/>
      </c>
    </row>
    <row r="1654" spans="1:24" x14ac:dyDescent="0.2">
      <c r="A1654" s="407">
        <v>1646</v>
      </c>
      <c r="B1654" s="438"/>
      <c r="C1654" s="438"/>
      <c r="D1654" s="438"/>
      <c r="E1654" s="438"/>
      <c r="F1654" s="438"/>
      <c r="G1654" s="438"/>
      <c r="H1654" s="438"/>
      <c r="I1654" s="438"/>
      <c r="J1654" s="11"/>
      <c r="Q1654" s="348" t="str">
        <f t="shared" si="208"/>
        <v/>
      </c>
      <c r="R1654" s="348" t="str">
        <f t="shared" si="209"/>
        <v/>
      </c>
      <c r="S1654" s="348" t="str">
        <f t="shared" si="210"/>
        <v/>
      </c>
      <c r="T1654" s="348" t="str">
        <f t="shared" si="211"/>
        <v/>
      </c>
      <c r="U1654" s="348" t="str">
        <f t="shared" si="212"/>
        <v/>
      </c>
      <c r="V1654" s="348" t="str">
        <f t="shared" si="213"/>
        <v/>
      </c>
      <c r="W1654" s="348" t="str">
        <f t="shared" si="214"/>
        <v/>
      </c>
      <c r="X1654" s="348" t="str">
        <f t="shared" si="215"/>
        <v/>
      </c>
    </row>
    <row r="1655" spans="1:24" x14ac:dyDescent="0.2">
      <c r="A1655" s="407">
        <v>1647</v>
      </c>
      <c r="B1655" s="438"/>
      <c r="C1655" s="438"/>
      <c r="D1655" s="438"/>
      <c r="E1655" s="438"/>
      <c r="F1655" s="438"/>
      <c r="G1655" s="438"/>
      <c r="H1655" s="438"/>
      <c r="I1655" s="438"/>
      <c r="J1655" s="11"/>
      <c r="Q1655" s="348" t="str">
        <f t="shared" si="208"/>
        <v/>
      </c>
      <c r="R1655" s="348" t="str">
        <f t="shared" si="209"/>
        <v/>
      </c>
      <c r="S1655" s="348" t="str">
        <f t="shared" si="210"/>
        <v/>
      </c>
      <c r="T1655" s="348" t="str">
        <f t="shared" si="211"/>
        <v/>
      </c>
      <c r="U1655" s="348" t="str">
        <f t="shared" si="212"/>
        <v/>
      </c>
      <c r="V1655" s="348" t="str">
        <f t="shared" si="213"/>
        <v/>
      </c>
      <c r="W1655" s="348" t="str">
        <f t="shared" si="214"/>
        <v/>
      </c>
      <c r="X1655" s="348" t="str">
        <f t="shared" si="215"/>
        <v/>
      </c>
    </row>
    <row r="1656" spans="1:24" x14ac:dyDescent="0.2">
      <c r="A1656" s="407">
        <v>1648</v>
      </c>
      <c r="B1656" s="438"/>
      <c r="C1656" s="438"/>
      <c r="D1656" s="438"/>
      <c r="E1656" s="438"/>
      <c r="F1656" s="438"/>
      <c r="G1656" s="438"/>
      <c r="H1656" s="438"/>
      <c r="I1656" s="438"/>
      <c r="J1656" s="11"/>
      <c r="Q1656" s="348" t="str">
        <f t="shared" si="208"/>
        <v/>
      </c>
      <c r="R1656" s="348" t="str">
        <f t="shared" si="209"/>
        <v/>
      </c>
      <c r="S1656" s="348" t="str">
        <f t="shared" si="210"/>
        <v/>
      </c>
      <c r="T1656" s="348" t="str">
        <f t="shared" si="211"/>
        <v/>
      </c>
      <c r="U1656" s="348" t="str">
        <f t="shared" si="212"/>
        <v/>
      </c>
      <c r="V1656" s="348" t="str">
        <f t="shared" si="213"/>
        <v/>
      </c>
      <c r="W1656" s="348" t="str">
        <f t="shared" si="214"/>
        <v/>
      </c>
      <c r="X1656" s="348" t="str">
        <f t="shared" si="215"/>
        <v/>
      </c>
    </row>
    <row r="1657" spans="1:24" x14ac:dyDescent="0.2">
      <c r="A1657" s="407">
        <v>1649</v>
      </c>
      <c r="B1657" s="438"/>
      <c r="C1657" s="438"/>
      <c r="D1657" s="438"/>
      <c r="E1657" s="438"/>
      <c r="F1657" s="438"/>
      <c r="G1657" s="438"/>
      <c r="H1657" s="438"/>
      <c r="I1657" s="438"/>
      <c r="J1657" s="11"/>
      <c r="Q1657" s="348" t="str">
        <f t="shared" si="208"/>
        <v/>
      </c>
      <c r="R1657" s="348" t="str">
        <f t="shared" si="209"/>
        <v/>
      </c>
      <c r="S1657" s="348" t="str">
        <f t="shared" si="210"/>
        <v/>
      </c>
      <c r="T1657" s="348" t="str">
        <f t="shared" si="211"/>
        <v/>
      </c>
      <c r="U1657" s="348" t="str">
        <f t="shared" si="212"/>
        <v/>
      </c>
      <c r="V1657" s="348" t="str">
        <f t="shared" si="213"/>
        <v/>
      </c>
      <c r="W1657" s="348" t="str">
        <f t="shared" si="214"/>
        <v/>
      </c>
      <c r="X1657" s="348" t="str">
        <f t="shared" si="215"/>
        <v/>
      </c>
    </row>
    <row r="1658" spans="1:24" x14ac:dyDescent="0.2">
      <c r="A1658" s="407">
        <v>1650</v>
      </c>
      <c r="B1658" s="437"/>
      <c r="C1658" s="437"/>
      <c r="D1658" s="438"/>
      <c r="E1658" s="438"/>
      <c r="F1658" s="438"/>
      <c r="G1658" s="438"/>
      <c r="H1658" s="438"/>
      <c r="I1658" s="437"/>
      <c r="J1658" s="11"/>
      <c r="Q1658" s="348" t="str">
        <f t="shared" si="208"/>
        <v/>
      </c>
      <c r="R1658" s="348" t="str">
        <f t="shared" si="209"/>
        <v/>
      </c>
      <c r="S1658" s="348" t="str">
        <f t="shared" si="210"/>
        <v/>
      </c>
      <c r="T1658" s="348" t="str">
        <f t="shared" si="211"/>
        <v/>
      </c>
      <c r="U1658" s="348" t="str">
        <f t="shared" si="212"/>
        <v/>
      </c>
      <c r="V1658" s="348" t="str">
        <f t="shared" si="213"/>
        <v/>
      </c>
      <c r="W1658" s="348" t="str">
        <f t="shared" si="214"/>
        <v/>
      </c>
      <c r="X1658" s="348" t="str">
        <f t="shared" si="215"/>
        <v/>
      </c>
    </row>
    <row r="1659" spans="1:24" x14ac:dyDescent="0.2">
      <c r="A1659" s="407">
        <v>1651</v>
      </c>
      <c r="B1659" s="438"/>
      <c r="C1659" s="438"/>
      <c r="D1659" s="438"/>
      <c r="E1659" s="437"/>
      <c r="F1659" s="438"/>
      <c r="G1659" s="438"/>
      <c r="H1659" s="438"/>
      <c r="I1659" s="438"/>
      <c r="J1659" s="11"/>
      <c r="Q1659" s="348" t="str">
        <f t="shared" si="208"/>
        <v/>
      </c>
      <c r="R1659" s="348" t="str">
        <f t="shared" si="209"/>
        <v/>
      </c>
      <c r="S1659" s="348" t="str">
        <f t="shared" si="210"/>
        <v/>
      </c>
      <c r="T1659" s="348" t="str">
        <f t="shared" si="211"/>
        <v/>
      </c>
      <c r="U1659" s="348" t="str">
        <f t="shared" si="212"/>
        <v/>
      </c>
      <c r="V1659" s="348" t="str">
        <f t="shared" si="213"/>
        <v/>
      </c>
      <c r="W1659" s="348" t="str">
        <f t="shared" si="214"/>
        <v/>
      </c>
      <c r="X1659" s="348" t="str">
        <f t="shared" si="215"/>
        <v/>
      </c>
    </row>
    <row r="1660" spans="1:24" x14ac:dyDescent="0.2">
      <c r="A1660" s="407">
        <v>1652</v>
      </c>
      <c r="B1660" s="438"/>
      <c r="C1660" s="438"/>
      <c r="D1660" s="438"/>
      <c r="E1660" s="438"/>
      <c r="F1660" s="438"/>
      <c r="G1660" s="438"/>
      <c r="H1660" s="438"/>
      <c r="I1660" s="438"/>
      <c r="J1660" s="11"/>
      <c r="Q1660" s="348" t="str">
        <f t="shared" si="208"/>
        <v/>
      </c>
      <c r="R1660" s="348" t="str">
        <f t="shared" si="209"/>
        <v/>
      </c>
      <c r="S1660" s="348" t="str">
        <f t="shared" si="210"/>
        <v/>
      </c>
      <c r="T1660" s="348" t="str">
        <f t="shared" si="211"/>
        <v/>
      </c>
      <c r="U1660" s="348" t="str">
        <f t="shared" si="212"/>
        <v/>
      </c>
      <c r="V1660" s="348" t="str">
        <f t="shared" si="213"/>
        <v/>
      </c>
      <c r="W1660" s="348" t="str">
        <f t="shared" si="214"/>
        <v/>
      </c>
      <c r="X1660" s="348" t="str">
        <f t="shared" si="215"/>
        <v/>
      </c>
    </row>
    <row r="1661" spans="1:24" x14ac:dyDescent="0.2">
      <c r="A1661" s="407">
        <v>1653</v>
      </c>
      <c r="B1661" s="438"/>
      <c r="C1661" s="438"/>
      <c r="D1661" s="438"/>
      <c r="E1661" s="438"/>
      <c r="F1661" s="438"/>
      <c r="G1661" s="438"/>
      <c r="H1661" s="438"/>
      <c r="I1661" s="438"/>
      <c r="J1661" s="11"/>
      <c r="Q1661" s="348" t="str">
        <f t="shared" si="208"/>
        <v/>
      </c>
      <c r="R1661" s="348" t="str">
        <f t="shared" si="209"/>
        <v/>
      </c>
      <c r="S1661" s="348" t="str">
        <f t="shared" si="210"/>
        <v/>
      </c>
      <c r="T1661" s="348" t="str">
        <f t="shared" si="211"/>
        <v/>
      </c>
      <c r="U1661" s="348" t="str">
        <f t="shared" si="212"/>
        <v/>
      </c>
      <c r="V1661" s="348" t="str">
        <f t="shared" si="213"/>
        <v/>
      </c>
      <c r="W1661" s="348" t="str">
        <f t="shared" si="214"/>
        <v/>
      </c>
      <c r="X1661" s="348" t="str">
        <f t="shared" si="215"/>
        <v/>
      </c>
    </row>
    <row r="1662" spans="1:24" x14ac:dyDescent="0.2">
      <c r="A1662" s="407">
        <v>1654</v>
      </c>
      <c r="B1662" s="438"/>
      <c r="C1662" s="438"/>
      <c r="D1662" s="438"/>
      <c r="E1662" s="438"/>
      <c r="F1662" s="438"/>
      <c r="G1662" s="438"/>
      <c r="H1662" s="438"/>
      <c r="I1662" s="438"/>
      <c r="J1662" s="11"/>
      <c r="Q1662" s="348" t="str">
        <f t="shared" si="208"/>
        <v/>
      </c>
      <c r="R1662" s="348" t="str">
        <f t="shared" si="209"/>
        <v/>
      </c>
      <c r="S1662" s="348" t="str">
        <f t="shared" si="210"/>
        <v/>
      </c>
      <c r="T1662" s="348" t="str">
        <f t="shared" si="211"/>
        <v/>
      </c>
      <c r="U1662" s="348" t="str">
        <f t="shared" si="212"/>
        <v/>
      </c>
      <c r="V1662" s="348" t="str">
        <f t="shared" si="213"/>
        <v/>
      </c>
      <c r="W1662" s="348" t="str">
        <f t="shared" si="214"/>
        <v/>
      </c>
      <c r="X1662" s="348" t="str">
        <f t="shared" si="215"/>
        <v/>
      </c>
    </row>
    <row r="1663" spans="1:24" x14ac:dyDescent="0.2">
      <c r="A1663" s="407">
        <v>1655</v>
      </c>
      <c r="B1663" s="438"/>
      <c r="C1663" s="438"/>
      <c r="D1663" s="438"/>
      <c r="E1663" s="438"/>
      <c r="F1663" s="438"/>
      <c r="G1663" s="438"/>
      <c r="H1663" s="438"/>
      <c r="I1663" s="438"/>
      <c r="J1663" s="11"/>
      <c r="Q1663" s="348" t="str">
        <f t="shared" si="208"/>
        <v/>
      </c>
      <c r="R1663" s="348" t="str">
        <f t="shared" si="209"/>
        <v/>
      </c>
      <c r="S1663" s="348" t="str">
        <f t="shared" si="210"/>
        <v/>
      </c>
      <c r="T1663" s="348" t="str">
        <f t="shared" si="211"/>
        <v/>
      </c>
      <c r="U1663" s="348" t="str">
        <f t="shared" si="212"/>
        <v/>
      </c>
      <c r="V1663" s="348" t="str">
        <f t="shared" si="213"/>
        <v/>
      </c>
      <c r="W1663" s="348" t="str">
        <f t="shared" si="214"/>
        <v/>
      </c>
      <c r="X1663" s="348" t="str">
        <f t="shared" si="215"/>
        <v/>
      </c>
    </row>
    <row r="1664" spans="1:24" x14ac:dyDescent="0.2">
      <c r="A1664" s="407">
        <v>1656</v>
      </c>
      <c r="B1664" s="438"/>
      <c r="C1664" s="438"/>
      <c r="D1664" s="438"/>
      <c r="E1664" s="438"/>
      <c r="F1664" s="438"/>
      <c r="G1664" s="438"/>
      <c r="H1664" s="438"/>
      <c r="I1664" s="438"/>
      <c r="J1664" s="11"/>
      <c r="Q1664" s="348" t="str">
        <f t="shared" si="208"/>
        <v/>
      </c>
      <c r="R1664" s="348" t="str">
        <f t="shared" si="209"/>
        <v/>
      </c>
      <c r="S1664" s="348" t="str">
        <f t="shared" si="210"/>
        <v/>
      </c>
      <c r="T1664" s="348" t="str">
        <f t="shared" si="211"/>
        <v/>
      </c>
      <c r="U1664" s="348" t="str">
        <f t="shared" si="212"/>
        <v/>
      </c>
      <c r="V1664" s="348" t="str">
        <f t="shared" si="213"/>
        <v/>
      </c>
      <c r="W1664" s="348" t="str">
        <f t="shared" si="214"/>
        <v/>
      </c>
      <c r="X1664" s="348" t="str">
        <f t="shared" si="215"/>
        <v/>
      </c>
    </row>
    <row r="1665" spans="1:24" x14ac:dyDescent="0.2">
      <c r="A1665" s="407">
        <v>1657</v>
      </c>
      <c r="B1665" s="438"/>
      <c r="C1665" s="438"/>
      <c r="D1665" s="438"/>
      <c r="E1665" s="438"/>
      <c r="F1665" s="438"/>
      <c r="G1665" s="438"/>
      <c r="H1665" s="438"/>
      <c r="I1665" s="438"/>
      <c r="J1665" s="11"/>
      <c r="Q1665" s="348" t="str">
        <f t="shared" si="208"/>
        <v/>
      </c>
      <c r="R1665" s="348" t="str">
        <f t="shared" si="209"/>
        <v/>
      </c>
      <c r="S1665" s="348" t="str">
        <f t="shared" si="210"/>
        <v/>
      </c>
      <c r="T1665" s="348" t="str">
        <f t="shared" si="211"/>
        <v/>
      </c>
      <c r="U1665" s="348" t="str">
        <f t="shared" si="212"/>
        <v/>
      </c>
      <c r="V1665" s="348" t="str">
        <f t="shared" si="213"/>
        <v/>
      </c>
      <c r="W1665" s="348" t="str">
        <f t="shared" si="214"/>
        <v/>
      </c>
      <c r="X1665" s="348" t="str">
        <f t="shared" si="215"/>
        <v/>
      </c>
    </row>
    <row r="1666" spans="1:24" x14ac:dyDescent="0.2">
      <c r="A1666" s="407">
        <v>1658</v>
      </c>
      <c r="B1666" s="437"/>
      <c r="C1666" s="438"/>
      <c r="D1666" s="438"/>
      <c r="E1666" s="438"/>
      <c r="F1666" s="438"/>
      <c r="G1666" s="438"/>
      <c r="H1666" s="438"/>
      <c r="I1666" s="438"/>
      <c r="J1666" s="11"/>
      <c r="Q1666" s="348" t="str">
        <f t="shared" si="208"/>
        <v/>
      </c>
      <c r="R1666" s="348" t="str">
        <f t="shared" si="209"/>
        <v/>
      </c>
      <c r="S1666" s="348" t="str">
        <f t="shared" si="210"/>
        <v/>
      </c>
      <c r="T1666" s="348" t="str">
        <f t="shared" si="211"/>
        <v/>
      </c>
      <c r="U1666" s="348" t="str">
        <f t="shared" si="212"/>
        <v/>
      </c>
      <c r="V1666" s="348" t="str">
        <f t="shared" si="213"/>
        <v/>
      </c>
      <c r="W1666" s="348" t="str">
        <f t="shared" si="214"/>
        <v/>
      </c>
      <c r="X1666" s="348" t="str">
        <f t="shared" si="215"/>
        <v/>
      </c>
    </row>
    <row r="1667" spans="1:24" x14ac:dyDescent="0.2">
      <c r="A1667" s="407">
        <v>1659</v>
      </c>
      <c r="B1667" s="438"/>
      <c r="C1667" s="438"/>
      <c r="D1667" s="437"/>
      <c r="E1667" s="438"/>
      <c r="F1667" s="438"/>
      <c r="G1667" s="438"/>
      <c r="H1667" s="438"/>
      <c r="I1667" s="438"/>
      <c r="J1667" s="11"/>
      <c r="Q1667" s="348" t="str">
        <f t="shared" si="208"/>
        <v/>
      </c>
      <c r="R1667" s="348" t="str">
        <f t="shared" si="209"/>
        <v/>
      </c>
      <c r="S1667" s="348" t="str">
        <f t="shared" si="210"/>
        <v/>
      </c>
      <c r="T1667" s="348" t="str">
        <f t="shared" si="211"/>
        <v/>
      </c>
      <c r="U1667" s="348" t="str">
        <f t="shared" si="212"/>
        <v/>
      </c>
      <c r="V1667" s="348" t="str">
        <f t="shared" si="213"/>
        <v/>
      </c>
      <c r="W1667" s="348" t="str">
        <f t="shared" si="214"/>
        <v/>
      </c>
      <c r="X1667" s="348" t="str">
        <f t="shared" si="215"/>
        <v/>
      </c>
    </row>
    <row r="1668" spans="1:24" x14ac:dyDescent="0.2">
      <c r="A1668" s="407">
        <v>1660</v>
      </c>
      <c r="B1668" s="438"/>
      <c r="C1668" s="438"/>
      <c r="D1668" s="438"/>
      <c r="E1668" s="438"/>
      <c r="F1668" s="438"/>
      <c r="G1668" s="438"/>
      <c r="H1668" s="438"/>
      <c r="I1668" s="438"/>
      <c r="J1668" s="11"/>
      <c r="Q1668" s="348" t="str">
        <f t="shared" si="208"/>
        <v/>
      </c>
      <c r="R1668" s="348" t="str">
        <f t="shared" si="209"/>
        <v/>
      </c>
      <c r="S1668" s="348" t="str">
        <f t="shared" si="210"/>
        <v/>
      </c>
      <c r="T1668" s="348" t="str">
        <f t="shared" si="211"/>
        <v/>
      </c>
      <c r="U1668" s="348" t="str">
        <f t="shared" si="212"/>
        <v/>
      </c>
      <c r="V1668" s="348" t="str">
        <f t="shared" si="213"/>
        <v/>
      </c>
      <c r="W1668" s="348" t="str">
        <f t="shared" si="214"/>
        <v/>
      </c>
      <c r="X1668" s="348" t="str">
        <f t="shared" si="215"/>
        <v/>
      </c>
    </row>
    <row r="1669" spans="1:24" x14ac:dyDescent="0.2">
      <c r="A1669" s="407">
        <v>1661</v>
      </c>
      <c r="B1669" s="438"/>
      <c r="C1669" s="438"/>
      <c r="D1669" s="438"/>
      <c r="E1669" s="438"/>
      <c r="F1669" s="438"/>
      <c r="G1669" s="438"/>
      <c r="H1669" s="438"/>
      <c r="I1669" s="438"/>
      <c r="J1669" s="11"/>
      <c r="Q1669" s="348" t="str">
        <f t="shared" si="208"/>
        <v/>
      </c>
      <c r="R1669" s="348" t="str">
        <f t="shared" si="209"/>
        <v/>
      </c>
      <c r="S1669" s="348" t="str">
        <f t="shared" si="210"/>
        <v/>
      </c>
      <c r="T1669" s="348" t="str">
        <f t="shared" si="211"/>
        <v/>
      </c>
      <c r="U1669" s="348" t="str">
        <f t="shared" si="212"/>
        <v/>
      </c>
      <c r="V1669" s="348" t="str">
        <f t="shared" si="213"/>
        <v/>
      </c>
      <c r="W1669" s="348" t="str">
        <f t="shared" si="214"/>
        <v/>
      </c>
      <c r="X1669" s="348" t="str">
        <f t="shared" si="215"/>
        <v/>
      </c>
    </row>
    <row r="1670" spans="1:24" x14ac:dyDescent="0.2">
      <c r="A1670" s="407">
        <v>1662</v>
      </c>
      <c r="B1670" s="438"/>
      <c r="C1670" s="438"/>
      <c r="D1670" s="438"/>
      <c r="E1670" s="438"/>
      <c r="F1670" s="438"/>
      <c r="G1670" s="437"/>
      <c r="H1670" s="438"/>
      <c r="I1670" s="438"/>
      <c r="J1670" s="11"/>
      <c r="Q1670" s="348" t="str">
        <f t="shared" si="208"/>
        <v/>
      </c>
      <c r="R1670" s="348" t="str">
        <f t="shared" si="209"/>
        <v/>
      </c>
      <c r="S1670" s="348" t="str">
        <f t="shared" si="210"/>
        <v/>
      </c>
      <c r="T1670" s="348" t="str">
        <f t="shared" si="211"/>
        <v/>
      </c>
      <c r="U1670" s="348" t="str">
        <f t="shared" si="212"/>
        <v/>
      </c>
      <c r="V1670" s="348" t="str">
        <f t="shared" si="213"/>
        <v/>
      </c>
      <c r="W1670" s="348" t="str">
        <f t="shared" si="214"/>
        <v/>
      </c>
      <c r="X1670" s="348" t="str">
        <f t="shared" si="215"/>
        <v/>
      </c>
    </row>
    <row r="1671" spans="1:24" x14ac:dyDescent="0.2">
      <c r="A1671" s="407">
        <v>1663</v>
      </c>
      <c r="B1671" s="438"/>
      <c r="C1671" s="438"/>
      <c r="D1671" s="438"/>
      <c r="E1671" s="438"/>
      <c r="F1671" s="438"/>
      <c r="G1671" s="438"/>
      <c r="H1671" s="438"/>
      <c r="I1671" s="438"/>
      <c r="J1671" s="11"/>
      <c r="Q1671" s="348" t="str">
        <f t="shared" si="208"/>
        <v/>
      </c>
      <c r="R1671" s="348" t="str">
        <f t="shared" si="209"/>
        <v/>
      </c>
      <c r="S1671" s="348" t="str">
        <f t="shared" si="210"/>
        <v/>
      </c>
      <c r="T1671" s="348" t="str">
        <f t="shared" si="211"/>
        <v/>
      </c>
      <c r="U1671" s="348" t="str">
        <f t="shared" si="212"/>
        <v/>
      </c>
      <c r="V1671" s="348" t="str">
        <f t="shared" si="213"/>
        <v/>
      </c>
      <c r="W1671" s="348" t="str">
        <f t="shared" si="214"/>
        <v/>
      </c>
      <c r="X1671" s="348" t="str">
        <f t="shared" si="215"/>
        <v/>
      </c>
    </row>
    <row r="1672" spans="1:24" x14ac:dyDescent="0.2">
      <c r="A1672" s="407">
        <v>1664</v>
      </c>
      <c r="B1672" s="438"/>
      <c r="C1672" s="437"/>
      <c r="D1672" s="438"/>
      <c r="E1672" s="438"/>
      <c r="F1672" s="437"/>
      <c r="G1672" s="438"/>
      <c r="H1672" s="437"/>
      <c r="I1672" s="438"/>
      <c r="J1672" s="11"/>
      <c r="Q1672" s="348" t="str">
        <f t="shared" si="208"/>
        <v/>
      </c>
      <c r="R1672" s="348" t="str">
        <f t="shared" si="209"/>
        <v/>
      </c>
      <c r="S1672" s="348" t="str">
        <f t="shared" si="210"/>
        <v/>
      </c>
      <c r="T1672" s="348" t="str">
        <f t="shared" si="211"/>
        <v/>
      </c>
      <c r="U1672" s="348" t="str">
        <f t="shared" si="212"/>
        <v/>
      </c>
      <c r="V1672" s="348" t="str">
        <f t="shared" si="213"/>
        <v/>
      </c>
      <c r="W1672" s="348" t="str">
        <f t="shared" si="214"/>
        <v/>
      </c>
      <c r="X1672" s="348" t="str">
        <f t="shared" si="215"/>
        <v/>
      </c>
    </row>
    <row r="1673" spans="1:24" x14ac:dyDescent="0.2">
      <c r="A1673" s="407">
        <v>1665</v>
      </c>
      <c r="B1673" s="438"/>
      <c r="C1673" s="438"/>
      <c r="D1673" s="438"/>
      <c r="E1673" s="438"/>
      <c r="F1673" s="438"/>
      <c r="G1673" s="438"/>
      <c r="H1673" s="438"/>
      <c r="I1673" s="438"/>
      <c r="J1673" s="11"/>
      <c r="Q1673" s="348" t="str">
        <f t="shared" si="208"/>
        <v/>
      </c>
      <c r="R1673" s="348" t="str">
        <f t="shared" si="209"/>
        <v/>
      </c>
      <c r="S1673" s="348" t="str">
        <f t="shared" si="210"/>
        <v/>
      </c>
      <c r="T1673" s="348" t="str">
        <f t="shared" si="211"/>
        <v/>
      </c>
      <c r="U1673" s="348" t="str">
        <f t="shared" si="212"/>
        <v/>
      </c>
      <c r="V1673" s="348" t="str">
        <f t="shared" si="213"/>
        <v/>
      </c>
      <c r="W1673" s="348" t="str">
        <f t="shared" si="214"/>
        <v/>
      </c>
      <c r="X1673" s="348" t="str">
        <f t="shared" si="215"/>
        <v/>
      </c>
    </row>
    <row r="1674" spans="1:24" x14ac:dyDescent="0.2">
      <c r="A1674" s="407">
        <v>1666</v>
      </c>
      <c r="B1674" s="438"/>
      <c r="C1674" s="438"/>
      <c r="D1674" s="438"/>
      <c r="E1674" s="438"/>
      <c r="F1674" s="438"/>
      <c r="G1674" s="438"/>
      <c r="H1674" s="438"/>
      <c r="I1674" s="438"/>
      <c r="J1674" s="11"/>
      <c r="Q1674" s="348" t="str">
        <f t="shared" ref="Q1674:Q1737" si="216">IFERROR(B1674^4*$AB$9+B1674^3*$AC$9+B1674^2*$AD$9+B1674^1*$AE$9+B1674^0*$AF$9,"")</f>
        <v/>
      </c>
      <c r="R1674" s="348" t="str">
        <f t="shared" ref="R1674:R1737" si="217">IFERROR(C1674^4*$AB$10+C1674^3*$AC$10+C1674^2*$AD$10+C1674^1*$AE$10+C1674^0*$AF$10,"")</f>
        <v/>
      </c>
      <c r="S1674" s="348" t="str">
        <f t="shared" ref="S1674:S1737" si="218">IFERROR(D1674^4*$AB$11+D1674^3*$AC$11+D1674^2*$AD$11+D1674^1*$AE$11+D1674^0*$AF$11,"")</f>
        <v/>
      </c>
      <c r="T1674" s="348" t="str">
        <f t="shared" ref="T1674:T1737" si="219">IFERROR(E1674^4*$AB$12+E1674^3*$AC$12+E1674^2*$AD$12+E1674^1*$AE$12+E1674^0*$AF$12,"")</f>
        <v/>
      </c>
      <c r="U1674" s="348" t="str">
        <f t="shared" ref="U1674:U1737" si="220">IFERROR(F1674^4*$AB$13+F1674^3*$AC$13+F1674^2*$AD$13+F1674^1*$AE$13+F1674^0*$AF$13,"")</f>
        <v/>
      </c>
      <c r="V1674" s="348" t="str">
        <f t="shared" ref="V1674:V1737" si="221">IFERROR(G1674^4*$AB$14+G1674^3*$AC$14+G1674^2*$AD$14+G1674^1*$AE$14+G1674^0*$AF$14,"")</f>
        <v/>
      </c>
      <c r="W1674" s="348" t="str">
        <f t="shared" ref="W1674:W1737" si="222">IFERROR(H1674^4*$AB$15+H1674^3*$AC$15+H1674^2*$AD$15+H1674^1*$AE$15+H1674^0*$AF$15,"")</f>
        <v/>
      </c>
      <c r="X1674" s="348" t="str">
        <f t="shared" ref="X1674:X1737" si="223">IFERROR(I1674^4*$AB$16+I1674^3*$AC$16+I1674^2*$AD$16+I1674^1*$AE$16+I1674^0*$AF$16,"")</f>
        <v/>
      </c>
    </row>
    <row r="1675" spans="1:24" x14ac:dyDescent="0.2">
      <c r="A1675" s="407">
        <v>1667</v>
      </c>
      <c r="B1675" s="438"/>
      <c r="C1675" s="438"/>
      <c r="D1675" s="438"/>
      <c r="E1675" s="438"/>
      <c r="F1675" s="438"/>
      <c r="G1675" s="438"/>
      <c r="H1675" s="438"/>
      <c r="I1675" s="438"/>
      <c r="J1675" s="11"/>
      <c r="Q1675" s="348" t="str">
        <f t="shared" si="216"/>
        <v/>
      </c>
      <c r="R1675" s="348" t="str">
        <f t="shared" si="217"/>
        <v/>
      </c>
      <c r="S1675" s="348" t="str">
        <f t="shared" si="218"/>
        <v/>
      </c>
      <c r="T1675" s="348" t="str">
        <f t="shared" si="219"/>
        <v/>
      </c>
      <c r="U1675" s="348" t="str">
        <f t="shared" si="220"/>
        <v/>
      </c>
      <c r="V1675" s="348" t="str">
        <f t="shared" si="221"/>
        <v/>
      </c>
      <c r="W1675" s="348" t="str">
        <f t="shared" si="222"/>
        <v/>
      </c>
      <c r="X1675" s="348" t="str">
        <f t="shared" si="223"/>
        <v/>
      </c>
    </row>
    <row r="1676" spans="1:24" x14ac:dyDescent="0.2">
      <c r="A1676" s="407">
        <v>1668</v>
      </c>
      <c r="B1676" s="438"/>
      <c r="C1676" s="438"/>
      <c r="D1676" s="438"/>
      <c r="E1676" s="438"/>
      <c r="F1676" s="438"/>
      <c r="G1676" s="438"/>
      <c r="H1676" s="438"/>
      <c r="I1676" s="438"/>
      <c r="J1676" s="11"/>
      <c r="Q1676" s="348" t="str">
        <f t="shared" si="216"/>
        <v/>
      </c>
      <c r="R1676" s="348" t="str">
        <f t="shared" si="217"/>
        <v/>
      </c>
      <c r="S1676" s="348" t="str">
        <f t="shared" si="218"/>
        <v/>
      </c>
      <c r="T1676" s="348" t="str">
        <f t="shared" si="219"/>
        <v/>
      </c>
      <c r="U1676" s="348" t="str">
        <f t="shared" si="220"/>
        <v/>
      </c>
      <c r="V1676" s="348" t="str">
        <f t="shared" si="221"/>
        <v/>
      </c>
      <c r="W1676" s="348" t="str">
        <f t="shared" si="222"/>
        <v/>
      </c>
      <c r="X1676" s="348" t="str">
        <f t="shared" si="223"/>
        <v/>
      </c>
    </row>
    <row r="1677" spans="1:24" x14ac:dyDescent="0.2">
      <c r="A1677" s="407">
        <v>1669</v>
      </c>
      <c r="B1677" s="438"/>
      <c r="C1677" s="438"/>
      <c r="D1677" s="438"/>
      <c r="E1677" s="437"/>
      <c r="F1677" s="438"/>
      <c r="G1677" s="438"/>
      <c r="H1677" s="438"/>
      <c r="I1677" s="438"/>
      <c r="J1677" s="11"/>
      <c r="Q1677" s="348" t="str">
        <f t="shared" si="216"/>
        <v/>
      </c>
      <c r="R1677" s="348" t="str">
        <f t="shared" si="217"/>
        <v/>
      </c>
      <c r="S1677" s="348" t="str">
        <f t="shared" si="218"/>
        <v/>
      </c>
      <c r="T1677" s="348" t="str">
        <f t="shared" si="219"/>
        <v/>
      </c>
      <c r="U1677" s="348" t="str">
        <f t="shared" si="220"/>
        <v/>
      </c>
      <c r="V1677" s="348" t="str">
        <f t="shared" si="221"/>
        <v/>
      </c>
      <c r="W1677" s="348" t="str">
        <f t="shared" si="222"/>
        <v/>
      </c>
      <c r="X1677" s="348" t="str">
        <f t="shared" si="223"/>
        <v/>
      </c>
    </row>
    <row r="1678" spans="1:24" x14ac:dyDescent="0.2">
      <c r="A1678" s="407">
        <v>1670</v>
      </c>
      <c r="B1678" s="438"/>
      <c r="C1678" s="438"/>
      <c r="D1678" s="438"/>
      <c r="E1678" s="438"/>
      <c r="F1678" s="438"/>
      <c r="G1678" s="438"/>
      <c r="H1678" s="438"/>
      <c r="I1678" s="438"/>
      <c r="J1678" s="11"/>
      <c r="Q1678" s="348" t="str">
        <f t="shared" si="216"/>
        <v/>
      </c>
      <c r="R1678" s="348" t="str">
        <f t="shared" si="217"/>
        <v/>
      </c>
      <c r="S1678" s="348" t="str">
        <f t="shared" si="218"/>
        <v/>
      </c>
      <c r="T1678" s="348" t="str">
        <f t="shared" si="219"/>
        <v/>
      </c>
      <c r="U1678" s="348" t="str">
        <f t="shared" si="220"/>
        <v/>
      </c>
      <c r="V1678" s="348" t="str">
        <f t="shared" si="221"/>
        <v/>
      </c>
      <c r="W1678" s="348" t="str">
        <f t="shared" si="222"/>
        <v/>
      </c>
      <c r="X1678" s="348" t="str">
        <f t="shared" si="223"/>
        <v/>
      </c>
    </row>
    <row r="1679" spans="1:24" x14ac:dyDescent="0.2">
      <c r="A1679" s="407">
        <v>1671</v>
      </c>
      <c r="B1679" s="438"/>
      <c r="C1679" s="438"/>
      <c r="D1679" s="438"/>
      <c r="E1679" s="438"/>
      <c r="F1679" s="438"/>
      <c r="G1679" s="438"/>
      <c r="H1679" s="438"/>
      <c r="I1679" s="438"/>
      <c r="J1679" s="11"/>
      <c r="Q1679" s="348" t="str">
        <f t="shared" si="216"/>
        <v/>
      </c>
      <c r="R1679" s="348" t="str">
        <f t="shared" si="217"/>
        <v/>
      </c>
      <c r="S1679" s="348" t="str">
        <f t="shared" si="218"/>
        <v/>
      </c>
      <c r="T1679" s="348" t="str">
        <f t="shared" si="219"/>
        <v/>
      </c>
      <c r="U1679" s="348" t="str">
        <f t="shared" si="220"/>
        <v/>
      </c>
      <c r="V1679" s="348" t="str">
        <f t="shared" si="221"/>
        <v/>
      </c>
      <c r="W1679" s="348" t="str">
        <f t="shared" si="222"/>
        <v/>
      </c>
      <c r="X1679" s="348" t="str">
        <f t="shared" si="223"/>
        <v/>
      </c>
    </row>
    <row r="1680" spans="1:24" x14ac:dyDescent="0.2">
      <c r="A1680" s="407">
        <v>1672</v>
      </c>
      <c r="B1680" s="437"/>
      <c r="C1680" s="438"/>
      <c r="D1680" s="438"/>
      <c r="E1680" s="438"/>
      <c r="F1680" s="438"/>
      <c r="G1680" s="438"/>
      <c r="H1680" s="438"/>
      <c r="I1680" s="438"/>
      <c r="J1680" s="11"/>
      <c r="Q1680" s="348" t="str">
        <f t="shared" si="216"/>
        <v/>
      </c>
      <c r="R1680" s="348" t="str">
        <f t="shared" si="217"/>
        <v/>
      </c>
      <c r="S1680" s="348" t="str">
        <f t="shared" si="218"/>
        <v/>
      </c>
      <c r="T1680" s="348" t="str">
        <f t="shared" si="219"/>
        <v/>
      </c>
      <c r="U1680" s="348" t="str">
        <f t="shared" si="220"/>
        <v/>
      </c>
      <c r="V1680" s="348" t="str">
        <f t="shared" si="221"/>
        <v/>
      </c>
      <c r="W1680" s="348" t="str">
        <f t="shared" si="222"/>
        <v/>
      </c>
      <c r="X1680" s="348" t="str">
        <f t="shared" si="223"/>
        <v/>
      </c>
    </row>
    <row r="1681" spans="1:24" x14ac:dyDescent="0.2">
      <c r="A1681" s="407">
        <v>1673</v>
      </c>
      <c r="B1681" s="438"/>
      <c r="C1681" s="438"/>
      <c r="D1681" s="438"/>
      <c r="E1681" s="438"/>
      <c r="F1681" s="438"/>
      <c r="G1681" s="438"/>
      <c r="H1681" s="438"/>
      <c r="I1681" s="438"/>
      <c r="J1681" s="11"/>
      <c r="Q1681" s="348" t="str">
        <f t="shared" si="216"/>
        <v/>
      </c>
      <c r="R1681" s="348" t="str">
        <f t="shared" si="217"/>
        <v/>
      </c>
      <c r="S1681" s="348" t="str">
        <f t="shared" si="218"/>
        <v/>
      </c>
      <c r="T1681" s="348" t="str">
        <f t="shared" si="219"/>
        <v/>
      </c>
      <c r="U1681" s="348" t="str">
        <f t="shared" si="220"/>
        <v/>
      </c>
      <c r="V1681" s="348" t="str">
        <f t="shared" si="221"/>
        <v/>
      </c>
      <c r="W1681" s="348" t="str">
        <f t="shared" si="222"/>
        <v/>
      </c>
      <c r="X1681" s="348" t="str">
        <f t="shared" si="223"/>
        <v/>
      </c>
    </row>
    <row r="1682" spans="1:24" x14ac:dyDescent="0.2">
      <c r="A1682" s="407">
        <v>1674</v>
      </c>
      <c r="B1682" s="438"/>
      <c r="C1682" s="438"/>
      <c r="D1682" s="438"/>
      <c r="E1682" s="438"/>
      <c r="F1682" s="438"/>
      <c r="G1682" s="438"/>
      <c r="H1682" s="438"/>
      <c r="I1682" s="438"/>
      <c r="J1682" s="11"/>
      <c r="Q1682" s="348" t="str">
        <f t="shared" si="216"/>
        <v/>
      </c>
      <c r="R1682" s="348" t="str">
        <f t="shared" si="217"/>
        <v/>
      </c>
      <c r="S1682" s="348" t="str">
        <f t="shared" si="218"/>
        <v/>
      </c>
      <c r="T1682" s="348" t="str">
        <f t="shared" si="219"/>
        <v/>
      </c>
      <c r="U1682" s="348" t="str">
        <f t="shared" si="220"/>
        <v/>
      </c>
      <c r="V1682" s="348" t="str">
        <f t="shared" si="221"/>
        <v/>
      </c>
      <c r="W1682" s="348" t="str">
        <f t="shared" si="222"/>
        <v/>
      </c>
      <c r="X1682" s="348" t="str">
        <f t="shared" si="223"/>
        <v/>
      </c>
    </row>
    <row r="1683" spans="1:24" x14ac:dyDescent="0.2">
      <c r="A1683" s="407">
        <v>1675</v>
      </c>
      <c r="B1683" s="438"/>
      <c r="C1683" s="438"/>
      <c r="D1683" s="438"/>
      <c r="E1683" s="438"/>
      <c r="F1683" s="438"/>
      <c r="G1683" s="438"/>
      <c r="H1683" s="438"/>
      <c r="I1683" s="438"/>
      <c r="J1683" s="11"/>
      <c r="Q1683" s="348" t="str">
        <f t="shared" si="216"/>
        <v/>
      </c>
      <c r="R1683" s="348" t="str">
        <f t="shared" si="217"/>
        <v/>
      </c>
      <c r="S1683" s="348" t="str">
        <f t="shared" si="218"/>
        <v/>
      </c>
      <c r="T1683" s="348" t="str">
        <f t="shared" si="219"/>
        <v/>
      </c>
      <c r="U1683" s="348" t="str">
        <f t="shared" si="220"/>
        <v/>
      </c>
      <c r="V1683" s="348" t="str">
        <f t="shared" si="221"/>
        <v/>
      </c>
      <c r="W1683" s="348" t="str">
        <f t="shared" si="222"/>
        <v/>
      </c>
      <c r="X1683" s="348" t="str">
        <f t="shared" si="223"/>
        <v/>
      </c>
    </row>
    <row r="1684" spans="1:24" x14ac:dyDescent="0.2">
      <c r="A1684" s="407">
        <v>1676</v>
      </c>
      <c r="B1684" s="438"/>
      <c r="C1684" s="438"/>
      <c r="D1684" s="438"/>
      <c r="E1684" s="438"/>
      <c r="F1684" s="438"/>
      <c r="G1684" s="438"/>
      <c r="H1684" s="438"/>
      <c r="I1684" s="438"/>
      <c r="J1684" s="11"/>
      <c r="Q1684" s="348" t="str">
        <f t="shared" si="216"/>
        <v/>
      </c>
      <c r="R1684" s="348" t="str">
        <f t="shared" si="217"/>
        <v/>
      </c>
      <c r="S1684" s="348" t="str">
        <f t="shared" si="218"/>
        <v/>
      </c>
      <c r="T1684" s="348" t="str">
        <f t="shared" si="219"/>
        <v/>
      </c>
      <c r="U1684" s="348" t="str">
        <f t="shared" si="220"/>
        <v/>
      </c>
      <c r="V1684" s="348" t="str">
        <f t="shared" si="221"/>
        <v/>
      </c>
      <c r="W1684" s="348" t="str">
        <f t="shared" si="222"/>
        <v/>
      </c>
      <c r="X1684" s="348" t="str">
        <f t="shared" si="223"/>
        <v/>
      </c>
    </row>
    <row r="1685" spans="1:24" x14ac:dyDescent="0.2">
      <c r="A1685" s="407">
        <v>1677</v>
      </c>
      <c r="B1685" s="438"/>
      <c r="C1685" s="438"/>
      <c r="D1685" s="438"/>
      <c r="E1685" s="438"/>
      <c r="F1685" s="438"/>
      <c r="G1685" s="438"/>
      <c r="H1685" s="438"/>
      <c r="I1685" s="438"/>
      <c r="J1685" s="11"/>
      <c r="Q1685" s="348" t="str">
        <f t="shared" si="216"/>
        <v/>
      </c>
      <c r="R1685" s="348" t="str">
        <f t="shared" si="217"/>
        <v/>
      </c>
      <c r="S1685" s="348" t="str">
        <f t="shared" si="218"/>
        <v/>
      </c>
      <c r="T1685" s="348" t="str">
        <f t="shared" si="219"/>
        <v/>
      </c>
      <c r="U1685" s="348" t="str">
        <f t="shared" si="220"/>
        <v/>
      </c>
      <c r="V1685" s="348" t="str">
        <f t="shared" si="221"/>
        <v/>
      </c>
      <c r="W1685" s="348" t="str">
        <f t="shared" si="222"/>
        <v/>
      </c>
      <c r="X1685" s="348" t="str">
        <f t="shared" si="223"/>
        <v/>
      </c>
    </row>
    <row r="1686" spans="1:24" x14ac:dyDescent="0.2">
      <c r="A1686" s="407">
        <v>1678</v>
      </c>
      <c r="B1686" s="438"/>
      <c r="C1686" s="438"/>
      <c r="D1686" s="438"/>
      <c r="E1686" s="438"/>
      <c r="F1686" s="438"/>
      <c r="G1686" s="438"/>
      <c r="H1686" s="438"/>
      <c r="I1686" s="438"/>
      <c r="J1686" s="11"/>
      <c r="Q1686" s="348" t="str">
        <f t="shared" si="216"/>
        <v/>
      </c>
      <c r="R1686" s="348" t="str">
        <f t="shared" si="217"/>
        <v/>
      </c>
      <c r="S1686" s="348" t="str">
        <f t="shared" si="218"/>
        <v/>
      </c>
      <c r="T1686" s="348" t="str">
        <f t="shared" si="219"/>
        <v/>
      </c>
      <c r="U1686" s="348" t="str">
        <f t="shared" si="220"/>
        <v/>
      </c>
      <c r="V1686" s="348" t="str">
        <f t="shared" si="221"/>
        <v/>
      </c>
      <c r="W1686" s="348" t="str">
        <f t="shared" si="222"/>
        <v/>
      </c>
      <c r="X1686" s="348" t="str">
        <f t="shared" si="223"/>
        <v/>
      </c>
    </row>
    <row r="1687" spans="1:24" x14ac:dyDescent="0.2">
      <c r="A1687" s="407">
        <v>1679</v>
      </c>
      <c r="B1687" s="438"/>
      <c r="C1687" s="438"/>
      <c r="D1687" s="438"/>
      <c r="E1687" s="438"/>
      <c r="F1687" s="438"/>
      <c r="G1687" s="438"/>
      <c r="H1687" s="438"/>
      <c r="I1687" s="438"/>
      <c r="J1687" s="11"/>
      <c r="Q1687" s="348" t="str">
        <f t="shared" si="216"/>
        <v/>
      </c>
      <c r="R1687" s="348" t="str">
        <f t="shared" si="217"/>
        <v/>
      </c>
      <c r="S1687" s="348" t="str">
        <f t="shared" si="218"/>
        <v/>
      </c>
      <c r="T1687" s="348" t="str">
        <f t="shared" si="219"/>
        <v/>
      </c>
      <c r="U1687" s="348" t="str">
        <f t="shared" si="220"/>
        <v/>
      </c>
      <c r="V1687" s="348" t="str">
        <f t="shared" si="221"/>
        <v/>
      </c>
      <c r="W1687" s="348" t="str">
        <f t="shared" si="222"/>
        <v/>
      </c>
      <c r="X1687" s="348" t="str">
        <f t="shared" si="223"/>
        <v/>
      </c>
    </row>
    <row r="1688" spans="1:24" x14ac:dyDescent="0.2">
      <c r="A1688" s="407">
        <v>1680</v>
      </c>
      <c r="B1688" s="438"/>
      <c r="C1688" s="438"/>
      <c r="D1688" s="438"/>
      <c r="E1688" s="438"/>
      <c r="F1688" s="438"/>
      <c r="G1688" s="438"/>
      <c r="H1688" s="438"/>
      <c r="I1688" s="438"/>
      <c r="J1688" s="11"/>
      <c r="Q1688" s="348" t="str">
        <f t="shared" si="216"/>
        <v/>
      </c>
      <c r="R1688" s="348" t="str">
        <f t="shared" si="217"/>
        <v/>
      </c>
      <c r="S1688" s="348" t="str">
        <f t="shared" si="218"/>
        <v/>
      </c>
      <c r="T1688" s="348" t="str">
        <f t="shared" si="219"/>
        <v/>
      </c>
      <c r="U1688" s="348" t="str">
        <f t="shared" si="220"/>
        <v/>
      </c>
      <c r="V1688" s="348" t="str">
        <f t="shared" si="221"/>
        <v/>
      </c>
      <c r="W1688" s="348" t="str">
        <f t="shared" si="222"/>
        <v/>
      </c>
      <c r="X1688" s="348" t="str">
        <f t="shared" si="223"/>
        <v/>
      </c>
    </row>
    <row r="1689" spans="1:24" x14ac:dyDescent="0.2">
      <c r="A1689" s="407">
        <v>1681</v>
      </c>
      <c r="B1689" s="438"/>
      <c r="C1689" s="438"/>
      <c r="D1689" s="437"/>
      <c r="E1689" s="438"/>
      <c r="F1689" s="438"/>
      <c r="G1689" s="438"/>
      <c r="H1689" s="438"/>
      <c r="I1689" s="438"/>
      <c r="J1689" s="11"/>
      <c r="Q1689" s="348" t="str">
        <f t="shared" si="216"/>
        <v/>
      </c>
      <c r="R1689" s="348" t="str">
        <f t="shared" si="217"/>
        <v/>
      </c>
      <c r="S1689" s="348" t="str">
        <f t="shared" si="218"/>
        <v/>
      </c>
      <c r="T1689" s="348" t="str">
        <f t="shared" si="219"/>
        <v/>
      </c>
      <c r="U1689" s="348" t="str">
        <f t="shared" si="220"/>
        <v/>
      </c>
      <c r="V1689" s="348" t="str">
        <f t="shared" si="221"/>
        <v/>
      </c>
      <c r="W1689" s="348" t="str">
        <f t="shared" si="222"/>
        <v/>
      </c>
      <c r="X1689" s="348" t="str">
        <f t="shared" si="223"/>
        <v/>
      </c>
    </row>
    <row r="1690" spans="1:24" x14ac:dyDescent="0.2">
      <c r="A1690" s="407">
        <v>1682</v>
      </c>
      <c r="B1690" s="438"/>
      <c r="C1690" s="438"/>
      <c r="D1690" s="438"/>
      <c r="E1690" s="438"/>
      <c r="F1690" s="438"/>
      <c r="G1690" s="438"/>
      <c r="H1690" s="438"/>
      <c r="I1690" s="438"/>
      <c r="J1690" s="11"/>
      <c r="Q1690" s="348" t="str">
        <f t="shared" si="216"/>
        <v/>
      </c>
      <c r="R1690" s="348" t="str">
        <f t="shared" si="217"/>
        <v/>
      </c>
      <c r="S1690" s="348" t="str">
        <f t="shared" si="218"/>
        <v/>
      </c>
      <c r="T1690" s="348" t="str">
        <f t="shared" si="219"/>
        <v/>
      </c>
      <c r="U1690" s="348" t="str">
        <f t="shared" si="220"/>
        <v/>
      </c>
      <c r="V1690" s="348" t="str">
        <f t="shared" si="221"/>
        <v/>
      </c>
      <c r="W1690" s="348" t="str">
        <f t="shared" si="222"/>
        <v/>
      </c>
      <c r="X1690" s="348" t="str">
        <f t="shared" si="223"/>
        <v/>
      </c>
    </row>
    <row r="1691" spans="1:24" x14ac:dyDescent="0.2">
      <c r="A1691" s="407">
        <v>1683</v>
      </c>
      <c r="B1691" s="438"/>
      <c r="C1691" s="438"/>
      <c r="D1691" s="438"/>
      <c r="E1691" s="438"/>
      <c r="F1691" s="438"/>
      <c r="G1691" s="438"/>
      <c r="H1691" s="438"/>
      <c r="I1691" s="438"/>
      <c r="J1691" s="11"/>
      <c r="Q1691" s="348" t="str">
        <f t="shared" si="216"/>
        <v/>
      </c>
      <c r="R1691" s="348" t="str">
        <f t="shared" si="217"/>
        <v/>
      </c>
      <c r="S1691" s="348" t="str">
        <f t="shared" si="218"/>
        <v/>
      </c>
      <c r="T1691" s="348" t="str">
        <f t="shared" si="219"/>
        <v/>
      </c>
      <c r="U1691" s="348" t="str">
        <f t="shared" si="220"/>
        <v/>
      </c>
      <c r="V1691" s="348" t="str">
        <f t="shared" si="221"/>
        <v/>
      </c>
      <c r="W1691" s="348" t="str">
        <f t="shared" si="222"/>
        <v/>
      </c>
      <c r="X1691" s="348" t="str">
        <f t="shared" si="223"/>
        <v/>
      </c>
    </row>
    <row r="1692" spans="1:24" x14ac:dyDescent="0.2">
      <c r="A1692" s="407">
        <v>1684</v>
      </c>
      <c r="B1692" s="438"/>
      <c r="C1692" s="438"/>
      <c r="D1692" s="438"/>
      <c r="E1692" s="438"/>
      <c r="F1692" s="438"/>
      <c r="G1692" s="438"/>
      <c r="H1692" s="438"/>
      <c r="I1692" s="438"/>
      <c r="J1692" s="11"/>
      <c r="Q1692" s="348" t="str">
        <f t="shared" si="216"/>
        <v/>
      </c>
      <c r="R1692" s="348" t="str">
        <f t="shared" si="217"/>
        <v/>
      </c>
      <c r="S1692" s="348" t="str">
        <f t="shared" si="218"/>
        <v/>
      </c>
      <c r="T1692" s="348" t="str">
        <f t="shared" si="219"/>
        <v/>
      </c>
      <c r="U1692" s="348" t="str">
        <f t="shared" si="220"/>
        <v/>
      </c>
      <c r="V1692" s="348" t="str">
        <f t="shared" si="221"/>
        <v/>
      </c>
      <c r="W1692" s="348" t="str">
        <f t="shared" si="222"/>
        <v/>
      </c>
      <c r="X1692" s="348" t="str">
        <f t="shared" si="223"/>
        <v/>
      </c>
    </row>
    <row r="1693" spans="1:24" x14ac:dyDescent="0.2">
      <c r="A1693" s="407">
        <v>1685</v>
      </c>
      <c r="B1693" s="438"/>
      <c r="C1693" s="438"/>
      <c r="D1693" s="438"/>
      <c r="E1693" s="438"/>
      <c r="F1693" s="438"/>
      <c r="G1693" s="438"/>
      <c r="H1693" s="438"/>
      <c r="I1693" s="438"/>
      <c r="J1693" s="11"/>
      <c r="Q1693" s="348" t="str">
        <f t="shared" si="216"/>
        <v/>
      </c>
      <c r="R1693" s="348" t="str">
        <f t="shared" si="217"/>
        <v/>
      </c>
      <c r="S1693" s="348" t="str">
        <f t="shared" si="218"/>
        <v/>
      </c>
      <c r="T1693" s="348" t="str">
        <f t="shared" si="219"/>
        <v/>
      </c>
      <c r="U1693" s="348" t="str">
        <f t="shared" si="220"/>
        <v/>
      </c>
      <c r="V1693" s="348" t="str">
        <f t="shared" si="221"/>
        <v/>
      </c>
      <c r="W1693" s="348" t="str">
        <f t="shared" si="222"/>
        <v/>
      </c>
      <c r="X1693" s="348" t="str">
        <f t="shared" si="223"/>
        <v/>
      </c>
    </row>
    <row r="1694" spans="1:24" x14ac:dyDescent="0.2">
      <c r="A1694" s="407">
        <v>1686</v>
      </c>
      <c r="B1694" s="438"/>
      <c r="C1694" s="438"/>
      <c r="D1694" s="438"/>
      <c r="E1694" s="438"/>
      <c r="F1694" s="438"/>
      <c r="G1694" s="438"/>
      <c r="H1694" s="438"/>
      <c r="I1694" s="438"/>
      <c r="J1694" s="11"/>
      <c r="Q1694" s="348" t="str">
        <f t="shared" si="216"/>
        <v/>
      </c>
      <c r="R1694" s="348" t="str">
        <f t="shared" si="217"/>
        <v/>
      </c>
      <c r="S1694" s="348" t="str">
        <f t="shared" si="218"/>
        <v/>
      </c>
      <c r="T1694" s="348" t="str">
        <f t="shared" si="219"/>
        <v/>
      </c>
      <c r="U1694" s="348" t="str">
        <f t="shared" si="220"/>
        <v/>
      </c>
      <c r="V1694" s="348" t="str">
        <f t="shared" si="221"/>
        <v/>
      </c>
      <c r="W1694" s="348" t="str">
        <f t="shared" si="222"/>
        <v/>
      </c>
      <c r="X1694" s="348" t="str">
        <f t="shared" si="223"/>
        <v/>
      </c>
    </row>
    <row r="1695" spans="1:24" x14ac:dyDescent="0.2">
      <c r="A1695" s="407">
        <v>1687</v>
      </c>
      <c r="B1695" s="438"/>
      <c r="C1695" s="438"/>
      <c r="D1695" s="438"/>
      <c r="E1695" s="438"/>
      <c r="F1695" s="438"/>
      <c r="G1695" s="438"/>
      <c r="H1695" s="438"/>
      <c r="I1695" s="438"/>
      <c r="J1695" s="11"/>
      <c r="Q1695" s="348" t="str">
        <f t="shared" si="216"/>
        <v/>
      </c>
      <c r="R1695" s="348" t="str">
        <f t="shared" si="217"/>
        <v/>
      </c>
      <c r="S1695" s="348" t="str">
        <f t="shared" si="218"/>
        <v/>
      </c>
      <c r="T1695" s="348" t="str">
        <f t="shared" si="219"/>
        <v/>
      </c>
      <c r="U1695" s="348" t="str">
        <f t="shared" si="220"/>
        <v/>
      </c>
      <c r="V1695" s="348" t="str">
        <f t="shared" si="221"/>
        <v/>
      </c>
      <c r="W1695" s="348" t="str">
        <f t="shared" si="222"/>
        <v/>
      </c>
      <c r="X1695" s="348" t="str">
        <f t="shared" si="223"/>
        <v/>
      </c>
    </row>
    <row r="1696" spans="1:24" x14ac:dyDescent="0.2">
      <c r="A1696" s="407">
        <v>1688</v>
      </c>
      <c r="B1696" s="438"/>
      <c r="C1696" s="438"/>
      <c r="D1696" s="438"/>
      <c r="E1696" s="438"/>
      <c r="F1696" s="438"/>
      <c r="G1696" s="438"/>
      <c r="H1696" s="438"/>
      <c r="I1696" s="438"/>
      <c r="J1696" s="11"/>
      <c r="Q1696" s="348" t="str">
        <f t="shared" si="216"/>
        <v/>
      </c>
      <c r="R1696" s="348" t="str">
        <f t="shared" si="217"/>
        <v/>
      </c>
      <c r="S1696" s="348" t="str">
        <f t="shared" si="218"/>
        <v/>
      </c>
      <c r="T1696" s="348" t="str">
        <f t="shared" si="219"/>
        <v/>
      </c>
      <c r="U1696" s="348" t="str">
        <f t="shared" si="220"/>
        <v/>
      </c>
      <c r="V1696" s="348" t="str">
        <f t="shared" si="221"/>
        <v/>
      </c>
      <c r="W1696" s="348" t="str">
        <f t="shared" si="222"/>
        <v/>
      </c>
      <c r="X1696" s="348" t="str">
        <f t="shared" si="223"/>
        <v/>
      </c>
    </row>
    <row r="1697" spans="1:24" x14ac:dyDescent="0.2">
      <c r="A1697" s="407">
        <v>1689</v>
      </c>
      <c r="B1697" s="438"/>
      <c r="C1697" s="438"/>
      <c r="D1697" s="438"/>
      <c r="E1697" s="438"/>
      <c r="F1697" s="438"/>
      <c r="G1697" s="438"/>
      <c r="H1697" s="438"/>
      <c r="I1697" s="437"/>
      <c r="J1697" s="11"/>
      <c r="Q1697" s="348" t="str">
        <f t="shared" si="216"/>
        <v/>
      </c>
      <c r="R1697" s="348" t="str">
        <f t="shared" si="217"/>
        <v/>
      </c>
      <c r="S1697" s="348" t="str">
        <f t="shared" si="218"/>
        <v/>
      </c>
      <c r="T1697" s="348" t="str">
        <f t="shared" si="219"/>
        <v/>
      </c>
      <c r="U1697" s="348" t="str">
        <f t="shared" si="220"/>
        <v/>
      </c>
      <c r="V1697" s="348" t="str">
        <f t="shared" si="221"/>
        <v/>
      </c>
      <c r="W1697" s="348" t="str">
        <f t="shared" si="222"/>
        <v/>
      </c>
      <c r="X1697" s="348" t="str">
        <f t="shared" si="223"/>
        <v/>
      </c>
    </row>
    <row r="1698" spans="1:24" x14ac:dyDescent="0.2">
      <c r="A1698" s="407">
        <v>1690</v>
      </c>
      <c r="B1698" s="438"/>
      <c r="C1698" s="438"/>
      <c r="D1698" s="438"/>
      <c r="E1698" s="438"/>
      <c r="F1698" s="438"/>
      <c r="G1698" s="438"/>
      <c r="H1698" s="438"/>
      <c r="I1698" s="438"/>
      <c r="J1698" s="11"/>
      <c r="Q1698" s="348" t="str">
        <f t="shared" si="216"/>
        <v/>
      </c>
      <c r="R1698" s="348" t="str">
        <f t="shared" si="217"/>
        <v/>
      </c>
      <c r="S1698" s="348" t="str">
        <f t="shared" si="218"/>
        <v/>
      </c>
      <c r="T1698" s="348" t="str">
        <f t="shared" si="219"/>
        <v/>
      </c>
      <c r="U1698" s="348" t="str">
        <f t="shared" si="220"/>
        <v/>
      </c>
      <c r="V1698" s="348" t="str">
        <f t="shared" si="221"/>
        <v/>
      </c>
      <c r="W1698" s="348" t="str">
        <f t="shared" si="222"/>
        <v/>
      </c>
      <c r="X1698" s="348" t="str">
        <f t="shared" si="223"/>
        <v/>
      </c>
    </row>
    <row r="1699" spans="1:24" x14ac:dyDescent="0.2">
      <c r="A1699" s="407">
        <v>1691</v>
      </c>
      <c r="B1699" s="437"/>
      <c r="C1699" s="438"/>
      <c r="D1699" s="438"/>
      <c r="E1699" s="438"/>
      <c r="F1699" s="438"/>
      <c r="G1699" s="438"/>
      <c r="H1699" s="438"/>
      <c r="I1699" s="438"/>
      <c r="J1699" s="11"/>
      <c r="Q1699" s="348" t="str">
        <f t="shared" si="216"/>
        <v/>
      </c>
      <c r="R1699" s="348" t="str">
        <f t="shared" si="217"/>
        <v/>
      </c>
      <c r="S1699" s="348" t="str">
        <f t="shared" si="218"/>
        <v/>
      </c>
      <c r="T1699" s="348" t="str">
        <f t="shared" si="219"/>
        <v/>
      </c>
      <c r="U1699" s="348" t="str">
        <f t="shared" si="220"/>
        <v/>
      </c>
      <c r="V1699" s="348" t="str">
        <f t="shared" si="221"/>
        <v/>
      </c>
      <c r="W1699" s="348" t="str">
        <f t="shared" si="222"/>
        <v/>
      </c>
      <c r="X1699" s="348" t="str">
        <f t="shared" si="223"/>
        <v/>
      </c>
    </row>
    <row r="1700" spans="1:24" x14ac:dyDescent="0.2">
      <c r="A1700" s="407">
        <v>1692</v>
      </c>
      <c r="B1700" s="438"/>
      <c r="C1700" s="438"/>
      <c r="D1700" s="438"/>
      <c r="E1700" s="438"/>
      <c r="F1700" s="438"/>
      <c r="G1700" s="438"/>
      <c r="H1700" s="438"/>
      <c r="I1700" s="438"/>
      <c r="J1700" s="11"/>
      <c r="Q1700" s="348" t="str">
        <f t="shared" si="216"/>
        <v/>
      </c>
      <c r="R1700" s="348" t="str">
        <f t="shared" si="217"/>
        <v/>
      </c>
      <c r="S1700" s="348" t="str">
        <f t="shared" si="218"/>
        <v/>
      </c>
      <c r="T1700" s="348" t="str">
        <f t="shared" si="219"/>
        <v/>
      </c>
      <c r="U1700" s="348" t="str">
        <f t="shared" si="220"/>
        <v/>
      </c>
      <c r="V1700" s="348" t="str">
        <f t="shared" si="221"/>
        <v/>
      </c>
      <c r="W1700" s="348" t="str">
        <f t="shared" si="222"/>
        <v/>
      </c>
      <c r="X1700" s="348" t="str">
        <f t="shared" si="223"/>
        <v/>
      </c>
    </row>
    <row r="1701" spans="1:24" x14ac:dyDescent="0.2">
      <c r="A1701" s="407">
        <v>1693</v>
      </c>
      <c r="B1701" s="438"/>
      <c r="C1701" s="437"/>
      <c r="D1701" s="438"/>
      <c r="E1701" s="438"/>
      <c r="F1701" s="438"/>
      <c r="G1701" s="438"/>
      <c r="H1701" s="438"/>
      <c r="I1701" s="438"/>
      <c r="J1701" s="11"/>
      <c r="Q1701" s="348" t="str">
        <f t="shared" si="216"/>
        <v/>
      </c>
      <c r="R1701" s="348" t="str">
        <f t="shared" si="217"/>
        <v/>
      </c>
      <c r="S1701" s="348" t="str">
        <f t="shared" si="218"/>
        <v/>
      </c>
      <c r="T1701" s="348" t="str">
        <f t="shared" si="219"/>
        <v/>
      </c>
      <c r="U1701" s="348" t="str">
        <f t="shared" si="220"/>
        <v/>
      </c>
      <c r="V1701" s="348" t="str">
        <f t="shared" si="221"/>
        <v/>
      </c>
      <c r="W1701" s="348" t="str">
        <f t="shared" si="222"/>
        <v/>
      </c>
      <c r="X1701" s="348" t="str">
        <f t="shared" si="223"/>
        <v/>
      </c>
    </row>
    <row r="1702" spans="1:24" x14ac:dyDescent="0.2">
      <c r="A1702" s="407">
        <v>1694</v>
      </c>
      <c r="B1702" s="438"/>
      <c r="C1702" s="438"/>
      <c r="D1702" s="438"/>
      <c r="E1702" s="437"/>
      <c r="F1702" s="438"/>
      <c r="G1702" s="438"/>
      <c r="H1702" s="438"/>
      <c r="I1702" s="438"/>
      <c r="J1702" s="11"/>
      <c r="Q1702" s="348" t="str">
        <f t="shared" si="216"/>
        <v/>
      </c>
      <c r="R1702" s="348" t="str">
        <f t="shared" si="217"/>
        <v/>
      </c>
      <c r="S1702" s="348" t="str">
        <f t="shared" si="218"/>
        <v/>
      </c>
      <c r="T1702" s="348" t="str">
        <f t="shared" si="219"/>
        <v/>
      </c>
      <c r="U1702" s="348" t="str">
        <f t="shared" si="220"/>
        <v/>
      </c>
      <c r="V1702" s="348" t="str">
        <f t="shared" si="221"/>
        <v/>
      </c>
      <c r="W1702" s="348" t="str">
        <f t="shared" si="222"/>
        <v/>
      </c>
      <c r="X1702" s="348" t="str">
        <f t="shared" si="223"/>
        <v/>
      </c>
    </row>
    <row r="1703" spans="1:24" x14ac:dyDescent="0.2">
      <c r="A1703" s="407">
        <v>1695</v>
      </c>
      <c r="B1703" s="438"/>
      <c r="C1703" s="438"/>
      <c r="D1703" s="438"/>
      <c r="E1703" s="438"/>
      <c r="F1703" s="438"/>
      <c r="G1703" s="438"/>
      <c r="H1703" s="438"/>
      <c r="I1703" s="438"/>
      <c r="J1703" s="11"/>
      <c r="Q1703" s="348" t="str">
        <f t="shared" si="216"/>
        <v/>
      </c>
      <c r="R1703" s="348" t="str">
        <f t="shared" si="217"/>
        <v/>
      </c>
      <c r="S1703" s="348" t="str">
        <f t="shared" si="218"/>
        <v/>
      </c>
      <c r="T1703" s="348" t="str">
        <f t="shared" si="219"/>
        <v/>
      </c>
      <c r="U1703" s="348" t="str">
        <f t="shared" si="220"/>
        <v/>
      </c>
      <c r="V1703" s="348" t="str">
        <f t="shared" si="221"/>
        <v/>
      </c>
      <c r="W1703" s="348" t="str">
        <f t="shared" si="222"/>
        <v/>
      </c>
      <c r="X1703" s="348" t="str">
        <f t="shared" si="223"/>
        <v/>
      </c>
    </row>
    <row r="1704" spans="1:24" x14ac:dyDescent="0.2">
      <c r="A1704" s="407">
        <v>1696</v>
      </c>
      <c r="B1704" s="438"/>
      <c r="C1704" s="438"/>
      <c r="D1704" s="438"/>
      <c r="E1704" s="438"/>
      <c r="F1704" s="438"/>
      <c r="G1704" s="438"/>
      <c r="H1704" s="438"/>
      <c r="I1704" s="438"/>
      <c r="J1704" s="11"/>
      <c r="Q1704" s="348" t="str">
        <f t="shared" si="216"/>
        <v/>
      </c>
      <c r="R1704" s="348" t="str">
        <f t="shared" si="217"/>
        <v/>
      </c>
      <c r="S1704" s="348" t="str">
        <f t="shared" si="218"/>
        <v/>
      </c>
      <c r="T1704" s="348" t="str">
        <f t="shared" si="219"/>
        <v/>
      </c>
      <c r="U1704" s="348" t="str">
        <f t="shared" si="220"/>
        <v/>
      </c>
      <c r="V1704" s="348" t="str">
        <f t="shared" si="221"/>
        <v/>
      </c>
      <c r="W1704" s="348" t="str">
        <f t="shared" si="222"/>
        <v/>
      </c>
      <c r="X1704" s="348" t="str">
        <f t="shared" si="223"/>
        <v/>
      </c>
    </row>
    <row r="1705" spans="1:24" x14ac:dyDescent="0.2">
      <c r="A1705" s="407">
        <v>1697</v>
      </c>
      <c r="B1705" s="438"/>
      <c r="C1705" s="438"/>
      <c r="D1705" s="438"/>
      <c r="E1705" s="438"/>
      <c r="F1705" s="438"/>
      <c r="G1705" s="438"/>
      <c r="H1705" s="438"/>
      <c r="I1705" s="438"/>
      <c r="J1705" s="11"/>
      <c r="Q1705" s="348" t="str">
        <f t="shared" si="216"/>
        <v/>
      </c>
      <c r="R1705" s="348" t="str">
        <f t="shared" si="217"/>
        <v/>
      </c>
      <c r="S1705" s="348" t="str">
        <f t="shared" si="218"/>
        <v/>
      </c>
      <c r="T1705" s="348" t="str">
        <f t="shared" si="219"/>
        <v/>
      </c>
      <c r="U1705" s="348" t="str">
        <f t="shared" si="220"/>
        <v/>
      </c>
      <c r="V1705" s="348" t="str">
        <f t="shared" si="221"/>
        <v/>
      </c>
      <c r="W1705" s="348" t="str">
        <f t="shared" si="222"/>
        <v/>
      </c>
      <c r="X1705" s="348" t="str">
        <f t="shared" si="223"/>
        <v/>
      </c>
    </row>
    <row r="1706" spans="1:24" x14ac:dyDescent="0.2">
      <c r="A1706" s="407">
        <v>1698</v>
      </c>
      <c r="B1706" s="438"/>
      <c r="C1706" s="438"/>
      <c r="D1706" s="438"/>
      <c r="E1706" s="438"/>
      <c r="F1706" s="438"/>
      <c r="G1706" s="438"/>
      <c r="H1706" s="438"/>
      <c r="I1706" s="438"/>
      <c r="J1706" s="11"/>
      <c r="Q1706" s="348" t="str">
        <f t="shared" si="216"/>
        <v/>
      </c>
      <c r="R1706" s="348" t="str">
        <f t="shared" si="217"/>
        <v/>
      </c>
      <c r="S1706" s="348" t="str">
        <f t="shared" si="218"/>
        <v/>
      </c>
      <c r="T1706" s="348" t="str">
        <f t="shared" si="219"/>
        <v/>
      </c>
      <c r="U1706" s="348" t="str">
        <f t="shared" si="220"/>
        <v/>
      </c>
      <c r="V1706" s="348" t="str">
        <f t="shared" si="221"/>
        <v/>
      </c>
      <c r="W1706" s="348" t="str">
        <f t="shared" si="222"/>
        <v/>
      </c>
      <c r="X1706" s="348" t="str">
        <f t="shared" si="223"/>
        <v/>
      </c>
    </row>
    <row r="1707" spans="1:24" x14ac:dyDescent="0.2">
      <c r="A1707" s="407">
        <v>1699</v>
      </c>
      <c r="B1707" s="438"/>
      <c r="C1707" s="438"/>
      <c r="D1707" s="438"/>
      <c r="E1707" s="438"/>
      <c r="F1707" s="438"/>
      <c r="G1707" s="437"/>
      <c r="H1707" s="438"/>
      <c r="I1707" s="438"/>
      <c r="J1707" s="11"/>
      <c r="Q1707" s="348" t="str">
        <f t="shared" si="216"/>
        <v/>
      </c>
      <c r="R1707" s="348" t="str">
        <f t="shared" si="217"/>
        <v/>
      </c>
      <c r="S1707" s="348" t="str">
        <f t="shared" si="218"/>
        <v/>
      </c>
      <c r="T1707" s="348" t="str">
        <f t="shared" si="219"/>
        <v/>
      </c>
      <c r="U1707" s="348" t="str">
        <f t="shared" si="220"/>
        <v/>
      </c>
      <c r="V1707" s="348" t="str">
        <f t="shared" si="221"/>
        <v/>
      </c>
      <c r="W1707" s="348" t="str">
        <f t="shared" si="222"/>
        <v/>
      </c>
      <c r="X1707" s="348" t="str">
        <f t="shared" si="223"/>
        <v/>
      </c>
    </row>
    <row r="1708" spans="1:24" x14ac:dyDescent="0.2">
      <c r="A1708" s="407">
        <v>1700</v>
      </c>
      <c r="B1708" s="438"/>
      <c r="C1708" s="438"/>
      <c r="D1708" s="438"/>
      <c r="E1708" s="438"/>
      <c r="F1708" s="438"/>
      <c r="G1708" s="438"/>
      <c r="H1708" s="438"/>
      <c r="I1708" s="438"/>
      <c r="J1708" s="11"/>
      <c r="Q1708" s="348" t="str">
        <f t="shared" si="216"/>
        <v/>
      </c>
      <c r="R1708" s="348" t="str">
        <f t="shared" si="217"/>
        <v/>
      </c>
      <c r="S1708" s="348" t="str">
        <f t="shared" si="218"/>
        <v/>
      </c>
      <c r="T1708" s="348" t="str">
        <f t="shared" si="219"/>
        <v/>
      </c>
      <c r="U1708" s="348" t="str">
        <f t="shared" si="220"/>
        <v/>
      </c>
      <c r="V1708" s="348" t="str">
        <f t="shared" si="221"/>
        <v/>
      </c>
      <c r="W1708" s="348" t="str">
        <f t="shared" si="222"/>
        <v/>
      </c>
      <c r="X1708" s="348" t="str">
        <f t="shared" si="223"/>
        <v/>
      </c>
    </row>
    <row r="1709" spans="1:24" x14ac:dyDescent="0.2">
      <c r="A1709" s="407">
        <v>1701</v>
      </c>
      <c r="B1709" s="437"/>
      <c r="C1709" s="437"/>
      <c r="D1709" s="438"/>
      <c r="E1709" s="437"/>
      <c r="F1709" s="437"/>
      <c r="G1709" s="437"/>
      <c r="H1709" s="437"/>
      <c r="I1709" s="438"/>
      <c r="J1709" s="11"/>
      <c r="Q1709" s="348" t="str">
        <f t="shared" si="216"/>
        <v/>
      </c>
      <c r="R1709" s="348" t="str">
        <f t="shared" si="217"/>
        <v/>
      </c>
      <c r="S1709" s="348" t="str">
        <f t="shared" si="218"/>
        <v/>
      </c>
      <c r="T1709" s="348" t="str">
        <f t="shared" si="219"/>
        <v/>
      </c>
      <c r="U1709" s="348" t="str">
        <f t="shared" si="220"/>
        <v/>
      </c>
      <c r="V1709" s="348" t="str">
        <f t="shared" si="221"/>
        <v/>
      </c>
      <c r="W1709" s="348" t="str">
        <f t="shared" si="222"/>
        <v/>
      </c>
      <c r="X1709" s="348" t="str">
        <f t="shared" si="223"/>
        <v/>
      </c>
    </row>
    <row r="1710" spans="1:24" x14ac:dyDescent="0.2">
      <c r="A1710" s="407">
        <v>1702</v>
      </c>
      <c r="B1710" s="438"/>
      <c r="C1710" s="438"/>
      <c r="D1710" s="438"/>
      <c r="E1710" s="438"/>
      <c r="F1710" s="438"/>
      <c r="G1710" s="438"/>
      <c r="H1710" s="438"/>
      <c r="I1710" s="438"/>
      <c r="J1710" s="11"/>
      <c r="Q1710" s="348" t="str">
        <f t="shared" si="216"/>
        <v/>
      </c>
      <c r="R1710" s="348" t="str">
        <f t="shared" si="217"/>
        <v/>
      </c>
      <c r="S1710" s="348" t="str">
        <f t="shared" si="218"/>
        <v/>
      </c>
      <c r="T1710" s="348" t="str">
        <f t="shared" si="219"/>
        <v/>
      </c>
      <c r="U1710" s="348" t="str">
        <f t="shared" si="220"/>
        <v/>
      </c>
      <c r="V1710" s="348" t="str">
        <f t="shared" si="221"/>
        <v/>
      </c>
      <c r="W1710" s="348" t="str">
        <f t="shared" si="222"/>
        <v/>
      </c>
      <c r="X1710" s="348" t="str">
        <f t="shared" si="223"/>
        <v/>
      </c>
    </row>
    <row r="1711" spans="1:24" x14ac:dyDescent="0.2">
      <c r="A1711" s="407">
        <v>1703</v>
      </c>
      <c r="B1711" s="438"/>
      <c r="C1711" s="438"/>
      <c r="D1711" s="438"/>
      <c r="E1711" s="438"/>
      <c r="F1711" s="438"/>
      <c r="G1711" s="438"/>
      <c r="H1711" s="438"/>
      <c r="I1711" s="438"/>
      <c r="J1711" s="11"/>
      <c r="Q1711" s="348" t="str">
        <f t="shared" si="216"/>
        <v/>
      </c>
      <c r="R1711" s="348" t="str">
        <f t="shared" si="217"/>
        <v/>
      </c>
      <c r="S1711" s="348" t="str">
        <f t="shared" si="218"/>
        <v/>
      </c>
      <c r="T1711" s="348" t="str">
        <f t="shared" si="219"/>
        <v/>
      </c>
      <c r="U1711" s="348" t="str">
        <f t="shared" si="220"/>
        <v/>
      </c>
      <c r="V1711" s="348" t="str">
        <f t="shared" si="221"/>
        <v/>
      </c>
      <c r="W1711" s="348" t="str">
        <f t="shared" si="222"/>
        <v/>
      </c>
      <c r="X1711" s="348" t="str">
        <f t="shared" si="223"/>
        <v/>
      </c>
    </row>
    <row r="1712" spans="1:24" x14ac:dyDescent="0.2">
      <c r="A1712" s="407">
        <v>1704</v>
      </c>
      <c r="B1712" s="438"/>
      <c r="C1712" s="438"/>
      <c r="D1712" s="438"/>
      <c r="E1712" s="438"/>
      <c r="F1712" s="438"/>
      <c r="G1712" s="438"/>
      <c r="H1712" s="438"/>
      <c r="I1712" s="438"/>
      <c r="J1712" s="11"/>
      <c r="Q1712" s="348" t="str">
        <f t="shared" si="216"/>
        <v/>
      </c>
      <c r="R1712" s="348" t="str">
        <f t="shared" si="217"/>
        <v/>
      </c>
      <c r="S1712" s="348" t="str">
        <f t="shared" si="218"/>
        <v/>
      </c>
      <c r="T1712" s="348" t="str">
        <f t="shared" si="219"/>
        <v/>
      </c>
      <c r="U1712" s="348" t="str">
        <f t="shared" si="220"/>
        <v/>
      </c>
      <c r="V1712" s="348" t="str">
        <f t="shared" si="221"/>
        <v/>
      </c>
      <c r="W1712" s="348" t="str">
        <f t="shared" si="222"/>
        <v/>
      </c>
      <c r="X1712" s="348" t="str">
        <f t="shared" si="223"/>
        <v/>
      </c>
    </row>
    <row r="1713" spans="1:24" x14ac:dyDescent="0.2">
      <c r="A1713" s="407">
        <v>1705</v>
      </c>
      <c r="B1713" s="438"/>
      <c r="C1713" s="438"/>
      <c r="D1713" s="438"/>
      <c r="E1713" s="438"/>
      <c r="F1713" s="438"/>
      <c r="G1713" s="438"/>
      <c r="H1713" s="438"/>
      <c r="I1713" s="438"/>
      <c r="J1713" s="11"/>
      <c r="Q1713" s="348" t="str">
        <f t="shared" si="216"/>
        <v/>
      </c>
      <c r="R1713" s="348" t="str">
        <f t="shared" si="217"/>
        <v/>
      </c>
      <c r="S1713" s="348" t="str">
        <f t="shared" si="218"/>
        <v/>
      </c>
      <c r="T1713" s="348" t="str">
        <f t="shared" si="219"/>
        <v/>
      </c>
      <c r="U1713" s="348" t="str">
        <f t="shared" si="220"/>
        <v/>
      </c>
      <c r="V1713" s="348" t="str">
        <f t="shared" si="221"/>
        <v/>
      </c>
      <c r="W1713" s="348" t="str">
        <f t="shared" si="222"/>
        <v/>
      </c>
      <c r="X1713" s="348" t="str">
        <f t="shared" si="223"/>
        <v/>
      </c>
    </row>
    <row r="1714" spans="1:24" x14ac:dyDescent="0.2">
      <c r="A1714" s="407">
        <v>1706</v>
      </c>
      <c r="B1714" s="438"/>
      <c r="C1714" s="438"/>
      <c r="D1714" s="438"/>
      <c r="E1714" s="438"/>
      <c r="F1714" s="438"/>
      <c r="G1714" s="438"/>
      <c r="H1714" s="438"/>
      <c r="I1714" s="438"/>
      <c r="J1714" s="11"/>
      <c r="Q1714" s="348" t="str">
        <f t="shared" si="216"/>
        <v/>
      </c>
      <c r="R1714" s="348" t="str">
        <f t="shared" si="217"/>
        <v/>
      </c>
      <c r="S1714" s="348" t="str">
        <f t="shared" si="218"/>
        <v/>
      </c>
      <c r="T1714" s="348" t="str">
        <f t="shared" si="219"/>
        <v/>
      </c>
      <c r="U1714" s="348" t="str">
        <f t="shared" si="220"/>
        <v/>
      </c>
      <c r="V1714" s="348" t="str">
        <f t="shared" si="221"/>
        <v/>
      </c>
      <c r="W1714" s="348" t="str">
        <f t="shared" si="222"/>
        <v/>
      </c>
      <c r="X1714" s="348" t="str">
        <f t="shared" si="223"/>
        <v/>
      </c>
    </row>
    <row r="1715" spans="1:24" x14ac:dyDescent="0.2">
      <c r="A1715" s="407">
        <v>1707</v>
      </c>
      <c r="B1715" s="438"/>
      <c r="C1715" s="438"/>
      <c r="D1715" s="438"/>
      <c r="E1715" s="438"/>
      <c r="F1715" s="438"/>
      <c r="G1715" s="438"/>
      <c r="H1715" s="438"/>
      <c r="I1715" s="438"/>
      <c r="J1715" s="11"/>
      <c r="Q1715" s="348" t="str">
        <f t="shared" si="216"/>
        <v/>
      </c>
      <c r="R1715" s="348" t="str">
        <f t="shared" si="217"/>
        <v/>
      </c>
      <c r="S1715" s="348" t="str">
        <f t="shared" si="218"/>
        <v/>
      </c>
      <c r="T1715" s="348" t="str">
        <f t="shared" si="219"/>
        <v/>
      </c>
      <c r="U1715" s="348" t="str">
        <f t="shared" si="220"/>
        <v/>
      </c>
      <c r="V1715" s="348" t="str">
        <f t="shared" si="221"/>
        <v/>
      </c>
      <c r="W1715" s="348" t="str">
        <f t="shared" si="222"/>
        <v/>
      </c>
      <c r="X1715" s="348" t="str">
        <f t="shared" si="223"/>
        <v/>
      </c>
    </row>
    <row r="1716" spans="1:24" x14ac:dyDescent="0.2">
      <c r="A1716" s="407">
        <v>1708</v>
      </c>
      <c r="B1716" s="438"/>
      <c r="C1716" s="438"/>
      <c r="D1716" s="438"/>
      <c r="E1716" s="438"/>
      <c r="F1716" s="438"/>
      <c r="G1716" s="438"/>
      <c r="H1716" s="438"/>
      <c r="I1716" s="438"/>
      <c r="J1716" s="11"/>
      <c r="Q1716" s="348" t="str">
        <f t="shared" si="216"/>
        <v/>
      </c>
      <c r="R1716" s="348" t="str">
        <f t="shared" si="217"/>
        <v/>
      </c>
      <c r="S1716" s="348" t="str">
        <f t="shared" si="218"/>
        <v/>
      </c>
      <c r="T1716" s="348" t="str">
        <f t="shared" si="219"/>
        <v/>
      </c>
      <c r="U1716" s="348" t="str">
        <f t="shared" si="220"/>
        <v/>
      </c>
      <c r="V1716" s="348" t="str">
        <f t="shared" si="221"/>
        <v/>
      </c>
      <c r="W1716" s="348" t="str">
        <f t="shared" si="222"/>
        <v/>
      </c>
      <c r="X1716" s="348" t="str">
        <f t="shared" si="223"/>
        <v/>
      </c>
    </row>
    <row r="1717" spans="1:24" x14ac:dyDescent="0.2">
      <c r="A1717" s="407">
        <v>1709</v>
      </c>
      <c r="B1717" s="438"/>
      <c r="C1717" s="438"/>
      <c r="D1717" s="438"/>
      <c r="E1717" s="438"/>
      <c r="F1717" s="438"/>
      <c r="G1717" s="438"/>
      <c r="H1717" s="438"/>
      <c r="I1717" s="438"/>
      <c r="J1717" s="11"/>
      <c r="Q1717" s="348" t="str">
        <f t="shared" si="216"/>
        <v/>
      </c>
      <c r="R1717" s="348" t="str">
        <f t="shared" si="217"/>
        <v/>
      </c>
      <c r="S1717" s="348" t="str">
        <f t="shared" si="218"/>
        <v/>
      </c>
      <c r="T1717" s="348" t="str">
        <f t="shared" si="219"/>
        <v/>
      </c>
      <c r="U1717" s="348" t="str">
        <f t="shared" si="220"/>
        <v/>
      </c>
      <c r="V1717" s="348" t="str">
        <f t="shared" si="221"/>
        <v/>
      </c>
      <c r="W1717" s="348" t="str">
        <f t="shared" si="222"/>
        <v/>
      </c>
      <c r="X1717" s="348" t="str">
        <f t="shared" si="223"/>
        <v/>
      </c>
    </row>
    <row r="1718" spans="1:24" x14ac:dyDescent="0.2">
      <c r="A1718" s="407">
        <v>1710</v>
      </c>
      <c r="B1718" s="438"/>
      <c r="C1718" s="438"/>
      <c r="D1718" s="438"/>
      <c r="E1718" s="438"/>
      <c r="F1718" s="438"/>
      <c r="G1718" s="438"/>
      <c r="H1718" s="438"/>
      <c r="I1718" s="438"/>
      <c r="J1718" s="11"/>
      <c r="Q1718" s="348" t="str">
        <f t="shared" si="216"/>
        <v/>
      </c>
      <c r="R1718" s="348" t="str">
        <f t="shared" si="217"/>
        <v/>
      </c>
      <c r="S1718" s="348" t="str">
        <f t="shared" si="218"/>
        <v/>
      </c>
      <c r="T1718" s="348" t="str">
        <f t="shared" si="219"/>
        <v/>
      </c>
      <c r="U1718" s="348" t="str">
        <f t="shared" si="220"/>
        <v/>
      </c>
      <c r="V1718" s="348" t="str">
        <f t="shared" si="221"/>
        <v/>
      </c>
      <c r="W1718" s="348" t="str">
        <f t="shared" si="222"/>
        <v/>
      </c>
      <c r="X1718" s="348" t="str">
        <f t="shared" si="223"/>
        <v/>
      </c>
    </row>
    <row r="1719" spans="1:24" x14ac:dyDescent="0.2">
      <c r="A1719" s="407">
        <v>1711</v>
      </c>
      <c r="B1719" s="438"/>
      <c r="C1719" s="438"/>
      <c r="D1719" s="437"/>
      <c r="E1719" s="438"/>
      <c r="F1719" s="438"/>
      <c r="G1719" s="438"/>
      <c r="H1719" s="438"/>
      <c r="I1719" s="438"/>
      <c r="J1719" s="11"/>
      <c r="Q1719" s="348" t="str">
        <f t="shared" si="216"/>
        <v/>
      </c>
      <c r="R1719" s="348" t="str">
        <f t="shared" si="217"/>
        <v/>
      </c>
      <c r="S1719" s="348" t="str">
        <f t="shared" si="218"/>
        <v/>
      </c>
      <c r="T1719" s="348" t="str">
        <f t="shared" si="219"/>
        <v/>
      </c>
      <c r="U1719" s="348" t="str">
        <f t="shared" si="220"/>
        <v/>
      </c>
      <c r="V1719" s="348" t="str">
        <f t="shared" si="221"/>
        <v/>
      </c>
      <c r="W1719" s="348" t="str">
        <f t="shared" si="222"/>
        <v/>
      </c>
      <c r="X1719" s="348" t="str">
        <f t="shared" si="223"/>
        <v/>
      </c>
    </row>
    <row r="1720" spans="1:24" x14ac:dyDescent="0.2">
      <c r="A1720" s="407">
        <v>1712</v>
      </c>
      <c r="B1720" s="438"/>
      <c r="C1720" s="438"/>
      <c r="D1720" s="438"/>
      <c r="E1720" s="438"/>
      <c r="F1720" s="438"/>
      <c r="G1720" s="438"/>
      <c r="H1720" s="438"/>
      <c r="I1720" s="438"/>
      <c r="J1720" s="11"/>
      <c r="Q1720" s="348" t="str">
        <f t="shared" si="216"/>
        <v/>
      </c>
      <c r="R1720" s="348" t="str">
        <f t="shared" si="217"/>
        <v/>
      </c>
      <c r="S1720" s="348" t="str">
        <f t="shared" si="218"/>
        <v/>
      </c>
      <c r="T1720" s="348" t="str">
        <f t="shared" si="219"/>
        <v/>
      </c>
      <c r="U1720" s="348" t="str">
        <f t="shared" si="220"/>
        <v/>
      </c>
      <c r="V1720" s="348" t="str">
        <f t="shared" si="221"/>
        <v/>
      </c>
      <c r="W1720" s="348" t="str">
        <f t="shared" si="222"/>
        <v/>
      </c>
      <c r="X1720" s="348" t="str">
        <f t="shared" si="223"/>
        <v/>
      </c>
    </row>
    <row r="1721" spans="1:24" x14ac:dyDescent="0.2">
      <c r="A1721" s="407">
        <v>1713</v>
      </c>
      <c r="B1721" s="438"/>
      <c r="C1721" s="438"/>
      <c r="D1721" s="438"/>
      <c r="E1721" s="438"/>
      <c r="F1721" s="438"/>
      <c r="G1721" s="438"/>
      <c r="H1721" s="438"/>
      <c r="I1721" s="438"/>
      <c r="J1721" s="11"/>
      <c r="Q1721" s="348" t="str">
        <f t="shared" si="216"/>
        <v/>
      </c>
      <c r="R1721" s="348" t="str">
        <f t="shared" si="217"/>
        <v/>
      </c>
      <c r="S1721" s="348" t="str">
        <f t="shared" si="218"/>
        <v/>
      </c>
      <c r="T1721" s="348" t="str">
        <f t="shared" si="219"/>
        <v/>
      </c>
      <c r="U1721" s="348" t="str">
        <f t="shared" si="220"/>
        <v/>
      </c>
      <c r="V1721" s="348" t="str">
        <f t="shared" si="221"/>
        <v/>
      </c>
      <c r="W1721" s="348" t="str">
        <f t="shared" si="222"/>
        <v/>
      </c>
      <c r="X1721" s="348" t="str">
        <f t="shared" si="223"/>
        <v/>
      </c>
    </row>
    <row r="1722" spans="1:24" x14ac:dyDescent="0.2">
      <c r="A1722" s="407">
        <v>1714</v>
      </c>
      <c r="B1722" s="438"/>
      <c r="C1722" s="438"/>
      <c r="D1722" s="438"/>
      <c r="E1722" s="438"/>
      <c r="F1722" s="438"/>
      <c r="G1722" s="438"/>
      <c r="H1722" s="438"/>
      <c r="I1722" s="438"/>
      <c r="J1722" s="11"/>
      <c r="Q1722" s="348" t="str">
        <f t="shared" si="216"/>
        <v/>
      </c>
      <c r="R1722" s="348" t="str">
        <f t="shared" si="217"/>
        <v/>
      </c>
      <c r="S1722" s="348" t="str">
        <f t="shared" si="218"/>
        <v/>
      </c>
      <c r="T1722" s="348" t="str">
        <f t="shared" si="219"/>
        <v/>
      </c>
      <c r="U1722" s="348" t="str">
        <f t="shared" si="220"/>
        <v/>
      </c>
      <c r="V1722" s="348" t="str">
        <f t="shared" si="221"/>
        <v/>
      </c>
      <c r="W1722" s="348" t="str">
        <f t="shared" si="222"/>
        <v/>
      </c>
      <c r="X1722" s="348" t="str">
        <f t="shared" si="223"/>
        <v/>
      </c>
    </row>
    <row r="1723" spans="1:24" x14ac:dyDescent="0.2">
      <c r="A1723" s="407">
        <v>1715</v>
      </c>
      <c r="B1723" s="437"/>
      <c r="C1723" s="437"/>
      <c r="D1723" s="438"/>
      <c r="E1723" s="438"/>
      <c r="F1723" s="438"/>
      <c r="G1723" s="438"/>
      <c r="H1723" s="438"/>
      <c r="I1723" s="438"/>
      <c r="J1723" s="11"/>
      <c r="Q1723" s="348" t="str">
        <f t="shared" si="216"/>
        <v/>
      </c>
      <c r="R1723" s="348" t="str">
        <f t="shared" si="217"/>
        <v/>
      </c>
      <c r="S1723" s="348" t="str">
        <f t="shared" si="218"/>
        <v/>
      </c>
      <c r="T1723" s="348" t="str">
        <f t="shared" si="219"/>
        <v/>
      </c>
      <c r="U1723" s="348" t="str">
        <f t="shared" si="220"/>
        <v/>
      </c>
      <c r="V1723" s="348" t="str">
        <f t="shared" si="221"/>
        <v/>
      </c>
      <c r="W1723" s="348" t="str">
        <f t="shared" si="222"/>
        <v/>
      </c>
      <c r="X1723" s="348" t="str">
        <f t="shared" si="223"/>
        <v/>
      </c>
    </row>
    <row r="1724" spans="1:24" x14ac:dyDescent="0.2">
      <c r="A1724" s="407">
        <v>1716</v>
      </c>
      <c r="B1724" s="438"/>
      <c r="C1724" s="438"/>
      <c r="D1724" s="438"/>
      <c r="E1724" s="438"/>
      <c r="F1724" s="438"/>
      <c r="G1724" s="438"/>
      <c r="H1724" s="438"/>
      <c r="I1724" s="438"/>
      <c r="J1724" s="11"/>
      <c r="Q1724" s="348" t="str">
        <f t="shared" si="216"/>
        <v/>
      </c>
      <c r="R1724" s="348" t="str">
        <f t="shared" si="217"/>
        <v/>
      </c>
      <c r="S1724" s="348" t="str">
        <f t="shared" si="218"/>
        <v/>
      </c>
      <c r="T1724" s="348" t="str">
        <f t="shared" si="219"/>
        <v/>
      </c>
      <c r="U1724" s="348" t="str">
        <f t="shared" si="220"/>
        <v/>
      </c>
      <c r="V1724" s="348" t="str">
        <f t="shared" si="221"/>
        <v/>
      </c>
      <c r="W1724" s="348" t="str">
        <f t="shared" si="222"/>
        <v/>
      </c>
      <c r="X1724" s="348" t="str">
        <f t="shared" si="223"/>
        <v/>
      </c>
    </row>
    <row r="1725" spans="1:24" x14ac:dyDescent="0.2">
      <c r="A1725" s="407">
        <v>1717</v>
      </c>
      <c r="B1725" s="438"/>
      <c r="C1725" s="438"/>
      <c r="D1725" s="438"/>
      <c r="E1725" s="438"/>
      <c r="F1725" s="438"/>
      <c r="G1725" s="438"/>
      <c r="H1725" s="438"/>
      <c r="I1725" s="438"/>
      <c r="J1725" s="11"/>
      <c r="Q1725" s="348" t="str">
        <f t="shared" si="216"/>
        <v/>
      </c>
      <c r="R1725" s="348" t="str">
        <f t="shared" si="217"/>
        <v/>
      </c>
      <c r="S1725" s="348" t="str">
        <f t="shared" si="218"/>
        <v/>
      </c>
      <c r="T1725" s="348" t="str">
        <f t="shared" si="219"/>
        <v/>
      </c>
      <c r="U1725" s="348" t="str">
        <f t="shared" si="220"/>
        <v/>
      </c>
      <c r="V1725" s="348" t="str">
        <f t="shared" si="221"/>
        <v/>
      </c>
      <c r="W1725" s="348" t="str">
        <f t="shared" si="222"/>
        <v/>
      </c>
      <c r="X1725" s="348" t="str">
        <f t="shared" si="223"/>
        <v/>
      </c>
    </row>
    <row r="1726" spans="1:24" x14ac:dyDescent="0.2">
      <c r="A1726" s="407">
        <v>1718</v>
      </c>
      <c r="B1726" s="438"/>
      <c r="C1726" s="438"/>
      <c r="D1726" s="438"/>
      <c r="E1726" s="438"/>
      <c r="F1726" s="438"/>
      <c r="G1726" s="438"/>
      <c r="H1726" s="438"/>
      <c r="I1726" s="438"/>
      <c r="J1726" s="11"/>
      <c r="Q1726" s="348" t="str">
        <f t="shared" si="216"/>
        <v/>
      </c>
      <c r="R1726" s="348" t="str">
        <f t="shared" si="217"/>
        <v/>
      </c>
      <c r="S1726" s="348" t="str">
        <f t="shared" si="218"/>
        <v/>
      </c>
      <c r="T1726" s="348" t="str">
        <f t="shared" si="219"/>
        <v/>
      </c>
      <c r="U1726" s="348" t="str">
        <f t="shared" si="220"/>
        <v/>
      </c>
      <c r="V1726" s="348" t="str">
        <f t="shared" si="221"/>
        <v/>
      </c>
      <c r="W1726" s="348" t="str">
        <f t="shared" si="222"/>
        <v/>
      </c>
      <c r="X1726" s="348" t="str">
        <f t="shared" si="223"/>
        <v/>
      </c>
    </row>
    <row r="1727" spans="1:24" x14ac:dyDescent="0.2">
      <c r="A1727" s="407">
        <v>1719</v>
      </c>
      <c r="B1727" s="438"/>
      <c r="C1727" s="438"/>
      <c r="D1727" s="438"/>
      <c r="E1727" s="438"/>
      <c r="F1727" s="438"/>
      <c r="G1727" s="438"/>
      <c r="H1727" s="438"/>
      <c r="I1727" s="438"/>
      <c r="J1727" s="11"/>
      <c r="Q1727" s="348" t="str">
        <f t="shared" si="216"/>
        <v/>
      </c>
      <c r="R1727" s="348" t="str">
        <f t="shared" si="217"/>
        <v/>
      </c>
      <c r="S1727" s="348" t="str">
        <f t="shared" si="218"/>
        <v/>
      </c>
      <c r="T1727" s="348" t="str">
        <f t="shared" si="219"/>
        <v/>
      </c>
      <c r="U1727" s="348" t="str">
        <f t="shared" si="220"/>
        <v/>
      </c>
      <c r="V1727" s="348" t="str">
        <f t="shared" si="221"/>
        <v/>
      </c>
      <c r="W1727" s="348" t="str">
        <f t="shared" si="222"/>
        <v/>
      </c>
      <c r="X1727" s="348" t="str">
        <f t="shared" si="223"/>
        <v/>
      </c>
    </row>
    <row r="1728" spans="1:24" x14ac:dyDescent="0.2">
      <c r="A1728" s="407">
        <v>1720</v>
      </c>
      <c r="B1728" s="438"/>
      <c r="C1728" s="438"/>
      <c r="D1728" s="438"/>
      <c r="E1728" s="438"/>
      <c r="F1728" s="438"/>
      <c r="G1728" s="438"/>
      <c r="H1728" s="438"/>
      <c r="I1728" s="438"/>
      <c r="J1728" s="11"/>
      <c r="Q1728" s="348" t="str">
        <f t="shared" si="216"/>
        <v/>
      </c>
      <c r="R1728" s="348" t="str">
        <f t="shared" si="217"/>
        <v/>
      </c>
      <c r="S1728" s="348" t="str">
        <f t="shared" si="218"/>
        <v/>
      </c>
      <c r="T1728" s="348" t="str">
        <f t="shared" si="219"/>
        <v/>
      </c>
      <c r="U1728" s="348" t="str">
        <f t="shared" si="220"/>
        <v/>
      </c>
      <c r="V1728" s="348" t="str">
        <f t="shared" si="221"/>
        <v/>
      </c>
      <c r="W1728" s="348" t="str">
        <f t="shared" si="222"/>
        <v/>
      </c>
      <c r="X1728" s="348" t="str">
        <f t="shared" si="223"/>
        <v/>
      </c>
    </row>
    <row r="1729" spans="1:24" x14ac:dyDescent="0.2">
      <c r="A1729" s="407">
        <v>1721</v>
      </c>
      <c r="B1729" s="438"/>
      <c r="C1729" s="438"/>
      <c r="D1729" s="438"/>
      <c r="E1729" s="438"/>
      <c r="F1729" s="438"/>
      <c r="G1729" s="438"/>
      <c r="H1729" s="438"/>
      <c r="I1729" s="438"/>
      <c r="J1729" s="11"/>
      <c r="Q1729" s="348" t="str">
        <f t="shared" si="216"/>
        <v/>
      </c>
      <c r="R1729" s="348" t="str">
        <f t="shared" si="217"/>
        <v/>
      </c>
      <c r="S1729" s="348" t="str">
        <f t="shared" si="218"/>
        <v/>
      </c>
      <c r="T1729" s="348" t="str">
        <f t="shared" si="219"/>
        <v/>
      </c>
      <c r="U1729" s="348" t="str">
        <f t="shared" si="220"/>
        <v/>
      </c>
      <c r="V1729" s="348" t="str">
        <f t="shared" si="221"/>
        <v/>
      </c>
      <c r="W1729" s="348" t="str">
        <f t="shared" si="222"/>
        <v/>
      </c>
      <c r="X1729" s="348" t="str">
        <f t="shared" si="223"/>
        <v/>
      </c>
    </row>
    <row r="1730" spans="1:24" x14ac:dyDescent="0.2">
      <c r="A1730" s="407">
        <v>1722</v>
      </c>
      <c r="B1730" s="438"/>
      <c r="C1730" s="438"/>
      <c r="D1730" s="438"/>
      <c r="E1730" s="438"/>
      <c r="F1730" s="438"/>
      <c r="G1730" s="438"/>
      <c r="H1730" s="438"/>
      <c r="I1730" s="438"/>
      <c r="J1730" s="11"/>
      <c r="Q1730" s="348" t="str">
        <f t="shared" si="216"/>
        <v/>
      </c>
      <c r="R1730" s="348" t="str">
        <f t="shared" si="217"/>
        <v/>
      </c>
      <c r="S1730" s="348" t="str">
        <f t="shared" si="218"/>
        <v/>
      </c>
      <c r="T1730" s="348" t="str">
        <f t="shared" si="219"/>
        <v/>
      </c>
      <c r="U1730" s="348" t="str">
        <f t="shared" si="220"/>
        <v/>
      </c>
      <c r="V1730" s="348" t="str">
        <f t="shared" si="221"/>
        <v/>
      </c>
      <c r="W1730" s="348" t="str">
        <f t="shared" si="222"/>
        <v/>
      </c>
      <c r="X1730" s="348" t="str">
        <f t="shared" si="223"/>
        <v/>
      </c>
    </row>
    <row r="1731" spans="1:24" x14ac:dyDescent="0.2">
      <c r="A1731" s="407">
        <v>1723</v>
      </c>
      <c r="B1731" s="438"/>
      <c r="C1731" s="438"/>
      <c r="D1731" s="438"/>
      <c r="E1731" s="438"/>
      <c r="F1731" s="438"/>
      <c r="G1731" s="438"/>
      <c r="H1731" s="438"/>
      <c r="I1731" s="438"/>
      <c r="J1731" s="11"/>
      <c r="Q1731" s="348" t="str">
        <f t="shared" si="216"/>
        <v/>
      </c>
      <c r="R1731" s="348" t="str">
        <f t="shared" si="217"/>
        <v/>
      </c>
      <c r="S1731" s="348" t="str">
        <f t="shared" si="218"/>
        <v/>
      </c>
      <c r="T1731" s="348" t="str">
        <f t="shared" si="219"/>
        <v/>
      </c>
      <c r="U1731" s="348" t="str">
        <f t="shared" si="220"/>
        <v/>
      </c>
      <c r="V1731" s="348" t="str">
        <f t="shared" si="221"/>
        <v/>
      </c>
      <c r="W1731" s="348" t="str">
        <f t="shared" si="222"/>
        <v/>
      </c>
      <c r="X1731" s="348" t="str">
        <f t="shared" si="223"/>
        <v/>
      </c>
    </row>
    <row r="1732" spans="1:24" x14ac:dyDescent="0.2">
      <c r="A1732" s="407">
        <v>1724</v>
      </c>
      <c r="B1732" s="438"/>
      <c r="C1732" s="438"/>
      <c r="D1732" s="438"/>
      <c r="E1732" s="438"/>
      <c r="F1732" s="438"/>
      <c r="G1732" s="438"/>
      <c r="H1732" s="438"/>
      <c r="I1732" s="438"/>
      <c r="J1732" s="11"/>
      <c r="Q1732" s="348" t="str">
        <f t="shared" si="216"/>
        <v/>
      </c>
      <c r="R1732" s="348" t="str">
        <f t="shared" si="217"/>
        <v/>
      </c>
      <c r="S1732" s="348" t="str">
        <f t="shared" si="218"/>
        <v/>
      </c>
      <c r="T1732" s="348" t="str">
        <f t="shared" si="219"/>
        <v/>
      </c>
      <c r="U1732" s="348" t="str">
        <f t="shared" si="220"/>
        <v/>
      </c>
      <c r="V1732" s="348" t="str">
        <f t="shared" si="221"/>
        <v/>
      </c>
      <c r="W1732" s="348" t="str">
        <f t="shared" si="222"/>
        <v/>
      </c>
      <c r="X1732" s="348" t="str">
        <f t="shared" si="223"/>
        <v/>
      </c>
    </row>
    <row r="1733" spans="1:24" x14ac:dyDescent="0.2">
      <c r="A1733" s="407">
        <v>1725</v>
      </c>
      <c r="B1733" s="438"/>
      <c r="C1733" s="438"/>
      <c r="D1733" s="438"/>
      <c r="E1733" s="438"/>
      <c r="F1733" s="438"/>
      <c r="G1733" s="438"/>
      <c r="H1733" s="438"/>
      <c r="I1733" s="437"/>
      <c r="J1733" s="11"/>
      <c r="Q1733" s="348" t="str">
        <f t="shared" si="216"/>
        <v/>
      </c>
      <c r="R1733" s="348" t="str">
        <f t="shared" si="217"/>
        <v/>
      </c>
      <c r="S1733" s="348" t="str">
        <f t="shared" si="218"/>
        <v/>
      </c>
      <c r="T1733" s="348" t="str">
        <f t="shared" si="219"/>
        <v/>
      </c>
      <c r="U1733" s="348" t="str">
        <f t="shared" si="220"/>
        <v/>
      </c>
      <c r="V1733" s="348" t="str">
        <f t="shared" si="221"/>
        <v/>
      </c>
      <c r="W1733" s="348" t="str">
        <f t="shared" si="222"/>
        <v/>
      </c>
      <c r="X1733" s="348" t="str">
        <f t="shared" si="223"/>
        <v/>
      </c>
    </row>
    <row r="1734" spans="1:24" x14ac:dyDescent="0.2">
      <c r="A1734" s="407">
        <v>1726</v>
      </c>
      <c r="B1734" s="438"/>
      <c r="C1734" s="438"/>
      <c r="D1734" s="438"/>
      <c r="E1734" s="437"/>
      <c r="F1734" s="437"/>
      <c r="G1734" s="437"/>
      <c r="H1734" s="437"/>
      <c r="I1734" s="438"/>
      <c r="J1734" s="11"/>
      <c r="Q1734" s="348" t="str">
        <f t="shared" si="216"/>
        <v/>
      </c>
      <c r="R1734" s="348" t="str">
        <f t="shared" si="217"/>
        <v/>
      </c>
      <c r="S1734" s="348" t="str">
        <f t="shared" si="218"/>
        <v/>
      </c>
      <c r="T1734" s="348" t="str">
        <f t="shared" si="219"/>
        <v/>
      </c>
      <c r="U1734" s="348" t="str">
        <f t="shared" si="220"/>
        <v/>
      </c>
      <c r="V1734" s="348" t="str">
        <f t="shared" si="221"/>
        <v/>
      </c>
      <c r="W1734" s="348" t="str">
        <f t="shared" si="222"/>
        <v/>
      </c>
      <c r="X1734" s="348" t="str">
        <f t="shared" si="223"/>
        <v/>
      </c>
    </row>
    <row r="1735" spans="1:24" x14ac:dyDescent="0.2">
      <c r="A1735" s="407">
        <v>1727</v>
      </c>
      <c r="B1735" s="438"/>
      <c r="C1735" s="438"/>
      <c r="D1735" s="438"/>
      <c r="E1735" s="438"/>
      <c r="F1735" s="438"/>
      <c r="G1735" s="438"/>
      <c r="H1735" s="438"/>
      <c r="I1735" s="438"/>
      <c r="J1735" s="11"/>
      <c r="Q1735" s="348" t="str">
        <f t="shared" si="216"/>
        <v/>
      </c>
      <c r="R1735" s="348" t="str">
        <f t="shared" si="217"/>
        <v/>
      </c>
      <c r="S1735" s="348" t="str">
        <f t="shared" si="218"/>
        <v/>
      </c>
      <c r="T1735" s="348" t="str">
        <f t="shared" si="219"/>
        <v/>
      </c>
      <c r="U1735" s="348" t="str">
        <f t="shared" si="220"/>
        <v/>
      </c>
      <c r="V1735" s="348" t="str">
        <f t="shared" si="221"/>
        <v/>
      </c>
      <c r="W1735" s="348" t="str">
        <f t="shared" si="222"/>
        <v/>
      </c>
      <c r="X1735" s="348" t="str">
        <f t="shared" si="223"/>
        <v/>
      </c>
    </row>
    <row r="1736" spans="1:24" x14ac:dyDescent="0.2">
      <c r="A1736" s="407">
        <v>1728</v>
      </c>
      <c r="B1736" s="438"/>
      <c r="C1736" s="438"/>
      <c r="D1736" s="438"/>
      <c r="E1736" s="438"/>
      <c r="F1736" s="438"/>
      <c r="G1736" s="438"/>
      <c r="H1736" s="438"/>
      <c r="I1736" s="438"/>
      <c r="J1736" s="11"/>
      <c r="Q1736" s="348" t="str">
        <f t="shared" si="216"/>
        <v/>
      </c>
      <c r="R1736" s="348" t="str">
        <f t="shared" si="217"/>
        <v/>
      </c>
      <c r="S1736" s="348" t="str">
        <f t="shared" si="218"/>
        <v/>
      </c>
      <c r="T1736" s="348" t="str">
        <f t="shared" si="219"/>
        <v/>
      </c>
      <c r="U1736" s="348" t="str">
        <f t="shared" si="220"/>
        <v/>
      </c>
      <c r="V1736" s="348" t="str">
        <f t="shared" si="221"/>
        <v/>
      </c>
      <c r="W1736" s="348" t="str">
        <f t="shared" si="222"/>
        <v/>
      </c>
      <c r="X1736" s="348" t="str">
        <f t="shared" si="223"/>
        <v/>
      </c>
    </row>
    <row r="1737" spans="1:24" x14ac:dyDescent="0.2">
      <c r="A1737" s="407">
        <v>1729</v>
      </c>
      <c r="B1737" s="438"/>
      <c r="C1737" s="438"/>
      <c r="D1737" s="438"/>
      <c r="E1737" s="438"/>
      <c r="F1737" s="438"/>
      <c r="G1737" s="438"/>
      <c r="H1737" s="438"/>
      <c r="I1737" s="438"/>
      <c r="J1737" s="11"/>
      <c r="Q1737" s="348" t="str">
        <f t="shared" si="216"/>
        <v/>
      </c>
      <c r="R1737" s="348" t="str">
        <f t="shared" si="217"/>
        <v/>
      </c>
      <c r="S1737" s="348" t="str">
        <f t="shared" si="218"/>
        <v/>
      </c>
      <c r="T1737" s="348" t="str">
        <f t="shared" si="219"/>
        <v/>
      </c>
      <c r="U1737" s="348" t="str">
        <f t="shared" si="220"/>
        <v/>
      </c>
      <c r="V1737" s="348" t="str">
        <f t="shared" si="221"/>
        <v/>
      </c>
      <c r="W1737" s="348" t="str">
        <f t="shared" si="222"/>
        <v/>
      </c>
      <c r="X1737" s="348" t="str">
        <f t="shared" si="223"/>
        <v/>
      </c>
    </row>
    <row r="1738" spans="1:24" x14ac:dyDescent="0.2">
      <c r="A1738" s="407">
        <v>1730</v>
      </c>
      <c r="B1738" s="438"/>
      <c r="C1738" s="438"/>
      <c r="D1738" s="438"/>
      <c r="E1738" s="438"/>
      <c r="F1738" s="438"/>
      <c r="G1738" s="438"/>
      <c r="H1738" s="438"/>
      <c r="I1738" s="438"/>
      <c r="J1738" s="11"/>
      <c r="Q1738" s="348" t="str">
        <f t="shared" ref="Q1738:Q1801" si="224">IFERROR(B1738^4*$AB$9+B1738^3*$AC$9+B1738^2*$AD$9+B1738^1*$AE$9+B1738^0*$AF$9,"")</f>
        <v/>
      </c>
      <c r="R1738" s="348" t="str">
        <f t="shared" ref="R1738:R1801" si="225">IFERROR(C1738^4*$AB$10+C1738^3*$AC$10+C1738^2*$AD$10+C1738^1*$AE$10+C1738^0*$AF$10,"")</f>
        <v/>
      </c>
      <c r="S1738" s="348" t="str">
        <f t="shared" ref="S1738:S1801" si="226">IFERROR(D1738^4*$AB$11+D1738^3*$AC$11+D1738^2*$AD$11+D1738^1*$AE$11+D1738^0*$AF$11,"")</f>
        <v/>
      </c>
      <c r="T1738" s="348" t="str">
        <f t="shared" ref="T1738:T1801" si="227">IFERROR(E1738^4*$AB$12+E1738^3*$AC$12+E1738^2*$AD$12+E1738^1*$AE$12+E1738^0*$AF$12,"")</f>
        <v/>
      </c>
      <c r="U1738" s="348" t="str">
        <f t="shared" ref="U1738:U1801" si="228">IFERROR(F1738^4*$AB$13+F1738^3*$AC$13+F1738^2*$AD$13+F1738^1*$AE$13+F1738^0*$AF$13,"")</f>
        <v/>
      </c>
      <c r="V1738" s="348" t="str">
        <f t="shared" ref="V1738:V1801" si="229">IFERROR(G1738^4*$AB$14+G1738^3*$AC$14+G1738^2*$AD$14+G1738^1*$AE$14+G1738^0*$AF$14,"")</f>
        <v/>
      </c>
      <c r="W1738" s="348" t="str">
        <f t="shared" ref="W1738:W1801" si="230">IFERROR(H1738^4*$AB$15+H1738^3*$AC$15+H1738^2*$AD$15+H1738^1*$AE$15+H1738^0*$AF$15,"")</f>
        <v/>
      </c>
      <c r="X1738" s="348" t="str">
        <f t="shared" ref="X1738:X1801" si="231">IFERROR(I1738^4*$AB$16+I1738^3*$AC$16+I1738^2*$AD$16+I1738^1*$AE$16+I1738^0*$AF$16,"")</f>
        <v/>
      </c>
    </row>
    <row r="1739" spans="1:24" x14ac:dyDescent="0.2">
      <c r="A1739" s="407">
        <v>1731</v>
      </c>
      <c r="B1739" s="438"/>
      <c r="C1739" s="438"/>
      <c r="D1739" s="438"/>
      <c r="E1739" s="438"/>
      <c r="F1739" s="438"/>
      <c r="G1739" s="438"/>
      <c r="H1739" s="438"/>
      <c r="I1739" s="438"/>
      <c r="J1739" s="11"/>
      <c r="Q1739" s="348" t="str">
        <f t="shared" si="224"/>
        <v/>
      </c>
      <c r="R1739" s="348" t="str">
        <f t="shared" si="225"/>
        <v/>
      </c>
      <c r="S1739" s="348" t="str">
        <f t="shared" si="226"/>
        <v/>
      </c>
      <c r="T1739" s="348" t="str">
        <f t="shared" si="227"/>
        <v/>
      </c>
      <c r="U1739" s="348" t="str">
        <f t="shared" si="228"/>
        <v/>
      </c>
      <c r="V1739" s="348" t="str">
        <f t="shared" si="229"/>
        <v/>
      </c>
      <c r="W1739" s="348" t="str">
        <f t="shared" si="230"/>
        <v/>
      </c>
      <c r="X1739" s="348" t="str">
        <f t="shared" si="231"/>
        <v/>
      </c>
    </row>
    <row r="1740" spans="1:24" x14ac:dyDescent="0.2">
      <c r="A1740" s="407">
        <v>1732</v>
      </c>
      <c r="B1740" s="438"/>
      <c r="C1740" s="438"/>
      <c r="D1740" s="438"/>
      <c r="E1740" s="438"/>
      <c r="F1740" s="438"/>
      <c r="G1740" s="438"/>
      <c r="H1740" s="438"/>
      <c r="I1740" s="438"/>
      <c r="J1740" s="11"/>
      <c r="Q1740" s="348" t="str">
        <f t="shared" si="224"/>
        <v/>
      </c>
      <c r="R1740" s="348" t="str">
        <f t="shared" si="225"/>
        <v/>
      </c>
      <c r="S1740" s="348" t="str">
        <f t="shared" si="226"/>
        <v/>
      </c>
      <c r="T1740" s="348" t="str">
        <f t="shared" si="227"/>
        <v/>
      </c>
      <c r="U1740" s="348" t="str">
        <f t="shared" si="228"/>
        <v/>
      </c>
      <c r="V1740" s="348" t="str">
        <f t="shared" si="229"/>
        <v/>
      </c>
      <c r="W1740" s="348" t="str">
        <f t="shared" si="230"/>
        <v/>
      </c>
      <c r="X1740" s="348" t="str">
        <f t="shared" si="231"/>
        <v/>
      </c>
    </row>
    <row r="1741" spans="1:24" x14ac:dyDescent="0.2">
      <c r="A1741" s="407">
        <v>1733</v>
      </c>
      <c r="B1741" s="438"/>
      <c r="C1741" s="438"/>
      <c r="D1741" s="438"/>
      <c r="E1741" s="438"/>
      <c r="F1741" s="438"/>
      <c r="G1741" s="438"/>
      <c r="H1741" s="438"/>
      <c r="I1741" s="438"/>
      <c r="J1741" s="11"/>
      <c r="Q1741" s="348" t="str">
        <f t="shared" si="224"/>
        <v/>
      </c>
      <c r="R1741" s="348" t="str">
        <f t="shared" si="225"/>
        <v/>
      </c>
      <c r="S1741" s="348" t="str">
        <f t="shared" si="226"/>
        <v/>
      </c>
      <c r="T1741" s="348" t="str">
        <f t="shared" si="227"/>
        <v/>
      </c>
      <c r="U1741" s="348" t="str">
        <f t="shared" si="228"/>
        <v/>
      </c>
      <c r="V1741" s="348" t="str">
        <f t="shared" si="229"/>
        <v/>
      </c>
      <c r="W1741" s="348" t="str">
        <f t="shared" si="230"/>
        <v/>
      </c>
      <c r="X1741" s="348" t="str">
        <f t="shared" si="231"/>
        <v/>
      </c>
    </row>
    <row r="1742" spans="1:24" x14ac:dyDescent="0.2">
      <c r="A1742" s="407">
        <v>1734</v>
      </c>
      <c r="B1742" s="437"/>
      <c r="C1742" s="438"/>
      <c r="D1742" s="438"/>
      <c r="E1742" s="438"/>
      <c r="F1742" s="438"/>
      <c r="G1742" s="438"/>
      <c r="H1742" s="438"/>
      <c r="I1742" s="438"/>
      <c r="J1742" s="11"/>
      <c r="Q1742" s="348" t="str">
        <f t="shared" si="224"/>
        <v/>
      </c>
      <c r="R1742" s="348" t="str">
        <f t="shared" si="225"/>
        <v/>
      </c>
      <c r="S1742" s="348" t="str">
        <f t="shared" si="226"/>
        <v/>
      </c>
      <c r="T1742" s="348" t="str">
        <f t="shared" si="227"/>
        <v/>
      </c>
      <c r="U1742" s="348" t="str">
        <f t="shared" si="228"/>
        <v/>
      </c>
      <c r="V1742" s="348" t="str">
        <f t="shared" si="229"/>
        <v/>
      </c>
      <c r="W1742" s="348" t="str">
        <f t="shared" si="230"/>
        <v/>
      </c>
      <c r="X1742" s="348" t="str">
        <f t="shared" si="231"/>
        <v/>
      </c>
    </row>
    <row r="1743" spans="1:24" x14ac:dyDescent="0.2">
      <c r="A1743" s="407">
        <v>1735</v>
      </c>
      <c r="B1743" s="438"/>
      <c r="C1743" s="438"/>
      <c r="D1743" s="438"/>
      <c r="E1743" s="438"/>
      <c r="F1743" s="438"/>
      <c r="G1743" s="438"/>
      <c r="H1743" s="438"/>
      <c r="I1743" s="438"/>
      <c r="J1743" s="11"/>
      <c r="Q1743" s="348" t="str">
        <f t="shared" si="224"/>
        <v/>
      </c>
      <c r="R1743" s="348" t="str">
        <f t="shared" si="225"/>
        <v/>
      </c>
      <c r="S1743" s="348" t="str">
        <f t="shared" si="226"/>
        <v/>
      </c>
      <c r="T1743" s="348" t="str">
        <f t="shared" si="227"/>
        <v/>
      </c>
      <c r="U1743" s="348" t="str">
        <f t="shared" si="228"/>
        <v/>
      </c>
      <c r="V1743" s="348" t="str">
        <f t="shared" si="229"/>
        <v/>
      </c>
      <c r="W1743" s="348" t="str">
        <f t="shared" si="230"/>
        <v/>
      </c>
      <c r="X1743" s="348" t="str">
        <f t="shared" si="231"/>
        <v/>
      </c>
    </row>
    <row r="1744" spans="1:24" x14ac:dyDescent="0.2">
      <c r="A1744" s="407">
        <v>1736</v>
      </c>
      <c r="B1744" s="438"/>
      <c r="C1744" s="437"/>
      <c r="D1744" s="438"/>
      <c r="E1744" s="438"/>
      <c r="F1744" s="438"/>
      <c r="G1744" s="438"/>
      <c r="H1744" s="438"/>
      <c r="I1744" s="438"/>
      <c r="J1744" s="11"/>
      <c r="Q1744" s="348" t="str">
        <f t="shared" si="224"/>
        <v/>
      </c>
      <c r="R1744" s="348" t="str">
        <f t="shared" si="225"/>
        <v/>
      </c>
      <c r="S1744" s="348" t="str">
        <f t="shared" si="226"/>
        <v/>
      </c>
      <c r="T1744" s="348" t="str">
        <f t="shared" si="227"/>
        <v/>
      </c>
      <c r="U1744" s="348" t="str">
        <f t="shared" si="228"/>
        <v/>
      </c>
      <c r="V1744" s="348" t="str">
        <f t="shared" si="229"/>
        <v/>
      </c>
      <c r="W1744" s="348" t="str">
        <f t="shared" si="230"/>
        <v/>
      </c>
      <c r="X1744" s="348" t="str">
        <f t="shared" si="231"/>
        <v/>
      </c>
    </row>
    <row r="1745" spans="1:24" x14ac:dyDescent="0.2">
      <c r="A1745" s="407">
        <v>1737</v>
      </c>
      <c r="B1745" s="438"/>
      <c r="C1745" s="438"/>
      <c r="D1745" s="438"/>
      <c r="E1745" s="438"/>
      <c r="F1745" s="438"/>
      <c r="G1745" s="438"/>
      <c r="H1745" s="438"/>
      <c r="I1745" s="438"/>
      <c r="J1745" s="11"/>
      <c r="Q1745" s="348" t="str">
        <f t="shared" si="224"/>
        <v/>
      </c>
      <c r="R1745" s="348" t="str">
        <f t="shared" si="225"/>
        <v/>
      </c>
      <c r="S1745" s="348" t="str">
        <f t="shared" si="226"/>
        <v/>
      </c>
      <c r="T1745" s="348" t="str">
        <f t="shared" si="227"/>
        <v/>
      </c>
      <c r="U1745" s="348" t="str">
        <f t="shared" si="228"/>
        <v/>
      </c>
      <c r="V1745" s="348" t="str">
        <f t="shared" si="229"/>
        <v/>
      </c>
      <c r="W1745" s="348" t="str">
        <f t="shared" si="230"/>
        <v/>
      </c>
      <c r="X1745" s="348" t="str">
        <f t="shared" si="231"/>
        <v/>
      </c>
    </row>
    <row r="1746" spans="1:24" x14ac:dyDescent="0.2">
      <c r="A1746" s="407">
        <v>1738</v>
      </c>
      <c r="B1746" s="438"/>
      <c r="C1746" s="438"/>
      <c r="D1746" s="438"/>
      <c r="E1746" s="438"/>
      <c r="F1746" s="438"/>
      <c r="G1746" s="438"/>
      <c r="H1746" s="438"/>
      <c r="I1746" s="438"/>
      <c r="J1746" s="11"/>
      <c r="Q1746" s="348" t="str">
        <f t="shared" si="224"/>
        <v/>
      </c>
      <c r="R1746" s="348" t="str">
        <f t="shared" si="225"/>
        <v/>
      </c>
      <c r="S1746" s="348" t="str">
        <f t="shared" si="226"/>
        <v/>
      </c>
      <c r="T1746" s="348" t="str">
        <f t="shared" si="227"/>
        <v/>
      </c>
      <c r="U1746" s="348" t="str">
        <f t="shared" si="228"/>
        <v/>
      </c>
      <c r="V1746" s="348" t="str">
        <f t="shared" si="229"/>
        <v/>
      </c>
      <c r="W1746" s="348" t="str">
        <f t="shared" si="230"/>
        <v/>
      </c>
      <c r="X1746" s="348" t="str">
        <f t="shared" si="231"/>
        <v/>
      </c>
    </row>
    <row r="1747" spans="1:24" x14ac:dyDescent="0.2">
      <c r="A1747" s="407">
        <v>1739</v>
      </c>
      <c r="B1747" s="438"/>
      <c r="C1747" s="438"/>
      <c r="D1747" s="438"/>
      <c r="E1747" s="438"/>
      <c r="F1747" s="438"/>
      <c r="G1747" s="438"/>
      <c r="H1747" s="438"/>
      <c r="I1747" s="438"/>
      <c r="J1747" s="11"/>
      <c r="Q1747" s="348" t="str">
        <f t="shared" si="224"/>
        <v/>
      </c>
      <c r="R1747" s="348" t="str">
        <f t="shared" si="225"/>
        <v/>
      </c>
      <c r="S1747" s="348" t="str">
        <f t="shared" si="226"/>
        <v/>
      </c>
      <c r="T1747" s="348" t="str">
        <f t="shared" si="227"/>
        <v/>
      </c>
      <c r="U1747" s="348" t="str">
        <f t="shared" si="228"/>
        <v/>
      </c>
      <c r="V1747" s="348" t="str">
        <f t="shared" si="229"/>
        <v/>
      </c>
      <c r="W1747" s="348" t="str">
        <f t="shared" si="230"/>
        <v/>
      </c>
      <c r="X1747" s="348" t="str">
        <f t="shared" si="231"/>
        <v/>
      </c>
    </row>
    <row r="1748" spans="1:24" x14ac:dyDescent="0.2">
      <c r="A1748" s="407">
        <v>1740</v>
      </c>
      <c r="B1748" s="438"/>
      <c r="C1748" s="438"/>
      <c r="D1748" s="438"/>
      <c r="E1748" s="438"/>
      <c r="F1748" s="438"/>
      <c r="G1748" s="438"/>
      <c r="H1748" s="438"/>
      <c r="I1748" s="438"/>
      <c r="J1748" s="11"/>
      <c r="Q1748" s="348" t="str">
        <f t="shared" si="224"/>
        <v/>
      </c>
      <c r="R1748" s="348" t="str">
        <f t="shared" si="225"/>
        <v/>
      </c>
      <c r="S1748" s="348" t="str">
        <f t="shared" si="226"/>
        <v/>
      </c>
      <c r="T1748" s="348" t="str">
        <f t="shared" si="227"/>
        <v/>
      </c>
      <c r="U1748" s="348" t="str">
        <f t="shared" si="228"/>
        <v/>
      </c>
      <c r="V1748" s="348" t="str">
        <f t="shared" si="229"/>
        <v/>
      </c>
      <c r="W1748" s="348" t="str">
        <f t="shared" si="230"/>
        <v/>
      </c>
      <c r="X1748" s="348" t="str">
        <f t="shared" si="231"/>
        <v/>
      </c>
    </row>
    <row r="1749" spans="1:24" x14ac:dyDescent="0.2">
      <c r="A1749" s="407">
        <v>1741</v>
      </c>
      <c r="B1749" s="438"/>
      <c r="C1749" s="438"/>
      <c r="D1749" s="438"/>
      <c r="E1749" s="438"/>
      <c r="F1749" s="438"/>
      <c r="G1749" s="438"/>
      <c r="H1749" s="438"/>
      <c r="I1749" s="438"/>
      <c r="J1749" s="11"/>
      <c r="Q1749" s="348" t="str">
        <f t="shared" si="224"/>
        <v/>
      </c>
      <c r="R1749" s="348" t="str">
        <f t="shared" si="225"/>
        <v/>
      </c>
      <c r="S1749" s="348" t="str">
        <f t="shared" si="226"/>
        <v/>
      </c>
      <c r="T1749" s="348" t="str">
        <f t="shared" si="227"/>
        <v/>
      </c>
      <c r="U1749" s="348" t="str">
        <f t="shared" si="228"/>
        <v/>
      </c>
      <c r="V1749" s="348" t="str">
        <f t="shared" si="229"/>
        <v/>
      </c>
      <c r="W1749" s="348" t="str">
        <f t="shared" si="230"/>
        <v/>
      </c>
      <c r="X1749" s="348" t="str">
        <f t="shared" si="231"/>
        <v/>
      </c>
    </row>
    <row r="1750" spans="1:24" x14ac:dyDescent="0.2">
      <c r="A1750" s="407">
        <v>1742</v>
      </c>
      <c r="B1750" s="438"/>
      <c r="C1750" s="438"/>
      <c r="D1750" s="438"/>
      <c r="E1750" s="438"/>
      <c r="F1750" s="438"/>
      <c r="G1750" s="438"/>
      <c r="H1750" s="438"/>
      <c r="I1750" s="438"/>
      <c r="J1750" s="11"/>
      <c r="Q1750" s="348" t="str">
        <f t="shared" si="224"/>
        <v/>
      </c>
      <c r="R1750" s="348" t="str">
        <f t="shared" si="225"/>
        <v/>
      </c>
      <c r="S1750" s="348" t="str">
        <f t="shared" si="226"/>
        <v/>
      </c>
      <c r="T1750" s="348" t="str">
        <f t="shared" si="227"/>
        <v/>
      </c>
      <c r="U1750" s="348" t="str">
        <f t="shared" si="228"/>
        <v/>
      </c>
      <c r="V1750" s="348" t="str">
        <f t="shared" si="229"/>
        <v/>
      </c>
      <c r="W1750" s="348" t="str">
        <f t="shared" si="230"/>
        <v/>
      </c>
      <c r="X1750" s="348" t="str">
        <f t="shared" si="231"/>
        <v/>
      </c>
    </row>
    <row r="1751" spans="1:24" x14ac:dyDescent="0.2">
      <c r="A1751" s="407">
        <v>1743</v>
      </c>
      <c r="B1751" s="438"/>
      <c r="C1751" s="438"/>
      <c r="D1751" s="438"/>
      <c r="E1751" s="438"/>
      <c r="F1751" s="438"/>
      <c r="G1751" s="438"/>
      <c r="H1751" s="438"/>
      <c r="I1751" s="438"/>
      <c r="J1751" s="11"/>
      <c r="Q1751" s="348" t="str">
        <f t="shared" si="224"/>
        <v/>
      </c>
      <c r="R1751" s="348" t="str">
        <f t="shared" si="225"/>
        <v/>
      </c>
      <c r="S1751" s="348" t="str">
        <f t="shared" si="226"/>
        <v/>
      </c>
      <c r="T1751" s="348" t="str">
        <f t="shared" si="227"/>
        <v/>
      </c>
      <c r="U1751" s="348" t="str">
        <f t="shared" si="228"/>
        <v/>
      </c>
      <c r="V1751" s="348" t="str">
        <f t="shared" si="229"/>
        <v/>
      </c>
      <c r="W1751" s="348" t="str">
        <f t="shared" si="230"/>
        <v/>
      </c>
      <c r="X1751" s="348" t="str">
        <f t="shared" si="231"/>
        <v/>
      </c>
    </row>
    <row r="1752" spans="1:24" x14ac:dyDescent="0.2">
      <c r="A1752" s="407">
        <v>1744</v>
      </c>
      <c r="B1752" s="437"/>
      <c r="C1752" s="438"/>
      <c r="D1752" s="438"/>
      <c r="E1752" s="438"/>
      <c r="F1752" s="438"/>
      <c r="G1752" s="438"/>
      <c r="H1752" s="438"/>
      <c r="I1752" s="438"/>
      <c r="J1752" s="11"/>
      <c r="Q1752" s="348" t="str">
        <f t="shared" si="224"/>
        <v/>
      </c>
      <c r="R1752" s="348" t="str">
        <f t="shared" si="225"/>
        <v/>
      </c>
      <c r="S1752" s="348" t="str">
        <f t="shared" si="226"/>
        <v/>
      </c>
      <c r="T1752" s="348" t="str">
        <f t="shared" si="227"/>
        <v/>
      </c>
      <c r="U1752" s="348" t="str">
        <f t="shared" si="228"/>
        <v/>
      </c>
      <c r="V1752" s="348" t="str">
        <f t="shared" si="229"/>
        <v/>
      </c>
      <c r="W1752" s="348" t="str">
        <f t="shared" si="230"/>
        <v/>
      </c>
      <c r="X1752" s="348" t="str">
        <f t="shared" si="231"/>
        <v/>
      </c>
    </row>
    <row r="1753" spans="1:24" x14ac:dyDescent="0.2">
      <c r="A1753" s="407">
        <v>1745</v>
      </c>
      <c r="B1753" s="438"/>
      <c r="C1753" s="438"/>
      <c r="D1753" s="438"/>
      <c r="E1753" s="438"/>
      <c r="F1753" s="438"/>
      <c r="G1753" s="438"/>
      <c r="H1753" s="438"/>
      <c r="I1753" s="438"/>
      <c r="J1753" s="11"/>
      <c r="Q1753" s="348" t="str">
        <f t="shared" si="224"/>
        <v/>
      </c>
      <c r="R1753" s="348" t="str">
        <f t="shared" si="225"/>
        <v/>
      </c>
      <c r="S1753" s="348" t="str">
        <f t="shared" si="226"/>
        <v/>
      </c>
      <c r="T1753" s="348" t="str">
        <f t="shared" si="227"/>
        <v/>
      </c>
      <c r="U1753" s="348" t="str">
        <f t="shared" si="228"/>
        <v/>
      </c>
      <c r="V1753" s="348" t="str">
        <f t="shared" si="229"/>
        <v/>
      </c>
      <c r="W1753" s="348" t="str">
        <f t="shared" si="230"/>
        <v/>
      </c>
      <c r="X1753" s="348" t="str">
        <f t="shared" si="231"/>
        <v/>
      </c>
    </row>
    <row r="1754" spans="1:24" x14ac:dyDescent="0.2">
      <c r="A1754" s="407">
        <v>1746</v>
      </c>
      <c r="B1754" s="438"/>
      <c r="C1754" s="438"/>
      <c r="D1754" s="438"/>
      <c r="E1754" s="438"/>
      <c r="F1754" s="438"/>
      <c r="G1754" s="438"/>
      <c r="H1754" s="438"/>
      <c r="I1754" s="438"/>
      <c r="J1754" s="11"/>
      <c r="Q1754" s="348" t="str">
        <f t="shared" si="224"/>
        <v/>
      </c>
      <c r="R1754" s="348" t="str">
        <f t="shared" si="225"/>
        <v/>
      </c>
      <c r="S1754" s="348" t="str">
        <f t="shared" si="226"/>
        <v/>
      </c>
      <c r="T1754" s="348" t="str">
        <f t="shared" si="227"/>
        <v/>
      </c>
      <c r="U1754" s="348" t="str">
        <f t="shared" si="228"/>
        <v/>
      </c>
      <c r="V1754" s="348" t="str">
        <f t="shared" si="229"/>
        <v/>
      </c>
      <c r="W1754" s="348" t="str">
        <f t="shared" si="230"/>
        <v/>
      </c>
      <c r="X1754" s="348" t="str">
        <f t="shared" si="231"/>
        <v/>
      </c>
    </row>
    <row r="1755" spans="1:24" x14ac:dyDescent="0.2">
      <c r="A1755" s="407">
        <v>1747</v>
      </c>
      <c r="B1755" s="438"/>
      <c r="C1755" s="438"/>
      <c r="D1755" s="438"/>
      <c r="E1755" s="438"/>
      <c r="F1755" s="438"/>
      <c r="G1755" s="438"/>
      <c r="H1755" s="438"/>
      <c r="I1755" s="438"/>
      <c r="J1755" s="11"/>
      <c r="Q1755" s="348" t="str">
        <f t="shared" si="224"/>
        <v/>
      </c>
      <c r="R1755" s="348" t="str">
        <f t="shared" si="225"/>
        <v/>
      </c>
      <c r="S1755" s="348" t="str">
        <f t="shared" si="226"/>
        <v/>
      </c>
      <c r="T1755" s="348" t="str">
        <f t="shared" si="227"/>
        <v/>
      </c>
      <c r="U1755" s="348" t="str">
        <f t="shared" si="228"/>
        <v/>
      </c>
      <c r="V1755" s="348" t="str">
        <f t="shared" si="229"/>
        <v/>
      </c>
      <c r="W1755" s="348" t="str">
        <f t="shared" si="230"/>
        <v/>
      </c>
      <c r="X1755" s="348" t="str">
        <f t="shared" si="231"/>
        <v/>
      </c>
    </row>
    <row r="1756" spans="1:24" x14ac:dyDescent="0.2">
      <c r="A1756" s="407">
        <v>1748</v>
      </c>
      <c r="B1756" s="438"/>
      <c r="C1756" s="438"/>
      <c r="D1756" s="438"/>
      <c r="E1756" s="438"/>
      <c r="F1756" s="438"/>
      <c r="G1756" s="438"/>
      <c r="H1756" s="438"/>
      <c r="I1756" s="438"/>
      <c r="J1756" s="11"/>
      <c r="Q1756" s="348" t="str">
        <f t="shared" si="224"/>
        <v/>
      </c>
      <c r="R1756" s="348" t="str">
        <f t="shared" si="225"/>
        <v/>
      </c>
      <c r="S1756" s="348" t="str">
        <f t="shared" si="226"/>
        <v/>
      </c>
      <c r="T1756" s="348" t="str">
        <f t="shared" si="227"/>
        <v/>
      </c>
      <c r="U1756" s="348" t="str">
        <f t="shared" si="228"/>
        <v/>
      </c>
      <c r="V1756" s="348" t="str">
        <f t="shared" si="229"/>
        <v/>
      </c>
      <c r="W1756" s="348" t="str">
        <f t="shared" si="230"/>
        <v/>
      </c>
      <c r="X1756" s="348" t="str">
        <f t="shared" si="231"/>
        <v/>
      </c>
    </row>
    <row r="1757" spans="1:24" x14ac:dyDescent="0.2">
      <c r="A1757" s="407">
        <v>1749</v>
      </c>
      <c r="B1757" s="438"/>
      <c r="C1757" s="438"/>
      <c r="D1757" s="438"/>
      <c r="E1757" s="438"/>
      <c r="F1757" s="438"/>
      <c r="G1757" s="438"/>
      <c r="H1757" s="438"/>
      <c r="I1757" s="438"/>
      <c r="J1757" s="11"/>
      <c r="Q1757" s="348" t="str">
        <f t="shared" si="224"/>
        <v/>
      </c>
      <c r="R1757" s="348" t="str">
        <f t="shared" si="225"/>
        <v/>
      </c>
      <c r="S1757" s="348" t="str">
        <f t="shared" si="226"/>
        <v/>
      </c>
      <c r="T1757" s="348" t="str">
        <f t="shared" si="227"/>
        <v/>
      </c>
      <c r="U1757" s="348" t="str">
        <f t="shared" si="228"/>
        <v/>
      </c>
      <c r="V1757" s="348" t="str">
        <f t="shared" si="229"/>
        <v/>
      </c>
      <c r="W1757" s="348" t="str">
        <f t="shared" si="230"/>
        <v/>
      </c>
      <c r="X1757" s="348" t="str">
        <f t="shared" si="231"/>
        <v/>
      </c>
    </row>
    <row r="1758" spans="1:24" x14ac:dyDescent="0.2">
      <c r="A1758" s="407">
        <v>1750</v>
      </c>
      <c r="B1758" s="438"/>
      <c r="C1758" s="437"/>
      <c r="D1758" s="438"/>
      <c r="E1758" s="438"/>
      <c r="F1758" s="438"/>
      <c r="G1758" s="438"/>
      <c r="H1758" s="438"/>
      <c r="I1758" s="437"/>
      <c r="J1758" s="11"/>
      <c r="Q1758" s="348" t="str">
        <f t="shared" si="224"/>
        <v/>
      </c>
      <c r="R1758" s="348" t="str">
        <f t="shared" si="225"/>
        <v/>
      </c>
      <c r="S1758" s="348" t="str">
        <f t="shared" si="226"/>
        <v/>
      </c>
      <c r="T1758" s="348" t="str">
        <f t="shared" si="227"/>
        <v/>
      </c>
      <c r="U1758" s="348" t="str">
        <f t="shared" si="228"/>
        <v/>
      </c>
      <c r="V1758" s="348" t="str">
        <f t="shared" si="229"/>
        <v/>
      </c>
      <c r="W1758" s="348" t="str">
        <f t="shared" si="230"/>
        <v/>
      </c>
      <c r="X1758" s="348" t="str">
        <f t="shared" si="231"/>
        <v/>
      </c>
    </row>
    <row r="1759" spans="1:24" x14ac:dyDescent="0.2">
      <c r="A1759" s="407">
        <v>1751</v>
      </c>
      <c r="B1759" s="438"/>
      <c r="C1759" s="438"/>
      <c r="D1759" s="438"/>
      <c r="E1759" s="437"/>
      <c r="F1759" s="438"/>
      <c r="G1759" s="438"/>
      <c r="H1759" s="438"/>
      <c r="I1759" s="438"/>
      <c r="J1759" s="11"/>
      <c r="Q1759" s="348" t="str">
        <f t="shared" si="224"/>
        <v/>
      </c>
      <c r="R1759" s="348" t="str">
        <f t="shared" si="225"/>
        <v/>
      </c>
      <c r="S1759" s="348" t="str">
        <f t="shared" si="226"/>
        <v/>
      </c>
      <c r="T1759" s="348" t="str">
        <f t="shared" si="227"/>
        <v/>
      </c>
      <c r="U1759" s="348" t="str">
        <f t="shared" si="228"/>
        <v/>
      </c>
      <c r="V1759" s="348" t="str">
        <f t="shared" si="229"/>
        <v/>
      </c>
      <c r="W1759" s="348" t="str">
        <f t="shared" si="230"/>
        <v/>
      </c>
      <c r="X1759" s="348" t="str">
        <f t="shared" si="231"/>
        <v/>
      </c>
    </row>
    <row r="1760" spans="1:24" x14ac:dyDescent="0.2">
      <c r="A1760" s="407">
        <v>1752</v>
      </c>
      <c r="B1760" s="438"/>
      <c r="C1760" s="438"/>
      <c r="D1760" s="438"/>
      <c r="E1760" s="438"/>
      <c r="F1760" s="438"/>
      <c r="G1760" s="438"/>
      <c r="H1760" s="438"/>
      <c r="I1760" s="438"/>
      <c r="J1760" s="11"/>
      <c r="Q1760" s="348" t="str">
        <f t="shared" si="224"/>
        <v/>
      </c>
      <c r="R1760" s="348" t="str">
        <f t="shared" si="225"/>
        <v/>
      </c>
      <c r="S1760" s="348" t="str">
        <f t="shared" si="226"/>
        <v/>
      </c>
      <c r="T1760" s="348" t="str">
        <f t="shared" si="227"/>
        <v/>
      </c>
      <c r="U1760" s="348" t="str">
        <f t="shared" si="228"/>
        <v/>
      </c>
      <c r="V1760" s="348" t="str">
        <f t="shared" si="229"/>
        <v/>
      </c>
      <c r="W1760" s="348" t="str">
        <f t="shared" si="230"/>
        <v/>
      </c>
      <c r="X1760" s="348" t="str">
        <f t="shared" si="231"/>
        <v/>
      </c>
    </row>
    <row r="1761" spans="1:24" x14ac:dyDescent="0.2">
      <c r="A1761" s="407">
        <v>1753</v>
      </c>
      <c r="B1761" s="438"/>
      <c r="C1761" s="438"/>
      <c r="D1761" s="438"/>
      <c r="E1761" s="438"/>
      <c r="F1761" s="438"/>
      <c r="G1761" s="438"/>
      <c r="H1761" s="438"/>
      <c r="I1761" s="438"/>
      <c r="J1761" s="11"/>
      <c r="Q1761" s="348" t="str">
        <f t="shared" si="224"/>
        <v/>
      </c>
      <c r="R1761" s="348" t="str">
        <f t="shared" si="225"/>
        <v/>
      </c>
      <c r="S1761" s="348" t="str">
        <f t="shared" si="226"/>
        <v/>
      </c>
      <c r="T1761" s="348" t="str">
        <f t="shared" si="227"/>
        <v/>
      </c>
      <c r="U1761" s="348" t="str">
        <f t="shared" si="228"/>
        <v/>
      </c>
      <c r="V1761" s="348" t="str">
        <f t="shared" si="229"/>
        <v/>
      </c>
      <c r="W1761" s="348" t="str">
        <f t="shared" si="230"/>
        <v/>
      </c>
      <c r="X1761" s="348" t="str">
        <f t="shared" si="231"/>
        <v/>
      </c>
    </row>
    <row r="1762" spans="1:24" x14ac:dyDescent="0.2">
      <c r="A1762" s="407">
        <v>1754</v>
      </c>
      <c r="B1762" s="438"/>
      <c r="C1762" s="438"/>
      <c r="D1762" s="438"/>
      <c r="E1762" s="438"/>
      <c r="F1762" s="438"/>
      <c r="G1762" s="438"/>
      <c r="H1762" s="438"/>
      <c r="I1762" s="438"/>
      <c r="J1762" s="11"/>
      <c r="Q1762" s="348" t="str">
        <f t="shared" si="224"/>
        <v/>
      </c>
      <c r="R1762" s="348" t="str">
        <f t="shared" si="225"/>
        <v/>
      </c>
      <c r="S1762" s="348" t="str">
        <f t="shared" si="226"/>
        <v/>
      </c>
      <c r="T1762" s="348" t="str">
        <f t="shared" si="227"/>
        <v/>
      </c>
      <c r="U1762" s="348" t="str">
        <f t="shared" si="228"/>
        <v/>
      </c>
      <c r="V1762" s="348" t="str">
        <f t="shared" si="229"/>
        <v/>
      </c>
      <c r="W1762" s="348" t="str">
        <f t="shared" si="230"/>
        <v/>
      </c>
      <c r="X1762" s="348" t="str">
        <f t="shared" si="231"/>
        <v/>
      </c>
    </row>
    <row r="1763" spans="1:24" x14ac:dyDescent="0.2">
      <c r="A1763" s="407">
        <v>1755</v>
      </c>
      <c r="B1763" s="438"/>
      <c r="C1763" s="438"/>
      <c r="D1763" s="438"/>
      <c r="E1763" s="438"/>
      <c r="F1763" s="438"/>
      <c r="G1763" s="438"/>
      <c r="H1763" s="438"/>
      <c r="I1763" s="438"/>
      <c r="J1763" s="11"/>
      <c r="Q1763" s="348" t="str">
        <f t="shared" si="224"/>
        <v/>
      </c>
      <c r="R1763" s="348" t="str">
        <f t="shared" si="225"/>
        <v/>
      </c>
      <c r="S1763" s="348" t="str">
        <f t="shared" si="226"/>
        <v/>
      </c>
      <c r="T1763" s="348" t="str">
        <f t="shared" si="227"/>
        <v/>
      </c>
      <c r="U1763" s="348" t="str">
        <f t="shared" si="228"/>
        <v/>
      </c>
      <c r="V1763" s="348" t="str">
        <f t="shared" si="229"/>
        <v/>
      </c>
      <c r="W1763" s="348" t="str">
        <f t="shared" si="230"/>
        <v/>
      </c>
      <c r="X1763" s="348" t="str">
        <f t="shared" si="231"/>
        <v/>
      </c>
    </row>
    <row r="1764" spans="1:24" x14ac:dyDescent="0.2">
      <c r="A1764" s="407">
        <v>1756</v>
      </c>
      <c r="B1764" s="438"/>
      <c r="C1764" s="438"/>
      <c r="D1764" s="438"/>
      <c r="E1764" s="438"/>
      <c r="F1764" s="438"/>
      <c r="G1764" s="438"/>
      <c r="H1764" s="438"/>
      <c r="I1764" s="438"/>
      <c r="J1764" s="11"/>
      <c r="Q1764" s="348" t="str">
        <f t="shared" si="224"/>
        <v/>
      </c>
      <c r="R1764" s="348" t="str">
        <f t="shared" si="225"/>
        <v/>
      </c>
      <c r="S1764" s="348" t="str">
        <f t="shared" si="226"/>
        <v/>
      </c>
      <c r="T1764" s="348" t="str">
        <f t="shared" si="227"/>
        <v/>
      </c>
      <c r="U1764" s="348" t="str">
        <f t="shared" si="228"/>
        <v/>
      </c>
      <c r="V1764" s="348" t="str">
        <f t="shared" si="229"/>
        <v/>
      </c>
      <c r="W1764" s="348" t="str">
        <f t="shared" si="230"/>
        <v/>
      </c>
      <c r="X1764" s="348" t="str">
        <f t="shared" si="231"/>
        <v/>
      </c>
    </row>
    <row r="1765" spans="1:24" x14ac:dyDescent="0.2">
      <c r="A1765" s="407">
        <v>1757</v>
      </c>
      <c r="B1765" s="438"/>
      <c r="C1765" s="438"/>
      <c r="D1765" s="438"/>
      <c r="E1765" s="438"/>
      <c r="F1765" s="438"/>
      <c r="G1765" s="438"/>
      <c r="H1765" s="438"/>
      <c r="I1765" s="438"/>
      <c r="J1765" s="11"/>
      <c r="Q1765" s="348" t="str">
        <f t="shared" si="224"/>
        <v/>
      </c>
      <c r="R1765" s="348" t="str">
        <f t="shared" si="225"/>
        <v/>
      </c>
      <c r="S1765" s="348" t="str">
        <f t="shared" si="226"/>
        <v/>
      </c>
      <c r="T1765" s="348" t="str">
        <f t="shared" si="227"/>
        <v/>
      </c>
      <c r="U1765" s="348" t="str">
        <f t="shared" si="228"/>
        <v/>
      </c>
      <c r="V1765" s="348" t="str">
        <f t="shared" si="229"/>
        <v/>
      </c>
      <c r="W1765" s="348" t="str">
        <f t="shared" si="230"/>
        <v/>
      </c>
      <c r="X1765" s="348" t="str">
        <f t="shared" si="231"/>
        <v/>
      </c>
    </row>
    <row r="1766" spans="1:24" x14ac:dyDescent="0.2">
      <c r="A1766" s="407">
        <v>1758</v>
      </c>
      <c r="B1766" s="437"/>
      <c r="C1766" s="438"/>
      <c r="D1766" s="438"/>
      <c r="E1766" s="438"/>
      <c r="F1766" s="438"/>
      <c r="G1766" s="438"/>
      <c r="H1766" s="438"/>
      <c r="I1766" s="438"/>
      <c r="J1766" s="11"/>
      <c r="Q1766" s="348" t="str">
        <f t="shared" si="224"/>
        <v/>
      </c>
      <c r="R1766" s="348" t="str">
        <f t="shared" si="225"/>
        <v/>
      </c>
      <c r="S1766" s="348" t="str">
        <f t="shared" si="226"/>
        <v/>
      </c>
      <c r="T1766" s="348" t="str">
        <f t="shared" si="227"/>
        <v/>
      </c>
      <c r="U1766" s="348" t="str">
        <f t="shared" si="228"/>
        <v/>
      </c>
      <c r="V1766" s="348" t="str">
        <f t="shared" si="229"/>
        <v/>
      </c>
      <c r="W1766" s="348" t="str">
        <f t="shared" si="230"/>
        <v/>
      </c>
      <c r="X1766" s="348" t="str">
        <f t="shared" si="231"/>
        <v/>
      </c>
    </row>
    <row r="1767" spans="1:24" x14ac:dyDescent="0.2">
      <c r="A1767" s="407">
        <v>1759</v>
      </c>
      <c r="B1767" s="438"/>
      <c r="C1767" s="438"/>
      <c r="D1767" s="438"/>
      <c r="E1767" s="438"/>
      <c r="F1767" s="438"/>
      <c r="G1767" s="438"/>
      <c r="H1767" s="438"/>
      <c r="I1767" s="438"/>
      <c r="J1767" s="11"/>
      <c r="Q1767" s="348" t="str">
        <f t="shared" si="224"/>
        <v/>
      </c>
      <c r="R1767" s="348" t="str">
        <f t="shared" si="225"/>
        <v/>
      </c>
      <c r="S1767" s="348" t="str">
        <f t="shared" si="226"/>
        <v/>
      </c>
      <c r="T1767" s="348" t="str">
        <f t="shared" si="227"/>
        <v/>
      </c>
      <c r="U1767" s="348" t="str">
        <f t="shared" si="228"/>
        <v/>
      </c>
      <c r="V1767" s="348" t="str">
        <f t="shared" si="229"/>
        <v/>
      </c>
      <c r="W1767" s="348" t="str">
        <f t="shared" si="230"/>
        <v/>
      </c>
      <c r="X1767" s="348" t="str">
        <f t="shared" si="231"/>
        <v/>
      </c>
    </row>
    <row r="1768" spans="1:24" x14ac:dyDescent="0.2">
      <c r="A1768" s="407">
        <v>1760</v>
      </c>
      <c r="B1768" s="438"/>
      <c r="C1768" s="438"/>
      <c r="D1768" s="438"/>
      <c r="E1768" s="438"/>
      <c r="F1768" s="438"/>
      <c r="G1768" s="438"/>
      <c r="H1768" s="438"/>
      <c r="I1768" s="438"/>
      <c r="J1768" s="11"/>
      <c r="Q1768" s="348" t="str">
        <f t="shared" si="224"/>
        <v/>
      </c>
      <c r="R1768" s="348" t="str">
        <f t="shared" si="225"/>
        <v/>
      </c>
      <c r="S1768" s="348" t="str">
        <f t="shared" si="226"/>
        <v/>
      </c>
      <c r="T1768" s="348" t="str">
        <f t="shared" si="227"/>
        <v/>
      </c>
      <c r="U1768" s="348" t="str">
        <f t="shared" si="228"/>
        <v/>
      </c>
      <c r="V1768" s="348" t="str">
        <f t="shared" si="229"/>
        <v/>
      </c>
      <c r="W1768" s="348" t="str">
        <f t="shared" si="230"/>
        <v/>
      </c>
      <c r="X1768" s="348" t="str">
        <f t="shared" si="231"/>
        <v/>
      </c>
    </row>
    <row r="1769" spans="1:24" x14ac:dyDescent="0.2">
      <c r="A1769" s="407">
        <v>1761</v>
      </c>
      <c r="B1769" s="438"/>
      <c r="C1769" s="438"/>
      <c r="D1769" s="438"/>
      <c r="E1769" s="438"/>
      <c r="F1769" s="438"/>
      <c r="G1769" s="438"/>
      <c r="H1769" s="438"/>
      <c r="I1769" s="438"/>
      <c r="J1769" s="11"/>
      <c r="Q1769" s="348" t="str">
        <f t="shared" si="224"/>
        <v/>
      </c>
      <c r="R1769" s="348" t="str">
        <f t="shared" si="225"/>
        <v/>
      </c>
      <c r="S1769" s="348" t="str">
        <f t="shared" si="226"/>
        <v/>
      </c>
      <c r="T1769" s="348" t="str">
        <f t="shared" si="227"/>
        <v/>
      </c>
      <c r="U1769" s="348" t="str">
        <f t="shared" si="228"/>
        <v/>
      </c>
      <c r="V1769" s="348" t="str">
        <f t="shared" si="229"/>
        <v/>
      </c>
      <c r="W1769" s="348" t="str">
        <f t="shared" si="230"/>
        <v/>
      </c>
      <c r="X1769" s="348" t="str">
        <f t="shared" si="231"/>
        <v/>
      </c>
    </row>
    <row r="1770" spans="1:24" x14ac:dyDescent="0.2">
      <c r="A1770" s="407">
        <v>1762</v>
      </c>
      <c r="B1770" s="438"/>
      <c r="C1770" s="438"/>
      <c r="D1770" s="438"/>
      <c r="E1770" s="438"/>
      <c r="F1770" s="438"/>
      <c r="G1770" s="437"/>
      <c r="H1770" s="438"/>
      <c r="I1770" s="438"/>
      <c r="J1770" s="11"/>
      <c r="Q1770" s="348" t="str">
        <f t="shared" si="224"/>
        <v/>
      </c>
      <c r="R1770" s="348" t="str">
        <f t="shared" si="225"/>
        <v/>
      </c>
      <c r="S1770" s="348" t="str">
        <f t="shared" si="226"/>
        <v/>
      </c>
      <c r="T1770" s="348" t="str">
        <f t="shared" si="227"/>
        <v/>
      </c>
      <c r="U1770" s="348" t="str">
        <f t="shared" si="228"/>
        <v/>
      </c>
      <c r="V1770" s="348" t="str">
        <f t="shared" si="229"/>
        <v/>
      </c>
      <c r="W1770" s="348" t="str">
        <f t="shared" si="230"/>
        <v/>
      </c>
      <c r="X1770" s="348" t="str">
        <f t="shared" si="231"/>
        <v/>
      </c>
    </row>
    <row r="1771" spans="1:24" x14ac:dyDescent="0.2">
      <c r="A1771" s="407">
        <v>1763</v>
      </c>
      <c r="B1771" s="438"/>
      <c r="C1771" s="438"/>
      <c r="D1771" s="438"/>
      <c r="E1771" s="438"/>
      <c r="F1771" s="438"/>
      <c r="G1771" s="438"/>
      <c r="H1771" s="438"/>
      <c r="I1771" s="438"/>
      <c r="J1771" s="11"/>
      <c r="Q1771" s="348" t="str">
        <f t="shared" si="224"/>
        <v/>
      </c>
      <c r="R1771" s="348" t="str">
        <f t="shared" si="225"/>
        <v/>
      </c>
      <c r="S1771" s="348" t="str">
        <f t="shared" si="226"/>
        <v/>
      </c>
      <c r="T1771" s="348" t="str">
        <f t="shared" si="227"/>
        <v/>
      </c>
      <c r="U1771" s="348" t="str">
        <f t="shared" si="228"/>
        <v/>
      </c>
      <c r="V1771" s="348" t="str">
        <f t="shared" si="229"/>
        <v/>
      </c>
      <c r="W1771" s="348" t="str">
        <f t="shared" si="230"/>
        <v/>
      </c>
      <c r="X1771" s="348" t="str">
        <f t="shared" si="231"/>
        <v/>
      </c>
    </row>
    <row r="1772" spans="1:24" x14ac:dyDescent="0.2">
      <c r="A1772" s="407">
        <v>1764</v>
      </c>
      <c r="B1772" s="438"/>
      <c r="C1772" s="437"/>
      <c r="D1772" s="438"/>
      <c r="E1772" s="438"/>
      <c r="F1772" s="437"/>
      <c r="G1772" s="438"/>
      <c r="H1772" s="437"/>
      <c r="I1772" s="438"/>
      <c r="J1772" s="11"/>
      <c r="Q1772" s="348" t="str">
        <f t="shared" si="224"/>
        <v/>
      </c>
      <c r="R1772" s="348" t="str">
        <f t="shared" si="225"/>
        <v/>
      </c>
      <c r="S1772" s="348" t="str">
        <f t="shared" si="226"/>
        <v/>
      </c>
      <c r="T1772" s="348" t="str">
        <f t="shared" si="227"/>
        <v/>
      </c>
      <c r="U1772" s="348" t="str">
        <f t="shared" si="228"/>
        <v/>
      </c>
      <c r="V1772" s="348" t="str">
        <f t="shared" si="229"/>
        <v/>
      </c>
      <c r="W1772" s="348" t="str">
        <f t="shared" si="230"/>
        <v/>
      </c>
      <c r="X1772" s="348" t="str">
        <f t="shared" si="231"/>
        <v/>
      </c>
    </row>
    <row r="1773" spans="1:24" x14ac:dyDescent="0.2">
      <c r="A1773" s="407">
        <v>1765</v>
      </c>
      <c r="B1773" s="438"/>
      <c r="C1773" s="438"/>
      <c r="D1773" s="438"/>
      <c r="E1773" s="438"/>
      <c r="F1773" s="438"/>
      <c r="G1773" s="438"/>
      <c r="H1773" s="438"/>
      <c r="I1773" s="438"/>
      <c r="J1773" s="11"/>
      <c r="Q1773" s="348" t="str">
        <f t="shared" si="224"/>
        <v/>
      </c>
      <c r="R1773" s="348" t="str">
        <f t="shared" si="225"/>
        <v/>
      </c>
      <c r="S1773" s="348" t="str">
        <f t="shared" si="226"/>
        <v/>
      </c>
      <c r="T1773" s="348" t="str">
        <f t="shared" si="227"/>
        <v/>
      </c>
      <c r="U1773" s="348" t="str">
        <f t="shared" si="228"/>
        <v/>
      </c>
      <c r="V1773" s="348" t="str">
        <f t="shared" si="229"/>
        <v/>
      </c>
      <c r="W1773" s="348" t="str">
        <f t="shared" si="230"/>
        <v/>
      </c>
      <c r="X1773" s="348" t="str">
        <f t="shared" si="231"/>
        <v/>
      </c>
    </row>
    <row r="1774" spans="1:24" x14ac:dyDescent="0.2">
      <c r="A1774" s="407">
        <v>1766</v>
      </c>
      <c r="B1774" s="438"/>
      <c r="C1774" s="438"/>
      <c r="D1774" s="438"/>
      <c r="E1774" s="438"/>
      <c r="F1774" s="438"/>
      <c r="G1774" s="438"/>
      <c r="H1774" s="438"/>
      <c r="I1774" s="438"/>
      <c r="J1774" s="11"/>
      <c r="Q1774" s="348" t="str">
        <f t="shared" si="224"/>
        <v/>
      </c>
      <c r="R1774" s="348" t="str">
        <f t="shared" si="225"/>
        <v/>
      </c>
      <c r="S1774" s="348" t="str">
        <f t="shared" si="226"/>
        <v/>
      </c>
      <c r="T1774" s="348" t="str">
        <f t="shared" si="227"/>
        <v/>
      </c>
      <c r="U1774" s="348" t="str">
        <f t="shared" si="228"/>
        <v/>
      </c>
      <c r="V1774" s="348" t="str">
        <f t="shared" si="229"/>
        <v/>
      </c>
      <c r="W1774" s="348" t="str">
        <f t="shared" si="230"/>
        <v/>
      </c>
      <c r="X1774" s="348" t="str">
        <f t="shared" si="231"/>
        <v/>
      </c>
    </row>
    <row r="1775" spans="1:24" x14ac:dyDescent="0.2">
      <c r="A1775" s="407">
        <v>1767</v>
      </c>
      <c r="B1775" s="438"/>
      <c r="C1775" s="438"/>
      <c r="D1775" s="438"/>
      <c r="E1775" s="438"/>
      <c r="F1775" s="438"/>
      <c r="G1775" s="438"/>
      <c r="H1775" s="438"/>
      <c r="I1775" s="438"/>
      <c r="J1775" s="11"/>
      <c r="Q1775" s="348" t="str">
        <f t="shared" si="224"/>
        <v/>
      </c>
      <c r="R1775" s="348" t="str">
        <f t="shared" si="225"/>
        <v/>
      </c>
      <c r="S1775" s="348" t="str">
        <f t="shared" si="226"/>
        <v/>
      </c>
      <c r="T1775" s="348" t="str">
        <f t="shared" si="227"/>
        <v/>
      </c>
      <c r="U1775" s="348" t="str">
        <f t="shared" si="228"/>
        <v/>
      </c>
      <c r="V1775" s="348" t="str">
        <f t="shared" si="229"/>
        <v/>
      </c>
      <c r="W1775" s="348" t="str">
        <f t="shared" si="230"/>
        <v/>
      </c>
      <c r="X1775" s="348" t="str">
        <f t="shared" si="231"/>
        <v/>
      </c>
    </row>
    <row r="1776" spans="1:24" x14ac:dyDescent="0.2">
      <c r="A1776" s="407">
        <v>1768</v>
      </c>
      <c r="B1776" s="438"/>
      <c r="C1776" s="438"/>
      <c r="D1776" s="438"/>
      <c r="E1776" s="438"/>
      <c r="F1776" s="438"/>
      <c r="G1776" s="438"/>
      <c r="H1776" s="438"/>
      <c r="I1776" s="438"/>
      <c r="J1776" s="11"/>
      <c r="Q1776" s="348" t="str">
        <f t="shared" si="224"/>
        <v/>
      </c>
      <c r="R1776" s="348" t="str">
        <f t="shared" si="225"/>
        <v/>
      </c>
      <c r="S1776" s="348" t="str">
        <f t="shared" si="226"/>
        <v/>
      </c>
      <c r="T1776" s="348" t="str">
        <f t="shared" si="227"/>
        <v/>
      </c>
      <c r="U1776" s="348" t="str">
        <f t="shared" si="228"/>
        <v/>
      </c>
      <c r="V1776" s="348" t="str">
        <f t="shared" si="229"/>
        <v/>
      </c>
      <c r="W1776" s="348" t="str">
        <f t="shared" si="230"/>
        <v/>
      </c>
      <c r="X1776" s="348" t="str">
        <f t="shared" si="231"/>
        <v/>
      </c>
    </row>
    <row r="1777" spans="1:24" x14ac:dyDescent="0.2">
      <c r="A1777" s="407">
        <v>1769</v>
      </c>
      <c r="B1777" s="438"/>
      <c r="C1777" s="438"/>
      <c r="D1777" s="437"/>
      <c r="E1777" s="437"/>
      <c r="F1777" s="438"/>
      <c r="G1777" s="438"/>
      <c r="H1777" s="438"/>
      <c r="I1777" s="438"/>
      <c r="J1777" s="11"/>
      <c r="Q1777" s="348" t="str">
        <f t="shared" si="224"/>
        <v/>
      </c>
      <c r="R1777" s="348" t="str">
        <f t="shared" si="225"/>
        <v/>
      </c>
      <c r="S1777" s="348" t="str">
        <f t="shared" si="226"/>
        <v/>
      </c>
      <c r="T1777" s="348" t="str">
        <f t="shared" si="227"/>
        <v/>
      </c>
      <c r="U1777" s="348" t="str">
        <f t="shared" si="228"/>
        <v/>
      </c>
      <c r="V1777" s="348" t="str">
        <f t="shared" si="229"/>
        <v/>
      </c>
      <c r="W1777" s="348" t="str">
        <f t="shared" si="230"/>
        <v/>
      </c>
      <c r="X1777" s="348" t="str">
        <f t="shared" si="231"/>
        <v/>
      </c>
    </row>
    <row r="1778" spans="1:24" x14ac:dyDescent="0.2">
      <c r="A1778" s="407">
        <v>1770</v>
      </c>
      <c r="B1778" s="438"/>
      <c r="C1778" s="438"/>
      <c r="D1778" s="438"/>
      <c r="E1778" s="438"/>
      <c r="F1778" s="438"/>
      <c r="G1778" s="438"/>
      <c r="H1778" s="438"/>
      <c r="I1778" s="438"/>
      <c r="J1778" s="11"/>
      <c r="Q1778" s="348" t="str">
        <f t="shared" si="224"/>
        <v/>
      </c>
      <c r="R1778" s="348" t="str">
        <f t="shared" si="225"/>
        <v/>
      </c>
      <c r="S1778" s="348" t="str">
        <f t="shared" si="226"/>
        <v/>
      </c>
      <c r="T1778" s="348" t="str">
        <f t="shared" si="227"/>
        <v/>
      </c>
      <c r="U1778" s="348" t="str">
        <f t="shared" si="228"/>
        <v/>
      </c>
      <c r="V1778" s="348" t="str">
        <f t="shared" si="229"/>
        <v/>
      </c>
      <c r="W1778" s="348" t="str">
        <f t="shared" si="230"/>
        <v/>
      </c>
      <c r="X1778" s="348" t="str">
        <f t="shared" si="231"/>
        <v/>
      </c>
    </row>
    <row r="1779" spans="1:24" x14ac:dyDescent="0.2">
      <c r="A1779" s="407">
        <v>1771</v>
      </c>
      <c r="B1779" s="438"/>
      <c r="C1779" s="438"/>
      <c r="D1779" s="438"/>
      <c r="E1779" s="438"/>
      <c r="F1779" s="438"/>
      <c r="G1779" s="438"/>
      <c r="H1779" s="438"/>
      <c r="I1779" s="438"/>
      <c r="J1779" s="11"/>
      <c r="Q1779" s="348" t="str">
        <f t="shared" si="224"/>
        <v/>
      </c>
      <c r="R1779" s="348" t="str">
        <f t="shared" si="225"/>
        <v/>
      </c>
      <c r="S1779" s="348" t="str">
        <f t="shared" si="226"/>
        <v/>
      </c>
      <c r="T1779" s="348" t="str">
        <f t="shared" si="227"/>
        <v/>
      </c>
      <c r="U1779" s="348" t="str">
        <f t="shared" si="228"/>
        <v/>
      </c>
      <c r="V1779" s="348" t="str">
        <f t="shared" si="229"/>
        <v/>
      </c>
      <c r="W1779" s="348" t="str">
        <f t="shared" si="230"/>
        <v/>
      </c>
      <c r="X1779" s="348" t="str">
        <f t="shared" si="231"/>
        <v/>
      </c>
    </row>
    <row r="1780" spans="1:24" x14ac:dyDescent="0.2">
      <c r="A1780" s="407">
        <v>1772</v>
      </c>
      <c r="B1780" s="438"/>
      <c r="C1780" s="438"/>
      <c r="D1780" s="438"/>
      <c r="E1780" s="438"/>
      <c r="F1780" s="438"/>
      <c r="G1780" s="438"/>
      <c r="H1780" s="438"/>
      <c r="I1780" s="438"/>
      <c r="J1780" s="11"/>
      <c r="Q1780" s="348" t="str">
        <f t="shared" si="224"/>
        <v/>
      </c>
      <c r="R1780" s="348" t="str">
        <f t="shared" si="225"/>
        <v/>
      </c>
      <c r="S1780" s="348" t="str">
        <f t="shared" si="226"/>
        <v/>
      </c>
      <c r="T1780" s="348" t="str">
        <f t="shared" si="227"/>
        <v/>
      </c>
      <c r="U1780" s="348" t="str">
        <f t="shared" si="228"/>
        <v/>
      </c>
      <c r="V1780" s="348" t="str">
        <f t="shared" si="229"/>
        <v/>
      </c>
      <c r="W1780" s="348" t="str">
        <f t="shared" si="230"/>
        <v/>
      </c>
      <c r="X1780" s="348" t="str">
        <f t="shared" si="231"/>
        <v/>
      </c>
    </row>
    <row r="1781" spans="1:24" x14ac:dyDescent="0.2">
      <c r="A1781" s="407">
        <v>1773</v>
      </c>
      <c r="B1781" s="438"/>
      <c r="C1781" s="438"/>
      <c r="D1781" s="438"/>
      <c r="E1781" s="438"/>
      <c r="F1781" s="438"/>
      <c r="G1781" s="438"/>
      <c r="H1781" s="438"/>
      <c r="I1781" s="438"/>
      <c r="J1781" s="11"/>
      <c r="Q1781" s="348" t="str">
        <f t="shared" si="224"/>
        <v/>
      </c>
      <c r="R1781" s="348" t="str">
        <f t="shared" si="225"/>
        <v/>
      </c>
      <c r="S1781" s="348" t="str">
        <f t="shared" si="226"/>
        <v/>
      </c>
      <c r="T1781" s="348" t="str">
        <f t="shared" si="227"/>
        <v/>
      </c>
      <c r="U1781" s="348" t="str">
        <f t="shared" si="228"/>
        <v/>
      </c>
      <c r="V1781" s="348" t="str">
        <f t="shared" si="229"/>
        <v/>
      </c>
      <c r="W1781" s="348" t="str">
        <f t="shared" si="230"/>
        <v/>
      </c>
      <c r="X1781" s="348" t="str">
        <f t="shared" si="231"/>
        <v/>
      </c>
    </row>
    <row r="1782" spans="1:24" x14ac:dyDescent="0.2">
      <c r="A1782" s="407">
        <v>1774</v>
      </c>
      <c r="B1782" s="438"/>
      <c r="C1782" s="438"/>
      <c r="D1782" s="438"/>
      <c r="E1782" s="438"/>
      <c r="F1782" s="438"/>
      <c r="G1782" s="438"/>
      <c r="H1782" s="438"/>
      <c r="I1782" s="438"/>
      <c r="J1782" s="11"/>
      <c r="Q1782" s="348" t="str">
        <f t="shared" si="224"/>
        <v/>
      </c>
      <c r="R1782" s="348" t="str">
        <f t="shared" si="225"/>
        <v/>
      </c>
      <c r="S1782" s="348" t="str">
        <f t="shared" si="226"/>
        <v/>
      </c>
      <c r="T1782" s="348" t="str">
        <f t="shared" si="227"/>
        <v/>
      </c>
      <c r="U1782" s="348" t="str">
        <f t="shared" si="228"/>
        <v/>
      </c>
      <c r="V1782" s="348" t="str">
        <f t="shared" si="229"/>
        <v/>
      </c>
      <c r="W1782" s="348" t="str">
        <f t="shared" si="230"/>
        <v/>
      </c>
      <c r="X1782" s="348" t="str">
        <f t="shared" si="231"/>
        <v/>
      </c>
    </row>
    <row r="1783" spans="1:24" x14ac:dyDescent="0.2">
      <c r="A1783" s="407">
        <v>1775</v>
      </c>
      <c r="B1783" s="438"/>
      <c r="C1783" s="438"/>
      <c r="D1783" s="438"/>
      <c r="E1783" s="438"/>
      <c r="F1783" s="438"/>
      <c r="G1783" s="438"/>
      <c r="H1783" s="438"/>
      <c r="I1783" s="438"/>
      <c r="J1783" s="11"/>
      <c r="Q1783" s="348" t="str">
        <f t="shared" si="224"/>
        <v/>
      </c>
      <c r="R1783" s="348" t="str">
        <f t="shared" si="225"/>
        <v/>
      </c>
      <c r="S1783" s="348" t="str">
        <f t="shared" si="226"/>
        <v/>
      </c>
      <c r="T1783" s="348" t="str">
        <f t="shared" si="227"/>
        <v/>
      </c>
      <c r="U1783" s="348" t="str">
        <f t="shared" si="228"/>
        <v/>
      </c>
      <c r="V1783" s="348" t="str">
        <f t="shared" si="229"/>
        <v/>
      </c>
      <c r="W1783" s="348" t="str">
        <f t="shared" si="230"/>
        <v/>
      </c>
      <c r="X1783" s="348" t="str">
        <f t="shared" si="231"/>
        <v/>
      </c>
    </row>
    <row r="1784" spans="1:24" x14ac:dyDescent="0.2">
      <c r="A1784" s="407">
        <v>1776</v>
      </c>
      <c r="B1784" s="438"/>
      <c r="C1784" s="438"/>
      <c r="D1784" s="438"/>
      <c r="E1784" s="438"/>
      <c r="F1784" s="438"/>
      <c r="G1784" s="438"/>
      <c r="H1784" s="438"/>
      <c r="I1784" s="438"/>
      <c r="J1784" s="11"/>
      <c r="Q1784" s="348" t="str">
        <f t="shared" si="224"/>
        <v/>
      </c>
      <c r="R1784" s="348" t="str">
        <f t="shared" si="225"/>
        <v/>
      </c>
      <c r="S1784" s="348" t="str">
        <f t="shared" si="226"/>
        <v/>
      </c>
      <c r="T1784" s="348" t="str">
        <f t="shared" si="227"/>
        <v/>
      </c>
      <c r="U1784" s="348" t="str">
        <f t="shared" si="228"/>
        <v/>
      </c>
      <c r="V1784" s="348" t="str">
        <f t="shared" si="229"/>
        <v/>
      </c>
      <c r="W1784" s="348" t="str">
        <f t="shared" si="230"/>
        <v/>
      </c>
      <c r="X1784" s="348" t="str">
        <f t="shared" si="231"/>
        <v/>
      </c>
    </row>
    <row r="1785" spans="1:24" x14ac:dyDescent="0.2">
      <c r="A1785" s="407">
        <v>1777</v>
      </c>
      <c r="B1785" s="437"/>
      <c r="C1785" s="438"/>
      <c r="D1785" s="438"/>
      <c r="E1785" s="438"/>
      <c r="F1785" s="438"/>
      <c r="G1785" s="438"/>
      <c r="H1785" s="438"/>
      <c r="I1785" s="438"/>
      <c r="J1785" s="11"/>
      <c r="Q1785" s="348" t="str">
        <f t="shared" si="224"/>
        <v/>
      </c>
      <c r="R1785" s="348" t="str">
        <f t="shared" si="225"/>
        <v/>
      </c>
      <c r="S1785" s="348" t="str">
        <f t="shared" si="226"/>
        <v/>
      </c>
      <c r="T1785" s="348" t="str">
        <f t="shared" si="227"/>
        <v/>
      </c>
      <c r="U1785" s="348" t="str">
        <f t="shared" si="228"/>
        <v/>
      </c>
      <c r="V1785" s="348" t="str">
        <f t="shared" si="229"/>
        <v/>
      </c>
      <c r="W1785" s="348" t="str">
        <f t="shared" si="230"/>
        <v/>
      </c>
      <c r="X1785" s="348" t="str">
        <f t="shared" si="231"/>
        <v/>
      </c>
    </row>
    <row r="1786" spans="1:24" x14ac:dyDescent="0.2">
      <c r="A1786" s="407">
        <v>1778</v>
      </c>
      <c r="B1786" s="438"/>
      <c r="C1786" s="438"/>
      <c r="D1786" s="438"/>
      <c r="E1786" s="438"/>
      <c r="F1786" s="438"/>
      <c r="G1786" s="438"/>
      <c r="H1786" s="438"/>
      <c r="I1786" s="438"/>
      <c r="J1786" s="11"/>
      <c r="Q1786" s="348" t="str">
        <f t="shared" si="224"/>
        <v/>
      </c>
      <c r="R1786" s="348" t="str">
        <f t="shared" si="225"/>
        <v/>
      </c>
      <c r="S1786" s="348" t="str">
        <f t="shared" si="226"/>
        <v/>
      </c>
      <c r="T1786" s="348" t="str">
        <f t="shared" si="227"/>
        <v/>
      </c>
      <c r="U1786" s="348" t="str">
        <f t="shared" si="228"/>
        <v/>
      </c>
      <c r="V1786" s="348" t="str">
        <f t="shared" si="229"/>
        <v/>
      </c>
      <c r="W1786" s="348" t="str">
        <f t="shared" si="230"/>
        <v/>
      </c>
      <c r="X1786" s="348" t="str">
        <f t="shared" si="231"/>
        <v/>
      </c>
    </row>
    <row r="1787" spans="1:24" x14ac:dyDescent="0.2">
      <c r="A1787" s="407">
        <v>1779</v>
      </c>
      <c r="B1787" s="438"/>
      <c r="C1787" s="438"/>
      <c r="D1787" s="438"/>
      <c r="E1787" s="438"/>
      <c r="F1787" s="438"/>
      <c r="G1787" s="438"/>
      <c r="H1787" s="438"/>
      <c r="I1787" s="438"/>
      <c r="J1787" s="11"/>
      <c r="Q1787" s="348" t="str">
        <f t="shared" si="224"/>
        <v/>
      </c>
      <c r="R1787" s="348" t="str">
        <f t="shared" si="225"/>
        <v/>
      </c>
      <c r="S1787" s="348" t="str">
        <f t="shared" si="226"/>
        <v/>
      </c>
      <c r="T1787" s="348" t="str">
        <f t="shared" si="227"/>
        <v/>
      </c>
      <c r="U1787" s="348" t="str">
        <f t="shared" si="228"/>
        <v/>
      </c>
      <c r="V1787" s="348" t="str">
        <f t="shared" si="229"/>
        <v/>
      </c>
      <c r="W1787" s="348" t="str">
        <f t="shared" si="230"/>
        <v/>
      </c>
      <c r="X1787" s="348" t="str">
        <f t="shared" si="231"/>
        <v/>
      </c>
    </row>
    <row r="1788" spans="1:24" x14ac:dyDescent="0.2">
      <c r="A1788" s="407">
        <v>1780</v>
      </c>
      <c r="B1788" s="438"/>
      <c r="C1788" s="438"/>
      <c r="D1788" s="438"/>
      <c r="E1788" s="438"/>
      <c r="F1788" s="438"/>
      <c r="G1788" s="438"/>
      <c r="H1788" s="438"/>
      <c r="I1788" s="438"/>
      <c r="J1788" s="11"/>
      <c r="Q1788" s="348" t="str">
        <f t="shared" si="224"/>
        <v/>
      </c>
      <c r="R1788" s="348" t="str">
        <f t="shared" si="225"/>
        <v/>
      </c>
      <c r="S1788" s="348" t="str">
        <f t="shared" si="226"/>
        <v/>
      </c>
      <c r="T1788" s="348" t="str">
        <f t="shared" si="227"/>
        <v/>
      </c>
      <c r="U1788" s="348" t="str">
        <f t="shared" si="228"/>
        <v/>
      </c>
      <c r="V1788" s="348" t="str">
        <f t="shared" si="229"/>
        <v/>
      </c>
      <c r="W1788" s="348" t="str">
        <f t="shared" si="230"/>
        <v/>
      </c>
      <c r="X1788" s="348" t="str">
        <f t="shared" si="231"/>
        <v/>
      </c>
    </row>
    <row r="1789" spans="1:24" x14ac:dyDescent="0.2">
      <c r="A1789" s="407">
        <v>1781</v>
      </c>
      <c r="B1789" s="438"/>
      <c r="C1789" s="438"/>
      <c r="D1789" s="438"/>
      <c r="E1789" s="438"/>
      <c r="F1789" s="438"/>
      <c r="G1789" s="438"/>
      <c r="H1789" s="438"/>
      <c r="I1789" s="438"/>
      <c r="J1789" s="11"/>
      <c r="Q1789" s="348" t="str">
        <f t="shared" si="224"/>
        <v/>
      </c>
      <c r="R1789" s="348" t="str">
        <f t="shared" si="225"/>
        <v/>
      </c>
      <c r="S1789" s="348" t="str">
        <f t="shared" si="226"/>
        <v/>
      </c>
      <c r="T1789" s="348" t="str">
        <f t="shared" si="227"/>
        <v/>
      </c>
      <c r="U1789" s="348" t="str">
        <f t="shared" si="228"/>
        <v/>
      </c>
      <c r="V1789" s="348" t="str">
        <f t="shared" si="229"/>
        <v/>
      </c>
      <c r="W1789" s="348" t="str">
        <f t="shared" si="230"/>
        <v/>
      </c>
      <c r="X1789" s="348" t="str">
        <f t="shared" si="231"/>
        <v/>
      </c>
    </row>
    <row r="1790" spans="1:24" x14ac:dyDescent="0.2">
      <c r="A1790" s="407">
        <v>1782</v>
      </c>
      <c r="B1790" s="438"/>
      <c r="C1790" s="438"/>
      <c r="D1790" s="438"/>
      <c r="E1790" s="438"/>
      <c r="F1790" s="438"/>
      <c r="G1790" s="438"/>
      <c r="H1790" s="438"/>
      <c r="I1790" s="438"/>
      <c r="J1790" s="11"/>
      <c r="Q1790" s="348" t="str">
        <f t="shared" si="224"/>
        <v/>
      </c>
      <c r="R1790" s="348" t="str">
        <f t="shared" si="225"/>
        <v/>
      </c>
      <c r="S1790" s="348" t="str">
        <f t="shared" si="226"/>
        <v/>
      </c>
      <c r="T1790" s="348" t="str">
        <f t="shared" si="227"/>
        <v/>
      </c>
      <c r="U1790" s="348" t="str">
        <f t="shared" si="228"/>
        <v/>
      </c>
      <c r="V1790" s="348" t="str">
        <f t="shared" si="229"/>
        <v/>
      </c>
      <c r="W1790" s="348" t="str">
        <f t="shared" si="230"/>
        <v/>
      </c>
      <c r="X1790" s="348" t="str">
        <f t="shared" si="231"/>
        <v/>
      </c>
    </row>
    <row r="1791" spans="1:24" x14ac:dyDescent="0.2">
      <c r="A1791" s="407">
        <v>1783</v>
      </c>
      <c r="B1791" s="438"/>
      <c r="C1791" s="438"/>
      <c r="D1791" s="438"/>
      <c r="E1791" s="438"/>
      <c r="F1791" s="438"/>
      <c r="G1791" s="438"/>
      <c r="H1791" s="438"/>
      <c r="I1791" s="438"/>
      <c r="J1791" s="11"/>
      <c r="Q1791" s="348" t="str">
        <f t="shared" si="224"/>
        <v/>
      </c>
      <c r="R1791" s="348" t="str">
        <f t="shared" si="225"/>
        <v/>
      </c>
      <c r="S1791" s="348" t="str">
        <f t="shared" si="226"/>
        <v/>
      </c>
      <c r="T1791" s="348" t="str">
        <f t="shared" si="227"/>
        <v/>
      </c>
      <c r="U1791" s="348" t="str">
        <f t="shared" si="228"/>
        <v/>
      </c>
      <c r="V1791" s="348" t="str">
        <f t="shared" si="229"/>
        <v/>
      </c>
      <c r="W1791" s="348" t="str">
        <f t="shared" si="230"/>
        <v/>
      </c>
      <c r="X1791" s="348" t="str">
        <f t="shared" si="231"/>
        <v/>
      </c>
    </row>
    <row r="1792" spans="1:24" x14ac:dyDescent="0.2">
      <c r="A1792" s="407">
        <v>1784</v>
      </c>
      <c r="B1792" s="438"/>
      <c r="C1792" s="438"/>
      <c r="D1792" s="438"/>
      <c r="E1792" s="438"/>
      <c r="F1792" s="438"/>
      <c r="G1792" s="438"/>
      <c r="H1792" s="438"/>
      <c r="I1792" s="438"/>
      <c r="J1792" s="11"/>
      <c r="Q1792" s="348" t="str">
        <f t="shared" si="224"/>
        <v/>
      </c>
      <c r="R1792" s="348" t="str">
        <f t="shared" si="225"/>
        <v/>
      </c>
      <c r="S1792" s="348" t="str">
        <f t="shared" si="226"/>
        <v/>
      </c>
      <c r="T1792" s="348" t="str">
        <f t="shared" si="227"/>
        <v/>
      </c>
      <c r="U1792" s="348" t="str">
        <f t="shared" si="228"/>
        <v/>
      </c>
      <c r="V1792" s="348" t="str">
        <f t="shared" si="229"/>
        <v/>
      </c>
      <c r="W1792" s="348" t="str">
        <f t="shared" si="230"/>
        <v/>
      </c>
      <c r="X1792" s="348" t="str">
        <f t="shared" si="231"/>
        <v/>
      </c>
    </row>
    <row r="1793" spans="1:24" x14ac:dyDescent="0.2">
      <c r="A1793" s="407">
        <v>1785</v>
      </c>
      <c r="B1793" s="437"/>
      <c r="C1793" s="438"/>
      <c r="D1793" s="438"/>
      <c r="E1793" s="438"/>
      <c r="F1793" s="438"/>
      <c r="G1793" s="438"/>
      <c r="H1793" s="438"/>
      <c r="I1793" s="438"/>
      <c r="J1793" s="11"/>
      <c r="Q1793" s="348" t="str">
        <f t="shared" si="224"/>
        <v/>
      </c>
      <c r="R1793" s="348" t="str">
        <f t="shared" si="225"/>
        <v/>
      </c>
      <c r="S1793" s="348" t="str">
        <f t="shared" si="226"/>
        <v/>
      </c>
      <c r="T1793" s="348" t="str">
        <f t="shared" si="227"/>
        <v/>
      </c>
      <c r="U1793" s="348" t="str">
        <f t="shared" si="228"/>
        <v/>
      </c>
      <c r="V1793" s="348" t="str">
        <f t="shared" si="229"/>
        <v/>
      </c>
      <c r="W1793" s="348" t="str">
        <f t="shared" si="230"/>
        <v/>
      </c>
      <c r="X1793" s="348" t="str">
        <f t="shared" si="231"/>
        <v/>
      </c>
    </row>
    <row r="1794" spans="1:24" x14ac:dyDescent="0.2">
      <c r="A1794" s="407">
        <v>1786</v>
      </c>
      <c r="B1794" s="438"/>
      <c r="C1794" s="438"/>
      <c r="D1794" s="438"/>
      <c r="E1794" s="438"/>
      <c r="F1794" s="438"/>
      <c r="G1794" s="438"/>
      <c r="H1794" s="438"/>
      <c r="I1794" s="438"/>
      <c r="J1794" s="11"/>
      <c r="Q1794" s="348" t="str">
        <f t="shared" si="224"/>
        <v/>
      </c>
      <c r="R1794" s="348" t="str">
        <f t="shared" si="225"/>
        <v/>
      </c>
      <c r="S1794" s="348" t="str">
        <f t="shared" si="226"/>
        <v/>
      </c>
      <c r="T1794" s="348" t="str">
        <f t="shared" si="227"/>
        <v/>
      </c>
      <c r="U1794" s="348" t="str">
        <f t="shared" si="228"/>
        <v/>
      </c>
      <c r="V1794" s="348" t="str">
        <f t="shared" si="229"/>
        <v/>
      </c>
      <c r="W1794" s="348" t="str">
        <f t="shared" si="230"/>
        <v/>
      </c>
      <c r="X1794" s="348" t="str">
        <f t="shared" si="231"/>
        <v/>
      </c>
    </row>
    <row r="1795" spans="1:24" x14ac:dyDescent="0.2">
      <c r="A1795" s="407">
        <v>1787</v>
      </c>
      <c r="B1795" s="438"/>
      <c r="C1795" s="438"/>
      <c r="D1795" s="438"/>
      <c r="E1795" s="438"/>
      <c r="F1795" s="438"/>
      <c r="G1795" s="438"/>
      <c r="H1795" s="438"/>
      <c r="I1795" s="438"/>
      <c r="J1795" s="11"/>
      <c r="Q1795" s="348" t="str">
        <f t="shared" si="224"/>
        <v/>
      </c>
      <c r="R1795" s="348" t="str">
        <f t="shared" si="225"/>
        <v/>
      </c>
      <c r="S1795" s="348" t="str">
        <f t="shared" si="226"/>
        <v/>
      </c>
      <c r="T1795" s="348" t="str">
        <f t="shared" si="227"/>
        <v/>
      </c>
      <c r="U1795" s="348" t="str">
        <f t="shared" si="228"/>
        <v/>
      </c>
      <c r="V1795" s="348" t="str">
        <f t="shared" si="229"/>
        <v/>
      </c>
      <c r="W1795" s="348" t="str">
        <f t="shared" si="230"/>
        <v/>
      </c>
      <c r="X1795" s="348" t="str">
        <f t="shared" si="231"/>
        <v/>
      </c>
    </row>
    <row r="1796" spans="1:24" x14ac:dyDescent="0.2">
      <c r="A1796" s="407">
        <v>1788</v>
      </c>
      <c r="B1796" s="438"/>
      <c r="C1796" s="438"/>
      <c r="D1796" s="438"/>
      <c r="E1796" s="438"/>
      <c r="F1796" s="438"/>
      <c r="G1796" s="438"/>
      <c r="H1796" s="438"/>
      <c r="I1796" s="438"/>
      <c r="J1796" s="11"/>
      <c r="Q1796" s="348" t="str">
        <f t="shared" si="224"/>
        <v/>
      </c>
      <c r="R1796" s="348" t="str">
        <f t="shared" si="225"/>
        <v/>
      </c>
      <c r="S1796" s="348" t="str">
        <f t="shared" si="226"/>
        <v/>
      </c>
      <c r="T1796" s="348" t="str">
        <f t="shared" si="227"/>
        <v/>
      </c>
      <c r="U1796" s="348" t="str">
        <f t="shared" si="228"/>
        <v/>
      </c>
      <c r="V1796" s="348" t="str">
        <f t="shared" si="229"/>
        <v/>
      </c>
      <c r="W1796" s="348" t="str">
        <f t="shared" si="230"/>
        <v/>
      </c>
      <c r="X1796" s="348" t="str">
        <f t="shared" si="231"/>
        <v/>
      </c>
    </row>
    <row r="1797" spans="1:24" x14ac:dyDescent="0.2">
      <c r="A1797" s="407">
        <v>1789</v>
      </c>
      <c r="B1797" s="438"/>
      <c r="C1797" s="438"/>
      <c r="D1797" s="438"/>
      <c r="E1797" s="438"/>
      <c r="F1797" s="438"/>
      <c r="G1797" s="438"/>
      <c r="H1797" s="438"/>
      <c r="I1797" s="437"/>
      <c r="J1797" s="11"/>
      <c r="Q1797" s="348" t="str">
        <f t="shared" si="224"/>
        <v/>
      </c>
      <c r="R1797" s="348" t="str">
        <f t="shared" si="225"/>
        <v/>
      </c>
      <c r="S1797" s="348" t="str">
        <f t="shared" si="226"/>
        <v/>
      </c>
      <c r="T1797" s="348" t="str">
        <f t="shared" si="227"/>
        <v/>
      </c>
      <c r="U1797" s="348" t="str">
        <f t="shared" si="228"/>
        <v/>
      </c>
      <c r="V1797" s="348" t="str">
        <f t="shared" si="229"/>
        <v/>
      </c>
      <c r="W1797" s="348" t="str">
        <f t="shared" si="230"/>
        <v/>
      </c>
      <c r="X1797" s="348" t="str">
        <f t="shared" si="231"/>
        <v/>
      </c>
    </row>
    <row r="1798" spans="1:24" x14ac:dyDescent="0.2">
      <c r="A1798" s="407">
        <v>1790</v>
      </c>
      <c r="B1798" s="438"/>
      <c r="C1798" s="438"/>
      <c r="D1798" s="438"/>
      <c r="E1798" s="438"/>
      <c r="F1798" s="438"/>
      <c r="G1798" s="438"/>
      <c r="H1798" s="438"/>
      <c r="I1798" s="438"/>
      <c r="J1798" s="11"/>
      <c r="Q1798" s="348" t="str">
        <f t="shared" si="224"/>
        <v/>
      </c>
      <c r="R1798" s="348" t="str">
        <f t="shared" si="225"/>
        <v/>
      </c>
      <c r="S1798" s="348" t="str">
        <f t="shared" si="226"/>
        <v/>
      </c>
      <c r="T1798" s="348" t="str">
        <f t="shared" si="227"/>
        <v/>
      </c>
      <c r="U1798" s="348" t="str">
        <f t="shared" si="228"/>
        <v/>
      </c>
      <c r="V1798" s="348" t="str">
        <f t="shared" si="229"/>
        <v/>
      </c>
      <c r="W1798" s="348" t="str">
        <f t="shared" si="230"/>
        <v/>
      </c>
      <c r="X1798" s="348" t="str">
        <f t="shared" si="231"/>
        <v/>
      </c>
    </row>
    <row r="1799" spans="1:24" x14ac:dyDescent="0.2">
      <c r="A1799" s="407">
        <v>1791</v>
      </c>
      <c r="B1799" s="438"/>
      <c r="C1799" s="438"/>
      <c r="D1799" s="438"/>
      <c r="E1799" s="438"/>
      <c r="F1799" s="438"/>
      <c r="G1799" s="438"/>
      <c r="H1799" s="438"/>
      <c r="I1799" s="438"/>
      <c r="J1799" s="11"/>
      <c r="Q1799" s="348" t="str">
        <f t="shared" si="224"/>
        <v/>
      </c>
      <c r="R1799" s="348" t="str">
        <f t="shared" si="225"/>
        <v/>
      </c>
      <c r="S1799" s="348" t="str">
        <f t="shared" si="226"/>
        <v/>
      </c>
      <c r="T1799" s="348" t="str">
        <f t="shared" si="227"/>
        <v/>
      </c>
      <c r="U1799" s="348" t="str">
        <f t="shared" si="228"/>
        <v/>
      </c>
      <c r="V1799" s="348" t="str">
        <f t="shared" si="229"/>
        <v/>
      </c>
      <c r="W1799" s="348" t="str">
        <f t="shared" si="230"/>
        <v/>
      </c>
      <c r="X1799" s="348" t="str">
        <f t="shared" si="231"/>
        <v/>
      </c>
    </row>
    <row r="1800" spans="1:24" x14ac:dyDescent="0.2">
      <c r="A1800" s="407">
        <v>1792</v>
      </c>
      <c r="B1800" s="438"/>
      <c r="C1800" s="438"/>
      <c r="D1800" s="438"/>
      <c r="E1800" s="438"/>
      <c r="F1800" s="438"/>
      <c r="G1800" s="438"/>
      <c r="H1800" s="438"/>
      <c r="I1800" s="438"/>
      <c r="J1800" s="11"/>
      <c r="Q1800" s="348" t="str">
        <f t="shared" si="224"/>
        <v/>
      </c>
      <c r="R1800" s="348" t="str">
        <f t="shared" si="225"/>
        <v/>
      </c>
      <c r="S1800" s="348" t="str">
        <f t="shared" si="226"/>
        <v/>
      </c>
      <c r="T1800" s="348" t="str">
        <f t="shared" si="227"/>
        <v/>
      </c>
      <c r="U1800" s="348" t="str">
        <f t="shared" si="228"/>
        <v/>
      </c>
      <c r="V1800" s="348" t="str">
        <f t="shared" si="229"/>
        <v/>
      </c>
      <c r="W1800" s="348" t="str">
        <f t="shared" si="230"/>
        <v/>
      </c>
      <c r="X1800" s="348" t="str">
        <f t="shared" si="231"/>
        <v/>
      </c>
    </row>
    <row r="1801" spans="1:24" x14ac:dyDescent="0.2">
      <c r="A1801" s="407">
        <v>1793</v>
      </c>
      <c r="B1801" s="438"/>
      <c r="C1801" s="437"/>
      <c r="D1801" s="438"/>
      <c r="E1801" s="438"/>
      <c r="F1801" s="438"/>
      <c r="G1801" s="438"/>
      <c r="H1801" s="438"/>
      <c r="I1801" s="438"/>
      <c r="J1801" s="11"/>
      <c r="Q1801" s="348" t="str">
        <f t="shared" si="224"/>
        <v/>
      </c>
      <c r="R1801" s="348" t="str">
        <f t="shared" si="225"/>
        <v/>
      </c>
      <c r="S1801" s="348" t="str">
        <f t="shared" si="226"/>
        <v/>
      </c>
      <c r="T1801" s="348" t="str">
        <f t="shared" si="227"/>
        <v/>
      </c>
      <c r="U1801" s="348" t="str">
        <f t="shared" si="228"/>
        <v/>
      </c>
      <c r="V1801" s="348" t="str">
        <f t="shared" si="229"/>
        <v/>
      </c>
      <c r="W1801" s="348" t="str">
        <f t="shared" si="230"/>
        <v/>
      </c>
      <c r="X1801" s="348" t="str">
        <f t="shared" si="231"/>
        <v/>
      </c>
    </row>
    <row r="1802" spans="1:24" x14ac:dyDescent="0.2">
      <c r="A1802" s="407">
        <v>1794</v>
      </c>
      <c r="B1802" s="438"/>
      <c r="C1802" s="438"/>
      <c r="D1802" s="438"/>
      <c r="E1802" s="437"/>
      <c r="F1802" s="438"/>
      <c r="G1802" s="438"/>
      <c r="H1802" s="438"/>
      <c r="I1802" s="438"/>
      <c r="J1802" s="11"/>
      <c r="Q1802" s="348" t="str">
        <f t="shared" ref="Q1802:Q1865" si="232">IFERROR(B1802^4*$AB$9+B1802^3*$AC$9+B1802^2*$AD$9+B1802^1*$AE$9+B1802^0*$AF$9,"")</f>
        <v/>
      </c>
      <c r="R1802" s="348" t="str">
        <f t="shared" ref="R1802:R1865" si="233">IFERROR(C1802^4*$AB$10+C1802^3*$AC$10+C1802^2*$AD$10+C1802^1*$AE$10+C1802^0*$AF$10,"")</f>
        <v/>
      </c>
      <c r="S1802" s="348" t="str">
        <f t="shared" ref="S1802:S1865" si="234">IFERROR(D1802^4*$AB$11+D1802^3*$AC$11+D1802^2*$AD$11+D1802^1*$AE$11+D1802^0*$AF$11,"")</f>
        <v/>
      </c>
      <c r="T1802" s="348" t="str">
        <f t="shared" ref="T1802:T1865" si="235">IFERROR(E1802^4*$AB$12+E1802^3*$AC$12+E1802^2*$AD$12+E1802^1*$AE$12+E1802^0*$AF$12,"")</f>
        <v/>
      </c>
      <c r="U1802" s="348" t="str">
        <f t="shared" ref="U1802:U1865" si="236">IFERROR(F1802^4*$AB$13+F1802^3*$AC$13+F1802^2*$AD$13+F1802^1*$AE$13+F1802^0*$AF$13,"")</f>
        <v/>
      </c>
      <c r="V1802" s="348" t="str">
        <f t="shared" ref="V1802:V1865" si="237">IFERROR(G1802^4*$AB$14+G1802^3*$AC$14+G1802^2*$AD$14+G1802^1*$AE$14+G1802^0*$AF$14,"")</f>
        <v/>
      </c>
      <c r="W1802" s="348" t="str">
        <f t="shared" ref="W1802:W1865" si="238">IFERROR(H1802^4*$AB$15+H1802^3*$AC$15+H1802^2*$AD$15+H1802^1*$AE$15+H1802^0*$AF$15,"")</f>
        <v/>
      </c>
      <c r="X1802" s="348" t="str">
        <f t="shared" ref="X1802:X1865" si="239">IFERROR(I1802^4*$AB$16+I1802^3*$AC$16+I1802^2*$AD$16+I1802^1*$AE$16+I1802^0*$AF$16,"")</f>
        <v/>
      </c>
    </row>
    <row r="1803" spans="1:24" x14ac:dyDescent="0.2">
      <c r="A1803" s="407">
        <v>1795</v>
      </c>
      <c r="B1803" s="438"/>
      <c r="C1803" s="438"/>
      <c r="D1803" s="438"/>
      <c r="E1803" s="438"/>
      <c r="F1803" s="438"/>
      <c r="G1803" s="438"/>
      <c r="H1803" s="438"/>
      <c r="I1803" s="438"/>
      <c r="J1803" s="11"/>
      <c r="Q1803" s="348" t="str">
        <f t="shared" si="232"/>
        <v/>
      </c>
      <c r="R1803" s="348" t="str">
        <f t="shared" si="233"/>
        <v/>
      </c>
      <c r="S1803" s="348" t="str">
        <f t="shared" si="234"/>
        <v/>
      </c>
      <c r="T1803" s="348" t="str">
        <f t="shared" si="235"/>
        <v/>
      </c>
      <c r="U1803" s="348" t="str">
        <f t="shared" si="236"/>
        <v/>
      </c>
      <c r="V1803" s="348" t="str">
        <f t="shared" si="237"/>
        <v/>
      </c>
      <c r="W1803" s="348" t="str">
        <f t="shared" si="238"/>
        <v/>
      </c>
      <c r="X1803" s="348" t="str">
        <f t="shared" si="239"/>
        <v/>
      </c>
    </row>
    <row r="1804" spans="1:24" x14ac:dyDescent="0.2">
      <c r="A1804" s="407">
        <v>1796</v>
      </c>
      <c r="B1804" s="438"/>
      <c r="C1804" s="438"/>
      <c r="D1804" s="438"/>
      <c r="E1804" s="438"/>
      <c r="F1804" s="438"/>
      <c r="G1804" s="438"/>
      <c r="H1804" s="438"/>
      <c r="I1804" s="438"/>
      <c r="J1804" s="11"/>
      <c r="Q1804" s="348" t="str">
        <f t="shared" si="232"/>
        <v/>
      </c>
      <c r="R1804" s="348" t="str">
        <f t="shared" si="233"/>
        <v/>
      </c>
      <c r="S1804" s="348" t="str">
        <f t="shared" si="234"/>
        <v/>
      </c>
      <c r="T1804" s="348" t="str">
        <f t="shared" si="235"/>
        <v/>
      </c>
      <c r="U1804" s="348" t="str">
        <f t="shared" si="236"/>
        <v/>
      </c>
      <c r="V1804" s="348" t="str">
        <f t="shared" si="237"/>
        <v/>
      </c>
      <c r="W1804" s="348" t="str">
        <f t="shared" si="238"/>
        <v/>
      </c>
      <c r="X1804" s="348" t="str">
        <f t="shared" si="239"/>
        <v/>
      </c>
    </row>
    <row r="1805" spans="1:24" x14ac:dyDescent="0.2">
      <c r="A1805" s="407">
        <v>1797</v>
      </c>
      <c r="B1805" s="438"/>
      <c r="C1805" s="438"/>
      <c r="D1805" s="437"/>
      <c r="E1805" s="438"/>
      <c r="F1805" s="438"/>
      <c r="G1805" s="438"/>
      <c r="H1805" s="438"/>
      <c r="I1805" s="438"/>
      <c r="J1805" s="11"/>
      <c r="Q1805" s="348" t="str">
        <f t="shared" si="232"/>
        <v/>
      </c>
      <c r="R1805" s="348" t="str">
        <f t="shared" si="233"/>
        <v/>
      </c>
      <c r="S1805" s="348" t="str">
        <f t="shared" si="234"/>
        <v/>
      </c>
      <c r="T1805" s="348" t="str">
        <f t="shared" si="235"/>
        <v/>
      </c>
      <c r="U1805" s="348" t="str">
        <f t="shared" si="236"/>
        <v/>
      </c>
      <c r="V1805" s="348" t="str">
        <f t="shared" si="237"/>
        <v/>
      </c>
      <c r="W1805" s="348" t="str">
        <f t="shared" si="238"/>
        <v/>
      </c>
      <c r="X1805" s="348" t="str">
        <f t="shared" si="239"/>
        <v/>
      </c>
    </row>
    <row r="1806" spans="1:24" x14ac:dyDescent="0.2">
      <c r="A1806" s="407">
        <v>1798</v>
      </c>
      <c r="B1806" s="438"/>
      <c r="C1806" s="438"/>
      <c r="D1806" s="438"/>
      <c r="E1806" s="438"/>
      <c r="F1806" s="438"/>
      <c r="G1806" s="438"/>
      <c r="H1806" s="438"/>
      <c r="I1806" s="438"/>
      <c r="J1806" s="11"/>
      <c r="Q1806" s="348" t="str">
        <f t="shared" si="232"/>
        <v/>
      </c>
      <c r="R1806" s="348" t="str">
        <f t="shared" si="233"/>
        <v/>
      </c>
      <c r="S1806" s="348" t="str">
        <f t="shared" si="234"/>
        <v/>
      </c>
      <c r="T1806" s="348" t="str">
        <f t="shared" si="235"/>
        <v/>
      </c>
      <c r="U1806" s="348" t="str">
        <f t="shared" si="236"/>
        <v/>
      </c>
      <c r="V1806" s="348" t="str">
        <f t="shared" si="237"/>
        <v/>
      </c>
      <c r="W1806" s="348" t="str">
        <f t="shared" si="238"/>
        <v/>
      </c>
      <c r="X1806" s="348" t="str">
        <f t="shared" si="239"/>
        <v/>
      </c>
    </row>
    <row r="1807" spans="1:24" x14ac:dyDescent="0.2">
      <c r="A1807" s="407">
        <v>1799</v>
      </c>
      <c r="B1807" s="437"/>
      <c r="C1807" s="438"/>
      <c r="D1807" s="438"/>
      <c r="E1807" s="438"/>
      <c r="F1807" s="438"/>
      <c r="G1807" s="437"/>
      <c r="H1807" s="438"/>
      <c r="I1807" s="438"/>
      <c r="J1807" s="11"/>
      <c r="Q1807" s="348" t="str">
        <f t="shared" si="232"/>
        <v/>
      </c>
      <c r="R1807" s="348" t="str">
        <f t="shared" si="233"/>
        <v/>
      </c>
      <c r="S1807" s="348" t="str">
        <f t="shared" si="234"/>
        <v/>
      </c>
      <c r="T1807" s="348" t="str">
        <f t="shared" si="235"/>
        <v/>
      </c>
      <c r="U1807" s="348" t="str">
        <f t="shared" si="236"/>
        <v/>
      </c>
      <c r="V1807" s="348" t="str">
        <f t="shared" si="237"/>
        <v/>
      </c>
      <c r="W1807" s="348" t="str">
        <f t="shared" si="238"/>
        <v/>
      </c>
      <c r="X1807" s="348" t="str">
        <f t="shared" si="239"/>
        <v/>
      </c>
    </row>
    <row r="1808" spans="1:24" x14ac:dyDescent="0.2">
      <c r="A1808" s="407">
        <v>1800</v>
      </c>
      <c r="B1808" s="438"/>
      <c r="C1808" s="438"/>
      <c r="D1808" s="437"/>
      <c r="E1808" s="438"/>
      <c r="F1808" s="438"/>
      <c r="G1808" s="438"/>
      <c r="H1808" s="438"/>
      <c r="I1808" s="438"/>
      <c r="J1808" s="11"/>
      <c r="Q1808" s="348" t="str">
        <f t="shared" si="232"/>
        <v/>
      </c>
      <c r="R1808" s="348" t="str">
        <f t="shared" si="233"/>
        <v/>
      </c>
      <c r="S1808" s="348" t="str">
        <f t="shared" si="234"/>
        <v/>
      </c>
      <c r="T1808" s="348" t="str">
        <f t="shared" si="235"/>
        <v/>
      </c>
      <c r="U1808" s="348" t="str">
        <f t="shared" si="236"/>
        <v/>
      </c>
      <c r="V1808" s="348" t="str">
        <f t="shared" si="237"/>
        <v/>
      </c>
      <c r="W1808" s="348" t="str">
        <f t="shared" si="238"/>
        <v/>
      </c>
      <c r="X1808" s="348" t="str">
        <f t="shared" si="239"/>
        <v/>
      </c>
    </row>
    <row r="1809" spans="1:24" x14ac:dyDescent="0.2">
      <c r="A1809" s="407">
        <v>1801</v>
      </c>
      <c r="B1809" s="438"/>
      <c r="C1809" s="437"/>
      <c r="D1809" s="438"/>
      <c r="E1809" s="437"/>
      <c r="F1809" s="437"/>
      <c r="G1809" s="437"/>
      <c r="H1809" s="437"/>
      <c r="I1809" s="438"/>
      <c r="J1809" s="11"/>
      <c r="Q1809" s="348" t="str">
        <f t="shared" si="232"/>
        <v/>
      </c>
      <c r="R1809" s="348" t="str">
        <f t="shared" si="233"/>
        <v/>
      </c>
      <c r="S1809" s="348" t="str">
        <f t="shared" si="234"/>
        <v/>
      </c>
      <c r="T1809" s="348" t="str">
        <f t="shared" si="235"/>
        <v/>
      </c>
      <c r="U1809" s="348" t="str">
        <f t="shared" si="236"/>
        <v/>
      </c>
      <c r="V1809" s="348" t="str">
        <f t="shared" si="237"/>
        <v/>
      </c>
      <c r="W1809" s="348" t="str">
        <f t="shared" si="238"/>
        <v/>
      </c>
      <c r="X1809" s="348" t="str">
        <f t="shared" si="239"/>
        <v/>
      </c>
    </row>
    <row r="1810" spans="1:24" x14ac:dyDescent="0.2">
      <c r="A1810" s="407">
        <v>1802</v>
      </c>
      <c r="B1810" s="438"/>
      <c r="C1810" s="438"/>
      <c r="D1810" s="438"/>
      <c r="E1810" s="438"/>
      <c r="F1810" s="438"/>
      <c r="G1810" s="438"/>
      <c r="H1810" s="438"/>
      <c r="I1810" s="438"/>
      <c r="J1810" s="11"/>
      <c r="Q1810" s="348" t="str">
        <f t="shared" si="232"/>
        <v/>
      </c>
      <c r="R1810" s="348" t="str">
        <f t="shared" si="233"/>
        <v/>
      </c>
      <c r="S1810" s="348" t="str">
        <f t="shared" si="234"/>
        <v/>
      </c>
      <c r="T1810" s="348" t="str">
        <f t="shared" si="235"/>
        <v/>
      </c>
      <c r="U1810" s="348" t="str">
        <f t="shared" si="236"/>
        <v/>
      </c>
      <c r="V1810" s="348" t="str">
        <f t="shared" si="237"/>
        <v/>
      </c>
      <c r="W1810" s="348" t="str">
        <f t="shared" si="238"/>
        <v/>
      </c>
      <c r="X1810" s="348" t="str">
        <f t="shared" si="239"/>
        <v/>
      </c>
    </row>
    <row r="1811" spans="1:24" x14ac:dyDescent="0.2">
      <c r="A1811" s="407">
        <v>1803</v>
      </c>
      <c r="B1811" s="438"/>
      <c r="C1811" s="438"/>
      <c r="D1811" s="438"/>
      <c r="E1811" s="438"/>
      <c r="F1811" s="438"/>
      <c r="G1811" s="438"/>
      <c r="H1811" s="438"/>
      <c r="I1811" s="438"/>
      <c r="J1811" s="11"/>
      <c r="Q1811" s="348" t="str">
        <f t="shared" si="232"/>
        <v/>
      </c>
      <c r="R1811" s="348" t="str">
        <f t="shared" si="233"/>
        <v/>
      </c>
      <c r="S1811" s="348" t="str">
        <f t="shared" si="234"/>
        <v/>
      </c>
      <c r="T1811" s="348" t="str">
        <f t="shared" si="235"/>
        <v/>
      </c>
      <c r="U1811" s="348" t="str">
        <f t="shared" si="236"/>
        <v/>
      </c>
      <c r="V1811" s="348" t="str">
        <f t="shared" si="237"/>
        <v/>
      </c>
      <c r="W1811" s="348" t="str">
        <f t="shared" si="238"/>
        <v/>
      </c>
      <c r="X1811" s="348" t="str">
        <f t="shared" si="239"/>
        <v/>
      </c>
    </row>
    <row r="1812" spans="1:24" x14ac:dyDescent="0.2">
      <c r="A1812" s="407">
        <v>1804</v>
      </c>
      <c r="B1812" s="438"/>
      <c r="C1812" s="438"/>
      <c r="D1812" s="438"/>
      <c r="E1812" s="438"/>
      <c r="F1812" s="438"/>
      <c r="G1812" s="438"/>
      <c r="H1812" s="438"/>
      <c r="I1812" s="438"/>
      <c r="J1812" s="11"/>
      <c r="Q1812" s="348" t="str">
        <f t="shared" si="232"/>
        <v/>
      </c>
      <c r="R1812" s="348" t="str">
        <f t="shared" si="233"/>
        <v/>
      </c>
      <c r="S1812" s="348" t="str">
        <f t="shared" si="234"/>
        <v/>
      </c>
      <c r="T1812" s="348" t="str">
        <f t="shared" si="235"/>
        <v/>
      </c>
      <c r="U1812" s="348" t="str">
        <f t="shared" si="236"/>
        <v/>
      </c>
      <c r="V1812" s="348" t="str">
        <f t="shared" si="237"/>
        <v/>
      </c>
      <c r="W1812" s="348" t="str">
        <f t="shared" si="238"/>
        <v/>
      </c>
      <c r="X1812" s="348" t="str">
        <f t="shared" si="239"/>
        <v/>
      </c>
    </row>
    <row r="1813" spans="1:24" x14ac:dyDescent="0.2">
      <c r="A1813" s="407">
        <v>1805</v>
      </c>
      <c r="B1813" s="438"/>
      <c r="C1813" s="438"/>
      <c r="D1813" s="438"/>
      <c r="E1813" s="438"/>
      <c r="F1813" s="438"/>
      <c r="G1813" s="438"/>
      <c r="H1813" s="438"/>
      <c r="I1813" s="438"/>
      <c r="J1813" s="11"/>
      <c r="Q1813" s="348" t="str">
        <f t="shared" si="232"/>
        <v/>
      </c>
      <c r="R1813" s="348" t="str">
        <f t="shared" si="233"/>
        <v/>
      </c>
      <c r="S1813" s="348" t="str">
        <f t="shared" si="234"/>
        <v/>
      </c>
      <c r="T1813" s="348" t="str">
        <f t="shared" si="235"/>
        <v/>
      </c>
      <c r="U1813" s="348" t="str">
        <f t="shared" si="236"/>
        <v/>
      </c>
      <c r="V1813" s="348" t="str">
        <f t="shared" si="237"/>
        <v/>
      </c>
      <c r="W1813" s="348" t="str">
        <f t="shared" si="238"/>
        <v/>
      </c>
      <c r="X1813" s="348" t="str">
        <f t="shared" si="239"/>
        <v/>
      </c>
    </row>
    <row r="1814" spans="1:24" x14ac:dyDescent="0.2">
      <c r="A1814" s="407">
        <v>1806</v>
      </c>
      <c r="B1814" s="438"/>
      <c r="C1814" s="438"/>
      <c r="D1814" s="438"/>
      <c r="E1814" s="438"/>
      <c r="F1814" s="438"/>
      <c r="G1814" s="438"/>
      <c r="H1814" s="438"/>
      <c r="I1814" s="438"/>
      <c r="J1814" s="11"/>
      <c r="Q1814" s="348" t="str">
        <f t="shared" si="232"/>
        <v/>
      </c>
      <c r="R1814" s="348" t="str">
        <f t="shared" si="233"/>
        <v/>
      </c>
      <c r="S1814" s="348" t="str">
        <f t="shared" si="234"/>
        <v/>
      </c>
      <c r="T1814" s="348" t="str">
        <f t="shared" si="235"/>
        <v/>
      </c>
      <c r="U1814" s="348" t="str">
        <f t="shared" si="236"/>
        <v/>
      </c>
      <c r="V1814" s="348" t="str">
        <f t="shared" si="237"/>
        <v/>
      </c>
      <c r="W1814" s="348" t="str">
        <f t="shared" si="238"/>
        <v/>
      </c>
      <c r="X1814" s="348" t="str">
        <f t="shared" si="239"/>
        <v/>
      </c>
    </row>
    <row r="1815" spans="1:24" x14ac:dyDescent="0.2">
      <c r="A1815" s="407">
        <v>1807</v>
      </c>
      <c r="B1815" s="438"/>
      <c r="C1815" s="438"/>
      <c r="D1815" s="438"/>
      <c r="E1815" s="438"/>
      <c r="F1815" s="438"/>
      <c r="G1815" s="438"/>
      <c r="H1815" s="438"/>
      <c r="I1815" s="438"/>
      <c r="J1815" s="11"/>
      <c r="Q1815" s="348" t="str">
        <f t="shared" si="232"/>
        <v/>
      </c>
      <c r="R1815" s="348" t="str">
        <f t="shared" si="233"/>
        <v/>
      </c>
      <c r="S1815" s="348" t="str">
        <f t="shared" si="234"/>
        <v/>
      </c>
      <c r="T1815" s="348" t="str">
        <f t="shared" si="235"/>
        <v/>
      </c>
      <c r="U1815" s="348" t="str">
        <f t="shared" si="236"/>
        <v/>
      </c>
      <c r="V1815" s="348" t="str">
        <f t="shared" si="237"/>
        <v/>
      </c>
      <c r="W1815" s="348" t="str">
        <f t="shared" si="238"/>
        <v/>
      </c>
      <c r="X1815" s="348" t="str">
        <f t="shared" si="239"/>
        <v/>
      </c>
    </row>
    <row r="1816" spans="1:24" x14ac:dyDescent="0.2">
      <c r="A1816" s="407">
        <v>1808</v>
      </c>
      <c r="B1816" s="438"/>
      <c r="C1816" s="438"/>
      <c r="D1816" s="438"/>
      <c r="E1816" s="438"/>
      <c r="F1816" s="438"/>
      <c r="G1816" s="438"/>
      <c r="H1816" s="438"/>
      <c r="I1816" s="438"/>
      <c r="J1816" s="11"/>
      <c r="Q1816" s="348" t="str">
        <f t="shared" si="232"/>
        <v/>
      </c>
      <c r="R1816" s="348" t="str">
        <f t="shared" si="233"/>
        <v/>
      </c>
      <c r="S1816" s="348" t="str">
        <f t="shared" si="234"/>
        <v/>
      </c>
      <c r="T1816" s="348" t="str">
        <f t="shared" si="235"/>
        <v/>
      </c>
      <c r="U1816" s="348" t="str">
        <f t="shared" si="236"/>
        <v/>
      </c>
      <c r="V1816" s="348" t="str">
        <f t="shared" si="237"/>
        <v/>
      </c>
      <c r="W1816" s="348" t="str">
        <f t="shared" si="238"/>
        <v/>
      </c>
      <c r="X1816" s="348" t="str">
        <f t="shared" si="239"/>
        <v/>
      </c>
    </row>
    <row r="1817" spans="1:24" x14ac:dyDescent="0.2">
      <c r="A1817" s="407">
        <v>1809</v>
      </c>
      <c r="B1817" s="438"/>
      <c r="C1817" s="438"/>
      <c r="D1817" s="438"/>
      <c r="E1817" s="438"/>
      <c r="F1817" s="438"/>
      <c r="G1817" s="438"/>
      <c r="H1817" s="438"/>
      <c r="I1817" s="438"/>
      <c r="J1817" s="11"/>
      <c r="Q1817" s="348" t="str">
        <f t="shared" si="232"/>
        <v/>
      </c>
      <c r="R1817" s="348" t="str">
        <f t="shared" si="233"/>
        <v/>
      </c>
      <c r="S1817" s="348" t="str">
        <f t="shared" si="234"/>
        <v/>
      </c>
      <c r="T1817" s="348" t="str">
        <f t="shared" si="235"/>
        <v/>
      </c>
      <c r="U1817" s="348" t="str">
        <f t="shared" si="236"/>
        <v/>
      </c>
      <c r="V1817" s="348" t="str">
        <f t="shared" si="237"/>
        <v/>
      </c>
      <c r="W1817" s="348" t="str">
        <f t="shared" si="238"/>
        <v/>
      </c>
      <c r="X1817" s="348" t="str">
        <f t="shared" si="239"/>
        <v/>
      </c>
    </row>
    <row r="1818" spans="1:24" x14ac:dyDescent="0.2">
      <c r="A1818" s="407">
        <v>1810</v>
      </c>
      <c r="B1818" s="438"/>
      <c r="C1818" s="438"/>
      <c r="D1818" s="438"/>
      <c r="E1818" s="438"/>
      <c r="F1818" s="438"/>
      <c r="G1818" s="438"/>
      <c r="H1818" s="438"/>
      <c r="I1818" s="438"/>
      <c r="J1818" s="11"/>
      <c r="Q1818" s="348" t="str">
        <f t="shared" si="232"/>
        <v/>
      </c>
      <c r="R1818" s="348" t="str">
        <f t="shared" si="233"/>
        <v/>
      </c>
      <c r="S1818" s="348" t="str">
        <f t="shared" si="234"/>
        <v/>
      </c>
      <c r="T1818" s="348" t="str">
        <f t="shared" si="235"/>
        <v/>
      </c>
      <c r="U1818" s="348" t="str">
        <f t="shared" si="236"/>
        <v/>
      </c>
      <c r="V1818" s="348" t="str">
        <f t="shared" si="237"/>
        <v/>
      </c>
      <c r="W1818" s="348" t="str">
        <f t="shared" si="238"/>
        <v/>
      </c>
      <c r="X1818" s="348" t="str">
        <f t="shared" si="239"/>
        <v/>
      </c>
    </row>
    <row r="1819" spans="1:24" x14ac:dyDescent="0.2">
      <c r="A1819" s="407">
        <v>1811</v>
      </c>
      <c r="B1819" s="438"/>
      <c r="C1819" s="438"/>
      <c r="D1819" s="438"/>
      <c r="E1819" s="438"/>
      <c r="F1819" s="438"/>
      <c r="G1819" s="438"/>
      <c r="H1819" s="438"/>
      <c r="I1819" s="438"/>
      <c r="J1819" s="11"/>
      <c r="Q1819" s="348" t="str">
        <f t="shared" si="232"/>
        <v/>
      </c>
      <c r="R1819" s="348" t="str">
        <f t="shared" si="233"/>
        <v/>
      </c>
      <c r="S1819" s="348" t="str">
        <f t="shared" si="234"/>
        <v/>
      </c>
      <c r="T1819" s="348" t="str">
        <f t="shared" si="235"/>
        <v/>
      </c>
      <c r="U1819" s="348" t="str">
        <f t="shared" si="236"/>
        <v/>
      </c>
      <c r="V1819" s="348" t="str">
        <f t="shared" si="237"/>
        <v/>
      </c>
      <c r="W1819" s="348" t="str">
        <f t="shared" si="238"/>
        <v/>
      </c>
      <c r="X1819" s="348" t="str">
        <f t="shared" si="239"/>
        <v/>
      </c>
    </row>
    <row r="1820" spans="1:24" x14ac:dyDescent="0.2">
      <c r="A1820" s="407">
        <v>1812</v>
      </c>
      <c r="B1820" s="438"/>
      <c r="C1820" s="438"/>
      <c r="D1820" s="438"/>
      <c r="E1820" s="438"/>
      <c r="F1820" s="438"/>
      <c r="G1820" s="438"/>
      <c r="H1820" s="438"/>
      <c r="I1820" s="438"/>
      <c r="J1820" s="11"/>
      <c r="Q1820" s="348" t="str">
        <f t="shared" si="232"/>
        <v/>
      </c>
      <c r="R1820" s="348" t="str">
        <f t="shared" si="233"/>
        <v/>
      </c>
      <c r="S1820" s="348" t="str">
        <f t="shared" si="234"/>
        <v/>
      </c>
      <c r="T1820" s="348" t="str">
        <f t="shared" si="235"/>
        <v/>
      </c>
      <c r="U1820" s="348" t="str">
        <f t="shared" si="236"/>
        <v/>
      </c>
      <c r="V1820" s="348" t="str">
        <f t="shared" si="237"/>
        <v/>
      </c>
      <c r="W1820" s="348" t="str">
        <f t="shared" si="238"/>
        <v/>
      </c>
      <c r="X1820" s="348" t="str">
        <f t="shared" si="239"/>
        <v/>
      </c>
    </row>
    <row r="1821" spans="1:24" x14ac:dyDescent="0.2">
      <c r="A1821" s="407">
        <v>1813</v>
      </c>
      <c r="B1821" s="438"/>
      <c r="C1821" s="438"/>
      <c r="D1821" s="438"/>
      <c r="E1821" s="438"/>
      <c r="F1821" s="438"/>
      <c r="G1821" s="438"/>
      <c r="H1821" s="438"/>
      <c r="I1821" s="438"/>
      <c r="J1821" s="11"/>
      <c r="Q1821" s="348" t="str">
        <f t="shared" si="232"/>
        <v/>
      </c>
      <c r="R1821" s="348" t="str">
        <f t="shared" si="233"/>
        <v/>
      </c>
      <c r="S1821" s="348" t="str">
        <f t="shared" si="234"/>
        <v/>
      </c>
      <c r="T1821" s="348" t="str">
        <f t="shared" si="235"/>
        <v/>
      </c>
      <c r="U1821" s="348" t="str">
        <f t="shared" si="236"/>
        <v/>
      </c>
      <c r="V1821" s="348" t="str">
        <f t="shared" si="237"/>
        <v/>
      </c>
      <c r="W1821" s="348" t="str">
        <f t="shared" si="238"/>
        <v/>
      </c>
      <c r="X1821" s="348" t="str">
        <f t="shared" si="239"/>
        <v/>
      </c>
    </row>
    <row r="1822" spans="1:24" x14ac:dyDescent="0.2">
      <c r="A1822" s="407">
        <v>1814</v>
      </c>
      <c r="B1822" s="438"/>
      <c r="C1822" s="438"/>
      <c r="D1822" s="438"/>
      <c r="E1822" s="438"/>
      <c r="F1822" s="438"/>
      <c r="G1822" s="438"/>
      <c r="H1822" s="438"/>
      <c r="I1822" s="438"/>
      <c r="J1822" s="11"/>
      <c r="Q1822" s="348" t="str">
        <f t="shared" si="232"/>
        <v/>
      </c>
      <c r="R1822" s="348" t="str">
        <f t="shared" si="233"/>
        <v/>
      </c>
      <c r="S1822" s="348" t="str">
        <f t="shared" si="234"/>
        <v/>
      </c>
      <c r="T1822" s="348" t="str">
        <f t="shared" si="235"/>
        <v/>
      </c>
      <c r="U1822" s="348" t="str">
        <f t="shared" si="236"/>
        <v/>
      </c>
      <c r="V1822" s="348" t="str">
        <f t="shared" si="237"/>
        <v/>
      </c>
      <c r="W1822" s="348" t="str">
        <f t="shared" si="238"/>
        <v/>
      </c>
      <c r="X1822" s="348" t="str">
        <f t="shared" si="239"/>
        <v/>
      </c>
    </row>
    <row r="1823" spans="1:24" x14ac:dyDescent="0.2">
      <c r="A1823" s="407">
        <v>1815</v>
      </c>
      <c r="B1823" s="438"/>
      <c r="C1823" s="437"/>
      <c r="D1823" s="438"/>
      <c r="E1823" s="438"/>
      <c r="F1823" s="438"/>
      <c r="G1823" s="438"/>
      <c r="H1823" s="438"/>
      <c r="I1823" s="438"/>
      <c r="J1823" s="11"/>
      <c r="Q1823" s="348" t="str">
        <f t="shared" si="232"/>
        <v/>
      </c>
      <c r="R1823" s="348" t="str">
        <f t="shared" si="233"/>
        <v/>
      </c>
      <c r="S1823" s="348" t="str">
        <f t="shared" si="234"/>
        <v/>
      </c>
      <c r="T1823" s="348" t="str">
        <f t="shared" si="235"/>
        <v/>
      </c>
      <c r="U1823" s="348" t="str">
        <f t="shared" si="236"/>
        <v/>
      </c>
      <c r="V1823" s="348" t="str">
        <f t="shared" si="237"/>
        <v/>
      </c>
      <c r="W1823" s="348" t="str">
        <f t="shared" si="238"/>
        <v/>
      </c>
      <c r="X1823" s="348" t="str">
        <f t="shared" si="239"/>
        <v/>
      </c>
    </row>
    <row r="1824" spans="1:24" x14ac:dyDescent="0.2">
      <c r="A1824" s="407">
        <v>1816</v>
      </c>
      <c r="B1824" s="438"/>
      <c r="C1824" s="438"/>
      <c r="D1824" s="438"/>
      <c r="E1824" s="438"/>
      <c r="F1824" s="438"/>
      <c r="G1824" s="438"/>
      <c r="H1824" s="438"/>
      <c r="I1824" s="438"/>
      <c r="J1824" s="11"/>
      <c r="Q1824" s="348" t="str">
        <f t="shared" si="232"/>
        <v/>
      </c>
      <c r="R1824" s="348" t="str">
        <f t="shared" si="233"/>
        <v/>
      </c>
      <c r="S1824" s="348" t="str">
        <f t="shared" si="234"/>
        <v/>
      </c>
      <c r="T1824" s="348" t="str">
        <f t="shared" si="235"/>
        <v/>
      </c>
      <c r="U1824" s="348" t="str">
        <f t="shared" si="236"/>
        <v/>
      </c>
      <c r="V1824" s="348" t="str">
        <f t="shared" si="237"/>
        <v/>
      </c>
      <c r="W1824" s="348" t="str">
        <f t="shared" si="238"/>
        <v/>
      </c>
      <c r="X1824" s="348" t="str">
        <f t="shared" si="239"/>
        <v/>
      </c>
    </row>
    <row r="1825" spans="1:24" x14ac:dyDescent="0.2">
      <c r="A1825" s="407">
        <v>1817</v>
      </c>
      <c r="B1825" s="438"/>
      <c r="C1825" s="438"/>
      <c r="D1825" s="438"/>
      <c r="E1825" s="438"/>
      <c r="F1825" s="438"/>
      <c r="G1825" s="438"/>
      <c r="H1825" s="438"/>
      <c r="I1825" s="438"/>
      <c r="J1825" s="11"/>
      <c r="Q1825" s="348" t="str">
        <f t="shared" si="232"/>
        <v/>
      </c>
      <c r="R1825" s="348" t="str">
        <f t="shared" si="233"/>
        <v/>
      </c>
      <c r="S1825" s="348" t="str">
        <f t="shared" si="234"/>
        <v/>
      </c>
      <c r="T1825" s="348" t="str">
        <f t="shared" si="235"/>
        <v/>
      </c>
      <c r="U1825" s="348" t="str">
        <f t="shared" si="236"/>
        <v/>
      </c>
      <c r="V1825" s="348" t="str">
        <f t="shared" si="237"/>
        <v/>
      </c>
      <c r="W1825" s="348" t="str">
        <f t="shared" si="238"/>
        <v/>
      </c>
      <c r="X1825" s="348" t="str">
        <f t="shared" si="239"/>
        <v/>
      </c>
    </row>
    <row r="1826" spans="1:24" x14ac:dyDescent="0.2">
      <c r="A1826" s="407">
        <v>1818</v>
      </c>
      <c r="B1826" s="437"/>
      <c r="C1826" s="438"/>
      <c r="D1826" s="438"/>
      <c r="E1826" s="438"/>
      <c r="F1826" s="438"/>
      <c r="G1826" s="438"/>
      <c r="H1826" s="438"/>
      <c r="I1826" s="438"/>
      <c r="J1826" s="11"/>
      <c r="Q1826" s="348" t="str">
        <f t="shared" si="232"/>
        <v/>
      </c>
      <c r="R1826" s="348" t="str">
        <f t="shared" si="233"/>
        <v/>
      </c>
      <c r="S1826" s="348" t="str">
        <f t="shared" si="234"/>
        <v/>
      </c>
      <c r="T1826" s="348" t="str">
        <f t="shared" si="235"/>
        <v/>
      </c>
      <c r="U1826" s="348" t="str">
        <f t="shared" si="236"/>
        <v/>
      </c>
      <c r="V1826" s="348" t="str">
        <f t="shared" si="237"/>
        <v/>
      </c>
      <c r="W1826" s="348" t="str">
        <f t="shared" si="238"/>
        <v/>
      </c>
      <c r="X1826" s="348" t="str">
        <f t="shared" si="239"/>
        <v/>
      </c>
    </row>
    <row r="1827" spans="1:24" x14ac:dyDescent="0.2">
      <c r="A1827" s="407">
        <v>1819</v>
      </c>
      <c r="B1827" s="438"/>
      <c r="C1827" s="438"/>
      <c r="D1827" s="438"/>
      <c r="E1827" s="438"/>
      <c r="F1827" s="438"/>
      <c r="G1827" s="438"/>
      <c r="H1827" s="438"/>
      <c r="I1827" s="438"/>
      <c r="J1827" s="11"/>
      <c r="Q1827" s="348" t="str">
        <f t="shared" si="232"/>
        <v/>
      </c>
      <c r="R1827" s="348" t="str">
        <f t="shared" si="233"/>
        <v/>
      </c>
      <c r="S1827" s="348" t="str">
        <f t="shared" si="234"/>
        <v/>
      </c>
      <c r="T1827" s="348" t="str">
        <f t="shared" si="235"/>
        <v/>
      </c>
      <c r="U1827" s="348" t="str">
        <f t="shared" si="236"/>
        <v/>
      </c>
      <c r="V1827" s="348" t="str">
        <f t="shared" si="237"/>
        <v/>
      </c>
      <c r="W1827" s="348" t="str">
        <f t="shared" si="238"/>
        <v/>
      </c>
      <c r="X1827" s="348" t="str">
        <f t="shared" si="239"/>
        <v/>
      </c>
    </row>
    <row r="1828" spans="1:24" x14ac:dyDescent="0.2">
      <c r="A1828" s="407">
        <v>1820</v>
      </c>
      <c r="B1828" s="438"/>
      <c r="C1828" s="438"/>
      <c r="D1828" s="438"/>
      <c r="E1828" s="438"/>
      <c r="F1828" s="438"/>
      <c r="G1828" s="438"/>
      <c r="H1828" s="438"/>
      <c r="I1828" s="438"/>
      <c r="J1828" s="11"/>
      <c r="Q1828" s="348" t="str">
        <f t="shared" si="232"/>
        <v/>
      </c>
      <c r="R1828" s="348" t="str">
        <f t="shared" si="233"/>
        <v/>
      </c>
      <c r="S1828" s="348" t="str">
        <f t="shared" si="234"/>
        <v/>
      </c>
      <c r="T1828" s="348" t="str">
        <f t="shared" si="235"/>
        <v/>
      </c>
      <c r="U1828" s="348" t="str">
        <f t="shared" si="236"/>
        <v/>
      </c>
      <c r="V1828" s="348" t="str">
        <f t="shared" si="237"/>
        <v/>
      </c>
      <c r="W1828" s="348" t="str">
        <f t="shared" si="238"/>
        <v/>
      </c>
      <c r="X1828" s="348" t="str">
        <f t="shared" si="239"/>
        <v/>
      </c>
    </row>
    <row r="1829" spans="1:24" x14ac:dyDescent="0.2">
      <c r="A1829" s="407">
        <v>1821</v>
      </c>
      <c r="B1829" s="438"/>
      <c r="C1829" s="438"/>
      <c r="D1829" s="438"/>
      <c r="E1829" s="438"/>
      <c r="F1829" s="438"/>
      <c r="G1829" s="438"/>
      <c r="H1829" s="438"/>
      <c r="I1829" s="438"/>
      <c r="J1829" s="11"/>
      <c r="Q1829" s="348" t="str">
        <f t="shared" si="232"/>
        <v/>
      </c>
      <c r="R1829" s="348" t="str">
        <f t="shared" si="233"/>
        <v/>
      </c>
      <c r="S1829" s="348" t="str">
        <f t="shared" si="234"/>
        <v/>
      </c>
      <c r="T1829" s="348" t="str">
        <f t="shared" si="235"/>
        <v/>
      </c>
      <c r="U1829" s="348" t="str">
        <f t="shared" si="236"/>
        <v/>
      </c>
      <c r="V1829" s="348" t="str">
        <f t="shared" si="237"/>
        <v/>
      </c>
      <c r="W1829" s="348" t="str">
        <f t="shared" si="238"/>
        <v/>
      </c>
      <c r="X1829" s="348" t="str">
        <f t="shared" si="239"/>
        <v/>
      </c>
    </row>
    <row r="1830" spans="1:24" x14ac:dyDescent="0.2">
      <c r="A1830" s="407">
        <v>1822</v>
      </c>
      <c r="B1830" s="438"/>
      <c r="C1830" s="438"/>
      <c r="D1830" s="438"/>
      <c r="E1830" s="438"/>
      <c r="F1830" s="438"/>
      <c r="G1830" s="438"/>
      <c r="H1830" s="438"/>
      <c r="I1830" s="438"/>
      <c r="J1830" s="11"/>
      <c r="Q1830" s="348" t="str">
        <f t="shared" si="232"/>
        <v/>
      </c>
      <c r="R1830" s="348" t="str">
        <f t="shared" si="233"/>
        <v/>
      </c>
      <c r="S1830" s="348" t="str">
        <f t="shared" si="234"/>
        <v/>
      </c>
      <c r="T1830" s="348" t="str">
        <f t="shared" si="235"/>
        <v/>
      </c>
      <c r="U1830" s="348" t="str">
        <f t="shared" si="236"/>
        <v/>
      </c>
      <c r="V1830" s="348" t="str">
        <f t="shared" si="237"/>
        <v/>
      </c>
      <c r="W1830" s="348" t="str">
        <f t="shared" si="238"/>
        <v/>
      </c>
      <c r="X1830" s="348" t="str">
        <f t="shared" si="239"/>
        <v/>
      </c>
    </row>
    <row r="1831" spans="1:24" x14ac:dyDescent="0.2">
      <c r="A1831" s="407">
        <v>1823</v>
      </c>
      <c r="B1831" s="438"/>
      <c r="C1831" s="438"/>
      <c r="D1831" s="438"/>
      <c r="E1831" s="438"/>
      <c r="F1831" s="438"/>
      <c r="G1831" s="438"/>
      <c r="H1831" s="438"/>
      <c r="I1831" s="438"/>
      <c r="J1831" s="11"/>
      <c r="Q1831" s="348" t="str">
        <f t="shared" si="232"/>
        <v/>
      </c>
      <c r="R1831" s="348" t="str">
        <f t="shared" si="233"/>
        <v/>
      </c>
      <c r="S1831" s="348" t="str">
        <f t="shared" si="234"/>
        <v/>
      </c>
      <c r="T1831" s="348" t="str">
        <f t="shared" si="235"/>
        <v/>
      </c>
      <c r="U1831" s="348" t="str">
        <f t="shared" si="236"/>
        <v/>
      </c>
      <c r="V1831" s="348" t="str">
        <f t="shared" si="237"/>
        <v/>
      </c>
      <c r="W1831" s="348" t="str">
        <f t="shared" si="238"/>
        <v/>
      </c>
      <c r="X1831" s="348" t="str">
        <f t="shared" si="239"/>
        <v/>
      </c>
    </row>
    <row r="1832" spans="1:24" x14ac:dyDescent="0.2">
      <c r="A1832" s="407">
        <v>1824</v>
      </c>
      <c r="B1832" s="438"/>
      <c r="C1832" s="438"/>
      <c r="D1832" s="438"/>
      <c r="E1832" s="438"/>
      <c r="F1832" s="438"/>
      <c r="G1832" s="438"/>
      <c r="H1832" s="438"/>
      <c r="I1832" s="438"/>
      <c r="J1832" s="11"/>
      <c r="Q1832" s="348" t="str">
        <f t="shared" si="232"/>
        <v/>
      </c>
      <c r="R1832" s="348" t="str">
        <f t="shared" si="233"/>
        <v/>
      </c>
      <c r="S1832" s="348" t="str">
        <f t="shared" si="234"/>
        <v/>
      </c>
      <c r="T1832" s="348" t="str">
        <f t="shared" si="235"/>
        <v/>
      </c>
      <c r="U1832" s="348" t="str">
        <f t="shared" si="236"/>
        <v/>
      </c>
      <c r="V1832" s="348" t="str">
        <f t="shared" si="237"/>
        <v/>
      </c>
      <c r="W1832" s="348" t="str">
        <f t="shared" si="238"/>
        <v/>
      </c>
      <c r="X1832" s="348" t="str">
        <f t="shared" si="239"/>
        <v/>
      </c>
    </row>
    <row r="1833" spans="1:24" x14ac:dyDescent="0.2">
      <c r="A1833" s="407">
        <v>1825</v>
      </c>
      <c r="B1833" s="438"/>
      <c r="C1833" s="438"/>
      <c r="D1833" s="438"/>
      <c r="E1833" s="438"/>
      <c r="F1833" s="438"/>
      <c r="G1833" s="438"/>
      <c r="H1833" s="438"/>
      <c r="I1833" s="437"/>
      <c r="J1833" s="11"/>
      <c r="Q1833" s="348" t="str">
        <f t="shared" si="232"/>
        <v/>
      </c>
      <c r="R1833" s="348" t="str">
        <f t="shared" si="233"/>
        <v/>
      </c>
      <c r="S1833" s="348" t="str">
        <f t="shared" si="234"/>
        <v/>
      </c>
      <c r="T1833" s="348" t="str">
        <f t="shared" si="235"/>
        <v/>
      </c>
      <c r="U1833" s="348" t="str">
        <f t="shared" si="236"/>
        <v/>
      </c>
      <c r="V1833" s="348" t="str">
        <f t="shared" si="237"/>
        <v/>
      </c>
      <c r="W1833" s="348" t="str">
        <f t="shared" si="238"/>
        <v/>
      </c>
      <c r="X1833" s="348" t="str">
        <f t="shared" si="239"/>
        <v/>
      </c>
    </row>
    <row r="1834" spans="1:24" x14ac:dyDescent="0.2">
      <c r="A1834" s="407">
        <v>1826</v>
      </c>
      <c r="B1834" s="438"/>
      <c r="C1834" s="438"/>
      <c r="D1834" s="438"/>
      <c r="E1834" s="437"/>
      <c r="F1834" s="437"/>
      <c r="G1834" s="437"/>
      <c r="H1834" s="437"/>
      <c r="I1834" s="438"/>
      <c r="J1834" s="11"/>
      <c r="Q1834" s="348" t="str">
        <f t="shared" si="232"/>
        <v/>
      </c>
      <c r="R1834" s="348" t="str">
        <f t="shared" si="233"/>
        <v/>
      </c>
      <c r="S1834" s="348" t="str">
        <f t="shared" si="234"/>
        <v/>
      </c>
      <c r="T1834" s="348" t="str">
        <f t="shared" si="235"/>
        <v/>
      </c>
      <c r="U1834" s="348" t="str">
        <f t="shared" si="236"/>
        <v/>
      </c>
      <c r="V1834" s="348" t="str">
        <f t="shared" si="237"/>
        <v/>
      </c>
      <c r="W1834" s="348" t="str">
        <f t="shared" si="238"/>
        <v/>
      </c>
      <c r="X1834" s="348" t="str">
        <f t="shared" si="239"/>
        <v/>
      </c>
    </row>
    <row r="1835" spans="1:24" x14ac:dyDescent="0.2">
      <c r="A1835" s="407">
        <v>1827</v>
      </c>
      <c r="B1835" s="438"/>
      <c r="C1835" s="438"/>
      <c r="D1835" s="438"/>
      <c r="E1835" s="438"/>
      <c r="F1835" s="438"/>
      <c r="G1835" s="438"/>
      <c r="H1835" s="438"/>
      <c r="I1835" s="438"/>
      <c r="J1835" s="11"/>
      <c r="Q1835" s="348" t="str">
        <f t="shared" si="232"/>
        <v/>
      </c>
      <c r="R1835" s="348" t="str">
        <f t="shared" si="233"/>
        <v/>
      </c>
      <c r="S1835" s="348" t="str">
        <f t="shared" si="234"/>
        <v/>
      </c>
      <c r="T1835" s="348" t="str">
        <f t="shared" si="235"/>
        <v/>
      </c>
      <c r="U1835" s="348" t="str">
        <f t="shared" si="236"/>
        <v/>
      </c>
      <c r="V1835" s="348" t="str">
        <f t="shared" si="237"/>
        <v/>
      </c>
      <c r="W1835" s="348" t="str">
        <f t="shared" si="238"/>
        <v/>
      </c>
      <c r="X1835" s="348" t="str">
        <f t="shared" si="239"/>
        <v/>
      </c>
    </row>
    <row r="1836" spans="1:24" x14ac:dyDescent="0.2">
      <c r="A1836" s="407">
        <v>1828</v>
      </c>
      <c r="B1836" s="437"/>
      <c r="C1836" s="438"/>
      <c r="D1836" s="438"/>
      <c r="E1836" s="438"/>
      <c r="F1836" s="438"/>
      <c r="G1836" s="438"/>
      <c r="H1836" s="438"/>
      <c r="I1836" s="438"/>
      <c r="J1836" s="11"/>
      <c r="Q1836" s="348" t="str">
        <f t="shared" si="232"/>
        <v/>
      </c>
      <c r="R1836" s="348" t="str">
        <f t="shared" si="233"/>
        <v/>
      </c>
      <c r="S1836" s="348" t="str">
        <f t="shared" si="234"/>
        <v/>
      </c>
      <c r="T1836" s="348" t="str">
        <f t="shared" si="235"/>
        <v/>
      </c>
      <c r="U1836" s="348" t="str">
        <f t="shared" si="236"/>
        <v/>
      </c>
      <c r="V1836" s="348" t="str">
        <f t="shared" si="237"/>
        <v/>
      </c>
      <c r="W1836" s="348" t="str">
        <f t="shared" si="238"/>
        <v/>
      </c>
      <c r="X1836" s="348" t="str">
        <f t="shared" si="239"/>
        <v/>
      </c>
    </row>
    <row r="1837" spans="1:24" x14ac:dyDescent="0.2">
      <c r="A1837" s="407">
        <v>1829</v>
      </c>
      <c r="B1837" s="438"/>
      <c r="C1837" s="438"/>
      <c r="D1837" s="438"/>
      <c r="E1837" s="438"/>
      <c r="F1837" s="438"/>
      <c r="G1837" s="438"/>
      <c r="H1837" s="438"/>
      <c r="I1837" s="438"/>
      <c r="J1837" s="11"/>
      <c r="Q1837" s="348" t="str">
        <f t="shared" si="232"/>
        <v/>
      </c>
      <c r="R1837" s="348" t="str">
        <f t="shared" si="233"/>
        <v/>
      </c>
      <c r="S1837" s="348" t="str">
        <f t="shared" si="234"/>
        <v/>
      </c>
      <c r="T1837" s="348" t="str">
        <f t="shared" si="235"/>
        <v/>
      </c>
      <c r="U1837" s="348" t="str">
        <f t="shared" si="236"/>
        <v/>
      </c>
      <c r="V1837" s="348" t="str">
        <f t="shared" si="237"/>
        <v/>
      </c>
      <c r="W1837" s="348" t="str">
        <f t="shared" si="238"/>
        <v/>
      </c>
      <c r="X1837" s="348" t="str">
        <f t="shared" si="239"/>
        <v/>
      </c>
    </row>
    <row r="1838" spans="1:24" x14ac:dyDescent="0.2">
      <c r="A1838" s="407">
        <v>1830</v>
      </c>
      <c r="B1838" s="438"/>
      <c r="C1838" s="438"/>
      <c r="D1838" s="437"/>
      <c r="E1838" s="438"/>
      <c r="F1838" s="438"/>
      <c r="G1838" s="438"/>
      <c r="H1838" s="438"/>
      <c r="I1838" s="438"/>
      <c r="J1838" s="11"/>
      <c r="Q1838" s="348" t="str">
        <f t="shared" si="232"/>
        <v/>
      </c>
      <c r="R1838" s="348" t="str">
        <f t="shared" si="233"/>
        <v/>
      </c>
      <c r="S1838" s="348" t="str">
        <f t="shared" si="234"/>
        <v/>
      </c>
      <c r="T1838" s="348" t="str">
        <f t="shared" si="235"/>
        <v/>
      </c>
      <c r="U1838" s="348" t="str">
        <f t="shared" si="236"/>
        <v/>
      </c>
      <c r="V1838" s="348" t="str">
        <f t="shared" si="237"/>
        <v/>
      </c>
      <c r="W1838" s="348" t="str">
        <f t="shared" si="238"/>
        <v/>
      </c>
      <c r="X1838" s="348" t="str">
        <f t="shared" si="239"/>
        <v/>
      </c>
    </row>
    <row r="1839" spans="1:24" x14ac:dyDescent="0.2">
      <c r="A1839" s="407">
        <v>1831</v>
      </c>
      <c r="B1839" s="438"/>
      <c r="C1839" s="438"/>
      <c r="D1839" s="438"/>
      <c r="E1839" s="438"/>
      <c r="F1839" s="438"/>
      <c r="G1839" s="438"/>
      <c r="H1839" s="438"/>
      <c r="I1839" s="438"/>
      <c r="J1839" s="11"/>
      <c r="Q1839" s="348" t="str">
        <f t="shared" si="232"/>
        <v/>
      </c>
      <c r="R1839" s="348" t="str">
        <f t="shared" si="233"/>
        <v/>
      </c>
      <c r="S1839" s="348" t="str">
        <f t="shared" si="234"/>
        <v/>
      </c>
      <c r="T1839" s="348" t="str">
        <f t="shared" si="235"/>
        <v/>
      </c>
      <c r="U1839" s="348" t="str">
        <f t="shared" si="236"/>
        <v/>
      </c>
      <c r="V1839" s="348" t="str">
        <f t="shared" si="237"/>
        <v/>
      </c>
      <c r="W1839" s="348" t="str">
        <f t="shared" si="238"/>
        <v/>
      </c>
      <c r="X1839" s="348" t="str">
        <f t="shared" si="239"/>
        <v/>
      </c>
    </row>
    <row r="1840" spans="1:24" x14ac:dyDescent="0.2">
      <c r="A1840" s="407">
        <v>1832</v>
      </c>
      <c r="B1840" s="438"/>
      <c r="C1840" s="438"/>
      <c r="D1840" s="438"/>
      <c r="E1840" s="438"/>
      <c r="F1840" s="438"/>
      <c r="G1840" s="438"/>
      <c r="H1840" s="438"/>
      <c r="I1840" s="438"/>
      <c r="J1840" s="11"/>
      <c r="Q1840" s="348" t="str">
        <f t="shared" si="232"/>
        <v/>
      </c>
      <c r="R1840" s="348" t="str">
        <f t="shared" si="233"/>
        <v/>
      </c>
      <c r="S1840" s="348" t="str">
        <f t="shared" si="234"/>
        <v/>
      </c>
      <c r="T1840" s="348" t="str">
        <f t="shared" si="235"/>
        <v/>
      </c>
      <c r="U1840" s="348" t="str">
        <f t="shared" si="236"/>
        <v/>
      </c>
      <c r="V1840" s="348" t="str">
        <f t="shared" si="237"/>
        <v/>
      </c>
      <c r="W1840" s="348" t="str">
        <f t="shared" si="238"/>
        <v/>
      </c>
      <c r="X1840" s="348" t="str">
        <f t="shared" si="239"/>
        <v/>
      </c>
    </row>
    <row r="1841" spans="1:24" x14ac:dyDescent="0.2">
      <c r="A1841" s="407">
        <v>1833</v>
      </c>
      <c r="B1841" s="438"/>
      <c r="C1841" s="438"/>
      <c r="D1841" s="438"/>
      <c r="E1841" s="438"/>
      <c r="F1841" s="438"/>
      <c r="G1841" s="438"/>
      <c r="H1841" s="438"/>
      <c r="I1841" s="438"/>
      <c r="J1841" s="11"/>
      <c r="Q1841" s="348" t="str">
        <f t="shared" si="232"/>
        <v/>
      </c>
      <c r="R1841" s="348" t="str">
        <f t="shared" si="233"/>
        <v/>
      </c>
      <c r="S1841" s="348" t="str">
        <f t="shared" si="234"/>
        <v/>
      </c>
      <c r="T1841" s="348" t="str">
        <f t="shared" si="235"/>
        <v/>
      </c>
      <c r="U1841" s="348" t="str">
        <f t="shared" si="236"/>
        <v/>
      </c>
      <c r="V1841" s="348" t="str">
        <f t="shared" si="237"/>
        <v/>
      </c>
      <c r="W1841" s="348" t="str">
        <f t="shared" si="238"/>
        <v/>
      </c>
      <c r="X1841" s="348" t="str">
        <f t="shared" si="239"/>
        <v/>
      </c>
    </row>
    <row r="1842" spans="1:24" x14ac:dyDescent="0.2">
      <c r="A1842" s="407">
        <v>1834</v>
      </c>
      <c r="B1842" s="438"/>
      <c r="C1842" s="438"/>
      <c r="D1842" s="438"/>
      <c r="E1842" s="438"/>
      <c r="F1842" s="438"/>
      <c r="G1842" s="438"/>
      <c r="H1842" s="438"/>
      <c r="I1842" s="438"/>
      <c r="J1842" s="11"/>
      <c r="Q1842" s="348" t="str">
        <f t="shared" si="232"/>
        <v/>
      </c>
      <c r="R1842" s="348" t="str">
        <f t="shared" si="233"/>
        <v/>
      </c>
      <c r="S1842" s="348" t="str">
        <f t="shared" si="234"/>
        <v/>
      </c>
      <c r="T1842" s="348" t="str">
        <f t="shared" si="235"/>
        <v/>
      </c>
      <c r="U1842" s="348" t="str">
        <f t="shared" si="236"/>
        <v/>
      </c>
      <c r="V1842" s="348" t="str">
        <f t="shared" si="237"/>
        <v/>
      </c>
      <c r="W1842" s="348" t="str">
        <f t="shared" si="238"/>
        <v/>
      </c>
      <c r="X1842" s="348" t="str">
        <f t="shared" si="239"/>
        <v/>
      </c>
    </row>
    <row r="1843" spans="1:24" x14ac:dyDescent="0.2">
      <c r="A1843" s="407">
        <v>1835</v>
      </c>
      <c r="B1843" s="438"/>
      <c r="C1843" s="438"/>
      <c r="D1843" s="438"/>
      <c r="E1843" s="438"/>
      <c r="F1843" s="438"/>
      <c r="G1843" s="438"/>
      <c r="H1843" s="438"/>
      <c r="I1843" s="438"/>
      <c r="J1843" s="11"/>
      <c r="Q1843" s="348" t="str">
        <f t="shared" si="232"/>
        <v/>
      </c>
      <c r="R1843" s="348" t="str">
        <f t="shared" si="233"/>
        <v/>
      </c>
      <c r="S1843" s="348" t="str">
        <f t="shared" si="234"/>
        <v/>
      </c>
      <c r="T1843" s="348" t="str">
        <f t="shared" si="235"/>
        <v/>
      </c>
      <c r="U1843" s="348" t="str">
        <f t="shared" si="236"/>
        <v/>
      </c>
      <c r="V1843" s="348" t="str">
        <f t="shared" si="237"/>
        <v/>
      </c>
      <c r="W1843" s="348" t="str">
        <f t="shared" si="238"/>
        <v/>
      </c>
      <c r="X1843" s="348" t="str">
        <f t="shared" si="239"/>
        <v/>
      </c>
    </row>
    <row r="1844" spans="1:24" x14ac:dyDescent="0.2">
      <c r="A1844" s="407">
        <v>1836</v>
      </c>
      <c r="B1844" s="438"/>
      <c r="C1844" s="437"/>
      <c r="D1844" s="438"/>
      <c r="E1844" s="438"/>
      <c r="F1844" s="438"/>
      <c r="G1844" s="438"/>
      <c r="H1844" s="438"/>
      <c r="I1844" s="438"/>
      <c r="J1844" s="11"/>
      <c r="Q1844" s="348" t="str">
        <f t="shared" si="232"/>
        <v/>
      </c>
      <c r="R1844" s="348" t="str">
        <f t="shared" si="233"/>
        <v/>
      </c>
      <c r="S1844" s="348" t="str">
        <f t="shared" si="234"/>
        <v/>
      </c>
      <c r="T1844" s="348" t="str">
        <f t="shared" si="235"/>
        <v/>
      </c>
      <c r="U1844" s="348" t="str">
        <f t="shared" si="236"/>
        <v/>
      </c>
      <c r="V1844" s="348" t="str">
        <f t="shared" si="237"/>
        <v/>
      </c>
      <c r="W1844" s="348" t="str">
        <f t="shared" si="238"/>
        <v/>
      </c>
      <c r="X1844" s="348" t="str">
        <f t="shared" si="239"/>
        <v/>
      </c>
    </row>
    <row r="1845" spans="1:24" x14ac:dyDescent="0.2">
      <c r="A1845" s="407">
        <v>1837</v>
      </c>
      <c r="B1845" s="438"/>
      <c r="C1845" s="438"/>
      <c r="D1845" s="438"/>
      <c r="E1845" s="438"/>
      <c r="F1845" s="438"/>
      <c r="G1845" s="438"/>
      <c r="H1845" s="438"/>
      <c r="I1845" s="438"/>
      <c r="J1845" s="11"/>
      <c r="Q1845" s="348" t="str">
        <f t="shared" si="232"/>
        <v/>
      </c>
      <c r="R1845" s="348" t="str">
        <f t="shared" si="233"/>
        <v/>
      </c>
      <c r="S1845" s="348" t="str">
        <f t="shared" si="234"/>
        <v/>
      </c>
      <c r="T1845" s="348" t="str">
        <f t="shared" si="235"/>
        <v/>
      </c>
      <c r="U1845" s="348" t="str">
        <f t="shared" si="236"/>
        <v/>
      </c>
      <c r="V1845" s="348" t="str">
        <f t="shared" si="237"/>
        <v/>
      </c>
      <c r="W1845" s="348" t="str">
        <f t="shared" si="238"/>
        <v/>
      </c>
      <c r="X1845" s="348" t="str">
        <f t="shared" si="239"/>
        <v/>
      </c>
    </row>
    <row r="1846" spans="1:24" x14ac:dyDescent="0.2">
      <c r="A1846" s="407">
        <v>1838</v>
      </c>
      <c r="B1846" s="438"/>
      <c r="C1846" s="438"/>
      <c r="D1846" s="438"/>
      <c r="E1846" s="438"/>
      <c r="F1846" s="438"/>
      <c r="G1846" s="438"/>
      <c r="H1846" s="438"/>
      <c r="I1846" s="438"/>
      <c r="J1846" s="11"/>
      <c r="Q1846" s="348" t="str">
        <f t="shared" si="232"/>
        <v/>
      </c>
      <c r="R1846" s="348" t="str">
        <f t="shared" si="233"/>
        <v/>
      </c>
      <c r="S1846" s="348" t="str">
        <f t="shared" si="234"/>
        <v/>
      </c>
      <c r="T1846" s="348" t="str">
        <f t="shared" si="235"/>
        <v/>
      </c>
      <c r="U1846" s="348" t="str">
        <f t="shared" si="236"/>
        <v/>
      </c>
      <c r="V1846" s="348" t="str">
        <f t="shared" si="237"/>
        <v/>
      </c>
      <c r="W1846" s="348" t="str">
        <f t="shared" si="238"/>
        <v/>
      </c>
      <c r="X1846" s="348" t="str">
        <f t="shared" si="239"/>
        <v/>
      </c>
    </row>
    <row r="1847" spans="1:24" x14ac:dyDescent="0.2">
      <c r="A1847" s="407">
        <v>1839</v>
      </c>
      <c r="B1847" s="438"/>
      <c r="C1847" s="438"/>
      <c r="D1847" s="438"/>
      <c r="E1847" s="438"/>
      <c r="F1847" s="438"/>
      <c r="G1847" s="438"/>
      <c r="H1847" s="438"/>
      <c r="I1847" s="438"/>
      <c r="J1847" s="11"/>
      <c r="Q1847" s="348" t="str">
        <f t="shared" si="232"/>
        <v/>
      </c>
      <c r="R1847" s="348" t="str">
        <f t="shared" si="233"/>
        <v/>
      </c>
      <c r="S1847" s="348" t="str">
        <f t="shared" si="234"/>
        <v/>
      </c>
      <c r="T1847" s="348" t="str">
        <f t="shared" si="235"/>
        <v/>
      </c>
      <c r="U1847" s="348" t="str">
        <f t="shared" si="236"/>
        <v/>
      </c>
      <c r="V1847" s="348" t="str">
        <f t="shared" si="237"/>
        <v/>
      </c>
      <c r="W1847" s="348" t="str">
        <f t="shared" si="238"/>
        <v/>
      </c>
      <c r="X1847" s="348" t="str">
        <f t="shared" si="239"/>
        <v/>
      </c>
    </row>
    <row r="1848" spans="1:24" x14ac:dyDescent="0.2">
      <c r="A1848" s="407">
        <v>1840</v>
      </c>
      <c r="B1848" s="438"/>
      <c r="C1848" s="438"/>
      <c r="D1848" s="438"/>
      <c r="E1848" s="438"/>
      <c r="F1848" s="438"/>
      <c r="G1848" s="438"/>
      <c r="H1848" s="438"/>
      <c r="I1848" s="438"/>
      <c r="J1848" s="11"/>
      <c r="Q1848" s="348" t="str">
        <f t="shared" si="232"/>
        <v/>
      </c>
      <c r="R1848" s="348" t="str">
        <f t="shared" si="233"/>
        <v/>
      </c>
      <c r="S1848" s="348" t="str">
        <f t="shared" si="234"/>
        <v/>
      </c>
      <c r="T1848" s="348" t="str">
        <f t="shared" si="235"/>
        <v/>
      </c>
      <c r="U1848" s="348" t="str">
        <f t="shared" si="236"/>
        <v/>
      </c>
      <c r="V1848" s="348" t="str">
        <f t="shared" si="237"/>
        <v/>
      </c>
      <c r="W1848" s="348" t="str">
        <f t="shared" si="238"/>
        <v/>
      </c>
      <c r="X1848" s="348" t="str">
        <f t="shared" si="239"/>
        <v/>
      </c>
    </row>
    <row r="1849" spans="1:24" x14ac:dyDescent="0.2">
      <c r="A1849" s="407">
        <v>1841</v>
      </c>
      <c r="B1849" s="438"/>
      <c r="C1849" s="438"/>
      <c r="D1849" s="438"/>
      <c r="E1849" s="438"/>
      <c r="F1849" s="438"/>
      <c r="G1849" s="438"/>
      <c r="H1849" s="438"/>
      <c r="I1849" s="438"/>
      <c r="J1849" s="11"/>
      <c r="Q1849" s="348" t="str">
        <f t="shared" si="232"/>
        <v/>
      </c>
      <c r="R1849" s="348" t="str">
        <f t="shared" si="233"/>
        <v/>
      </c>
      <c r="S1849" s="348" t="str">
        <f t="shared" si="234"/>
        <v/>
      </c>
      <c r="T1849" s="348" t="str">
        <f t="shared" si="235"/>
        <v/>
      </c>
      <c r="U1849" s="348" t="str">
        <f t="shared" si="236"/>
        <v/>
      </c>
      <c r="V1849" s="348" t="str">
        <f t="shared" si="237"/>
        <v/>
      </c>
      <c r="W1849" s="348" t="str">
        <f t="shared" si="238"/>
        <v/>
      </c>
      <c r="X1849" s="348" t="str">
        <f t="shared" si="239"/>
        <v/>
      </c>
    </row>
    <row r="1850" spans="1:24" x14ac:dyDescent="0.2">
      <c r="A1850" s="407">
        <v>1842</v>
      </c>
      <c r="B1850" s="437"/>
      <c r="C1850" s="438"/>
      <c r="D1850" s="438"/>
      <c r="E1850" s="438"/>
      <c r="F1850" s="438"/>
      <c r="G1850" s="438"/>
      <c r="H1850" s="438"/>
      <c r="I1850" s="438"/>
      <c r="J1850" s="11"/>
      <c r="Q1850" s="348" t="str">
        <f t="shared" si="232"/>
        <v/>
      </c>
      <c r="R1850" s="348" t="str">
        <f t="shared" si="233"/>
        <v/>
      </c>
      <c r="S1850" s="348" t="str">
        <f t="shared" si="234"/>
        <v/>
      </c>
      <c r="T1850" s="348" t="str">
        <f t="shared" si="235"/>
        <v/>
      </c>
      <c r="U1850" s="348" t="str">
        <f t="shared" si="236"/>
        <v/>
      </c>
      <c r="V1850" s="348" t="str">
        <f t="shared" si="237"/>
        <v/>
      </c>
      <c r="W1850" s="348" t="str">
        <f t="shared" si="238"/>
        <v/>
      </c>
      <c r="X1850" s="348" t="str">
        <f t="shared" si="239"/>
        <v/>
      </c>
    </row>
    <row r="1851" spans="1:24" x14ac:dyDescent="0.2">
      <c r="A1851" s="407">
        <v>1843</v>
      </c>
      <c r="B1851" s="438"/>
      <c r="C1851" s="438"/>
      <c r="D1851" s="438"/>
      <c r="E1851" s="438"/>
      <c r="F1851" s="438"/>
      <c r="G1851" s="438"/>
      <c r="H1851" s="438"/>
      <c r="I1851" s="438"/>
      <c r="J1851" s="11"/>
      <c r="Q1851" s="348" t="str">
        <f t="shared" si="232"/>
        <v/>
      </c>
      <c r="R1851" s="348" t="str">
        <f t="shared" si="233"/>
        <v/>
      </c>
      <c r="S1851" s="348" t="str">
        <f t="shared" si="234"/>
        <v/>
      </c>
      <c r="T1851" s="348" t="str">
        <f t="shared" si="235"/>
        <v/>
      </c>
      <c r="U1851" s="348" t="str">
        <f t="shared" si="236"/>
        <v/>
      </c>
      <c r="V1851" s="348" t="str">
        <f t="shared" si="237"/>
        <v/>
      </c>
      <c r="W1851" s="348" t="str">
        <f t="shared" si="238"/>
        <v/>
      </c>
      <c r="X1851" s="348" t="str">
        <f t="shared" si="239"/>
        <v/>
      </c>
    </row>
    <row r="1852" spans="1:24" x14ac:dyDescent="0.2">
      <c r="A1852" s="407">
        <v>1844</v>
      </c>
      <c r="B1852" s="438"/>
      <c r="C1852" s="438"/>
      <c r="D1852" s="438"/>
      <c r="E1852" s="438"/>
      <c r="F1852" s="438"/>
      <c r="G1852" s="438"/>
      <c r="H1852" s="438"/>
      <c r="I1852" s="438"/>
      <c r="J1852" s="11"/>
      <c r="Q1852" s="348" t="str">
        <f t="shared" si="232"/>
        <v/>
      </c>
      <c r="R1852" s="348" t="str">
        <f t="shared" si="233"/>
        <v/>
      </c>
      <c r="S1852" s="348" t="str">
        <f t="shared" si="234"/>
        <v/>
      </c>
      <c r="T1852" s="348" t="str">
        <f t="shared" si="235"/>
        <v/>
      </c>
      <c r="U1852" s="348" t="str">
        <f t="shared" si="236"/>
        <v/>
      </c>
      <c r="V1852" s="348" t="str">
        <f t="shared" si="237"/>
        <v/>
      </c>
      <c r="W1852" s="348" t="str">
        <f t="shared" si="238"/>
        <v/>
      </c>
      <c r="X1852" s="348" t="str">
        <f t="shared" si="239"/>
        <v/>
      </c>
    </row>
    <row r="1853" spans="1:24" x14ac:dyDescent="0.2">
      <c r="A1853" s="407">
        <v>1845</v>
      </c>
      <c r="B1853" s="438"/>
      <c r="C1853" s="438"/>
      <c r="D1853" s="438"/>
      <c r="E1853" s="438"/>
      <c r="F1853" s="438"/>
      <c r="G1853" s="438"/>
      <c r="H1853" s="438"/>
      <c r="I1853" s="438"/>
      <c r="J1853" s="11"/>
      <c r="Q1853" s="348" t="str">
        <f t="shared" si="232"/>
        <v/>
      </c>
      <c r="R1853" s="348" t="str">
        <f t="shared" si="233"/>
        <v/>
      </c>
      <c r="S1853" s="348" t="str">
        <f t="shared" si="234"/>
        <v/>
      </c>
      <c r="T1853" s="348" t="str">
        <f t="shared" si="235"/>
        <v/>
      </c>
      <c r="U1853" s="348" t="str">
        <f t="shared" si="236"/>
        <v/>
      </c>
      <c r="V1853" s="348" t="str">
        <f t="shared" si="237"/>
        <v/>
      </c>
      <c r="W1853" s="348" t="str">
        <f t="shared" si="238"/>
        <v/>
      </c>
      <c r="X1853" s="348" t="str">
        <f t="shared" si="239"/>
        <v/>
      </c>
    </row>
    <row r="1854" spans="1:24" x14ac:dyDescent="0.2">
      <c r="A1854" s="407">
        <v>1846</v>
      </c>
      <c r="B1854" s="438"/>
      <c r="C1854" s="438"/>
      <c r="D1854" s="438"/>
      <c r="E1854" s="438"/>
      <c r="F1854" s="438"/>
      <c r="G1854" s="438"/>
      <c r="H1854" s="438"/>
      <c r="I1854" s="438"/>
      <c r="J1854" s="11"/>
      <c r="Q1854" s="348" t="str">
        <f t="shared" si="232"/>
        <v/>
      </c>
      <c r="R1854" s="348" t="str">
        <f t="shared" si="233"/>
        <v/>
      </c>
      <c r="S1854" s="348" t="str">
        <f t="shared" si="234"/>
        <v/>
      </c>
      <c r="T1854" s="348" t="str">
        <f t="shared" si="235"/>
        <v/>
      </c>
      <c r="U1854" s="348" t="str">
        <f t="shared" si="236"/>
        <v/>
      </c>
      <c r="V1854" s="348" t="str">
        <f t="shared" si="237"/>
        <v/>
      </c>
      <c r="W1854" s="348" t="str">
        <f t="shared" si="238"/>
        <v/>
      </c>
      <c r="X1854" s="348" t="str">
        <f t="shared" si="239"/>
        <v/>
      </c>
    </row>
    <row r="1855" spans="1:24" x14ac:dyDescent="0.2">
      <c r="A1855" s="407">
        <v>1847</v>
      </c>
      <c r="B1855" s="438"/>
      <c r="C1855" s="438"/>
      <c r="D1855" s="438"/>
      <c r="E1855" s="438"/>
      <c r="F1855" s="438"/>
      <c r="G1855" s="438"/>
      <c r="H1855" s="438"/>
      <c r="I1855" s="438"/>
      <c r="J1855" s="11"/>
      <c r="Q1855" s="348" t="str">
        <f t="shared" si="232"/>
        <v/>
      </c>
      <c r="R1855" s="348" t="str">
        <f t="shared" si="233"/>
        <v/>
      </c>
      <c r="S1855" s="348" t="str">
        <f t="shared" si="234"/>
        <v/>
      </c>
      <c r="T1855" s="348" t="str">
        <f t="shared" si="235"/>
        <v/>
      </c>
      <c r="U1855" s="348" t="str">
        <f t="shared" si="236"/>
        <v/>
      </c>
      <c r="V1855" s="348" t="str">
        <f t="shared" si="237"/>
        <v/>
      </c>
      <c r="W1855" s="348" t="str">
        <f t="shared" si="238"/>
        <v/>
      </c>
      <c r="X1855" s="348" t="str">
        <f t="shared" si="239"/>
        <v/>
      </c>
    </row>
    <row r="1856" spans="1:24" x14ac:dyDescent="0.2">
      <c r="A1856" s="407">
        <v>1848</v>
      </c>
      <c r="B1856" s="438"/>
      <c r="C1856" s="438"/>
      <c r="D1856" s="438"/>
      <c r="E1856" s="438"/>
      <c r="F1856" s="438"/>
      <c r="G1856" s="438"/>
      <c r="H1856" s="438"/>
      <c r="I1856" s="438"/>
      <c r="J1856" s="11"/>
      <c r="Q1856" s="348" t="str">
        <f t="shared" si="232"/>
        <v/>
      </c>
      <c r="R1856" s="348" t="str">
        <f t="shared" si="233"/>
        <v/>
      </c>
      <c r="S1856" s="348" t="str">
        <f t="shared" si="234"/>
        <v/>
      </c>
      <c r="T1856" s="348" t="str">
        <f t="shared" si="235"/>
        <v/>
      </c>
      <c r="U1856" s="348" t="str">
        <f t="shared" si="236"/>
        <v/>
      </c>
      <c r="V1856" s="348" t="str">
        <f t="shared" si="237"/>
        <v/>
      </c>
      <c r="W1856" s="348" t="str">
        <f t="shared" si="238"/>
        <v/>
      </c>
      <c r="X1856" s="348" t="str">
        <f t="shared" si="239"/>
        <v/>
      </c>
    </row>
    <row r="1857" spans="1:24" x14ac:dyDescent="0.2">
      <c r="A1857" s="407">
        <v>1849</v>
      </c>
      <c r="B1857" s="438"/>
      <c r="C1857" s="438"/>
      <c r="D1857" s="438"/>
      <c r="E1857" s="438"/>
      <c r="F1857" s="438"/>
      <c r="G1857" s="438"/>
      <c r="H1857" s="438"/>
      <c r="I1857" s="438"/>
      <c r="J1857" s="11"/>
      <c r="Q1857" s="348" t="str">
        <f t="shared" si="232"/>
        <v/>
      </c>
      <c r="R1857" s="348" t="str">
        <f t="shared" si="233"/>
        <v/>
      </c>
      <c r="S1857" s="348" t="str">
        <f t="shared" si="234"/>
        <v/>
      </c>
      <c r="T1857" s="348" t="str">
        <f t="shared" si="235"/>
        <v/>
      </c>
      <c r="U1857" s="348" t="str">
        <f t="shared" si="236"/>
        <v/>
      </c>
      <c r="V1857" s="348" t="str">
        <f t="shared" si="237"/>
        <v/>
      </c>
      <c r="W1857" s="348" t="str">
        <f t="shared" si="238"/>
        <v/>
      </c>
      <c r="X1857" s="348" t="str">
        <f t="shared" si="239"/>
        <v/>
      </c>
    </row>
    <row r="1858" spans="1:24" x14ac:dyDescent="0.2">
      <c r="A1858" s="407">
        <v>1850</v>
      </c>
      <c r="B1858" s="438"/>
      <c r="C1858" s="437"/>
      <c r="D1858" s="438"/>
      <c r="E1858" s="438"/>
      <c r="F1858" s="438"/>
      <c r="G1858" s="438"/>
      <c r="H1858" s="438"/>
      <c r="I1858" s="437"/>
      <c r="J1858" s="11"/>
      <c r="Q1858" s="348" t="str">
        <f t="shared" si="232"/>
        <v/>
      </c>
      <c r="R1858" s="348" t="str">
        <f t="shared" si="233"/>
        <v/>
      </c>
      <c r="S1858" s="348" t="str">
        <f t="shared" si="234"/>
        <v/>
      </c>
      <c r="T1858" s="348" t="str">
        <f t="shared" si="235"/>
        <v/>
      </c>
      <c r="U1858" s="348" t="str">
        <f t="shared" si="236"/>
        <v/>
      </c>
      <c r="V1858" s="348" t="str">
        <f t="shared" si="237"/>
        <v/>
      </c>
      <c r="W1858" s="348" t="str">
        <f t="shared" si="238"/>
        <v/>
      </c>
      <c r="X1858" s="348" t="str">
        <f t="shared" si="239"/>
        <v/>
      </c>
    </row>
    <row r="1859" spans="1:24" x14ac:dyDescent="0.2">
      <c r="A1859" s="407">
        <v>1851</v>
      </c>
      <c r="B1859" s="438"/>
      <c r="C1859" s="438"/>
      <c r="D1859" s="438"/>
      <c r="E1859" s="437"/>
      <c r="F1859" s="438"/>
      <c r="G1859" s="438"/>
      <c r="H1859" s="438"/>
      <c r="I1859" s="438"/>
      <c r="J1859" s="11"/>
      <c r="Q1859" s="348" t="str">
        <f t="shared" si="232"/>
        <v/>
      </c>
      <c r="R1859" s="348" t="str">
        <f t="shared" si="233"/>
        <v/>
      </c>
      <c r="S1859" s="348" t="str">
        <f t="shared" si="234"/>
        <v/>
      </c>
      <c r="T1859" s="348" t="str">
        <f t="shared" si="235"/>
        <v/>
      </c>
      <c r="U1859" s="348" t="str">
        <f t="shared" si="236"/>
        <v/>
      </c>
      <c r="V1859" s="348" t="str">
        <f t="shared" si="237"/>
        <v/>
      </c>
      <c r="W1859" s="348" t="str">
        <f t="shared" si="238"/>
        <v/>
      </c>
      <c r="X1859" s="348" t="str">
        <f t="shared" si="239"/>
        <v/>
      </c>
    </row>
    <row r="1860" spans="1:24" x14ac:dyDescent="0.2">
      <c r="A1860" s="407">
        <v>1852</v>
      </c>
      <c r="B1860" s="438"/>
      <c r="C1860" s="438"/>
      <c r="D1860" s="438"/>
      <c r="E1860" s="438"/>
      <c r="F1860" s="438"/>
      <c r="G1860" s="438"/>
      <c r="H1860" s="438"/>
      <c r="I1860" s="438"/>
      <c r="J1860" s="11"/>
      <c r="Q1860" s="348" t="str">
        <f t="shared" si="232"/>
        <v/>
      </c>
      <c r="R1860" s="348" t="str">
        <f t="shared" si="233"/>
        <v/>
      </c>
      <c r="S1860" s="348" t="str">
        <f t="shared" si="234"/>
        <v/>
      </c>
      <c r="T1860" s="348" t="str">
        <f t="shared" si="235"/>
        <v/>
      </c>
      <c r="U1860" s="348" t="str">
        <f t="shared" si="236"/>
        <v/>
      </c>
      <c r="V1860" s="348" t="str">
        <f t="shared" si="237"/>
        <v/>
      </c>
      <c r="W1860" s="348" t="str">
        <f t="shared" si="238"/>
        <v/>
      </c>
      <c r="X1860" s="348" t="str">
        <f t="shared" si="239"/>
        <v/>
      </c>
    </row>
    <row r="1861" spans="1:24" x14ac:dyDescent="0.2">
      <c r="A1861" s="407">
        <v>1853</v>
      </c>
      <c r="B1861" s="438"/>
      <c r="C1861" s="438"/>
      <c r="D1861" s="438"/>
      <c r="E1861" s="438"/>
      <c r="F1861" s="438"/>
      <c r="G1861" s="438"/>
      <c r="H1861" s="438"/>
      <c r="I1861" s="438"/>
      <c r="J1861" s="11"/>
      <c r="Q1861" s="348" t="str">
        <f t="shared" si="232"/>
        <v/>
      </c>
      <c r="R1861" s="348" t="str">
        <f t="shared" si="233"/>
        <v/>
      </c>
      <c r="S1861" s="348" t="str">
        <f t="shared" si="234"/>
        <v/>
      </c>
      <c r="T1861" s="348" t="str">
        <f t="shared" si="235"/>
        <v/>
      </c>
      <c r="U1861" s="348" t="str">
        <f t="shared" si="236"/>
        <v/>
      </c>
      <c r="V1861" s="348" t="str">
        <f t="shared" si="237"/>
        <v/>
      </c>
      <c r="W1861" s="348" t="str">
        <f t="shared" si="238"/>
        <v/>
      </c>
      <c r="X1861" s="348" t="str">
        <f t="shared" si="239"/>
        <v/>
      </c>
    </row>
    <row r="1862" spans="1:24" x14ac:dyDescent="0.2">
      <c r="A1862" s="407">
        <v>1854</v>
      </c>
      <c r="B1862" s="438"/>
      <c r="C1862" s="438"/>
      <c r="D1862" s="438"/>
      <c r="E1862" s="438"/>
      <c r="F1862" s="438"/>
      <c r="G1862" s="438"/>
      <c r="H1862" s="438"/>
      <c r="I1862" s="438"/>
      <c r="J1862" s="11"/>
      <c r="Q1862" s="348" t="str">
        <f t="shared" si="232"/>
        <v/>
      </c>
      <c r="R1862" s="348" t="str">
        <f t="shared" si="233"/>
        <v/>
      </c>
      <c r="S1862" s="348" t="str">
        <f t="shared" si="234"/>
        <v/>
      </c>
      <c r="T1862" s="348" t="str">
        <f t="shared" si="235"/>
        <v/>
      </c>
      <c r="U1862" s="348" t="str">
        <f t="shared" si="236"/>
        <v/>
      </c>
      <c r="V1862" s="348" t="str">
        <f t="shared" si="237"/>
        <v/>
      </c>
      <c r="W1862" s="348" t="str">
        <f t="shared" si="238"/>
        <v/>
      </c>
      <c r="X1862" s="348" t="str">
        <f t="shared" si="239"/>
        <v/>
      </c>
    </row>
    <row r="1863" spans="1:24" x14ac:dyDescent="0.2">
      <c r="A1863" s="407">
        <v>1855</v>
      </c>
      <c r="B1863" s="438"/>
      <c r="C1863" s="438"/>
      <c r="D1863" s="438"/>
      <c r="E1863" s="438"/>
      <c r="F1863" s="438"/>
      <c r="G1863" s="438"/>
      <c r="H1863" s="438"/>
      <c r="I1863" s="438"/>
      <c r="J1863" s="11"/>
      <c r="Q1863" s="348" t="str">
        <f t="shared" si="232"/>
        <v/>
      </c>
      <c r="R1863" s="348" t="str">
        <f t="shared" si="233"/>
        <v/>
      </c>
      <c r="S1863" s="348" t="str">
        <f t="shared" si="234"/>
        <v/>
      </c>
      <c r="T1863" s="348" t="str">
        <f t="shared" si="235"/>
        <v/>
      </c>
      <c r="U1863" s="348" t="str">
        <f t="shared" si="236"/>
        <v/>
      </c>
      <c r="V1863" s="348" t="str">
        <f t="shared" si="237"/>
        <v/>
      </c>
      <c r="W1863" s="348" t="str">
        <f t="shared" si="238"/>
        <v/>
      </c>
      <c r="X1863" s="348" t="str">
        <f t="shared" si="239"/>
        <v/>
      </c>
    </row>
    <row r="1864" spans="1:24" x14ac:dyDescent="0.2">
      <c r="A1864" s="407">
        <v>1856</v>
      </c>
      <c r="B1864" s="438"/>
      <c r="C1864" s="438"/>
      <c r="D1864" s="438"/>
      <c r="E1864" s="438"/>
      <c r="F1864" s="438"/>
      <c r="G1864" s="438"/>
      <c r="H1864" s="438"/>
      <c r="I1864" s="438"/>
      <c r="J1864" s="11"/>
      <c r="Q1864" s="348" t="str">
        <f t="shared" si="232"/>
        <v/>
      </c>
      <c r="R1864" s="348" t="str">
        <f t="shared" si="233"/>
        <v/>
      </c>
      <c r="S1864" s="348" t="str">
        <f t="shared" si="234"/>
        <v/>
      </c>
      <c r="T1864" s="348" t="str">
        <f t="shared" si="235"/>
        <v/>
      </c>
      <c r="U1864" s="348" t="str">
        <f t="shared" si="236"/>
        <v/>
      </c>
      <c r="V1864" s="348" t="str">
        <f t="shared" si="237"/>
        <v/>
      </c>
      <c r="W1864" s="348" t="str">
        <f t="shared" si="238"/>
        <v/>
      </c>
      <c r="X1864" s="348" t="str">
        <f t="shared" si="239"/>
        <v/>
      </c>
    </row>
    <row r="1865" spans="1:24" x14ac:dyDescent="0.2">
      <c r="A1865" s="407">
        <v>1857</v>
      </c>
      <c r="B1865" s="438"/>
      <c r="C1865" s="438"/>
      <c r="D1865" s="438"/>
      <c r="E1865" s="438"/>
      <c r="F1865" s="438"/>
      <c r="G1865" s="438"/>
      <c r="H1865" s="438"/>
      <c r="I1865" s="438"/>
      <c r="J1865" s="11"/>
      <c r="Q1865" s="348" t="str">
        <f t="shared" si="232"/>
        <v/>
      </c>
      <c r="R1865" s="348" t="str">
        <f t="shared" si="233"/>
        <v/>
      </c>
      <c r="S1865" s="348" t="str">
        <f t="shared" si="234"/>
        <v/>
      </c>
      <c r="T1865" s="348" t="str">
        <f t="shared" si="235"/>
        <v/>
      </c>
      <c r="U1865" s="348" t="str">
        <f t="shared" si="236"/>
        <v/>
      </c>
      <c r="V1865" s="348" t="str">
        <f t="shared" si="237"/>
        <v/>
      </c>
      <c r="W1865" s="348" t="str">
        <f t="shared" si="238"/>
        <v/>
      </c>
      <c r="X1865" s="348" t="str">
        <f t="shared" si="239"/>
        <v/>
      </c>
    </row>
    <row r="1866" spans="1:24" x14ac:dyDescent="0.2">
      <c r="A1866" s="407">
        <v>1858</v>
      </c>
      <c r="B1866" s="438"/>
      <c r="C1866" s="438"/>
      <c r="D1866" s="438"/>
      <c r="E1866" s="438"/>
      <c r="F1866" s="438"/>
      <c r="G1866" s="438"/>
      <c r="H1866" s="438"/>
      <c r="I1866" s="438"/>
      <c r="J1866" s="11"/>
      <c r="Q1866" s="348" t="str">
        <f t="shared" ref="Q1866:Q1929" si="240">IFERROR(B1866^4*$AB$9+B1866^3*$AC$9+B1866^2*$AD$9+B1866^1*$AE$9+B1866^0*$AF$9,"")</f>
        <v/>
      </c>
      <c r="R1866" s="348" t="str">
        <f t="shared" ref="R1866:R1929" si="241">IFERROR(C1866^4*$AB$10+C1866^3*$AC$10+C1866^2*$AD$10+C1866^1*$AE$10+C1866^0*$AF$10,"")</f>
        <v/>
      </c>
      <c r="S1866" s="348" t="str">
        <f t="shared" ref="S1866:S1929" si="242">IFERROR(D1866^4*$AB$11+D1866^3*$AC$11+D1866^2*$AD$11+D1866^1*$AE$11+D1866^0*$AF$11,"")</f>
        <v/>
      </c>
      <c r="T1866" s="348" t="str">
        <f t="shared" ref="T1866:T1929" si="243">IFERROR(E1866^4*$AB$12+E1866^3*$AC$12+E1866^2*$AD$12+E1866^1*$AE$12+E1866^0*$AF$12,"")</f>
        <v/>
      </c>
      <c r="U1866" s="348" t="str">
        <f t="shared" ref="U1866:U1929" si="244">IFERROR(F1866^4*$AB$13+F1866^3*$AC$13+F1866^2*$AD$13+F1866^1*$AE$13+F1866^0*$AF$13,"")</f>
        <v/>
      </c>
      <c r="V1866" s="348" t="str">
        <f t="shared" ref="V1866:V1929" si="245">IFERROR(G1866^4*$AB$14+G1866^3*$AC$14+G1866^2*$AD$14+G1866^1*$AE$14+G1866^0*$AF$14,"")</f>
        <v/>
      </c>
      <c r="W1866" s="348" t="str">
        <f t="shared" ref="W1866:W1929" si="246">IFERROR(H1866^4*$AB$15+H1866^3*$AC$15+H1866^2*$AD$15+H1866^1*$AE$15+H1866^0*$AF$15,"")</f>
        <v/>
      </c>
      <c r="X1866" s="348" t="str">
        <f t="shared" ref="X1866:X1929" si="247">IFERROR(I1866^4*$AB$16+I1866^3*$AC$16+I1866^2*$AD$16+I1866^1*$AE$16+I1866^0*$AF$16,"")</f>
        <v/>
      </c>
    </row>
    <row r="1867" spans="1:24" x14ac:dyDescent="0.2">
      <c r="A1867" s="407">
        <v>1859</v>
      </c>
      <c r="B1867" s="438"/>
      <c r="C1867" s="438"/>
      <c r="D1867" s="438"/>
      <c r="E1867" s="438"/>
      <c r="F1867" s="438"/>
      <c r="G1867" s="438"/>
      <c r="H1867" s="438"/>
      <c r="I1867" s="438"/>
      <c r="J1867" s="11"/>
      <c r="Q1867" s="348" t="str">
        <f t="shared" si="240"/>
        <v/>
      </c>
      <c r="R1867" s="348" t="str">
        <f t="shared" si="241"/>
        <v/>
      </c>
      <c r="S1867" s="348" t="str">
        <f t="shared" si="242"/>
        <v/>
      </c>
      <c r="T1867" s="348" t="str">
        <f t="shared" si="243"/>
        <v/>
      </c>
      <c r="U1867" s="348" t="str">
        <f t="shared" si="244"/>
        <v/>
      </c>
      <c r="V1867" s="348" t="str">
        <f t="shared" si="245"/>
        <v/>
      </c>
      <c r="W1867" s="348" t="str">
        <f t="shared" si="246"/>
        <v/>
      </c>
      <c r="X1867" s="348" t="str">
        <f t="shared" si="247"/>
        <v/>
      </c>
    </row>
    <row r="1868" spans="1:24" x14ac:dyDescent="0.2">
      <c r="A1868" s="407">
        <v>1860</v>
      </c>
      <c r="B1868" s="438"/>
      <c r="C1868" s="438"/>
      <c r="D1868" s="438"/>
      <c r="E1868" s="438"/>
      <c r="F1868" s="438"/>
      <c r="G1868" s="438"/>
      <c r="H1868" s="438"/>
      <c r="I1868" s="438"/>
      <c r="J1868" s="11"/>
      <c r="Q1868" s="348" t="str">
        <f t="shared" si="240"/>
        <v/>
      </c>
      <c r="R1868" s="348" t="str">
        <f t="shared" si="241"/>
        <v/>
      </c>
      <c r="S1868" s="348" t="str">
        <f t="shared" si="242"/>
        <v/>
      </c>
      <c r="T1868" s="348" t="str">
        <f t="shared" si="243"/>
        <v/>
      </c>
      <c r="U1868" s="348" t="str">
        <f t="shared" si="244"/>
        <v/>
      </c>
      <c r="V1868" s="348" t="str">
        <f t="shared" si="245"/>
        <v/>
      </c>
      <c r="W1868" s="348" t="str">
        <f t="shared" si="246"/>
        <v/>
      </c>
      <c r="X1868" s="348" t="str">
        <f t="shared" si="247"/>
        <v/>
      </c>
    </row>
    <row r="1869" spans="1:24" x14ac:dyDescent="0.2">
      <c r="A1869" s="407">
        <v>1861</v>
      </c>
      <c r="B1869" s="437"/>
      <c r="C1869" s="438"/>
      <c r="D1869" s="438"/>
      <c r="E1869" s="438"/>
      <c r="F1869" s="438"/>
      <c r="G1869" s="438"/>
      <c r="H1869" s="438"/>
      <c r="I1869" s="438"/>
      <c r="J1869" s="11"/>
      <c r="Q1869" s="348" t="str">
        <f t="shared" si="240"/>
        <v/>
      </c>
      <c r="R1869" s="348" t="str">
        <f t="shared" si="241"/>
        <v/>
      </c>
      <c r="S1869" s="348" t="str">
        <f t="shared" si="242"/>
        <v/>
      </c>
      <c r="T1869" s="348" t="str">
        <f t="shared" si="243"/>
        <v/>
      </c>
      <c r="U1869" s="348" t="str">
        <f t="shared" si="244"/>
        <v/>
      </c>
      <c r="V1869" s="348" t="str">
        <f t="shared" si="245"/>
        <v/>
      </c>
      <c r="W1869" s="348" t="str">
        <f t="shared" si="246"/>
        <v/>
      </c>
      <c r="X1869" s="348" t="str">
        <f t="shared" si="247"/>
        <v/>
      </c>
    </row>
    <row r="1870" spans="1:24" x14ac:dyDescent="0.2">
      <c r="A1870" s="407">
        <v>1862</v>
      </c>
      <c r="B1870" s="438"/>
      <c r="C1870" s="438"/>
      <c r="D1870" s="438"/>
      <c r="E1870" s="438"/>
      <c r="F1870" s="438"/>
      <c r="G1870" s="437"/>
      <c r="H1870" s="438"/>
      <c r="I1870" s="438"/>
      <c r="J1870" s="11"/>
      <c r="Q1870" s="348" t="str">
        <f t="shared" si="240"/>
        <v/>
      </c>
      <c r="R1870" s="348" t="str">
        <f t="shared" si="241"/>
        <v/>
      </c>
      <c r="S1870" s="348" t="str">
        <f t="shared" si="242"/>
        <v/>
      </c>
      <c r="T1870" s="348" t="str">
        <f t="shared" si="243"/>
        <v/>
      </c>
      <c r="U1870" s="348" t="str">
        <f t="shared" si="244"/>
        <v/>
      </c>
      <c r="V1870" s="348" t="str">
        <f t="shared" si="245"/>
        <v/>
      </c>
      <c r="W1870" s="348" t="str">
        <f t="shared" si="246"/>
        <v/>
      </c>
      <c r="X1870" s="348" t="str">
        <f t="shared" si="247"/>
        <v/>
      </c>
    </row>
    <row r="1871" spans="1:24" x14ac:dyDescent="0.2">
      <c r="A1871" s="407">
        <v>1863</v>
      </c>
      <c r="B1871" s="438"/>
      <c r="C1871" s="438"/>
      <c r="D1871" s="438"/>
      <c r="E1871" s="438"/>
      <c r="F1871" s="438"/>
      <c r="G1871" s="438"/>
      <c r="H1871" s="438"/>
      <c r="I1871" s="438"/>
      <c r="J1871" s="11"/>
      <c r="Q1871" s="348" t="str">
        <f t="shared" si="240"/>
        <v/>
      </c>
      <c r="R1871" s="348" t="str">
        <f t="shared" si="241"/>
        <v/>
      </c>
      <c r="S1871" s="348" t="str">
        <f t="shared" si="242"/>
        <v/>
      </c>
      <c r="T1871" s="348" t="str">
        <f t="shared" si="243"/>
        <v/>
      </c>
      <c r="U1871" s="348" t="str">
        <f t="shared" si="244"/>
        <v/>
      </c>
      <c r="V1871" s="348" t="str">
        <f t="shared" si="245"/>
        <v/>
      </c>
      <c r="W1871" s="348" t="str">
        <f t="shared" si="246"/>
        <v/>
      </c>
      <c r="X1871" s="348" t="str">
        <f t="shared" si="247"/>
        <v/>
      </c>
    </row>
    <row r="1872" spans="1:24" x14ac:dyDescent="0.2">
      <c r="A1872" s="407">
        <v>1864</v>
      </c>
      <c r="B1872" s="438"/>
      <c r="C1872" s="437"/>
      <c r="D1872" s="438"/>
      <c r="E1872" s="438"/>
      <c r="F1872" s="437"/>
      <c r="G1872" s="438"/>
      <c r="H1872" s="437"/>
      <c r="I1872" s="438"/>
      <c r="J1872" s="11"/>
      <c r="Q1872" s="348" t="str">
        <f t="shared" si="240"/>
        <v/>
      </c>
      <c r="R1872" s="348" t="str">
        <f t="shared" si="241"/>
        <v/>
      </c>
      <c r="S1872" s="348" t="str">
        <f t="shared" si="242"/>
        <v/>
      </c>
      <c r="T1872" s="348" t="str">
        <f t="shared" si="243"/>
        <v/>
      </c>
      <c r="U1872" s="348" t="str">
        <f t="shared" si="244"/>
        <v/>
      </c>
      <c r="V1872" s="348" t="str">
        <f t="shared" si="245"/>
        <v/>
      </c>
      <c r="W1872" s="348" t="str">
        <f t="shared" si="246"/>
        <v/>
      </c>
      <c r="X1872" s="348" t="str">
        <f t="shared" si="247"/>
        <v/>
      </c>
    </row>
    <row r="1873" spans="1:24" x14ac:dyDescent="0.2">
      <c r="A1873" s="407">
        <v>1865</v>
      </c>
      <c r="B1873" s="438"/>
      <c r="C1873" s="438"/>
      <c r="D1873" s="438"/>
      <c r="E1873" s="438"/>
      <c r="F1873" s="438"/>
      <c r="G1873" s="438"/>
      <c r="H1873" s="438"/>
      <c r="I1873" s="438"/>
      <c r="J1873" s="11"/>
      <c r="Q1873" s="348" t="str">
        <f t="shared" si="240"/>
        <v/>
      </c>
      <c r="R1873" s="348" t="str">
        <f t="shared" si="241"/>
        <v/>
      </c>
      <c r="S1873" s="348" t="str">
        <f t="shared" si="242"/>
        <v/>
      </c>
      <c r="T1873" s="348" t="str">
        <f t="shared" si="243"/>
        <v/>
      </c>
      <c r="U1873" s="348" t="str">
        <f t="shared" si="244"/>
        <v/>
      </c>
      <c r="V1873" s="348" t="str">
        <f t="shared" si="245"/>
        <v/>
      </c>
      <c r="W1873" s="348" t="str">
        <f t="shared" si="246"/>
        <v/>
      </c>
      <c r="X1873" s="348" t="str">
        <f t="shared" si="247"/>
        <v/>
      </c>
    </row>
    <row r="1874" spans="1:24" x14ac:dyDescent="0.2">
      <c r="A1874" s="407">
        <v>1866</v>
      </c>
      <c r="B1874" s="438"/>
      <c r="C1874" s="438"/>
      <c r="D1874" s="438"/>
      <c r="E1874" s="438"/>
      <c r="F1874" s="438"/>
      <c r="G1874" s="438"/>
      <c r="H1874" s="438"/>
      <c r="I1874" s="438"/>
      <c r="J1874" s="11"/>
      <c r="Q1874" s="348" t="str">
        <f t="shared" si="240"/>
        <v/>
      </c>
      <c r="R1874" s="348" t="str">
        <f t="shared" si="241"/>
        <v/>
      </c>
      <c r="S1874" s="348" t="str">
        <f t="shared" si="242"/>
        <v/>
      </c>
      <c r="T1874" s="348" t="str">
        <f t="shared" si="243"/>
        <v/>
      </c>
      <c r="U1874" s="348" t="str">
        <f t="shared" si="244"/>
        <v/>
      </c>
      <c r="V1874" s="348" t="str">
        <f t="shared" si="245"/>
        <v/>
      </c>
      <c r="W1874" s="348" t="str">
        <f t="shared" si="246"/>
        <v/>
      </c>
      <c r="X1874" s="348" t="str">
        <f t="shared" si="247"/>
        <v/>
      </c>
    </row>
    <row r="1875" spans="1:24" x14ac:dyDescent="0.2">
      <c r="A1875" s="407">
        <v>1867</v>
      </c>
      <c r="B1875" s="438"/>
      <c r="C1875" s="438"/>
      <c r="D1875" s="438"/>
      <c r="E1875" s="438"/>
      <c r="F1875" s="438"/>
      <c r="G1875" s="438"/>
      <c r="H1875" s="438"/>
      <c r="I1875" s="438"/>
      <c r="J1875" s="11"/>
      <c r="Q1875" s="348" t="str">
        <f t="shared" si="240"/>
        <v/>
      </c>
      <c r="R1875" s="348" t="str">
        <f t="shared" si="241"/>
        <v/>
      </c>
      <c r="S1875" s="348" t="str">
        <f t="shared" si="242"/>
        <v/>
      </c>
      <c r="T1875" s="348" t="str">
        <f t="shared" si="243"/>
        <v/>
      </c>
      <c r="U1875" s="348" t="str">
        <f t="shared" si="244"/>
        <v/>
      </c>
      <c r="V1875" s="348" t="str">
        <f t="shared" si="245"/>
        <v/>
      </c>
      <c r="W1875" s="348" t="str">
        <f t="shared" si="246"/>
        <v/>
      </c>
      <c r="X1875" s="348" t="str">
        <f t="shared" si="247"/>
        <v/>
      </c>
    </row>
    <row r="1876" spans="1:24" x14ac:dyDescent="0.2">
      <c r="A1876" s="407">
        <v>1868</v>
      </c>
      <c r="B1876" s="438"/>
      <c r="C1876" s="438"/>
      <c r="D1876" s="438"/>
      <c r="E1876" s="438"/>
      <c r="F1876" s="438"/>
      <c r="G1876" s="438"/>
      <c r="H1876" s="438"/>
      <c r="I1876" s="438"/>
      <c r="J1876" s="11"/>
      <c r="Q1876" s="348" t="str">
        <f t="shared" si="240"/>
        <v/>
      </c>
      <c r="R1876" s="348" t="str">
        <f t="shared" si="241"/>
        <v/>
      </c>
      <c r="S1876" s="348" t="str">
        <f t="shared" si="242"/>
        <v/>
      </c>
      <c r="T1876" s="348" t="str">
        <f t="shared" si="243"/>
        <v/>
      </c>
      <c r="U1876" s="348" t="str">
        <f t="shared" si="244"/>
        <v/>
      </c>
      <c r="V1876" s="348" t="str">
        <f t="shared" si="245"/>
        <v/>
      </c>
      <c r="W1876" s="348" t="str">
        <f t="shared" si="246"/>
        <v/>
      </c>
      <c r="X1876" s="348" t="str">
        <f t="shared" si="247"/>
        <v/>
      </c>
    </row>
    <row r="1877" spans="1:24" x14ac:dyDescent="0.2">
      <c r="A1877" s="407">
        <v>1869</v>
      </c>
      <c r="B1877" s="438"/>
      <c r="C1877" s="438"/>
      <c r="D1877" s="438"/>
      <c r="E1877" s="437"/>
      <c r="F1877" s="438"/>
      <c r="G1877" s="438"/>
      <c r="H1877" s="438"/>
      <c r="I1877" s="438"/>
      <c r="J1877" s="11"/>
      <c r="Q1877" s="348" t="str">
        <f t="shared" si="240"/>
        <v/>
      </c>
      <c r="R1877" s="348" t="str">
        <f t="shared" si="241"/>
        <v/>
      </c>
      <c r="S1877" s="348" t="str">
        <f t="shared" si="242"/>
        <v/>
      </c>
      <c r="T1877" s="348" t="str">
        <f t="shared" si="243"/>
        <v/>
      </c>
      <c r="U1877" s="348" t="str">
        <f t="shared" si="244"/>
        <v/>
      </c>
      <c r="V1877" s="348" t="str">
        <f t="shared" si="245"/>
        <v/>
      </c>
      <c r="W1877" s="348" t="str">
        <f t="shared" si="246"/>
        <v/>
      </c>
      <c r="X1877" s="348" t="str">
        <f t="shared" si="247"/>
        <v/>
      </c>
    </row>
    <row r="1878" spans="1:24" x14ac:dyDescent="0.2">
      <c r="A1878" s="407">
        <v>1870</v>
      </c>
      <c r="B1878" s="438"/>
      <c r="C1878" s="438"/>
      <c r="D1878" s="438"/>
      <c r="E1878" s="438"/>
      <c r="F1878" s="438"/>
      <c r="G1878" s="438"/>
      <c r="H1878" s="438"/>
      <c r="I1878" s="438"/>
      <c r="J1878" s="11"/>
      <c r="Q1878" s="348" t="str">
        <f t="shared" si="240"/>
        <v/>
      </c>
      <c r="R1878" s="348" t="str">
        <f t="shared" si="241"/>
        <v/>
      </c>
      <c r="S1878" s="348" t="str">
        <f t="shared" si="242"/>
        <v/>
      </c>
      <c r="T1878" s="348" t="str">
        <f t="shared" si="243"/>
        <v/>
      </c>
      <c r="U1878" s="348" t="str">
        <f t="shared" si="244"/>
        <v/>
      </c>
      <c r="V1878" s="348" t="str">
        <f t="shared" si="245"/>
        <v/>
      </c>
      <c r="W1878" s="348" t="str">
        <f t="shared" si="246"/>
        <v/>
      </c>
      <c r="X1878" s="348" t="str">
        <f t="shared" si="247"/>
        <v/>
      </c>
    </row>
    <row r="1879" spans="1:24" x14ac:dyDescent="0.2">
      <c r="A1879" s="407">
        <v>1871</v>
      </c>
      <c r="B1879" s="437"/>
      <c r="C1879" s="438"/>
      <c r="D1879" s="438"/>
      <c r="E1879" s="438"/>
      <c r="F1879" s="438"/>
      <c r="G1879" s="438"/>
      <c r="H1879" s="438"/>
      <c r="I1879" s="438"/>
      <c r="J1879" s="11"/>
      <c r="Q1879" s="348" t="str">
        <f t="shared" si="240"/>
        <v/>
      </c>
      <c r="R1879" s="348" t="str">
        <f t="shared" si="241"/>
        <v/>
      </c>
      <c r="S1879" s="348" t="str">
        <f t="shared" si="242"/>
        <v/>
      </c>
      <c r="T1879" s="348" t="str">
        <f t="shared" si="243"/>
        <v/>
      </c>
      <c r="U1879" s="348" t="str">
        <f t="shared" si="244"/>
        <v/>
      </c>
      <c r="V1879" s="348" t="str">
        <f t="shared" si="245"/>
        <v/>
      </c>
      <c r="W1879" s="348" t="str">
        <f t="shared" si="246"/>
        <v/>
      </c>
      <c r="X1879" s="348" t="str">
        <f t="shared" si="247"/>
        <v/>
      </c>
    </row>
    <row r="1880" spans="1:24" x14ac:dyDescent="0.2">
      <c r="A1880" s="407">
        <v>1872</v>
      </c>
      <c r="B1880" s="438"/>
      <c r="C1880" s="438"/>
      <c r="D1880" s="438"/>
      <c r="E1880" s="438"/>
      <c r="F1880" s="438"/>
      <c r="G1880" s="438"/>
      <c r="H1880" s="438"/>
      <c r="I1880" s="438"/>
      <c r="J1880" s="11"/>
      <c r="Q1880" s="348" t="str">
        <f t="shared" si="240"/>
        <v/>
      </c>
      <c r="R1880" s="348" t="str">
        <f t="shared" si="241"/>
        <v/>
      </c>
      <c r="S1880" s="348" t="str">
        <f t="shared" si="242"/>
        <v/>
      </c>
      <c r="T1880" s="348" t="str">
        <f t="shared" si="243"/>
        <v/>
      </c>
      <c r="U1880" s="348" t="str">
        <f t="shared" si="244"/>
        <v/>
      </c>
      <c r="V1880" s="348" t="str">
        <f t="shared" si="245"/>
        <v/>
      </c>
      <c r="W1880" s="348" t="str">
        <f t="shared" si="246"/>
        <v/>
      </c>
      <c r="X1880" s="348" t="str">
        <f t="shared" si="247"/>
        <v/>
      </c>
    </row>
    <row r="1881" spans="1:24" x14ac:dyDescent="0.2">
      <c r="A1881" s="407">
        <v>1873</v>
      </c>
      <c r="B1881" s="438"/>
      <c r="C1881" s="438"/>
      <c r="D1881" s="438"/>
      <c r="E1881" s="438"/>
      <c r="F1881" s="438"/>
      <c r="G1881" s="438"/>
      <c r="H1881" s="438"/>
      <c r="I1881" s="438"/>
      <c r="J1881" s="11"/>
      <c r="Q1881" s="348" t="str">
        <f t="shared" si="240"/>
        <v/>
      </c>
      <c r="R1881" s="348" t="str">
        <f t="shared" si="241"/>
        <v/>
      </c>
      <c r="S1881" s="348" t="str">
        <f t="shared" si="242"/>
        <v/>
      </c>
      <c r="T1881" s="348" t="str">
        <f t="shared" si="243"/>
        <v/>
      </c>
      <c r="U1881" s="348" t="str">
        <f t="shared" si="244"/>
        <v/>
      </c>
      <c r="V1881" s="348" t="str">
        <f t="shared" si="245"/>
        <v/>
      </c>
      <c r="W1881" s="348" t="str">
        <f t="shared" si="246"/>
        <v/>
      </c>
      <c r="X1881" s="348" t="str">
        <f t="shared" si="247"/>
        <v/>
      </c>
    </row>
    <row r="1882" spans="1:24" x14ac:dyDescent="0.2">
      <c r="A1882" s="407">
        <v>1874</v>
      </c>
      <c r="B1882" s="438"/>
      <c r="C1882" s="438"/>
      <c r="D1882" s="438"/>
      <c r="E1882" s="438"/>
      <c r="F1882" s="438"/>
      <c r="G1882" s="438"/>
      <c r="H1882" s="438"/>
      <c r="I1882" s="438"/>
      <c r="J1882" s="11"/>
      <c r="Q1882" s="348" t="str">
        <f t="shared" si="240"/>
        <v/>
      </c>
      <c r="R1882" s="348" t="str">
        <f t="shared" si="241"/>
        <v/>
      </c>
      <c r="S1882" s="348" t="str">
        <f t="shared" si="242"/>
        <v/>
      </c>
      <c r="T1882" s="348" t="str">
        <f t="shared" si="243"/>
        <v/>
      </c>
      <c r="U1882" s="348" t="str">
        <f t="shared" si="244"/>
        <v/>
      </c>
      <c r="V1882" s="348" t="str">
        <f t="shared" si="245"/>
        <v/>
      </c>
      <c r="W1882" s="348" t="str">
        <f t="shared" si="246"/>
        <v/>
      </c>
      <c r="X1882" s="348" t="str">
        <f t="shared" si="247"/>
        <v/>
      </c>
    </row>
    <row r="1883" spans="1:24" x14ac:dyDescent="0.2">
      <c r="A1883" s="407">
        <v>1875</v>
      </c>
      <c r="B1883" s="438"/>
      <c r="C1883" s="438"/>
      <c r="D1883" s="438"/>
      <c r="E1883" s="438"/>
      <c r="F1883" s="438"/>
      <c r="G1883" s="438"/>
      <c r="H1883" s="438"/>
      <c r="I1883" s="438"/>
      <c r="J1883" s="11"/>
      <c r="Q1883" s="348" t="str">
        <f t="shared" si="240"/>
        <v/>
      </c>
      <c r="R1883" s="348" t="str">
        <f t="shared" si="241"/>
        <v/>
      </c>
      <c r="S1883" s="348" t="str">
        <f t="shared" si="242"/>
        <v/>
      </c>
      <c r="T1883" s="348" t="str">
        <f t="shared" si="243"/>
        <v/>
      </c>
      <c r="U1883" s="348" t="str">
        <f t="shared" si="244"/>
        <v/>
      </c>
      <c r="V1883" s="348" t="str">
        <f t="shared" si="245"/>
        <v/>
      </c>
      <c r="W1883" s="348" t="str">
        <f t="shared" si="246"/>
        <v/>
      </c>
      <c r="X1883" s="348" t="str">
        <f t="shared" si="247"/>
        <v/>
      </c>
    </row>
    <row r="1884" spans="1:24" x14ac:dyDescent="0.2">
      <c r="A1884" s="407">
        <v>1876</v>
      </c>
      <c r="B1884" s="438"/>
      <c r="C1884" s="438"/>
      <c r="D1884" s="438"/>
      <c r="E1884" s="438"/>
      <c r="F1884" s="438"/>
      <c r="G1884" s="438"/>
      <c r="H1884" s="438"/>
      <c r="I1884" s="438"/>
      <c r="J1884" s="11"/>
      <c r="Q1884" s="348" t="str">
        <f t="shared" si="240"/>
        <v/>
      </c>
      <c r="R1884" s="348" t="str">
        <f t="shared" si="241"/>
        <v/>
      </c>
      <c r="S1884" s="348" t="str">
        <f t="shared" si="242"/>
        <v/>
      </c>
      <c r="T1884" s="348" t="str">
        <f t="shared" si="243"/>
        <v/>
      </c>
      <c r="U1884" s="348" t="str">
        <f t="shared" si="244"/>
        <v/>
      </c>
      <c r="V1884" s="348" t="str">
        <f t="shared" si="245"/>
        <v/>
      </c>
      <c r="W1884" s="348" t="str">
        <f t="shared" si="246"/>
        <v/>
      </c>
      <c r="X1884" s="348" t="str">
        <f t="shared" si="247"/>
        <v/>
      </c>
    </row>
    <row r="1885" spans="1:24" x14ac:dyDescent="0.2">
      <c r="A1885" s="407">
        <v>1877</v>
      </c>
      <c r="B1885" s="438"/>
      <c r="C1885" s="438"/>
      <c r="D1885" s="438"/>
      <c r="E1885" s="438"/>
      <c r="F1885" s="438"/>
      <c r="G1885" s="438"/>
      <c r="H1885" s="438"/>
      <c r="I1885" s="438"/>
      <c r="J1885" s="11"/>
      <c r="Q1885" s="348" t="str">
        <f t="shared" si="240"/>
        <v/>
      </c>
      <c r="R1885" s="348" t="str">
        <f t="shared" si="241"/>
        <v/>
      </c>
      <c r="S1885" s="348" t="str">
        <f t="shared" si="242"/>
        <v/>
      </c>
      <c r="T1885" s="348" t="str">
        <f t="shared" si="243"/>
        <v/>
      </c>
      <c r="U1885" s="348" t="str">
        <f t="shared" si="244"/>
        <v/>
      </c>
      <c r="V1885" s="348" t="str">
        <f t="shared" si="245"/>
        <v/>
      </c>
      <c r="W1885" s="348" t="str">
        <f t="shared" si="246"/>
        <v/>
      </c>
      <c r="X1885" s="348" t="str">
        <f t="shared" si="247"/>
        <v/>
      </c>
    </row>
    <row r="1886" spans="1:24" x14ac:dyDescent="0.2">
      <c r="A1886" s="407">
        <v>1878</v>
      </c>
      <c r="B1886" s="438"/>
      <c r="C1886" s="438"/>
      <c r="D1886" s="438"/>
      <c r="E1886" s="438"/>
      <c r="F1886" s="438"/>
      <c r="G1886" s="438"/>
      <c r="H1886" s="438"/>
      <c r="I1886" s="438"/>
      <c r="J1886" s="11"/>
      <c r="Q1886" s="348" t="str">
        <f t="shared" si="240"/>
        <v/>
      </c>
      <c r="R1886" s="348" t="str">
        <f t="shared" si="241"/>
        <v/>
      </c>
      <c r="S1886" s="348" t="str">
        <f t="shared" si="242"/>
        <v/>
      </c>
      <c r="T1886" s="348" t="str">
        <f t="shared" si="243"/>
        <v/>
      </c>
      <c r="U1886" s="348" t="str">
        <f t="shared" si="244"/>
        <v/>
      </c>
      <c r="V1886" s="348" t="str">
        <f t="shared" si="245"/>
        <v/>
      </c>
      <c r="W1886" s="348" t="str">
        <f t="shared" si="246"/>
        <v/>
      </c>
      <c r="X1886" s="348" t="str">
        <f t="shared" si="247"/>
        <v/>
      </c>
    </row>
    <row r="1887" spans="1:24" x14ac:dyDescent="0.2">
      <c r="A1887" s="407">
        <v>1879</v>
      </c>
      <c r="B1887" s="438"/>
      <c r="C1887" s="438"/>
      <c r="D1887" s="438"/>
      <c r="E1887" s="438"/>
      <c r="F1887" s="438"/>
      <c r="G1887" s="438"/>
      <c r="H1887" s="438"/>
      <c r="I1887" s="438"/>
      <c r="J1887" s="11"/>
      <c r="Q1887" s="348" t="str">
        <f t="shared" si="240"/>
        <v/>
      </c>
      <c r="R1887" s="348" t="str">
        <f t="shared" si="241"/>
        <v/>
      </c>
      <c r="S1887" s="348" t="str">
        <f t="shared" si="242"/>
        <v/>
      </c>
      <c r="T1887" s="348" t="str">
        <f t="shared" si="243"/>
        <v/>
      </c>
      <c r="U1887" s="348" t="str">
        <f t="shared" si="244"/>
        <v/>
      </c>
      <c r="V1887" s="348" t="str">
        <f t="shared" si="245"/>
        <v/>
      </c>
      <c r="W1887" s="348" t="str">
        <f t="shared" si="246"/>
        <v/>
      </c>
      <c r="X1887" s="348" t="str">
        <f t="shared" si="247"/>
        <v/>
      </c>
    </row>
    <row r="1888" spans="1:24" x14ac:dyDescent="0.2">
      <c r="A1888" s="407">
        <v>1880</v>
      </c>
      <c r="B1888" s="438"/>
      <c r="C1888" s="438"/>
      <c r="D1888" s="438"/>
      <c r="E1888" s="438"/>
      <c r="F1888" s="438"/>
      <c r="G1888" s="438"/>
      <c r="H1888" s="438"/>
      <c r="I1888" s="438"/>
      <c r="J1888" s="11"/>
      <c r="Q1888" s="348" t="str">
        <f t="shared" si="240"/>
        <v/>
      </c>
      <c r="R1888" s="348" t="str">
        <f t="shared" si="241"/>
        <v/>
      </c>
      <c r="S1888" s="348" t="str">
        <f t="shared" si="242"/>
        <v/>
      </c>
      <c r="T1888" s="348" t="str">
        <f t="shared" si="243"/>
        <v/>
      </c>
      <c r="U1888" s="348" t="str">
        <f t="shared" si="244"/>
        <v/>
      </c>
      <c r="V1888" s="348" t="str">
        <f t="shared" si="245"/>
        <v/>
      </c>
      <c r="W1888" s="348" t="str">
        <f t="shared" si="246"/>
        <v/>
      </c>
      <c r="X1888" s="348" t="str">
        <f t="shared" si="247"/>
        <v/>
      </c>
    </row>
    <row r="1889" spans="1:24" x14ac:dyDescent="0.2">
      <c r="A1889" s="407">
        <v>1881</v>
      </c>
      <c r="B1889" s="438"/>
      <c r="C1889" s="438"/>
      <c r="D1889" s="438"/>
      <c r="E1889" s="438"/>
      <c r="F1889" s="438"/>
      <c r="G1889" s="438"/>
      <c r="H1889" s="438"/>
      <c r="I1889" s="438"/>
      <c r="J1889" s="11"/>
      <c r="Q1889" s="348" t="str">
        <f t="shared" si="240"/>
        <v/>
      </c>
      <c r="R1889" s="348" t="str">
        <f t="shared" si="241"/>
        <v/>
      </c>
      <c r="S1889" s="348" t="str">
        <f t="shared" si="242"/>
        <v/>
      </c>
      <c r="T1889" s="348" t="str">
        <f t="shared" si="243"/>
        <v/>
      </c>
      <c r="U1889" s="348" t="str">
        <f t="shared" si="244"/>
        <v/>
      </c>
      <c r="V1889" s="348" t="str">
        <f t="shared" si="245"/>
        <v/>
      </c>
      <c r="W1889" s="348" t="str">
        <f t="shared" si="246"/>
        <v/>
      </c>
      <c r="X1889" s="348" t="str">
        <f t="shared" si="247"/>
        <v/>
      </c>
    </row>
    <row r="1890" spans="1:24" x14ac:dyDescent="0.2">
      <c r="A1890" s="407">
        <v>1882</v>
      </c>
      <c r="B1890" s="438"/>
      <c r="C1890" s="438"/>
      <c r="D1890" s="438"/>
      <c r="E1890" s="438"/>
      <c r="F1890" s="438"/>
      <c r="G1890" s="438"/>
      <c r="H1890" s="438"/>
      <c r="I1890" s="438"/>
      <c r="J1890" s="11"/>
      <c r="Q1890" s="348" t="str">
        <f t="shared" si="240"/>
        <v/>
      </c>
      <c r="R1890" s="348" t="str">
        <f t="shared" si="241"/>
        <v/>
      </c>
      <c r="S1890" s="348" t="str">
        <f t="shared" si="242"/>
        <v/>
      </c>
      <c r="T1890" s="348" t="str">
        <f t="shared" si="243"/>
        <v/>
      </c>
      <c r="U1890" s="348" t="str">
        <f t="shared" si="244"/>
        <v/>
      </c>
      <c r="V1890" s="348" t="str">
        <f t="shared" si="245"/>
        <v/>
      </c>
      <c r="W1890" s="348" t="str">
        <f t="shared" si="246"/>
        <v/>
      </c>
      <c r="X1890" s="348" t="str">
        <f t="shared" si="247"/>
        <v/>
      </c>
    </row>
    <row r="1891" spans="1:24" x14ac:dyDescent="0.2">
      <c r="A1891" s="407">
        <v>1883</v>
      </c>
      <c r="B1891" s="438"/>
      <c r="C1891" s="438"/>
      <c r="D1891" s="438"/>
      <c r="E1891" s="438"/>
      <c r="F1891" s="438"/>
      <c r="G1891" s="438"/>
      <c r="H1891" s="438"/>
      <c r="I1891" s="438"/>
      <c r="J1891" s="11"/>
      <c r="Q1891" s="348" t="str">
        <f t="shared" si="240"/>
        <v/>
      </c>
      <c r="R1891" s="348" t="str">
        <f t="shared" si="241"/>
        <v/>
      </c>
      <c r="S1891" s="348" t="str">
        <f t="shared" si="242"/>
        <v/>
      </c>
      <c r="T1891" s="348" t="str">
        <f t="shared" si="243"/>
        <v/>
      </c>
      <c r="U1891" s="348" t="str">
        <f t="shared" si="244"/>
        <v/>
      </c>
      <c r="V1891" s="348" t="str">
        <f t="shared" si="245"/>
        <v/>
      </c>
      <c r="W1891" s="348" t="str">
        <f t="shared" si="246"/>
        <v/>
      </c>
      <c r="X1891" s="348" t="str">
        <f t="shared" si="247"/>
        <v/>
      </c>
    </row>
    <row r="1892" spans="1:24" x14ac:dyDescent="0.2">
      <c r="A1892" s="407">
        <v>1884</v>
      </c>
      <c r="B1892" s="438"/>
      <c r="C1892" s="438"/>
      <c r="D1892" s="438"/>
      <c r="E1892" s="438"/>
      <c r="F1892" s="438"/>
      <c r="G1892" s="438"/>
      <c r="H1892" s="438"/>
      <c r="I1892" s="438"/>
      <c r="J1892" s="11"/>
      <c r="Q1892" s="348" t="str">
        <f t="shared" si="240"/>
        <v/>
      </c>
      <c r="R1892" s="348" t="str">
        <f t="shared" si="241"/>
        <v/>
      </c>
      <c r="S1892" s="348" t="str">
        <f t="shared" si="242"/>
        <v/>
      </c>
      <c r="T1892" s="348" t="str">
        <f t="shared" si="243"/>
        <v/>
      </c>
      <c r="U1892" s="348" t="str">
        <f t="shared" si="244"/>
        <v/>
      </c>
      <c r="V1892" s="348" t="str">
        <f t="shared" si="245"/>
        <v/>
      </c>
      <c r="W1892" s="348" t="str">
        <f t="shared" si="246"/>
        <v/>
      </c>
      <c r="X1892" s="348" t="str">
        <f t="shared" si="247"/>
        <v/>
      </c>
    </row>
    <row r="1893" spans="1:24" x14ac:dyDescent="0.2">
      <c r="A1893" s="407">
        <v>1885</v>
      </c>
      <c r="B1893" s="437"/>
      <c r="C1893" s="438"/>
      <c r="D1893" s="438"/>
      <c r="E1893" s="438"/>
      <c r="F1893" s="438"/>
      <c r="G1893" s="438"/>
      <c r="H1893" s="438"/>
      <c r="I1893" s="438"/>
      <c r="J1893" s="11"/>
      <c r="Q1893" s="348" t="str">
        <f t="shared" si="240"/>
        <v/>
      </c>
      <c r="R1893" s="348" t="str">
        <f t="shared" si="241"/>
        <v/>
      </c>
      <c r="S1893" s="348" t="str">
        <f t="shared" si="242"/>
        <v/>
      </c>
      <c r="T1893" s="348" t="str">
        <f t="shared" si="243"/>
        <v/>
      </c>
      <c r="U1893" s="348" t="str">
        <f t="shared" si="244"/>
        <v/>
      </c>
      <c r="V1893" s="348" t="str">
        <f t="shared" si="245"/>
        <v/>
      </c>
      <c r="W1893" s="348" t="str">
        <f t="shared" si="246"/>
        <v/>
      </c>
      <c r="X1893" s="348" t="str">
        <f t="shared" si="247"/>
        <v/>
      </c>
    </row>
    <row r="1894" spans="1:24" x14ac:dyDescent="0.2">
      <c r="A1894" s="407">
        <v>1886</v>
      </c>
      <c r="B1894" s="438"/>
      <c r="C1894" s="438"/>
      <c r="D1894" s="438"/>
      <c r="E1894" s="438"/>
      <c r="F1894" s="438"/>
      <c r="G1894" s="438"/>
      <c r="H1894" s="438"/>
      <c r="I1894" s="438"/>
      <c r="J1894" s="11"/>
      <c r="Q1894" s="348" t="str">
        <f t="shared" si="240"/>
        <v/>
      </c>
      <c r="R1894" s="348" t="str">
        <f t="shared" si="241"/>
        <v/>
      </c>
      <c r="S1894" s="348" t="str">
        <f t="shared" si="242"/>
        <v/>
      </c>
      <c r="T1894" s="348" t="str">
        <f t="shared" si="243"/>
        <v/>
      </c>
      <c r="U1894" s="348" t="str">
        <f t="shared" si="244"/>
        <v/>
      </c>
      <c r="V1894" s="348" t="str">
        <f t="shared" si="245"/>
        <v/>
      </c>
      <c r="W1894" s="348" t="str">
        <f t="shared" si="246"/>
        <v/>
      </c>
      <c r="X1894" s="348" t="str">
        <f t="shared" si="247"/>
        <v/>
      </c>
    </row>
    <row r="1895" spans="1:24" x14ac:dyDescent="0.2">
      <c r="A1895" s="407">
        <v>1887</v>
      </c>
      <c r="B1895" s="438"/>
      <c r="C1895" s="438"/>
      <c r="D1895" s="438"/>
      <c r="E1895" s="438"/>
      <c r="F1895" s="438"/>
      <c r="G1895" s="438"/>
      <c r="H1895" s="438"/>
      <c r="I1895" s="438"/>
      <c r="J1895" s="11"/>
      <c r="Q1895" s="348" t="str">
        <f t="shared" si="240"/>
        <v/>
      </c>
      <c r="R1895" s="348" t="str">
        <f t="shared" si="241"/>
        <v/>
      </c>
      <c r="S1895" s="348" t="str">
        <f t="shared" si="242"/>
        <v/>
      </c>
      <c r="T1895" s="348" t="str">
        <f t="shared" si="243"/>
        <v/>
      </c>
      <c r="U1895" s="348" t="str">
        <f t="shared" si="244"/>
        <v/>
      </c>
      <c r="V1895" s="348" t="str">
        <f t="shared" si="245"/>
        <v/>
      </c>
      <c r="W1895" s="348" t="str">
        <f t="shared" si="246"/>
        <v/>
      </c>
      <c r="X1895" s="348" t="str">
        <f t="shared" si="247"/>
        <v/>
      </c>
    </row>
    <row r="1896" spans="1:24" x14ac:dyDescent="0.2">
      <c r="A1896" s="407">
        <v>1888</v>
      </c>
      <c r="B1896" s="438"/>
      <c r="C1896" s="438"/>
      <c r="D1896" s="437"/>
      <c r="E1896" s="438"/>
      <c r="F1896" s="438"/>
      <c r="G1896" s="438"/>
      <c r="H1896" s="438"/>
      <c r="I1896" s="438"/>
      <c r="J1896" s="11"/>
      <c r="Q1896" s="348" t="str">
        <f t="shared" si="240"/>
        <v/>
      </c>
      <c r="R1896" s="348" t="str">
        <f t="shared" si="241"/>
        <v/>
      </c>
      <c r="S1896" s="348" t="str">
        <f t="shared" si="242"/>
        <v/>
      </c>
      <c r="T1896" s="348" t="str">
        <f t="shared" si="243"/>
        <v/>
      </c>
      <c r="U1896" s="348" t="str">
        <f t="shared" si="244"/>
        <v/>
      </c>
      <c r="V1896" s="348" t="str">
        <f t="shared" si="245"/>
        <v/>
      </c>
      <c r="W1896" s="348" t="str">
        <f t="shared" si="246"/>
        <v/>
      </c>
      <c r="X1896" s="348" t="str">
        <f t="shared" si="247"/>
        <v/>
      </c>
    </row>
    <row r="1897" spans="1:24" x14ac:dyDescent="0.2">
      <c r="A1897" s="407">
        <v>1889</v>
      </c>
      <c r="B1897" s="438"/>
      <c r="C1897" s="438"/>
      <c r="D1897" s="438"/>
      <c r="E1897" s="438"/>
      <c r="F1897" s="438"/>
      <c r="G1897" s="438"/>
      <c r="H1897" s="438"/>
      <c r="I1897" s="437"/>
      <c r="J1897" s="11"/>
      <c r="Q1897" s="348" t="str">
        <f t="shared" si="240"/>
        <v/>
      </c>
      <c r="R1897" s="348" t="str">
        <f t="shared" si="241"/>
        <v/>
      </c>
      <c r="S1897" s="348" t="str">
        <f t="shared" si="242"/>
        <v/>
      </c>
      <c r="T1897" s="348" t="str">
        <f t="shared" si="243"/>
        <v/>
      </c>
      <c r="U1897" s="348" t="str">
        <f t="shared" si="244"/>
        <v/>
      </c>
      <c r="V1897" s="348" t="str">
        <f t="shared" si="245"/>
        <v/>
      </c>
      <c r="W1897" s="348" t="str">
        <f t="shared" si="246"/>
        <v/>
      </c>
      <c r="X1897" s="348" t="str">
        <f t="shared" si="247"/>
        <v/>
      </c>
    </row>
    <row r="1898" spans="1:24" x14ac:dyDescent="0.2">
      <c r="A1898" s="407">
        <v>1890</v>
      </c>
      <c r="B1898" s="438"/>
      <c r="C1898" s="438"/>
      <c r="D1898" s="438"/>
      <c r="E1898" s="438"/>
      <c r="F1898" s="438"/>
      <c r="G1898" s="438"/>
      <c r="H1898" s="438"/>
      <c r="I1898" s="438"/>
      <c r="J1898" s="11"/>
      <c r="Q1898" s="348" t="str">
        <f t="shared" si="240"/>
        <v/>
      </c>
      <c r="R1898" s="348" t="str">
        <f t="shared" si="241"/>
        <v/>
      </c>
      <c r="S1898" s="348" t="str">
        <f t="shared" si="242"/>
        <v/>
      </c>
      <c r="T1898" s="348" t="str">
        <f t="shared" si="243"/>
        <v/>
      </c>
      <c r="U1898" s="348" t="str">
        <f t="shared" si="244"/>
        <v/>
      </c>
      <c r="V1898" s="348" t="str">
        <f t="shared" si="245"/>
        <v/>
      </c>
      <c r="W1898" s="348" t="str">
        <f t="shared" si="246"/>
        <v/>
      </c>
      <c r="X1898" s="348" t="str">
        <f t="shared" si="247"/>
        <v/>
      </c>
    </row>
    <row r="1899" spans="1:24" x14ac:dyDescent="0.2">
      <c r="A1899" s="407">
        <v>1891</v>
      </c>
      <c r="B1899" s="438"/>
      <c r="C1899" s="438"/>
      <c r="D1899" s="438"/>
      <c r="E1899" s="438"/>
      <c r="F1899" s="438"/>
      <c r="G1899" s="438"/>
      <c r="H1899" s="438"/>
      <c r="I1899" s="438"/>
      <c r="J1899" s="11"/>
      <c r="Q1899" s="348" t="str">
        <f t="shared" si="240"/>
        <v/>
      </c>
      <c r="R1899" s="348" t="str">
        <f t="shared" si="241"/>
        <v/>
      </c>
      <c r="S1899" s="348" t="str">
        <f t="shared" si="242"/>
        <v/>
      </c>
      <c r="T1899" s="348" t="str">
        <f t="shared" si="243"/>
        <v/>
      </c>
      <c r="U1899" s="348" t="str">
        <f t="shared" si="244"/>
        <v/>
      </c>
      <c r="V1899" s="348" t="str">
        <f t="shared" si="245"/>
        <v/>
      </c>
      <c r="W1899" s="348" t="str">
        <f t="shared" si="246"/>
        <v/>
      </c>
      <c r="X1899" s="348" t="str">
        <f t="shared" si="247"/>
        <v/>
      </c>
    </row>
    <row r="1900" spans="1:24" x14ac:dyDescent="0.2">
      <c r="A1900" s="407">
        <v>1892</v>
      </c>
      <c r="B1900" s="438"/>
      <c r="C1900" s="438"/>
      <c r="D1900" s="438"/>
      <c r="E1900" s="438"/>
      <c r="F1900" s="438"/>
      <c r="G1900" s="438"/>
      <c r="H1900" s="438"/>
      <c r="I1900" s="438"/>
      <c r="J1900" s="11"/>
      <c r="Q1900" s="348" t="str">
        <f t="shared" si="240"/>
        <v/>
      </c>
      <c r="R1900" s="348" t="str">
        <f t="shared" si="241"/>
        <v/>
      </c>
      <c r="S1900" s="348" t="str">
        <f t="shared" si="242"/>
        <v/>
      </c>
      <c r="T1900" s="348" t="str">
        <f t="shared" si="243"/>
        <v/>
      </c>
      <c r="U1900" s="348" t="str">
        <f t="shared" si="244"/>
        <v/>
      </c>
      <c r="V1900" s="348" t="str">
        <f t="shared" si="245"/>
        <v/>
      </c>
      <c r="W1900" s="348" t="str">
        <f t="shared" si="246"/>
        <v/>
      </c>
      <c r="X1900" s="348" t="str">
        <f t="shared" si="247"/>
        <v/>
      </c>
    </row>
    <row r="1901" spans="1:24" x14ac:dyDescent="0.2">
      <c r="A1901" s="407">
        <v>1893</v>
      </c>
      <c r="B1901" s="438"/>
      <c r="C1901" s="437"/>
      <c r="D1901" s="438"/>
      <c r="E1901" s="438"/>
      <c r="F1901" s="438"/>
      <c r="G1901" s="438"/>
      <c r="H1901" s="438"/>
      <c r="I1901" s="438"/>
      <c r="J1901" s="11"/>
      <c r="Q1901" s="348" t="str">
        <f t="shared" si="240"/>
        <v/>
      </c>
      <c r="R1901" s="348" t="str">
        <f t="shared" si="241"/>
        <v/>
      </c>
      <c r="S1901" s="348" t="str">
        <f t="shared" si="242"/>
        <v/>
      </c>
      <c r="T1901" s="348" t="str">
        <f t="shared" si="243"/>
        <v/>
      </c>
      <c r="U1901" s="348" t="str">
        <f t="shared" si="244"/>
        <v/>
      </c>
      <c r="V1901" s="348" t="str">
        <f t="shared" si="245"/>
        <v/>
      </c>
      <c r="W1901" s="348" t="str">
        <f t="shared" si="246"/>
        <v/>
      </c>
      <c r="X1901" s="348" t="str">
        <f t="shared" si="247"/>
        <v/>
      </c>
    </row>
    <row r="1902" spans="1:24" x14ac:dyDescent="0.2">
      <c r="A1902" s="407">
        <v>1894</v>
      </c>
      <c r="B1902" s="438"/>
      <c r="C1902" s="438"/>
      <c r="D1902" s="438"/>
      <c r="E1902" s="437"/>
      <c r="F1902" s="438"/>
      <c r="G1902" s="438"/>
      <c r="H1902" s="438"/>
      <c r="I1902" s="438"/>
      <c r="J1902" s="11"/>
      <c r="Q1902" s="348" t="str">
        <f t="shared" si="240"/>
        <v/>
      </c>
      <c r="R1902" s="348" t="str">
        <f t="shared" si="241"/>
        <v/>
      </c>
      <c r="S1902" s="348" t="str">
        <f t="shared" si="242"/>
        <v/>
      </c>
      <c r="T1902" s="348" t="str">
        <f t="shared" si="243"/>
        <v/>
      </c>
      <c r="U1902" s="348" t="str">
        <f t="shared" si="244"/>
        <v/>
      </c>
      <c r="V1902" s="348" t="str">
        <f t="shared" si="245"/>
        <v/>
      </c>
      <c r="W1902" s="348" t="str">
        <f t="shared" si="246"/>
        <v/>
      </c>
      <c r="X1902" s="348" t="str">
        <f t="shared" si="247"/>
        <v/>
      </c>
    </row>
    <row r="1903" spans="1:24" x14ac:dyDescent="0.2">
      <c r="A1903" s="407">
        <v>1895</v>
      </c>
      <c r="B1903" s="438"/>
      <c r="C1903" s="438"/>
      <c r="D1903" s="438"/>
      <c r="E1903" s="438"/>
      <c r="F1903" s="438"/>
      <c r="G1903" s="438"/>
      <c r="H1903" s="438"/>
      <c r="I1903" s="438"/>
      <c r="J1903" s="11"/>
      <c r="Q1903" s="348" t="str">
        <f t="shared" si="240"/>
        <v/>
      </c>
      <c r="R1903" s="348" t="str">
        <f t="shared" si="241"/>
        <v/>
      </c>
      <c r="S1903" s="348" t="str">
        <f t="shared" si="242"/>
        <v/>
      </c>
      <c r="T1903" s="348" t="str">
        <f t="shared" si="243"/>
        <v/>
      </c>
      <c r="U1903" s="348" t="str">
        <f t="shared" si="244"/>
        <v/>
      </c>
      <c r="V1903" s="348" t="str">
        <f t="shared" si="245"/>
        <v/>
      </c>
      <c r="W1903" s="348" t="str">
        <f t="shared" si="246"/>
        <v/>
      </c>
      <c r="X1903" s="348" t="str">
        <f t="shared" si="247"/>
        <v/>
      </c>
    </row>
    <row r="1904" spans="1:24" x14ac:dyDescent="0.2">
      <c r="A1904" s="407">
        <v>1896</v>
      </c>
      <c r="B1904" s="438"/>
      <c r="C1904" s="438"/>
      <c r="D1904" s="438"/>
      <c r="E1904" s="438"/>
      <c r="F1904" s="438"/>
      <c r="G1904" s="438"/>
      <c r="H1904" s="438"/>
      <c r="I1904" s="438"/>
      <c r="J1904" s="11"/>
      <c r="Q1904" s="348" t="str">
        <f t="shared" si="240"/>
        <v/>
      </c>
      <c r="R1904" s="348" t="str">
        <f t="shared" si="241"/>
        <v/>
      </c>
      <c r="S1904" s="348" t="str">
        <f t="shared" si="242"/>
        <v/>
      </c>
      <c r="T1904" s="348" t="str">
        <f t="shared" si="243"/>
        <v/>
      </c>
      <c r="U1904" s="348" t="str">
        <f t="shared" si="244"/>
        <v/>
      </c>
      <c r="V1904" s="348" t="str">
        <f t="shared" si="245"/>
        <v/>
      </c>
      <c r="W1904" s="348" t="str">
        <f t="shared" si="246"/>
        <v/>
      </c>
      <c r="X1904" s="348" t="str">
        <f t="shared" si="247"/>
        <v/>
      </c>
    </row>
    <row r="1905" spans="1:24" x14ac:dyDescent="0.2">
      <c r="A1905" s="407">
        <v>1897</v>
      </c>
      <c r="B1905" s="438"/>
      <c r="C1905" s="438"/>
      <c r="D1905" s="438"/>
      <c r="E1905" s="438"/>
      <c r="F1905" s="438"/>
      <c r="G1905" s="438"/>
      <c r="H1905" s="438"/>
      <c r="I1905" s="438"/>
      <c r="J1905" s="11"/>
      <c r="Q1905" s="348" t="str">
        <f t="shared" si="240"/>
        <v/>
      </c>
      <c r="R1905" s="348" t="str">
        <f t="shared" si="241"/>
        <v/>
      </c>
      <c r="S1905" s="348" t="str">
        <f t="shared" si="242"/>
        <v/>
      </c>
      <c r="T1905" s="348" t="str">
        <f t="shared" si="243"/>
        <v/>
      </c>
      <c r="U1905" s="348" t="str">
        <f t="shared" si="244"/>
        <v/>
      </c>
      <c r="V1905" s="348" t="str">
        <f t="shared" si="245"/>
        <v/>
      </c>
      <c r="W1905" s="348" t="str">
        <f t="shared" si="246"/>
        <v/>
      </c>
      <c r="X1905" s="348" t="str">
        <f t="shared" si="247"/>
        <v/>
      </c>
    </row>
    <row r="1906" spans="1:24" x14ac:dyDescent="0.2">
      <c r="A1906" s="407">
        <v>1898</v>
      </c>
      <c r="B1906" s="438"/>
      <c r="C1906" s="438"/>
      <c r="D1906" s="438"/>
      <c r="E1906" s="438"/>
      <c r="F1906" s="438"/>
      <c r="G1906" s="438"/>
      <c r="H1906" s="438"/>
      <c r="I1906" s="438"/>
      <c r="J1906" s="11"/>
      <c r="Q1906" s="348" t="str">
        <f t="shared" si="240"/>
        <v/>
      </c>
      <c r="R1906" s="348" t="str">
        <f t="shared" si="241"/>
        <v/>
      </c>
      <c r="S1906" s="348" t="str">
        <f t="shared" si="242"/>
        <v/>
      </c>
      <c r="T1906" s="348" t="str">
        <f t="shared" si="243"/>
        <v/>
      </c>
      <c r="U1906" s="348" t="str">
        <f t="shared" si="244"/>
        <v/>
      </c>
      <c r="V1906" s="348" t="str">
        <f t="shared" si="245"/>
        <v/>
      </c>
      <c r="W1906" s="348" t="str">
        <f t="shared" si="246"/>
        <v/>
      </c>
      <c r="X1906" s="348" t="str">
        <f t="shared" si="247"/>
        <v/>
      </c>
    </row>
    <row r="1907" spans="1:24" x14ac:dyDescent="0.2">
      <c r="A1907" s="407">
        <v>1899</v>
      </c>
      <c r="B1907" s="438"/>
      <c r="C1907" s="438"/>
      <c r="D1907" s="438"/>
      <c r="E1907" s="438"/>
      <c r="F1907" s="438"/>
      <c r="G1907" s="437"/>
      <c r="H1907" s="438"/>
      <c r="I1907" s="438"/>
      <c r="J1907" s="11"/>
      <c r="Q1907" s="348" t="str">
        <f t="shared" si="240"/>
        <v/>
      </c>
      <c r="R1907" s="348" t="str">
        <f t="shared" si="241"/>
        <v/>
      </c>
      <c r="S1907" s="348" t="str">
        <f t="shared" si="242"/>
        <v/>
      </c>
      <c r="T1907" s="348" t="str">
        <f t="shared" si="243"/>
        <v/>
      </c>
      <c r="U1907" s="348" t="str">
        <f t="shared" si="244"/>
        <v/>
      </c>
      <c r="V1907" s="348" t="str">
        <f t="shared" si="245"/>
        <v/>
      </c>
      <c r="W1907" s="348" t="str">
        <f t="shared" si="246"/>
        <v/>
      </c>
      <c r="X1907" s="348" t="str">
        <f t="shared" si="247"/>
        <v/>
      </c>
    </row>
    <row r="1908" spans="1:24" x14ac:dyDescent="0.2">
      <c r="A1908" s="407">
        <v>1900</v>
      </c>
      <c r="B1908" s="438"/>
      <c r="C1908" s="438"/>
      <c r="D1908" s="438"/>
      <c r="E1908" s="438"/>
      <c r="F1908" s="438"/>
      <c r="G1908" s="438"/>
      <c r="H1908" s="438"/>
      <c r="I1908" s="438"/>
      <c r="J1908" s="11"/>
      <c r="Q1908" s="348" t="str">
        <f t="shared" si="240"/>
        <v/>
      </c>
      <c r="R1908" s="348" t="str">
        <f t="shared" si="241"/>
        <v/>
      </c>
      <c r="S1908" s="348" t="str">
        <f t="shared" si="242"/>
        <v/>
      </c>
      <c r="T1908" s="348" t="str">
        <f t="shared" si="243"/>
        <v/>
      </c>
      <c r="U1908" s="348" t="str">
        <f t="shared" si="244"/>
        <v/>
      </c>
      <c r="V1908" s="348" t="str">
        <f t="shared" si="245"/>
        <v/>
      </c>
      <c r="W1908" s="348" t="str">
        <f t="shared" si="246"/>
        <v/>
      </c>
      <c r="X1908" s="348" t="str">
        <f t="shared" si="247"/>
        <v/>
      </c>
    </row>
    <row r="1909" spans="1:24" x14ac:dyDescent="0.2">
      <c r="A1909" s="407">
        <v>1901</v>
      </c>
      <c r="B1909" s="438"/>
      <c r="C1909" s="437"/>
      <c r="D1909" s="438"/>
      <c r="E1909" s="437"/>
      <c r="F1909" s="437"/>
      <c r="G1909" s="437"/>
      <c r="H1909" s="437"/>
      <c r="I1909" s="438"/>
      <c r="J1909" s="11"/>
      <c r="Q1909" s="348" t="str">
        <f t="shared" si="240"/>
        <v/>
      </c>
      <c r="R1909" s="348" t="str">
        <f t="shared" si="241"/>
        <v/>
      </c>
      <c r="S1909" s="348" t="str">
        <f t="shared" si="242"/>
        <v/>
      </c>
      <c r="T1909" s="348" t="str">
        <f t="shared" si="243"/>
        <v/>
      </c>
      <c r="U1909" s="348" t="str">
        <f t="shared" si="244"/>
        <v/>
      </c>
      <c r="V1909" s="348" t="str">
        <f t="shared" si="245"/>
        <v/>
      </c>
      <c r="W1909" s="348" t="str">
        <f t="shared" si="246"/>
        <v/>
      </c>
      <c r="X1909" s="348" t="str">
        <f t="shared" si="247"/>
        <v/>
      </c>
    </row>
    <row r="1910" spans="1:24" x14ac:dyDescent="0.2">
      <c r="A1910" s="407">
        <v>1902</v>
      </c>
      <c r="B1910" s="438"/>
      <c r="C1910" s="438"/>
      <c r="D1910" s="438"/>
      <c r="E1910" s="438"/>
      <c r="F1910" s="438"/>
      <c r="G1910" s="438"/>
      <c r="H1910" s="438"/>
      <c r="I1910" s="438"/>
      <c r="J1910" s="11"/>
      <c r="Q1910" s="348" t="str">
        <f t="shared" si="240"/>
        <v/>
      </c>
      <c r="R1910" s="348" t="str">
        <f t="shared" si="241"/>
        <v/>
      </c>
      <c r="S1910" s="348" t="str">
        <f t="shared" si="242"/>
        <v/>
      </c>
      <c r="T1910" s="348" t="str">
        <f t="shared" si="243"/>
        <v/>
      </c>
      <c r="U1910" s="348" t="str">
        <f t="shared" si="244"/>
        <v/>
      </c>
      <c r="V1910" s="348" t="str">
        <f t="shared" si="245"/>
        <v/>
      </c>
      <c r="W1910" s="348" t="str">
        <f t="shared" si="246"/>
        <v/>
      </c>
      <c r="X1910" s="348" t="str">
        <f t="shared" si="247"/>
        <v/>
      </c>
    </row>
    <row r="1911" spans="1:24" x14ac:dyDescent="0.2">
      <c r="A1911" s="407">
        <v>1903</v>
      </c>
      <c r="B1911" s="438"/>
      <c r="C1911" s="438"/>
      <c r="D1911" s="438"/>
      <c r="E1911" s="438"/>
      <c r="F1911" s="438"/>
      <c r="G1911" s="438"/>
      <c r="H1911" s="438"/>
      <c r="I1911" s="438"/>
      <c r="J1911" s="11"/>
      <c r="Q1911" s="348" t="str">
        <f t="shared" si="240"/>
        <v/>
      </c>
      <c r="R1911" s="348" t="str">
        <f t="shared" si="241"/>
        <v/>
      </c>
      <c r="S1911" s="348" t="str">
        <f t="shared" si="242"/>
        <v/>
      </c>
      <c r="T1911" s="348" t="str">
        <f t="shared" si="243"/>
        <v/>
      </c>
      <c r="U1911" s="348" t="str">
        <f t="shared" si="244"/>
        <v/>
      </c>
      <c r="V1911" s="348" t="str">
        <f t="shared" si="245"/>
        <v/>
      </c>
      <c r="W1911" s="348" t="str">
        <f t="shared" si="246"/>
        <v/>
      </c>
      <c r="X1911" s="348" t="str">
        <f t="shared" si="247"/>
        <v/>
      </c>
    </row>
    <row r="1912" spans="1:24" x14ac:dyDescent="0.2">
      <c r="A1912" s="407">
        <v>1904</v>
      </c>
      <c r="B1912" s="437"/>
      <c r="C1912" s="438"/>
      <c r="D1912" s="438"/>
      <c r="E1912" s="438"/>
      <c r="F1912" s="438"/>
      <c r="G1912" s="438"/>
      <c r="H1912" s="438"/>
      <c r="I1912" s="438"/>
      <c r="J1912" s="11"/>
      <c r="Q1912" s="348" t="str">
        <f t="shared" si="240"/>
        <v/>
      </c>
      <c r="R1912" s="348" t="str">
        <f t="shared" si="241"/>
        <v/>
      </c>
      <c r="S1912" s="348" t="str">
        <f t="shared" si="242"/>
        <v/>
      </c>
      <c r="T1912" s="348" t="str">
        <f t="shared" si="243"/>
        <v/>
      </c>
      <c r="U1912" s="348" t="str">
        <f t="shared" si="244"/>
        <v/>
      </c>
      <c r="V1912" s="348" t="str">
        <f t="shared" si="245"/>
        <v/>
      </c>
      <c r="W1912" s="348" t="str">
        <f t="shared" si="246"/>
        <v/>
      </c>
      <c r="X1912" s="348" t="str">
        <f t="shared" si="247"/>
        <v/>
      </c>
    </row>
    <row r="1913" spans="1:24" x14ac:dyDescent="0.2">
      <c r="A1913" s="407">
        <v>1905</v>
      </c>
      <c r="B1913" s="438"/>
      <c r="C1913" s="438"/>
      <c r="D1913" s="438"/>
      <c r="E1913" s="438"/>
      <c r="F1913" s="438"/>
      <c r="G1913" s="438"/>
      <c r="H1913" s="438"/>
      <c r="I1913" s="438"/>
      <c r="J1913" s="11"/>
      <c r="Q1913" s="348" t="str">
        <f t="shared" si="240"/>
        <v/>
      </c>
      <c r="R1913" s="348" t="str">
        <f t="shared" si="241"/>
        <v/>
      </c>
      <c r="S1913" s="348" t="str">
        <f t="shared" si="242"/>
        <v/>
      </c>
      <c r="T1913" s="348" t="str">
        <f t="shared" si="243"/>
        <v/>
      </c>
      <c r="U1913" s="348" t="str">
        <f t="shared" si="244"/>
        <v/>
      </c>
      <c r="V1913" s="348" t="str">
        <f t="shared" si="245"/>
        <v/>
      </c>
      <c r="W1913" s="348" t="str">
        <f t="shared" si="246"/>
        <v/>
      </c>
      <c r="X1913" s="348" t="str">
        <f t="shared" si="247"/>
        <v/>
      </c>
    </row>
    <row r="1914" spans="1:24" x14ac:dyDescent="0.2">
      <c r="A1914" s="407">
        <v>1906</v>
      </c>
      <c r="B1914" s="438"/>
      <c r="C1914" s="438"/>
      <c r="D1914" s="438"/>
      <c r="E1914" s="438"/>
      <c r="F1914" s="438"/>
      <c r="G1914" s="438"/>
      <c r="H1914" s="438"/>
      <c r="I1914" s="438"/>
      <c r="J1914" s="11"/>
      <c r="Q1914" s="348" t="str">
        <f t="shared" si="240"/>
        <v/>
      </c>
      <c r="R1914" s="348" t="str">
        <f t="shared" si="241"/>
        <v/>
      </c>
      <c r="S1914" s="348" t="str">
        <f t="shared" si="242"/>
        <v/>
      </c>
      <c r="T1914" s="348" t="str">
        <f t="shared" si="243"/>
        <v/>
      </c>
      <c r="U1914" s="348" t="str">
        <f t="shared" si="244"/>
        <v/>
      </c>
      <c r="V1914" s="348" t="str">
        <f t="shared" si="245"/>
        <v/>
      </c>
      <c r="W1914" s="348" t="str">
        <f t="shared" si="246"/>
        <v/>
      </c>
      <c r="X1914" s="348" t="str">
        <f t="shared" si="247"/>
        <v/>
      </c>
    </row>
    <row r="1915" spans="1:24" x14ac:dyDescent="0.2">
      <c r="A1915" s="407">
        <v>1907</v>
      </c>
      <c r="B1915" s="438"/>
      <c r="C1915" s="438"/>
      <c r="D1915" s="438"/>
      <c r="E1915" s="438"/>
      <c r="F1915" s="438"/>
      <c r="G1915" s="438"/>
      <c r="H1915" s="438"/>
      <c r="I1915" s="438"/>
      <c r="J1915" s="11"/>
      <c r="Q1915" s="348" t="str">
        <f t="shared" si="240"/>
        <v/>
      </c>
      <c r="R1915" s="348" t="str">
        <f t="shared" si="241"/>
        <v/>
      </c>
      <c r="S1915" s="348" t="str">
        <f t="shared" si="242"/>
        <v/>
      </c>
      <c r="T1915" s="348" t="str">
        <f t="shared" si="243"/>
        <v/>
      </c>
      <c r="U1915" s="348" t="str">
        <f t="shared" si="244"/>
        <v/>
      </c>
      <c r="V1915" s="348" t="str">
        <f t="shared" si="245"/>
        <v/>
      </c>
      <c r="W1915" s="348" t="str">
        <f t="shared" si="246"/>
        <v/>
      </c>
      <c r="X1915" s="348" t="str">
        <f t="shared" si="247"/>
        <v/>
      </c>
    </row>
    <row r="1916" spans="1:24" x14ac:dyDescent="0.2">
      <c r="A1916" s="407">
        <v>1908</v>
      </c>
      <c r="B1916" s="438"/>
      <c r="C1916" s="438"/>
      <c r="D1916" s="438"/>
      <c r="E1916" s="438"/>
      <c r="F1916" s="438"/>
      <c r="G1916" s="438"/>
      <c r="H1916" s="438"/>
      <c r="I1916" s="438"/>
      <c r="J1916" s="11"/>
      <c r="Q1916" s="348" t="str">
        <f t="shared" si="240"/>
        <v/>
      </c>
      <c r="R1916" s="348" t="str">
        <f t="shared" si="241"/>
        <v/>
      </c>
      <c r="S1916" s="348" t="str">
        <f t="shared" si="242"/>
        <v/>
      </c>
      <c r="T1916" s="348" t="str">
        <f t="shared" si="243"/>
        <v/>
      </c>
      <c r="U1916" s="348" t="str">
        <f t="shared" si="244"/>
        <v/>
      </c>
      <c r="V1916" s="348" t="str">
        <f t="shared" si="245"/>
        <v/>
      </c>
      <c r="W1916" s="348" t="str">
        <f t="shared" si="246"/>
        <v/>
      </c>
      <c r="X1916" s="348" t="str">
        <f t="shared" si="247"/>
        <v/>
      </c>
    </row>
    <row r="1917" spans="1:24" x14ac:dyDescent="0.2">
      <c r="A1917" s="407">
        <v>1909</v>
      </c>
      <c r="B1917" s="438"/>
      <c r="C1917" s="438"/>
      <c r="D1917" s="438"/>
      <c r="E1917" s="438"/>
      <c r="F1917" s="438"/>
      <c r="G1917" s="438"/>
      <c r="H1917" s="438"/>
      <c r="I1917" s="438"/>
      <c r="J1917" s="11"/>
      <c r="Q1917" s="348" t="str">
        <f t="shared" si="240"/>
        <v/>
      </c>
      <c r="R1917" s="348" t="str">
        <f t="shared" si="241"/>
        <v/>
      </c>
      <c r="S1917" s="348" t="str">
        <f t="shared" si="242"/>
        <v/>
      </c>
      <c r="T1917" s="348" t="str">
        <f t="shared" si="243"/>
        <v/>
      </c>
      <c r="U1917" s="348" t="str">
        <f t="shared" si="244"/>
        <v/>
      </c>
      <c r="V1917" s="348" t="str">
        <f t="shared" si="245"/>
        <v/>
      </c>
      <c r="W1917" s="348" t="str">
        <f t="shared" si="246"/>
        <v/>
      </c>
      <c r="X1917" s="348" t="str">
        <f t="shared" si="247"/>
        <v/>
      </c>
    </row>
    <row r="1918" spans="1:24" x14ac:dyDescent="0.2">
      <c r="A1918" s="407">
        <v>1910</v>
      </c>
      <c r="B1918" s="438"/>
      <c r="C1918" s="438"/>
      <c r="D1918" s="438"/>
      <c r="E1918" s="438"/>
      <c r="F1918" s="438"/>
      <c r="G1918" s="438"/>
      <c r="H1918" s="438"/>
      <c r="I1918" s="438"/>
      <c r="J1918" s="11"/>
      <c r="Q1918" s="348" t="str">
        <f t="shared" si="240"/>
        <v/>
      </c>
      <c r="R1918" s="348" t="str">
        <f t="shared" si="241"/>
        <v/>
      </c>
      <c r="S1918" s="348" t="str">
        <f t="shared" si="242"/>
        <v/>
      </c>
      <c r="T1918" s="348" t="str">
        <f t="shared" si="243"/>
        <v/>
      </c>
      <c r="U1918" s="348" t="str">
        <f t="shared" si="244"/>
        <v/>
      </c>
      <c r="V1918" s="348" t="str">
        <f t="shared" si="245"/>
        <v/>
      </c>
      <c r="W1918" s="348" t="str">
        <f t="shared" si="246"/>
        <v/>
      </c>
      <c r="X1918" s="348" t="str">
        <f t="shared" si="247"/>
        <v/>
      </c>
    </row>
    <row r="1919" spans="1:24" x14ac:dyDescent="0.2">
      <c r="A1919" s="407">
        <v>1911</v>
      </c>
      <c r="B1919" s="438"/>
      <c r="C1919" s="438"/>
      <c r="D1919" s="438"/>
      <c r="E1919" s="438"/>
      <c r="F1919" s="438"/>
      <c r="G1919" s="438"/>
      <c r="H1919" s="438"/>
      <c r="I1919" s="438"/>
      <c r="J1919" s="11"/>
      <c r="Q1919" s="348" t="str">
        <f t="shared" si="240"/>
        <v/>
      </c>
      <c r="R1919" s="348" t="str">
        <f t="shared" si="241"/>
        <v/>
      </c>
      <c r="S1919" s="348" t="str">
        <f t="shared" si="242"/>
        <v/>
      </c>
      <c r="T1919" s="348" t="str">
        <f t="shared" si="243"/>
        <v/>
      </c>
      <c r="U1919" s="348" t="str">
        <f t="shared" si="244"/>
        <v/>
      </c>
      <c r="V1919" s="348" t="str">
        <f t="shared" si="245"/>
        <v/>
      </c>
      <c r="W1919" s="348" t="str">
        <f t="shared" si="246"/>
        <v/>
      </c>
      <c r="X1919" s="348" t="str">
        <f t="shared" si="247"/>
        <v/>
      </c>
    </row>
    <row r="1920" spans="1:24" x14ac:dyDescent="0.2">
      <c r="A1920" s="407">
        <v>1912</v>
      </c>
      <c r="B1920" s="437"/>
      <c r="C1920" s="438"/>
      <c r="D1920" s="438"/>
      <c r="E1920" s="438"/>
      <c r="F1920" s="438"/>
      <c r="G1920" s="438"/>
      <c r="H1920" s="438"/>
      <c r="I1920" s="438"/>
      <c r="J1920" s="11"/>
      <c r="Q1920" s="348" t="str">
        <f t="shared" si="240"/>
        <v/>
      </c>
      <c r="R1920" s="348" t="str">
        <f t="shared" si="241"/>
        <v/>
      </c>
      <c r="S1920" s="348" t="str">
        <f t="shared" si="242"/>
        <v/>
      </c>
      <c r="T1920" s="348" t="str">
        <f t="shared" si="243"/>
        <v/>
      </c>
      <c r="U1920" s="348" t="str">
        <f t="shared" si="244"/>
        <v/>
      </c>
      <c r="V1920" s="348" t="str">
        <f t="shared" si="245"/>
        <v/>
      </c>
      <c r="W1920" s="348" t="str">
        <f t="shared" si="246"/>
        <v/>
      </c>
      <c r="X1920" s="348" t="str">
        <f t="shared" si="247"/>
        <v/>
      </c>
    </row>
    <row r="1921" spans="1:24" x14ac:dyDescent="0.2">
      <c r="A1921" s="407">
        <v>1913</v>
      </c>
      <c r="B1921" s="438"/>
      <c r="C1921" s="438"/>
      <c r="D1921" s="438"/>
      <c r="E1921" s="438"/>
      <c r="F1921" s="438"/>
      <c r="G1921" s="438"/>
      <c r="H1921" s="438"/>
      <c r="I1921" s="438"/>
      <c r="J1921" s="11"/>
      <c r="Q1921" s="348" t="str">
        <f t="shared" si="240"/>
        <v/>
      </c>
      <c r="R1921" s="348" t="str">
        <f t="shared" si="241"/>
        <v/>
      </c>
      <c r="S1921" s="348" t="str">
        <f t="shared" si="242"/>
        <v/>
      </c>
      <c r="T1921" s="348" t="str">
        <f t="shared" si="243"/>
        <v/>
      </c>
      <c r="U1921" s="348" t="str">
        <f t="shared" si="244"/>
        <v/>
      </c>
      <c r="V1921" s="348" t="str">
        <f t="shared" si="245"/>
        <v/>
      </c>
      <c r="W1921" s="348" t="str">
        <f t="shared" si="246"/>
        <v/>
      </c>
      <c r="X1921" s="348" t="str">
        <f t="shared" si="247"/>
        <v/>
      </c>
    </row>
    <row r="1922" spans="1:24" x14ac:dyDescent="0.2">
      <c r="A1922" s="407">
        <v>1914</v>
      </c>
      <c r="B1922" s="438"/>
      <c r="C1922" s="438"/>
      <c r="D1922" s="438"/>
      <c r="E1922" s="438"/>
      <c r="F1922" s="438"/>
      <c r="G1922" s="438"/>
      <c r="H1922" s="438"/>
      <c r="I1922" s="438"/>
      <c r="J1922" s="11"/>
      <c r="Q1922" s="348" t="str">
        <f t="shared" si="240"/>
        <v/>
      </c>
      <c r="R1922" s="348" t="str">
        <f t="shared" si="241"/>
        <v/>
      </c>
      <c r="S1922" s="348" t="str">
        <f t="shared" si="242"/>
        <v/>
      </c>
      <c r="T1922" s="348" t="str">
        <f t="shared" si="243"/>
        <v/>
      </c>
      <c r="U1922" s="348" t="str">
        <f t="shared" si="244"/>
        <v/>
      </c>
      <c r="V1922" s="348" t="str">
        <f t="shared" si="245"/>
        <v/>
      </c>
      <c r="W1922" s="348" t="str">
        <f t="shared" si="246"/>
        <v/>
      </c>
      <c r="X1922" s="348" t="str">
        <f t="shared" si="247"/>
        <v/>
      </c>
    </row>
    <row r="1923" spans="1:24" x14ac:dyDescent="0.2">
      <c r="A1923" s="407">
        <v>1915</v>
      </c>
      <c r="B1923" s="438"/>
      <c r="C1923" s="437"/>
      <c r="D1923" s="438"/>
      <c r="E1923" s="438"/>
      <c r="F1923" s="438"/>
      <c r="G1923" s="438"/>
      <c r="H1923" s="438"/>
      <c r="I1923" s="438"/>
      <c r="J1923" s="11"/>
      <c r="Q1923" s="348" t="str">
        <f t="shared" si="240"/>
        <v/>
      </c>
      <c r="R1923" s="348" t="str">
        <f t="shared" si="241"/>
        <v/>
      </c>
      <c r="S1923" s="348" t="str">
        <f t="shared" si="242"/>
        <v/>
      </c>
      <c r="T1923" s="348" t="str">
        <f t="shared" si="243"/>
        <v/>
      </c>
      <c r="U1923" s="348" t="str">
        <f t="shared" si="244"/>
        <v/>
      </c>
      <c r="V1923" s="348" t="str">
        <f t="shared" si="245"/>
        <v/>
      </c>
      <c r="W1923" s="348" t="str">
        <f t="shared" si="246"/>
        <v/>
      </c>
      <c r="X1923" s="348" t="str">
        <f t="shared" si="247"/>
        <v/>
      </c>
    </row>
    <row r="1924" spans="1:24" x14ac:dyDescent="0.2">
      <c r="A1924" s="407">
        <v>1916</v>
      </c>
      <c r="B1924" s="438"/>
      <c r="C1924" s="438"/>
      <c r="D1924" s="437"/>
      <c r="E1924" s="438"/>
      <c r="F1924" s="438"/>
      <c r="G1924" s="438"/>
      <c r="H1924" s="438"/>
      <c r="I1924" s="438"/>
      <c r="J1924" s="11"/>
      <c r="Q1924" s="348" t="str">
        <f t="shared" si="240"/>
        <v/>
      </c>
      <c r="R1924" s="348" t="str">
        <f t="shared" si="241"/>
        <v/>
      </c>
      <c r="S1924" s="348" t="str">
        <f t="shared" si="242"/>
        <v/>
      </c>
      <c r="T1924" s="348" t="str">
        <f t="shared" si="243"/>
        <v/>
      </c>
      <c r="U1924" s="348" t="str">
        <f t="shared" si="244"/>
        <v/>
      </c>
      <c r="V1924" s="348" t="str">
        <f t="shared" si="245"/>
        <v/>
      </c>
      <c r="W1924" s="348" t="str">
        <f t="shared" si="246"/>
        <v/>
      </c>
      <c r="X1924" s="348" t="str">
        <f t="shared" si="247"/>
        <v/>
      </c>
    </row>
    <row r="1925" spans="1:24" x14ac:dyDescent="0.2">
      <c r="A1925" s="407">
        <v>1917</v>
      </c>
      <c r="B1925" s="438"/>
      <c r="C1925" s="438"/>
      <c r="D1925" s="438"/>
      <c r="E1925" s="438"/>
      <c r="F1925" s="438"/>
      <c r="G1925" s="438"/>
      <c r="H1925" s="438"/>
      <c r="I1925" s="438"/>
      <c r="J1925" s="11"/>
      <c r="Q1925" s="348" t="str">
        <f t="shared" si="240"/>
        <v/>
      </c>
      <c r="R1925" s="348" t="str">
        <f t="shared" si="241"/>
        <v/>
      </c>
      <c r="S1925" s="348" t="str">
        <f t="shared" si="242"/>
        <v/>
      </c>
      <c r="T1925" s="348" t="str">
        <f t="shared" si="243"/>
        <v/>
      </c>
      <c r="U1925" s="348" t="str">
        <f t="shared" si="244"/>
        <v/>
      </c>
      <c r="V1925" s="348" t="str">
        <f t="shared" si="245"/>
        <v/>
      </c>
      <c r="W1925" s="348" t="str">
        <f t="shared" si="246"/>
        <v/>
      </c>
      <c r="X1925" s="348" t="str">
        <f t="shared" si="247"/>
        <v/>
      </c>
    </row>
    <row r="1926" spans="1:24" x14ac:dyDescent="0.2">
      <c r="A1926" s="407">
        <v>1918</v>
      </c>
      <c r="B1926" s="438"/>
      <c r="C1926" s="438"/>
      <c r="D1926" s="438"/>
      <c r="E1926" s="438"/>
      <c r="F1926" s="438"/>
      <c r="G1926" s="438"/>
      <c r="H1926" s="438"/>
      <c r="I1926" s="438"/>
      <c r="J1926" s="11"/>
      <c r="Q1926" s="348" t="str">
        <f t="shared" si="240"/>
        <v/>
      </c>
      <c r="R1926" s="348" t="str">
        <f t="shared" si="241"/>
        <v/>
      </c>
      <c r="S1926" s="348" t="str">
        <f t="shared" si="242"/>
        <v/>
      </c>
      <c r="T1926" s="348" t="str">
        <f t="shared" si="243"/>
        <v/>
      </c>
      <c r="U1926" s="348" t="str">
        <f t="shared" si="244"/>
        <v/>
      </c>
      <c r="V1926" s="348" t="str">
        <f t="shared" si="245"/>
        <v/>
      </c>
      <c r="W1926" s="348" t="str">
        <f t="shared" si="246"/>
        <v/>
      </c>
      <c r="X1926" s="348" t="str">
        <f t="shared" si="247"/>
        <v/>
      </c>
    </row>
    <row r="1927" spans="1:24" x14ac:dyDescent="0.2">
      <c r="A1927" s="407">
        <v>1919</v>
      </c>
      <c r="B1927" s="438"/>
      <c r="C1927" s="438"/>
      <c r="D1927" s="438"/>
      <c r="E1927" s="438"/>
      <c r="F1927" s="438"/>
      <c r="G1927" s="438"/>
      <c r="H1927" s="438"/>
      <c r="I1927" s="438"/>
      <c r="J1927" s="11"/>
      <c r="Q1927" s="348" t="str">
        <f t="shared" si="240"/>
        <v/>
      </c>
      <c r="R1927" s="348" t="str">
        <f t="shared" si="241"/>
        <v/>
      </c>
      <c r="S1927" s="348" t="str">
        <f t="shared" si="242"/>
        <v/>
      </c>
      <c r="T1927" s="348" t="str">
        <f t="shared" si="243"/>
        <v/>
      </c>
      <c r="U1927" s="348" t="str">
        <f t="shared" si="244"/>
        <v/>
      </c>
      <c r="V1927" s="348" t="str">
        <f t="shared" si="245"/>
        <v/>
      </c>
      <c r="W1927" s="348" t="str">
        <f t="shared" si="246"/>
        <v/>
      </c>
      <c r="X1927" s="348" t="str">
        <f t="shared" si="247"/>
        <v/>
      </c>
    </row>
    <row r="1928" spans="1:24" x14ac:dyDescent="0.2">
      <c r="A1928" s="407">
        <v>1920</v>
      </c>
      <c r="B1928" s="438"/>
      <c r="C1928" s="438"/>
      <c r="D1928" s="438"/>
      <c r="E1928" s="438"/>
      <c r="F1928" s="438"/>
      <c r="G1928" s="438"/>
      <c r="H1928" s="438"/>
      <c r="I1928" s="438"/>
      <c r="J1928" s="11"/>
      <c r="Q1928" s="348" t="str">
        <f t="shared" si="240"/>
        <v/>
      </c>
      <c r="R1928" s="348" t="str">
        <f t="shared" si="241"/>
        <v/>
      </c>
      <c r="S1928" s="348" t="str">
        <f t="shared" si="242"/>
        <v/>
      </c>
      <c r="T1928" s="348" t="str">
        <f t="shared" si="243"/>
        <v/>
      </c>
      <c r="U1928" s="348" t="str">
        <f t="shared" si="244"/>
        <v/>
      </c>
      <c r="V1928" s="348" t="str">
        <f t="shared" si="245"/>
        <v/>
      </c>
      <c r="W1928" s="348" t="str">
        <f t="shared" si="246"/>
        <v/>
      </c>
      <c r="X1928" s="348" t="str">
        <f t="shared" si="247"/>
        <v/>
      </c>
    </row>
    <row r="1929" spans="1:24" x14ac:dyDescent="0.2">
      <c r="A1929" s="407">
        <v>1921</v>
      </c>
      <c r="B1929" s="438"/>
      <c r="C1929" s="438"/>
      <c r="D1929" s="438"/>
      <c r="E1929" s="438"/>
      <c r="F1929" s="438"/>
      <c r="G1929" s="438"/>
      <c r="H1929" s="438"/>
      <c r="I1929" s="438"/>
      <c r="J1929" s="11"/>
      <c r="Q1929" s="348" t="str">
        <f t="shared" si="240"/>
        <v/>
      </c>
      <c r="R1929" s="348" t="str">
        <f t="shared" si="241"/>
        <v/>
      </c>
      <c r="S1929" s="348" t="str">
        <f t="shared" si="242"/>
        <v/>
      </c>
      <c r="T1929" s="348" t="str">
        <f t="shared" si="243"/>
        <v/>
      </c>
      <c r="U1929" s="348" t="str">
        <f t="shared" si="244"/>
        <v/>
      </c>
      <c r="V1929" s="348" t="str">
        <f t="shared" si="245"/>
        <v/>
      </c>
      <c r="W1929" s="348" t="str">
        <f t="shared" si="246"/>
        <v/>
      </c>
      <c r="X1929" s="348" t="str">
        <f t="shared" si="247"/>
        <v/>
      </c>
    </row>
    <row r="1930" spans="1:24" x14ac:dyDescent="0.2">
      <c r="A1930" s="407">
        <v>1922</v>
      </c>
      <c r="B1930" s="438"/>
      <c r="C1930" s="438"/>
      <c r="D1930" s="438"/>
      <c r="E1930" s="438"/>
      <c r="F1930" s="438"/>
      <c r="G1930" s="438"/>
      <c r="H1930" s="438"/>
      <c r="I1930" s="438"/>
      <c r="J1930" s="11"/>
      <c r="Q1930" s="348" t="str">
        <f t="shared" ref="Q1930:Q1993" si="248">IFERROR(B1930^4*$AB$9+B1930^3*$AC$9+B1930^2*$AD$9+B1930^1*$AE$9+B1930^0*$AF$9,"")</f>
        <v/>
      </c>
      <c r="R1930" s="348" t="str">
        <f t="shared" ref="R1930:R1993" si="249">IFERROR(C1930^4*$AB$10+C1930^3*$AC$10+C1930^2*$AD$10+C1930^1*$AE$10+C1930^0*$AF$10,"")</f>
        <v/>
      </c>
      <c r="S1930" s="348" t="str">
        <f t="shared" ref="S1930:S1993" si="250">IFERROR(D1930^4*$AB$11+D1930^3*$AC$11+D1930^2*$AD$11+D1930^1*$AE$11+D1930^0*$AF$11,"")</f>
        <v/>
      </c>
      <c r="T1930" s="348" t="str">
        <f t="shared" ref="T1930:T1993" si="251">IFERROR(E1930^4*$AB$12+E1930^3*$AC$12+E1930^2*$AD$12+E1930^1*$AE$12+E1930^0*$AF$12,"")</f>
        <v/>
      </c>
      <c r="U1930" s="348" t="str">
        <f t="shared" ref="U1930:U1993" si="252">IFERROR(F1930^4*$AB$13+F1930^3*$AC$13+F1930^2*$AD$13+F1930^1*$AE$13+F1930^0*$AF$13,"")</f>
        <v/>
      </c>
      <c r="V1930" s="348" t="str">
        <f t="shared" ref="V1930:V1993" si="253">IFERROR(G1930^4*$AB$14+G1930^3*$AC$14+G1930^2*$AD$14+G1930^1*$AE$14+G1930^0*$AF$14,"")</f>
        <v/>
      </c>
      <c r="W1930" s="348" t="str">
        <f t="shared" ref="W1930:W1993" si="254">IFERROR(H1930^4*$AB$15+H1930^3*$AC$15+H1930^2*$AD$15+H1930^1*$AE$15+H1930^0*$AF$15,"")</f>
        <v/>
      </c>
      <c r="X1930" s="348" t="str">
        <f t="shared" ref="X1930:X1993" si="255">IFERROR(I1930^4*$AB$16+I1930^3*$AC$16+I1930^2*$AD$16+I1930^1*$AE$16+I1930^0*$AF$16,"")</f>
        <v/>
      </c>
    </row>
    <row r="1931" spans="1:24" x14ac:dyDescent="0.2">
      <c r="A1931" s="407">
        <v>1923</v>
      </c>
      <c r="B1931" s="438"/>
      <c r="C1931" s="438"/>
      <c r="D1931" s="438"/>
      <c r="E1931" s="438"/>
      <c r="F1931" s="438"/>
      <c r="G1931" s="438"/>
      <c r="H1931" s="438"/>
      <c r="I1931" s="438"/>
      <c r="J1931" s="11"/>
      <c r="Q1931" s="348" t="str">
        <f t="shared" si="248"/>
        <v/>
      </c>
      <c r="R1931" s="348" t="str">
        <f t="shared" si="249"/>
        <v/>
      </c>
      <c r="S1931" s="348" t="str">
        <f t="shared" si="250"/>
        <v/>
      </c>
      <c r="T1931" s="348" t="str">
        <f t="shared" si="251"/>
        <v/>
      </c>
      <c r="U1931" s="348" t="str">
        <f t="shared" si="252"/>
        <v/>
      </c>
      <c r="V1931" s="348" t="str">
        <f t="shared" si="253"/>
        <v/>
      </c>
      <c r="W1931" s="348" t="str">
        <f t="shared" si="254"/>
        <v/>
      </c>
      <c r="X1931" s="348" t="str">
        <f t="shared" si="255"/>
        <v/>
      </c>
    </row>
    <row r="1932" spans="1:24" x14ac:dyDescent="0.2">
      <c r="A1932" s="407">
        <v>1924</v>
      </c>
      <c r="B1932" s="438"/>
      <c r="C1932" s="438"/>
      <c r="D1932" s="438"/>
      <c r="E1932" s="438"/>
      <c r="F1932" s="438"/>
      <c r="G1932" s="438"/>
      <c r="H1932" s="438"/>
      <c r="I1932" s="438"/>
      <c r="J1932" s="11"/>
      <c r="Q1932" s="348" t="str">
        <f t="shared" si="248"/>
        <v/>
      </c>
      <c r="R1932" s="348" t="str">
        <f t="shared" si="249"/>
        <v/>
      </c>
      <c r="S1932" s="348" t="str">
        <f t="shared" si="250"/>
        <v/>
      </c>
      <c r="T1932" s="348" t="str">
        <f t="shared" si="251"/>
        <v/>
      </c>
      <c r="U1932" s="348" t="str">
        <f t="shared" si="252"/>
        <v/>
      </c>
      <c r="V1932" s="348" t="str">
        <f t="shared" si="253"/>
        <v/>
      </c>
      <c r="W1932" s="348" t="str">
        <f t="shared" si="254"/>
        <v/>
      </c>
      <c r="X1932" s="348" t="str">
        <f t="shared" si="255"/>
        <v/>
      </c>
    </row>
    <row r="1933" spans="1:24" x14ac:dyDescent="0.2">
      <c r="A1933" s="407">
        <v>1925</v>
      </c>
      <c r="B1933" s="438"/>
      <c r="C1933" s="438"/>
      <c r="D1933" s="438"/>
      <c r="E1933" s="438"/>
      <c r="F1933" s="438"/>
      <c r="G1933" s="438"/>
      <c r="H1933" s="438"/>
      <c r="I1933" s="437"/>
      <c r="J1933" s="11"/>
      <c r="Q1933" s="348" t="str">
        <f t="shared" si="248"/>
        <v/>
      </c>
      <c r="R1933" s="348" t="str">
        <f t="shared" si="249"/>
        <v/>
      </c>
      <c r="S1933" s="348" t="str">
        <f t="shared" si="250"/>
        <v/>
      </c>
      <c r="T1933" s="348" t="str">
        <f t="shared" si="251"/>
        <v/>
      </c>
      <c r="U1933" s="348" t="str">
        <f t="shared" si="252"/>
        <v/>
      </c>
      <c r="V1933" s="348" t="str">
        <f t="shared" si="253"/>
        <v/>
      </c>
      <c r="W1933" s="348" t="str">
        <f t="shared" si="254"/>
        <v/>
      </c>
      <c r="X1933" s="348" t="str">
        <f t="shared" si="255"/>
        <v/>
      </c>
    </row>
    <row r="1934" spans="1:24" x14ac:dyDescent="0.2">
      <c r="A1934" s="407">
        <v>1926</v>
      </c>
      <c r="B1934" s="437"/>
      <c r="C1934" s="438"/>
      <c r="D1934" s="438"/>
      <c r="E1934" s="437"/>
      <c r="F1934" s="437"/>
      <c r="G1934" s="437"/>
      <c r="H1934" s="437"/>
      <c r="I1934" s="438"/>
      <c r="J1934" s="11"/>
      <c r="Q1934" s="348" t="str">
        <f t="shared" si="248"/>
        <v/>
      </c>
      <c r="R1934" s="348" t="str">
        <f t="shared" si="249"/>
        <v/>
      </c>
      <c r="S1934" s="348" t="str">
        <f t="shared" si="250"/>
        <v/>
      </c>
      <c r="T1934" s="348" t="str">
        <f t="shared" si="251"/>
        <v/>
      </c>
      <c r="U1934" s="348" t="str">
        <f t="shared" si="252"/>
        <v/>
      </c>
      <c r="V1934" s="348" t="str">
        <f t="shared" si="253"/>
        <v/>
      </c>
      <c r="W1934" s="348" t="str">
        <f t="shared" si="254"/>
        <v/>
      </c>
      <c r="X1934" s="348" t="str">
        <f t="shared" si="255"/>
        <v/>
      </c>
    </row>
    <row r="1935" spans="1:24" x14ac:dyDescent="0.2">
      <c r="A1935" s="407">
        <v>1927</v>
      </c>
      <c r="B1935" s="438"/>
      <c r="C1935" s="438"/>
      <c r="D1935" s="438"/>
      <c r="E1935" s="438"/>
      <c r="F1935" s="438"/>
      <c r="G1935" s="438"/>
      <c r="H1935" s="438"/>
      <c r="I1935" s="438"/>
      <c r="J1935" s="11"/>
      <c r="Q1935" s="348" t="str">
        <f t="shared" si="248"/>
        <v/>
      </c>
      <c r="R1935" s="348" t="str">
        <f t="shared" si="249"/>
        <v/>
      </c>
      <c r="S1935" s="348" t="str">
        <f t="shared" si="250"/>
        <v/>
      </c>
      <c r="T1935" s="348" t="str">
        <f t="shared" si="251"/>
        <v/>
      </c>
      <c r="U1935" s="348" t="str">
        <f t="shared" si="252"/>
        <v/>
      </c>
      <c r="V1935" s="348" t="str">
        <f t="shared" si="253"/>
        <v/>
      </c>
      <c r="W1935" s="348" t="str">
        <f t="shared" si="254"/>
        <v/>
      </c>
      <c r="X1935" s="348" t="str">
        <f t="shared" si="255"/>
        <v/>
      </c>
    </row>
    <row r="1936" spans="1:24" x14ac:dyDescent="0.2">
      <c r="A1936" s="407">
        <v>1928</v>
      </c>
      <c r="B1936" s="438"/>
      <c r="C1936" s="438"/>
      <c r="D1936" s="438"/>
      <c r="E1936" s="438"/>
      <c r="F1936" s="438"/>
      <c r="G1936" s="438"/>
      <c r="H1936" s="438"/>
      <c r="I1936" s="438"/>
      <c r="J1936" s="11"/>
      <c r="Q1936" s="348" t="str">
        <f t="shared" si="248"/>
        <v/>
      </c>
      <c r="R1936" s="348" t="str">
        <f t="shared" si="249"/>
        <v/>
      </c>
      <c r="S1936" s="348" t="str">
        <f t="shared" si="250"/>
        <v/>
      </c>
      <c r="T1936" s="348" t="str">
        <f t="shared" si="251"/>
        <v/>
      </c>
      <c r="U1936" s="348" t="str">
        <f t="shared" si="252"/>
        <v/>
      </c>
      <c r="V1936" s="348" t="str">
        <f t="shared" si="253"/>
        <v/>
      </c>
      <c r="W1936" s="348" t="str">
        <f t="shared" si="254"/>
        <v/>
      </c>
      <c r="X1936" s="348" t="str">
        <f t="shared" si="255"/>
        <v/>
      </c>
    </row>
    <row r="1937" spans="1:24" x14ac:dyDescent="0.2">
      <c r="A1937" s="407">
        <v>1929</v>
      </c>
      <c r="B1937" s="438"/>
      <c r="C1937" s="438"/>
      <c r="D1937" s="438"/>
      <c r="E1937" s="438"/>
      <c r="F1937" s="438"/>
      <c r="G1937" s="438"/>
      <c r="H1937" s="438"/>
      <c r="I1937" s="438"/>
      <c r="J1937" s="11"/>
      <c r="Q1937" s="348" t="str">
        <f t="shared" si="248"/>
        <v/>
      </c>
      <c r="R1937" s="348" t="str">
        <f t="shared" si="249"/>
        <v/>
      </c>
      <c r="S1937" s="348" t="str">
        <f t="shared" si="250"/>
        <v/>
      </c>
      <c r="T1937" s="348" t="str">
        <f t="shared" si="251"/>
        <v/>
      </c>
      <c r="U1937" s="348" t="str">
        <f t="shared" si="252"/>
        <v/>
      </c>
      <c r="V1937" s="348" t="str">
        <f t="shared" si="253"/>
        <v/>
      </c>
      <c r="W1937" s="348" t="str">
        <f t="shared" si="254"/>
        <v/>
      </c>
      <c r="X1937" s="348" t="str">
        <f t="shared" si="255"/>
        <v/>
      </c>
    </row>
    <row r="1938" spans="1:24" x14ac:dyDescent="0.2">
      <c r="A1938" s="407">
        <v>1930</v>
      </c>
      <c r="B1938" s="438"/>
      <c r="C1938" s="438"/>
      <c r="D1938" s="438"/>
      <c r="E1938" s="438"/>
      <c r="F1938" s="438"/>
      <c r="G1938" s="438"/>
      <c r="H1938" s="438"/>
      <c r="I1938" s="438"/>
      <c r="J1938" s="11"/>
      <c r="Q1938" s="348" t="str">
        <f t="shared" si="248"/>
        <v/>
      </c>
      <c r="R1938" s="348" t="str">
        <f t="shared" si="249"/>
        <v/>
      </c>
      <c r="S1938" s="348" t="str">
        <f t="shared" si="250"/>
        <v/>
      </c>
      <c r="T1938" s="348" t="str">
        <f t="shared" si="251"/>
        <v/>
      </c>
      <c r="U1938" s="348" t="str">
        <f t="shared" si="252"/>
        <v/>
      </c>
      <c r="V1938" s="348" t="str">
        <f t="shared" si="253"/>
        <v/>
      </c>
      <c r="W1938" s="348" t="str">
        <f t="shared" si="254"/>
        <v/>
      </c>
      <c r="X1938" s="348" t="str">
        <f t="shared" si="255"/>
        <v/>
      </c>
    </row>
    <row r="1939" spans="1:24" x14ac:dyDescent="0.2">
      <c r="A1939" s="407">
        <v>1931</v>
      </c>
      <c r="B1939" s="438"/>
      <c r="C1939" s="438"/>
      <c r="D1939" s="438"/>
      <c r="E1939" s="438"/>
      <c r="F1939" s="438"/>
      <c r="G1939" s="438"/>
      <c r="H1939" s="438"/>
      <c r="I1939" s="438"/>
      <c r="J1939" s="11"/>
      <c r="Q1939" s="348" t="str">
        <f t="shared" si="248"/>
        <v/>
      </c>
      <c r="R1939" s="348" t="str">
        <f t="shared" si="249"/>
        <v/>
      </c>
      <c r="S1939" s="348" t="str">
        <f t="shared" si="250"/>
        <v/>
      </c>
      <c r="T1939" s="348" t="str">
        <f t="shared" si="251"/>
        <v/>
      </c>
      <c r="U1939" s="348" t="str">
        <f t="shared" si="252"/>
        <v/>
      </c>
      <c r="V1939" s="348" t="str">
        <f t="shared" si="253"/>
        <v/>
      </c>
      <c r="W1939" s="348" t="str">
        <f t="shared" si="254"/>
        <v/>
      </c>
      <c r="X1939" s="348" t="str">
        <f t="shared" si="255"/>
        <v/>
      </c>
    </row>
    <row r="1940" spans="1:24" x14ac:dyDescent="0.2">
      <c r="A1940" s="407">
        <v>1932</v>
      </c>
      <c r="B1940" s="438"/>
      <c r="C1940" s="438"/>
      <c r="D1940" s="438"/>
      <c r="E1940" s="438"/>
      <c r="F1940" s="438"/>
      <c r="G1940" s="438"/>
      <c r="H1940" s="438"/>
      <c r="I1940" s="438"/>
      <c r="J1940" s="11"/>
      <c r="Q1940" s="348" t="str">
        <f t="shared" si="248"/>
        <v/>
      </c>
      <c r="R1940" s="348" t="str">
        <f t="shared" si="249"/>
        <v/>
      </c>
      <c r="S1940" s="348" t="str">
        <f t="shared" si="250"/>
        <v/>
      </c>
      <c r="T1940" s="348" t="str">
        <f t="shared" si="251"/>
        <v/>
      </c>
      <c r="U1940" s="348" t="str">
        <f t="shared" si="252"/>
        <v/>
      </c>
      <c r="V1940" s="348" t="str">
        <f t="shared" si="253"/>
        <v/>
      </c>
      <c r="W1940" s="348" t="str">
        <f t="shared" si="254"/>
        <v/>
      </c>
      <c r="X1940" s="348" t="str">
        <f t="shared" si="255"/>
        <v/>
      </c>
    </row>
    <row r="1941" spans="1:24" x14ac:dyDescent="0.2">
      <c r="A1941" s="407">
        <v>1933</v>
      </c>
      <c r="B1941" s="438"/>
      <c r="C1941" s="438"/>
      <c r="D1941" s="438"/>
      <c r="E1941" s="438"/>
      <c r="F1941" s="438"/>
      <c r="G1941" s="438"/>
      <c r="H1941" s="438"/>
      <c r="I1941" s="438"/>
      <c r="J1941" s="11"/>
      <c r="Q1941" s="348" t="str">
        <f t="shared" si="248"/>
        <v/>
      </c>
      <c r="R1941" s="348" t="str">
        <f t="shared" si="249"/>
        <v/>
      </c>
      <c r="S1941" s="348" t="str">
        <f t="shared" si="250"/>
        <v/>
      </c>
      <c r="T1941" s="348" t="str">
        <f t="shared" si="251"/>
        <v/>
      </c>
      <c r="U1941" s="348" t="str">
        <f t="shared" si="252"/>
        <v/>
      </c>
      <c r="V1941" s="348" t="str">
        <f t="shared" si="253"/>
        <v/>
      </c>
      <c r="W1941" s="348" t="str">
        <f t="shared" si="254"/>
        <v/>
      </c>
      <c r="X1941" s="348" t="str">
        <f t="shared" si="255"/>
        <v/>
      </c>
    </row>
    <row r="1942" spans="1:24" x14ac:dyDescent="0.2">
      <c r="A1942" s="407">
        <v>1934</v>
      </c>
      <c r="B1942" s="438"/>
      <c r="C1942" s="438"/>
      <c r="D1942" s="438"/>
      <c r="E1942" s="438"/>
      <c r="F1942" s="438"/>
      <c r="G1942" s="438"/>
      <c r="H1942" s="438"/>
      <c r="I1942" s="438"/>
      <c r="J1942" s="11"/>
      <c r="Q1942" s="348" t="str">
        <f t="shared" si="248"/>
        <v/>
      </c>
      <c r="R1942" s="348" t="str">
        <f t="shared" si="249"/>
        <v/>
      </c>
      <c r="S1942" s="348" t="str">
        <f t="shared" si="250"/>
        <v/>
      </c>
      <c r="T1942" s="348" t="str">
        <f t="shared" si="251"/>
        <v/>
      </c>
      <c r="U1942" s="348" t="str">
        <f t="shared" si="252"/>
        <v/>
      </c>
      <c r="V1942" s="348" t="str">
        <f t="shared" si="253"/>
        <v/>
      </c>
      <c r="W1942" s="348" t="str">
        <f t="shared" si="254"/>
        <v/>
      </c>
      <c r="X1942" s="348" t="str">
        <f t="shared" si="255"/>
        <v/>
      </c>
    </row>
    <row r="1943" spans="1:24" x14ac:dyDescent="0.2">
      <c r="A1943" s="407">
        <v>1935</v>
      </c>
      <c r="B1943" s="438"/>
      <c r="C1943" s="438"/>
      <c r="D1943" s="438"/>
      <c r="E1943" s="438"/>
      <c r="F1943" s="438"/>
      <c r="G1943" s="438"/>
      <c r="H1943" s="438"/>
      <c r="I1943" s="438"/>
      <c r="J1943" s="11"/>
      <c r="Q1943" s="348" t="str">
        <f t="shared" si="248"/>
        <v/>
      </c>
      <c r="R1943" s="348" t="str">
        <f t="shared" si="249"/>
        <v/>
      </c>
      <c r="S1943" s="348" t="str">
        <f t="shared" si="250"/>
        <v/>
      </c>
      <c r="T1943" s="348" t="str">
        <f t="shared" si="251"/>
        <v/>
      </c>
      <c r="U1943" s="348" t="str">
        <f t="shared" si="252"/>
        <v/>
      </c>
      <c r="V1943" s="348" t="str">
        <f t="shared" si="253"/>
        <v/>
      </c>
      <c r="W1943" s="348" t="str">
        <f t="shared" si="254"/>
        <v/>
      </c>
      <c r="X1943" s="348" t="str">
        <f t="shared" si="255"/>
        <v/>
      </c>
    </row>
    <row r="1944" spans="1:24" x14ac:dyDescent="0.2">
      <c r="A1944" s="407">
        <v>1936</v>
      </c>
      <c r="B1944" s="438"/>
      <c r="C1944" s="437"/>
      <c r="D1944" s="438"/>
      <c r="E1944" s="438"/>
      <c r="F1944" s="438"/>
      <c r="G1944" s="438"/>
      <c r="H1944" s="438"/>
      <c r="I1944" s="438"/>
      <c r="J1944" s="11"/>
      <c r="Q1944" s="348" t="str">
        <f t="shared" si="248"/>
        <v/>
      </c>
      <c r="R1944" s="348" t="str">
        <f t="shared" si="249"/>
        <v/>
      </c>
      <c r="S1944" s="348" t="str">
        <f t="shared" si="250"/>
        <v/>
      </c>
      <c r="T1944" s="348" t="str">
        <f t="shared" si="251"/>
        <v/>
      </c>
      <c r="U1944" s="348" t="str">
        <f t="shared" si="252"/>
        <v/>
      </c>
      <c r="V1944" s="348" t="str">
        <f t="shared" si="253"/>
        <v/>
      </c>
      <c r="W1944" s="348" t="str">
        <f t="shared" si="254"/>
        <v/>
      </c>
      <c r="X1944" s="348" t="str">
        <f t="shared" si="255"/>
        <v/>
      </c>
    </row>
    <row r="1945" spans="1:24" x14ac:dyDescent="0.2">
      <c r="A1945" s="407">
        <v>1937</v>
      </c>
      <c r="B1945" s="438"/>
      <c r="C1945" s="438"/>
      <c r="D1945" s="438"/>
      <c r="E1945" s="438"/>
      <c r="F1945" s="438"/>
      <c r="G1945" s="438"/>
      <c r="H1945" s="438"/>
      <c r="I1945" s="438"/>
      <c r="J1945" s="11"/>
      <c r="Q1945" s="348" t="str">
        <f t="shared" si="248"/>
        <v/>
      </c>
      <c r="R1945" s="348" t="str">
        <f t="shared" si="249"/>
        <v/>
      </c>
      <c r="S1945" s="348" t="str">
        <f t="shared" si="250"/>
        <v/>
      </c>
      <c r="T1945" s="348" t="str">
        <f t="shared" si="251"/>
        <v/>
      </c>
      <c r="U1945" s="348" t="str">
        <f t="shared" si="252"/>
        <v/>
      </c>
      <c r="V1945" s="348" t="str">
        <f t="shared" si="253"/>
        <v/>
      </c>
      <c r="W1945" s="348" t="str">
        <f t="shared" si="254"/>
        <v/>
      </c>
      <c r="X1945" s="348" t="str">
        <f t="shared" si="255"/>
        <v/>
      </c>
    </row>
    <row r="1946" spans="1:24" x14ac:dyDescent="0.2">
      <c r="A1946" s="407">
        <v>1938</v>
      </c>
      <c r="B1946" s="438"/>
      <c r="C1946" s="438"/>
      <c r="D1946" s="438"/>
      <c r="E1946" s="438"/>
      <c r="F1946" s="438"/>
      <c r="G1946" s="438"/>
      <c r="H1946" s="438"/>
      <c r="I1946" s="438"/>
      <c r="J1946" s="11"/>
      <c r="Q1946" s="348" t="str">
        <f t="shared" si="248"/>
        <v/>
      </c>
      <c r="R1946" s="348" t="str">
        <f t="shared" si="249"/>
        <v/>
      </c>
      <c r="S1946" s="348" t="str">
        <f t="shared" si="250"/>
        <v/>
      </c>
      <c r="T1946" s="348" t="str">
        <f t="shared" si="251"/>
        <v/>
      </c>
      <c r="U1946" s="348" t="str">
        <f t="shared" si="252"/>
        <v/>
      </c>
      <c r="V1946" s="348" t="str">
        <f t="shared" si="253"/>
        <v/>
      </c>
      <c r="W1946" s="348" t="str">
        <f t="shared" si="254"/>
        <v/>
      </c>
      <c r="X1946" s="348" t="str">
        <f t="shared" si="255"/>
        <v/>
      </c>
    </row>
    <row r="1947" spans="1:24" x14ac:dyDescent="0.2">
      <c r="A1947" s="407">
        <v>1939</v>
      </c>
      <c r="B1947" s="438"/>
      <c r="C1947" s="438"/>
      <c r="D1947" s="438"/>
      <c r="E1947" s="438"/>
      <c r="F1947" s="438"/>
      <c r="G1947" s="438"/>
      <c r="H1947" s="438"/>
      <c r="I1947" s="438"/>
      <c r="J1947" s="11"/>
      <c r="Q1947" s="348" t="str">
        <f t="shared" si="248"/>
        <v/>
      </c>
      <c r="R1947" s="348" t="str">
        <f t="shared" si="249"/>
        <v/>
      </c>
      <c r="S1947" s="348" t="str">
        <f t="shared" si="250"/>
        <v/>
      </c>
      <c r="T1947" s="348" t="str">
        <f t="shared" si="251"/>
        <v/>
      </c>
      <c r="U1947" s="348" t="str">
        <f t="shared" si="252"/>
        <v/>
      </c>
      <c r="V1947" s="348" t="str">
        <f t="shared" si="253"/>
        <v/>
      </c>
      <c r="W1947" s="348" t="str">
        <f t="shared" si="254"/>
        <v/>
      </c>
      <c r="X1947" s="348" t="str">
        <f t="shared" si="255"/>
        <v/>
      </c>
    </row>
    <row r="1948" spans="1:24" x14ac:dyDescent="0.2">
      <c r="A1948" s="407">
        <v>1940</v>
      </c>
      <c r="B1948" s="438"/>
      <c r="C1948" s="438"/>
      <c r="D1948" s="438"/>
      <c r="E1948" s="438"/>
      <c r="F1948" s="438"/>
      <c r="G1948" s="438"/>
      <c r="H1948" s="438"/>
      <c r="I1948" s="438"/>
      <c r="J1948" s="11"/>
      <c r="Q1948" s="348" t="str">
        <f t="shared" si="248"/>
        <v/>
      </c>
      <c r="R1948" s="348" t="str">
        <f t="shared" si="249"/>
        <v/>
      </c>
      <c r="S1948" s="348" t="str">
        <f t="shared" si="250"/>
        <v/>
      </c>
      <c r="T1948" s="348" t="str">
        <f t="shared" si="251"/>
        <v/>
      </c>
      <c r="U1948" s="348" t="str">
        <f t="shared" si="252"/>
        <v/>
      </c>
      <c r="V1948" s="348" t="str">
        <f t="shared" si="253"/>
        <v/>
      </c>
      <c r="W1948" s="348" t="str">
        <f t="shared" si="254"/>
        <v/>
      </c>
      <c r="X1948" s="348" t="str">
        <f t="shared" si="255"/>
        <v/>
      </c>
    </row>
    <row r="1949" spans="1:24" x14ac:dyDescent="0.2">
      <c r="A1949" s="407">
        <v>1941</v>
      </c>
      <c r="B1949" s="438"/>
      <c r="C1949" s="438"/>
      <c r="D1949" s="438"/>
      <c r="E1949" s="438"/>
      <c r="F1949" s="438"/>
      <c r="G1949" s="438"/>
      <c r="H1949" s="438"/>
      <c r="I1949" s="438"/>
      <c r="J1949" s="11"/>
      <c r="Q1949" s="348" t="str">
        <f t="shared" si="248"/>
        <v/>
      </c>
      <c r="R1949" s="348" t="str">
        <f t="shared" si="249"/>
        <v/>
      </c>
      <c r="S1949" s="348" t="str">
        <f t="shared" si="250"/>
        <v/>
      </c>
      <c r="T1949" s="348" t="str">
        <f t="shared" si="251"/>
        <v/>
      </c>
      <c r="U1949" s="348" t="str">
        <f t="shared" si="252"/>
        <v/>
      </c>
      <c r="V1949" s="348" t="str">
        <f t="shared" si="253"/>
        <v/>
      </c>
      <c r="W1949" s="348" t="str">
        <f t="shared" si="254"/>
        <v/>
      </c>
      <c r="X1949" s="348" t="str">
        <f t="shared" si="255"/>
        <v/>
      </c>
    </row>
    <row r="1950" spans="1:24" x14ac:dyDescent="0.2">
      <c r="A1950" s="407">
        <v>1942</v>
      </c>
      <c r="B1950" s="438"/>
      <c r="C1950" s="438"/>
      <c r="D1950" s="438"/>
      <c r="E1950" s="438"/>
      <c r="F1950" s="438"/>
      <c r="G1950" s="438"/>
      <c r="H1950" s="438"/>
      <c r="I1950" s="438"/>
      <c r="J1950" s="11"/>
      <c r="Q1950" s="348" t="str">
        <f t="shared" si="248"/>
        <v/>
      </c>
      <c r="R1950" s="348" t="str">
        <f t="shared" si="249"/>
        <v/>
      </c>
      <c r="S1950" s="348" t="str">
        <f t="shared" si="250"/>
        <v/>
      </c>
      <c r="T1950" s="348" t="str">
        <f t="shared" si="251"/>
        <v/>
      </c>
      <c r="U1950" s="348" t="str">
        <f t="shared" si="252"/>
        <v/>
      </c>
      <c r="V1950" s="348" t="str">
        <f t="shared" si="253"/>
        <v/>
      </c>
      <c r="W1950" s="348" t="str">
        <f t="shared" si="254"/>
        <v/>
      </c>
      <c r="X1950" s="348" t="str">
        <f t="shared" si="255"/>
        <v/>
      </c>
    </row>
    <row r="1951" spans="1:24" x14ac:dyDescent="0.2">
      <c r="A1951" s="407">
        <v>1943</v>
      </c>
      <c r="B1951" s="438"/>
      <c r="C1951" s="438"/>
      <c r="D1951" s="438"/>
      <c r="E1951" s="438"/>
      <c r="F1951" s="438"/>
      <c r="G1951" s="438"/>
      <c r="H1951" s="438"/>
      <c r="I1951" s="438"/>
      <c r="J1951" s="11"/>
      <c r="Q1951" s="348" t="str">
        <f t="shared" si="248"/>
        <v/>
      </c>
      <c r="R1951" s="348" t="str">
        <f t="shared" si="249"/>
        <v/>
      </c>
      <c r="S1951" s="348" t="str">
        <f t="shared" si="250"/>
        <v/>
      </c>
      <c r="T1951" s="348" t="str">
        <f t="shared" si="251"/>
        <v/>
      </c>
      <c r="U1951" s="348" t="str">
        <f t="shared" si="252"/>
        <v/>
      </c>
      <c r="V1951" s="348" t="str">
        <f t="shared" si="253"/>
        <v/>
      </c>
      <c r="W1951" s="348" t="str">
        <f t="shared" si="254"/>
        <v/>
      </c>
      <c r="X1951" s="348" t="str">
        <f t="shared" si="255"/>
        <v/>
      </c>
    </row>
    <row r="1952" spans="1:24" x14ac:dyDescent="0.2">
      <c r="A1952" s="407">
        <v>1944</v>
      </c>
      <c r="B1952" s="438"/>
      <c r="C1952" s="438"/>
      <c r="D1952" s="438"/>
      <c r="E1952" s="438"/>
      <c r="F1952" s="438"/>
      <c r="G1952" s="438"/>
      <c r="H1952" s="438"/>
      <c r="I1952" s="438"/>
      <c r="J1952" s="11"/>
      <c r="Q1952" s="348" t="str">
        <f t="shared" si="248"/>
        <v/>
      </c>
      <c r="R1952" s="348" t="str">
        <f t="shared" si="249"/>
        <v/>
      </c>
      <c r="S1952" s="348" t="str">
        <f t="shared" si="250"/>
        <v/>
      </c>
      <c r="T1952" s="348" t="str">
        <f t="shared" si="251"/>
        <v/>
      </c>
      <c r="U1952" s="348" t="str">
        <f t="shared" si="252"/>
        <v/>
      </c>
      <c r="V1952" s="348" t="str">
        <f t="shared" si="253"/>
        <v/>
      </c>
      <c r="W1952" s="348" t="str">
        <f t="shared" si="254"/>
        <v/>
      </c>
      <c r="X1952" s="348" t="str">
        <f t="shared" si="255"/>
        <v/>
      </c>
    </row>
    <row r="1953" spans="1:24" x14ac:dyDescent="0.2">
      <c r="A1953" s="407">
        <v>1945</v>
      </c>
      <c r="B1953" s="437"/>
      <c r="C1953" s="438"/>
      <c r="D1953" s="438"/>
      <c r="E1953" s="438"/>
      <c r="F1953" s="438"/>
      <c r="G1953" s="438"/>
      <c r="H1953" s="438"/>
      <c r="I1953" s="438"/>
      <c r="J1953" s="11"/>
      <c r="Q1953" s="348" t="str">
        <f t="shared" si="248"/>
        <v/>
      </c>
      <c r="R1953" s="348" t="str">
        <f t="shared" si="249"/>
        <v/>
      </c>
      <c r="S1953" s="348" t="str">
        <f t="shared" si="250"/>
        <v/>
      </c>
      <c r="T1953" s="348" t="str">
        <f t="shared" si="251"/>
        <v/>
      </c>
      <c r="U1953" s="348" t="str">
        <f t="shared" si="252"/>
        <v/>
      </c>
      <c r="V1953" s="348" t="str">
        <f t="shared" si="253"/>
        <v/>
      </c>
      <c r="W1953" s="348" t="str">
        <f t="shared" si="254"/>
        <v/>
      </c>
      <c r="X1953" s="348" t="str">
        <f t="shared" si="255"/>
        <v/>
      </c>
    </row>
    <row r="1954" spans="1:24" x14ac:dyDescent="0.2">
      <c r="A1954" s="407">
        <v>1946</v>
      </c>
      <c r="B1954" s="438"/>
      <c r="C1954" s="438"/>
      <c r="D1954" s="437"/>
      <c r="E1954" s="438"/>
      <c r="F1954" s="438"/>
      <c r="G1954" s="438"/>
      <c r="H1954" s="438"/>
      <c r="I1954" s="438"/>
      <c r="J1954" s="11"/>
      <c r="Q1954" s="348" t="str">
        <f t="shared" si="248"/>
        <v/>
      </c>
      <c r="R1954" s="348" t="str">
        <f t="shared" si="249"/>
        <v/>
      </c>
      <c r="S1954" s="348" t="str">
        <f t="shared" si="250"/>
        <v/>
      </c>
      <c r="T1954" s="348" t="str">
        <f t="shared" si="251"/>
        <v/>
      </c>
      <c r="U1954" s="348" t="str">
        <f t="shared" si="252"/>
        <v/>
      </c>
      <c r="V1954" s="348" t="str">
        <f t="shared" si="253"/>
        <v/>
      </c>
      <c r="W1954" s="348" t="str">
        <f t="shared" si="254"/>
        <v/>
      </c>
      <c r="X1954" s="348" t="str">
        <f t="shared" si="255"/>
        <v/>
      </c>
    </row>
    <row r="1955" spans="1:24" x14ac:dyDescent="0.2">
      <c r="A1955" s="407">
        <v>1947</v>
      </c>
      <c r="B1955" s="438"/>
      <c r="C1955" s="438"/>
      <c r="D1955" s="438"/>
      <c r="E1955" s="438"/>
      <c r="F1955" s="438"/>
      <c r="G1955" s="438"/>
      <c r="H1955" s="438"/>
      <c r="I1955" s="438"/>
      <c r="J1955" s="11"/>
      <c r="Q1955" s="348" t="str">
        <f t="shared" si="248"/>
        <v/>
      </c>
      <c r="R1955" s="348" t="str">
        <f t="shared" si="249"/>
        <v/>
      </c>
      <c r="S1955" s="348" t="str">
        <f t="shared" si="250"/>
        <v/>
      </c>
      <c r="T1955" s="348" t="str">
        <f t="shared" si="251"/>
        <v/>
      </c>
      <c r="U1955" s="348" t="str">
        <f t="shared" si="252"/>
        <v/>
      </c>
      <c r="V1955" s="348" t="str">
        <f t="shared" si="253"/>
        <v/>
      </c>
      <c r="W1955" s="348" t="str">
        <f t="shared" si="254"/>
        <v/>
      </c>
      <c r="X1955" s="348" t="str">
        <f t="shared" si="255"/>
        <v/>
      </c>
    </row>
    <row r="1956" spans="1:24" x14ac:dyDescent="0.2">
      <c r="A1956" s="407">
        <v>1948</v>
      </c>
      <c r="B1956" s="438"/>
      <c r="C1956" s="438"/>
      <c r="D1956" s="438"/>
      <c r="E1956" s="438"/>
      <c r="F1956" s="438"/>
      <c r="G1956" s="438"/>
      <c r="H1956" s="438"/>
      <c r="I1956" s="438"/>
      <c r="J1956" s="11"/>
      <c r="Q1956" s="348" t="str">
        <f t="shared" si="248"/>
        <v/>
      </c>
      <c r="R1956" s="348" t="str">
        <f t="shared" si="249"/>
        <v/>
      </c>
      <c r="S1956" s="348" t="str">
        <f t="shared" si="250"/>
        <v/>
      </c>
      <c r="T1956" s="348" t="str">
        <f t="shared" si="251"/>
        <v/>
      </c>
      <c r="U1956" s="348" t="str">
        <f t="shared" si="252"/>
        <v/>
      </c>
      <c r="V1956" s="348" t="str">
        <f t="shared" si="253"/>
        <v/>
      </c>
      <c r="W1956" s="348" t="str">
        <f t="shared" si="254"/>
        <v/>
      </c>
      <c r="X1956" s="348" t="str">
        <f t="shared" si="255"/>
        <v/>
      </c>
    </row>
    <row r="1957" spans="1:24" x14ac:dyDescent="0.2">
      <c r="A1957" s="407">
        <v>1949</v>
      </c>
      <c r="B1957" s="438"/>
      <c r="C1957" s="438"/>
      <c r="D1957" s="438"/>
      <c r="E1957" s="438"/>
      <c r="F1957" s="438"/>
      <c r="G1957" s="438"/>
      <c r="H1957" s="438"/>
      <c r="I1957" s="438"/>
      <c r="J1957" s="11"/>
      <c r="Q1957" s="348" t="str">
        <f t="shared" si="248"/>
        <v/>
      </c>
      <c r="R1957" s="348" t="str">
        <f t="shared" si="249"/>
        <v/>
      </c>
      <c r="S1957" s="348" t="str">
        <f t="shared" si="250"/>
        <v/>
      </c>
      <c r="T1957" s="348" t="str">
        <f t="shared" si="251"/>
        <v/>
      </c>
      <c r="U1957" s="348" t="str">
        <f t="shared" si="252"/>
        <v/>
      </c>
      <c r="V1957" s="348" t="str">
        <f t="shared" si="253"/>
        <v/>
      </c>
      <c r="W1957" s="348" t="str">
        <f t="shared" si="254"/>
        <v/>
      </c>
      <c r="X1957" s="348" t="str">
        <f t="shared" si="255"/>
        <v/>
      </c>
    </row>
    <row r="1958" spans="1:24" x14ac:dyDescent="0.2">
      <c r="A1958" s="407">
        <v>1950</v>
      </c>
      <c r="B1958" s="438"/>
      <c r="C1958" s="437"/>
      <c r="D1958" s="438"/>
      <c r="E1958" s="438"/>
      <c r="F1958" s="438"/>
      <c r="G1958" s="438"/>
      <c r="H1958" s="438"/>
      <c r="I1958" s="437"/>
      <c r="J1958" s="11"/>
      <c r="Q1958" s="348" t="str">
        <f t="shared" si="248"/>
        <v/>
      </c>
      <c r="R1958" s="348" t="str">
        <f t="shared" si="249"/>
        <v/>
      </c>
      <c r="S1958" s="348" t="str">
        <f t="shared" si="250"/>
        <v/>
      </c>
      <c r="T1958" s="348" t="str">
        <f t="shared" si="251"/>
        <v/>
      </c>
      <c r="U1958" s="348" t="str">
        <f t="shared" si="252"/>
        <v/>
      </c>
      <c r="V1958" s="348" t="str">
        <f t="shared" si="253"/>
        <v/>
      </c>
      <c r="W1958" s="348" t="str">
        <f t="shared" si="254"/>
        <v/>
      </c>
      <c r="X1958" s="348" t="str">
        <f t="shared" si="255"/>
        <v/>
      </c>
    </row>
    <row r="1959" spans="1:24" x14ac:dyDescent="0.2">
      <c r="A1959" s="407">
        <v>1951</v>
      </c>
      <c r="B1959" s="438"/>
      <c r="C1959" s="438"/>
      <c r="D1959" s="438"/>
      <c r="E1959" s="437"/>
      <c r="F1959" s="438"/>
      <c r="G1959" s="438"/>
      <c r="H1959" s="438"/>
      <c r="I1959" s="438"/>
      <c r="J1959" s="11"/>
      <c r="Q1959" s="348" t="str">
        <f t="shared" si="248"/>
        <v/>
      </c>
      <c r="R1959" s="348" t="str">
        <f t="shared" si="249"/>
        <v/>
      </c>
      <c r="S1959" s="348" t="str">
        <f t="shared" si="250"/>
        <v/>
      </c>
      <c r="T1959" s="348" t="str">
        <f t="shared" si="251"/>
        <v/>
      </c>
      <c r="U1959" s="348" t="str">
        <f t="shared" si="252"/>
        <v/>
      </c>
      <c r="V1959" s="348" t="str">
        <f t="shared" si="253"/>
        <v/>
      </c>
      <c r="W1959" s="348" t="str">
        <f t="shared" si="254"/>
        <v/>
      </c>
      <c r="X1959" s="348" t="str">
        <f t="shared" si="255"/>
        <v/>
      </c>
    </row>
    <row r="1960" spans="1:24" x14ac:dyDescent="0.2">
      <c r="A1960" s="407">
        <v>1952</v>
      </c>
      <c r="B1960" s="438"/>
      <c r="C1960" s="438"/>
      <c r="D1960" s="438"/>
      <c r="E1960" s="438"/>
      <c r="F1960" s="438"/>
      <c r="G1960" s="438"/>
      <c r="H1960" s="438"/>
      <c r="I1960" s="438"/>
      <c r="J1960" s="11"/>
      <c r="Q1960" s="348" t="str">
        <f t="shared" si="248"/>
        <v/>
      </c>
      <c r="R1960" s="348" t="str">
        <f t="shared" si="249"/>
        <v/>
      </c>
      <c r="S1960" s="348" t="str">
        <f t="shared" si="250"/>
        <v/>
      </c>
      <c r="T1960" s="348" t="str">
        <f t="shared" si="251"/>
        <v/>
      </c>
      <c r="U1960" s="348" t="str">
        <f t="shared" si="252"/>
        <v/>
      </c>
      <c r="V1960" s="348" t="str">
        <f t="shared" si="253"/>
        <v/>
      </c>
      <c r="W1960" s="348" t="str">
        <f t="shared" si="254"/>
        <v/>
      </c>
      <c r="X1960" s="348" t="str">
        <f t="shared" si="255"/>
        <v/>
      </c>
    </row>
    <row r="1961" spans="1:24" x14ac:dyDescent="0.2">
      <c r="A1961" s="407">
        <v>1953</v>
      </c>
      <c r="B1961" s="438"/>
      <c r="C1961" s="438"/>
      <c r="D1961" s="438"/>
      <c r="E1961" s="438"/>
      <c r="F1961" s="438"/>
      <c r="G1961" s="438"/>
      <c r="H1961" s="438"/>
      <c r="I1961" s="438"/>
      <c r="J1961" s="11"/>
      <c r="Q1961" s="348" t="str">
        <f t="shared" si="248"/>
        <v/>
      </c>
      <c r="R1961" s="348" t="str">
        <f t="shared" si="249"/>
        <v/>
      </c>
      <c r="S1961" s="348" t="str">
        <f t="shared" si="250"/>
        <v/>
      </c>
      <c r="T1961" s="348" t="str">
        <f t="shared" si="251"/>
        <v/>
      </c>
      <c r="U1961" s="348" t="str">
        <f t="shared" si="252"/>
        <v/>
      </c>
      <c r="V1961" s="348" t="str">
        <f t="shared" si="253"/>
        <v/>
      </c>
      <c r="W1961" s="348" t="str">
        <f t="shared" si="254"/>
        <v/>
      </c>
      <c r="X1961" s="348" t="str">
        <f t="shared" si="255"/>
        <v/>
      </c>
    </row>
    <row r="1962" spans="1:24" x14ac:dyDescent="0.2">
      <c r="A1962" s="407">
        <v>1954</v>
      </c>
      <c r="B1962" s="438"/>
      <c r="C1962" s="438"/>
      <c r="D1962" s="438"/>
      <c r="E1962" s="438"/>
      <c r="F1962" s="438"/>
      <c r="G1962" s="438"/>
      <c r="H1962" s="438"/>
      <c r="I1962" s="438"/>
      <c r="J1962" s="11"/>
      <c r="Q1962" s="348" t="str">
        <f t="shared" si="248"/>
        <v/>
      </c>
      <c r="R1962" s="348" t="str">
        <f t="shared" si="249"/>
        <v/>
      </c>
      <c r="S1962" s="348" t="str">
        <f t="shared" si="250"/>
        <v/>
      </c>
      <c r="T1962" s="348" t="str">
        <f t="shared" si="251"/>
        <v/>
      </c>
      <c r="U1962" s="348" t="str">
        <f t="shared" si="252"/>
        <v/>
      </c>
      <c r="V1962" s="348" t="str">
        <f t="shared" si="253"/>
        <v/>
      </c>
      <c r="W1962" s="348" t="str">
        <f t="shared" si="254"/>
        <v/>
      </c>
      <c r="X1962" s="348" t="str">
        <f t="shared" si="255"/>
        <v/>
      </c>
    </row>
    <row r="1963" spans="1:24" x14ac:dyDescent="0.2">
      <c r="A1963" s="407">
        <v>1955</v>
      </c>
      <c r="B1963" s="437"/>
      <c r="C1963" s="438"/>
      <c r="D1963" s="438"/>
      <c r="E1963" s="438"/>
      <c r="F1963" s="438"/>
      <c r="G1963" s="438"/>
      <c r="H1963" s="438"/>
      <c r="I1963" s="438"/>
      <c r="J1963" s="11"/>
      <c r="Q1963" s="348" t="str">
        <f t="shared" si="248"/>
        <v/>
      </c>
      <c r="R1963" s="348" t="str">
        <f t="shared" si="249"/>
        <v/>
      </c>
      <c r="S1963" s="348" t="str">
        <f t="shared" si="250"/>
        <v/>
      </c>
      <c r="T1963" s="348" t="str">
        <f t="shared" si="251"/>
        <v/>
      </c>
      <c r="U1963" s="348" t="str">
        <f t="shared" si="252"/>
        <v/>
      </c>
      <c r="V1963" s="348" t="str">
        <f t="shared" si="253"/>
        <v/>
      </c>
      <c r="W1963" s="348" t="str">
        <f t="shared" si="254"/>
        <v/>
      </c>
      <c r="X1963" s="348" t="str">
        <f t="shared" si="255"/>
        <v/>
      </c>
    </row>
    <row r="1964" spans="1:24" x14ac:dyDescent="0.2">
      <c r="A1964" s="407">
        <v>1956</v>
      </c>
      <c r="B1964" s="438"/>
      <c r="C1964" s="438"/>
      <c r="D1964" s="438"/>
      <c r="E1964" s="438"/>
      <c r="F1964" s="438"/>
      <c r="G1964" s="438"/>
      <c r="H1964" s="438"/>
      <c r="I1964" s="438"/>
      <c r="J1964" s="11"/>
      <c r="Q1964" s="348" t="str">
        <f t="shared" si="248"/>
        <v/>
      </c>
      <c r="R1964" s="348" t="str">
        <f t="shared" si="249"/>
        <v/>
      </c>
      <c r="S1964" s="348" t="str">
        <f t="shared" si="250"/>
        <v/>
      </c>
      <c r="T1964" s="348" t="str">
        <f t="shared" si="251"/>
        <v/>
      </c>
      <c r="U1964" s="348" t="str">
        <f t="shared" si="252"/>
        <v/>
      </c>
      <c r="V1964" s="348" t="str">
        <f t="shared" si="253"/>
        <v/>
      </c>
      <c r="W1964" s="348" t="str">
        <f t="shared" si="254"/>
        <v/>
      </c>
      <c r="X1964" s="348" t="str">
        <f t="shared" si="255"/>
        <v/>
      </c>
    </row>
    <row r="1965" spans="1:24" x14ac:dyDescent="0.2">
      <c r="A1965" s="407">
        <v>1957</v>
      </c>
      <c r="B1965" s="438"/>
      <c r="C1965" s="438"/>
      <c r="D1965" s="438"/>
      <c r="E1965" s="438"/>
      <c r="F1965" s="438"/>
      <c r="G1965" s="438"/>
      <c r="H1965" s="438"/>
      <c r="I1965" s="438"/>
      <c r="J1965" s="11"/>
      <c r="Q1965" s="348" t="str">
        <f t="shared" si="248"/>
        <v/>
      </c>
      <c r="R1965" s="348" t="str">
        <f t="shared" si="249"/>
        <v/>
      </c>
      <c r="S1965" s="348" t="str">
        <f t="shared" si="250"/>
        <v/>
      </c>
      <c r="T1965" s="348" t="str">
        <f t="shared" si="251"/>
        <v/>
      </c>
      <c r="U1965" s="348" t="str">
        <f t="shared" si="252"/>
        <v/>
      </c>
      <c r="V1965" s="348" t="str">
        <f t="shared" si="253"/>
        <v/>
      </c>
      <c r="W1965" s="348" t="str">
        <f t="shared" si="254"/>
        <v/>
      </c>
      <c r="X1965" s="348" t="str">
        <f t="shared" si="255"/>
        <v/>
      </c>
    </row>
    <row r="1966" spans="1:24" x14ac:dyDescent="0.2">
      <c r="A1966" s="407">
        <v>1958</v>
      </c>
      <c r="B1966" s="438"/>
      <c r="C1966" s="438"/>
      <c r="D1966" s="438"/>
      <c r="E1966" s="438"/>
      <c r="F1966" s="438"/>
      <c r="G1966" s="438"/>
      <c r="H1966" s="438"/>
      <c r="I1966" s="438"/>
      <c r="J1966" s="11"/>
      <c r="Q1966" s="348" t="str">
        <f t="shared" si="248"/>
        <v/>
      </c>
      <c r="R1966" s="348" t="str">
        <f t="shared" si="249"/>
        <v/>
      </c>
      <c r="S1966" s="348" t="str">
        <f t="shared" si="250"/>
        <v/>
      </c>
      <c r="T1966" s="348" t="str">
        <f t="shared" si="251"/>
        <v/>
      </c>
      <c r="U1966" s="348" t="str">
        <f t="shared" si="252"/>
        <v/>
      </c>
      <c r="V1966" s="348" t="str">
        <f t="shared" si="253"/>
        <v/>
      </c>
      <c r="W1966" s="348" t="str">
        <f t="shared" si="254"/>
        <v/>
      </c>
      <c r="X1966" s="348" t="str">
        <f t="shared" si="255"/>
        <v/>
      </c>
    </row>
    <row r="1967" spans="1:24" x14ac:dyDescent="0.2">
      <c r="A1967" s="407">
        <v>1959</v>
      </c>
      <c r="B1967" s="438"/>
      <c r="C1967" s="438"/>
      <c r="D1967" s="438"/>
      <c r="E1967" s="438"/>
      <c r="F1967" s="438"/>
      <c r="G1967" s="438"/>
      <c r="H1967" s="438"/>
      <c r="I1967" s="438"/>
      <c r="J1967" s="11"/>
      <c r="Q1967" s="348" t="str">
        <f t="shared" si="248"/>
        <v/>
      </c>
      <c r="R1967" s="348" t="str">
        <f t="shared" si="249"/>
        <v/>
      </c>
      <c r="S1967" s="348" t="str">
        <f t="shared" si="250"/>
        <v/>
      </c>
      <c r="T1967" s="348" t="str">
        <f t="shared" si="251"/>
        <v/>
      </c>
      <c r="U1967" s="348" t="str">
        <f t="shared" si="252"/>
        <v/>
      </c>
      <c r="V1967" s="348" t="str">
        <f t="shared" si="253"/>
        <v/>
      </c>
      <c r="W1967" s="348" t="str">
        <f t="shared" si="254"/>
        <v/>
      </c>
      <c r="X1967" s="348" t="str">
        <f t="shared" si="255"/>
        <v/>
      </c>
    </row>
    <row r="1968" spans="1:24" x14ac:dyDescent="0.2">
      <c r="A1968" s="407">
        <v>1960</v>
      </c>
      <c r="B1968" s="438"/>
      <c r="C1968" s="438"/>
      <c r="D1968" s="438"/>
      <c r="E1968" s="438"/>
      <c r="F1968" s="438"/>
      <c r="G1968" s="438"/>
      <c r="H1968" s="438"/>
      <c r="I1968" s="438"/>
      <c r="J1968" s="11"/>
      <c r="Q1968" s="348" t="str">
        <f t="shared" si="248"/>
        <v/>
      </c>
      <c r="R1968" s="348" t="str">
        <f t="shared" si="249"/>
        <v/>
      </c>
      <c r="S1968" s="348" t="str">
        <f t="shared" si="250"/>
        <v/>
      </c>
      <c r="T1968" s="348" t="str">
        <f t="shared" si="251"/>
        <v/>
      </c>
      <c r="U1968" s="348" t="str">
        <f t="shared" si="252"/>
        <v/>
      </c>
      <c r="V1968" s="348" t="str">
        <f t="shared" si="253"/>
        <v/>
      </c>
      <c r="W1968" s="348" t="str">
        <f t="shared" si="254"/>
        <v/>
      </c>
      <c r="X1968" s="348" t="str">
        <f t="shared" si="255"/>
        <v/>
      </c>
    </row>
    <row r="1969" spans="1:24" x14ac:dyDescent="0.2">
      <c r="A1969" s="407">
        <v>1961</v>
      </c>
      <c r="B1969" s="438"/>
      <c r="C1969" s="438"/>
      <c r="D1969" s="438"/>
      <c r="E1969" s="438"/>
      <c r="F1969" s="438"/>
      <c r="G1969" s="438"/>
      <c r="H1969" s="438"/>
      <c r="I1969" s="438"/>
      <c r="J1969" s="11"/>
      <c r="Q1969" s="348" t="str">
        <f t="shared" si="248"/>
        <v/>
      </c>
      <c r="R1969" s="348" t="str">
        <f t="shared" si="249"/>
        <v/>
      </c>
      <c r="S1969" s="348" t="str">
        <f t="shared" si="250"/>
        <v/>
      </c>
      <c r="T1969" s="348" t="str">
        <f t="shared" si="251"/>
        <v/>
      </c>
      <c r="U1969" s="348" t="str">
        <f t="shared" si="252"/>
        <v/>
      </c>
      <c r="V1969" s="348" t="str">
        <f t="shared" si="253"/>
        <v/>
      </c>
      <c r="W1969" s="348" t="str">
        <f t="shared" si="254"/>
        <v/>
      </c>
      <c r="X1969" s="348" t="str">
        <f t="shared" si="255"/>
        <v/>
      </c>
    </row>
    <row r="1970" spans="1:24" x14ac:dyDescent="0.2">
      <c r="A1970" s="407">
        <v>1962</v>
      </c>
      <c r="B1970" s="438"/>
      <c r="C1970" s="438"/>
      <c r="D1970" s="438"/>
      <c r="E1970" s="438"/>
      <c r="F1970" s="438"/>
      <c r="G1970" s="437"/>
      <c r="H1970" s="438"/>
      <c r="I1970" s="438"/>
      <c r="J1970" s="11"/>
      <c r="Q1970" s="348" t="str">
        <f t="shared" si="248"/>
        <v/>
      </c>
      <c r="R1970" s="348" t="str">
        <f t="shared" si="249"/>
        <v/>
      </c>
      <c r="S1970" s="348" t="str">
        <f t="shared" si="250"/>
        <v/>
      </c>
      <c r="T1970" s="348" t="str">
        <f t="shared" si="251"/>
        <v/>
      </c>
      <c r="U1970" s="348" t="str">
        <f t="shared" si="252"/>
        <v/>
      </c>
      <c r="V1970" s="348" t="str">
        <f t="shared" si="253"/>
        <v/>
      </c>
      <c r="W1970" s="348" t="str">
        <f t="shared" si="254"/>
        <v/>
      </c>
      <c r="X1970" s="348" t="str">
        <f t="shared" si="255"/>
        <v/>
      </c>
    </row>
    <row r="1971" spans="1:24" x14ac:dyDescent="0.2">
      <c r="A1971" s="407">
        <v>1963</v>
      </c>
      <c r="B1971" s="438"/>
      <c r="C1971" s="438"/>
      <c r="D1971" s="438"/>
      <c r="E1971" s="438"/>
      <c r="F1971" s="438"/>
      <c r="G1971" s="438"/>
      <c r="H1971" s="438"/>
      <c r="I1971" s="438"/>
      <c r="J1971" s="11"/>
      <c r="Q1971" s="348" t="str">
        <f t="shared" si="248"/>
        <v/>
      </c>
      <c r="R1971" s="348" t="str">
        <f t="shared" si="249"/>
        <v/>
      </c>
      <c r="S1971" s="348" t="str">
        <f t="shared" si="250"/>
        <v/>
      </c>
      <c r="T1971" s="348" t="str">
        <f t="shared" si="251"/>
        <v/>
      </c>
      <c r="U1971" s="348" t="str">
        <f t="shared" si="252"/>
        <v/>
      </c>
      <c r="V1971" s="348" t="str">
        <f t="shared" si="253"/>
        <v/>
      </c>
      <c r="W1971" s="348" t="str">
        <f t="shared" si="254"/>
        <v/>
      </c>
      <c r="X1971" s="348" t="str">
        <f t="shared" si="255"/>
        <v/>
      </c>
    </row>
    <row r="1972" spans="1:24" x14ac:dyDescent="0.2">
      <c r="A1972" s="407">
        <v>1964</v>
      </c>
      <c r="B1972" s="438"/>
      <c r="C1972" s="437"/>
      <c r="D1972" s="438"/>
      <c r="E1972" s="438"/>
      <c r="F1972" s="437"/>
      <c r="G1972" s="438"/>
      <c r="H1972" s="437"/>
      <c r="I1972" s="438"/>
      <c r="J1972" s="11"/>
      <c r="Q1972" s="348" t="str">
        <f t="shared" si="248"/>
        <v/>
      </c>
      <c r="R1972" s="348" t="str">
        <f t="shared" si="249"/>
        <v/>
      </c>
      <c r="S1972" s="348" t="str">
        <f t="shared" si="250"/>
        <v/>
      </c>
      <c r="T1972" s="348" t="str">
        <f t="shared" si="251"/>
        <v/>
      </c>
      <c r="U1972" s="348" t="str">
        <f t="shared" si="252"/>
        <v/>
      </c>
      <c r="V1972" s="348" t="str">
        <f t="shared" si="253"/>
        <v/>
      </c>
      <c r="W1972" s="348" t="str">
        <f t="shared" si="254"/>
        <v/>
      </c>
      <c r="X1972" s="348" t="str">
        <f t="shared" si="255"/>
        <v/>
      </c>
    </row>
    <row r="1973" spans="1:24" x14ac:dyDescent="0.2">
      <c r="A1973" s="407">
        <v>1965</v>
      </c>
      <c r="B1973" s="438"/>
      <c r="C1973" s="438"/>
      <c r="D1973" s="438"/>
      <c r="E1973" s="438"/>
      <c r="F1973" s="438"/>
      <c r="G1973" s="438"/>
      <c r="H1973" s="438"/>
      <c r="I1973" s="438"/>
      <c r="J1973" s="11"/>
      <c r="Q1973" s="348" t="str">
        <f t="shared" si="248"/>
        <v/>
      </c>
      <c r="R1973" s="348" t="str">
        <f t="shared" si="249"/>
        <v/>
      </c>
      <c r="S1973" s="348" t="str">
        <f t="shared" si="250"/>
        <v/>
      </c>
      <c r="T1973" s="348" t="str">
        <f t="shared" si="251"/>
        <v/>
      </c>
      <c r="U1973" s="348" t="str">
        <f t="shared" si="252"/>
        <v/>
      </c>
      <c r="V1973" s="348" t="str">
        <f t="shared" si="253"/>
        <v/>
      </c>
      <c r="W1973" s="348" t="str">
        <f t="shared" si="254"/>
        <v/>
      </c>
      <c r="X1973" s="348" t="str">
        <f t="shared" si="255"/>
        <v/>
      </c>
    </row>
    <row r="1974" spans="1:24" x14ac:dyDescent="0.2">
      <c r="A1974" s="407">
        <v>1966</v>
      </c>
      <c r="B1974" s="438"/>
      <c r="C1974" s="438"/>
      <c r="D1974" s="438"/>
      <c r="E1974" s="438"/>
      <c r="F1974" s="438"/>
      <c r="G1974" s="438"/>
      <c r="H1974" s="438"/>
      <c r="I1974" s="438"/>
      <c r="J1974" s="11"/>
      <c r="Q1974" s="348" t="str">
        <f t="shared" si="248"/>
        <v/>
      </c>
      <c r="R1974" s="348" t="str">
        <f t="shared" si="249"/>
        <v/>
      </c>
      <c r="S1974" s="348" t="str">
        <f t="shared" si="250"/>
        <v/>
      </c>
      <c r="T1974" s="348" t="str">
        <f t="shared" si="251"/>
        <v/>
      </c>
      <c r="U1974" s="348" t="str">
        <f t="shared" si="252"/>
        <v/>
      </c>
      <c r="V1974" s="348" t="str">
        <f t="shared" si="253"/>
        <v/>
      </c>
      <c r="W1974" s="348" t="str">
        <f t="shared" si="254"/>
        <v/>
      </c>
      <c r="X1974" s="348" t="str">
        <f t="shared" si="255"/>
        <v/>
      </c>
    </row>
    <row r="1975" spans="1:24" x14ac:dyDescent="0.2">
      <c r="A1975" s="407">
        <v>1967</v>
      </c>
      <c r="B1975" s="438"/>
      <c r="C1975" s="438"/>
      <c r="D1975" s="438"/>
      <c r="E1975" s="438"/>
      <c r="F1975" s="438"/>
      <c r="G1975" s="438"/>
      <c r="H1975" s="438"/>
      <c r="I1975" s="438"/>
      <c r="J1975" s="11"/>
      <c r="Q1975" s="348" t="str">
        <f t="shared" si="248"/>
        <v/>
      </c>
      <c r="R1975" s="348" t="str">
        <f t="shared" si="249"/>
        <v/>
      </c>
      <c r="S1975" s="348" t="str">
        <f t="shared" si="250"/>
        <v/>
      </c>
      <c r="T1975" s="348" t="str">
        <f t="shared" si="251"/>
        <v/>
      </c>
      <c r="U1975" s="348" t="str">
        <f t="shared" si="252"/>
        <v/>
      </c>
      <c r="V1975" s="348" t="str">
        <f t="shared" si="253"/>
        <v/>
      </c>
      <c r="W1975" s="348" t="str">
        <f t="shared" si="254"/>
        <v/>
      </c>
      <c r="X1975" s="348" t="str">
        <f t="shared" si="255"/>
        <v/>
      </c>
    </row>
    <row r="1976" spans="1:24" x14ac:dyDescent="0.2">
      <c r="A1976" s="407">
        <v>1968</v>
      </c>
      <c r="B1976" s="438"/>
      <c r="C1976" s="438"/>
      <c r="D1976" s="438"/>
      <c r="E1976" s="438"/>
      <c r="F1976" s="438"/>
      <c r="G1976" s="438"/>
      <c r="H1976" s="438"/>
      <c r="I1976" s="438"/>
      <c r="J1976" s="11"/>
      <c r="Q1976" s="348" t="str">
        <f t="shared" si="248"/>
        <v/>
      </c>
      <c r="R1976" s="348" t="str">
        <f t="shared" si="249"/>
        <v/>
      </c>
      <c r="S1976" s="348" t="str">
        <f t="shared" si="250"/>
        <v/>
      </c>
      <c r="T1976" s="348" t="str">
        <f t="shared" si="251"/>
        <v/>
      </c>
      <c r="U1976" s="348" t="str">
        <f t="shared" si="252"/>
        <v/>
      </c>
      <c r="V1976" s="348" t="str">
        <f t="shared" si="253"/>
        <v/>
      </c>
      <c r="W1976" s="348" t="str">
        <f t="shared" si="254"/>
        <v/>
      </c>
      <c r="X1976" s="348" t="str">
        <f t="shared" si="255"/>
        <v/>
      </c>
    </row>
    <row r="1977" spans="1:24" x14ac:dyDescent="0.2">
      <c r="A1977" s="407">
        <v>1969</v>
      </c>
      <c r="B1977" s="437"/>
      <c r="C1977" s="438"/>
      <c r="D1977" s="438"/>
      <c r="E1977" s="437"/>
      <c r="F1977" s="438"/>
      <c r="G1977" s="438"/>
      <c r="H1977" s="438"/>
      <c r="I1977" s="438"/>
      <c r="J1977" s="11"/>
      <c r="Q1977" s="348" t="str">
        <f t="shared" si="248"/>
        <v/>
      </c>
      <c r="R1977" s="348" t="str">
        <f t="shared" si="249"/>
        <v/>
      </c>
      <c r="S1977" s="348" t="str">
        <f t="shared" si="250"/>
        <v/>
      </c>
      <c r="T1977" s="348" t="str">
        <f t="shared" si="251"/>
        <v/>
      </c>
      <c r="U1977" s="348" t="str">
        <f t="shared" si="252"/>
        <v/>
      </c>
      <c r="V1977" s="348" t="str">
        <f t="shared" si="253"/>
        <v/>
      </c>
      <c r="W1977" s="348" t="str">
        <f t="shared" si="254"/>
        <v/>
      </c>
      <c r="X1977" s="348" t="str">
        <f t="shared" si="255"/>
        <v/>
      </c>
    </row>
    <row r="1978" spans="1:24" x14ac:dyDescent="0.2">
      <c r="A1978" s="407">
        <v>1970</v>
      </c>
      <c r="B1978" s="438"/>
      <c r="C1978" s="438"/>
      <c r="D1978" s="438"/>
      <c r="E1978" s="438"/>
      <c r="F1978" s="438"/>
      <c r="G1978" s="438"/>
      <c r="H1978" s="438"/>
      <c r="I1978" s="438"/>
      <c r="J1978" s="11"/>
      <c r="Q1978" s="348" t="str">
        <f t="shared" si="248"/>
        <v/>
      </c>
      <c r="R1978" s="348" t="str">
        <f t="shared" si="249"/>
        <v/>
      </c>
      <c r="S1978" s="348" t="str">
        <f t="shared" si="250"/>
        <v/>
      </c>
      <c r="T1978" s="348" t="str">
        <f t="shared" si="251"/>
        <v/>
      </c>
      <c r="U1978" s="348" t="str">
        <f t="shared" si="252"/>
        <v/>
      </c>
      <c r="V1978" s="348" t="str">
        <f t="shared" si="253"/>
        <v/>
      </c>
      <c r="W1978" s="348" t="str">
        <f t="shared" si="254"/>
        <v/>
      </c>
      <c r="X1978" s="348" t="str">
        <f t="shared" si="255"/>
        <v/>
      </c>
    </row>
    <row r="1979" spans="1:24" x14ac:dyDescent="0.2">
      <c r="A1979" s="407">
        <v>1971</v>
      </c>
      <c r="B1979" s="438"/>
      <c r="C1979" s="438"/>
      <c r="D1979" s="438"/>
      <c r="E1979" s="438"/>
      <c r="F1979" s="438"/>
      <c r="G1979" s="438"/>
      <c r="H1979" s="438"/>
      <c r="I1979" s="438"/>
      <c r="J1979" s="11"/>
      <c r="Q1979" s="348" t="str">
        <f t="shared" si="248"/>
        <v/>
      </c>
      <c r="R1979" s="348" t="str">
        <f t="shared" si="249"/>
        <v/>
      </c>
      <c r="S1979" s="348" t="str">
        <f t="shared" si="250"/>
        <v/>
      </c>
      <c r="T1979" s="348" t="str">
        <f t="shared" si="251"/>
        <v/>
      </c>
      <c r="U1979" s="348" t="str">
        <f t="shared" si="252"/>
        <v/>
      </c>
      <c r="V1979" s="348" t="str">
        <f t="shared" si="253"/>
        <v/>
      </c>
      <c r="W1979" s="348" t="str">
        <f t="shared" si="254"/>
        <v/>
      </c>
      <c r="X1979" s="348" t="str">
        <f t="shared" si="255"/>
        <v/>
      </c>
    </row>
    <row r="1980" spans="1:24" x14ac:dyDescent="0.2">
      <c r="A1980" s="407">
        <v>1972</v>
      </c>
      <c r="B1980" s="438"/>
      <c r="C1980" s="438"/>
      <c r="D1980" s="438"/>
      <c r="E1980" s="438"/>
      <c r="F1980" s="438"/>
      <c r="G1980" s="438"/>
      <c r="H1980" s="438"/>
      <c r="I1980" s="438"/>
      <c r="J1980" s="11"/>
      <c r="Q1980" s="348" t="str">
        <f t="shared" si="248"/>
        <v/>
      </c>
      <c r="R1980" s="348" t="str">
        <f t="shared" si="249"/>
        <v/>
      </c>
      <c r="S1980" s="348" t="str">
        <f t="shared" si="250"/>
        <v/>
      </c>
      <c r="T1980" s="348" t="str">
        <f t="shared" si="251"/>
        <v/>
      </c>
      <c r="U1980" s="348" t="str">
        <f t="shared" si="252"/>
        <v/>
      </c>
      <c r="V1980" s="348" t="str">
        <f t="shared" si="253"/>
        <v/>
      </c>
      <c r="W1980" s="348" t="str">
        <f t="shared" si="254"/>
        <v/>
      </c>
      <c r="X1980" s="348" t="str">
        <f t="shared" si="255"/>
        <v/>
      </c>
    </row>
    <row r="1981" spans="1:24" x14ac:dyDescent="0.2">
      <c r="A1981" s="407">
        <v>1973</v>
      </c>
      <c r="B1981" s="438"/>
      <c r="C1981" s="438"/>
      <c r="D1981" s="438"/>
      <c r="E1981" s="438"/>
      <c r="F1981" s="438"/>
      <c r="G1981" s="438"/>
      <c r="H1981" s="438"/>
      <c r="I1981" s="438"/>
      <c r="J1981" s="11"/>
      <c r="Q1981" s="348" t="str">
        <f t="shared" si="248"/>
        <v/>
      </c>
      <c r="R1981" s="348" t="str">
        <f t="shared" si="249"/>
        <v/>
      </c>
      <c r="S1981" s="348" t="str">
        <f t="shared" si="250"/>
        <v/>
      </c>
      <c r="T1981" s="348" t="str">
        <f t="shared" si="251"/>
        <v/>
      </c>
      <c r="U1981" s="348" t="str">
        <f t="shared" si="252"/>
        <v/>
      </c>
      <c r="V1981" s="348" t="str">
        <f t="shared" si="253"/>
        <v/>
      </c>
      <c r="W1981" s="348" t="str">
        <f t="shared" si="254"/>
        <v/>
      </c>
      <c r="X1981" s="348" t="str">
        <f t="shared" si="255"/>
        <v/>
      </c>
    </row>
    <row r="1982" spans="1:24" x14ac:dyDescent="0.2">
      <c r="A1982" s="407">
        <v>1974</v>
      </c>
      <c r="B1982" s="438"/>
      <c r="C1982" s="438"/>
      <c r="D1982" s="438"/>
      <c r="E1982" s="438"/>
      <c r="F1982" s="438"/>
      <c r="G1982" s="438"/>
      <c r="H1982" s="438"/>
      <c r="I1982" s="438"/>
      <c r="J1982" s="11"/>
      <c r="Q1982" s="348" t="str">
        <f t="shared" si="248"/>
        <v/>
      </c>
      <c r="R1982" s="348" t="str">
        <f t="shared" si="249"/>
        <v/>
      </c>
      <c r="S1982" s="348" t="str">
        <f t="shared" si="250"/>
        <v/>
      </c>
      <c r="T1982" s="348" t="str">
        <f t="shared" si="251"/>
        <v/>
      </c>
      <c r="U1982" s="348" t="str">
        <f t="shared" si="252"/>
        <v/>
      </c>
      <c r="V1982" s="348" t="str">
        <f t="shared" si="253"/>
        <v/>
      </c>
      <c r="W1982" s="348" t="str">
        <f t="shared" si="254"/>
        <v/>
      </c>
      <c r="X1982" s="348" t="str">
        <f t="shared" si="255"/>
        <v/>
      </c>
    </row>
    <row r="1983" spans="1:24" x14ac:dyDescent="0.2">
      <c r="A1983" s="407">
        <v>1975</v>
      </c>
      <c r="B1983" s="438"/>
      <c r="C1983" s="438"/>
      <c r="D1983" s="438"/>
      <c r="E1983" s="438"/>
      <c r="F1983" s="438"/>
      <c r="G1983" s="438"/>
      <c r="H1983" s="438"/>
      <c r="I1983" s="438"/>
      <c r="J1983" s="11"/>
      <c r="Q1983" s="348" t="str">
        <f t="shared" si="248"/>
        <v/>
      </c>
      <c r="R1983" s="348" t="str">
        <f t="shared" si="249"/>
        <v/>
      </c>
      <c r="S1983" s="348" t="str">
        <f t="shared" si="250"/>
        <v/>
      </c>
      <c r="T1983" s="348" t="str">
        <f t="shared" si="251"/>
        <v/>
      </c>
      <c r="U1983" s="348" t="str">
        <f t="shared" si="252"/>
        <v/>
      </c>
      <c r="V1983" s="348" t="str">
        <f t="shared" si="253"/>
        <v/>
      </c>
      <c r="W1983" s="348" t="str">
        <f t="shared" si="254"/>
        <v/>
      </c>
      <c r="X1983" s="348" t="str">
        <f t="shared" si="255"/>
        <v/>
      </c>
    </row>
    <row r="1984" spans="1:24" x14ac:dyDescent="0.2">
      <c r="A1984" s="407">
        <v>1976</v>
      </c>
      <c r="B1984" s="438"/>
      <c r="C1984" s="438"/>
      <c r="D1984" s="438"/>
      <c r="E1984" s="438"/>
      <c r="F1984" s="438"/>
      <c r="G1984" s="438"/>
      <c r="H1984" s="438"/>
      <c r="I1984" s="438"/>
      <c r="J1984" s="11"/>
      <c r="Q1984" s="348" t="str">
        <f t="shared" si="248"/>
        <v/>
      </c>
      <c r="R1984" s="348" t="str">
        <f t="shared" si="249"/>
        <v/>
      </c>
      <c r="S1984" s="348" t="str">
        <f t="shared" si="250"/>
        <v/>
      </c>
      <c r="T1984" s="348" t="str">
        <f t="shared" si="251"/>
        <v/>
      </c>
      <c r="U1984" s="348" t="str">
        <f t="shared" si="252"/>
        <v/>
      </c>
      <c r="V1984" s="348" t="str">
        <f t="shared" si="253"/>
        <v/>
      </c>
      <c r="W1984" s="348" t="str">
        <f t="shared" si="254"/>
        <v/>
      </c>
      <c r="X1984" s="348" t="str">
        <f t="shared" si="255"/>
        <v/>
      </c>
    </row>
    <row r="1985" spans="1:24" x14ac:dyDescent="0.2">
      <c r="A1985" s="407">
        <v>1977</v>
      </c>
      <c r="B1985" s="438"/>
      <c r="C1985" s="438"/>
      <c r="D1985" s="438"/>
      <c r="E1985" s="438"/>
      <c r="F1985" s="438"/>
      <c r="G1985" s="438"/>
      <c r="H1985" s="438"/>
      <c r="I1985" s="438"/>
      <c r="J1985" s="11"/>
      <c r="Q1985" s="348" t="str">
        <f t="shared" si="248"/>
        <v/>
      </c>
      <c r="R1985" s="348" t="str">
        <f t="shared" si="249"/>
        <v/>
      </c>
      <c r="S1985" s="348" t="str">
        <f t="shared" si="250"/>
        <v/>
      </c>
      <c r="T1985" s="348" t="str">
        <f t="shared" si="251"/>
        <v/>
      </c>
      <c r="U1985" s="348" t="str">
        <f t="shared" si="252"/>
        <v/>
      </c>
      <c r="V1985" s="348" t="str">
        <f t="shared" si="253"/>
        <v/>
      </c>
      <c r="W1985" s="348" t="str">
        <f t="shared" si="254"/>
        <v/>
      </c>
      <c r="X1985" s="348" t="str">
        <f t="shared" si="255"/>
        <v/>
      </c>
    </row>
    <row r="1986" spans="1:24" x14ac:dyDescent="0.2">
      <c r="A1986" s="407">
        <v>1978</v>
      </c>
      <c r="B1986" s="438"/>
      <c r="C1986" s="438"/>
      <c r="D1986" s="438"/>
      <c r="E1986" s="438"/>
      <c r="F1986" s="438"/>
      <c r="G1986" s="438"/>
      <c r="H1986" s="438"/>
      <c r="I1986" s="438"/>
      <c r="J1986" s="11"/>
      <c r="Q1986" s="348" t="str">
        <f t="shared" si="248"/>
        <v/>
      </c>
      <c r="R1986" s="348" t="str">
        <f t="shared" si="249"/>
        <v/>
      </c>
      <c r="S1986" s="348" t="str">
        <f t="shared" si="250"/>
        <v/>
      </c>
      <c r="T1986" s="348" t="str">
        <f t="shared" si="251"/>
        <v/>
      </c>
      <c r="U1986" s="348" t="str">
        <f t="shared" si="252"/>
        <v/>
      </c>
      <c r="V1986" s="348" t="str">
        <f t="shared" si="253"/>
        <v/>
      </c>
      <c r="W1986" s="348" t="str">
        <f t="shared" si="254"/>
        <v/>
      </c>
      <c r="X1986" s="348" t="str">
        <f t="shared" si="255"/>
        <v/>
      </c>
    </row>
    <row r="1987" spans="1:24" x14ac:dyDescent="0.2">
      <c r="A1987" s="407">
        <v>1979</v>
      </c>
      <c r="B1987" s="438"/>
      <c r="C1987" s="438"/>
      <c r="D1987" s="438"/>
      <c r="E1987" s="438"/>
      <c r="F1987" s="438"/>
      <c r="G1987" s="438"/>
      <c r="H1987" s="438"/>
      <c r="I1987" s="438"/>
      <c r="J1987" s="11"/>
      <c r="Q1987" s="348" t="str">
        <f t="shared" si="248"/>
        <v/>
      </c>
      <c r="R1987" s="348" t="str">
        <f t="shared" si="249"/>
        <v/>
      </c>
      <c r="S1987" s="348" t="str">
        <f t="shared" si="250"/>
        <v/>
      </c>
      <c r="T1987" s="348" t="str">
        <f t="shared" si="251"/>
        <v/>
      </c>
      <c r="U1987" s="348" t="str">
        <f t="shared" si="252"/>
        <v/>
      </c>
      <c r="V1987" s="348" t="str">
        <f t="shared" si="253"/>
        <v/>
      </c>
      <c r="W1987" s="348" t="str">
        <f t="shared" si="254"/>
        <v/>
      </c>
      <c r="X1987" s="348" t="str">
        <f t="shared" si="255"/>
        <v/>
      </c>
    </row>
    <row r="1988" spans="1:24" x14ac:dyDescent="0.2">
      <c r="A1988" s="407">
        <v>1980</v>
      </c>
      <c r="B1988" s="438"/>
      <c r="C1988" s="438"/>
      <c r="D1988" s="438"/>
      <c r="E1988" s="438"/>
      <c r="F1988" s="438"/>
      <c r="G1988" s="438"/>
      <c r="H1988" s="438"/>
      <c r="I1988" s="438"/>
      <c r="J1988" s="11"/>
      <c r="Q1988" s="348" t="str">
        <f t="shared" si="248"/>
        <v/>
      </c>
      <c r="R1988" s="348" t="str">
        <f t="shared" si="249"/>
        <v/>
      </c>
      <c r="S1988" s="348" t="str">
        <f t="shared" si="250"/>
        <v/>
      </c>
      <c r="T1988" s="348" t="str">
        <f t="shared" si="251"/>
        <v/>
      </c>
      <c r="U1988" s="348" t="str">
        <f t="shared" si="252"/>
        <v/>
      </c>
      <c r="V1988" s="348" t="str">
        <f t="shared" si="253"/>
        <v/>
      </c>
      <c r="W1988" s="348" t="str">
        <f t="shared" si="254"/>
        <v/>
      </c>
      <c r="X1988" s="348" t="str">
        <f t="shared" si="255"/>
        <v/>
      </c>
    </row>
    <row r="1989" spans="1:24" x14ac:dyDescent="0.2">
      <c r="A1989" s="407">
        <v>1981</v>
      </c>
      <c r="B1989" s="438"/>
      <c r="C1989" s="438"/>
      <c r="D1989" s="438"/>
      <c r="E1989" s="438"/>
      <c r="F1989" s="438"/>
      <c r="G1989" s="438"/>
      <c r="H1989" s="438"/>
      <c r="I1989" s="438"/>
      <c r="J1989" s="11"/>
      <c r="Q1989" s="348" t="str">
        <f t="shared" si="248"/>
        <v/>
      </c>
      <c r="R1989" s="348" t="str">
        <f t="shared" si="249"/>
        <v/>
      </c>
      <c r="S1989" s="348" t="str">
        <f t="shared" si="250"/>
        <v/>
      </c>
      <c r="T1989" s="348" t="str">
        <f t="shared" si="251"/>
        <v/>
      </c>
      <c r="U1989" s="348" t="str">
        <f t="shared" si="252"/>
        <v/>
      </c>
      <c r="V1989" s="348" t="str">
        <f t="shared" si="253"/>
        <v/>
      </c>
      <c r="W1989" s="348" t="str">
        <f t="shared" si="254"/>
        <v/>
      </c>
      <c r="X1989" s="348" t="str">
        <f t="shared" si="255"/>
        <v/>
      </c>
    </row>
    <row r="1990" spans="1:24" x14ac:dyDescent="0.2">
      <c r="A1990" s="407">
        <v>1982</v>
      </c>
      <c r="B1990" s="438"/>
      <c r="C1990" s="438"/>
      <c r="D1990" s="438"/>
      <c r="E1990" s="438"/>
      <c r="F1990" s="438"/>
      <c r="G1990" s="438"/>
      <c r="H1990" s="438"/>
      <c r="I1990" s="438"/>
      <c r="J1990" s="11"/>
      <c r="Q1990" s="348" t="str">
        <f t="shared" si="248"/>
        <v/>
      </c>
      <c r="R1990" s="348" t="str">
        <f t="shared" si="249"/>
        <v/>
      </c>
      <c r="S1990" s="348" t="str">
        <f t="shared" si="250"/>
        <v/>
      </c>
      <c r="T1990" s="348" t="str">
        <f t="shared" si="251"/>
        <v/>
      </c>
      <c r="U1990" s="348" t="str">
        <f t="shared" si="252"/>
        <v/>
      </c>
      <c r="V1990" s="348" t="str">
        <f t="shared" si="253"/>
        <v/>
      </c>
      <c r="W1990" s="348" t="str">
        <f t="shared" si="254"/>
        <v/>
      </c>
      <c r="X1990" s="348" t="str">
        <f t="shared" si="255"/>
        <v/>
      </c>
    </row>
    <row r="1991" spans="1:24" x14ac:dyDescent="0.2">
      <c r="A1991" s="407">
        <v>1983</v>
      </c>
      <c r="B1991" s="438"/>
      <c r="C1991" s="438"/>
      <c r="D1991" s="438"/>
      <c r="E1991" s="438"/>
      <c r="F1991" s="438"/>
      <c r="G1991" s="438"/>
      <c r="H1991" s="438"/>
      <c r="I1991" s="438"/>
      <c r="J1991" s="11"/>
      <c r="Q1991" s="348" t="str">
        <f t="shared" si="248"/>
        <v/>
      </c>
      <c r="R1991" s="348" t="str">
        <f t="shared" si="249"/>
        <v/>
      </c>
      <c r="S1991" s="348" t="str">
        <f t="shared" si="250"/>
        <v/>
      </c>
      <c r="T1991" s="348" t="str">
        <f t="shared" si="251"/>
        <v/>
      </c>
      <c r="U1991" s="348" t="str">
        <f t="shared" si="252"/>
        <v/>
      </c>
      <c r="V1991" s="348" t="str">
        <f t="shared" si="253"/>
        <v/>
      </c>
      <c r="W1991" s="348" t="str">
        <f t="shared" si="254"/>
        <v/>
      </c>
      <c r="X1991" s="348" t="str">
        <f t="shared" si="255"/>
        <v/>
      </c>
    </row>
    <row r="1992" spans="1:24" x14ac:dyDescent="0.2">
      <c r="A1992" s="407">
        <v>1984</v>
      </c>
      <c r="B1992" s="438"/>
      <c r="C1992" s="438"/>
      <c r="D1992" s="438"/>
      <c r="E1992" s="438"/>
      <c r="F1992" s="438"/>
      <c r="G1992" s="438"/>
      <c r="H1992" s="438"/>
      <c r="I1992" s="438"/>
      <c r="J1992" s="11"/>
      <c r="Q1992" s="348" t="str">
        <f t="shared" si="248"/>
        <v/>
      </c>
      <c r="R1992" s="348" t="str">
        <f t="shared" si="249"/>
        <v/>
      </c>
      <c r="S1992" s="348" t="str">
        <f t="shared" si="250"/>
        <v/>
      </c>
      <c r="T1992" s="348" t="str">
        <f t="shared" si="251"/>
        <v/>
      </c>
      <c r="U1992" s="348" t="str">
        <f t="shared" si="252"/>
        <v/>
      </c>
      <c r="V1992" s="348" t="str">
        <f t="shared" si="253"/>
        <v/>
      </c>
      <c r="W1992" s="348" t="str">
        <f t="shared" si="254"/>
        <v/>
      </c>
      <c r="X1992" s="348" t="str">
        <f t="shared" si="255"/>
        <v/>
      </c>
    </row>
    <row r="1993" spans="1:24" x14ac:dyDescent="0.2">
      <c r="A1993" s="407">
        <v>1985</v>
      </c>
      <c r="B1993" s="438"/>
      <c r="C1993" s="438"/>
      <c r="D1993" s="438"/>
      <c r="E1993" s="438"/>
      <c r="F1993" s="438"/>
      <c r="G1993" s="438"/>
      <c r="H1993" s="438"/>
      <c r="I1993" s="438"/>
      <c r="J1993" s="11"/>
      <c r="Q1993" s="348" t="str">
        <f t="shared" si="248"/>
        <v/>
      </c>
      <c r="R1993" s="348" t="str">
        <f t="shared" si="249"/>
        <v/>
      </c>
      <c r="S1993" s="348" t="str">
        <f t="shared" si="250"/>
        <v/>
      </c>
      <c r="T1993" s="348" t="str">
        <f t="shared" si="251"/>
        <v/>
      </c>
      <c r="U1993" s="348" t="str">
        <f t="shared" si="252"/>
        <v/>
      </c>
      <c r="V1993" s="348" t="str">
        <f t="shared" si="253"/>
        <v/>
      </c>
      <c r="W1993" s="348" t="str">
        <f t="shared" si="254"/>
        <v/>
      </c>
      <c r="X1993" s="348" t="str">
        <f t="shared" si="255"/>
        <v/>
      </c>
    </row>
    <row r="1994" spans="1:24" x14ac:dyDescent="0.2">
      <c r="A1994" s="407">
        <v>1986</v>
      </c>
      <c r="B1994" s="438"/>
      <c r="C1994" s="438"/>
      <c r="D1994" s="438"/>
      <c r="E1994" s="438"/>
      <c r="F1994" s="438"/>
      <c r="G1994" s="438"/>
      <c r="H1994" s="438"/>
      <c r="I1994" s="438"/>
      <c r="J1994" s="11"/>
      <c r="Q1994" s="348" t="str">
        <f t="shared" ref="Q1994:Q2057" si="256">IFERROR(B1994^4*$AB$9+B1994^3*$AC$9+B1994^2*$AD$9+B1994^1*$AE$9+B1994^0*$AF$9,"")</f>
        <v/>
      </c>
      <c r="R1994" s="348" t="str">
        <f t="shared" ref="R1994:R2057" si="257">IFERROR(C1994^4*$AB$10+C1994^3*$AC$10+C1994^2*$AD$10+C1994^1*$AE$10+C1994^0*$AF$10,"")</f>
        <v/>
      </c>
      <c r="S1994" s="348" t="str">
        <f t="shared" ref="S1994:S2057" si="258">IFERROR(D1994^4*$AB$11+D1994^3*$AC$11+D1994^2*$AD$11+D1994^1*$AE$11+D1994^0*$AF$11,"")</f>
        <v/>
      </c>
      <c r="T1994" s="348" t="str">
        <f t="shared" ref="T1994:T2057" si="259">IFERROR(E1994^4*$AB$12+E1994^3*$AC$12+E1994^2*$AD$12+E1994^1*$AE$12+E1994^0*$AF$12,"")</f>
        <v/>
      </c>
      <c r="U1994" s="348" t="str">
        <f t="shared" ref="U1994:U2057" si="260">IFERROR(F1994^4*$AB$13+F1994^3*$AC$13+F1994^2*$AD$13+F1994^1*$AE$13+F1994^0*$AF$13,"")</f>
        <v/>
      </c>
      <c r="V1994" s="348" t="str">
        <f t="shared" ref="V1994:V2057" si="261">IFERROR(G1994^4*$AB$14+G1994^3*$AC$14+G1994^2*$AD$14+G1994^1*$AE$14+G1994^0*$AF$14,"")</f>
        <v/>
      </c>
      <c r="W1994" s="348" t="str">
        <f t="shared" ref="W1994:W2057" si="262">IFERROR(H1994^4*$AB$15+H1994^3*$AC$15+H1994^2*$AD$15+H1994^1*$AE$15+H1994^0*$AF$15,"")</f>
        <v/>
      </c>
      <c r="X1994" s="348" t="str">
        <f t="shared" ref="X1994:X2057" si="263">IFERROR(I1994^4*$AB$16+I1994^3*$AC$16+I1994^2*$AD$16+I1994^1*$AE$16+I1994^0*$AF$16,"")</f>
        <v/>
      </c>
    </row>
    <row r="1995" spans="1:24" x14ac:dyDescent="0.2">
      <c r="A1995" s="407">
        <v>1987</v>
      </c>
      <c r="B1995" s="438"/>
      <c r="C1995" s="438"/>
      <c r="D1995" s="438"/>
      <c r="E1995" s="438"/>
      <c r="F1995" s="438"/>
      <c r="G1995" s="438"/>
      <c r="H1995" s="438"/>
      <c r="I1995" s="438"/>
      <c r="J1995" s="11"/>
      <c r="Q1995" s="348" t="str">
        <f t="shared" si="256"/>
        <v/>
      </c>
      <c r="R1995" s="348" t="str">
        <f t="shared" si="257"/>
        <v/>
      </c>
      <c r="S1995" s="348" t="str">
        <f t="shared" si="258"/>
        <v/>
      </c>
      <c r="T1995" s="348" t="str">
        <f t="shared" si="259"/>
        <v/>
      </c>
      <c r="U1995" s="348" t="str">
        <f t="shared" si="260"/>
        <v/>
      </c>
      <c r="V1995" s="348" t="str">
        <f t="shared" si="261"/>
        <v/>
      </c>
      <c r="W1995" s="348" t="str">
        <f t="shared" si="262"/>
        <v/>
      </c>
      <c r="X1995" s="348" t="str">
        <f t="shared" si="263"/>
        <v/>
      </c>
    </row>
    <row r="1996" spans="1:24" x14ac:dyDescent="0.2">
      <c r="A1996" s="407">
        <v>1988</v>
      </c>
      <c r="B1996" s="437"/>
      <c r="C1996" s="438"/>
      <c r="D1996" s="438"/>
      <c r="E1996" s="438"/>
      <c r="F1996" s="438"/>
      <c r="G1996" s="438"/>
      <c r="H1996" s="438"/>
      <c r="I1996" s="438"/>
      <c r="J1996" s="11"/>
      <c r="Q1996" s="348" t="str">
        <f t="shared" si="256"/>
        <v/>
      </c>
      <c r="R1996" s="348" t="str">
        <f t="shared" si="257"/>
        <v/>
      </c>
      <c r="S1996" s="348" t="str">
        <f t="shared" si="258"/>
        <v/>
      </c>
      <c r="T1996" s="348" t="str">
        <f t="shared" si="259"/>
        <v/>
      </c>
      <c r="U1996" s="348" t="str">
        <f t="shared" si="260"/>
        <v/>
      </c>
      <c r="V1996" s="348" t="str">
        <f t="shared" si="261"/>
        <v/>
      </c>
      <c r="W1996" s="348" t="str">
        <f t="shared" si="262"/>
        <v/>
      </c>
      <c r="X1996" s="348" t="str">
        <f t="shared" si="263"/>
        <v/>
      </c>
    </row>
    <row r="1997" spans="1:24" x14ac:dyDescent="0.2">
      <c r="A1997" s="407">
        <v>1989</v>
      </c>
      <c r="B1997" s="438"/>
      <c r="C1997" s="438"/>
      <c r="D1997" s="438"/>
      <c r="E1997" s="438"/>
      <c r="F1997" s="438"/>
      <c r="G1997" s="438"/>
      <c r="H1997" s="438"/>
      <c r="I1997" s="437"/>
      <c r="J1997" s="11"/>
      <c r="Q1997" s="348" t="str">
        <f t="shared" si="256"/>
        <v/>
      </c>
      <c r="R1997" s="348" t="str">
        <f t="shared" si="257"/>
        <v/>
      </c>
      <c r="S1997" s="348" t="str">
        <f t="shared" si="258"/>
        <v/>
      </c>
      <c r="T1997" s="348" t="str">
        <f t="shared" si="259"/>
        <v/>
      </c>
      <c r="U1997" s="348" t="str">
        <f t="shared" si="260"/>
        <v/>
      </c>
      <c r="V1997" s="348" t="str">
        <f t="shared" si="261"/>
        <v/>
      </c>
      <c r="W1997" s="348" t="str">
        <f t="shared" si="262"/>
        <v/>
      </c>
      <c r="X1997" s="348" t="str">
        <f t="shared" si="263"/>
        <v/>
      </c>
    </row>
    <row r="1998" spans="1:24" x14ac:dyDescent="0.2">
      <c r="A1998" s="407">
        <v>1990</v>
      </c>
      <c r="B1998" s="438"/>
      <c r="C1998" s="438"/>
      <c r="D1998" s="438"/>
      <c r="E1998" s="438"/>
      <c r="F1998" s="438"/>
      <c r="G1998" s="438"/>
      <c r="H1998" s="438"/>
      <c r="I1998" s="438"/>
      <c r="J1998" s="11"/>
      <c r="Q1998" s="348" t="str">
        <f t="shared" si="256"/>
        <v/>
      </c>
      <c r="R1998" s="348" t="str">
        <f t="shared" si="257"/>
        <v/>
      </c>
      <c r="S1998" s="348" t="str">
        <f t="shared" si="258"/>
        <v/>
      </c>
      <c r="T1998" s="348" t="str">
        <f t="shared" si="259"/>
        <v/>
      </c>
      <c r="U1998" s="348" t="str">
        <f t="shared" si="260"/>
        <v/>
      </c>
      <c r="V1998" s="348" t="str">
        <f t="shared" si="261"/>
        <v/>
      </c>
      <c r="W1998" s="348" t="str">
        <f t="shared" si="262"/>
        <v/>
      </c>
      <c r="X1998" s="348" t="str">
        <f t="shared" si="263"/>
        <v/>
      </c>
    </row>
    <row r="1999" spans="1:24" x14ac:dyDescent="0.2">
      <c r="A1999" s="407">
        <v>1991</v>
      </c>
      <c r="B1999" s="438"/>
      <c r="C1999" s="438"/>
      <c r="D1999" s="438"/>
      <c r="E1999" s="438"/>
      <c r="F1999" s="438"/>
      <c r="G1999" s="438"/>
      <c r="H1999" s="438"/>
      <c r="I1999" s="438"/>
      <c r="J1999" s="11"/>
      <c r="Q1999" s="348" t="str">
        <f t="shared" si="256"/>
        <v/>
      </c>
      <c r="R1999" s="348" t="str">
        <f t="shared" si="257"/>
        <v/>
      </c>
      <c r="S1999" s="348" t="str">
        <f t="shared" si="258"/>
        <v/>
      </c>
      <c r="T1999" s="348" t="str">
        <f t="shared" si="259"/>
        <v/>
      </c>
      <c r="U1999" s="348" t="str">
        <f t="shared" si="260"/>
        <v/>
      </c>
      <c r="V1999" s="348" t="str">
        <f t="shared" si="261"/>
        <v/>
      </c>
      <c r="W1999" s="348" t="str">
        <f t="shared" si="262"/>
        <v/>
      </c>
      <c r="X1999" s="348" t="str">
        <f t="shared" si="263"/>
        <v/>
      </c>
    </row>
    <row r="2000" spans="1:24" x14ac:dyDescent="0.2">
      <c r="A2000" s="407">
        <v>1992</v>
      </c>
      <c r="B2000" s="438"/>
      <c r="C2000" s="438"/>
      <c r="D2000" s="438"/>
      <c r="E2000" s="438"/>
      <c r="F2000" s="438"/>
      <c r="G2000" s="438"/>
      <c r="H2000" s="438"/>
      <c r="I2000" s="438"/>
      <c r="J2000" s="11"/>
      <c r="Q2000" s="348" t="str">
        <f t="shared" si="256"/>
        <v/>
      </c>
      <c r="R2000" s="348" t="str">
        <f t="shared" si="257"/>
        <v/>
      </c>
      <c r="S2000" s="348" t="str">
        <f t="shared" si="258"/>
        <v/>
      </c>
      <c r="T2000" s="348" t="str">
        <f t="shared" si="259"/>
        <v/>
      </c>
      <c r="U2000" s="348" t="str">
        <f t="shared" si="260"/>
        <v/>
      </c>
      <c r="V2000" s="348" t="str">
        <f t="shared" si="261"/>
        <v/>
      </c>
      <c r="W2000" s="348" t="str">
        <f t="shared" si="262"/>
        <v/>
      </c>
      <c r="X2000" s="348" t="str">
        <f t="shared" si="263"/>
        <v/>
      </c>
    </row>
    <row r="2001" spans="1:24" x14ac:dyDescent="0.2">
      <c r="A2001" s="407">
        <v>1993</v>
      </c>
      <c r="B2001" s="438"/>
      <c r="C2001" s="437"/>
      <c r="D2001" s="438"/>
      <c r="E2001" s="438"/>
      <c r="F2001" s="438"/>
      <c r="G2001" s="438"/>
      <c r="H2001" s="438"/>
      <c r="I2001" s="438"/>
      <c r="J2001" s="11"/>
      <c r="Q2001" s="348" t="str">
        <f t="shared" si="256"/>
        <v/>
      </c>
      <c r="R2001" s="348" t="str">
        <f t="shared" si="257"/>
        <v/>
      </c>
      <c r="S2001" s="348" t="str">
        <f t="shared" si="258"/>
        <v/>
      </c>
      <c r="T2001" s="348" t="str">
        <f t="shared" si="259"/>
        <v/>
      </c>
      <c r="U2001" s="348" t="str">
        <f t="shared" si="260"/>
        <v/>
      </c>
      <c r="V2001" s="348" t="str">
        <f t="shared" si="261"/>
        <v/>
      </c>
      <c r="W2001" s="348" t="str">
        <f t="shared" si="262"/>
        <v/>
      </c>
      <c r="X2001" s="348" t="str">
        <f t="shared" si="263"/>
        <v/>
      </c>
    </row>
    <row r="2002" spans="1:24" x14ac:dyDescent="0.2">
      <c r="A2002" s="407">
        <v>1994</v>
      </c>
      <c r="B2002" s="438"/>
      <c r="C2002" s="438"/>
      <c r="D2002" s="438"/>
      <c r="E2002" s="437"/>
      <c r="F2002" s="438"/>
      <c r="G2002" s="438"/>
      <c r="H2002" s="438"/>
      <c r="I2002" s="438"/>
      <c r="J2002" s="11"/>
      <c r="Q2002" s="348" t="str">
        <f t="shared" si="256"/>
        <v/>
      </c>
      <c r="R2002" s="348" t="str">
        <f t="shared" si="257"/>
        <v/>
      </c>
      <c r="S2002" s="348" t="str">
        <f t="shared" si="258"/>
        <v/>
      </c>
      <c r="T2002" s="348" t="str">
        <f t="shared" si="259"/>
        <v/>
      </c>
      <c r="U2002" s="348" t="str">
        <f t="shared" si="260"/>
        <v/>
      </c>
      <c r="V2002" s="348" t="str">
        <f t="shared" si="261"/>
        <v/>
      </c>
      <c r="W2002" s="348" t="str">
        <f t="shared" si="262"/>
        <v/>
      </c>
      <c r="X2002" s="348" t="str">
        <f t="shared" si="263"/>
        <v/>
      </c>
    </row>
    <row r="2003" spans="1:24" x14ac:dyDescent="0.2">
      <c r="A2003" s="407">
        <v>1995</v>
      </c>
      <c r="B2003" s="438"/>
      <c r="C2003" s="438"/>
      <c r="D2003" s="438"/>
      <c r="E2003" s="438"/>
      <c r="F2003" s="438"/>
      <c r="G2003" s="438"/>
      <c r="H2003" s="438"/>
      <c r="I2003" s="438"/>
      <c r="J2003" s="11"/>
      <c r="Q2003" s="348" t="str">
        <f t="shared" si="256"/>
        <v/>
      </c>
      <c r="R2003" s="348" t="str">
        <f t="shared" si="257"/>
        <v/>
      </c>
      <c r="S2003" s="348" t="str">
        <f t="shared" si="258"/>
        <v/>
      </c>
      <c r="T2003" s="348" t="str">
        <f t="shared" si="259"/>
        <v/>
      </c>
      <c r="U2003" s="348" t="str">
        <f t="shared" si="260"/>
        <v/>
      </c>
      <c r="V2003" s="348" t="str">
        <f t="shared" si="261"/>
        <v/>
      </c>
      <c r="W2003" s="348" t="str">
        <f t="shared" si="262"/>
        <v/>
      </c>
      <c r="X2003" s="348" t="str">
        <f t="shared" si="263"/>
        <v/>
      </c>
    </row>
    <row r="2004" spans="1:24" x14ac:dyDescent="0.2">
      <c r="A2004" s="407">
        <v>1996</v>
      </c>
      <c r="B2004" s="438"/>
      <c r="C2004" s="438"/>
      <c r="D2004" s="438"/>
      <c r="E2004" s="438"/>
      <c r="F2004" s="438"/>
      <c r="G2004" s="438"/>
      <c r="H2004" s="438"/>
      <c r="I2004" s="438"/>
      <c r="J2004" s="11"/>
      <c r="Q2004" s="348" t="str">
        <f t="shared" si="256"/>
        <v/>
      </c>
      <c r="R2004" s="348" t="str">
        <f t="shared" si="257"/>
        <v/>
      </c>
      <c r="S2004" s="348" t="str">
        <f t="shared" si="258"/>
        <v/>
      </c>
      <c r="T2004" s="348" t="str">
        <f t="shared" si="259"/>
        <v/>
      </c>
      <c r="U2004" s="348" t="str">
        <f t="shared" si="260"/>
        <v/>
      </c>
      <c r="V2004" s="348" t="str">
        <f t="shared" si="261"/>
        <v/>
      </c>
      <c r="W2004" s="348" t="str">
        <f t="shared" si="262"/>
        <v/>
      </c>
      <c r="X2004" s="348" t="str">
        <f t="shared" si="263"/>
        <v/>
      </c>
    </row>
    <row r="2005" spans="1:24" x14ac:dyDescent="0.2">
      <c r="A2005" s="407">
        <v>1997</v>
      </c>
      <c r="B2005" s="438"/>
      <c r="C2005" s="438"/>
      <c r="D2005" s="438"/>
      <c r="E2005" s="438"/>
      <c r="F2005" s="438"/>
      <c r="G2005" s="438"/>
      <c r="H2005" s="438"/>
      <c r="I2005" s="438"/>
      <c r="J2005" s="11"/>
      <c r="Q2005" s="348" t="str">
        <f t="shared" si="256"/>
        <v/>
      </c>
      <c r="R2005" s="348" t="str">
        <f t="shared" si="257"/>
        <v/>
      </c>
      <c r="S2005" s="348" t="str">
        <f t="shared" si="258"/>
        <v/>
      </c>
      <c r="T2005" s="348" t="str">
        <f t="shared" si="259"/>
        <v/>
      </c>
      <c r="U2005" s="348" t="str">
        <f t="shared" si="260"/>
        <v/>
      </c>
      <c r="V2005" s="348" t="str">
        <f t="shared" si="261"/>
        <v/>
      </c>
      <c r="W2005" s="348" t="str">
        <f t="shared" si="262"/>
        <v/>
      </c>
      <c r="X2005" s="348" t="str">
        <f t="shared" si="263"/>
        <v/>
      </c>
    </row>
    <row r="2006" spans="1:24" x14ac:dyDescent="0.2">
      <c r="A2006" s="407">
        <v>1998</v>
      </c>
      <c r="B2006" s="437"/>
      <c r="C2006" s="438"/>
      <c r="D2006" s="438"/>
      <c r="E2006" s="438"/>
      <c r="F2006" s="438"/>
      <c r="G2006" s="438"/>
      <c r="H2006" s="438"/>
      <c r="I2006" s="438"/>
      <c r="J2006" s="11"/>
      <c r="Q2006" s="348" t="str">
        <f t="shared" si="256"/>
        <v/>
      </c>
      <c r="R2006" s="348" t="str">
        <f t="shared" si="257"/>
        <v/>
      </c>
      <c r="S2006" s="348" t="str">
        <f t="shared" si="258"/>
        <v/>
      </c>
      <c r="T2006" s="348" t="str">
        <f t="shared" si="259"/>
        <v/>
      </c>
      <c r="U2006" s="348" t="str">
        <f t="shared" si="260"/>
        <v/>
      </c>
      <c r="V2006" s="348" t="str">
        <f t="shared" si="261"/>
        <v/>
      </c>
      <c r="W2006" s="348" t="str">
        <f t="shared" si="262"/>
        <v/>
      </c>
      <c r="X2006" s="348" t="str">
        <f t="shared" si="263"/>
        <v/>
      </c>
    </row>
    <row r="2007" spans="1:24" x14ac:dyDescent="0.2">
      <c r="A2007" s="407">
        <v>1999</v>
      </c>
      <c r="B2007" s="438"/>
      <c r="C2007" s="438"/>
      <c r="D2007" s="438"/>
      <c r="E2007" s="438"/>
      <c r="F2007" s="438"/>
      <c r="G2007" s="437"/>
      <c r="H2007" s="438"/>
      <c r="I2007" s="438"/>
      <c r="J2007" s="11"/>
      <c r="Q2007" s="348" t="str">
        <f t="shared" si="256"/>
        <v/>
      </c>
      <c r="R2007" s="348" t="str">
        <f t="shared" si="257"/>
        <v/>
      </c>
      <c r="S2007" s="348" t="str">
        <f t="shared" si="258"/>
        <v/>
      </c>
      <c r="T2007" s="348" t="str">
        <f t="shared" si="259"/>
        <v/>
      </c>
      <c r="U2007" s="348" t="str">
        <f t="shared" si="260"/>
        <v/>
      </c>
      <c r="V2007" s="348" t="str">
        <f t="shared" si="261"/>
        <v/>
      </c>
      <c r="W2007" s="348" t="str">
        <f t="shared" si="262"/>
        <v/>
      </c>
      <c r="X2007" s="348" t="str">
        <f t="shared" si="263"/>
        <v/>
      </c>
    </row>
    <row r="2008" spans="1:24" x14ac:dyDescent="0.2">
      <c r="A2008" s="407">
        <v>2000</v>
      </c>
      <c r="B2008" s="438"/>
      <c r="C2008" s="438"/>
      <c r="D2008" s="438"/>
      <c r="E2008" s="438"/>
      <c r="F2008" s="438"/>
      <c r="G2008" s="438"/>
      <c r="H2008" s="438"/>
      <c r="I2008" s="438"/>
      <c r="J2008" s="11"/>
      <c r="Q2008" s="348" t="str">
        <f t="shared" si="256"/>
        <v/>
      </c>
      <c r="R2008" s="348" t="str">
        <f t="shared" si="257"/>
        <v/>
      </c>
      <c r="S2008" s="348" t="str">
        <f t="shared" si="258"/>
        <v/>
      </c>
      <c r="T2008" s="348" t="str">
        <f t="shared" si="259"/>
        <v/>
      </c>
      <c r="U2008" s="348" t="str">
        <f t="shared" si="260"/>
        <v/>
      </c>
      <c r="V2008" s="348" t="str">
        <f t="shared" si="261"/>
        <v/>
      </c>
      <c r="W2008" s="348" t="str">
        <f t="shared" si="262"/>
        <v/>
      </c>
      <c r="X2008" s="348" t="str">
        <f t="shared" si="263"/>
        <v/>
      </c>
    </row>
    <row r="2009" spans="1:24" x14ac:dyDescent="0.2">
      <c r="A2009" s="407">
        <v>2001</v>
      </c>
      <c r="B2009" s="438"/>
      <c r="C2009" s="437"/>
      <c r="D2009" s="438"/>
      <c r="E2009" s="437"/>
      <c r="F2009" s="437"/>
      <c r="G2009" s="437"/>
      <c r="H2009" s="437"/>
      <c r="I2009" s="438"/>
      <c r="J2009" s="11"/>
      <c r="Q2009" s="348" t="str">
        <f t="shared" si="256"/>
        <v/>
      </c>
      <c r="R2009" s="348" t="str">
        <f t="shared" si="257"/>
        <v/>
      </c>
      <c r="S2009" s="348" t="str">
        <f t="shared" si="258"/>
        <v/>
      </c>
      <c r="T2009" s="348" t="str">
        <f t="shared" si="259"/>
        <v/>
      </c>
      <c r="U2009" s="348" t="str">
        <f t="shared" si="260"/>
        <v/>
      </c>
      <c r="V2009" s="348" t="str">
        <f t="shared" si="261"/>
        <v/>
      </c>
      <c r="W2009" s="348" t="str">
        <f t="shared" si="262"/>
        <v/>
      </c>
      <c r="X2009" s="348" t="str">
        <f t="shared" si="263"/>
        <v/>
      </c>
    </row>
    <row r="2010" spans="1:24" x14ac:dyDescent="0.2">
      <c r="A2010" s="407">
        <v>2002</v>
      </c>
      <c r="B2010" s="438"/>
      <c r="C2010" s="438"/>
      <c r="D2010" s="438"/>
      <c r="E2010" s="438"/>
      <c r="F2010" s="438"/>
      <c r="G2010" s="438"/>
      <c r="H2010" s="438"/>
      <c r="I2010" s="438"/>
      <c r="J2010" s="11"/>
      <c r="Q2010" s="348" t="str">
        <f t="shared" si="256"/>
        <v/>
      </c>
      <c r="R2010" s="348" t="str">
        <f t="shared" si="257"/>
        <v/>
      </c>
      <c r="S2010" s="348" t="str">
        <f t="shared" si="258"/>
        <v/>
      </c>
      <c r="T2010" s="348" t="str">
        <f t="shared" si="259"/>
        <v/>
      </c>
      <c r="U2010" s="348" t="str">
        <f t="shared" si="260"/>
        <v/>
      </c>
      <c r="V2010" s="348" t="str">
        <f t="shared" si="261"/>
        <v/>
      </c>
      <c r="W2010" s="348" t="str">
        <f t="shared" si="262"/>
        <v/>
      </c>
      <c r="X2010" s="348" t="str">
        <f t="shared" si="263"/>
        <v/>
      </c>
    </row>
    <row r="2011" spans="1:24" x14ac:dyDescent="0.2">
      <c r="A2011" s="407">
        <v>2003</v>
      </c>
      <c r="B2011" s="438"/>
      <c r="C2011" s="438"/>
      <c r="D2011" s="438"/>
      <c r="E2011" s="438"/>
      <c r="F2011" s="438"/>
      <c r="G2011" s="438"/>
      <c r="H2011" s="438"/>
      <c r="I2011" s="438"/>
      <c r="J2011" s="11"/>
      <c r="Q2011" s="348" t="str">
        <f t="shared" si="256"/>
        <v/>
      </c>
      <c r="R2011" s="348" t="str">
        <f t="shared" si="257"/>
        <v/>
      </c>
      <c r="S2011" s="348" t="str">
        <f t="shared" si="258"/>
        <v/>
      </c>
      <c r="T2011" s="348" t="str">
        <f t="shared" si="259"/>
        <v/>
      </c>
      <c r="U2011" s="348" t="str">
        <f t="shared" si="260"/>
        <v/>
      </c>
      <c r="V2011" s="348" t="str">
        <f t="shared" si="261"/>
        <v/>
      </c>
      <c r="W2011" s="348" t="str">
        <f t="shared" si="262"/>
        <v/>
      </c>
      <c r="X2011" s="348" t="str">
        <f t="shared" si="263"/>
        <v/>
      </c>
    </row>
    <row r="2012" spans="1:24" x14ac:dyDescent="0.2">
      <c r="A2012" s="407">
        <v>2004</v>
      </c>
      <c r="B2012" s="438"/>
      <c r="C2012" s="438"/>
      <c r="D2012" s="437"/>
      <c r="E2012" s="438"/>
      <c r="F2012" s="438"/>
      <c r="G2012" s="438"/>
      <c r="H2012" s="438"/>
      <c r="I2012" s="438"/>
      <c r="J2012" s="11"/>
      <c r="Q2012" s="348" t="str">
        <f t="shared" si="256"/>
        <v/>
      </c>
      <c r="R2012" s="348" t="str">
        <f t="shared" si="257"/>
        <v/>
      </c>
      <c r="S2012" s="348" t="str">
        <f t="shared" si="258"/>
        <v/>
      </c>
      <c r="T2012" s="348" t="str">
        <f t="shared" si="259"/>
        <v/>
      </c>
      <c r="U2012" s="348" t="str">
        <f t="shared" si="260"/>
        <v/>
      </c>
      <c r="V2012" s="348" t="str">
        <f t="shared" si="261"/>
        <v/>
      </c>
      <c r="W2012" s="348" t="str">
        <f t="shared" si="262"/>
        <v/>
      </c>
      <c r="X2012" s="348" t="str">
        <f t="shared" si="263"/>
        <v/>
      </c>
    </row>
    <row r="2013" spans="1:24" x14ac:dyDescent="0.2">
      <c r="A2013" s="407">
        <v>2005</v>
      </c>
      <c r="B2013" s="438"/>
      <c r="C2013" s="438"/>
      <c r="D2013" s="438"/>
      <c r="E2013" s="438"/>
      <c r="F2013" s="438"/>
      <c r="G2013" s="438"/>
      <c r="H2013" s="438"/>
      <c r="I2013" s="438"/>
      <c r="J2013" s="11"/>
      <c r="Q2013" s="348" t="str">
        <f t="shared" si="256"/>
        <v/>
      </c>
      <c r="R2013" s="348" t="str">
        <f t="shared" si="257"/>
        <v/>
      </c>
      <c r="S2013" s="348" t="str">
        <f t="shared" si="258"/>
        <v/>
      </c>
      <c r="T2013" s="348" t="str">
        <f t="shared" si="259"/>
        <v/>
      </c>
      <c r="U2013" s="348" t="str">
        <f t="shared" si="260"/>
        <v/>
      </c>
      <c r="V2013" s="348" t="str">
        <f t="shared" si="261"/>
        <v/>
      </c>
      <c r="W2013" s="348" t="str">
        <f t="shared" si="262"/>
        <v/>
      </c>
      <c r="X2013" s="348" t="str">
        <f t="shared" si="263"/>
        <v/>
      </c>
    </row>
    <row r="2014" spans="1:24" x14ac:dyDescent="0.2">
      <c r="A2014" s="407">
        <v>2006</v>
      </c>
      <c r="B2014" s="438"/>
      <c r="C2014" s="438"/>
      <c r="D2014" s="438"/>
      <c r="E2014" s="438"/>
      <c r="F2014" s="438"/>
      <c r="G2014" s="438"/>
      <c r="H2014" s="438"/>
      <c r="I2014" s="438"/>
      <c r="J2014" s="11"/>
      <c r="Q2014" s="348" t="str">
        <f t="shared" si="256"/>
        <v/>
      </c>
      <c r="R2014" s="348" t="str">
        <f t="shared" si="257"/>
        <v/>
      </c>
      <c r="S2014" s="348" t="str">
        <f t="shared" si="258"/>
        <v/>
      </c>
      <c r="T2014" s="348" t="str">
        <f t="shared" si="259"/>
        <v/>
      </c>
      <c r="U2014" s="348" t="str">
        <f t="shared" si="260"/>
        <v/>
      </c>
      <c r="V2014" s="348" t="str">
        <f t="shared" si="261"/>
        <v/>
      </c>
      <c r="W2014" s="348" t="str">
        <f t="shared" si="262"/>
        <v/>
      </c>
      <c r="X2014" s="348" t="str">
        <f t="shared" si="263"/>
        <v/>
      </c>
    </row>
    <row r="2015" spans="1:24" x14ac:dyDescent="0.2">
      <c r="A2015" s="407">
        <v>2007</v>
      </c>
      <c r="B2015" s="438"/>
      <c r="C2015" s="438"/>
      <c r="D2015" s="438"/>
      <c r="E2015" s="438"/>
      <c r="F2015" s="438"/>
      <c r="G2015" s="438"/>
      <c r="H2015" s="438"/>
      <c r="I2015" s="438"/>
      <c r="J2015" s="11"/>
      <c r="Q2015" s="348" t="str">
        <f t="shared" si="256"/>
        <v/>
      </c>
      <c r="R2015" s="348" t="str">
        <f t="shared" si="257"/>
        <v/>
      </c>
      <c r="S2015" s="348" t="str">
        <f t="shared" si="258"/>
        <v/>
      </c>
      <c r="T2015" s="348" t="str">
        <f t="shared" si="259"/>
        <v/>
      </c>
      <c r="U2015" s="348" t="str">
        <f t="shared" si="260"/>
        <v/>
      </c>
      <c r="V2015" s="348" t="str">
        <f t="shared" si="261"/>
        <v/>
      </c>
      <c r="W2015" s="348" t="str">
        <f t="shared" si="262"/>
        <v/>
      </c>
      <c r="X2015" s="348" t="str">
        <f t="shared" si="263"/>
        <v/>
      </c>
    </row>
    <row r="2016" spans="1:24" x14ac:dyDescent="0.2">
      <c r="A2016" s="407">
        <v>2008</v>
      </c>
      <c r="B2016" s="438"/>
      <c r="C2016" s="438"/>
      <c r="D2016" s="438"/>
      <c r="E2016" s="438"/>
      <c r="F2016" s="438"/>
      <c r="G2016" s="438"/>
      <c r="H2016" s="438"/>
      <c r="I2016" s="438"/>
      <c r="J2016" s="11"/>
      <c r="Q2016" s="348" t="str">
        <f t="shared" si="256"/>
        <v/>
      </c>
      <c r="R2016" s="348" t="str">
        <f t="shared" si="257"/>
        <v/>
      </c>
      <c r="S2016" s="348" t="str">
        <f t="shared" si="258"/>
        <v/>
      </c>
      <c r="T2016" s="348" t="str">
        <f t="shared" si="259"/>
        <v/>
      </c>
      <c r="U2016" s="348" t="str">
        <f t="shared" si="260"/>
        <v/>
      </c>
      <c r="V2016" s="348" t="str">
        <f t="shared" si="261"/>
        <v/>
      </c>
      <c r="W2016" s="348" t="str">
        <f t="shared" si="262"/>
        <v/>
      </c>
      <c r="X2016" s="348" t="str">
        <f t="shared" si="263"/>
        <v/>
      </c>
    </row>
    <row r="2017" spans="1:24" x14ac:dyDescent="0.2">
      <c r="A2017" s="407">
        <v>2009</v>
      </c>
      <c r="B2017" s="438"/>
      <c r="C2017" s="438"/>
      <c r="D2017" s="438"/>
      <c r="E2017" s="438"/>
      <c r="F2017" s="438"/>
      <c r="G2017" s="438"/>
      <c r="H2017" s="438"/>
      <c r="I2017" s="438"/>
      <c r="J2017" s="11"/>
      <c r="Q2017" s="348" t="str">
        <f t="shared" si="256"/>
        <v/>
      </c>
      <c r="R2017" s="348" t="str">
        <f t="shared" si="257"/>
        <v/>
      </c>
      <c r="S2017" s="348" t="str">
        <f t="shared" si="258"/>
        <v/>
      </c>
      <c r="T2017" s="348" t="str">
        <f t="shared" si="259"/>
        <v/>
      </c>
      <c r="U2017" s="348" t="str">
        <f t="shared" si="260"/>
        <v/>
      </c>
      <c r="V2017" s="348" t="str">
        <f t="shared" si="261"/>
        <v/>
      </c>
      <c r="W2017" s="348" t="str">
        <f t="shared" si="262"/>
        <v/>
      </c>
      <c r="X2017" s="348" t="str">
        <f t="shared" si="263"/>
        <v/>
      </c>
    </row>
    <row r="2018" spans="1:24" x14ac:dyDescent="0.2">
      <c r="A2018" s="407">
        <v>2010</v>
      </c>
      <c r="B2018" s="438"/>
      <c r="C2018" s="438"/>
      <c r="D2018" s="438"/>
      <c r="E2018" s="438"/>
      <c r="F2018" s="438"/>
      <c r="G2018" s="438"/>
      <c r="H2018" s="438"/>
      <c r="I2018" s="438"/>
      <c r="J2018" s="11"/>
      <c r="Q2018" s="348" t="str">
        <f t="shared" si="256"/>
        <v/>
      </c>
      <c r="R2018" s="348" t="str">
        <f t="shared" si="257"/>
        <v/>
      </c>
      <c r="S2018" s="348" t="str">
        <f t="shared" si="258"/>
        <v/>
      </c>
      <c r="T2018" s="348" t="str">
        <f t="shared" si="259"/>
        <v/>
      </c>
      <c r="U2018" s="348" t="str">
        <f t="shared" si="260"/>
        <v/>
      </c>
      <c r="V2018" s="348" t="str">
        <f t="shared" si="261"/>
        <v/>
      </c>
      <c r="W2018" s="348" t="str">
        <f t="shared" si="262"/>
        <v/>
      </c>
      <c r="X2018" s="348" t="str">
        <f t="shared" si="263"/>
        <v/>
      </c>
    </row>
    <row r="2019" spans="1:24" x14ac:dyDescent="0.2">
      <c r="A2019" s="407">
        <v>2011</v>
      </c>
      <c r="B2019" s="438"/>
      <c r="C2019" s="438"/>
      <c r="D2019" s="438"/>
      <c r="E2019" s="438"/>
      <c r="F2019" s="438"/>
      <c r="G2019" s="438"/>
      <c r="H2019" s="438"/>
      <c r="I2019" s="438"/>
      <c r="J2019" s="11"/>
      <c r="Q2019" s="348" t="str">
        <f t="shared" si="256"/>
        <v/>
      </c>
      <c r="R2019" s="348" t="str">
        <f t="shared" si="257"/>
        <v/>
      </c>
      <c r="S2019" s="348" t="str">
        <f t="shared" si="258"/>
        <v/>
      </c>
      <c r="T2019" s="348" t="str">
        <f t="shared" si="259"/>
        <v/>
      </c>
      <c r="U2019" s="348" t="str">
        <f t="shared" si="260"/>
        <v/>
      </c>
      <c r="V2019" s="348" t="str">
        <f t="shared" si="261"/>
        <v/>
      </c>
      <c r="W2019" s="348" t="str">
        <f t="shared" si="262"/>
        <v/>
      </c>
      <c r="X2019" s="348" t="str">
        <f t="shared" si="263"/>
        <v/>
      </c>
    </row>
    <row r="2020" spans="1:24" x14ac:dyDescent="0.2">
      <c r="A2020" s="407">
        <v>2012</v>
      </c>
      <c r="B2020" s="437"/>
      <c r="C2020" s="438"/>
      <c r="D2020" s="438"/>
      <c r="E2020" s="438"/>
      <c r="F2020" s="438"/>
      <c r="G2020" s="438"/>
      <c r="H2020" s="438"/>
      <c r="I2020" s="438"/>
      <c r="J2020" s="11"/>
      <c r="Q2020" s="348" t="str">
        <f t="shared" si="256"/>
        <v/>
      </c>
      <c r="R2020" s="348" t="str">
        <f t="shared" si="257"/>
        <v/>
      </c>
      <c r="S2020" s="348" t="str">
        <f t="shared" si="258"/>
        <v/>
      </c>
      <c r="T2020" s="348" t="str">
        <f t="shared" si="259"/>
        <v/>
      </c>
      <c r="U2020" s="348" t="str">
        <f t="shared" si="260"/>
        <v/>
      </c>
      <c r="V2020" s="348" t="str">
        <f t="shared" si="261"/>
        <v/>
      </c>
      <c r="W2020" s="348" t="str">
        <f t="shared" si="262"/>
        <v/>
      </c>
      <c r="X2020" s="348" t="str">
        <f t="shared" si="263"/>
        <v/>
      </c>
    </row>
    <row r="2021" spans="1:24" x14ac:dyDescent="0.2">
      <c r="A2021" s="407">
        <v>2013</v>
      </c>
      <c r="B2021" s="438"/>
      <c r="C2021" s="438"/>
      <c r="D2021" s="438"/>
      <c r="E2021" s="438"/>
      <c r="F2021" s="438"/>
      <c r="G2021" s="438"/>
      <c r="H2021" s="438"/>
      <c r="I2021" s="438"/>
      <c r="J2021" s="11"/>
      <c r="Q2021" s="348" t="str">
        <f t="shared" si="256"/>
        <v/>
      </c>
      <c r="R2021" s="348" t="str">
        <f t="shared" si="257"/>
        <v/>
      </c>
      <c r="S2021" s="348" t="str">
        <f t="shared" si="258"/>
        <v/>
      </c>
      <c r="T2021" s="348" t="str">
        <f t="shared" si="259"/>
        <v/>
      </c>
      <c r="U2021" s="348" t="str">
        <f t="shared" si="260"/>
        <v/>
      </c>
      <c r="V2021" s="348" t="str">
        <f t="shared" si="261"/>
        <v/>
      </c>
      <c r="W2021" s="348" t="str">
        <f t="shared" si="262"/>
        <v/>
      </c>
      <c r="X2021" s="348" t="str">
        <f t="shared" si="263"/>
        <v/>
      </c>
    </row>
    <row r="2022" spans="1:24" x14ac:dyDescent="0.2">
      <c r="A2022" s="407">
        <v>2014</v>
      </c>
      <c r="B2022" s="438"/>
      <c r="C2022" s="438"/>
      <c r="D2022" s="438"/>
      <c r="E2022" s="438"/>
      <c r="F2022" s="438"/>
      <c r="G2022" s="438"/>
      <c r="H2022" s="438"/>
      <c r="I2022" s="438"/>
      <c r="J2022" s="11"/>
      <c r="Q2022" s="348" t="str">
        <f t="shared" si="256"/>
        <v/>
      </c>
      <c r="R2022" s="348" t="str">
        <f t="shared" si="257"/>
        <v/>
      </c>
      <c r="S2022" s="348" t="str">
        <f t="shared" si="258"/>
        <v/>
      </c>
      <c r="T2022" s="348" t="str">
        <f t="shared" si="259"/>
        <v/>
      </c>
      <c r="U2022" s="348" t="str">
        <f t="shared" si="260"/>
        <v/>
      </c>
      <c r="V2022" s="348" t="str">
        <f t="shared" si="261"/>
        <v/>
      </c>
      <c r="W2022" s="348" t="str">
        <f t="shared" si="262"/>
        <v/>
      </c>
      <c r="X2022" s="348" t="str">
        <f t="shared" si="263"/>
        <v/>
      </c>
    </row>
    <row r="2023" spans="1:24" x14ac:dyDescent="0.2">
      <c r="A2023" s="407">
        <v>2015</v>
      </c>
      <c r="B2023" s="438"/>
      <c r="C2023" s="437"/>
      <c r="D2023" s="438"/>
      <c r="E2023" s="438"/>
      <c r="F2023" s="438"/>
      <c r="G2023" s="438"/>
      <c r="H2023" s="438"/>
      <c r="I2023" s="438"/>
      <c r="J2023" s="11"/>
      <c r="Q2023" s="348" t="str">
        <f t="shared" si="256"/>
        <v/>
      </c>
      <c r="R2023" s="348" t="str">
        <f t="shared" si="257"/>
        <v/>
      </c>
      <c r="S2023" s="348" t="str">
        <f t="shared" si="258"/>
        <v/>
      </c>
      <c r="T2023" s="348" t="str">
        <f t="shared" si="259"/>
        <v/>
      </c>
      <c r="U2023" s="348" t="str">
        <f t="shared" si="260"/>
        <v/>
      </c>
      <c r="V2023" s="348" t="str">
        <f t="shared" si="261"/>
        <v/>
      </c>
      <c r="W2023" s="348" t="str">
        <f t="shared" si="262"/>
        <v/>
      </c>
      <c r="X2023" s="348" t="str">
        <f t="shared" si="263"/>
        <v/>
      </c>
    </row>
    <row r="2024" spans="1:24" x14ac:dyDescent="0.2">
      <c r="A2024" s="407">
        <v>2016</v>
      </c>
      <c r="B2024" s="438"/>
      <c r="C2024" s="438"/>
      <c r="D2024" s="438"/>
      <c r="E2024" s="438"/>
      <c r="F2024" s="438"/>
      <c r="G2024" s="438"/>
      <c r="H2024" s="438"/>
      <c r="I2024" s="438"/>
      <c r="J2024" s="11"/>
      <c r="Q2024" s="348" t="str">
        <f t="shared" si="256"/>
        <v/>
      </c>
      <c r="R2024" s="348" t="str">
        <f t="shared" si="257"/>
        <v/>
      </c>
      <c r="S2024" s="348" t="str">
        <f t="shared" si="258"/>
        <v/>
      </c>
      <c r="T2024" s="348" t="str">
        <f t="shared" si="259"/>
        <v/>
      </c>
      <c r="U2024" s="348" t="str">
        <f t="shared" si="260"/>
        <v/>
      </c>
      <c r="V2024" s="348" t="str">
        <f t="shared" si="261"/>
        <v/>
      </c>
      <c r="W2024" s="348" t="str">
        <f t="shared" si="262"/>
        <v/>
      </c>
      <c r="X2024" s="348" t="str">
        <f t="shared" si="263"/>
        <v/>
      </c>
    </row>
    <row r="2025" spans="1:24" x14ac:dyDescent="0.2">
      <c r="A2025" s="407">
        <v>2017</v>
      </c>
      <c r="B2025" s="438"/>
      <c r="C2025" s="438"/>
      <c r="D2025" s="438"/>
      <c r="E2025" s="438"/>
      <c r="F2025" s="438"/>
      <c r="G2025" s="438"/>
      <c r="H2025" s="438"/>
      <c r="I2025" s="438"/>
      <c r="J2025" s="11"/>
      <c r="Q2025" s="348" t="str">
        <f t="shared" si="256"/>
        <v/>
      </c>
      <c r="R2025" s="348" t="str">
        <f t="shared" si="257"/>
        <v/>
      </c>
      <c r="S2025" s="348" t="str">
        <f t="shared" si="258"/>
        <v/>
      </c>
      <c r="T2025" s="348" t="str">
        <f t="shared" si="259"/>
        <v/>
      </c>
      <c r="U2025" s="348" t="str">
        <f t="shared" si="260"/>
        <v/>
      </c>
      <c r="V2025" s="348" t="str">
        <f t="shared" si="261"/>
        <v/>
      </c>
      <c r="W2025" s="348" t="str">
        <f t="shared" si="262"/>
        <v/>
      </c>
      <c r="X2025" s="348" t="str">
        <f t="shared" si="263"/>
        <v/>
      </c>
    </row>
    <row r="2026" spans="1:24" x14ac:dyDescent="0.2">
      <c r="A2026" s="407">
        <v>2018</v>
      </c>
      <c r="B2026" s="438"/>
      <c r="C2026" s="438"/>
      <c r="D2026" s="438"/>
      <c r="E2026" s="438"/>
      <c r="F2026" s="438"/>
      <c r="G2026" s="438"/>
      <c r="H2026" s="438"/>
      <c r="I2026" s="438"/>
      <c r="J2026" s="11"/>
      <c r="Q2026" s="348" t="str">
        <f t="shared" si="256"/>
        <v/>
      </c>
      <c r="R2026" s="348" t="str">
        <f t="shared" si="257"/>
        <v/>
      </c>
      <c r="S2026" s="348" t="str">
        <f t="shared" si="258"/>
        <v/>
      </c>
      <c r="T2026" s="348" t="str">
        <f t="shared" si="259"/>
        <v/>
      </c>
      <c r="U2026" s="348" t="str">
        <f t="shared" si="260"/>
        <v/>
      </c>
      <c r="V2026" s="348" t="str">
        <f t="shared" si="261"/>
        <v/>
      </c>
      <c r="W2026" s="348" t="str">
        <f t="shared" si="262"/>
        <v/>
      </c>
      <c r="X2026" s="348" t="str">
        <f t="shared" si="263"/>
        <v/>
      </c>
    </row>
    <row r="2027" spans="1:24" x14ac:dyDescent="0.2">
      <c r="A2027" s="407">
        <v>2019</v>
      </c>
      <c r="B2027" s="438"/>
      <c r="C2027" s="438"/>
      <c r="D2027" s="438"/>
      <c r="E2027" s="438"/>
      <c r="F2027" s="438"/>
      <c r="G2027" s="438"/>
      <c r="H2027" s="438"/>
      <c r="I2027" s="438"/>
      <c r="J2027" s="11"/>
      <c r="Q2027" s="348" t="str">
        <f t="shared" si="256"/>
        <v/>
      </c>
      <c r="R2027" s="348" t="str">
        <f t="shared" si="257"/>
        <v/>
      </c>
      <c r="S2027" s="348" t="str">
        <f t="shared" si="258"/>
        <v/>
      </c>
      <c r="T2027" s="348" t="str">
        <f t="shared" si="259"/>
        <v/>
      </c>
      <c r="U2027" s="348" t="str">
        <f t="shared" si="260"/>
        <v/>
      </c>
      <c r="V2027" s="348" t="str">
        <f t="shared" si="261"/>
        <v/>
      </c>
      <c r="W2027" s="348" t="str">
        <f t="shared" si="262"/>
        <v/>
      </c>
      <c r="X2027" s="348" t="str">
        <f t="shared" si="263"/>
        <v/>
      </c>
    </row>
    <row r="2028" spans="1:24" x14ac:dyDescent="0.2">
      <c r="A2028" s="407">
        <v>2020</v>
      </c>
      <c r="B2028" s="438"/>
      <c r="C2028" s="438"/>
      <c r="D2028" s="438"/>
      <c r="E2028" s="438"/>
      <c r="F2028" s="438"/>
      <c r="G2028" s="438"/>
      <c r="H2028" s="438"/>
      <c r="I2028" s="438"/>
      <c r="J2028" s="11"/>
      <c r="Q2028" s="348" t="str">
        <f t="shared" si="256"/>
        <v/>
      </c>
      <c r="R2028" s="348" t="str">
        <f t="shared" si="257"/>
        <v/>
      </c>
      <c r="S2028" s="348" t="str">
        <f t="shared" si="258"/>
        <v/>
      </c>
      <c r="T2028" s="348" t="str">
        <f t="shared" si="259"/>
        <v/>
      </c>
      <c r="U2028" s="348" t="str">
        <f t="shared" si="260"/>
        <v/>
      </c>
      <c r="V2028" s="348" t="str">
        <f t="shared" si="261"/>
        <v/>
      </c>
      <c r="W2028" s="348" t="str">
        <f t="shared" si="262"/>
        <v/>
      </c>
      <c r="X2028" s="348" t="str">
        <f t="shared" si="263"/>
        <v/>
      </c>
    </row>
    <row r="2029" spans="1:24" x14ac:dyDescent="0.2">
      <c r="A2029" s="407">
        <v>2021</v>
      </c>
      <c r="B2029" s="438"/>
      <c r="C2029" s="438"/>
      <c r="D2029" s="438"/>
      <c r="E2029" s="438"/>
      <c r="F2029" s="438"/>
      <c r="G2029" s="438"/>
      <c r="H2029" s="438"/>
      <c r="I2029" s="438"/>
      <c r="J2029" s="11"/>
      <c r="Q2029" s="348" t="str">
        <f t="shared" si="256"/>
        <v/>
      </c>
      <c r="R2029" s="348" t="str">
        <f t="shared" si="257"/>
        <v/>
      </c>
      <c r="S2029" s="348" t="str">
        <f t="shared" si="258"/>
        <v/>
      </c>
      <c r="T2029" s="348" t="str">
        <f t="shared" si="259"/>
        <v/>
      </c>
      <c r="U2029" s="348" t="str">
        <f t="shared" si="260"/>
        <v/>
      </c>
      <c r="V2029" s="348" t="str">
        <f t="shared" si="261"/>
        <v/>
      </c>
      <c r="W2029" s="348" t="str">
        <f t="shared" si="262"/>
        <v/>
      </c>
      <c r="X2029" s="348" t="str">
        <f t="shared" si="263"/>
        <v/>
      </c>
    </row>
    <row r="2030" spans="1:24" x14ac:dyDescent="0.2">
      <c r="A2030" s="407">
        <v>2022</v>
      </c>
      <c r="B2030" s="438"/>
      <c r="C2030" s="438"/>
      <c r="D2030" s="438"/>
      <c r="E2030" s="438"/>
      <c r="F2030" s="438"/>
      <c r="G2030" s="438"/>
      <c r="H2030" s="438"/>
      <c r="I2030" s="438"/>
      <c r="J2030" s="11"/>
      <c r="Q2030" s="348" t="str">
        <f t="shared" si="256"/>
        <v/>
      </c>
      <c r="R2030" s="348" t="str">
        <f t="shared" si="257"/>
        <v/>
      </c>
      <c r="S2030" s="348" t="str">
        <f t="shared" si="258"/>
        <v/>
      </c>
      <c r="T2030" s="348" t="str">
        <f t="shared" si="259"/>
        <v/>
      </c>
      <c r="U2030" s="348" t="str">
        <f t="shared" si="260"/>
        <v/>
      </c>
      <c r="V2030" s="348" t="str">
        <f t="shared" si="261"/>
        <v/>
      </c>
      <c r="W2030" s="348" t="str">
        <f t="shared" si="262"/>
        <v/>
      </c>
      <c r="X2030" s="348" t="str">
        <f t="shared" si="263"/>
        <v/>
      </c>
    </row>
    <row r="2031" spans="1:24" x14ac:dyDescent="0.2">
      <c r="A2031" s="407">
        <v>2023</v>
      </c>
      <c r="B2031" s="438"/>
      <c r="C2031" s="438"/>
      <c r="D2031" s="438"/>
      <c r="E2031" s="438"/>
      <c r="F2031" s="438"/>
      <c r="G2031" s="438"/>
      <c r="H2031" s="438"/>
      <c r="I2031" s="438"/>
      <c r="J2031" s="11"/>
      <c r="Q2031" s="348" t="str">
        <f t="shared" si="256"/>
        <v/>
      </c>
      <c r="R2031" s="348" t="str">
        <f t="shared" si="257"/>
        <v/>
      </c>
      <c r="S2031" s="348" t="str">
        <f t="shared" si="258"/>
        <v/>
      </c>
      <c r="T2031" s="348" t="str">
        <f t="shared" si="259"/>
        <v/>
      </c>
      <c r="U2031" s="348" t="str">
        <f t="shared" si="260"/>
        <v/>
      </c>
      <c r="V2031" s="348" t="str">
        <f t="shared" si="261"/>
        <v/>
      </c>
      <c r="W2031" s="348" t="str">
        <f t="shared" si="262"/>
        <v/>
      </c>
      <c r="X2031" s="348" t="str">
        <f t="shared" si="263"/>
        <v/>
      </c>
    </row>
    <row r="2032" spans="1:24" x14ac:dyDescent="0.2">
      <c r="A2032" s="407">
        <v>2024</v>
      </c>
      <c r="B2032" s="438"/>
      <c r="C2032" s="438"/>
      <c r="D2032" s="438"/>
      <c r="E2032" s="438"/>
      <c r="F2032" s="438"/>
      <c r="G2032" s="438"/>
      <c r="H2032" s="438"/>
      <c r="I2032" s="438"/>
      <c r="J2032" s="11"/>
      <c r="Q2032" s="348" t="str">
        <f t="shared" si="256"/>
        <v/>
      </c>
      <c r="R2032" s="348" t="str">
        <f t="shared" si="257"/>
        <v/>
      </c>
      <c r="S2032" s="348" t="str">
        <f t="shared" si="258"/>
        <v/>
      </c>
      <c r="T2032" s="348" t="str">
        <f t="shared" si="259"/>
        <v/>
      </c>
      <c r="U2032" s="348" t="str">
        <f t="shared" si="260"/>
        <v/>
      </c>
      <c r="V2032" s="348" t="str">
        <f t="shared" si="261"/>
        <v/>
      </c>
      <c r="W2032" s="348" t="str">
        <f t="shared" si="262"/>
        <v/>
      </c>
      <c r="X2032" s="348" t="str">
        <f t="shared" si="263"/>
        <v/>
      </c>
    </row>
    <row r="2033" spans="1:24" x14ac:dyDescent="0.2">
      <c r="A2033" s="407">
        <v>2025</v>
      </c>
      <c r="B2033" s="438"/>
      <c r="C2033" s="438"/>
      <c r="D2033" s="438"/>
      <c r="E2033" s="438"/>
      <c r="F2033" s="438"/>
      <c r="G2033" s="438"/>
      <c r="H2033" s="438"/>
      <c r="I2033" s="437"/>
      <c r="J2033" s="11"/>
      <c r="Q2033" s="348" t="str">
        <f t="shared" si="256"/>
        <v/>
      </c>
      <c r="R2033" s="348" t="str">
        <f t="shared" si="257"/>
        <v/>
      </c>
      <c r="S2033" s="348" t="str">
        <f t="shared" si="258"/>
        <v/>
      </c>
      <c r="T2033" s="348" t="str">
        <f t="shared" si="259"/>
        <v/>
      </c>
      <c r="U2033" s="348" t="str">
        <f t="shared" si="260"/>
        <v/>
      </c>
      <c r="V2033" s="348" t="str">
        <f t="shared" si="261"/>
        <v/>
      </c>
      <c r="W2033" s="348" t="str">
        <f t="shared" si="262"/>
        <v/>
      </c>
      <c r="X2033" s="348" t="str">
        <f t="shared" si="263"/>
        <v/>
      </c>
    </row>
    <row r="2034" spans="1:24" x14ac:dyDescent="0.2">
      <c r="A2034" s="407">
        <v>2026</v>
      </c>
      <c r="B2034" s="438"/>
      <c r="C2034" s="438"/>
      <c r="D2034" s="437"/>
      <c r="E2034" s="437"/>
      <c r="F2034" s="437"/>
      <c r="G2034" s="437"/>
      <c r="H2034" s="437"/>
      <c r="I2034" s="438"/>
      <c r="J2034" s="11"/>
      <c r="Q2034" s="348" t="str">
        <f t="shared" si="256"/>
        <v/>
      </c>
      <c r="R2034" s="348" t="str">
        <f t="shared" si="257"/>
        <v/>
      </c>
      <c r="S2034" s="348" t="str">
        <f t="shared" si="258"/>
        <v/>
      </c>
      <c r="T2034" s="348" t="str">
        <f t="shared" si="259"/>
        <v/>
      </c>
      <c r="U2034" s="348" t="str">
        <f t="shared" si="260"/>
        <v/>
      </c>
      <c r="V2034" s="348" t="str">
        <f t="shared" si="261"/>
        <v/>
      </c>
      <c r="W2034" s="348" t="str">
        <f t="shared" si="262"/>
        <v/>
      </c>
      <c r="X2034" s="348" t="str">
        <f t="shared" si="263"/>
        <v/>
      </c>
    </row>
    <row r="2035" spans="1:24" x14ac:dyDescent="0.2">
      <c r="A2035" s="407">
        <v>2027</v>
      </c>
      <c r="B2035" s="438"/>
      <c r="C2035" s="438"/>
      <c r="D2035" s="438"/>
      <c r="E2035" s="438"/>
      <c r="F2035" s="438"/>
      <c r="G2035" s="438"/>
      <c r="H2035" s="438"/>
      <c r="I2035" s="438"/>
      <c r="J2035" s="11"/>
      <c r="Q2035" s="348" t="str">
        <f t="shared" si="256"/>
        <v/>
      </c>
      <c r="R2035" s="348" t="str">
        <f t="shared" si="257"/>
        <v/>
      </c>
      <c r="S2035" s="348" t="str">
        <f t="shared" si="258"/>
        <v/>
      </c>
      <c r="T2035" s="348" t="str">
        <f t="shared" si="259"/>
        <v/>
      </c>
      <c r="U2035" s="348" t="str">
        <f t="shared" si="260"/>
        <v/>
      </c>
      <c r="V2035" s="348" t="str">
        <f t="shared" si="261"/>
        <v/>
      </c>
      <c r="W2035" s="348" t="str">
        <f t="shared" si="262"/>
        <v/>
      </c>
      <c r="X2035" s="348" t="str">
        <f t="shared" si="263"/>
        <v/>
      </c>
    </row>
    <row r="2036" spans="1:24" x14ac:dyDescent="0.2">
      <c r="A2036" s="407">
        <v>2028</v>
      </c>
      <c r="B2036" s="438"/>
      <c r="C2036" s="438"/>
      <c r="D2036" s="438"/>
      <c r="E2036" s="438"/>
      <c r="F2036" s="438"/>
      <c r="G2036" s="438"/>
      <c r="H2036" s="438"/>
      <c r="I2036" s="438"/>
      <c r="J2036" s="11"/>
      <c r="Q2036" s="348" t="str">
        <f t="shared" si="256"/>
        <v/>
      </c>
      <c r="R2036" s="348" t="str">
        <f t="shared" si="257"/>
        <v/>
      </c>
      <c r="S2036" s="348" t="str">
        <f t="shared" si="258"/>
        <v/>
      </c>
      <c r="T2036" s="348" t="str">
        <f t="shared" si="259"/>
        <v/>
      </c>
      <c r="U2036" s="348" t="str">
        <f t="shared" si="260"/>
        <v/>
      </c>
      <c r="V2036" s="348" t="str">
        <f t="shared" si="261"/>
        <v/>
      </c>
      <c r="W2036" s="348" t="str">
        <f t="shared" si="262"/>
        <v/>
      </c>
      <c r="X2036" s="348" t="str">
        <f t="shared" si="263"/>
        <v/>
      </c>
    </row>
    <row r="2037" spans="1:24" x14ac:dyDescent="0.2">
      <c r="A2037" s="407">
        <v>2029</v>
      </c>
      <c r="B2037" s="438"/>
      <c r="C2037" s="438"/>
      <c r="D2037" s="438"/>
      <c r="E2037" s="438"/>
      <c r="F2037" s="438"/>
      <c r="G2037" s="438"/>
      <c r="H2037" s="438"/>
      <c r="I2037" s="438"/>
      <c r="J2037" s="11"/>
      <c r="Q2037" s="348" t="str">
        <f t="shared" si="256"/>
        <v/>
      </c>
      <c r="R2037" s="348" t="str">
        <f t="shared" si="257"/>
        <v/>
      </c>
      <c r="S2037" s="348" t="str">
        <f t="shared" si="258"/>
        <v/>
      </c>
      <c r="T2037" s="348" t="str">
        <f t="shared" si="259"/>
        <v/>
      </c>
      <c r="U2037" s="348" t="str">
        <f t="shared" si="260"/>
        <v/>
      </c>
      <c r="V2037" s="348" t="str">
        <f t="shared" si="261"/>
        <v/>
      </c>
      <c r="W2037" s="348" t="str">
        <f t="shared" si="262"/>
        <v/>
      </c>
      <c r="X2037" s="348" t="str">
        <f t="shared" si="263"/>
        <v/>
      </c>
    </row>
    <row r="2038" spans="1:24" x14ac:dyDescent="0.2">
      <c r="A2038" s="407">
        <v>2030</v>
      </c>
      <c r="B2038" s="438"/>
      <c r="C2038" s="438"/>
      <c r="D2038" s="438"/>
      <c r="E2038" s="438"/>
      <c r="F2038" s="438"/>
      <c r="G2038" s="438"/>
      <c r="H2038" s="438"/>
      <c r="I2038" s="438"/>
      <c r="J2038" s="11"/>
      <c r="Q2038" s="348" t="str">
        <f t="shared" si="256"/>
        <v/>
      </c>
      <c r="R2038" s="348" t="str">
        <f t="shared" si="257"/>
        <v/>
      </c>
      <c r="S2038" s="348" t="str">
        <f t="shared" si="258"/>
        <v/>
      </c>
      <c r="T2038" s="348" t="str">
        <f t="shared" si="259"/>
        <v/>
      </c>
      <c r="U2038" s="348" t="str">
        <f t="shared" si="260"/>
        <v/>
      </c>
      <c r="V2038" s="348" t="str">
        <f t="shared" si="261"/>
        <v/>
      </c>
      <c r="W2038" s="348" t="str">
        <f t="shared" si="262"/>
        <v/>
      </c>
      <c r="X2038" s="348" t="str">
        <f t="shared" si="263"/>
        <v/>
      </c>
    </row>
    <row r="2039" spans="1:24" x14ac:dyDescent="0.2">
      <c r="A2039" s="407">
        <v>2031</v>
      </c>
      <c r="B2039" s="437"/>
      <c r="C2039" s="438"/>
      <c r="D2039" s="438"/>
      <c r="E2039" s="438"/>
      <c r="F2039" s="438"/>
      <c r="G2039" s="438"/>
      <c r="H2039" s="438"/>
      <c r="I2039" s="438"/>
      <c r="J2039" s="11"/>
      <c r="Q2039" s="348" t="str">
        <f t="shared" si="256"/>
        <v/>
      </c>
      <c r="R2039" s="348" t="str">
        <f t="shared" si="257"/>
        <v/>
      </c>
      <c r="S2039" s="348" t="str">
        <f t="shared" si="258"/>
        <v/>
      </c>
      <c r="T2039" s="348" t="str">
        <f t="shared" si="259"/>
        <v/>
      </c>
      <c r="U2039" s="348" t="str">
        <f t="shared" si="260"/>
        <v/>
      </c>
      <c r="V2039" s="348" t="str">
        <f t="shared" si="261"/>
        <v/>
      </c>
      <c r="W2039" s="348" t="str">
        <f t="shared" si="262"/>
        <v/>
      </c>
      <c r="X2039" s="348" t="str">
        <f t="shared" si="263"/>
        <v/>
      </c>
    </row>
    <row r="2040" spans="1:24" x14ac:dyDescent="0.2">
      <c r="A2040" s="407">
        <v>2032</v>
      </c>
      <c r="B2040" s="438"/>
      <c r="C2040" s="438"/>
      <c r="D2040" s="438"/>
      <c r="E2040" s="438"/>
      <c r="F2040" s="438"/>
      <c r="G2040" s="438"/>
      <c r="H2040" s="438"/>
      <c r="I2040" s="438"/>
      <c r="J2040" s="11"/>
      <c r="Q2040" s="348" t="str">
        <f t="shared" si="256"/>
        <v/>
      </c>
      <c r="R2040" s="348" t="str">
        <f t="shared" si="257"/>
        <v/>
      </c>
      <c r="S2040" s="348" t="str">
        <f t="shared" si="258"/>
        <v/>
      </c>
      <c r="T2040" s="348" t="str">
        <f t="shared" si="259"/>
        <v/>
      </c>
      <c r="U2040" s="348" t="str">
        <f t="shared" si="260"/>
        <v/>
      </c>
      <c r="V2040" s="348" t="str">
        <f t="shared" si="261"/>
        <v/>
      </c>
      <c r="W2040" s="348" t="str">
        <f t="shared" si="262"/>
        <v/>
      </c>
      <c r="X2040" s="348" t="str">
        <f t="shared" si="263"/>
        <v/>
      </c>
    </row>
    <row r="2041" spans="1:24" x14ac:dyDescent="0.2">
      <c r="A2041" s="407">
        <v>2033</v>
      </c>
      <c r="B2041" s="438"/>
      <c r="C2041" s="438"/>
      <c r="D2041" s="438"/>
      <c r="E2041" s="438"/>
      <c r="F2041" s="438"/>
      <c r="G2041" s="438"/>
      <c r="H2041" s="438"/>
      <c r="I2041" s="438"/>
      <c r="J2041" s="11"/>
      <c r="Q2041" s="348" t="str">
        <f t="shared" si="256"/>
        <v/>
      </c>
      <c r="R2041" s="348" t="str">
        <f t="shared" si="257"/>
        <v/>
      </c>
      <c r="S2041" s="348" t="str">
        <f t="shared" si="258"/>
        <v/>
      </c>
      <c r="T2041" s="348" t="str">
        <f t="shared" si="259"/>
        <v/>
      </c>
      <c r="U2041" s="348" t="str">
        <f t="shared" si="260"/>
        <v/>
      </c>
      <c r="V2041" s="348" t="str">
        <f t="shared" si="261"/>
        <v/>
      </c>
      <c r="W2041" s="348" t="str">
        <f t="shared" si="262"/>
        <v/>
      </c>
      <c r="X2041" s="348" t="str">
        <f t="shared" si="263"/>
        <v/>
      </c>
    </row>
    <row r="2042" spans="1:24" x14ac:dyDescent="0.2">
      <c r="A2042" s="407">
        <v>2034</v>
      </c>
      <c r="B2042" s="438"/>
      <c r="C2042" s="438"/>
      <c r="D2042" s="438"/>
      <c r="E2042" s="438"/>
      <c r="F2042" s="438"/>
      <c r="G2042" s="438"/>
      <c r="H2042" s="438"/>
      <c r="I2042" s="438"/>
      <c r="J2042" s="11"/>
      <c r="Q2042" s="348" t="str">
        <f t="shared" si="256"/>
        <v/>
      </c>
      <c r="R2042" s="348" t="str">
        <f t="shared" si="257"/>
        <v/>
      </c>
      <c r="S2042" s="348" t="str">
        <f t="shared" si="258"/>
        <v/>
      </c>
      <c r="T2042" s="348" t="str">
        <f t="shared" si="259"/>
        <v/>
      </c>
      <c r="U2042" s="348" t="str">
        <f t="shared" si="260"/>
        <v/>
      </c>
      <c r="V2042" s="348" t="str">
        <f t="shared" si="261"/>
        <v/>
      </c>
      <c r="W2042" s="348" t="str">
        <f t="shared" si="262"/>
        <v/>
      </c>
      <c r="X2042" s="348" t="str">
        <f t="shared" si="263"/>
        <v/>
      </c>
    </row>
    <row r="2043" spans="1:24" x14ac:dyDescent="0.2">
      <c r="A2043" s="407">
        <v>2035</v>
      </c>
      <c r="B2043" s="438"/>
      <c r="C2043" s="438"/>
      <c r="D2043" s="438"/>
      <c r="E2043" s="438"/>
      <c r="F2043" s="438"/>
      <c r="G2043" s="438"/>
      <c r="H2043" s="438"/>
      <c r="I2043" s="438"/>
      <c r="J2043" s="11"/>
      <c r="Q2043" s="348" t="str">
        <f t="shared" si="256"/>
        <v/>
      </c>
      <c r="R2043" s="348" t="str">
        <f t="shared" si="257"/>
        <v/>
      </c>
      <c r="S2043" s="348" t="str">
        <f t="shared" si="258"/>
        <v/>
      </c>
      <c r="T2043" s="348" t="str">
        <f t="shared" si="259"/>
        <v/>
      </c>
      <c r="U2043" s="348" t="str">
        <f t="shared" si="260"/>
        <v/>
      </c>
      <c r="V2043" s="348" t="str">
        <f t="shared" si="261"/>
        <v/>
      </c>
      <c r="W2043" s="348" t="str">
        <f t="shared" si="262"/>
        <v/>
      </c>
      <c r="X2043" s="348" t="str">
        <f t="shared" si="263"/>
        <v/>
      </c>
    </row>
    <row r="2044" spans="1:24" x14ac:dyDescent="0.2">
      <c r="A2044" s="407">
        <v>2036</v>
      </c>
      <c r="B2044" s="438"/>
      <c r="C2044" s="437"/>
      <c r="D2044" s="438"/>
      <c r="E2044" s="438"/>
      <c r="F2044" s="438"/>
      <c r="G2044" s="438"/>
      <c r="H2044" s="438"/>
      <c r="I2044" s="438"/>
      <c r="J2044" s="11"/>
      <c r="Q2044" s="348" t="str">
        <f t="shared" si="256"/>
        <v/>
      </c>
      <c r="R2044" s="348" t="str">
        <f t="shared" si="257"/>
        <v/>
      </c>
      <c r="S2044" s="348" t="str">
        <f t="shared" si="258"/>
        <v/>
      </c>
      <c r="T2044" s="348" t="str">
        <f t="shared" si="259"/>
        <v/>
      </c>
      <c r="U2044" s="348" t="str">
        <f t="shared" si="260"/>
        <v/>
      </c>
      <c r="V2044" s="348" t="str">
        <f t="shared" si="261"/>
        <v/>
      </c>
      <c r="W2044" s="348" t="str">
        <f t="shared" si="262"/>
        <v/>
      </c>
      <c r="X2044" s="348" t="str">
        <f t="shared" si="263"/>
        <v/>
      </c>
    </row>
    <row r="2045" spans="1:24" x14ac:dyDescent="0.2">
      <c r="A2045" s="407">
        <v>2037</v>
      </c>
      <c r="B2045" s="438"/>
      <c r="C2045" s="438"/>
      <c r="D2045" s="438"/>
      <c r="E2045" s="438"/>
      <c r="F2045" s="438"/>
      <c r="G2045" s="438"/>
      <c r="H2045" s="438"/>
      <c r="I2045" s="438"/>
      <c r="J2045" s="11"/>
      <c r="Q2045" s="348" t="str">
        <f t="shared" si="256"/>
        <v/>
      </c>
      <c r="R2045" s="348" t="str">
        <f t="shared" si="257"/>
        <v/>
      </c>
      <c r="S2045" s="348" t="str">
        <f t="shared" si="258"/>
        <v/>
      </c>
      <c r="T2045" s="348" t="str">
        <f t="shared" si="259"/>
        <v/>
      </c>
      <c r="U2045" s="348" t="str">
        <f t="shared" si="260"/>
        <v/>
      </c>
      <c r="V2045" s="348" t="str">
        <f t="shared" si="261"/>
        <v/>
      </c>
      <c r="W2045" s="348" t="str">
        <f t="shared" si="262"/>
        <v/>
      </c>
      <c r="X2045" s="348" t="str">
        <f t="shared" si="263"/>
        <v/>
      </c>
    </row>
    <row r="2046" spans="1:24" x14ac:dyDescent="0.2">
      <c r="A2046" s="407">
        <v>2038</v>
      </c>
      <c r="B2046" s="438"/>
      <c r="C2046" s="438"/>
      <c r="D2046" s="438"/>
      <c r="E2046" s="438"/>
      <c r="F2046" s="438"/>
      <c r="G2046" s="438"/>
      <c r="H2046" s="438"/>
      <c r="I2046" s="438"/>
      <c r="J2046" s="11"/>
      <c r="Q2046" s="348" t="str">
        <f t="shared" si="256"/>
        <v/>
      </c>
      <c r="R2046" s="348" t="str">
        <f t="shared" si="257"/>
        <v/>
      </c>
      <c r="S2046" s="348" t="str">
        <f t="shared" si="258"/>
        <v/>
      </c>
      <c r="T2046" s="348" t="str">
        <f t="shared" si="259"/>
        <v/>
      </c>
      <c r="U2046" s="348" t="str">
        <f t="shared" si="260"/>
        <v/>
      </c>
      <c r="V2046" s="348" t="str">
        <f t="shared" si="261"/>
        <v/>
      </c>
      <c r="W2046" s="348" t="str">
        <f t="shared" si="262"/>
        <v/>
      </c>
      <c r="X2046" s="348" t="str">
        <f t="shared" si="263"/>
        <v/>
      </c>
    </row>
    <row r="2047" spans="1:24" x14ac:dyDescent="0.2">
      <c r="A2047" s="407">
        <v>2039</v>
      </c>
      <c r="B2047" s="438"/>
      <c r="C2047" s="438"/>
      <c r="D2047" s="438"/>
      <c r="E2047" s="438"/>
      <c r="F2047" s="438"/>
      <c r="G2047" s="438"/>
      <c r="H2047" s="438"/>
      <c r="I2047" s="438"/>
      <c r="J2047" s="11"/>
      <c r="Q2047" s="348" t="str">
        <f t="shared" si="256"/>
        <v/>
      </c>
      <c r="R2047" s="348" t="str">
        <f t="shared" si="257"/>
        <v/>
      </c>
      <c r="S2047" s="348" t="str">
        <f t="shared" si="258"/>
        <v/>
      </c>
      <c r="T2047" s="348" t="str">
        <f t="shared" si="259"/>
        <v/>
      </c>
      <c r="U2047" s="348" t="str">
        <f t="shared" si="260"/>
        <v/>
      </c>
      <c r="V2047" s="348" t="str">
        <f t="shared" si="261"/>
        <v/>
      </c>
      <c r="W2047" s="348" t="str">
        <f t="shared" si="262"/>
        <v/>
      </c>
      <c r="X2047" s="348" t="str">
        <f t="shared" si="263"/>
        <v/>
      </c>
    </row>
    <row r="2048" spans="1:24" x14ac:dyDescent="0.2">
      <c r="A2048" s="407">
        <v>2040</v>
      </c>
      <c r="B2048" s="438"/>
      <c r="C2048" s="438"/>
      <c r="D2048" s="438"/>
      <c r="E2048" s="438"/>
      <c r="F2048" s="438"/>
      <c r="G2048" s="438"/>
      <c r="H2048" s="438"/>
      <c r="I2048" s="438"/>
      <c r="J2048" s="11"/>
      <c r="Q2048" s="348" t="str">
        <f t="shared" si="256"/>
        <v/>
      </c>
      <c r="R2048" s="348" t="str">
        <f t="shared" si="257"/>
        <v/>
      </c>
      <c r="S2048" s="348" t="str">
        <f t="shared" si="258"/>
        <v/>
      </c>
      <c r="T2048" s="348" t="str">
        <f t="shared" si="259"/>
        <v/>
      </c>
      <c r="U2048" s="348" t="str">
        <f t="shared" si="260"/>
        <v/>
      </c>
      <c r="V2048" s="348" t="str">
        <f t="shared" si="261"/>
        <v/>
      </c>
      <c r="W2048" s="348" t="str">
        <f t="shared" si="262"/>
        <v/>
      </c>
      <c r="X2048" s="348" t="str">
        <f t="shared" si="263"/>
        <v/>
      </c>
    </row>
    <row r="2049" spans="1:24" x14ac:dyDescent="0.2">
      <c r="A2049" s="407">
        <v>2041</v>
      </c>
      <c r="B2049" s="437"/>
      <c r="C2049" s="438"/>
      <c r="D2049" s="438"/>
      <c r="E2049" s="438"/>
      <c r="F2049" s="438"/>
      <c r="G2049" s="438"/>
      <c r="H2049" s="438"/>
      <c r="I2049" s="438"/>
      <c r="J2049" s="11"/>
      <c r="Q2049" s="348" t="str">
        <f t="shared" si="256"/>
        <v/>
      </c>
      <c r="R2049" s="348" t="str">
        <f t="shared" si="257"/>
        <v/>
      </c>
      <c r="S2049" s="348" t="str">
        <f t="shared" si="258"/>
        <v/>
      </c>
      <c r="T2049" s="348" t="str">
        <f t="shared" si="259"/>
        <v/>
      </c>
      <c r="U2049" s="348" t="str">
        <f t="shared" si="260"/>
        <v/>
      </c>
      <c r="V2049" s="348" t="str">
        <f t="shared" si="261"/>
        <v/>
      </c>
      <c r="W2049" s="348" t="str">
        <f t="shared" si="262"/>
        <v/>
      </c>
      <c r="X2049" s="348" t="str">
        <f t="shared" si="263"/>
        <v/>
      </c>
    </row>
    <row r="2050" spans="1:24" x14ac:dyDescent="0.2">
      <c r="A2050" s="407">
        <v>2042</v>
      </c>
      <c r="B2050" s="438"/>
      <c r="C2050" s="438"/>
      <c r="D2050" s="438"/>
      <c r="E2050" s="438"/>
      <c r="F2050" s="438"/>
      <c r="G2050" s="438"/>
      <c r="H2050" s="438"/>
      <c r="I2050" s="438"/>
      <c r="J2050" s="11"/>
      <c r="Q2050" s="348" t="str">
        <f t="shared" si="256"/>
        <v/>
      </c>
      <c r="R2050" s="348" t="str">
        <f t="shared" si="257"/>
        <v/>
      </c>
      <c r="S2050" s="348" t="str">
        <f t="shared" si="258"/>
        <v/>
      </c>
      <c r="T2050" s="348" t="str">
        <f t="shared" si="259"/>
        <v/>
      </c>
      <c r="U2050" s="348" t="str">
        <f t="shared" si="260"/>
        <v/>
      </c>
      <c r="V2050" s="348" t="str">
        <f t="shared" si="261"/>
        <v/>
      </c>
      <c r="W2050" s="348" t="str">
        <f t="shared" si="262"/>
        <v/>
      </c>
      <c r="X2050" s="348" t="str">
        <f t="shared" si="263"/>
        <v/>
      </c>
    </row>
    <row r="2051" spans="1:24" x14ac:dyDescent="0.2">
      <c r="A2051" s="407">
        <v>2043</v>
      </c>
      <c r="B2051" s="438"/>
      <c r="C2051" s="438"/>
      <c r="D2051" s="438"/>
      <c r="E2051" s="438"/>
      <c r="F2051" s="438"/>
      <c r="G2051" s="438"/>
      <c r="H2051" s="438"/>
      <c r="I2051" s="438"/>
      <c r="J2051" s="11"/>
      <c r="Q2051" s="348" t="str">
        <f t="shared" si="256"/>
        <v/>
      </c>
      <c r="R2051" s="348" t="str">
        <f t="shared" si="257"/>
        <v/>
      </c>
      <c r="S2051" s="348" t="str">
        <f t="shared" si="258"/>
        <v/>
      </c>
      <c r="T2051" s="348" t="str">
        <f t="shared" si="259"/>
        <v/>
      </c>
      <c r="U2051" s="348" t="str">
        <f t="shared" si="260"/>
        <v/>
      </c>
      <c r="V2051" s="348" t="str">
        <f t="shared" si="261"/>
        <v/>
      </c>
      <c r="W2051" s="348" t="str">
        <f t="shared" si="262"/>
        <v/>
      </c>
      <c r="X2051" s="348" t="str">
        <f t="shared" si="263"/>
        <v/>
      </c>
    </row>
    <row r="2052" spans="1:24" x14ac:dyDescent="0.2">
      <c r="A2052" s="407">
        <v>2044</v>
      </c>
      <c r="B2052" s="438"/>
      <c r="C2052" s="438"/>
      <c r="D2052" s="438"/>
      <c r="E2052" s="438"/>
      <c r="F2052" s="438"/>
      <c r="G2052" s="438"/>
      <c r="H2052" s="438"/>
      <c r="I2052" s="438"/>
      <c r="J2052" s="11"/>
      <c r="Q2052" s="348" t="str">
        <f t="shared" si="256"/>
        <v/>
      </c>
      <c r="R2052" s="348" t="str">
        <f t="shared" si="257"/>
        <v/>
      </c>
      <c r="S2052" s="348" t="str">
        <f t="shared" si="258"/>
        <v/>
      </c>
      <c r="T2052" s="348" t="str">
        <f t="shared" si="259"/>
        <v/>
      </c>
      <c r="U2052" s="348" t="str">
        <f t="shared" si="260"/>
        <v/>
      </c>
      <c r="V2052" s="348" t="str">
        <f t="shared" si="261"/>
        <v/>
      </c>
      <c r="W2052" s="348" t="str">
        <f t="shared" si="262"/>
        <v/>
      </c>
      <c r="X2052" s="348" t="str">
        <f t="shared" si="263"/>
        <v/>
      </c>
    </row>
    <row r="2053" spans="1:24" x14ac:dyDescent="0.2">
      <c r="A2053" s="407">
        <v>2045</v>
      </c>
      <c r="B2053" s="438"/>
      <c r="C2053" s="438"/>
      <c r="D2053" s="438"/>
      <c r="E2053" s="438"/>
      <c r="F2053" s="438"/>
      <c r="G2053" s="438"/>
      <c r="H2053" s="438"/>
      <c r="I2053" s="438"/>
      <c r="J2053" s="11"/>
      <c r="Q2053" s="348" t="str">
        <f t="shared" si="256"/>
        <v/>
      </c>
      <c r="R2053" s="348" t="str">
        <f t="shared" si="257"/>
        <v/>
      </c>
      <c r="S2053" s="348" t="str">
        <f t="shared" si="258"/>
        <v/>
      </c>
      <c r="T2053" s="348" t="str">
        <f t="shared" si="259"/>
        <v/>
      </c>
      <c r="U2053" s="348" t="str">
        <f t="shared" si="260"/>
        <v/>
      </c>
      <c r="V2053" s="348" t="str">
        <f t="shared" si="261"/>
        <v/>
      </c>
      <c r="W2053" s="348" t="str">
        <f t="shared" si="262"/>
        <v/>
      </c>
      <c r="X2053" s="348" t="str">
        <f t="shared" si="263"/>
        <v/>
      </c>
    </row>
    <row r="2054" spans="1:24" x14ac:dyDescent="0.2">
      <c r="A2054" s="407">
        <v>2046</v>
      </c>
      <c r="B2054" s="438"/>
      <c r="C2054" s="438"/>
      <c r="D2054" s="438"/>
      <c r="E2054" s="438"/>
      <c r="F2054" s="438"/>
      <c r="G2054" s="438"/>
      <c r="H2054" s="438"/>
      <c r="I2054" s="438"/>
      <c r="J2054" s="11"/>
      <c r="Q2054" s="348" t="str">
        <f t="shared" si="256"/>
        <v/>
      </c>
      <c r="R2054" s="348" t="str">
        <f t="shared" si="257"/>
        <v/>
      </c>
      <c r="S2054" s="348" t="str">
        <f t="shared" si="258"/>
        <v/>
      </c>
      <c r="T2054" s="348" t="str">
        <f t="shared" si="259"/>
        <v/>
      </c>
      <c r="U2054" s="348" t="str">
        <f t="shared" si="260"/>
        <v/>
      </c>
      <c r="V2054" s="348" t="str">
        <f t="shared" si="261"/>
        <v/>
      </c>
      <c r="W2054" s="348" t="str">
        <f t="shared" si="262"/>
        <v/>
      </c>
      <c r="X2054" s="348" t="str">
        <f t="shared" si="263"/>
        <v/>
      </c>
    </row>
    <row r="2055" spans="1:24" x14ac:dyDescent="0.2">
      <c r="A2055" s="407">
        <v>2047</v>
      </c>
      <c r="B2055" s="438"/>
      <c r="C2055" s="438"/>
      <c r="D2055" s="438"/>
      <c r="E2055" s="438"/>
      <c r="F2055" s="438"/>
      <c r="G2055" s="438"/>
      <c r="H2055" s="438"/>
      <c r="I2055" s="438"/>
      <c r="J2055" s="11"/>
      <c r="Q2055" s="348" t="str">
        <f t="shared" si="256"/>
        <v/>
      </c>
      <c r="R2055" s="348" t="str">
        <f t="shared" si="257"/>
        <v/>
      </c>
      <c r="S2055" s="348" t="str">
        <f t="shared" si="258"/>
        <v/>
      </c>
      <c r="T2055" s="348" t="str">
        <f t="shared" si="259"/>
        <v/>
      </c>
      <c r="U2055" s="348" t="str">
        <f t="shared" si="260"/>
        <v/>
      </c>
      <c r="V2055" s="348" t="str">
        <f t="shared" si="261"/>
        <v/>
      </c>
      <c r="W2055" s="348" t="str">
        <f t="shared" si="262"/>
        <v/>
      </c>
      <c r="X2055" s="348" t="str">
        <f t="shared" si="263"/>
        <v/>
      </c>
    </row>
    <row r="2056" spans="1:24" x14ac:dyDescent="0.2">
      <c r="A2056" s="407">
        <v>2048</v>
      </c>
      <c r="B2056" s="438"/>
      <c r="C2056" s="438"/>
      <c r="D2056" s="438"/>
      <c r="E2056" s="438"/>
      <c r="F2056" s="438"/>
      <c r="G2056" s="438"/>
      <c r="H2056" s="438"/>
      <c r="I2056" s="438"/>
      <c r="J2056" s="11"/>
      <c r="Q2056" s="348" t="str">
        <f t="shared" si="256"/>
        <v/>
      </c>
      <c r="R2056" s="348" t="str">
        <f t="shared" si="257"/>
        <v/>
      </c>
      <c r="S2056" s="348" t="str">
        <f t="shared" si="258"/>
        <v/>
      </c>
      <c r="T2056" s="348" t="str">
        <f t="shared" si="259"/>
        <v/>
      </c>
      <c r="U2056" s="348" t="str">
        <f t="shared" si="260"/>
        <v/>
      </c>
      <c r="V2056" s="348" t="str">
        <f t="shared" si="261"/>
        <v/>
      </c>
      <c r="W2056" s="348" t="str">
        <f t="shared" si="262"/>
        <v/>
      </c>
      <c r="X2056" s="348" t="str">
        <f t="shared" si="263"/>
        <v/>
      </c>
    </row>
    <row r="2057" spans="1:24" x14ac:dyDescent="0.2">
      <c r="A2057" s="407">
        <v>2049</v>
      </c>
      <c r="B2057" s="438"/>
      <c r="C2057" s="438"/>
      <c r="D2057" s="438"/>
      <c r="E2057" s="438"/>
      <c r="F2057" s="438"/>
      <c r="G2057" s="438"/>
      <c r="H2057" s="438"/>
      <c r="I2057" s="438"/>
      <c r="J2057" s="11"/>
      <c r="Q2057" s="348" t="str">
        <f t="shared" si="256"/>
        <v/>
      </c>
      <c r="R2057" s="348" t="str">
        <f t="shared" si="257"/>
        <v/>
      </c>
      <c r="S2057" s="348" t="str">
        <f t="shared" si="258"/>
        <v/>
      </c>
      <c r="T2057" s="348" t="str">
        <f t="shared" si="259"/>
        <v/>
      </c>
      <c r="U2057" s="348" t="str">
        <f t="shared" si="260"/>
        <v/>
      </c>
      <c r="V2057" s="348" t="str">
        <f t="shared" si="261"/>
        <v/>
      </c>
      <c r="W2057" s="348" t="str">
        <f t="shared" si="262"/>
        <v/>
      </c>
      <c r="X2057" s="348" t="str">
        <f t="shared" si="263"/>
        <v/>
      </c>
    </row>
    <row r="2058" spans="1:24" x14ac:dyDescent="0.2">
      <c r="A2058" s="407">
        <v>2050</v>
      </c>
      <c r="B2058" s="438"/>
      <c r="C2058" s="437"/>
      <c r="D2058" s="438"/>
      <c r="E2058" s="438"/>
      <c r="F2058" s="438"/>
      <c r="G2058" s="438"/>
      <c r="H2058" s="438"/>
      <c r="I2058" s="437"/>
      <c r="J2058" s="11"/>
      <c r="Q2058" s="348" t="str">
        <f t="shared" ref="Q2058:Q2121" si="264">IFERROR(B2058^4*$AB$9+B2058^3*$AC$9+B2058^2*$AD$9+B2058^1*$AE$9+B2058^0*$AF$9,"")</f>
        <v/>
      </c>
      <c r="R2058" s="348" t="str">
        <f t="shared" ref="R2058:R2121" si="265">IFERROR(C2058^4*$AB$10+C2058^3*$AC$10+C2058^2*$AD$10+C2058^1*$AE$10+C2058^0*$AF$10,"")</f>
        <v/>
      </c>
      <c r="S2058" s="348" t="str">
        <f t="shared" ref="S2058:S2121" si="266">IFERROR(D2058^4*$AB$11+D2058^3*$AC$11+D2058^2*$AD$11+D2058^1*$AE$11+D2058^0*$AF$11,"")</f>
        <v/>
      </c>
      <c r="T2058" s="348" t="str">
        <f t="shared" ref="T2058:T2121" si="267">IFERROR(E2058^4*$AB$12+E2058^3*$AC$12+E2058^2*$AD$12+E2058^1*$AE$12+E2058^0*$AF$12,"")</f>
        <v/>
      </c>
      <c r="U2058" s="348" t="str">
        <f t="shared" ref="U2058:U2121" si="268">IFERROR(F2058^4*$AB$13+F2058^3*$AC$13+F2058^2*$AD$13+F2058^1*$AE$13+F2058^0*$AF$13,"")</f>
        <v/>
      </c>
      <c r="V2058" s="348" t="str">
        <f t="shared" ref="V2058:V2121" si="269">IFERROR(G2058^4*$AB$14+G2058^3*$AC$14+G2058^2*$AD$14+G2058^1*$AE$14+G2058^0*$AF$14,"")</f>
        <v/>
      </c>
      <c r="W2058" s="348" t="str">
        <f t="shared" ref="W2058:W2121" si="270">IFERROR(H2058^4*$AB$15+H2058^3*$AC$15+H2058^2*$AD$15+H2058^1*$AE$15+H2058^0*$AF$15,"")</f>
        <v/>
      </c>
      <c r="X2058" s="348" t="str">
        <f t="shared" ref="X2058:X2121" si="271">IFERROR(I2058^4*$AB$16+I2058^3*$AC$16+I2058^2*$AD$16+I2058^1*$AE$16+I2058^0*$AF$16,"")</f>
        <v/>
      </c>
    </row>
    <row r="2059" spans="1:24" x14ac:dyDescent="0.2">
      <c r="A2059" s="407">
        <v>2051</v>
      </c>
      <c r="B2059" s="438"/>
      <c r="C2059" s="438"/>
      <c r="D2059" s="438"/>
      <c r="E2059" s="437"/>
      <c r="F2059" s="438"/>
      <c r="G2059" s="438"/>
      <c r="H2059" s="438"/>
      <c r="I2059" s="438"/>
      <c r="J2059" s="11"/>
      <c r="Q2059" s="348" t="str">
        <f t="shared" si="264"/>
        <v/>
      </c>
      <c r="R2059" s="348" t="str">
        <f t="shared" si="265"/>
        <v/>
      </c>
      <c r="S2059" s="348" t="str">
        <f t="shared" si="266"/>
        <v/>
      </c>
      <c r="T2059" s="348" t="str">
        <f t="shared" si="267"/>
        <v/>
      </c>
      <c r="U2059" s="348" t="str">
        <f t="shared" si="268"/>
        <v/>
      </c>
      <c r="V2059" s="348" t="str">
        <f t="shared" si="269"/>
        <v/>
      </c>
      <c r="W2059" s="348" t="str">
        <f t="shared" si="270"/>
        <v/>
      </c>
      <c r="X2059" s="348" t="str">
        <f t="shared" si="271"/>
        <v/>
      </c>
    </row>
    <row r="2060" spans="1:24" x14ac:dyDescent="0.2">
      <c r="A2060" s="407">
        <v>2052</v>
      </c>
      <c r="B2060" s="438"/>
      <c r="C2060" s="438"/>
      <c r="D2060" s="438"/>
      <c r="E2060" s="438"/>
      <c r="F2060" s="438"/>
      <c r="G2060" s="438"/>
      <c r="H2060" s="438"/>
      <c r="I2060" s="438"/>
      <c r="J2060" s="11"/>
      <c r="Q2060" s="348" t="str">
        <f t="shared" si="264"/>
        <v/>
      </c>
      <c r="R2060" s="348" t="str">
        <f t="shared" si="265"/>
        <v/>
      </c>
      <c r="S2060" s="348" t="str">
        <f t="shared" si="266"/>
        <v/>
      </c>
      <c r="T2060" s="348" t="str">
        <f t="shared" si="267"/>
        <v/>
      </c>
      <c r="U2060" s="348" t="str">
        <f t="shared" si="268"/>
        <v/>
      </c>
      <c r="V2060" s="348" t="str">
        <f t="shared" si="269"/>
        <v/>
      </c>
      <c r="W2060" s="348" t="str">
        <f t="shared" si="270"/>
        <v/>
      </c>
      <c r="X2060" s="348" t="str">
        <f t="shared" si="271"/>
        <v/>
      </c>
    </row>
    <row r="2061" spans="1:24" x14ac:dyDescent="0.2">
      <c r="A2061" s="407">
        <v>2053</v>
      </c>
      <c r="B2061" s="438"/>
      <c r="C2061" s="438"/>
      <c r="D2061" s="438"/>
      <c r="E2061" s="438"/>
      <c r="F2061" s="438"/>
      <c r="G2061" s="438"/>
      <c r="H2061" s="438"/>
      <c r="I2061" s="438"/>
      <c r="J2061" s="11"/>
      <c r="Q2061" s="348" t="str">
        <f t="shared" si="264"/>
        <v/>
      </c>
      <c r="R2061" s="348" t="str">
        <f t="shared" si="265"/>
        <v/>
      </c>
      <c r="S2061" s="348" t="str">
        <f t="shared" si="266"/>
        <v/>
      </c>
      <c r="T2061" s="348" t="str">
        <f t="shared" si="267"/>
        <v/>
      </c>
      <c r="U2061" s="348" t="str">
        <f t="shared" si="268"/>
        <v/>
      </c>
      <c r="V2061" s="348" t="str">
        <f t="shared" si="269"/>
        <v/>
      </c>
      <c r="W2061" s="348" t="str">
        <f t="shared" si="270"/>
        <v/>
      </c>
      <c r="X2061" s="348" t="str">
        <f t="shared" si="271"/>
        <v/>
      </c>
    </row>
    <row r="2062" spans="1:24" x14ac:dyDescent="0.2">
      <c r="A2062" s="407">
        <v>2054</v>
      </c>
      <c r="B2062" s="438"/>
      <c r="C2062" s="438"/>
      <c r="D2062" s="438"/>
      <c r="E2062" s="438"/>
      <c r="F2062" s="438"/>
      <c r="G2062" s="438"/>
      <c r="H2062" s="438"/>
      <c r="I2062" s="438"/>
      <c r="J2062" s="11"/>
      <c r="Q2062" s="348" t="str">
        <f t="shared" si="264"/>
        <v/>
      </c>
      <c r="R2062" s="348" t="str">
        <f t="shared" si="265"/>
        <v/>
      </c>
      <c r="S2062" s="348" t="str">
        <f t="shared" si="266"/>
        <v/>
      </c>
      <c r="T2062" s="348" t="str">
        <f t="shared" si="267"/>
        <v/>
      </c>
      <c r="U2062" s="348" t="str">
        <f t="shared" si="268"/>
        <v/>
      </c>
      <c r="V2062" s="348" t="str">
        <f t="shared" si="269"/>
        <v/>
      </c>
      <c r="W2062" s="348" t="str">
        <f t="shared" si="270"/>
        <v/>
      </c>
      <c r="X2062" s="348" t="str">
        <f t="shared" si="271"/>
        <v/>
      </c>
    </row>
    <row r="2063" spans="1:24" x14ac:dyDescent="0.2">
      <c r="A2063" s="407">
        <v>2055</v>
      </c>
      <c r="B2063" s="437"/>
      <c r="C2063" s="438"/>
      <c r="D2063" s="438"/>
      <c r="E2063" s="438"/>
      <c r="F2063" s="438"/>
      <c r="G2063" s="438"/>
      <c r="H2063" s="438"/>
      <c r="I2063" s="438"/>
      <c r="J2063" s="11"/>
      <c r="Q2063" s="348" t="str">
        <f t="shared" si="264"/>
        <v/>
      </c>
      <c r="R2063" s="348" t="str">
        <f t="shared" si="265"/>
        <v/>
      </c>
      <c r="S2063" s="348" t="str">
        <f t="shared" si="266"/>
        <v/>
      </c>
      <c r="T2063" s="348" t="str">
        <f t="shared" si="267"/>
        <v/>
      </c>
      <c r="U2063" s="348" t="str">
        <f t="shared" si="268"/>
        <v/>
      </c>
      <c r="V2063" s="348" t="str">
        <f t="shared" si="269"/>
        <v/>
      </c>
      <c r="W2063" s="348" t="str">
        <f t="shared" si="270"/>
        <v/>
      </c>
      <c r="X2063" s="348" t="str">
        <f t="shared" si="271"/>
        <v/>
      </c>
    </row>
    <row r="2064" spans="1:24" x14ac:dyDescent="0.2">
      <c r="A2064" s="407">
        <v>2056</v>
      </c>
      <c r="B2064" s="438"/>
      <c r="C2064" s="438"/>
      <c r="D2064" s="437"/>
      <c r="E2064" s="438"/>
      <c r="F2064" s="438"/>
      <c r="G2064" s="438"/>
      <c r="H2064" s="438"/>
      <c r="I2064" s="438"/>
      <c r="J2064" s="11"/>
      <c r="Q2064" s="348" t="str">
        <f t="shared" si="264"/>
        <v/>
      </c>
      <c r="R2064" s="348" t="str">
        <f t="shared" si="265"/>
        <v/>
      </c>
      <c r="S2064" s="348" t="str">
        <f t="shared" si="266"/>
        <v/>
      </c>
      <c r="T2064" s="348" t="str">
        <f t="shared" si="267"/>
        <v/>
      </c>
      <c r="U2064" s="348" t="str">
        <f t="shared" si="268"/>
        <v/>
      </c>
      <c r="V2064" s="348" t="str">
        <f t="shared" si="269"/>
        <v/>
      </c>
      <c r="W2064" s="348" t="str">
        <f t="shared" si="270"/>
        <v/>
      </c>
      <c r="X2064" s="348" t="str">
        <f t="shared" si="271"/>
        <v/>
      </c>
    </row>
    <row r="2065" spans="1:24" x14ac:dyDescent="0.2">
      <c r="A2065" s="407">
        <v>2057</v>
      </c>
      <c r="B2065" s="438"/>
      <c r="C2065" s="438"/>
      <c r="D2065" s="438"/>
      <c r="E2065" s="438"/>
      <c r="F2065" s="438"/>
      <c r="G2065" s="438"/>
      <c r="H2065" s="438"/>
      <c r="I2065" s="438"/>
      <c r="J2065" s="11"/>
      <c r="Q2065" s="348" t="str">
        <f t="shared" si="264"/>
        <v/>
      </c>
      <c r="R2065" s="348" t="str">
        <f t="shared" si="265"/>
        <v/>
      </c>
      <c r="S2065" s="348" t="str">
        <f t="shared" si="266"/>
        <v/>
      </c>
      <c r="T2065" s="348" t="str">
        <f t="shared" si="267"/>
        <v/>
      </c>
      <c r="U2065" s="348" t="str">
        <f t="shared" si="268"/>
        <v/>
      </c>
      <c r="V2065" s="348" t="str">
        <f t="shared" si="269"/>
        <v/>
      </c>
      <c r="W2065" s="348" t="str">
        <f t="shared" si="270"/>
        <v/>
      </c>
      <c r="X2065" s="348" t="str">
        <f t="shared" si="271"/>
        <v/>
      </c>
    </row>
    <row r="2066" spans="1:24" x14ac:dyDescent="0.2">
      <c r="A2066" s="407">
        <v>2058</v>
      </c>
      <c r="B2066" s="438"/>
      <c r="C2066" s="438"/>
      <c r="D2066" s="438"/>
      <c r="E2066" s="438"/>
      <c r="F2066" s="438"/>
      <c r="G2066" s="438"/>
      <c r="H2066" s="438"/>
      <c r="I2066" s="438"/>
      <c r="J2066" s="11"/>
      <c r="Q2066" s="348" t="str">
        <f t="shared" si="264"/>
        <v/>
      </c>
      <c r="R2066" s="348" t="str">
        <f t="shared" si="265"/>
        <v/>
      </c>
      <c r="S2066" s="348" t="str">
        <f t="shared" si="266"/>
        <v/>
      </c>
      <c r="T2066" s="348" t="str">
        <f t="shared" si="267"/>
        <v/>
      </c>
      <c r="U2066" s="348" t="str">
        <f t="shared" si="268"/>
        <v/>
      </c>
      <c r="V2066" s="348" t="str">
        <f t="shared" si="269"/>
        <v/>
      </c>
      <c r="W2066" s="348" t="str">
        <f t="shared" si="270"/>
        <v/>
      </c>
      <c r="X2066" s="348" t="str">
        <f t="shared" si="271"/>
        <v/>
      </c>
    </row>
    <row r="2067" spans="1:24" x14ac:dyDescent="0.2">
      <c r="A2067" s="407">
        <v>2059</v>
      </c>
      <c r="B2067" s="438"/>
      <c r="C2067" s="438"/>
      <c r="D2067" s="438"/>
      <c r="E2067" s="438"/>
      <c r="F2067" s="438"/>
      <c r="G2067" s="438"/>
      <c r="H2067" s="438"/>
      <c r="I2067" s="438"/>
      <c r="J2067" s="11"/>
      <c r="Q2067" s="348" t="str">
        <f t="shared" si="264"/>
        <v/>
      </c>
      <c r="R2067" s="348" t="str">
        <f t="shared" si="265"/>
        <v/>
      </c>
      <c r="S2067" s="348" t="str">
        <f t="shared" si="266"/>
        <v/>
      </c>
      <c r="T2067" s="348" t="str">
        <f t="shared" si="267"/>
        <v/>
      </c>
      <c r="U2067" s="348" t="str">
        <f t="shared" si="268"/>
        <v/>
      </c>
      <c r="V2067" s="348" t="str">
        <f t="shared" si="269"/>
        <v/>
      </c>
      <c r="W2067" s="348" t="str">
        <f t="shared" si="270"/>
        <v/>
      </c>
      <c r="X2067" s="348" t="str">
        <f t="shared" si="271"/>
        <v/>
      </c>
    </row>
    <row r="2068" spans="1:24" x14ac:dyDescent="0.2">
      <c r="A2068" s="407">
        <v>2060</v>
      </c>
      <c r="B2068" s="438"/>
      <c r="C2068" s="438"/>
      <c r="D2068" s="438"/>
      <c r="E2068" s="438"/>
      <c r="F2068" s="438"/>
      <c r="G2068" s="438"/>
      <c r="H2068" s="438"/>
      <c r="I2068" s="438"/>
      <c r="J2068" s="11"/>
      <c r="Q2068" s="348" t="str">
        <f t="shared" si="264"/>
        <v/>
      </c>
      <c r="R2068" s="348" t="str">
        <f t="shared" si="265"/>
        <v/>
      </c>
      <c r="S2068" s="348" t="str">
        <f t="shared" si="266"/>
        <v/>
      </c>
      <c r="T2068" s="348" t="str">
        <f t="shared" si="267"/>
        <v/>
      </c>
      <c r="U2068" s="348" t="str">
        <f t="shared" si="268"/>
        <v/>
      </c>
      <c r="V2068" s="348" t="str">
        <f t="shared" si="269"/>
        <v/>
      </c>
      <c r="W2068" s="348" t="str">
        <f t="shared" si="270"/>
        <v/>
      </c>
      <c r="X2068" s="348" t="str">
        <f t="shared" si="271"/>
        <v/>
      </c>
    </row>
    <row r="2069" spans="1:24" x14ac:dyDescent="0.2">
      <c r="A2069" s="407">
        <v>2061</v>
      </c>
      <c r="B2069" s="438"/>
      <c r="C2069" s="438"/>
      <c r="D2069" s="438"/>
      <c r="E2069" s="438"/>
      <c r="F2069" s="438"/>
      <c r="G2069" s="438"/>
      <c r="H2069" s="438"/>
      <c r="I2069" s="438"/>
      <c r="J2069" s="11"/>
      <c r="Q2069" s="348" t="str">
        <f t="shared" si="264"/>
        <v/>
      </c>
      <c r="R2069" s="348" t="str">
        <f t="shared" si="265"/>
        <v/>
      </c>
      <c r="S2069" s="348" t="str">
        <f t="shared" si="266"/>
        <v/>
      </c>
      <c r="T2069" s="348" t="str">
        <f t="shared" si="267"/>
        <v/>
      </c>
      <c r="U2069" s="348" t="str">
        <f t="shared" si="268"/>
        <v/>
      </c>
      <c r="V2069" s="348" t="str">
        <f t="shared" si="269"/>
        <v/>
      </c>
      <c r="W2069" s="348" t="str">
        <f t="shared" si="270"/>
        <v/>
      </c>
      <c r="X2069" s="348" t="str">
        <f t="shared" si="271"/>
        <v/>
      </c>
    </row>
    <row r="2070" spans="1:24" x14ac:dyDescent="0.2">
      <c r="A2070" s="407">
        <v>2062</v>
      </c>
      <c r="B2070" s="438"/>
      <c r="C2070" s="438"/>
      <c r="D2070" s="438"/>
      <c r="E2070" s="438"/>
      <c r="F2070" s="438"/>
      <c r="G2070" s="437"/>
      <c r="H2070" s="438"/>
      <c r="I2070" s="438"/>
      <c r="J2070" s="11"/>
      <c r="Q2070" s="348" t="str">
        <f t="shared" si="264"/>
        <v/>
      </c>
      <c r="R2070" s="348" t="str">
        <f t="shared" si="265"/>
        <v/>
      </c>
      <c r="S2070" s="348" t="str">
        <f t="shared" si="266"/>
        <v/>
      </c>
      <c r="T2070" s="348" t="str">
        <f t="shared" si="267"/>
        <v/>
      </c>
      <c r="U2070" s="348" t="str">
        <f t="shared" si="268"/>
        <v/>
      </c>
      <c r="V2070" s="348" t="str">
        <f t="shared" si="269"/>
        <v/>
      </c>
      <c r="W2070" s="348" t="str">
        <f t="shared" si="270"/>
        <v/>
      </c>
      <c r="X2070" s="348" t="str">
        <f t="shared" si="271"/>
        <v/>
      </c>
    </row>
    <row r="2071" spans="1:24" x14ac:dyDescent="0.2">
      <c r="A2071" s="407">
        <v>2063</v>
      </c>
      <c r="B2071" s="438"/>
      <c r="C2071" s="438"/>
      <c r="D2071" s="438"/>
      <c r="E2071" s="438"/>
      <c r="F2071" s="438"/>
      <c r="G2071" s="438"/>
      <c r="H2071" s="438"/>
      <c r="I2071" s="438"/>
      <c r="J2071" s="11"/>
      <c r="Q2071" s="348" t="str">
        <f t="shared" si="264"/>
        <v/>
      </c>
      <c r="R2071" s="348" t="str">
        <f t="shared" si="265"/>
        <v/>
      </c>
      <c r="S2071" s="348" t="str">
        <f t="shared" si="266"/>
        <v/>
      </c>
      <c r="T2071" s="348" t="str">
        <f t="shared" si="267"/>
        <v/>
      </c>
      <c r="U2071" s="348" t="str">
        <f t="shared" si="268"/>
        <v/>
      </c>
      <c r="V2071" s="348" t="str">
        <f t="shared" si="269"/>
        <v/>
      </c>
      <c r="W2071" s="348" t="str">
        <f t="shared" si="270"/>
        <v/>
      </c>
      <c r="X2071" s="348" t="str">
        <f t="shared" si="271"/>
        <v/>
      </c>
    </row>
    <row r="2072" spans="1:24" x14ac:dyDescent="0.2">
      <c r="A2072" s="407">
        <v>2064</v>
      </c>
      <c r="B2072" s="438"/>
      <c r="C2072" s="437"/>
      <c r="D2072" s="438"/>
      <c r="E2072" s="438"/>
      <c r="F2072" s="437"/>
      <c r="G2072" s="438"/>
      <c r="H2072" s="437"/>
      <c r="I2072" s="438"/>
      <c r="J2072" s="11"/>
      <c r="Q2072" s="348" t="str">
        <f t="shared" si="264"/>
        <v/>
      </c>
      <c r="R2072" s="348" t="str">
        <f t="shared" si="265"/>
        <v/>
      </c>
      <c r="S2072" s="348" t="str">
        <f t="shared" si="266"/>
        <v/>
      </c>
      <c r="T2072" s="348" t="str">
        <f t="shared" si="267"/>
        <v/>
      </c>
      <c r="U2072" s="348" t="str">
        <f t="shared" si="268"/>
        <v/>
      </c>
      <c r="V2072" s="348" t="str">
        <f t="shared" si="269"/>
        <v/>
      </c>
      <c r="W2072" s="348" t="str">
        <f t="shared" si="270"/>
        <v/>
      </c>
      <c r="X2072" s="348" t="str">
        <f t="shared" si="271"/>
        <v/>
      </c>
    </row>
    <row r="2073" spans="1:24" x14ac:dyDescent="0.2">
      <c r="A2073" s="407">
        <v>2065</v>
      </c>
      <c r="B2073" s="438"/>
      <c r="C2073" s="438"/>
      <c r="D2073" s="438"/>
      <c r="E2073" s="438"/>
      <c r="F2073" s="438"/>
      <c r="G2073" s="438"/>
      <c r="H2073" s="438"/>
      <c r="I2073" s="438"/>
      <c r="J2073" s="11"/>
      <c r="Q2073" s="348" t="str">
        <f t="shared" si="264"/>
        <v/>
      </c>
      <c r="R2073" s="348" t="str">
        <f t="shared" si="265"/>
        <v/>
      </c>
      <c r="S2073" s="348" t="str">
        <f t="shared" si="266"/>
        <v/>
      </c>
      <c r="T2073" s="348" t="str">
        <f t="shared" si="267"/>
        <v/>
      </c>
      <c r="U2073" s="348" t="str">
        <f t="shared" si="268"/>
        <v/>
      </c>
      <c r="V2073" s="348" t="str">
        <f t="shared" si="269"/>
        <v/>
      </c>
      <c r="W2073" s="348" t="str">
        <f t="shared" si="270"/>
        <v/>
      </c>
      <c r="X2073" s="348" t="str">
        <f t="shared" si="271"/>
        <v/>
      </c>
    </row>
    <row r="2074" spans="1:24" x14ac:dyDescent="0.2">
      <c r="A2074" s="407">
        <v>2066</v>
      </c>
      <c r="B2074" s="438"/>
      <c r="C2074" s="438"/>
      <c r="D2074" s="438"/>
      <c r="E2074" s="438"/>
      <c r="F2074" s="438"/>
      <c r="G2074" s="438"/>
      <c r="H2074" s="438"/>
      <c r="I2074" s="438"/>
      <c r="J2074" s="11"/>
      <c r="Q2074" s="348" t="str">
        <f t="shared" si="264"/>
        <v/>
      </c>
      <c r="R2074" s="348" t="str">
        <f t="shared" si="265"/>
        <v/>
      </c>
      <c r="S2074" s="348" t="str">
        <f t="shared" si="266"/>
        <v/>
      </c>
      <c r="T2074" s="348" t="str">
        <f t="shared" si="267"/>
        <v/>
      </c>
      <c r="U2074" s="348" t="str">
        <f t="shared" si="268"/>
        <v/>
      </c>
      <c r="V2074" s="348" t="str">
        <f t="shared" si="269"/>
        <v/>
      </c>
      <c r="W2074" s="348" t="str">
        <f t="shared" si="270"/>
        <v/>
      </c>
      <c r="X2074" s="348" t="str">
        <f t="shared" si="271"/>
        <v/>
      </c>
    </row>
    <row r="2075" spans="1:24" x14ac:dyDescent="0.2">
      <c r="A2075" s="407">
        <v>2067</v>
      </c>
      <c r="B2075" s="438"/>
      <c r="C2075" s="438"/>
      <c r="D2075" s="438"/>
      <c r="E2075" s="438"/>
      <c r="F2075" s="438"/>
      <c r="G2075" s="438"/>
      <c r="H2075" s="438"/>
      <c r="I2075" s="438"/>
      <c r="J2075" s="11"/>
      <c r="Q2075" s="348" t="str">
        <f t="shared" si="264"/>
        <v/>
      </c>
      <c r="R2075" s="348" t="str">
        <f t="shared" si="265"/>
        <v/>
      </c>
      <c r="S2075" s="348" t="str">
        <f t="shared" si="266"/>
        <v/>
      </c>
      <c r="T2075" s="348" t="str">
        <f t="shared" si="267"/>
        <v/>
      </c>
      <c r="U2075" s="348" t="str">
        <f t="shared" si="268"/>
        <v/>
      </c>
      <c r="V2075" s="348" t="str">
        <f t="shared" si="269"/>
        <v/>
      </c>
      <c r="W2075" s="348" t="str">
        <f t="shared" si="270"/>
        <v/>
      </c>
      <c r="X2075" s="348" t="str">
        <f t="shared" si="271"/>
        <v/>
      </c>
    </row>
    <row r="2076" spans="1:24" x14ac:dyDescent="0.2">
      <c r="A2076" s="407">
        <v>2068</v>
      </c>
      <c r="B2076" s="438"/>
      <c r="C2076" s="438"/>
      <c r="D2076" s="438"/>
      <c r="E2076" s="438"/>
      <c r="F2076" s="438"/>
      <c r="G2076" s="438"/>
      <c r="H2076" s="438"/>
      <c r="I2076" s="438"/>
      <c r="J2076" s="11"/>
      <c r="Q2076" s="348" t="str">
        <f t="shared" si="264"/>
        <v/>
      </c>
      <c r="R2076" s="348" t="str">
        <f t="shared" si="265"/>
        <v/>
      </c>
      <c r="S2076" s="348" t="str">
        <f t="shared" si="266"/>
        <v/>
      </c>
      <c r="T2076" s="348" t="str">
        <f t="shared" si="267"/>
        <v/>
      </c>
      <c r="U2076" s="348" t="str">
        <f t="shared" si="268"/>
        <v/>
      </c>
      <c r="V2076" s="348" t="str">
        <f t="shared" si="269"/>
        <v/>
      </c>
      <c r="W2076" s="348" t="str">
        <f t="shared" si="270"/>
        <v/>
      </c>
      <c r="X2076" s="348" t="str">
        <f t="shared" si="271"/>
        <v/>
      </c>
    </row>
    <row r="2077" spans="1:24" x14ac:dyDescent="0.2">
      <c r="A2077" s="407">
        <v>2069</v>
      </c>
      <c r="B2077" s="438"/>
      <c r="C2077" s="438"/>
      <c r="D2077" s="438"/>
      <c r="E2077" s="437"/>
      <c r="F2077" s="438"/>
      <c r="G2077" s="438"/>
      <c r="H2077" s="438"/>
      <c r="I2077" s="438"/>
      <c r="J2077" s="11"/>
      <c r="Q2077" s="348" t="str">
        <f t="shared" si="264"/>
        <v/>
      </c>
      <c r="R2077" s="348" t="str">
        <f t="shared" si="265"/>
        <v/>
      </c>
      <c r="S2077" s="348" t="str">
        <f t="shared" si="266"/>
        <v/>
      </c>
      <c r="T2077" s="348" t="str">
        <f t="shared" si="267"/>
        <v/>
      </c>
      <c r="U2077" s="348" t="str">
        <f t="shared" si="268"/>
        <v/>
      </c>
      <c r="V2077" s="348" t="str">
        <f t="shared" si="269"/>
        <v/>
      </c>
      <c r="W2077" s="348" t="str">
        <f t="shared" si="270"/>
        <v/>
      </c>
      <c r="X2077" s="348" t="str">
        <f t="shared" si="271"/>
        <v/>
      </c>
    </row>
    <row r="2078" spans="1:24" x14ac:dyDescent="0.2">
      <c r="A2078" s="407">
        <v>2070</v>
      </c>
      <c r="B2078" s="438"/>
      <c r="C2078" s="438"/>
      <c r="D2078" s="438"/>
      <c r="E2078" s="438"/>
      <c r="F2078" s="438"/>
      <c r="G2078" s="438"/>
      <c r="H2078" s="438"/>
      <c r="I2078" s="438"/>
      <c r="J2078" s="11"/>
      <c r="Q2078" s="348" t="str">
        <f t="shared" si="264"/>
        <v/>
      </c>
      <c r="R2078" s="348" t="str">
        <f t="shared" si="265"/>
        <v/>
      </c>
      <c r="S2078" s="348" t="str">
        <f t="shared" si="266"/>
        <v/>
      </c>
      <c r="T2078" s="348" t="str">
        <f t="shared" si="267"/>
        <v/>
      </c>
      <c r="U2078" s="348" t="str">
        <f t="shared" si="268"/>
        <v/>
      </c>
      <c r="V2078" s="348" t="str">
        <f t="shared" si="269"/>
        <v/>
      </c>
      <c r="W2078" s="348" t="str">
        <f t="shared" si="270"/>
        <v/>
      </c>
      <c r="X2078" s="348" t="str">
        <f t="shared" si="271"/>
        <v/>
      </c>
    </row>
    <row r="2079" spans="1:24" x14ac:dyDescent="0.2">
      <c r="A2079" s="407">
        <v>2071</v>
      </c>
      <c r="B2079" s="438"/>
      <c r="C2079" s="438"/>
      <c r="D2079" s="438"/>
      <c r="E2079" s="438"/>
      <c r="F2079" s="438"/>
      <c r="G2079" s="438"/>
      <c r="H2079" s="438"/>
      <c r="I2079" s="438"/>
      <c r="J2079" s="11"/>
      <c r="Q2079" s="348" t="str">
        <f t="shared" si="264"/>
        <v/>
      </c>
      <c r="R2079" s="348" t="str">
        <f t="shared" si="265"/>
        <v/>
      </c>
      <c r="S2079" s="348" t="str">
        <f t="shared" si="266"/>
        <v/>
      </c>
      <c r="T2079" s="348" t="str">
        <f t="shared" si="267"/>
        <v/>
      </c>
      <c r="U2079" s="348" t="str">
        <f t="shared" si="268"/>
        <v/>
      </c>
      <c r="V2079" s="348" t="str">
        <f t="shared" si="269"/>
        <v/>
      </c>
      <c r="W2079" s="348" t="str">
        <f t="shared" si="270"/>
        <v/>
      </c>
      <c r="X2079" s="348" t="str">
        <f t="shared" si="271"/>
        <v/>
      </c>
    </row>
    <row r="2080" spans="1:24" x14ac:dyDescent="0.2">
      <c r="A2080" s="407">
        <v>2072</v>
      </c>
      <c r="B2080" s="438"/>
      <c r="C2080" s="438"/>
      <c r="D2080" s="438"/>
      <c r="E2080" s="438"/>
      <c r="F2080" s="438"/>
      <c r="G2080" s="438"/>
      <c r="H2080" s="438"/>
      <c r="I2080" s="438"/>
      <c r="J2080" s="11"/>
      <c r="Q2080" s="348" t="str">
        <f t="shared" si="264"/>
        <v/>
      </c>
      <c r="R2080" s="348" t="str">
        <f t="shared" si="265"/>
        <v/>
      </c>
      <c r="S2080" s="348" t="str">
        <f t="shared" si="266"/>
        <v/>
      </c>
      <c r="T2080" s="348" t="str">
        <f t="shared" si="267"/>
        <v/>
      </c>
      <c r="U2080" s="348" t="str">
        <f t="shared" si="268"/>
        <v/>
      </c>
      <c r="V2080" s="348" t="str">
        <f t="shared" si="269"/>
        <v/>
      </c>
      <c r="W2080" s="348" t="str">
        <f t="shared" si="270"/>
        <v/>
      </c>
      <c r="X2080" s="348" t="str">
        <f t="shared" si="271"/>
        <v/>
      </c>
    </row>
    <row r="2081" spans="1:24" x14ac:dyDescent="0.2">
      <c r="A2081" s="407">
        <v>2073</v>
      </c>
      <c r="B2081" s="438"/>
      <c r="C2081" s="438"/>
      <c r="D2081" s="438"/>
      <c r="E2081" s="438"/>
      <c r="F2081" s="438"/>
      <c r="G2081" s="438"/>
      <c r="H2081" s="438"/>
      <c r="I2081" s="438"/>
      <c r="J2081" s="11"/>
      <c r="Q2081" s="348" t="str">
        <f t="shared" si="264"/>
        <v/>
      </c>
      <c r="R2081" s="348" t="str">
        <f t="shared" si="265"/>
        <v/>
      </c>
      <c r="S2081" s="348" t="str">
        <f t="shared" si="266"/>
        <v/>
      </c>
      <c r="T2081" s="348" t="str">
        <f t="shared" si="267"/>
        <v/>
      </c>
      <c r="U2081" s="348" t="str">
        <f t="shared" si="268"/>
        <v/>
      </c>
      <c r="V2081" s="348" t="str">
        <f t="shared" si="269"/>
        <v/>
      </c>
      <c r="W2081" s="348" t="str">
        <f t="shared" si="270"/>
        <v/>
      </c>
      <c r="X2081" s="348" t="str">
        <f t="shared" si="271"/>
        <v/>
      </c>
    </row>
    <row r="2082" spans="1:24" x14ac:dyDescent="0.2">
      <c r="A2082" s="407">
        <v>2074</v>
      </c>
      <c r="B2082" s="437"/>
      <c r="C2082" s="438"/>
      <c r="D2082" s="438"/>
      <c r="E2082" s="438"/>
      <c r="F2082" s="438"/>
      <c r="G2082" s="438"/>
      <c r="H2082" s="438"/>
      <c r="I2082" s="438"/>
      <c r="J2082" s="11"/>
      <c r="Q2082" s="348" t="str">
        <f t="shared" si="264"/>
        <v/>
      </c>
      <c r="R2082" s="348" t="str">
        <f t="shared" si="265"/>
        <v/>
      </c>
      <c r="S2082" s="348" t="str">
        <f t="shared" si="266"/>
        <v/>
      </c>
      <c r="T2082" s="348" t="str">
        <f t="shared" si="267"/>
        <v/>
      </c>
      <c r="U2082" s="348" t="str">
        <f t="shared" si="268"/>
        <v/>
      </c>
      <c r="V2082" s="348" t="str">
        <f t="shared" si="269"/>
        <v/>
      </c>
      <c r="W2082" s="348" t="str">
        <f t="shared" si="270"/>
        <v/>
      </c>
      <c r="X2082" s="348" t="str">
        <f t="shared" si="271"/>
        <v/>
      </c>
    </row>
    <row r="2083" spans="1:24" x14ac:dyDescent="0.2">
      <c r="A2083" s="407">
        <v>2075</v>
      </c>
      <c r="B2083" s="438"/>
      <c r="C2083" s="438"/>
      <c r="D2083" s="438"/>
      <c r="E2083" s="438"/>
      <c r="F2083" s="438"/>
      <c r="G2083" s="438"/>
      <c r="H2083" s="438"/>
      <c r="I2083" s="438"/>
      <c r="J2083" s="11"/>
      <c r="Q2083" s="348" t="str">
        <f t="shared" si="264"/>
        <v/>
      </c>
      <c r="R2083" s="348" t="str">
        <f t="shared" si="265"/>
        <v/>
      </c>
      <c r="S2083" s="348" t="str">
        <f t="shared" si="266"/>
        <v/>
      </c>
      <c r="T2083" s="348" t="str">
        <f t="shared" si="267"/>
        <v/>
      </c>
      <c r="U2083" s="348" t="str">
        <f t="shared" si="268"/>
        <v/>
      </c>
      <c r="V2083" s="348" t="str">
        <f t="shared" si="269"/>
        <v/>
      </c>
      <c r="W2083" s="348" t="str">
        <f t="shared" si="270"/>
        <v/>
      </c>
      <c r="X2083" s="348" t="str">
        <f t="shared" si="271"/>
        <v/>
      </c>
    </row>
    <row r="2084" spans="1:24" x14ac:dyDescent="0.2">
      <c r="A2084" s="407">
        <v>2076</v>
      </c>
      <c r="B2084" s="438"/>
      <c r="C2084" s="438"/>
      <c r="D2084" s="438"/>
      <c r="E2084" s="438"/>
      <c r="F2084" s="438"/>
      <c r="G2084" s="438"/>
      <c r="H2084" s="438"/>
      <c r="I2084" s="438"/>
      <c r="J2084" s="11"/>
      <c r="Q2084" s="348" t="str">
        <f t="shared" si="264"/>
        <v/>
      </c>
      <c r="R2084" s="348" t="str">
        <f t="shared" si="265"/>
        <v/>
      </c>
      <c r="S2084" s="348" t="str">
        <f t="shared" si="266"/>
        <v/>
      </c>
      <c r="T2084" s="348" t="str">
        <f t="shared" si="267"/>
        <v/>
      </c>
      <c r="U2084" s="348" t="str">
        <f t="shared" si="268"/>
        <v/>
      </c>
      <c r="V2084" s="348" t="str">
        <f t="shared" si="269"/>
        <v/>
      </c>
      <c r="W2084" s="348" t="str">
        <f t="shared" si="270"/>
        <v/>
      </c>
      <c r="X2084" s="348" t="str">
        <f t="shared" si="271"/>
        <v/>
      </c>
    </row>
    <row r="2085" spans="1:24" x14ac:dyDescent="0.2">
      <c r="A2085" s="407">
        <v>2077</v>
      </c>
      <c r="B2085" s="438"/>
      <c r="C2085" s="438"/>
      <c r="D2085" s="438"/>
      <c r="E2085" s="438"/>
      <c r="F2085" s="438"/>
      <c r="G2085" s="438"/>
      <c r="H2085" s="438"/>
      <c r="I2085" s="438"/>
      <c r="J2085" s="11"/>
      <c r="Q2085" s="348" t="str">
        <f t="shared" si="264"/>
        <v/>
      </c>
      <c r="R2085" s="348" t="str">
        <f t="shared" si="265"/>
        <v/>
      </c>
      <c r="S2085" s="348" t="str">
        <f t="shared" si="266"/>
        <v/>
      </c>
      <c r="T2085" s="348" t="str">
        <f t="shared" si="267"/>
        <v/>
      </c>
      <c r="U2085" s="348" t="str">
        <f t="shared" si="268"/>
        <v/>
      </c>
      <c r="V2085" s="348" t="str">
        <f t="shared" si="269"/>
        <v/>
      </c>
      <c r="W2085" s="348" t="str">
        <f t="shared" si="270"/>
        <v/>
      </c>
      <c r="X2085" s="348" t="str">
        <f t="shared" si="271"/>
        <v/>
      </c>
    </row>
    <row r="2086" spans="1:24" x14ac:dyDescent="0.2">
      <c r="A2086" s="407">
        <v>2078</v>
      </c>
      <c r="B2086" s="438"/>
      <c r="C2086" s="438"/>
      <c r="D2086" s="438"/>
      <c r="E2086" s="438"/>
      <c r="F2086" s="438"/>
      <c r="G2086" s="438"/>
      <c r="H2086" s="438"/>
      <c r="I2086" s="438"/>
      <c r="J2086" s="11"/>
      <c r="Q2086" s="348" t="str">
        <f t="shared" si="264"/>
        <v/>
      </c>
      <c r="R2086" s="348" t="str">
        <f t="shared" si="265"/>
        <v/>
      </c>
      <c r="S2086" s="348" t="str">
        <f t="shared" si="266"/>
        <v/>
      </c>
      <c r="T2086" s="348" t="str">
        <f t="shared" si="267"/>
        <v/>
      </c>
      <c r="U2086" s="348" t="str">
        <f t="shared" si="268"/>
        <v/>
      </c>
      <c r="V2086" s="348" t="str">
        <f t="shared" si="269"/>
        <v/>
      </c>
      <c r="W2086" s="348" t="str">
        <f t="shared" si="270"/>
        <v/>
      </c>
      <c r="X2086" s="348" t="str">
        <f t="shared" si="271"/>
        <v/>
      </c>
    </row>
    <row r="2087" spans="1:24" x14ac:dyDescent="0.2">
      <c r="A2087" s="407">
        <v>2079</v>
      </c>
      <c r="B2087" s="438"/>
      <c r="C2087" s="438"/>
      <c r="D2087" s="438"/>
      <c r="E2087" s="438"/>
      <c r="F2087" s="438"/>
      <c r="G2087" s="438"/>
      <c r="H2087" s="438"/>
      <c r="I2087" s="438"/>
      <c r="J2087" s="11"/>
      <c r="Q2087" s="348" t="str">
        <f t="shared" si="264"/>
        <v/>
      </c>
      <c r="R2087" s="348" t="str">
        <f t="shared" si="265"/>
        <v/>
      </c>
      <c r="S2087" s="348" t="str">
        <f t="shared" si="266"/>
        <v/>
      </c>
      <c r="T2087" s="348" t="str">
        <f t="shared" si="267"/>
        <v/>
      </c>
      <c r="U2087" s="348" t="str">
        <f t="shared" si="268"/>
        <v/>
      </c>
      <c r="V2087" s="348" t="str">
        <f t="shared" si="269"/>
        <v/>
      </c>
      <c r="W2087" s="348" t="str">
        <f t="shared" si="270"/>
        <v/>
      </c>
      <c r="X2087" s="348" t="str">
        <f t="shared" si="271"/>
        <v/>
      </c>
    </row>
    <row r="2088" spans="1:24" x14ac:dyDescent="0.2">
      <c r="A2088" s="407">
        <v>2080</v>
      </c>
      <c r="B2088" s="438"/>
      <c r="C2088" s="438"/>
      <c r="D2088" s="438"/>
      <c r="E2088" s="438"/>
      <c r="F2088" s="438"/>
      <c r="G2088" s="438"/>
      <c r="H2088" s="438"/>
      <c r="I2088" s="438"/>
      <c r="J2088" s="11"/>
      <c r="Q2088" s="348" t="str">
        <f t="shared" si="264"/>
        <v/>
      </c>
      <c r="R2088" s="348" t="str">
        <f t="shared" si="265"/>
        <v/>
      </c>
      <c r="S2088" s="348" t="str">
        <f t="shared" si="266"/>
        <v/>
      </c>
      <c r="T2088" s="348" t="str">
        <f t="shared" si="267"/>
        <v/>
      </c>
      <c r="U2088" s="348" t="str">
        <f t="shared" si="268"/>
        <v/>
      </c>
      <c r="V2088" s="348" t="str">
        <f t="shared" si="269"/>
        <v/>
      </c>
      <c r="W2088" s="348" t="str">
        <f t="shared" si="270"/>
        <v/>
      </c>
      <c r="X2088" s="348" t="str">
        <f t="shared" si="271"/>
        <v/>
      </c>
    </row>
    <row r="2089" spans="1:24" x14ac:dyDescent="0.2">
      <c r="A2089" s="407">
        <v>2081</v>
      </c>
      <c r="B2089" s="438"/>
      <c r="C2089" s="438"/>
      <c r="D2089" s="438"/>
      <c r="E2089" s="438"/>
      <c r="F2089" s="438"/>
      <c r="G2089" s="438"/>
      <c r="H2089" s="438"/>
      <c r="I2089" s="438"/>
      <c r="J2089" s="11"/>
      <c r="Q2089" s="348" t="str">
        <f t="shared" si="264"/>
        <v/>
      </c>
      <c r="R2089" s="348" t="str">
        <f t="shared" si="265"/>
        <v/>
      </c>
      <c r="S2089" s="348" t="str">
        <f t="shared" si="266"/>
        <v/>
      </c>
      <c r="T2089" s="348" t="str">
        <f t="shared" si="267"/>
        <v/>
      </c>
      <c r="U2089" s="348" t="str">
        <f t="shared" si="268"/>
        <v/>
      </c>
      <c r="V2089" s="348" t="str">
        <f t="shared" si="269"/>
        <v/>
      </c>
      <c r="W2089" s="348" t="str">
        <f t="shared" si="270"/>
        <v/>
      </c>
      <c r="X2089" s="348" t="str">
        <f t="shared" si="271"/>
        <v/>
      </c>
    </row>
    <row r="2090" spans="1:24" x14ac:dyDescent="0.2">
      <c r="A2090" s="407">
        <v>2082</v>
      </c>
      <c r="B2090" s="438"/>
      <c r="C2090" s="438"/>
      <c r="D2090" s="438"/>
      <c r="E2090" s="438"/>
      <c r="F2090" s="438"/>
      <c r="G2090" s="438"/>
      <c r="H2090" s="438"/>
      <c r="I2090" s="438"/>
      <c r="J2090" s="11"/>
      <c r="Q2090" s="348" t="str">
        <f t="shared" si="264"/>
        <v/>
      </c>
      <c r="R2090" s="348" t="str">
        <f t="shared" si="265"/>
        <v/>
      </c>
      <c r="S2090" s="348" t="str">
        <f t="shared" si="266"/>
        <v/>
      </c>
      <c r="T2090" s="348" t="str">
        <f t="shared" si="267"/>
        <v/>
      </c>
      <c r="U2090" s="348" t="str">
        <f t="shared" si="268"/>
        <v/>
      </c>
      <c r="V2090" s="348" t="str">
        <f t="shared" si="269"/>
        <v/>
      </c>
      <c r="W2090" s="348" t="str">
        <f t="shared" si="270"/>
        <v/>
      </c>
      <c r="X2090" s="348" t="str">
        <f t="shared" si="271"/>
        <v/>
      </c>
    </row>
    <row r="2091" spans="1:24" x14ac:dyDescent="0.2">
      <c r="A2091" s="407">
        <v>2083</v>
      </c>
      <c r="B2091" s="438"/>
      <c r="C2091" s="438"/>
      <c r="D2091" s="438"/>
      <c r="E2091" s="438"/>
      <c r="F2091" s="438"/>
      <c r="G2091" s="438"/>
      <c r="H2091" s="438"/>
      <c r="I2091" s="438"/>
      <c r="J2091" s="11"/>
      <c r="Q2091" s="348" t="str">
        <f t="shared" si="264"/>
        <v/>
      </c>
      <c r="R2091" s="348" t="str">
        <f t="shared" si="265"/>
        <v/>
      </c>
      <c r="S2091" s="348" t="str">
        <f t="shared" si="266"/>
        <v/>
      </c>
      <c r="T2091" s="348" t="str">
        <f t="shared" si="267"/>
        <v/>
      </c>
      <c r="U2091" s="348" t="str">
        <f t="shared" si="268"/>
        <v/>
      </c>
      <c r="V2091" s="348" t="str">
        <f t="shared" si="269"/>
        <v/>
      </c>
      <c r="W2091" s="348" t="str">
        <f t="shared" si="270"/>
        <v/>
      </c>
      <c r="X2091" s="348" t="str">
        <f t="shared" si="271"/>
        <v/>
      </c>
    </row>
    <row r="2092" spans="1:24" x14ac:dyDescent="0.2">
      <c r="A2092" s="407">
        <v>2084</v>
      </c>
      <c r="B2092" s="437"/>
      <c r="C2092" s="438"/>
      <c r="D2092" s="438"/>
      <c r="E2092" s="438"/>
      <c r="F2092" s="438"/>
      <c r="G2092" s="438"/>
      <c r="H2092" s="438"/>
      <c r="I2092" s="438"/>
      <c r="J2092" s="11"/>
      <c r="Q2092" s="348" t="str">
        <f t="shared" si="264"/>
        <v/>
      </c>
      <c r="R2092" s="348" t="str">
        <f t="shared" si="265"/>
        <v/>
      </c>
      <c r="S2092" s="348" t="str">
        <f t="shared" si="266"/>
        <v/>
      </c>
      <c r="T2092" s="348" t="str">
        <f t="shared" si="267"/>
        <v/>
      </c>
      <c r="U2092" s="348" t="str">
        <f t="shared" si="268"/>
        <v/>
      </c>
      <c r="V2092" s="348" t="str">
        <f t="shared" si="269"/>
        <v/>
      </c>
      <c r="W2092" s="348" t="str">
        <f t="shared" si="270"/>
        <v/>
      </c>
      <c r="X2092" s="348" t="str">
        <f t="shared" si="271"/>
        <v/>
      </c>
    </row>
    <row r="2093" spans="1:24" x14ac:dyDescent="0.2">
      <c r="A2093" s="407">
        <v>2085</v>
      </c>
      <c r="B2093" s="438"/>
      <c r="C2093" s="438"/>
      <c r="D2093" s="438"/>
      <c r="E2093" s="438"/>
      <c r="F2093" s="438"/>
      <c r="G2093" s="438"/>
      <c r="H2093" s="438"/>
      <c r="I2093" s="438"/>
      <c r="J2093" s="11"/>
      <c r="Q2093" s="348" t="str">
        <f t="shared" si="264"/>
        <v/>
      </c>
      <c r="R2093" s="348" t="str">
        <f t="shared" si="265"/>
        <v/>
      </c>
      <c r="S2093" s="348" t="str">
        <f t="shared" si="266"/>
        <v/>
      </c>
      <c r="T2093" s="348" t="str">
        <f t="shared" si="267"/>
        <v/>
      </c>
      <c r="U2093" s="348" t="str">
        <f t="shared" si="268"/>
        <v/>
      </c>
      <c r="V2093" s="348" t="str">
        <f t="shared" si="269"/>
        <v/>
      </c>
      <c r="W2093" s="348" t="str">
        <f t="shared" si="270"/>
        <v/>
      </c>
      <c r="X2093" s="348" t="str">
        <f t="shared" si="271"/>
        <v/>
      </c>
    </row>
    <row r="2094" spans="1:24" x14ac:dyDescent="0.2">
      <c r="A2094" s="407">
        <v>2086</v>
      </c>
      <c r="B2094" s="438"/>
      <c r="C2094" s="438"/>
      <c r="D2094" s="438"/>
      <c r="E2094" s="438"/>
      <c r="F2094" s="438"/>
      <c r="G2094" s="438"/>
      <c r="H2094" s="438"/>
      <c r="I2094" s="438"/>
      <c r="J2094" s="11"/>
      <c r="Q2094" s="348" t="str">
        <f t="shared" si="264"/>
        <v/>
      </c>
      <c r="R2094" s="348" t="str">
        <f t="shared" si="265"/>
        <v/>
      </c>
      <c r="S2094" s="348" t="str">
        <f t="shared" si="266"/>
        <v/>
      </c>
      <c r="T2094" s="348" t="str">
        <f t="shared" si="267"/>
        <v/>
      </c>
      <c r="U2094" s="348" t="str">
        <f t="shared" si="268"/>
        <v/>
      </c>
      <c r="V2094" s="348" t="str">
        <f t="shared" si="269"/>
        <v/>
      </c>
      <c r="W2094" s="348" t="str">
        <f t="shared" si="270"/>
        <v/>
      </c>
      <c r="X2094" s="348" t="str">
        <f t="shared" si="271"/>
        <v/>
      </c>
    </row>
    <row r="2095" spans="1:24" x14ac:dyDescent="0.2">
      <c r="A2095" s="407">
        <v>2087</v>
      </c>
      <c r="B2095" s="438"/>
      <c r="C2095" s="438"/>
      <c r="D2095" s="438"/>
      <c r="E2095" s="438"/>
      <c r="F2095" s="438"/>
      <c r="G2095" s="438"/>
      <c r="H2095" s="438"/>
      <c r="I2095" s="438"/>
      <c r="J2095" s="11"/>
      <c r="Q2095" s="348" t="str">
        <f t="shared" si="264"/>
        <v/>
      </c>
      <c r="R2095" s="348" t="str">
        <f t="shared" si="265"/>
        <v/>
      </c>
      <c r="S2095" s="348" t="str">
        <f t="shared" si="266"/>
        <v/>
      </c>
      <c r="T2095" s="348" t="str">
        <f t="shared" si="267"/>
        <v/>
      </c>
      <c r="U2095" s="348" t="str">
        <f t="shared" si="268"/>
        <v/>
      </c>
      <c r="V2095" s="348" t="str">
        <f t="shared" si="269"/>
        <v/>
      </c>
      <c r="W2095" s="348" t="str">
        <f t="shared" si="270"/>
        <v/>
      </c>
      <c r="X2095" s="348" t="str">
        <f t="shared" si="271"/>
        <v/>
      </c>
    </row>
    <row r="2096" spans="1:24" x14ac:dyDescent="0.2">
      <c r="A2096" s="407">
        <v>2088</v>
      </c>
      <c r="B2096" s="438"/>
      <c r="C2096" s="438"/>
      <c r="D2096" s="438"/>
      <c r="E2096" s="438"/>
      <c r="F2096" s="438"/>
      <c r="G2096" s="438"/>
      <c r="H2096" s="438"/>
      <c r="I2096" s="438"/>
      <c r="J2096" s="11"/>
      <c r="Q2096" s="348" t="str">
        <f t="shared" si="264"/>
        <v/>
      </c>
      <c r="R2096" s="348" t="str">
        <f t="shared" si="265"/>
        <v/>
      </c>
      <c r="S2096" s="348" t="str">
        <f t="shared" si="266"/>
        <v/>
      </c>
      <c r="T2096" s="348" t="str">
        <f t="shared" si="267"/>
        <v/>
      </c>
      <c r="U2096" s="348" t="str">
        <f t="shared" si="268"/>
        <v/>
      </c>
      <c r="V2096" s="348" t="str">
        <f t="shared" si="269"/>
        <v/>
      </c>
      <c r="W2096" s="348" t="str">
        <f t="shared" si="270"/>
        <v/>
      </c>
      <c r="X2096" s="348" t="str">
        <f t="shared" si="271"/>
        <v/>
      </c>
    </row>
    <row r="2097" spans="1:24" x14ac:dyDescent="0.2">
      <c r="A2097" s="407">
        <v>2089</v>
      </c>
      <c r="B2097" s="438"/>
      <c r="C2097" s="438"/>
      <c r="D2097" s="438"/>
      <c r="E2097" s="438"/>
      <c r="F2097" s="438"/>
      <c r="G2097" s="438"/>
      <c r="H2097" s="438"/>
      <c r="I2097" s="437"/>
      <c r="J2097" s="11"/>
      <c r="Q2097" s="348" t="str">
        <f t="shared" si="264"/>
        <v/>
      </c>
      <c r="R2097" s="348" t="str">
        <f t="shared" si="265"/>
        <v/>
      </c>
      <c r="S2097" s="348" t="str">
        <f t="shared" si="266"/>
        <v/>
      </c>
      <c r="T2097" s="348" t="str">
        <f t="shared" si="267"/>
        <v/>
      </c>
      <c r="U2097" s="348" t="str">
        <f t="shared" si="268"/>
        <v/>
      </c>
      <c r="V2097" s="348" t="str">
        <f t="shared" si="269"/>
        <v/>
      </c>
      <c r="W2097" s="348" t="str">
        <f t="shared" si="270"/>
        <v/>
      </c>
      <c r="X2097" s="348" t="str">
        <f t="shared" si="271"/>
        <v/>
      </c>
    </row>
    <row r="2098" spans="1:24" x14ac:dyDescent="0.2">
      <c r="A2098" s="407">
        <v>2090</v>
      </c>
      <c r="B2098" s="438"/>
      <c r="C2098" s="438"/>
      <c r="D2098" s="438"/>
      <c r="E2098" s="438"/>
      <c r="F2098" s="438"/>
      <c r="G2098" s="438"/>
      <c r="H2098" s="438"/>
      <c r="I2098" s="438"/>
      <c r="J2098" s="11"/>
      <c r="Q2098" s="348" t="str">
        <f t="shared" si="264"/>
        <v/>
      </c>
      <c r="R2098" s="348" t="str">
        <f t="shared" si="265"/>
        <v/>
      </c>
      <c r="S2098" s="348" t="str">
        <f t="shared" si="266"/>
        <v/>
      </c>
      <c r="T2098" s="348" t="str">
        <f t="shared" si="267"/>
        <v/>
      </c>
      <c r="U2098" s="348" t="str">
        <f t="shared" si="268"/>
        <v/>
      </c>
      <c r="V2098" s="348" t="str">
        <f t="shared" si="269"/>
        <v/>
      </c>
      <c r="W2098" s="348" t="str">
        <f t="shared" si="270"/>
        <v/>
      </c>
      <c r="X2098" s="348" t="str">
        <f t="shared" si="271"/>
        <v/>
      </c>
    </row>
    <row r="2099" spans="1:24" x14ac:dyDescent="0.2">
      <c r="A2099" s="407">
        <v>2091</v>
      </c>
      <c r="B2099" s="438"/>
      <c r="C2099" s="438"/>
      <c r="D2099" s="438"/>
      <c r="E2099" s="438"/>
      <c r="F2099" s="438"/>
      <c r="G2099" s="438"/>
      <c r="H2099" s="438"/>
      <c r="I2099" s="438"/>
      <c r="J2099" s="11"/>
      <c r="Q2099" s="348" t="str">
        <f t="shared" si="264"/>
        <v/>
      </c>
      <c r="R2099" s="348" t="str">
        <f t="shared" si="265"/>
        <v/>
      </c>
      <c r="S2099" s="348" t="str">
        <f t="shared" si="266"/>
        <v/>
      </c>
      <c r="T2099" s="348" t="str">
        <f t="shared" si="267"/>
        <v/>
      </c>
      <c r="U2099" s="348" t="str">
        <f t="shared" si="268"/>
        <v/>
      </c>
      <c r="V2099" s="348" t="str">
        <f t="shared" si="269"/>
        <v/>
      </c>
      <c r="W2099" s="348" t="str">
        <f t="shared" si="270"/>
        <v/>
      </c>
      <c r="X2099" s="348" t="str">
        <f t="shared" si="271"/>
        <v/>
      </c>
    </row>
    <row r="2100" spans="1:24" x14ac:dyDescent="0.2">
      <c r="A2100" s="407">
        <v>2092</v>
      </c>
      <c r="B2100" s="438"/>
      <c r="C2100" s="438"/>
      <c r="D2100" s="438"/>
      <c r="E2100" s="438"/>
      <c r="F2100" s="438"/>
      <c r="G2100" s="438"/>
      <c r="H2100" s="438"/>
      <c r="I2100" s="438"/>
      <c r="J2100" s="11"/>
      <c r="Q2100" s="348" t="str">
        <f t="shared" si="264"/>
        <v/>
      </c>
      <c r="R2100" s="348" t="str">
        <f t="shared" si="265"/>
        <v/>
      </c>
      <c r="S2100" s="348" t="str">
        <f t="shared" si="266"/>
        <v/>
      </c>
      <c r="T2100" s="348" t="str">
        <f t="shared" si="267"/>
        <v/>
      </c>
      <c r="U2100" s="348" t="str">
        <f t="shared" si="268"/>
        <v/>
      </c>
      <c r="V2100" s="348" t="str">
        <f t="shared" si="269"/>
        <v/>
      </c>
      <c r="W2100" s="348" t="str">
        <f t="shared" si="270"/>
        <v/>
      </c>
      <c r="X2100" s="348" t="str">
        <f t="shared" si="271"/>
        <v/>
      </c>
    </row>
    <row r="2101" spans="1:24" x14ac:dyDescent="0.2">
      <c r="A2101" s="407">
        <v>2093</v>
      </c>
      <c r="B2101" s="438"/>
      <c r="C2101" s="437"/>
      <c r="D2101" s="438"/>
      <c r="E2101" s="438"/>
      <c r="F2101" s="438"/>
      <c r="G2101" s="438"/>
      <c r="H2101" s="438"/>
      <c r="I2101" s="438"/>
      <c r="J2101" s="11"/>
      <c r="Q2101" s="348" t="str">
        <f t="shared" si="264"/>
        <v/>
      </c>
      <c r="R2101" s="348" t="str">
        <f t="shared" si="265"/>
        <v/>
      </c>
      <c r="S2101" s="348" t="str">
        <f t="shared" si="266"/>
        <v/>
      </c>
      <c r="T2101" s="348" t="str">
        <f t="shared" si="267"/>
        <v/>
      </c>
      <c r="U2101" s="348" t="str">
        <f t="shared" si="268"/>
        <v/>
      </c>
      <c r="V2101" s="348" t="str">
        <f t="shared" si="269"/>
        <v/>
      </c>
      <c r="W2101" s="348" t="str">
        <f t="shared" si="270"/>
        <v/>
      </c>
      <c r="X2101" s="348" t="str">
        <f t="shared" si="271"/>
        <v/>
      </c>
    </row>
    <row r="2102" spans="1:24" x14ac:dyDescent="0.2">
      <c r="A2102" s="407">
        <v>2094</v>
      </c>
      <c r="B2102" s="438"/>
      <c r="C2102" s="438"/>
      <c r="D2102" s="438"/>
      <c r="E2102" s="437"/>
      <c r="F2102" s="438"/>
      <c r="G2102" s="438"/>
      <c r="H2102" s="438"/>
      <c r="I2102" s="438"/>
      <c r="J2102" s="11"/>
      <c r="Q2102" s="348" t="str">
        <f t="shared" si="264"/>
        <v/>
      </c>
      <c r="R2102" s="348" t="str">
        <f t="shared" si="265"/>
        <v/>
      </c>
      <c r="S2102" s="348" t="str">
        <f t="shared" si="266"/>
        <v/>
      </c>
      <c r="T2102" s="348" t="str">
        <f t="shared" si="267"/>
        <v/>
      </c>
      <c r="U2102" s="348" t="str">
        <f t="shared" si="268"/>
        <v/>
      </c>
      <c r="V2102" s="348" t="str">
        <f t="shared" si="269"/>
        <v/>
      </c>
      <c r="W2102" s="348" t="str">
        <f t="shared" si="270"/>
        <v/>
      </c>
      <c r="X2102" s="348" t="str">
        <f t="shared" si="271"/>
        <v/>
      </c>
    </row>
    <row r="2103" spans="1:24" x14ac:dyDescent="0.2">
      <c r="A2103" s="407">
        <v>2095</v>
      </c>
      <c r="B2103" s="438"/>
      <c r="C2103" s="438"/>
      <c r="D2103" s="438"/>
      <c r="E2103" s="438"/>
      <c r="F2103" s="438"/>
      <c r="G2103" s="438"/>
      <c r="H2103" s="438"/>
      <c r="I2103" s="438"/>
      <c r="J2103" s="11"/>
      <c r="Q2103" s="348" t="str">
        <f t="shared" si="264"/>
        <v/>
      </c>
      <c r="R2103" s="348" t="str">
        <f t="shared" si="265"/>
        <v/>
      </c>
      <c r="S2103" s="348" t="str">
        <f t="shared" si="266"/>
        <v/>
      </c>
      <c r="T2103" s="348" t="str">
        <f t="shared" si="267"/>
        <v/>
      </c>
      <c r="U2103" s="348" t="str">
        <f t="shared" si="268"/>
        <v/>
      </c>
      <c r="V2103" s="348" t="str">
        <f t="shared" si="269"/>
        <v/>
      </c>
      <c r="W2103" s="348" t="str">
        <f t="shared" si="270"/>
        <v/>
      </c>
      <c r="X2103" s="348" t="str">
        <f t="shared" si="271"/>
        <v/>
      </c>
    </row>
    <row r="2104" spans="1:24" x14ac:dyDescent="0.2">
      <c r="A2104" s="407">
        <v>2096</v>
      </c>
      <c r="B2104" s="438"/>
      <c r="C2104" s="438"/>
      <c r="D2104" s="438"/>
      <c r="E2104" s="438"/>
      <c r="F2104" s="438"/>
      <c r="G2104" s="438"/>
      <c r="H2104" s="438"/>
      <c r="I2104" s="438"/>
      <c r="J2104" s="11"/>
      <c r="Q2104" s="348" t="str">
        <f t="shared" si="264"/>
        <v/>
      </c>
      <c r="R2104" s="348" t="str">
        <f t="shared" si="265"/>
        <v/>
      </c>
      <c r="S2104" s="348" t="str">
        <f t="shared" si="266"/>
        <v/>
      </c>
      <c r="T2104" s="348" t="str">
        <f t="shared" si="267"/>
        <v/>
      </c>
      <c r="U2104" s="348" t="str">
        <f t="shared" si="268"/>
        <v/>
      </c>
      <c r="V2104" s="348" t="str">
        <f t="shared" si="269"/>
        <v/>
      </c>
      <c r="W2104" s="348" t="str">
        <f t="shared" si="270"/>
        <v/>
      </c>
      <c r="X2104" s="348" t="str">
        <f t="shared" si="271"/>
        <v/>
      </c>
    </row>
    <row r="2105" spans="1:24" x14ac:dyDescent="0.2">
      <c r="A2105" s="407">
        <v>2097</v>
      </c>
      <c r="B2105" s="438"/>
      <c r="C2105" s="438"/>
      <c r="D2105" s="438"/>
      <c r="E2105" s="438"/>
      <c r="F2105" s="438"/>
      <c r="G2105" s="438"/>
      <c r="H2105" s="438"/>
      <c r="I2105" s="438"/>
      <c r="J2105" s="11"/>
      <c r="Q2105" s="348" t="str">
        <f t="shared" si="264"/>
        <v/>
      </c>
      <c r="R2105" s="348" t="str">
        <f t="shared" si="265"/>
        <v/>
      </c>
      <c r="S2105" s="348" t="str">
        <f t="shared" si="266"/>
        <v/>
      </c>
      <c r="T2105" s="348" t="str">
        <f t="shared" si="267"/>
        <v/>
      </c>
      <c r="U2105" s="348" t="str">
        <f t="shared" si="268"/>
        <v/>
      </c>
      <c r="V2105" s="348" t="str">
        <f t="shared" si="269"/>
        <v/>
      </c>
      <c r="W2105" s="348" t="str">
        <f t="shared" si="270"/>
        <v/>
      </c>
      <c r="X2105" s="348" t="str">
        <f t="shared" si="271"/>
        <v/>
      </c>
    </row>
    <row r="2106" spans="1:24" x14ac:dyDescent="0.2">
      <c r="A2106" s="407">
        <v>2098</v>
      </c>
      <c r="B2106" s="437"/>
      <c r="C2106" s="438"/>
      <c r="D2106" s="438"/>
      <c r="E2106" s="438"/>
      <c r="F2106" s="438"/>
      <c r="G2106" s="438"/>
      <c r="H2106" s="438"/>
      <c r="I2106" s="438"/>
      <c r="J2106" s="11"/>
      <c r="Q2106" s="348" t="str">
        <f t="shared" si="264"/>
        <v/>
      </c>
      <c r="R2106" s="348" t="str">
        <f t="shared" si="265"/>
        <v/>
      </c>
      <c r="S2106" s="348" t="str">
        <f t="shared" si="266"/>
        <v/>
      </c>
      <c r="T2106" s="348" t="str">
        <f t="shared" si="267"/>
        <v/>
      </c>
      <c r="U2106" s="348" t="str">
        <f t="shared" si="268"/>
        <v/>
      </c>
      <c r="V2106" s="348" t="str">
        <f t="shared" si="269"/>
        <v/>
      </c>
      <c r="W2106" s="348" t="str">
        <f t="shared" si="270"/>
        <v/>
      </c>
      <c r="X2106" s="348" t="str">
        <f t="shared" si="271"/>
        <v/>
      </c>
    </row>
    <row r="2107" spans="1:24" x14ac:dyDescent="0.2">
      <c r="A2107" s="407">
        <v>2099</v>
      </c>
      <c r="B2107" s="438"/>
      <c r="C2107" s="438"/>
      <c r="D2107" s="438"/>
      <c r="E2107" s="438"/>
      <c r="F2107" s="438"/>
      <c r="G2107" s="437"/>
      <c r="H2107" s="438"/>
      <c r="I2107" s="438"/>
      <c r="J2107" s="11"/>
      <c r="Q2107" s="348" t="str">
        <f t="shared" si="264"/>
        <v/>
      </c>
      <c r="R2107" s="348" t="str">
        <f t="shared" si="265"/>
        <v/>
      </c>
      <c r="S2107" s="348" t="str">
        <f t="shared" si="266"/>
        <v/>
      </c>
      <c r="T2107" s="348" t="str">
        <f t="shared" si="267"/>
        <v/>
      </c>
      <c r="U2107" s="348" t="str">
        <f t="shared" si="268"/>
        <v/>
      </c>
      <c r="V2107" s="348" t="str">
        <f t="shared" si="269"/>
        <v/>
      </c>
      <c r="W2107" s="348" t="str">
        <f t="shared" si="270"/>
        <v/>
      </c>
      <c r="X2107" s="348" t="str">
        <f t="shared" si="271"/>
        <v/>
      </c>
    </row>
    <row r="2108" spans="1:24" x14ac:dyDescent="0.2">
      <c r="A2108" s="407">
        <v>2100</v>
      </c>
      <c r="B2108" s="438"/>
      <c r="C2108" s="438"/>
      <c r="D2108" s="438"/>
      <c r="E2108" s="438"/>
      <c r="F2108" s="438"/>
      <c r="G2108" s="438"/>
      <c r="H2108" s="438"/>
      <c r="I2108" s="438"/>
      <c r="J2108" s="11"/>
      <c r="Q2108" s="348" t="str">
        <f t="shared" si="264"/>
        <v/>
      </c>
      <c r="R2108" s="348" t="str">
        <f t="shared" si="265"/>
        <v/>
      </c>
      <c r="S2108" s="348" t="str">
        <f t="shared" si="266"/>
        <v/>
      </c>
      <c r="T2108" s="348" t="str">
        <f t="shared" si="267"/>
        <v/>
      </c>
      <c r="U2108" s="348" t="str">
        <f t="shared" si="268"/>
        <v/>
      </c>
      <c r="V2108" s="348" t="str">
        <f t="shared" si="269"/>
        <v/>
      </c>
      <c r="W2108" s="348" t="str">
        <f t="shared" si="270"/>
        <v/>
      </c>
      <c r="X2108" s="348" t="str">
        <f t="shared" si="271"/>
        <v/>
      </c>
    </row>
    <row r="2109" spans="1:24" x14ac:dyDescent="0.2">
      <c r="A2109" s="407">
        <v>2101</v>
      </c>
      <c r="B2109" s="438"/>
      <c r="C2109" s="437"/>
      <c r="D2109" s="438"/>
      <c r="E2109" s="437"/>
      <c r="F2109" s="437"/>
      <c r="G2109" s="437"/>
      <c r="H2109" s="437"/>
      <c r="I2109" s="438"/>
      <c r="J2109" s="11"/>
      <c r="Q2109" s="348" t="str">
        <f t="shared" si="264"/>
        <v/>
      </c>
      <c r="R2109" s="348" t="str">
        <f t="shared" si="265"/>
        <v/>
      </c>
      <c r="S2109" s="348" t="str">
        <f t="shared" si="266"/>
        <v/>
      </c>
      <c r="T2109" s="348" t="str">
        <f t="shared" si="267"/>
        <v/>
      </c>
      <c r="U2109" s="348" t="str">
        <f t="shared" si="268"/>
        <v/>
      </c>
      <c r="V2109" s="348" t="str">
        <f t="shared" si="269"/>
        <v/>
      </c>
      <c r="W2109" s="348" t="str">
        <f t="shared" si="270"/>
        <v/>
      </c>
      <c r="X2109" s="348" t="str">
        <f t="shared" si="271"/>
        <v/>
      </c>
    </row>
    <row r="2110" spans="1:24" x14ac:dyDescent="0.2">
      <c r="A2110" s="407">
        <v>2102</v>
      </c>
      <c r="B2110" s="438"/>
      <c r="C2110" s="438"/>
      <c r="D2110" s="438"/>
      <c r="E2110" s="438"/>
      <c r="F2110" s="438"/>
      <c r="G2110" s="438"/>
      <c r="H2110" s="438"/>
      <c r="I2110" s="438"/>
      <c r="J2110" s="11"/>
      <c r="Q2110" s="348" t="str">
        <f t="shared" si="264"/>
        <v/>
      </c>
      <c r="R2110" s="348" t="str">
        <f t="shared" si="265"/>
        <v/>
      </c>
      <c r="S2110" s="348" t="str">
        <f t="shared" si="266"/>
        <v/>
      </c>
      <c r="T2110" s="348" t="str">
        <f t="shared" si="267"/>
        <v/>
      </c>
      <c r="U2110" s="348" t="str">
        <f t="shared" si="268"/>
        <v/>
      </c>
      <c r="V2110" s="348" t="str">
        <f t="shared" si="269"/>
        <v/>
      </c>
      <c r="W2110" s="348" t="str">
        <f t="shared" si="270"/>
        <v/>
      </c>
      <c r="X2110" s="348" t="str">
        <f t="shared" si="271"/>
        <v/>
      </c>
    </row>
    <row r="2111" spans="1:24" x14ac:dyDescent="0.2">
      <c r="A2111" s="407">
        <v>2103</v>
      </c>
      <c r="B2111" s="438"/>
      <c r="C2111" s="438"/>
      <c r="D2111" s="438"/>
      <c r="E2111" s="438"/>
      <c r="F2111" s="438"/>
      <c r="G2111" s="438"/>
      <c r="H2111" s="438"/>
      <c r="I2111" s="438"/>
      <c r="J2111" s="11"/>
      <c r="Q2111" s="348" t="str">
        <f t="shared" si="264"/>
        <v/>
      </c>
      <c r="R2111" s="348" t="str">
        <f t="shared" si="265"/>
        <v/>
      </c>
      <c r="S2111" s="348" t="str">
        <f t="shared" si="266"/>
        <v/>
      </c>
      <c r="T2111" s="348" t="str">
        <f t="shared" si="267"/>
        <v/>
      </c>
      <c r="U2111" s="348" t="str">
        <f t="shared" si="268"/>
        <v/>
      </c>
      <c r="V2111" s="348" t="str">
        <f t="shared" si="269"/>
        <v/>
      </c>
      <c r="W2111" s="348" t="str">
        <f t="shared" si="270"/>
        <v/>
      </c>
      <c r="X2111" s="348" t="str">
        <f t="shared" si="271"/>
        <v/>
      </c>
    </row>
    <row r="2112" spans="1:24" x14ac:dyDescent="0.2">
      <c r="A2112" s="407">
        <v>2104</v>
      </c>
      <c r="B2112" s="438"/>
      <c r="C2112" s="438"/>
      <c r="D2112" s="438"/>
      <c r="E2112" s="438"/>
      <c r="F2112" s="438"/>
      <c r="G2112" s="438"/>
      <c r="H2112" s="438"/>
      <c r="I2112" s="438"/>
      <c r="J2112" s="11"/>
      <c r="Q2112" s="348" t="str">
        <f t="shared" si="264"/>
        <v/>
      </c>
      <c r="R2112" s="348" t="str">
        <f t="shared" si="265"/>
        <v/>
      </c>
      <c r="S2112" s="348" t="str">
        <f t="shared" si="266"/>
        <v/>
      </c>
      <c r="T2112" s="348" t="str">
        <f t="shared" si="267"/>
        <v/>
      </c>
      <c r="U2112" s="348" t="str">
        <f t="shared" si="268"/>
        <v/>
      </c>
      <c r="V2112" s="348" t="str">
        <f t="shared" si="269"/>
        <v/>
      </c>
      <c r="W2112" s="348" t="str">
        <f t="shared" si="270"/>
        <v/>
      </c>
      <c r="X2112" s="348" t="str">
        <f t="shared" si="271"/>
        <v/>
      </c>
    </row>
    <row r="2113" spans="1:24" x14ac:dyDescent="0.2">
      <c r="A2113" s="407">
        <v>2105</v>
      </c>
      <c r="B2113" s="438"/>
      <c r="C2113" s="438"/>
      <c r="D2113" s="438"/>
      <c r="E2113" s="438"/>
      <c r="F2113" s="438"/>
      <c r="G2113" s="438"/>
      <c r="H2113" s="438"/>
      <c r="I2113" s="438"/>
      <c r="J2113" s="11"/>
      <c r="Q2113" s="348" t="str">
        <f t="shared" si="264"/>
        <v/>
      </c>
      <c r="R2113" s="348" t="str">
        <f t="shared" si="265"/>
        <v/>
      </c>
      <c r="S2113" s="348" t="str">
        <f t="shared" si="266"/>
        <v/>
      </c>
      <c r="T2113" s="348" t="str">
        <f t="shared" si="267"/>
        <v/>
      </c>
      <c r="U2113" s="348" t="str">
        <f t="shared" si="268"/>
        <v/>
      </c>
      <c r="V2113" s="348" t="str">
        <f t="shared" si="269"/>
        <v/>
      </c>
      <c r="W2113" s="348" t="str">
        <f t="shared" si="270"/>
        <v/>
      </c>
      <c r="X2113" s="348" t="str">
        <f t="shared" si="271"/>
        <v/>
      </c>
    </row>
    <row r="2114" spans="1:24" x14ac:dyDescent="0.2">
      <c r="A2114" s="407">
        <v>2106</v>
      </c>
      <c r="B2114" s="438"/>
      <c r="C2114" s="438"/>
      <c r="D2114" s="438"/>
      <c r="E2114" s="438"/>
      <c r="F2114" s="438"/>
      <c r="G2114" s="438"/>
      <c r="H2114" s="438"/>
      <c r="I2114" s="438"/>
      <c r="J2114" s="11"/>
      <c r="Q2114" s="348" t="str">
        <f t="shared" si="264"/>
        <v/>
      </c>
      <c r="R2114" s="348" t="str">
        <f t="shared" si="265"/>
        <v/>
      </c>
      <c r="S2114" s="348" t="str">
        <f t="shared" si="266"/>
        <v/>
      </c>
      <c r="T2114" s="348" t="str">
        <f t="shared" si="267"/>
        <v/>
      </c>
      <c r="U2114" s="348" t="str">
        <f t="shared" si="268"/>
        <v/>
      </c>
      <c r="V2114" s="348" t="str">
        <f t="shared" si="269"/>
        <v/>
      </c>
      <c r="W2114" s="348" t="str">
        <f t="shared" si="270"/>
        <v/>
      </c>
      <c r="X2114" s="348" t="str">
        <f t="shared" si="271"/>
        <v/>
      </c>
    </row>
    <row r="2115" spans="1:24" x14ac:dyDescent="0.2">
      <c r="A2115" s="407">
        <v>2107</v>
      </c>
      <c r="B2115" s="438"/>
      <c r="C2115" s="438"/>
      <c r="D2115" s="438"/>
      <c r="E2115" s="438"/>
      <c r="F2115" s="438"/>
      <c r="G2115" s="438"/>
      <c r="H2115" s="438"/>
      <c r="I2115" s="438"/>
      <c r="J2115" s="11"/>
      <c r="Q2115" s="348" t="str">
        <f t="shared" si="264"/>
        <v/>
      </c>
      <c r="R2115" s="348" t="str">
        <f t="shared" si="265"/>
        <v/>
      </c>
      <c r="S2115" s="348" t="str">
        <f t="shared" si="266"/>
        <v/>
      </c>
      <c r="T2115" s="348" t="str">
        <f t="shared" si="267"/>
        <v/>
      </c>
      <c r="U2115" s="348" t="str">
        <f t="shared" si="268"/>
        <v/>
      </c>
      <c r="V2115" s="348" t="str">
        <f t="shared" si="269"/>
        <v/>
      </c>
      <c r="W2115" s="348" t="str">
        <f t="shared" si="270"/>
        <v/>
      </c>
      <c r="X2115" s="348" t="str">
        <f t="shared" si="271"/>
        <v/>
      </c>
    </row>
    <row r="2116" spans="1:24" x14ac:dyDescent="0.2">
      <c r="A2116" s="407">
        <v>2108</v>
      </c>
      <c r="B2116" s="438"/>
      <c r="C2116" s="438"/>
      <c r="D2116" s="438"/>
      <c r="E2116" s="438"/>
      <c r="F2116" s="438"/>
      <c r="G2116" s="438"/>
      <c r="H2116" s="438"/>
      <c r="I2116" s="438"/>
      <c r="J2116" s="11"/>
      <c r="Q2116" s="348" t="str">
        <f t="shared" si="264"/>
        <v/>
      </c>
      <c r="R2116" s="348" t="str">
        <f t="shared" si="265"/>
        <v/>
      </c>
      <c r="S2116" s="348" t="str">
        <f t="shared" si="266"/>
        <v/>
      </c>
      <c r="T2116" s="348" t="str">
        <f t="shared" si="267"/>
        <v/>
      </c>
      <c r="U2116" s="348" t="str">
        <f t="shared" si="268"/>
        <v/>
      </c>
      <c r="V2116" s="348" t="str">
        <f t="shared" si="269"/>
        <v/>
      </c>
      <c r="W2116" s="348" t="str">
        <f t="shared" si="270"/>
        <v/>
      </c>
      <c r="X2116" s="348" t="str">
        <f t="shared" si="271"/>
        <v/>
      </c>
    </row>
    <row r="2117" spans="1:24" x14ac:dyDescent="0.2">
      <c r="A2117" s="407">
        <v>2109</v>
      </c>
      <c r="B2117" s="438"/>
      <c r="C2117" s="438"/>
      <c r="D2117" s="438"/>
      <c r="E2117" s="438"/>
      <c r="F2117" s="438"/>
      <c r="G2117" s="438"/>
      <c r="H2117" s="438"/>
      <c r="I2117" s="438"/>
      <c r="J2117" s="11"/>
      <c r="Q2117" s="348" t="str">
        <f t="shared" si="264"/>
        <v/>
      </c>
      <c r="R2117" s="348" t="str">
        <f t="shared" si="265"/>
        <v/>
      </c>
      <c r="S2117" s="348" t="str">
        <f t="shared" si="266"/>
        <v/>
      </c>
      <c r="T2117" s="348" t="str">
        <f t="shared" si="267"/>
        <v/>
      </c>
      <c r="U2117" s="348" t="str">
        <f t="shared" si="268"/>
        <v/>
      </c>
      <c r="V2117" s="348" t="str">
        <f t="shared" si="269"/>
        <v/>
      </c>
      <c r="W2117" s="348" t="str">
        <f t="shared" si="270"/>
        <v/>
      </c>
      <c r="X2117" s="348" t="str">
        <f t="shared" si="271"/>
        <v/>
      </c>
    </row>
    <row r="2118" spans="1:24" x14ac:dyDescent="0.2">
      <c r="A2118" s="407">
        <v>2110</v>
      </c>
      <c r="B2118" s="438"/>
      <c r="C2118" s="438"/>
      <c r="D2118" s="438"/>
      <c r="E2118" s="438"/>
      <c r="F2118" s="438"/>
      <c r="G2118" s="438"/>
      <c r="H2118" s="438"/>
      <c r="I2118" s="438"/>
      <c r="J2118" s="11"/>
      <c r="Q2118" s="348" t="str">
        <f t="shared" si="264"/>
        <v/>
      </c>
      <c r="R2118" s="348" t="str">
        <f t="shared" si="265"/>
        <v/>
      </c>
      <c r="S2118" s="348" t="str">
        <f t="shared" si="266"/>
        <v/>
      </c>
      <c r="T2118" s="348" t="str">
        <f t="shared" si="267"/>
        <v/>
      </c>
      <c r="U2118" s="348" t="str">
        <f t="shared" si="268"/>
        <v/>
      </c>
      <c r="V2118" s="348" t="str">
        <f t="shared" si="269"/>
        <v/>
      </c>
      <c r="W2118" s="348" t="str">
        <f t="shared" si="270"/>
        <v/>
      </c>
      <c r="X2118" s="348" t="str">
        <f t="shared" si="271"/>
        <v/>
      </c>
    </row>
    <row r="2119" spans="1:24" x14ac:dyDescent="0.2">
      <c r="A2119" s="407">
        <v>2111</v>
      </c>
      <c r="B2119" s="438"/>
      <c r="C2119" s="438"/>
      <c r="D2119" s="438"/>
      <c r="E2119" s="438"/>
      <c r="F2119" s="438"/>
      <c r="G2119" s="438"/>
      <c r="H2119" s="438"/>
      <c r="I2119" s="438"/>
      <c r="J2119" s="11"/>
      <c r="Q2119" s="348" t="str">
        <f t="shared" si="264"/>
        <v/>
      </c>
      <c r="R2119" s="348" t="str">
        <f t="shared" si="265"/>
        <v/>
      </c>
      <c r="S2119" s="348" t="str">
        <f t="shared" si="266"/>
        <v/>
      </c>
      <c r="T2119" s="348" t="str">
        <f t="shared" si="267"/>
        <v/>
      </c>
      <c r="U2119" s="348" t="str">
        <f t="shared" si="268"/>
        <v/>
      </c>
      <c r="V2119" s="348" t="str">
        <f t="shared" si="269"/>
        <v/>
      </c>
      <c r="W2119" s="348" t="str">
        <f t="shared" si="270"/>
        <v/>
      </c>
      <c r="X2119" s="348" t="str">
        <f t="shared" si="271"/>
        <v/>
      </c>
    </row>
    <row r="2120" spans="1:24" x14ac:dyDescent="0.2">
      <c r="A2120" s="407">
        <v>2112</v>
      </c>
      <c r="B2120" s="438"/>
      <c r="C2120" s="438"/>
      <c r="D2120" s="438"/>
      <c r="E2120" s="438"/>
      <c r="F2120" s="438"/>
      <c r="G2120" s="438"/>
      <c r="H2120" s="438"/>
      <c r="I2120" s="438"/>
      <c r="J2120" s="11"/>
      <c r="Q2120" s="348" t="str">
        <f t="shared" si="264"/>
        <v/>
      </c>
      <c r="R2120" s="348" t="str">
        <f t="shared" si="265"/>
        <v/>
      </c>
      <c r="S2120" s="348" t="str">
        <f t="shared" si="266"/>
        <v/>
      </c>
      <c r="T2120" s="348" t="str">
        <f t="shared" si="267"/>
        <v/>
      </c>
      <c r="U2120" s="348" t="str">
        <f t="shared" si="268"/>
        <v/>
      </c>
      <c r="V2120" s="348" t="str">
        <f t="shared" si="269"/>
        <v/>
      </c>
      <c r="W2120" s="348" t="str">
        <f t="shared" si="270"/>
        <v/>
      </c>
      <c r="X2120" s="348" t="str">
        <f t="shared" si="271"/>
        <v/>
      </c>
    </row>
    <row r="2121" spans="1:24" x14ac:dyDescent="0.2">
      <c r="A2121" s="407">
        <v>2113</v>
      </c>
      <c r="B2121" s="438"/>
      <c r="C2121" s="438"/>
      <c r="D2121" s="438"/>
      <c r="E2121" s="438"/>
      <c r="F2121" s="438"/>
      <c r="G2121" s="438"/>
      <c r="H2121" s="438"/>
      <c r="I2121" s="438"/>
      <c r="J2121" s="11"/>
      <c r="Q2121" s="348" t="str">
        <f t="shared" si="264"/>
        <v/>
      </c>
      <c r="R2121" s="348" t="str">
        <f t="shared" si="265"/>
        <v/>
      </c>
      <c r="S2121" s="348" t="str">
        <f t="shared" si="266"/>
        <v/>
      </c>
      <c r="T2121" s="348" t="str">
        <f t="shared" si="267"/>
        <v/>
      </c>
      <c r="U2121" s="348" t="str">
        <f t="shared" si="268"/>
        <v/>
      </c>
      <c r="V2121" s="348" t="str">
        <f t="shared" si="269"/>
        <v/>
      </c>
      <c r="W2121" s="348" t="str">
        <f t="shared" si="270"/>
        <v/>
      </c>
      <c r="X2121" s="348" t="str">
        <f t="shared" si="271"/>
        <v/>
      </c>
    </row>
    <row r="2122" spans="1:24" x14ac:dyDescent="0.2">
      <c r="A2122" s="407">
        <v>2114</v>
      </c>
      <c r="B2122" s="438"/>
      <c r="C2122" s="438"/>
      <c r="D2122" s="437"/>
      <c r="E2122" s="438"/>
      <c r="F2122" s="438"/>
      <c r="G2122" s="438"/>
      <c r="H2122" s="438"/>
      <c r="I2122" s="438"/>
      <c r="J2122" s="11"/>
      <c r="Q2122" s="348" t="str">
        <f t="shared" ref="Q2122:Q2185" si="272">IFERROR(B2122^4*$AB$9+B2122^3*$AC$9+B2122^2*$AD$9+B2122^1*$AE$9+B2122^0*$AF$9,"")</f>
        <v/>
      </c>
      <c r="R2122" s="348" t="str">
        <f t="shared" ref="R2122:R2185" si="273">IFERROR(C2122^4*$AB$10+C2122^3*$AC$10+C2122^2*$AD$10+C2122^1*$AE$10+C2122^0*$AF$10,"")</f>
        <v/>
      </c>
      <c r="S2122" s="348" t="str">
        <f t="shared" ref="S2122:S2185" si="274">IFERROR(D2122^4*$AB$11+D2122^3*$AC$11+D2122^2*$AD$11+D2122^1*$AE$11+D2122^0*$AF$11,"")</f>
        <v/>
      </c>
      <c r="T2122" s="348" t="str">
        <f t="shared" ref="T2122:T2185" si="275">IFERROR(E2122^4*$AB$12+E2122^3*$AC$12+E2122^2*$AD$12+E2122^1*$AE$12+E2122^0*$AF$12,"")</f>
        <v/>
      </c>
      <c r="U2122" s="348" t="str">
        <f t="shared" ref="U2122:U2185" si="276">IFERROR(F2122^4*$AB$13+F2122^3*$AC$13+F2122^2*$AD$13+F2122^1*$AE$13+F2122^0*$AF$13,"")</f>
        <v/>
      </c>
      <c r="V2122" s="348" t="str">
        <f t="shared" ref="V2122:V2185" si="277">IFERROR(G2122^4*$AB$14+G2122^3*$AC$14+G2122^2*$AD$14+G2122^1*$AE$14+G2122^0*$AF$14,"")</f>
        <v/>
      </c>
      <c r="W2122" s="348" t="str">
        <f t="shared" ref="W2122:W2185" si="278">IFERROR(H2122^4*$AB$15+H2122^3*$AC$15+H2122^2*$AD$15+H2122^1*$AE$15+H2122^0*$AF$15,"")</f>
        <v/>
      </c>
      <c r="X2122" s="348" t="str">
        <f t="shared" ref="X2122:X2185" si="279">IFERROR(I2122^4*$AB$16+I2122^3*$AC$16+I2122^2*$AD$16+I2122^1*$AE$16+I2122^0*$AF$16,"")</f>
        <v/>
      </c>
    </row>
    <row r="2123" spans="1:24" x14ac:dyDescent="0.2">
      <c r="A2123" s="407">
        <v>2115</v>
      </c>
      <c r="B2123" s="438"/>
      <c r="C2123" s="437"/>
      <c r="D2123" s="438"/>
      <c r="E2123" s="438"/>
      <c r="F2123" s="438"/>
      <c r="G2123" s="438"/>
      <c r="H2123" s="438"/>
      <c r="I2123" s="438"/>
      <c r="J2123" s="11"/>
      <c r="Q2123" s="348" t="str">
        <f t="shared" si="272"/>
        <v/>
      </c>
      <c r="R2123" s="348" t="str">
        <f t="shared" si="273"/>
        <v/>
      </c>
      <c r="S2123" s="348" t="str">
        <f t="shared" si="274"/>
        <v/>
      </c>
      <c r="T2123" s="348" t="str">
        <f t="shared" si="275"/>
        <v/>
      </c>
      <c r="U2123" s="348" t="str">
        <f t="shared" si="276"/>
        <v/>
      </c>
      <c r="V2123" s="348" t="str">
        <f t="shared" si="277"/>
        <v/>
      </c>
      <c r="W2123" s="348" t="str">
        <f t="shared" si="278"/>
        <v/>
      </c>
      <c r="X2123" s="348" t="str">
        <f t="shared" si="279"/>
        <v/>
      </c>
    </row>
    <row r="2124" spans="1:24" x14ac:dyDescent="0.2">
      <c r="A2124" s="407">
        <v>2116</v>
      </c>
      <c r="B2124" s="438"/>
      <c r="C2124" s="438"/>
      <c r="D2124" s="438"/>
      <c r="E2124" s="438"/>
      <c r="F2124" s="438"/>
      <c r="G2124" s="438"/>
      <c r="H2124" s="438"/>
      <c r="I2124" s="438"/>
      <c r="J2124" s="11"/>
      <c r="Q2124" s="348" t="str">
        <f t="shared" si="272"/>
        <v/>
      </c>
      <c r="R2124" s="348" t="str">
        <f t="shared" si="273"/>
        <v/>
      </c>
      <c r="S2124" s="348" t="str">
        <f t="shared" si="274"/>
        <v/>
      </c>
      <c r="T2124" s="348" t="str">
        <f t="shared" si="275"/>
        <v/>
      </c>
      <c r="U2124" s="348" t="str">
        <f t="shared" si="276"/>
        <v/>
      </c>
      <c r="V2124" s="348" t="str">
        <f t="shared" si="277"/>
        <v/>
      </c>
      <c r="W2124" s="348" t="str">
        <f t="shared" si="278"/>
        <v/>
      </c>
      <c r="X2124" s="348" t="str">
        <f t="shared" si="279"/>
        <v/>
      </c>
    </row>
    <row r="2125" spans="1:24" x14ac:dyDescent="0.2">
      <c r="A2125" s="407">
        <v>2117</v>
      </c>
      <c r="B2125" s="437"/>
      <c r="C2125" s="438"/>
      <c r="D2125" s="438"/>
      <c r="E2125" s="438"/>
      <c r="F2125" s="438"/>
      <c r="G2125" s="438"/>
      <c r="H2125" s="438"/>
      <c r="I2125" s="438"/>
      <c r="J2125" s="11"/>
      <c r="Q2125" s="348" t="str">
        <f t="shared" si="272"/>
        <v/>
      </c>
      <c r="R2125" s="348" t="str">
        <f t="shared" si="273"/>
        <v/>
      </c>
      <c r="S2125" s="348" t="str">
        <f t="shared" si="274"/>
        <v/>
      </c>
      <c r="T2125" s="348" t="str">
        <f t="shared" si="275"/>
        <v/>
      </c>
      <c r="U2125" s="348" t="str">
        <f t="shared" si="276"/>
        <v/>
      </c>
      <c r="V2125" s="348" t="str">
        <f t="shared" si="277"/>
        <v/>
      </c>
      <c r="W2125" s="348" t="str">
        <f t="shared" si="278"/>
        <v/>
      </c>
      <c r="X2125" s="348" t="str">
        <f t="shared" si="279"/>
        <v/>
      </c>
    </row>
    <row r="2126" spans="1:24" x14ac:dyDescent="0.2">
      <c r="A2126" s="407">
        <v>2118</v>
      </c>
      <c r="B2126" s="438"/>
      <c r="C2126" s="438"/>
      <c r="D2126" s="438"/>
      <c r="E2126" s="438"/>
      <c r="F2126" s="438"/>
      <c r="G2126" s="438"/>
      <c r="H2126" s="438"/>
      <c r="I2126" s="438"/>
      <c r="J2126" s="11"/>
      <c r="Q2126" s="348" t="str">
        <f t="shared" si="272"/>
        <v/>
      </c>
      <c r="R2126" s="348" t="str">
        <f t="shared" si="273"/>
        <v/>
      </c>
      <c r="S2126" s="348" t="str">
        <f t="shared" si="274"/>
        <v/>
      </c>
      <c r="T2126" s="348" t="str">
        <f t="shared" si="275"/>
        <v/>
      </c>
      <c r="U2126" s="348" t="str">
        <f t="shared" si="276"/>
        <v/>
      </c>
      <c r="V2126" s="348" t="str">
        <f t="shared" si="277"/>
        <v/>
      </c>
      <c r="W2126" s="348" t="str">
        <f t="shared" si="278"/>
        <v/>
      </c>
      <c r="X2126" s="348" t="str">
        <f t="shared" si="279"/>
        <v/>
      </c>
    </row>
    <row r="2127" spans="1:24" x14ac:dyDescent="0.2">
      <c r="A2127" s="407">
        <v>2119</v>
      </c>
      <c r="B2127" s="438"/>
      <c r="C2127" s="438"/>
      <c r="D2127" s="438"/>
      <c r="E2127" s="438"/>
      <c r="F2127" s="438"/>
      <c r="G2127" s="438"/>
      <c r="H2127" s="438"/>
      <c r="I2127" s="438"/>
      <c r="J2127" s="11"/>
      <c r="Q2127" s="348" t="str">
        <f t="shared" si="272"/>
        <v/>
      </c>
      <c r="R2127" s="348" t="str">
        <f t="shared" si="273"/>
        <v/>
      </c>
      <c r="S2127" s="348" t="str">
        <f t="shared" si="274"/>
        <v/>
      </c>
      <c r="T2127" s="348" t="str">
        <f t="shared" si="275"/>
        <v/>
      </c>
      <c r="U2127" s="348" t="str">
        <f t="shared" si="276"/>
        <v/>
      </c>
      <c r="V2127" s="348" t="str">
        <f t="shared" si="277"/>
        <v/>
      </c>
      <c r="W2127" s="348" t="str">
        <f t="shared" si="278"/>
        <v/>
      </c>
      <c r="X2127" s="348" t="str">
        <f t="shared" si="279"/>
        <v/>
      </c>
    </row>
    <row r="2128" spans="1:24" x14ac:dyDescent="0.2">
      <c r="A2128" s="407">
        <v>2120</v>
      </c>
      <c r="B2128" s="438"/>
      <c r="C2128" s="438"/>
      <c r="D2128" s="438"/>
      <c r="E2128" s="438"/>
      <c r="F2128" s="438"/>
      <c r="G2128" s="438"/>
      <c r="H2128" s="438"/>
      <c r="I2128" s="438"/>
      <c r="J2128" s="11"/>
      <c r="Q2128" s="348" t="str">
        <f t="shared" si="272"/>
        <v/>
      </c>
      <c r="R2128" s="348" t="str">
        <f t="shared" si="273"/>
        <v/>
      </c>
      <c r="S2128" s="348" t="str">
        <f t="shared" si="274"/>
        <v/>
      </c>
      <c r="T2128" s="348" t="str">
        <f t="shared" si="275"/>
        <v/>
      </c>
      <c r="U2128" s="348" t="str">
        <f t="shared" si="276"/>
        <v/>
      </c>
      <c r="V2128" s="348" t="str">
        <f t="shared" si="277"/>
        <v/>
      </c>
      <c r="W2128" s="348" t="str">
        <f t="shared" si="278"/>
        <v/>
      </c>
      <c r="X2128" s="348" t="str">
        <f t="shared" si="279"/>
        <v/>
      </c>
    </row>
    <row r="2129" spans="1:24" x14ac:dyDescent="0.2">
      <c r="A2129" s="407">
        <v>2121</v>
      </c>
      <c r="B2129" s="438"/>
      <c r="C2129" s="438"/>
      <c r="D2129" s="438"/>
      <c r="E2129" s="438"/>
      <c r="F2129" s="438"/>
      <c r="G2129" s="438"/>
      <c r="H2129" s="438"/>
      <c r="I2129" s="438"/>
      <c r="J2129" s="11"/>
      <c r="Q2129" s="348" t="str">
        <f t="shared" si="272"/>
        <v/>
      </c>
      <c r="R2129" s="348" t="str">
        <f t="shared" si="273"/>
        <v/>
      </c>
      <c r="S2129" s="348" t="str">
        <f t="shared" si="274"/>
        <v/>
      </c>
      <c r="T2129" s="348" t="str">
        <f t="shared" si="275"/>
        <v/>
      </c>
      <c r="U2129" s="348" t="str">
        <f t="shared" si="276"/>
        <v/>
      </c>
      <c r="V2129" s="348" t="str">
        <f t="shared" si="277"/>
        <v/>
      </c>
      <c r="W2129" s="348" t="str">
        <f t="shared" si="278"/>
        <v/>
      </c>
      <c r="X2129" s="348" t="str">
        <f t="shared" si="279"/>
        <v/>
      </c>
    </row>
    <row r="2130" spans="1:24" x14ac:dyDescent="0.2">
      <c r="A2130" s="407">
        <v>2122</v>
      </c>
      <c r="B2130" s="438"/>
      <c r="C2130" s="438"/>
      <c r="D2130" s="438"/>
      <c r="E2130" s="438"/>
      <c r="F2130" s="438"/>
      <c r="G2130" s="438"/>
      <c r="H2130" s="438"/>
      <c r="I2130" s="438"/>
      <c r="J2130" s="11"/>
      <c r="Q2130" s="348" t="str">
        <f t="shared" si="272"/>
        <v/>
      </c>
      <c r="R2130" s="348" t="str">
        <f t="shared" si="273"/>
        <v/>
      </c>
      <c r="S2130" s="348" t="str">
        <f t="shared" si="274"/>
        <v/>
      </c>
      <c r="T2130" s="348" t="str">
        <f t="shared" si="275"/>
        <v/>
      </c>
      <c r="U2130" s="348" t="str">
        <f t="shared" si="276"/>
        <v/>
      </c>
      <c r="V2130" s="348" t="str">
        <f t="shared" si="277"/>
        <v/>
      </c>
      <c r="W2130" s="348" t="str">
        <f t="shared" si="278"/>
        <v/>
      </c>
      <c r="X2130" s="348" t="str">
        <f t="shared" si="279"/>
        <v/>
      </c>
    </row>
    <row r="2131" spans="1:24" x14ac:dyDescent="0.2">
      <c r="A2131" s="407">
        <v>2123</v>
      </c>
      <c r="B2131" s="438"/>
      <c r="C2131" s="438"/>
      <c r="D2131" s="438"/>
      <c r="E2131" s="438"/>
      <c r="F2131" s="438"/>
      <c r="G2131" s="438"/>
      <c r="H2131" s="438"/>
      <c r="I2131" s="438"/>
      <c r="J2131" s="11"/>
      <c r="Q2131" s="348" t="str">
        <f t="shared" si="272"/>
        <v/>
      </c>
      <c r="R2131" s="348" t="str">
        <f t="shared" si="273"/>
        <v/>
      </c>
      <c r="S2131" s="348" t="str">
        <f t="shared" si="274"/>
        <v/>
      </c>
      <c r="T2131" s="348" t="str">
        <f t="shared" si="275"/>
        <v/>
      </c>
      <c r="U2131" s="348" t="str">
        <f t="shared" si="276"/>
        <v/>
      </c>
      <c r="V2131" s="348" t="str">
        <f t="shared" si="277"/>
        <v/>
      </c>
      <c r="W2131" s="348" t="str">
        <f t="shared" si="278"/>
        <v/>
      </c>
      <c r="X2131" s="348" t="str">
        <f t="shared" si="279"/>
        <v/>
      </c>
    </row>
    <row r="2132" spans="1:24" x14ac:dyDescent="0.2">
      <c r="A2132" s="407">
        <v>2124</v>
      </c>
      <c r="B2132" s="438"/>
      <c r="C2132" s="438"/>
      <c r="D2132" s="438"/>
      <c r="E2132" s="438"/>
      <c r="F2132" s="438"/>
      <c r="G2132" s="438"/>
      <c r="H2132" s="438"/>
      <c r="I2132" s="438"/>
      <c r="J2132" s="11"/>
      <c r="Q2132" s="348" t="str">
        <f t="shared" si="272"/>
        <v/>
      </c>
      <c r="R2132" s="348" t="str">
        <f t="shared" si="273"/>
        <v/>
      </c>
      <c r="S2132" s="348" t="str">
        <f t="shared" si="274"/>
        <v/>
      </c>
      <c r="T2132" s="348" t="str">
        <f t="shared" si="275"/>
        <v/>
      </c>
      <c r="U2132" s="348" t="str">
        <f t="shared" si="276"/>
        <v/>
      </c>
      <c r="V2132" s="348" t="str">
        <f t="shared" si="277"/>
        <v/>
      </c>
      <c r="W2132" s="348" t="str">
        <f t="shared" si="278"/>
        <v/>
      </c>
      <c r="X2132" s="348" t="str">
        <f t="shared" si="279"/>
        <v/>
      </c>
    </row>
    <row r="2133" spans="1:24" x14ac:dyDescent="0.2">
      <c r="A2133" s="407">
        <v>2125</v>
      </c>
      <c r="B2133" s="438"/>
      <c r="C2133" s="438"/>
      <c r="D2133" s="438"/>
      <c r="E2133" s="438"/>
      <c r="F2133" s="438"/>
      <c r="G2133" s="438"/>
      <c r="H2133" s="438"/>
      <c r="I2133" s="437"/>
      <c r="J2133" s="11"/>
      <c r="Q2133" s="348" t="str">
        <f t="shared" si="272"/>
        <v/>
      </c>
      <c r="R2133" s="348" t="str">
        <f t="shared" si="273"/>
        <v/>
      </c>
      <c r="S2133" s="348" t="str">
        <f t="shared" si="274"/>
        <v/>
      </c>
      <c r="T2133" s="348" t="str">
        <f t="shared" si="275"/>
        <v/>
      </c>
      <c r="U2133" s="348" t="str">
        <f t="shared" si="276"/>
        <v/>
      </c>
      <c r="V2133" s="348" t="str">
        <f t="shared" si="277"/>
        <v/>
      </c>
      <c r="W2133" s="348" t="str">
        <f t="shared" si="278"/>
        <v/>
      </c>
      <c r="X2133" s="348" t="str">
        <f t="shared" si="279"/>
        <v/>
      </c>
    </row>
    <row r="2134" spans="1:24" x14ac:dyDescent="0.2">
      <c r="A2134" s="407">
        <v>2126</v>
      </c>
      <c r="B2134" s="438"/>
      <c r="C2134" s="438"/>
      <c r="D2134" s="438"/>
      <c r="E2134" s="437"/>
      <c r="F2134" s="437"/>
      <c r="G2134" s="437"/>
      <c r="H2134" s="437"/>
      <c r="I2134" s="438"/>
      <c r="J2134" s="11"/>
      <c r="Q2134" s="348" t="str">
        <f t="shared" si="272"/>
        <v/>
      </c>
      <c r="R2134" s="348" t="str">
        <f t="shared" si="273"/>
        <v/>
      </c>
      <c r="S2134" s="348" t="str">
        <f t="shared" si="274"/>
        <v/>
      </c>
      <c r="T2134" s="348" t="str">
        <f t="shared" si="275"/>
        <v/>
      </c>
      <c r="U2134" s="348" t="str">
        <f t="shared" si="276"/>
        <v/>
      </c>
      <c r="V2134" s="348" t="str">
        <f t="shared" si="277"/>
        <v/>
      </c>
      <c r="W2134" s="348" t="str">
        <f t="shared" si="278"/>
        <v/>
      </c>
      <c r="X2134" s="348" t="str">
        <f t="shared" si="279"/>
        <v/>
      </c>
    </row>
    <row r="2135" spans="1:24" x14ac:dyDescent="0.2">
      <c r="A2135" s="407">
        <v>2127</v>
      </c>
      <c r="B2135" s="437"/>
      <c r="C2135" s="438"/>
      <c r="D2135" s="438"/>
      <c r="E2135" s="438"/>
      <c r="F2135" s="438"/>
      <c r="G2135" s="438"/>
      <c r="H2135" s="438"/>
      <c r="I2135" s="438"/>
      <c r="J2135" s="11"/>
      <c r="Q2135" s="348" t="str">
        <f t="shared" si="272"/>
        <v/>
      </c>
      <c r="R2135" s="348" t="str">
        <f t="shared" si="273"/>
        <v/>
      </c>
      <c r="S2135" s="348" t="str">
        <f t="shared" si="274"/>
        <v/>
      </c>
      <c r="T2135" s="348" t="str">
        <f t="shared" si="275"/>
        <v/>
      </c>
      <c r="U2135" s="348" t="str">
        <f t="shared" si="276"/>
        <v/>
      </c>
      <c r="V2135" s="348" t="str">
        <f t="shared" si="277"/>
        <v/>
      </c>
      <c r="W2135" s="348" t="str">
        <f t="shared" si="278"/>
        <v/>
      </c>
      <c r="X2135" s="348" t="str">
        <f t="shared" si="279"/>
        <v/>
      </c>
    </row>
    <row r="2136" spans="1:24" x14ac:dyDescent="0.2">
      <c r="A2136" s="407">
        <v>2128</v>
      </c>
      <c r="B2136" s="438"/>
      <c r="C2136" s="438"/>
      <c r="D2136" s="438"/>
      <c r="E2136" s="438"/>
      <c r="F2136" s="438"/>
      <c r="G2136" s="438"/>
      <c r="H2136" s="438"/>
      <c r="I2136" s="438"/>
      <c r="J2136" s="11"/>
      <c r="Q2136" s="348" t="str">
        <f t="shared" si="272"/>
        <v/>
      </c>
      <c r="R2136" s="348" t="str">
        <f t="shared" si="273"/>
        <v/>
      </c>
      <c r="S2136" s="348" t="str">
        <f t="shared" si="274"/>
        <v/>
      </c>
      <c r="T2136" s="348" t="str">
        <f t="shared" si="275"/>
        <v/>
      </c>
      <c r="U2136" s="348" t="str">
        <f t="shared" si="276"/>
        <v/>
      </c>
      <c r="V2136" s="348" t="str">
        <f t="shared" si="277"/>
        <v/>
      </c>
      <c r="W2136" s="348" t="str">
        <f t="shared" si="278"/>
        <v/>
      </c>
      <c r="X2136" s="348" t="str">
        <f t="shared" si="279"/>
        <v/>
      </c>
    </row>
    <row r="2137" spans="1:24" x14ac:dyDescent="0.2">
      <c r="A2137" s="407">
        <v>2129</v>
      </c>
      <c r="B2137" s="438"/>
      <c r="C2137" s="438"/>
      <c r="D2137" s="438"/>
      <c r="E2137" s="438"/>
      <c r="F2137" s="438"/>
      <c r="G2137" s="438"/>
      <c r="H2137" s="438"/>
      <c r="I2137" s="438"/>
      <c r="J2137" s="11"/>
      <c r="Q2137" s="348" t="str">
        <f t="shared" si="272"/>
        <v/>
      </c>
      <c r="R2137" s="348" t="str">
        <f t="shared" si="273"/>
        <v/>
      </c>
      <c r="S2137" s="348" t="str">
        <f t="shared" si="274"/>
        <v/>
      </c>
      <c r="T2137" s="348" t="str">
        <f t="shared" si="275"/>
        <v/>
      </c>
      <c r="U2137" s="348" t="str">
        <f t="shared" si="276"/>
        <v/>
      </c>
      <c r="V2137" s="348" t="str">
        <f t="shared" si="277"/>
        <v/>
      </c>
      <c r="W2137" s="348" t="str">
        <f t="shared" si="278"/>
        <v/>
      </c>
      <c r="X2137" s="348" t="str">
        <f t="shared" si="279"/>
        <v/>
      </c>
    </row>
    <row r="2138" spans="1:24" x14ac:dyDescent="0.2">
      <c r="A2138" s="407">
        <v>2130</v>
      </c>
      <c r="B2138" s="438"/>
      <c r="C2138" s="438"/>
      <c r="D2138" s="438"/>
      <c r="E2138" s="438"/>
      <c r="F2138" s="438"/>
      <c r="G2138" s="438"/>
      <c r="H2138" s="438"/>
      <c r="I2138" s="438"/>
      <c r="J2138" s="11"/>
      <c r="Q2138" s="348" t="str">
        <f t="shared" si="272"/>
        <v/>
      </c>
      <c r="R2138" s="348" t="str">
        <f t="shared" si="273"/>
        <v/>
      </c>
      <c r="S2138" s="348" t="str">
        <f t="shared" si="274"/>
        <v/>
      </c>
      <c r="T2138" s="348" t="str">
        <f t="shared" si="275"/>
        <v/>
      </c>
      <c r="U2138" s="348" t="str">
        <f t="shared" si="276"/>
        <v/>
      </c>
      <c r="V2138" s="348" t="str">
        <f t="shared" si="277"/>
        <v/>
      </c>
      <c r="W2138" s="348" t="str">
        <f t="shared" si="278"/>
        <v/>
      </c>
      <c r="X2138" s="348" t="str">
        <f t="shared" si="279"/>
        <v/>
      </c>
    </row>
    <row r="2139" spans="1:24" x14ac:dyDescent="0.2">
      <c r="A2139" s="407">
        <v>2131</v>
      </c>
      <c r="B2139" s="438"/>
      <c r="C2139" s="438"/>
      <c r="D2139" s="438"/>
      <c r="E2139" s="438"/>
      <c r="F2139" s="438"/>
      <c r="G2139" s="438"/>
      <c r="H2139" s="438"/>
      <c r="I2139" s="438"/>
      <c r="J2139" s="11"/>
      <c r="Q2139" s="348" t="str">
        <f t="shared" si="272"/>
        <v/>
      </c>
      <c r="R2139" s="348" t="str">
        <f t="shared" si="273"/>
        <v/>
      </c>
      <c r="S2139" s="348" t="str">
        <f t="shared" si="274"/>
        <v/>
      </c>
      <c r="T2139" s="348" t="str">
        <f t="shared" si="275"/>
        <v/>
      </c>
      <c r="U2139" s="348" t="str">
        <f t="shared" si="276"/>
        <v/>
      </c>
      <c r="V2139" s="348" t="str">
        <f t="shared" si="277"/>
        <v/>
      </c>
      <c r="W2139" s="348" t="str">
        <f t="shared" si="278"/>
        <v/>
      </c>
      <c r="X2139" s="348" t="str">
        <f t="shared" si="279"/>
        <v/>
      </c>
    </row>
    <row r="2140" spans="1:24" x14ac:dyDescent="0.2">
      <c r="A2140" s="407">
        <v>2132</v>
      </c>
      <c r="B2140" s="438"/>
      <c r="C2140" s="438"/>
      <c r="D2140" s="438"/>
      <c r="E2140" s="438"/>
      <c r="F2140" s="438"/>
      <c r="G2140" s="438"/>
      <c r="H2140" s="438"/>
      <c r="I2140" s="438"/>
      <c r="J2140" s="11"/>
      <c r="Q2140" s="348" t="str">
        <f t="shared" si="272"/>
        <v/>
      </c>
      <c r="R2140" s="348" t="str">
        <f t="shared" si="273"/>
        <v/>
      </c>
      <c r="S2140" s="348" t="str">
        <f t="shared" si="274"/>
        <v/>
      </c>
      <c r="T2140" s="348" t="str">
        <f t="shared" si="275"/>
        <v/>
      </c>
      <c r="U2140" s="348" t="str">
        <f t="shared" si="276"/>
        <v/>
      </c>
      <c r="V2140" s="348" t="str">
        <f t="shared" si="277"/>
        <v/>
      </c>
      <c r="W2140" s="348" t="str">
        <f t="shared" si="278"/>
        <v/>
      </c>
      <c r="X2140" s="348" t="str">
        <f t="shared" si="279"/>
        <v/>
      </c>
    </row>
    <row r="2141" spans="1:24" x14ac:dyDescent="0.2">
      <c r="A2141" s="407">
        <v>2133</v>
      </c>
      <c r="B2141" s="438"/>
      <c r="C2141" s="438"/>
      <c r="D2141" s="438"/>
      <c r="E2141" s="438"/>
      <c r="F2141" s="438"/>
      <c r="G2141" s="438"/>
      <c r="H2141" s="438"/>
      <c r="I2141" s="438"/>
      <c r="J2141" s="11"/>
      <c r="Q2141" s="348" t="str">
        <f t="shared" si="272"/>
        <v/>
      </c>
      <c r="R2141" s="348" t="str">
        <f t="shared" si="273"/>
        <v/>
      </c>
      <c r="S2141" s="348" t="str">
        <f t="shared" si="274"/>
        <v/>
      </c>
      <c r="T2141" s="348" t="str">
        <f t="shared" si="275"/>
        <v/>
      </c>
      <c r="U2141" s="348" t="str">
        <f t="shared" si="276"/>
        <v/>
      </c>
      <c r="V2141" s="348" t="str">
        <f t="shared" si="277"/>
        <v/>
      </c>
      <c r="W2141" s="348" t="str">
        <f t="shared" si="278"/>
        <v/>
      </c>
      <c r="X2141" s="348" t="str">
        <f t="shared" si="279"/>
        <v/>
      </c>
    </row>
    <row r="2142" spans="1:24" x14ac:dyDescent="0.2">
      <c r="A2142" s="407">
        <v>2134</v>
      </c>
      <c r="B2142" s="438"/>
      <c r="C2142" s="438"/>
      <c r="D2142" s="438"/>
      <c r="E2142" s="438"/>
      <c r="F2142" s="438"/>
      <c r="G2142" s="438"/>
      <c r="H2142" s="438"/>
      <c r="I2142" s="438"/>
      <c r="J2142" s="11"/>
      <c r="Q2142" s="348" t="str">
        <f t="shared" si="272"/>
        <v/>
      </c>
      <c r="R2142" s="348" t="str">
        <f t="shared" si="273"/>
        <v/>
      </c>
      <c r="S2142" s="348" t="str">
        <f t="shared" si="274"/>
        <v/>
      </c>
      <c r="T2142" s="348" t="str">
        <f t="shared" si="275"/>
        <v/>
      </c>
      <c r="U2142" s="348" t="str">
        <f t="shared" si="276"/>
        <v/>
      </c>
      <c r="V2142" s="348" t="str">
        <f t="shared" si="277"/>
        <v/>
      </c>
      <c r="W2142" s="348" t="str">
        <f t="shared" si="278"/>
        <v/>
      </c>
      <c r="X2142" s="348" t="str">
        <f t="shared" si="279"/>
        <v/>
      </c>
    </row>
    <row r="2143" spans="1:24" x14ac:dyDescent="0.2">
      <c r="A2143" s="407">
        <v>2135</v>
      </c>
      <c r="B2143" s="438"/>
      <c r="C2143" s="438"/>
      <c r="D2143" s="438"/>
      <c r="E2143" s="438"/>
      <c r="F2143" s="438"/>
      <c r="G2143" s="438"/>
      <c r="H2143" s="438"/>
      <c r="I2143" s="438"/>
      <c r="J2143" s="11"/>
      <c r="Q2143" s="348" t="str">
        <f t="shared" si="272"/>
        <v/>
      </c>
      <c r="R2143" s="348" t="str">
        <f t="shared" si="273"/>
        <v/>
      </c>
      <c r="S2143" s="348" t="str">
        <f t="shared" si="274"/>
        <v/>
      </c>
      <c r="T2143" s="348" t="str">
        <f t="shared" si="275"/>
        <v/>
      </c>
      <c r="U2143" s="348" t="str">
        <f t="shared" si="276"/>
        <v/>
      </c>
      <c r="V2143" s="348" t="str">
        <f t="shared" si="277"/>
        <v/>
      </c>
      <c r="W2143" s="348" t="str">
        <f t="shared" si="278"/>
        <v/>
      </c>
      <c r="X2143" s="348" t="str">
        <f t="shared" si="279"/>
        <v/>
      </c>
    </row>
    <row r="2144" spans="1:24" x14ac:dyDescent="0.2">
      <c r="A2144" s="407">
        <v>2136</v>
      </c>
      <c r="B2144" s="438"/>
      <c r="C2144" s="437"/>
      <c r="D2144" s="437"/>
      <c r="E2144" s="438"/>
      <c r="F2144" s="438"/>
      <c r="G2144" s="438"/>
      <c r="H2144" s="438"/>
      <c r="I2144" s="438"/>
      <c r="J2144" s="11"/>
      <c r="Q2144" s="348" t="str">
        <f t="shared" si="272"/>
        <v/>
      </c>
      <c r="R2144" s="348" t="str">
        <f t="shared" si="273"/>
        <v/>
      </c>
      <c r="S2144" s="348" t="str">
        <f t="shared" si="274"/>
        <v/>
      </c>
      <c r="T2144" s="348" t="str">
        <f t="shared" si="275"/>
        <v/>
      </c>
      <c r="U2144" s="348" t="str">
        <f t="shared" si="276"/>
        <v/>
      </c>
      <c r="V2144" s="348" t="str">
        <f t="shared" si="277"/>
        <v/>
      </c>
      <c r="W2144" s="348" t="str">
        <f t="shared" si="278"/>
        <v/>
      </c>
      <c r="X2144" s="348" t="str">
        <f t="shared" si="279"/>
        <v/>
      </c>
    </row>
    <row r="2145" spans="1:24" x14ac:dyDescent="0.2">
      <c r="A2145" s="407">
        <v>2137</v>
      </c>
      <c r="B2145" s="438"/>
      <c r="C2145" s="438"/>
      <c r="D2145" s="438"/>
      <c r="E2145" s="438"/>
      <c r="F2145" s="438"/>
      <c r="G2145" s="438"/>
      <c r="H2145" s="438"/>
      <c r="I2145" s="438"/>
      <c r="J2145" s="11"/>
      <c r="Q2145" s="348" t="str">
        <f t="shared" si="272"/>
        <v/>
      </c>
      <c r="R2145" s="348" t="str">
        <f t="shared" si="273"/>
        <v/>
      </c>
      <c r="S2145" s="348" t="str">
        <f t="shared" si="274"/>
        <v/>
      </c>
      <c r="T2145" s="348" t="str">
        <f t="shared" si="275"/>
        <v/>
      </c>
      <c r="U2145" s="348" t="str">
        <f t="shared" si="276"/>
        <v/>
      </c>
      <c r="V2145" s="348" t="str">
        <f t="shared" si="277"/>
        <v/>
      </c>
      <c r="W2145" s="348" t="str">
        <f t="shared" si="278"/>
        <v/>
      </c>
      <c r="X2145" s="348" t="str">
        <f t="shared" si="279"/>
        <v/>
      </c>
    </row>
    <row r="2146" spans="1:24" x14ac:dyDescent="0.2">
      <c r="A2146" s="407">
        <v>2138</v>
      </c>
      <c r="B2146" s="438"/>
      <c r="C2146" s="438"/>
      <c r="D2146" s="438"/>
      <c r="E2146" s="438"/>
      <c r="F2146" s="438"/>
      <c r="G2146" s="438"/>
      <c r="H2146" s="438"/>
      <c r="I2146" s="438"/>
      <c r="J2146" s="11"/>
      <c r="Q2146" s="348" t="str">
        <f t="shared" si="272"/>
        <v/>
      </c>
      <c r="R2146" s="348" t="str">
        <f t="shared" si="273"/>
        <v/>
      </c>
      <c r="S2146" s="348" t="str">
        <f t="shared" si="274"/>
        <v/>
      </c>
      <c r="T2146" s="348" t="str">
        <f t="shared" si="275"/>
        <v/>
      </c>
      <c r="U2146" s="348" t="str">
        <f t="shared" si="276"/>
        <v/>
      </c>
      <c r="V2146" s="348" t="str">
        <f t="shared" si="277"/>
        <v/>
      </c>
      <c r="W2146" s="348" t="str">
        <f t="shared" si="278"/>
        <v/>
      </c>
      <c r="X2146" s="348" t="str">
        <f t="shared" si="279"/>
        <v/>
      </c>
    </row>
    <row r="2147" spans="1:24" x14ac:dyDescent="0.2">
      <c r="A2147" s="407">
        <v>2139</v>
      </c>
      <c r="B2147" s="438"/>
      <c r="C2147" s="438"/>
      <c r="D2147" s="438"/>
      <c r="E2147" s="438"/>
      <c r="F2147" s="438"/>
      <c r="G2147" s="438"/>
      <c r="H2147" s="438"/>
      <c r="I2147" s="438"/>
      <c r="J2147" s="11"/>
      <c r="Q2147" s="348" t="str">
        <f t="shared" si="272"/>
        <v/>
      </c>
      <c r="R2147" s="348" t="str">
        <f t="shared" si="273"/>
        <v/>
      </c>
      <c r="S2147" s="348" t="str">
        <f t="shared" si="274"/>
        <v/>
      </c>
      <c r="T2147" s="348" t="str">
        <f t="shared" si="275"/>
        <v/>
      </c>
      <c r="U2147" s="348" t="str">
        <f t="shared" si="276"/>
        <v/>
      </c>
      <c r="V2147" s="348" t="str">
        <f t="shared" si="277"/>
        <v/>
      </c>
      <c r="W2147" s="348" t="str">
        <f t="shared" si="278"/>
        <v/>
      </c>
      <c r="X2147" s="348" t="str">
        <f t="shared" si="279"/>
        <v/>
      </c>
    </row>
    <row r="2148" spans="1:24" x14ac:dyDescent="0.2">
      <c r="A2148" s="407">
        <v>2140</v>
      </c>
      <c r="B2148" s="438"/>
      <c r="C2148" s="438"/>
      <c r="D2148" s="438"/>
      <c r="E2148" s="438"/>
      <c r="F2148" s="438"/>
      <c r="G2148" s="438"/>
      <c r="H2148" s="438"/>
      <c r="I2148" s="438"/>
      <c r="J2148" s="11"/>
      <c r="Q2148" s="348" t="str">
        <f t="shared" si="272"/>
        <v/>
      </c>
      <c r="R2148" s="348" t="str">
        <f t="shared" si="273"/>
        <v/>
      </c>
      <c r="S2148" s="348" t="str">
        <f t="shared" si="274"/>
        <v/>
      </c>
      <c r="T2148" s="348" t="str">
        <f t="shared" si="275"/>
        <v/>
      </c>
      <c r="U2148" s="348" t="str">
        <f t="shared" si="276"/>
        <v/>
      </c>
      <c r="V2148" s="348" t="str">
        <f t="shared" si="277"/>
        <v/>
      </c>
      <c r="W2148" s="348" t="str">
        <f t="shared" si="278"/>
        <v/>
      </c>
      <c r="X2148" s="348" t="str">
        <f t="shared" si="279"/>
        <v/>
      </c>
    </row>
    <row r="2149" spans="1:24" x14ac:dyDescent="0.2">
      <c r="A2149" s="407">
        <v>2141</v>
      </c>
      <c r="B2149" s="437"/>
      <c r="C2149" s="438"/>
      <c r="D2149" s="438"/>
      <c r="E2149" s="438"/>
      <c r="F2149" s="438"/>
      <c r="G2149" s="438"/>
      <c r="H2149" s="438"/>
      <c r="I2149" s="438"/>
      <c r="J2149" s="11"/>
      <c r="Q2149" s="348" t="str">
        <f t="shared" si="272"/>
        <v/>
      </c>
      <c r="R2149" s="348" t="str">
        <f t="shared" si="273"/>
        <v/>
      </c>
      <c r="S2149" s="348" t="str">
        <f t="shared" si="274"/>
        <v/>
      </c>
      <c r="T2149" s="348" t="str">
        <f t="shared" si="275"/>
        <v/>
      </c>
      <c r="U2149" s="348" t="str">
        <f t="shared" si="276"/>
        <v/>
      </c>
      <c r="V2149" s="348" t="str">
        <f t="shared" si="277"/>
        <v/>
      </c>
      <c r="W2149" s="348" t="str">
        <f t="shared" si="278"/>
        <v/>
      </c>
      <c r="X2149" s="348" t="str">
        <f t="shared" si="279"/>
        <v/>
      </c>
    </row>
    <row r="2150" spans="1:24" x14ac:dyDescent="0.2">
      <c r="A2150" s="407">
        <v>2142</v>
      </c>
      <c r="B2150" s="438"/>
      <c r="C2150" s="438"/>
      <c r="D2150" s="438"/>
      <c r="E2150" s="438"/>
      <c r="F2150" s="438"/>
      <c r="G2150" s="438"/>
      <c r="H2150" s="438"/>
      <c r="I2150" s="438"/>
      <c r="J2150" s="11"/>
      <c r="Q2150" s="348" t="str">
        <f t="shared" si="272"/>
        <v/>
      </c>
      <c r="R2150" s="348" t="str">
        <f t="shared" si="273"/>
        <v/>
      </c>
      <c r="S2150" s="348" t="str">
        <f t="shared" si="274"/>
        <v/>
      </c>
      <c r="T2150" s="348" t="str">
        <f t="shared" si="275"/>
        <v/>
      </c>
      <c r="U2150" s="348" t="str">
        <f t="shared" si="276"/>
        <v/>
      </c>
      <c r="V2150" s="348" t="str">
        <f t="shared" si="277"/>
        <v/>
      </c>
      <c r="W2150" s="348" t="str">
        <f t="shared" si="278"/>
        <v/>
      </c>
      <c r="X2150" s="348" t="str">
        <f t="shared" si="279"/>
        <v/>
      </c>
    </row>
    <row r="2151" spans="1:24" x14ac:dyDescent="0.2">
      <c r="A2151" s="407">
        <v>2143</v>
      </c>
      <c r="B2151" s="438"/>
      <c r="C2151" s="438"/>
      <c r="D2151" s="438"/>
      <c r="E2151" s="438"/>
      <c r="F2151" s="438"/>
      <c r="G2151" s="438"/>
      <c r="H2151" s="438"/>
      <c r="I2151" s="438"/>
      <c r="J2151" s="11"/>
      <c r="Q2151" s="348" t="str">
        <f t="shared" si="272"/>
        <v/>
      </c>
      <c r="R2151" s="348" t="str">
        <f t="shared" si="273"/>
        <v/>
      </c>
      <c r="S2151" s="348" t="str">
        <f t="shared" si="274"/>
        <v/>
      </c>
      <c r="T2151" s="348" t="str">
        <f t="shared" si="275"/>
        <v/>
      </c>
      <c r="U2151" s="348" t="str">
        <f t="shared" si="276"/>
        <v/>
      </c>
      <c r="V2151" s="348" t="str">
        <f t="shared" si="277"/>
        <v/>
      </c>
      <c r="W2151" s="348" t="str">
        <f t="shared" si="278"/>
        <v/>
      </c>
      <c r="X2151" s="348" t="str">
        <f t="shared" si="279"/>
        <v/>
      </c>
    </row>
    <row r="2152" spans="1:24" x14ac:dyDescent="0.2">
      <c r="A2152" s="407">
        <v>2144</v>
      </c>
      <c r="B2152" s="438"/>
      <c r="C2152" s="438"/>
      <c r="D2152" s="438"/>
      <c r="E2152" s="438"/>
      <c r="F2152" s="438"/>
      <c r="G2152" s="438"/>
      <c r="H2152" s="438"/>
      <c r="I2152" s="438"/>
      <c r="J2152" s="11"/>
      <c r="Q2152" s="348" t="str">
        <f t="shared" si="272"/>
        <v/>
      </c>
      <c r="R2152" s="348" t="str">
        <f t="shared" si="273"/>
        <v/>
      </c>
      <c r="S2152" s="348" t="str">
        <f t="shared" si="274"/>
        <v/>
      </c>
      <c r="T2152" s="348" t="str">
        <f t="shared" si="275"/>
        <v/>
      </c>
      <c r="U2152" s="348" t="str">
        <f t="shared" si="276"/>
        <v/>
      </c>
      <c r="V2152" s="348" t="str">
        <f t="shared" si="277"/>
        <v/>
      </c>
      <c r="W2152" s="348" t="str">
        <f t="shared" si="278"/>
        <v/>
      </c>
      <c r="X2152" s="348" t="str">
        <f t="shared" si="279"/>
        <v/>
      </c>
    </row>
    <row r="2153" spans="1:24" x14ac:dyDescent="0.2">
      <c r="A2153" s="407">
        <v>2145</v>
      </c>
      <c r="B2153" s="438"/>
      <c r="C2153" s="438"/>
      <c r="D2153" s="438"/>
      <c r="E2153" s="438"/>
      <c r="F2153" s="438"/>
      <c r="G2153" s="438"/>
      <c r="H2153" s="438"/>
      <c r="I2153" s="438"/>
      <c r="J2153" s="11"/>
      <c r="Q2153" s="348" t="str">
        <f t="shared" si="272"/>
        <v/>
      </c>
      <c r="R2153" s="348" t="str">
        <f t="shared" si="273"/>
        <v/>
      </c>
      <c r="S2153" s="348" t="str">
        <f t="shared" si="274"/>
        <v/>
      </c>
      <c r="T2153" s="348" t="str">
        <f t="shared" si="275"/>
        <v/>
      </c>
      <c r="U2153" s="348" t="str">
        <f t="shared" si="276"/>
        <v/>
      </c>
      <c r="V2153" s="348" t="str">
        <f t="shared" si="277"/>
        <v/>
      </c>
      <c r="W2153" s="348" t="str">
        <f t="shared" si="278"/>
        <v/>
      </c>
      <c r="X2153" s="348" t="str">
        <f t="shared" si="279"/>
        <v/>
      </c>
    </row>
    <row r="2154" spans="1:24" x14ac:dyDescent="0.2">
      <c r="A2154" s="407">
        <v>2146</v>
      </c>
      <c r="B2154" s="438"/>
      <c r="C2154" s="438"/>
      <c r="D2154" s="438"/>
      <c r="E2154" s="438"/>
      <c r="F2154" s="438"/>
      <c r="G2154" s="438"/>
      <c r="H2154" s="438"/>
      <c r="I2154" s="438"/>
      <c r="J2154" s="11"/>
      <c r="Q2154" s="348" t="str">
        <f t="shared" si="272"/>
        <v/>
      </c>
      <c r="R2154" s="348" t="str">
        <f t="shared" si="273"/>
        <v/>
      </c>
      <c r="S2154" s="348" t="str">
        <f t="shared" si="274"/>
        <v/>
      </c>
      <c r="T2154" s="348" t="str">
        <f t="shared" si="275"/>
        <v/>
      </c>
      <c r="U2154" s="348" t="str">
        <f t="shared" si="276"/>
        <v/>
      </c>
      <c r="V2154" s="348" t="str">
        <f t="shared" si="277"/>
        <v/>
      </c>
      <c r="W2154" s="348" t="str">
        <f t="shared" si="278"/>
        <v/>
      </c>
      <c r="X2154" s="348" t="str">
        <f t="shared" si="279"/>
        <v/>
      </c>
    </row>
    <row r="2155" spans="1:24" x14ac:dyDescent="0.2">
      <c r="A2155" s="407">
        <v>2147</v>
      </c>
      <c r="B2155" s="438"/>
      <c r="C2155" s="438"/>
      <c r="D2155" s="438"/>
      <c r="E2155" s="438"/>
      <c r="F2155" s="438"/>
      <c r="G2155" s="438"/>
      <c r="H2155" s="438"/>
      <c r="I2155" s="438"/>
      <c r="J2155" s="11"/>
      <c r="Q2155" s="348" t="str">
        <f t="shared" si="272"/>
        <v/>
      </c>
      <c r="R2155" s="348" t="str">
        <f t="shared" si="273"/>
        <v/>
      </c>
      <c r="S2155" s="348" t="str">
        <f t="shared" si="274"/>
        <v/>
      </c>
      <c r="T2155" s="348" t="str">
        <f t="shared" si="275"/>
        <v/>
      </c>
      <c r="U2155" s="348" t="str">
        <f t="shared" si="276"/>
        <v/>
      </c>
      <c r="V2155" s="348" t="str">
        <f t="shared" si="277"/>
        <v/>
      </c>
      <c r="W2155" s="348" t="str">
        <f t="shared" si="278"/>
        <v/>
      </c>
      <c r="X2155" s="348" t="str">
        <f t="shared" si="279"/>
        <v/>
      </c>
    </row>
    <row r="2156" spans="1:24" x14ac:dyDescent="0.2">
      <c r="A2156" s="407">
        <v>2148</v>
      </c>
      <c r="B2156" s="438"/>
      <c r="C2156" s="438"/>
      <c r="D2156" s="438"/>
      <c r="E2156" s="438"/>
      <c r="F2156" s="438"/>
      <c r="G2156" s="438"/>
      <c r="H2156" s="438"/>
      <c r="I2156" s="438"/>
      <c r="J2156" s="11"/>
      <c r="Q2156" s="348" t="str">
        <f t="shared" si="272"/>
        <v/>
      </c>
      <c r="R2156" s="348" t="str">
        <f t="shared" si="273"/>
        <v/>
      </c>
      <c r="S2156" s="348" t="str">
        <f t="shared" si="274"/>
        <v/>
      </c>
      <c r="T2156" s="348" t="str">
        <f t="shared" si="275"/>
        <v/>
      </c>
      <c r="U2156" s="348" t="str">
        <f t="shared" si="276"/>
        <v/>
      </c>
      <c r="V2156" s="348" t="str">
        <f t="shared" si="277"/>
        <v/>
      </c>
      <c r="W2156" s="348" t="str">
        <f t="shared" si="278"/>
        <v/>
      </c>
      <c r="X2156" s="348" t="str">
        <f t="shared" si="279"/>
        <v/>
      </c>
    </row>
    <row r="2157" spans="1:24" x14ac:dyDescent="0.2">
      <c r="A2157" s="407">
        <v>2149</v>
      </c>
      <c r="B2157" s="438"/>
      <c r="C2157" s="438"/>
      <c r="D2157" s="438"/>
      <c r="E2157" s="438"/>
      <c r="F2157" s="438"/>
      <c r="G2157" s="438"/>
      <c r="H2157" s="438"/>
      <c r="I2157" s="438"/>
      <c r="J2157" s="11"/>
      <c r="Q2157" s="348" t="str">
        <f t="shared" si="272"/>
        <v/>
      </c>
      <c r="R2157" s="348" t="str">
        <f t="shared" si="273"/>
        <v/>
      </c>
      <c r="S2157" s="348" t="str">
        <f t="shared" si="274"/>
        <v/>
      </c>
      <c r="T2157" s="348" t="str">
        <f t="shared" si="275"/>
        <v/>
      </c>
      <c r="U2157" s="348" t="str">
        <f t="shared" si="276"/>
        <v/>
      </c>
      <c r="V2157" s="348" t="str">
        <f t="shared" si="277"/>
        <v/>
      </c>
      <c r="W2157" s="348" t="str">
        <f t="shared" si="278"/>
        <v/>
      </c>
      <c r="X2157" s="348" t="str">
        <f t="shared" si="279"/>
        <v/>
      </c>
    </row>
    <row r="2158" spans="1:24" x14ac:dyDescent="0.2">
      <c r="A2158" s="407">
        <v>2150</v>
      </c>
      <c r="B2158" s="438"/>
      <c r="C2158" s="437"/>
      <c r="D2158" s="438"/>
      <c r="E2158" s="438"/>
      <c r="F2158" s="438"/>
      <c r="G2158" s="438"/>
      <c r="H2158" s="438"/>
      <c r="I2158" s="437"/>
      <c r="J2158" s="11"/>
      <c r="Q2158" s="348" t="str">
        <f t="shared" si="272"/>
        <v/>
      </c>
      <c r="R2158" s="348" t="str">
        <f t="shared" si="273"/>
        <v/>
      </c>
      <c r="S2158" s="348" t="str">
        <f t="shared" si="274"/>
        <v/>
      </c>
      <c r="T2158" s="348" t="str">
        <f t="shared" si="275"/>
        <v/>
      </c>
      <c r="U2158" s="348" t="str">
        <f t="shared" si="276"/>
        <v/>
      </c>
      <c r="V2158" s="348" t="str">
        <f t="shared" si="277"/>
        <v/>
      </c>
      <c r="W2158" s="348" t="str">
        <f t="shared" si="278"/>
        <v/>
      </c>
      <c r="X2158" s="348" t="str">
        <f t="shared" si="279"/>
        <v/>
      </c>
    </row>
    <row r="2159" spans="1:24" x14ac:dyDescent="0.2">
      <c r="A2159" s="407">
        <v>2151</v>
      </c>
      <c r="B2159" s="438"/>
      <c r="C2159" s="438"/>
      <c r="D2159" s="438"/>
      <c r="E2159" s="437"/>
      <c r="F2159" s="438"/>
      <c r="G2159" s="438"/>
      <c r="H2159" s="438"/>
      <c r="I2159" s="438"/>
      <c r="J2159" s="11"/>
      <c r="Q2159" s="348" t="str">
        <f t="shared" si="272"/>
        <v/>
      </c>
      <c r="R2159" s="348" t="str">
        <f t="shared" si="273"/>
        <v/>
      </c>
      <c r="S2159" s="348" t="str">
        <f t="shared" si="274"/>
        <v/>
      </c>
      <c r="T2159" s="348" t="str">
        <f t="shared" si="275"/>
        <v/>
      </c>
      <c r="U2159" s="348" t="str">
        <f t="shared" si="276"/>
        <v/>
      </c>
      <c r="V2159" s="348" t="str">
        <f t="shared" si="277"/>
        <v/>
      </c>
      <c r="W2159" s="348" t="str">
        <f t="shared" si="278"/>
        <v/>
      </c>
      <c r="X2159" s="348" t="str">
        <f t="shared" si="279"/>
        <v/>
      </c>
    </row>
    <row r="2160" spans="1:24" x14ac:dyDescent="0.2">
      <c r="A2160" s="407">
        <v>2152</v>
      </c>
      <c r="B2160" s="438"/>
      <c r="C2160" s="438"/>
      <c r="D2160" s="438"/>
      <c r="E2160" s="438"/>
      <c r="F2160" s="438"/>
      <c r="G2160" s="438"/>
      <c r="H2160" s="438"/>
      <c r="I2160" s="438"/>
      <c r="J2160" s="11"/>
      <c r="Q2160" s="348" t="str">
        <f t="shared" si="272"/>
        <v/>
      </c>
      <c r="R2160" s="348" t="str">
        <f t="shared" si="273"/>
        <v/>
      </c>
      <c r="S2160" s="348" t="str">
        <f t="shared" si="274"/>
        <v/>
      </c>
      <c r="T2160" s="348" t="str">
        <f t="shared" si="275"/>
        <v/>
      </c>
      <c r="U2160" s="348" t="str">
        <f t="shared" si="276"/>
        <v/>
      </c>
      <c r="V2160" s="348" t="str">
        <f t="shared" si="277"/>
        <v/>
      </c>
      <c r="W2160" s="348" t="str">
        <f t="shared" si="278"/>
        <v/>
      </c>
      <c r="X2160" s="348" t="str">
        <f t="shared" si="279"/>
        <v/>
      </c>
    </row>
    <row r="2161" spans="1:24" x14ac:dyDescent="0.2">
      <c r="A2161" s="407">
        <v>2153</v>
      </c>
      <c r="B2161" s="438"/>
      <c r="C2161" s="438"/>
      <c r="D2161" s="438"/>
      <c r="E2161" s="438"/>
      <c r="F2161" s="438"/>
      <c r="G2161" s="438"/>
      <c r="H2161" s="438"/>
      <c r="I2161" s="438"/>
      <c r="J2161" s="11"/>
      <c r="Q2161" s="348" t="str">
        <f t="shared" si="272"/>
        <v/>
      </c>
      <c r="R2161" s="348" t="str">
        <f t="shared" si="273"/>
        <v/>
      </c>
      <c r="S2161" s="348" t="str">
        <f t="shared" si="274"/>
        <v/>
      </c>
      <c r="T2161" s="348" t="str">
        <f t="shared" si="275"/>
        <v/>
      </c>
      <c r="U2161" s="348" t="str">
        <f t="shared" si="276"/>
        <v/>
      </c>
      <c r="V2161" s="348" t="str">
        <f t="shared" si="277"/>
        <v/>
      </c>
      <c r="W2161" s="348" t="str">
        <f t="shared" si="278"/>
        <v/>
      </c>
      <c r="X2161" s="348" t="str">
        <f t="shared" si="279"/>
        <v/>
      </c>
    </row>
    <row r="2162" spans="1:24" x14ac:dyDescent="0.2">
      <c r="A2162" s="407">
        <v>2154</v>
      </c>
      <c r="B2162" s="438"/>
      <c r="C2162" s="438"/>
      <c r="D2162" s="438"/>
      <c r="E2162" s="438"/>
      <c r="F2162" s="438"/>
      <c r="G2162" s="438"/>
      <c r="H2162" s="438"/>
      <c r="I2162" s="438"/>
      <c r="J2162" s="11"/>
      <c r="Q2162" s="348" t="str">
        <f t="shared" si="272"/>
        <v/>
      </c>
      <c r="R2162" s="348" t="str">
        <f t="shared" si="273"/>
        <v/>
      </c>
      <c r="S2162" s="348" t="str">
        <f t="shared" si="274"/>
        <v/>
      </c>
      <c r="T2162" s="348" t="str">
        <f t="shared" si="275"/>
        <v/>
      </c>
      <c r="U2162" s="348" t="str">
        <f t="shared" si="276"/>
        <v/>
      </c>
      <c r="V2162" s="348" t="str">
        <f t="shared" si="277"/>
        <v/>
      </c>
      <c r="W2162" s="348" t="str">
        <f t="shared" si="278"/>
        <v/>
      </c>
      <c r="X2162" s="348" t="str">
        <f t="shared" si="279"/>
        <v/>
      </c>
    </row>
    <row r="2163" spans="1:24" x14ac:dyDescent="0.2">
      <c r="A2163" s="407">
        <v>2155</v>
      </c>
      <c r="B2163" s="438"/>
      <c r="C2163" s="438"/>
      <c r="D2163" s="438"/>
      <c r="E2163" s="438"/>
      <c r="F2163" s="438"/>
      <c r="G2163" s="438"/>
      <c r="H2163" s="438"/>
      <c r="I2163" s="438"/>
      <c r="J2163" s="11"/>
      <c r="Q2163" s="348" t="str">
        <f t="shared" si="272"/>
        <v/>
      </c>
      <c r="R2163" s="348" t="str">
        <f t="shared" si="273"/>
        <v/>
      </c>
      <c r="S2163" s="348" t="str">
        <f t="shared" si="274"/>
        <v/>
      </c>
      <c r="T2163" s="348" t="str">
        <f t="shared" si="275"/>
        <v/>
      </c>
      <c r="U2163" s="348" t="str">
        <f t="shared" si="276"/>
        <v/>
      </c>
      <c r="V2163" s="348" t="str">
        <f t="shared" si="277"/>
        <v/>
      </c>
      <c r="W2163" s="348" t="str">
        <f t="shared" si="278"/>
        <v/>
      </c>
      <c r="X2163" s="348" t="str">
        <f t="shared" si="279"/>
        <v/>
      </c>
    </row>
    <row r="2164" spans="1:24" x14ac:dyDescent="0.2">
      <c r="A2164" s="407">
        <v>2156</v>
      </c>
      <c r="B2164" s="438"/>
      <c r="C2164" s="438"/>
      <c r="D2164" s="438"/>
      <c r="E2164" s="438"/>
      <c r="F2164" s="438"/>
      <c r="G2164" s="438"/>
      <c r="H2164" s="438"/>
      <c r="I2164" s="438"/>
      <c r="J2164" s="11"/>
      <c r="Q2164" s="348" t="str">
        <f t="shared" si="272"/>
        <v/>
      </c>
      <c r="R2164" s="348" t="str">
        <f t="shared" si="273"/>
        <v/>
      </c>
      <c r="S2164" s="348" t="str">
        <f t="shared" si="274"/>
        <v/>
      </c>
      <c r="T2164" s="348" t="str">
        <f t="shared" si="275"/>
        <v/>
      </c>
      <c r="U2164" s="348" t="str">
        <f t="shared" si="276"/>
        <v/>
      </c>
      <c r="V2164" s="348" t="str">
        <f t="shared" si="277"/>
        <v/>
      </c>
      <c r="W2164" s="348" t="str">
        <f t="shared" si="278"/>
        <v/>
      </c>
      <c r="X2164" s="348" t="str">
        <f t="shared" si="279"/>
        <v/>
      </c>
    </row>
    <row r="2165" spans="1:24" x14ac:dyDescent="0.2">
      <c r="A2165" s="407">
        <v>2157</v>
      </c>
      <c r="B2165" s="438"/>
      <c r="C2165" s="438"/>
      <c r="D2165" s="438"/>
      <c r="E2165" s="438"/>
      <c r="F2165" s="438"/>
      <c r="G2165" s="438"/>
      <c r="H2165" s="438"/>
      <c r="I2165" s="438"/>
      <c r="J2165" s="11"/>
      <c r="Q2165" s="348" t="str">
        <f t="shared" si="272"/>
        <v/>
      </c>
      <c r="R2165" s="348" t="str">
        <f t="shared" si="273"/>
        <v/>
      </c>
      <c r="S2165" s="348" t="str">
        <f t="shared" si="274"/>
        <v/>
      </c>
      <c r="T2165" s="348" t="str">
        <f t="shared" si="275"/>
        <v/>
      </c>
      <c r="U2165" s="348" t="str">
        <f t="shared" si="276"/>
        <v/>
      </c>
      <c r="V2165" s="348" t="str">
        <f t="shared" si="277"/>
        <v/>
      </c>
      <c r="W2165" s="348" t="str">
        <f t="shared" si="278"/>
        <v/>
      </c>
      <c r="X2165" s="348" t="str">
        <f t="shared" si="279"/>
        <v/>
      </c>
    </row>
    <row r="2166" spans="1:24" x14ac:dyDescent="0.2">
      <c r="A2166" s="407">
        <v>2158</v>
      </c>
      <c r="B2166" s="438"/>
      <c r="C2166" s="438"/>
      <c r="D2166" s="438"/>
      <c r="E2166" s="438"/>
      <c r="F2166" s="438"/>
      <c r="G2166" s="438"/>
      <c r="H2166" s="438"/>
      <c r="I2166" s="438"/>
      <c r="J2166" s="11"/>
      <c r="Q2166" s="348" t="str">
        <f t="shared" si="272"/>
        <v/>
      </c>
      <c r="R2166" s="348" t="str">
        <f t="shared" si="273"/>
        <v/>
      </c>
      <c r="S2166" s="348" t="str">
        <f t="shared" si="274"/>
        <v/>
      </c>
      <c r="T2166" s="348" t="str">
        <f t="shared" si="275"/>
        <v/>
      </c>
      <c r="U2166" s="348" t="str">
        <f t="shared" si="276"/>
        <v/>
      </c>
      <c r="V2166" s="348" t="str">
        <f t="shared" si="277"/>
        <v/>
      </c>
      <c r="W2166" s="348" t="str">
        <f t="shared" si="278"/>
        <v/>
      </c>
      <c r="X2166" s="348" t="str">
        <f t="shared" si="279"/>
        <v/>
      </c>
    </row>
    <row r="2167" spans="1:24" x14ac:dyDescent="0.2">
      <c r="A2167" s="407">
        <v>2159</v>
      </c>
      <c r="B2167" s="438"/>
      <c r="C2167" s="438"/>
      <c r="D2167" s="438"/>
      <c r="E2167" s="438"/>
      <c r="F2167" s="438"/>
      <c r="G2167" s="438"/>
      <c r="H2167" s="438"/>
      <c r="I2167" s="438"/>
      <c r="J2167" s="11"/>
      <c r="Q2167" s="348" t="str">
        <f t="shared" si="272"/>
        <v/>
      </c>
      <c r="R2167" s="348" t="str">
        <f t="shared" si="273"/>
        <v/>
      </c>
      <c r="S2167" s="348" t="str">
        <f t="shared" si="274"/>
        <v/>
      </c>
      <c r="T2167" s="348" t="str">
        <f t="shared" si="275"/>
        <v/>
      </c>
      <c r="U2167" s="348" t="str">
        <f t="shared" si="276"/>
        <v/>
      </c>
      <c r="V2167" s="348" t="str">
        <f t="shared" si="277"/>
        <v/>
      </c>
      <c r="W2167" s="348" t="str">
        <f t="shared" si="278"/>
        <v/>
      </c>
      <c r="X2167" s="348" t="str">
        <f t="shared" si="279"/>
        <v/>
      </c>
    </row>
    <row r="2168" spans="1:24" x14ac:dyDescent="0.2">
      <c r="A2168" s="407">
        <v>2160</v>
      </c>
      <c r="B2168" s="437"/>
      <c r="C2168" s="438"/>
      <c r="D2168" s="438"/>
      <c r="E2168" s="438"/>
      <c r="F2168" s="438"/>
      <c r="G2168" s="438"/>
      <c r="H2168" s="438"/>
      <c r="I2168" s="438"/>
      <c r="J2168" s="11"/>
      <c r="Q2168" s="348" t="str">
        <f t="shared" si="272"/>
        <v/>
      </c>
      <c r="R2168" s="348" t="str">
        <f t="shared" si="273"/>
        <v/>
      </c>
      <c r="S2168" s="348" t="str">
        <f t="shared" si="274"/>
        <v/>
      </c>
      <c r="T2168" s="348" t="str">
        <f t="shared" si="275"/>
        <v/>
      </c>
      <c r="U2168" s="348" t="str">
        <f t="shared" si="276"/>
        <v/>
      </c>
      <c r="V2168" s="348" t="str">
        <f t="shared" si="277"/>
        <v/>
      </c>
      <c r="W2168" s="348" t="str">
        <f t="shared" si="278"/>
        <v/>
      </c>
      <c r="X2168" s="348" t="str">
        <f t="shared" si="279"/>
        <v/>
      </c>
    </row>
    <row r="2169" spans="1:24" x14ac:dyDescent="0.2">
      <c r="A2169" s="407">
        <v>2161</v>
      </c>
      <c r="B2169" s="438"/>
      <c r="C2169" s="438"/>
      <c r="D2169" s="438"/>
      <c r="E2169" s="438"/>
      <c r="F2169" s="438"/>
      <c r="G2169" s="438"/>
      <c r="H2169" s="438"/>
      <c r="I2169" s="438"/>
      <c r="J2169" s="11"/>
      <c r="Q2169" s="348" t="str">
        <f t="shared" si="272"/>
        <v/>
      </c>
      <c r="R2169" s="348" t="str">
        <f t="shared" si="273"/>
        <v/>
      </c>
      <c r="S2169" s="348" t="str">
        <f t="shared" si="274"/>
        <v/>
      </c>
      <c r="T2169" s="348" t="str">
        <f t="shared" si="275"/>
        <v/>
      </c>
      <c r="U2169" s="348" t="str">
        <f t="shared" si="276"/>
        <v/>
      </c>
      <c r="V2169" s="348" t="str">
        <f t="shared" si="277"/>
        <v/>
      </c>
      <c r="W2169" s="348" t="str">
        <f t="shared" si="278"/>
        <v/>
      </c>
      <c r="X2169" s="348" t="str">
        <f t="shared" si="279"/>
        <v/>
      </c>
    </row>
    <row r="2170" spans="1:24" x14ac:dyDescent="0.2">
      <c r="A2170" s="407">
        <v>2162</v>
      </c>
      <c r="B2170" s="438"/>
      <c r="C2170" s="438"/>
      <c r="D2170" s="438"/>
      <c r="E2170" s="438"/>
      <c r="F2170" s="438"/>
      <c r="G2170" s="437"/>
      <c r="H2170" s="438"/>
      <c r="I2170" s="438"/>
      <c r="J2170" s="11"/>
      <c r="Q2170" s="348" t="str">
        <f t="shared" si="272"/>
        <v/>
      </c>
      <c r="R2170" s="348" t="str">
        <f t="shared" si="273"/>
        <v/>
      </c>
      <c r="S2170" s="348" t="str">
        <f t="shared" si="274"/>
        <v/>
      </c>
      <c r="T2170" s="348" t="str">
        <f t="shared" si="275"/>
        <v/>
      </c>
      <c r="U2170" s="348" t="str">
        <f t="shared" si="276"/>
        <v/>
      </c>
      <c r="V2170" s="348" t="str">
        <f t="shared" si="277"/>
        <v/>
      </c>
      <c r="W2170" s="348" t="str">
        <f t="shared" si="278"/>
        <v/>
      </c>
      <c r="X2170" s="348" t="str">
        <f t="shared" si="279"/>
        <v/>
      </c>
    </row>
    <row r="2171" spans="1:24" x14ac:dyDescent="0.2">
      <c r="A2171" s="407">
        <v>2163</v>
      </c>
      <c r="B2171" s="438"/>
      <c r="C2171" s="438"/>
      <c r="D2171" s="438"/>
      <c r="E2171" s="438"/>
      <c r="F2171" s="438"/>
      <c r="G2171" s="438"/>
      <c r="H2171" s="438"/>
      <c r="I2171" s="438"/>
      <c r="J2171" s="11"/>
      <c r="Q2171" s="348" t="str">
        <f t="shared" si="272"/>
        <v/>
      </c>
      <c r="R2171" s="348" t="str">
        <f t="shared" si="273"/>
        <v/>
      </c>
      <c r="S2171" s="348" t="str">
        <f t="shared" si="274"/>
        <v/>
      </c>
      <c r="T2171" s="348" t="str">
        <f t="shared" si="275"/>
        <v/>
      </c>
      <c r="U2171" s="348" t="str">
        <f t="shared" si="276"/>
        <v/>
      </c>
      <c r="V2171" s="348" t="str">
        <f t="shared" si="277"/>
        <v/>
      </c>
      <c r="W2171" s="348" t="str">
        <f t="shared" si="278"/>
        <v/>
      </c>
      <c r="X2171" s="348" t="str">
        <f t="shared" si="279"/>
        <v/>
      </c>
    </row>
    <row r="2172" spans="1:24" x14ac:dyDescent="0.2">
      <c r="A2172" s="407">
        <v>2164</v>
      </c>
      <c r="B2172" s="438"/>
      <c r="C2172" s="437"/>
      <c r="D2172" s="438"/>
      <c r="E2172" s="438"/>
      <c r="F2172" s="437"/>
      <c r="G2172" s="438"/>
      <c r="H2172" s="437"/>
      <c r="I2172" s="438"/>
      <c r="J2172" s="11"/>
      <c r="Q2172" s="348" t="str">
        <f t="shared" si="272"/>
        <v/>
      </c>
      <c r="R2172" s="348" t="str">
        <f t="shared" si="273"/>
        <v/>
      </c>
      <c r="S2172" s="348" t="str">
        <f t="shared" si="274"/>
        <v/>
      </c>
      <c r="T2172" s="348" t="str">
        <f t="shared" si="275"/>
        <v/>
      </c>
      <c r="U2172" s="348" t="str">
        <f t="shared" si="276"/>
        <v/>
      </c>
      <c r="V2172" s="348" t="str">
        <f t="shared" si="277"/>
        <v/>
      </c>
      <c r="W2172" s="348" t="str">
        <f t="shared" si="278"/>
        <v/>
      </c>
      <c r="X2172" s="348" t="str">
        <f t="shared" si="279"/>
        <v/>
      </c>
    </row>
    <row r="2173" spans="1:24" x14ac:dyDescent="0.2">
      <c r="A2173" s="407">
        <v>2165</v>
      </c>
      <c r="B2173" s="438"/>
      <c r="C2173" s="438"/>
      <c r="D2173" s="438"/>
      <c r="E2173" s="438"/>
      <c r="F2173" s="438"/>
      <c r="G2173" s="438"/>
      <c r="H2173" s="438"/>
      <c r="I2173" s="438"/>
      <c r="J2173" s="11"/>
      <c r="Q2173" s="348" t="str">
        <f t="shared" si="272"/>
        <v/>
      </c>
      <c r="R2173" s="348" t="str">
        <f t="shared" si="273"/>
        <v/>
      </c>
      <c r="S2173" s="348" t="str">
        <f t="shared" si="274"/>
        <v/>
      </c>
      <c r="T2173" s="348" t="str">
        <f t="shared" si="275"/>
        <v/>
      </c>
      <c r="U2173" s="348" t="str">
        <f t="shared" si="276"/>
        <v/>
      </c>
      <c r="V2173" s="348" t="str">
        <f t="shared" si="277"/>
        <v/>
      </c>
      <c r="W2173" s="348" t="str">
        <f t="shared" si="278"/>
        <v/>
      </c>
      <c r="X2173" s="348" t="str">
        <f t="shared" si="279"/>
        <v/>
      </c>
    </row>
    <row r="2174" spans="1:24" x14ac:dyDescent="0.2">
      <c r="A2174" s="407">
        <v>2166</v>
      </c>
      <c r="B2174" s="438"/>
      <c r="C2174" s="438"/>
      <c r="D2174" s="437"/>
      <c r="E2174" s="438"/>
      <c r="F2174" s="438"/>
      <c r="G2174" s="438"/>
      <c r="H2174" s="438"/>
      <c r="I2174" s="438"/>
      <c r="J2174" s="11"/>
      <c r="Q2174" s="348" t="str">
        <f t="shared" si="272"/>
        <v/>
      </c>
      <c r="R2174" s="348" t="str">
        <f t="shared" si="273"/>
        <v/>
      </c>
      <c r="S2174" s="348" t="str">
        <f t="shared" si="274"/>
        <v/>
      </c>
      <c r="T2174" s="348" t="str">
        <f t="shared" si="275"/>
        <v/>
      </c>
      <c r="U2174" s="348" t="str">
        <f t="shared" si="276"/>
        <v/>
      </c>
      <c r="V2174" s="348" t="str">
        <f t="shared" si="277"/>
        <v/>
      </c>
      <c r="W2174" s="348" t="str">
        <f t="shared" si="278"/>
        <v/>
      </c>
      <c r="X2174" s="348" t="str">
        <f t="shared" si="279"/>
        <v/>
      </c>
    </row>
    <row r="2175" spans="1:24" x14ac:dyDescent="0.2">
      <c r="A2175" s="407">
        <v>2167</v>
      </c>
      <c r="B2175" s="438"/>
      <c r="C2175" s="438"/>
      <c r="D2175" s="438"/>
      <c r="E2175" s="438"/>
      <c r="F2175" s="438"/>
      <c r="G2175" s="438"/>
      <c r="H2175" s="438"/>
      <c r="I2175" s="438"/>
      <c r="J2175" s="11"/>
      <c r="Q2175" s="348" t="str">
        <f t="shared" si="272"/>
        <v/>
      </c>
      <c r="R2175" s="348" t="str">
        <f t="shared" si="273"/>
        <v/>
      </c>
      <c r="S2175" s="348" t="str">
        <f t="shared" si="274"/>
        <v/>
      </c>
      <c r="T2175" s="348" t="str">
        <f t="shared" si="275"/>
        <v/>
      </c>
      <c r="U2175" s="348" t="str">
        <f t="shared" si="276"/>
        <v/>
      </c>
      <c r="V2175" s="348" t="str">
        <f t="shared" si="277"/>
        <v/>
      </c>
      <c r="W2175" s="348" t="str">
        <f t="shared" si="278"/>
        <v/>
      </c>
      <c r="X2175" s="348" t="str">
        <f t="shared" si="279"/>
        <v/>
      </c>
    </row>
    <row r="2176" spans="1:24" x14ac:dyDescent="0.2">
      <c r="A2176" s="407">
        <v>2168</v>
      </c>
      <c r="B2176" s="437"/>
      <c r="C2176" s="438"/>
      <c r="D2176" s="438"/>
      <c r="E2176" s="438"/>
      <c r="F2176" s="438"/>
      <c r="G2176" s="438"/>
      <c r="H2176" s="438"/>
      <c r="I2176" s="438"/>
      <c r="J2176" s="11"/>
      <c r="Q2176" s="348" t="str">
        <f t="shared" si="272"/>
        <v/>
      </c>
      <c r="R2176" s="348" t="str">
        <f t="shared" si="273"/>
        <v/>
      </c>
      <c r="S2176" s="348" t="str">
        <f t="shared" si="274"/>
        <v/>
      </c>
      <c r="T2176" s="348" t="str">
        <f t="shared" si="275"/>
        <v/>
      </c>
      <c r="U2176" s="348" t="str">
        <f t="shared" si="276"/>
        <v/>
      </c>
      <c r="V2176" s="348" t="str">
        <f t="shared" si="277"/>
        <v/>
      </c>
      <c r="W2176" s="348" t="str">
        <f t="shared" si="278"/>
        <v/>
      </c>
      <c r="X2176" s="348" t="str">
        <f t="shared" si="279"/>
        <v/>
      </c>
    </row>
    <row r="2177" spans="1:24" x14ac:dyDescent="0.2">
      <c r="A2177" s="407">
        <v>2169</v>
      </c>
      <c r="B2177" s="438"/>
      <c r="C2177" s="438"/>
      <c r="D2177" s="438"/>
      <c r="E2177" s="437"/>
      <c r="F2177" s="438"/>
      <c r="G2177" s="438"/>
      <c r="H2177" s="438"/>
      <c r="I2177" s="438"/>
      <c r="J2177" s="11"/>
      <c r="Q2177" s="348" t="str">
        <f t="shared" si="272"/>
        <v/>
      </c>
      <c r="R2177" s="348" t="str">
        <f t="shared" si="273"/>
        <v/>
      </c>
      <c r="S2177" s="348" t="str">
        <f t="shared" si="274"/>
        <v/>
      </c>
      <c r="T2177" s="348" t="str">
        <f t="shared" si="275"/>
        <v/>
      </c>
      <c r="U2177" s="348" t="str">
        <f t="shared" si="276"/>
        <v/>
      </c>
      <c r="V2177" s="348" t="str">
        <f t="shared" si="277"/>
        <v/>
      </c>
      <c r="W2177" s="348" t="str">
        <f t="shared" si="278"/>
        <v/>
      </c>
      <c r="X2177" s="348" t="str">
        <f t="shared" si="279"/>
        <v/>
      </c>
    </row>
    <row r="2178" spans="1:24" x14ac:dyDescent="0.2">
      <c r="A2178" s="407">
        <v>2170</v>
      </c>
      <c r="B2178" s="438"/>
      <c r="C2178" s="438"/>
      <c r="D2178" s="438"/>
      <c r="E2178" s="438"/>
      <c r="F2178" s="438"/>
      <c r="G2178" s="438"/>
      <c r="H2178" s="438"/>
      <c r="I2178" s="438"/>
      <c r="J2178" s="11"/>
      <c r="Q2178" s="348" t="str">
        <f t="shared" si="272"/>
        <v/>
      </c>
      <c r="R2178" s="348" t="str">
        <f t="shared" si="273"/>
        <v/>
      </c>
      <c r="S2178" s="348" t="str">
        <f t="shared" si="274"/>
        <v/>
      </c>
      <c r="T2178" s="348" t="str">
        <f t="shared" si="275"/>
        <v/>
      </c>
      <c r="U2178" s="348" t="str">
        <f t="shared" si="276"/>
        <v/>
      </c>
      <c r="V2178" s="348" t="str">
        <f t="shared" si="277"/>
        <v/>
      </c>
      <c r="W2178" s="348" t="str">
        <f t="shared" si="278"/>
        <v/>
      </c>
      <c r="X2178" s="348" t="str">
        <f t="shared" si="279"/>
        <v/>
      </c>
    </row>
    <row r="2179" spans="1:24" x14ac:dyDescent="0.2">
      <c r="A2179" s="407">
        <v>2171</v>
      </c>
      <c r="B2179" s="438"/>
      <c r="C2179" s="438"/>
      <c r="D2179" s="438"/>
      <c r="E2179" s="438"/>
      <c r="F2179" s="438"/>
      <c r="G2179" s="438"/>
      <c r="H2179" s="438"/>
      <c r="I2179" s="438"/>
      <c r="J2179" s="11"/>
      <c r="Q2179" s="348" t="str">
        <f t="shared" si="272"/>
        <v/>
      </c>
      <c r="R2179" s="348" t="str">
        <f t="shared" si="273"/>
        <v/>
      </c>
      <c r="S2179" s="348" t="str">
        <f t="shared" si="274"/>
        <v/>
      </c>
      <c r="T2179" s="348" t="str">
        <f t="shared" si="275"/>
        <v/>
      </c>
      <c r="U2179" s="348" t="str">
        <f t="shared" si="276"/>
        <v/>
      </c>
      <c r="V2179" s="348" t="str">
        <f t="shared" si="277"/>
        <v/>
      </c>
      <c r="W2179" s="348" t="str">
        <f t="shared" si="278"/>
        <v/>
      </c>
      <c r="X2179" s="348" t="str">
        <f t="shared" si="279"/>
        <v/>
      </c>
    </row>
    <row r="2180" spans="1:24" x14ac:dyDescent="0.2">
      <c r="A2180" s="407">
        <v>2172</v>
      </c>
      <c r="B2180" s="438"/>
      <c r="C2180" s="438"/>
      <c r="D2180" s="438"/>
      <c r="E2180" s="438"/>
      <c r="F2180" s="438"/>
      <c r="G2180" s="438"/>
      <c r="H2180" s="438"/>
      <c r="I2180" s="438"/>
      <c r="J2180" s="11"/>
      <c r="Q2180" s="348" t="str">
        <f t="shared" si="272"/>
        <v/>
      </c>
      <c r="R2180" s="348" t="str">
        <f t="shared" si="273"/>
        <v/>
      </c>
      <c r="S2180" s="348" t="str">
        <f t="shared" si="274"/>
        <v/>
      </c>
      <c r="T2180" s="348" t="str">
        <f t="shared" si="275"/>
        <v/>
      </c>
      <c r="U2180" s="348" t="str">
        <f t="shared" si="276"/>
        <v/>
      </c>
      <c r="V2180" s="348" t="str">
        <f t="shared" si="277"/>
        <v/>
      </c>
      <c r="W2180" s="348" t="str">
        <f t="shared" si="278"/>
        <v/>
      </c>
      <c r="X2180" s="348" t="str">
        <f t="shared" si="279"/>
        <v/>
      </c>
    </row>
    <row r="2181" spans="1:24" x14ac:dyDescent="0.2">
      <c r="A2181" s="407">
        <v>2173</v>
      </c>
      <c r="B2181" s="438"/>
      <c r="C2181" s="438"/>
      <c r="D2181" s="438"/>
      <c r="E2181" s="438"/>
      <c r="F2181" s="438"/>
      <c r="G2181" s="438"/>
      <c r="H2181" s="438"/>
      <c r="I2181" s="438"/>
      <c r="J2181" s="11"/>
      <c r="Q2181" s="348" t="str">
        <f t="shared" si="272"/>
        <v/>
      </c>
      <c r="R2181" s="348" t="str">
        <f t="shared" si="273"/>
        <v/>
      </c>
      <c r="S2181" s="348" t="str">
        <f t="shared" si="274"/>
        <v/>
      </c>
      <c r="T2181" s="348" t="str">
        <f t="shared" si="275"/>
        <v/>
      </c>
      <c r="U2181" s="348" t="str">
        <f t="shared" si="276"/>
        <v/>
      </c>
      <c r="V2181" s="348" t="str">
        <f t="shared" si="277"/>
        <v/>
      </c>
      <c r="W2181" s="348" t="str">
        <f t="shared" si="278"/>
        <v/>
      </c>
      <c r="X2181" s="348" t="str">
        <f t="shared" si="279"/>
        <v/>
      </c>
    </row>
    <row r="2182" spans="1:24" x14ac:dyDescent="0.2">
      <c r="A2182" s="407">
        <v>2174</v>
      </c>
      <c r="B2182" s="438"/>
      <c r="C2182" s="438"/>
      <c r="D2182" s="438"/>
      <c r="E2182" s="438"/>
      <c r="F2182" s="438"/>
      <c r="G2182" s="438"/>
      <c r="H2182" s="438"/>
      <c r="I2182" s="438"/>
      <c r="J2182" s="11"/>
      <c r="Q2182" s="348" t="str">
        <f t="shared" si="272"/>
        <v/>
      </c>
      <c r="R2182" s="348" t="str">
        <f t="shared" si="273"/>
        <v/>
      </c>
      <c r="S2182" s="348" t="str">
        <f t="shared" si="274"/>
        <v/>
      </c>
      <c r="T2182" s="348" t="str">
        <f t="shared" si="275"/>
        <v/>
      </c>
      <c r="U2182" s="348" t="str">
        <f t="shared" si="276"/>
        <v/>
      </c>
      <c r="V2182" s="348" t="str">
        <f t="shared" si="277"/>
        <v/>
      </c>
      <c r="W2182" s="348" t="str">
        <f t="shared" si="278"/>
        <v/>
      </c>
      <c r="X2182" s="348" t="str">
        <f t="shared" si="279"/>
        <v/>
      </c>
    </row>
    <row r="2183" spans="1:24" x14ac:dyDescent="0.2">
      <c r="A2183" s="407">
        <v>2175</v>
      </c>
      <c r="B2183" s="438"/>
      <c r="C2183" s="438"/>
      <c r="D2183" s="438"/>
      <c r="E2183" s="438"/>
      <c r="F2183" s="438"/>
      <c r="G2183" s="438"/>
      <c r="H2183" s="438"/>
      <c r="I2183" s="438"/>
      <c r="J2183" s="11"/>
      <c r="Q2183" s="348" t="str">
        <f t="shared" si="272"/>
        <v/>
      </c>
      <c r="R2183" s="348" t="str">
        <f t="shared" si="273"/>
        <v/>
      </c>
      <c r="S2183" s="348" t="str">
        <f t="shared" si="274"/>
        <v/>
      </c>
      <c r="T2183" s="348" t="str">
        <f t="shared" si="275"/>
        <v/>
      </c>
      <c r="U2183" s="348" t="str">
        <f t="shared" si="276"/>
        <v/>
      </c>
      <c r="V2183" s="348" t="str">
        <f t="shared" si="277"/>
        <v/>
      </c>
      <c r="W2183" s="348" t="str">
        <f t="shared" si="278"/>
        <v/>
      </c>
      <c r="X2183" s="348" t="str">
        <f t="shared" si="279"/>
        <v/>
      </c>
    </row>
    <row r="2184" spans="1:24" x14ac:dyDescent="0.2">
      <c r="A2184" s="407">
        <v>2176</v>
      </c>
      <c r="B2184" s="438"/>
      <c r="C2184" s="438"/>
      <c r="D2184" s="438"/>
      <c r="E2184" s="438"/>
      <c r="F2184" s="438"/>
      <c r="G2184" s="438"/>
      <c r="H2184" s="438"/>
      <c r="I2184" s="438"/>
      <c r="J2184" s="11"/>
      <c r="Q2184" s="348" t="str">
        <f t="shared" si="272"/>
        <v/>
      </c>
      <c r="R2184" s="348" t="str">
        <f t="shared" si="273"/>
        <v/>
      </c>
      <c r="S2184" s="348" t="str">
        <f t="shared" si="274"/>
        <v/>
      </c>
      <c r="T2184" s="348" t="str">
        <f t="shared" si="275"/>
        <v/>
      </c>
      <c r="U2184" s="348" t="str">
        <f t="shared" si="276"/>
        <v/>
      </c>
      <c r="V2184" s="348" t="str">
        <f t="shared" si="277"/>
        <v/>
      </c>
      <c r="W2184" s="348" t="str">
        <f t="shared" si="278"/>
        <v/>
      </c>
      <c r="X2184" s="348" t="str">
        <f t="shared" si="279"/>
        <v/>
      </c>
    </row>
    <row r="2185" spans="1:24" x14ac:dyDescent="0.2">
      <c r="A2185" s="407">
        <v>2177</v>
      </c>
      <c r="B2185" s="438"/>
      <c r="C2185" s="438"/>
      <c r="D2185" s="438"/>
      <c r="E2185" s="438"/>
      <c r="F2185" s="438"/>
      <c r="G2185" s="438"/>
      <c r="H2185" s="438"/>
      <c r="I2185" s="438"/>
      <c r="J2185" s="11"/>
      <c r="Q2185" s="348" t="str">
        <f t="shared" si="272"/>
        <v/>
      </c>
      <c r="R2185" s="348" t="str">
        <f t="shared" si="273"/>
        <v/>
      </c>
      <c r="S2185" s="348" t="str">
        <f t="shared" si="274"/>
        <v/>
      </c>
      <c r="T2185" s="348" t="str">
        <f t="shared" si="275"/>
        <v/>
      </c>
      <c r="U2185" s="348" t="str">
        <f t="shared" si="276"/>
        <v/>
      </c>
      <c r="V2185" s="348" t="str">
        <f t="shared" si="277"/>
        <v/>
      </c>
      <c r="W2185" s="348" t="str">
        <f t="shared" si="278"/>
        <v/>
      </c>
      <c r="X2185" s="348" t="str">
        <f t="shared" si="279"/>
        <v/>
      </c>
    </row>
    <row r="2186" spans="1:24" x14ac:dyDescent="0.2">
      <c r="A2186" s="407">
        <v>2178</v>
      </c>
      <c r="B2186" s="438"/>
      <c r="C2186" s="438"/>
      <c r="D2186" s="438"/>
      <c r="E2186" s="438"/>
      <c r="F2186" s="438"/>
      <c r="G2186" s="438"/>
      <c r="H2186" s="438"/>
      <c r="I2186" s="438"/>
      <c r="J2186" s="11"/>
      <c r="Q2186" s="348" t="str">
        <f t="shared" ref="Q2186:Q2249" si="280">IFERROR(B2186^4*$AB$9+B2186^3*$AC$9+B2186^2*$AD$9+B2186^1*$AE$9+B2186^0*$AF$9,"")</f>
        <v/>
      </c>
      <c r="R2186" s="348" t="str">
        <f t="shared" ref="R2186:R2249" si="281">IFERROR(C2186^4*$AB$10+C2186^3*$AC$10+C2186^2*$AD$10+C2186^1*$AE$10+C2186^0*$AF$10,"")</f>
        <v/>
      </c>
      <c r="S2186" s="348" t="str">
        <f t="shared" ref="S2186:S2249" si="282">IFERROR(D2186^4*$AB$11+D2186^3*$AC$11+D2186^2*$AD$11+D2186^1*$AE$11+D2186^0*$AF$11,"")</f>
        <v/>
      </c>
      <c r="T2186" s="348" t="str">
        <f t="shared" ref="T2186:T2249" si="283">IFERROR(E2186^4*$AB$12+E2186^3*$AC$12+E2186^2*$AD$12+E2186^1*$AE$12+E2186^0*$AF$12,"")</f>
        <v/>
      </c>
      <c r="U2186" s="348" t="str">
        <f t="shared" ref="U2186:U2249" si="284">IFERROR(F2186^4*$AB$13+F2186^3*$AC$13+F2186^2*$AD$13+F2186^1*$AE$13+F2186^0*$AF$13,"")</f>
        <v/>
      </c>
      <c r="V2186" s="348" t="str">
        <f t="shared" ref="V2186:V2249" si="285">IFERROR(G2186^4*$AB$14+G2186^3*$AC$14+G2186^2*$AD$14+G2186^1*$AE$14+G2186^0*$AF$14,"")</f>
        <v/>
      </c>
      <c r="W2186" s="348" t="str">
        <f t="shared" ref="W2186:W2249" si="286">IFERROR(H2186^4*$AB$15+H2186^3*$AC$15+H2186^2*$AD$15+H2186^1*$AE$15+H2186^0*$AF$15,"")</f>
        <v/>
      </c>
      <c r="X2186" s="348" t="str">
        <f t="shared" ref="X2186:X2249" si="287">IFERROR(I2186^4*$AB$16+I2186^3*$AC$16+I2186^2*$AD$16+I2186^1*$AE$16+I2186^0*$AF$16,"")</f>
        <v/>
      </c>
    </row>
    <row r="2187" spans="1:24" x14ac:dyDescent="0.2">
      <c r="A2187" s="407">
        <v>2179</v>
      </c>
      <c r="B2187" s="438"/>
      <c r="C2187" s="438"/>
      <c r="D2187" s="438"/>
      <c r="E2187" s="438"/>
      <c r="F2187" s="438"/>
      <c r="G2187" s="438"/>
      <c r="H2187" s="438"/>
      <c r="I2187" s="438"/>
      <c r="J2187" s="11"/>
      <c r="Q2187" s="348" t="str">
        <f t="shared" si="280"/>
        <v/>
      </c>
      <c r="R2187" s="348" t="str">
        <f t="shared" si="281"/>
        <v/>
      </c>
      <c r="S2187" s="348" t="str">
        <f t="shared" si="282"/>
        <v/>
      </c>
      <c r="T2187" s="348" t="str">
        <f t="shared" si="283"/>
        <v/>
      </c>
      <c r="U2187" s="348" t="str">
        <f t="shared" si="284"/>
        <v/>
      </c>
      <c r="V2187" s="348" t="str">
        <f t="shared" si="285"/>
        <v/>
      </c>
      <c r="W2187" s="348" t="str">
        <f t="shared" si="286"/>
        <v/>
      </c>
      <c r="X2187" s="348" t="str">
        <f t="shared" si="287"/>
        <v/>
      </c>
    </row>
    <row r="2188" spans="1:24" x14ac:dyDescent="0.2">
      <c r="A2188" s="407">
        <v>2180</v>
      </c>
      <c r="B2188" s="438"/>
      <c r="C2188" s="438"/>
      <c r="D2188" s="438"/>
      <c r="E2188" s="438"/>
      <c r="F2188" s="438"/>
      <c r="G2188" s="438"/>
      <c r="H2188" s="438"/>
      <c r="I2188" s="438"/>
      <c r="J2188" s="11"/>
      <c r="Q2188" s="348" t="str">
        <f t="shared" si="280"/>
        <v/>
      </c>
      <c r="R2188" s="348" t="str">
        <f t="shared" si="281"/>
        <v/>
      </c>
      <c r="S2188" s="348" t="str">
        <f t="shared" si="282"/>
        <v/>
      </c>
      <c r="T2188" s="348" t="str">
        <f t="shared" si="283"/>
        <v/>
      </c>
      <c r="U2188" s="348" t="str">
        <f t="shared" si="284"/>
        <v/>
      </c>
      <c r="V2188" s="348" t="str">
        <f t="shared" si="285"/>
        <v/>
      </c>
      <c r="W2188" s="348" t="str">
        <f t="shared" si="286"/>
        <v/>
      </c>
      <c r="X2188" s="348" t="str">
        <f t="shared" si="287"/>
        <v/>
      </c>
    </row>
    <row r="2189" spans="1:24" x14ac:dyDescent="0.2">
      <c r="A2189" s="407">
        <v>2181</v>
      </c>
      <c r="B2189" s="438"/>
      <c r="C2189" s="438"/>
      <c r="D2189" s="438"/>
      <c r="E2189" s="438"/>
      <c r="F2189" s="438"/>
      <c r="G2189" s="438"/>
      <c r="H2189" s="438"/>
      <c r="I2189" s="438"/>
      <c r="J2189" s="11"/>
      <c r="Q2189" s="348" t="str">
        <f t="shared" si="280"/>
        <v/>
      </c>
      <c r="R2189" s="348" t="str">
        <f t="shared" si="281"/>
        <v/>
      </c>
      <c r="S2189" s="348" t="str">
        <f t="shared" si="282"/>
        <v/>
      </c>
      <c r="T2189" s="348" t="str">
        <f t="shared" si="283"/>
        <v/>
      </c>
      <c r="U2189" s="348" t="str">
        <f t="shared" si="284"/>
        <v/>
      </c>
      <c r="V2189" s="348" t="str">
        <f t="shared" si="285"/>
        <v/>
      </c>
      <c r="W2189" s="348" t="str">
        <f t="shared" si="286"/>
        <v/>
      </c>
      <c r="X2189" s="348" t="str">
        <f t="shared" si="287"/>
        <v/>
      </c>
    </row>
    <row r="2190" spans="1:24" x14ac:dyDescent="0.2">
      <c r="A2190" s="407">
        <v>2182</v>
      </c>
      <c r="B2190" s="437"/>
      <c r="C2190" s="438"/>
      <c r="D2190" s="438"/>
      <c r="E2190" s="438"/>
      <c r="F2190" s="438"/>
      <c r="G2190" s="438"/>
      <c r="H2190" s="438"/>
      <c r="I2190" s="438"/>
      <c r="J2190" s="11"/>
      <c r="Q2190" s="348" t="str">
        <f t="shared" si="280"/>
        <v/>
      </c>
      <c r="R2190" s="348" t="str">
        <f t="shared" si="281"/>
        <v/>
      </c>
      <c r="S2190" s="348" t="str">
        <f t="shared" si="282"/>
        <v/>
      </c>
      <c r="T2190" s="348" t="str">
        <f t="shared" si="283"/>
        <v/>
      </c>
      <c r="U2190" s="348" t="str">
        <f t="shared" si="284"/>
        <v/>
      </c>
      <c r="V2190" s="348" t="str">
        <f t="shared" si="285"/>
        <v/>
      </c>
      <c r="W2190" s="348" t="str">
        <f t="shared" si="286"/>
        <v/>
      </c>
      <c r="X2190" s="348" t="str">
        <f t="shared" si="287"/>
        <v/>
      </c>
    </row>
    <row r="2191" spans="1:24" x14ac:dyDescent="0.2">
      <c r="A2191" s="407">
        <v>2183</v>
      </c>
      <c r="B2191" s="438"/>
      <c r="C2191" s="438"/>
      <c r="D2191" s="438"/>
      <c r="E2191" s="438"/>
      <c r="F2191" s="438"/>
      <c r="G2191" s="438"/>
      <c r="H2191" s="438"/>
      <c r="I2191" s="438"/>
      <c r="J2191" s="11"/>
      <c r="Q2191" s="348" t="str">
        <f t="shared" si="280"/>
        <v/>
      </c>
      <c r="R2191" s="348" t="str">
        <f t="shared" si="281"/>
        <v/>
      </c>
      <c r="S2191" s="348" t="str">
        <f t="shared" si="282"/>
        <v/>
      </c>
      <c r="T2191" s="348" t="str">
        <f t="shared" si="283"/>
        <v/>
      </c>
      <c r="U2191" s="348" t="str">
        <f t="shared" si="284"/>
        <v/>
      </c>
      <c r="V2191" s="348" t="str">
        <f t="shared" si="285"/>
        <v/>
      </c>
      <c r="W2191" s="348" t="str">
        <f t="shared" si="286"/>
        <v/>
      </c>
      <c r="X2191" s="348" t="str">
        <f t="shared" si="287"/>
        <v/>
      </c>
    </row>
    <row r="2192" spans="1:24" x14ac:dyDescent="0.2">
      <c r="A2192" s="407">
        <v>2184</v>
      </c>
      <c r="B2192" s="438"/>
      <c r="C2192" s="438"/>
      <c r="D2192" s="438"/>
      <c r="E2192" s="438"/>
      <c r="F2192" s="438"/>
      <c r="G2192" s="438"/>
      <c r="H2192" s="438"/>
      <c r="I2192" s="438"/>
      <c r="J2192" s="11"/>
      <c r="Q2192" s="348" t="str">
        <f t="shared" si="280"/>
        <v/>
      </c>
      <c r="R2192" s="348" t="str">
        <f t="shared" si="281"/>
        <v/>
      </c>
      <c r="S2192" s="348" t="str">
        <f t="shared" si="282"/>
        <v/>
      </c>
      <c r="T2192" s="348" t="str">
        <f t="shared" si="283"/>
        <v/>
      </c>
      <c r="U2192" s="348" t="str">
        <f t="shared" si="284"/>
        <v/>
      </c>
      <c r="V2192" s="348" t="str">
        <f t="shared" si="285"/>
        <v/>
      </c>
      <c r="W2192" s="348" t="str">
        <f t="shared" si="286"/>
        <v/>
      </c>
      <c r="X2192" s="348" t="str">
        <f t="shared" si="287"/>
        <v/>
      </c>
    </row>
    <row r="2193" spans="1:24" x14ac:dyDescent="0.2">
      <c r="A2193" s="407">
        <v>2185</v>
      </c>
      <c r="B2193" s="438"/>
      <c r="C2193" s="438"/>
      <c r="D2193" s="438"/>
      <c r="E2193" s="438"/>
      <c r="F2193" s="438"/>
      <c r="G2193" s="438"/>
      <c r="H2193" s="438"/>
      <c r="I2193" s="438"/>
      <c r="J2193" s="11"/>
      <c r="Q2193" s="348" t="str">
        <f t="shared" si="280"/>
        <v/>
      </c>
      <c r="R2193" s="348" t="str">
        <f t="shared" si="281"/>
        <v/>
      </c>
      <c r="S2193" s="348" t="str">
        <f t="shared" si="282"/>
        <v/>
      </c>
      <c r="T2193" s="348" t="str">
        <f t="shared" si="283"/>
        <v/>
      </c>
      <c r="U2193" s="348" t="str">
        <f t="shared" si="284"/>
        <v/>
      </c>
      <c r="V2193" s="348" t="str">
        <f t="shared" si="285"/>
        <v/>
      </c>
      <c r="W2193" s="348" t="str">
        <f t="shared" si="286"/>
        <v/>
      </c>
      <c r="X2193" s="348" t="str">
        <f t="shared" si="287"/>
        <v/>
      </c>
    </row>
    <row r="2194" spans="1:24" x14ac:dyDescent="0.2">
      <c r="A2194" s="407">
        <v>2186</v>
      </c>
      <c r="B2194" s="438"/>
      <c r="C2194" s="438"/>
      <c r="D2194" s="438"/>
      <c r="E2194" s="438"/>
      <c r="F2194" s="438"/>
      <c r="G2194" s="438"/>
      <c r="H2194" s="438"/>
      <c r="I2194" s="438"/>
      <c r="J2194" s="11"/>
      <c r="Q2194" s="348" t="str">
        <f t="shared" si="280"/>
        <v/>
      </c>
      <c r="R2194" s="348" t="str">
        <f t="shared" si="281"/>
        <v/>
      </c>
      <c r="S2194" s="348" t="str">
        <f t="shared" si="282"/>
        <v/>
      </c>
      <c r="T2194" s="348" t="str">
        <f t="shared" si="283"/>
        <v/>
      </c>
      <c r="U2194" s="348" t="str">
        <f t="shared" si="284"/>
        <v/>
      </c>
      <c r="V2194" s="348" t="str">
        <f t="shared" si="285"/>
        <v/>
      </c>
      <c r="W2194" s="348" t="str">
        <f t="shared" si="286"/>
        <v/>
      </c>
      <c r="X2194" s="348" t="str">
        <f t="shared" si="287"/>
        <v/>
      </c>
    </row>
    <row r="2195" spans="1:24" x14ac:dyDescent="0.2">
      <c r="A2195" s="407">
        <v>2187</v>
      </c>
      <c r="B2195" s="438"/>
      <c r="C2195" s="438"/>
      <c r="D2195" s="438"/>
      <c r="E2195" s="438"/>
      <c r="F2195" s="438"/>
      <c r="G2195" s="438"/>
      <c r="H2195" s="438"/>
      <c r="I2195" s="438"/>
      <c r="J2195" s="11"/>
      <c r="Q2195" s="348" t="str">
        <f t="shared" si="280"/>
        <v/>
      </c>
      <c r="R2195" s="348" t="str">
        <f t="shared" si="281"/>
        <v/>
      </c>
      <c r="S2195" s="348" t="str">
        <f t="shared" si="282"/>
        <v/>
      </c>
      <c r="T2195" s="348" t="str">
        <f t="shared" si="283"/>
        <v/>
      </c>
      <c r="U2195" s="348" t="str">
        <f t="shared" si="284"/>
        <v/>
      </c>
      <c r="V2195" s="348" t="str">
        <f t="shared" si="285"/>
        <v/>
      </c>
      <c r="W2195" s="348" t="str">
        <f t="shared" si="286"/>
        <v/>
      </c>
      <c r="X2195" s="348" t="str">
        <f t="shared" si="287"/>
        <v/>
      </c>
    </row>
    <row r="2196" spans="1:24" x14ac:dyDescent="0.2">
      <c r="A2196" s="407">
        <v>2188</v>
      </c>
      <c r="B2196" s="438"/>
      <c r="C2196" s="438"/>
      <c r="D2196" s="438"/>
      <c r="E2196" s="438"/>
      <c r="F2196" s="438"/>
      <c r="G2196" s="438"/>
      <c r="H2196" s="438"/>
      <c r="I2196" s="438"/>
      <c r="J2196" s="11"/>
      <c r="Q2196" s="348" t="str">
        <f t="shared" si="280"/>
        <v/>
      </c>
      <c r="R2196" s="348" t="str">
        <f t="shared" si="281"/>
        <v/>
      </c>
      <c r="S2196" s="348" t="str">
        <f t="shared" si="282"/>
        <v/>
      </c>
      <c r="T2196" s="348" t="str">
        <f t="shared" si="283"/>
        <v/>
      </c>
      <c r="U2196" s="348" t="str">
        <f t="shared" si="284"/>
        <v/>
      </c>
      <c r="V2196" s="348" t="str">
        <f t="shared" si="285"/>
        <v/>
      </c>
      <c r="W2196" s="348" t="str">
        <f t="shared" si="286"/>
        <v/>
      </c>
      <c r="X2196" s="348" t="str">
        <f t="shared" si="287"/>
        <v/>
      </c>
    </row>
    <row r="2197" spans="1:24" x14ac:dyDescent="0.2">
      <c r="A2197" s="407">
        <v>2189</v>
      </c>
      <c r="B2197" s="438"/>
      <c r="C2197" s="438"/>
      <c r="D2197" s="438"/>
      <c r="E2197" s="438"/>
      <c r="F2197" s="438"/>
      <c r="G2197" s="438"/>
      <c r="H2197" s="438"/>
      <c r="I2197" s="437"/>
      <c r="J2197" s="11"/>
      <c r="Q2197" s="348" t="str">
        <f t="shared" si="280"/>
        <v/>
      </c>
      <c r="R2197" s="348" t="str">
        <f t="shared" si="281"/>
        <v/>
      </c>
      <c r="S2197" s="348" t="str">
        <f t="shared" si="282"/>
        <v/>
      </c>
      <c r="T2197" s="348" t="str">
        <f t="shared" si="283"/>
        <v/>
      </c>
      <c r="U2197" s="348" t="str">
        <f t="shared" si="284"/>
        <v/>
      </c>
      <c r="V2197" s="348" t="str">
        <f t="shared" si="285"/>
        <v/>
      </c>
      <c r="W2197" s="348" t="str">
        <f t="shared" si="286"/>
        <v/>
      </c>
      <c r="X2197" s="348" t="str">
        <f t="shared" si="287"/>
        <v/>
      </c>
    </row>
    <row r="2198" spans="1:24" x14ac:dyDescent="0.2">
      <c r="A2198" s="407">
        <v>2190</v>
      </c>
      <c r="B2198" s="438"/>
      <c r="C2198" s="438"/>
      <c r="D2198" s="438"/>
      <c r="E2198" s="438"/>
      <c r="F2198" s="438"/>
      <c r="G2198" s="438"/>
      <c r="H2198" s="438"/>
      <c r="I2198" s="438"/>
      <c r="J2198" s="11"/>
      <c r="Q2198" s="348" t="str">
        <f t="shared" si="280"/>
        <v/>
      </c>
      <c r="R2198" s="348" t="str">
        <f t="shared" si="281"/>
        <v/>
      </c>
      <c r="S2198" s="348" t="str">
        <f t="shared" si="282"/>
        <v/>
      </c>
      <c r="T2198" s="348" t="str">
        <f t="shared" si="283"/>
        <v/>
      </c>
      <c r="U2198" s="348" t="str">
        <f t="shared" si="284"/>
        <v/>
      </c>
      <c r="V2198" s="348" t="str">
        <f t="shared" si="285"/>
        <v/>
      </c>
      <c r="W2198" s="348" t="str">
        <f t="shared" si="286"/>
        <v/>
      </c>
      <c r="X2198" s="348" t="str">
        <f t="shared" si="287"/>
        <v/>
      </c>
    </row>
    <row r="2199" spans="1:24" x14ac:dyDescent="0.2">
      <c r="A2199" s="407">
        <v>2191</v>
      </c>
      <c r="B2199" s="438"/>
      <c r="C2199" s="438"/>
      <c r="D2199" s="438"/>
      <c r="E2199" s="438"/>
      <c r="F2199" s="438"/>
      <c r="G2199" s="438"/>
      <c r="H2199" s="438"/>
      <c r="I2199" s="438"/>
      <c r="J2199" s="11"/>
      <c r="Q2199" s="348" t="str">
        <f t="shared" si="280"/>
        <v/>
      </c>
      <c r="R2199" s="348" t="str">
        <f t="shared" si="281"/>
        <v/>
      </c>
      <c r="S2199" s="348" t="str">
        <f t="shared" si="282"/>
        <v/>
      </c>
      <c r="T2199" s="348" t="str">
        <f t="shared" si="283"/>
        <v/>
      </c>
      <c r="U2199" s="348" t="str">
        <f t="shared" si="284"/>
        <v/>
      </c>
      <c r="V2199" s="348" t="str">
        <f t="shared" si="285"/>
        <v/>
      </c>
      <c r="W2199" s="348" t="str">
        <f t="shared" si="286"/>
        <v/>
      </c>
      <c r="X2199" s="348" t="str">
        <f t="shared" si="287"/>
        <v/>
      </c>
    </row>
    <row r="2200" spans="1:24" x14ac:dyDescent="0.2">
      <c r="A2200" s="407">
        <v>2192</v>
      </c>
      <c r="B2200" s="438"/>
      <c r="C2200" s="438"/>
      <c r="D2200" s="438"/>
      <c r="E2200" s="438"/>
      <c r="F2200" s="438"/>
      <c r="G2200" s="438"/>
      <c r="H2200" s="438"/>
      <c r="I2200" s="438"/>
      <c r="J2200" s="11"/>
      <c r="Q2200" s="348" t="str">
        <f t="shared" si="280"/>
        <v/>
      </c>
      <c r="R2200" s="348" t="str">
        <f t="shared" si="281"/>
        <v/>
      </c>
      <c r="S2200" s="348" t="str">
        <f t="shared" si="282"/>
        <v/>
      </c>
      <c r="T2200" s="348" t="str">
        <f t="shared" si="283"/>
        <v/>
      </c>
      <c r="U2200" s="348" t="str">
        <f t="shared" si="284"/>
        <v/>
      </c>
      <c r="V2200" s="348" t="str">
        <f t="shared" si="285"/>
        <v/>
      </c>
      <c r="W2200" s="348" t="str">
        <f t="shared" si="286"/>
        <v/>
      </c>
      <c r="X2200" s="348" t="str">
        <f t="shared" si="287"/>
        <v/>
      </c>
    </row>
    <row r="2201" spans="1:24" x14ac:dyDescent="0.2">
      <c r="A2201" s="407">
        <v>2193</v>
      </c>
      <c r="B2201" s="438"/>
      <c r="C2201" s="437"/>
      <c r="D2201" s="438"/>
      <c r="E2201" s="438"/>
      <c r="F2201" s="438"/>
      <c r="G2201" s="438"/>
      <c r="H2201" s="438"/>
      <c r="I2201" s="438"/>
      <c r="J2201" s="11"/>
      <c r="Q2201" s="348" t="str">
        <f t="shared" si="280"/>
        <v/>
      </c>
      <c r="R2201" s="348" t="str">
        <f t="shared" si="281"/>
        <v/>
      </c>
      <c r="S2201" s="348" t="str">
        <f t="shared" si="282"/>
        <v/>
      </c>
      <c r="T2201" s="348" t="str">
        <f t="shared" si="283"/>
        <v/>
      </c>
      <c r="U2201" s="348" t="str">
        <f t="shared" si="284"/>
        <v/>
      </c>
      <c r="V2201" s="348" t="str">
        <f t="shared" si="285"/>
        <v/>
      </c>
      <c r="W2201" s="348" t="str">
        <f t="shared" si="286"/>
        <v/>
      </c>
      <c r="X2201" s="348" t="str">
        <f t="shared" si="287"/>
        <v/>
      </c>
    </row>
    <row r="2202" spans="1:24" x14ac:dyDescent="0.2">
      <c r="A2202" s="407">
        <v>2194</v>
      </c>
      <c r="B2202" s="438"/>
      <c r="C2202" s="438"/>
      <c r="D2202" s="438"/>
      <c r="E2202" s="437"/>
      <c r="F2202" s="438"/>
      <c r="G2202" s="438"/>
      <c r="H2202" s="438"/>
      <c r="I2202" s="438"/>
      <c r="J2202" s="11"/>
      <c r="Q2202" s="348" t="str">
        <f t="shared" si="280"/>
        <v/>
      </c>
      <c r="R2202" s="348" t="str">
        <f t="shared" si="281"/>
        <v/>
      </c>
      <c r="S2202" s="348" t="str">
        <f t="shared" si="282"/>
        <v/>
      </c>
      <c r="T2202" s="348" t="str">
        <f t="shared" si="283"/>
        <v/>
      </c>
      <c r="U2202" s="348" t="str">
        <f t="shared" si="284"/>
        <v/>
      </c>
      <c r="V2202" s="348" t="str">
        <f t="shared" si="285"/>
        <v/>
      </c>
      <c r="W2202" s="348" t="str">
        <f t="shared" si="286"/>
        <v/>
      </c>
      <c r="X2202" s="348" t="str">
        <f t="shared" si="287"/>
        <v/>
      </c>
    </row>
    <row r="2203" spans="1:24" x14ac:dyDescent="0.2">
      <c r="A2203" s="407">
        <v>2195</v>
      </c>
      <c r="B2203" s="438"/>
      <c r="C2203" s="438"/>
      <c r="D2203" s="438"/>
      <c r="E2203" s="438"/>
      <c r="F2203" s="438"/>
      <c r="G2203" s="438"/>
      <c r="H2203" s="438"/>
      <c r="I2203" s="438"/>
      <c r="J2203" s="11"/>
      <c r="Q2203" s="348" t="str">
        <f t="shared" si="280"/>
        <v/>
      </c>
      <c r="R2203" s="348" t="str">
        <f t="shared" si="281"/>
        <v/>
      </c>
      <c r="S2203" s="348" t="str">
        <f t="shared" si="282"/>
        <v/>
      </c>
      <c r="T2203" s="348" t="str">
        <f t="shared" si="283"/>
        <v/>
      </c>
      <c r="U2203" s="348" t="str">
        <f t="shared" si="284"/>
        <v/>
      </c>
      <c r="V2203" s="348" t="str">
        <f t="shared" si="285"/>
        <v/>
      </c>
      <c r="W2203" s="348" t="str">
        <f t="shared" si="286"/>
        <v/>
      </c>
      <c r="X2203" s="348" t="str">
        <f t="shared" si="287"/>
        <v/>
      </c>
    </row>
    <row r="2204" spans="1:24" x14ac:dyDescent="0.2">
      <c r="A2204" s="407">
        <v>2196</v>
      </c>
      <c r="B2204" s="438"/>
      <c r="C2204" s="438"/>
      <c r="D2204" s="438"/>
      <c r="E2204" s="438"/>
      <c r="F2204" s="438"/>
      <c r="G2204" s="438"/>
      <c r="H2204" s="438"/>
      <c r="I2204" s="438"/>
      <c r="J2204" s="11"/>
      <c r="Q2204" s="348" t="str">
        <f t="shared" si="280"/>
        <v/>
      </c>
      <c r="R2204" s="348" t="str">
        <f t="shared" si="281"/>
        <v/>
      </c>
      <c r="S2204" s="348" t="str">
        <f t="shared" si="282"/>
        <v/>
      </c>
      <c r="T2204" s="348" t="str">
        <f t="shared" si="283"/>
        <v/>
      </c>
      <c r="U2204" s="348" t="str">
        <f t="shared" si="284"/>
        <v/>
      </c>
      <c r="V2204" s="348" t="str">
        <f t="shared" si="285"/>
        <v/>
      </c>
      <c r="W2204" s="348" t="str">
        <f t="shared" si="286"/>
        <v/>
      </c>
      <c r="X2204" s="348" t="str">
        <f t="shared" si="287"/>
        <v/>
      </c>
    </row>
    <row r="2205" spans="1:24" x14ac:dyDescent="0.2">
      <c r="A2205" s="407">
        <v>2197</v>
      </c>
      <c r="B2205" s="438"/>
      <c r="C2205" s="438"/>
      <c r="D2205" s="438"/>
      <c r="E2205" s="438"/>
      <c r="F2205" s="438"/>
      <c r="G2205" s="438"/>
      <c r="H2205" s="438"/>
      <c r="I2205" s="438"/>
      <c r="J2205" s="11"/>
      <c r="Q2205" s="348" t="str">
        <f t="shared" si="280"/>
        <v/>
      </c>
      <c r="R2205" s="348" t="str">
        <f t="shared" si="281"/>
        <v/>
      </c>
      <c r="S2205" s="348" t="str">
        <f t="shared" si="282"/>
        <v/>
      </c>
      <c r="T2205" s="348" t="str">
        <f t="shared" si="283"/>
        <v/>
      </c>
      <c r="U2205" s="348" t="str">
        <f t="shared" si="284"/>
        <v/>
      </c>
      <c r="V2205" s="348" t="str">
        <f t="shared" si="285"/>
        <v/>
      </c>
      <c r="W2205" s="348" t="str">
        <f t="shared" si="286"/>
        <v/>
      </c>
      <c r="X2205" s="348" t="str">
        <f t="shared" si="287"/>
        <v/>
      </c>
    </row>
    <row r="2206" spans="1:24" x14ac:dyDescent="0.2">
      <c r="A2206" s="407">
        <v>2198</v>
      </c>
      <c r="B2206" s="438"/>
      <c r="C2206" s="438"/>
      <c r="D2206" s="438"/>
      <c r="E2206" s="438"/>
      <c r="F2206" s="438"/>
      <c r="G2206" s="438"/>
      <c r="H2206" s="438"/>
      <c r="I2206" s="438"/>
      <c r="J2206" s="11"/>
      <c r="Q2206" s="348" t="str">
        <f t="shared" si="280"/>
        <v/>
      </c>
      <c r="R2206" s="348" t="str">
        <f t="shared" si="281"/>
        <v/>
      </c>
      <c r="S2206" s="348" t="str">
        <f t="shared" si="282"/>
        <v/>
      </c>
      <c r="T2206" s="348" t="str">
        <f t="shared" si="283"/>
        <v/>
      </c>
      <c r="U2206" s="348" t="str">
        <f t="shared" si="284"/>
        <v/>
      </c>
      <c r="V2206" s="348" t="str">
        <f t="shared" si="285"/>
        <v/>
      </c>
      <c r="W2206" s="348" t="str">
        <f t="shared" si="286"/>
        <v/>
      </c>
      <c r="X2206" s="348" t="str">
        <f t="shared" si="287"/>
        <v/>
      </c>
    </row>
    <row r="2207" spans="1:24" x14ac:dyDescent="0.2">
      <c r="A2207" s="407">
        <v>2199</v>
      </c>
      <c r="B2207" s="438"/>
      <c r="C2207" s="438"/>
      <c r="D2207" s="438"/>
      <c r="E2207" s="438"/>
      <c r="F2207" s="438"/>
      <c r="G2207" s="437"/>
      <c r="H2207" s="438"/>
      <c r="I2207" s="438"/>
      <c r="J2207" s="11"/>
      <c r="Q2207" s="348" t="str">
        <f t="shared" si="280"/>
        <v/>
      </c>
      <c r="R2207" s="348" t="str">
        <f t="shared" si="281"/>
        <v/>
      </c>
      <c r="S2207" s="348" t="str">
        <f t="shared" si="282"/>
        <v/>
      </c>
      <c r="T2207" s="348" t="str">
        <f t="shared" si="283"/>
        <v/>
      </c>
      <c r="U2207" s="348" t="str">
        <f t="shared" si="284"/>
        <v/>
      </c>
      <c r="V2207" s="348" t="str">
        <f t="shared" si="285"/>
        <v/>
      </c>
      <c r="W2207" s="348" t="str">
        <f t="shared" si="286"/>
        <v/>
      </c>
      <c r="X2207" s="348" t="str">
        <f t="shared" si="287"/>
        <v/>
      </c>
    </row>
    <row r="2208" spans="1:24" x14ac:dyDescent="0.2">
      <c r="A2208" s="407">
        <v>2200</v>
      </c>
      <c r="B2208" s="438"/>
      <c r="C2208" s="438"/>
      <c r="D2208" s="438"/>
      <c r="E2208" s="438"/>
      <c r="F2208" s="438"/>
      <c r="G2208" s="438"/>
      <c r="H2208" s="438"/>
      <c r="I2208" s="438"/>
      <c r="J2208" s="11"/>
      <c r="Q2208" s="348" t="str">
        <f t="shared" si="280"/>
        <v/>
      </c>
      <c r="R2208" s="348" t="str">
        <f t="shared" si="281"/>
        <v/>
      </c>
      <c r="S2208" s="348" t="str">
        <f t="shared" si="282"/>
        <v/>
      </c>
      <c r="T2208" s="348" t="str">
        <f t="shared" si="283"/>
        <v/>
      </c>
      <c r="U2208" s="348" t="str">
        <f t="shared" si="284"/>
        <v/>
      </c>
      <c r="V2208" s="348" t="str">
        <f t="shared" si="285"/>
        <v/>
      </c>
      <c r="W2208" s="348" t="str">
        <f t="shared" si="286"/>
        <v/>
      </c>
      <c r="X2208" s="348" t="str">
        <f t="shared" si="287"/>
        <v/>
      </c>
    </row>
    <row r="2209" spans="1:24" x14ac:dyDescent="0.2">
      <c r="A2209" s="407">
        <v>2201</v>
      </c>
      <c r="B2209" s="437"/>
      <c r="C2209" s="437"/>
      <c r="D2209" s="438"/>
      <c r="E2209" s="437"/>
      <c r="F2209" s="437"/>
      <c r="G2209" s="437"/>
      <c r="H2209" s="437"/>
      <c r="I2209" s="438"/>
      <c r="J2209" s="11"/>
      <c r="Q2209" s="348" t="str">
        <f t="shared" si="280"/>
        <v/>
      </c>
      <c r="R2209" s="348" t="str">
        <f t="shared" si="281"/>
        <v/>
      </c>
      <c r="S2209" s="348" t="str">
        <f t="shared" si="282"/>
        <v/>
      </c>
      <c r="T2209" s="348" t="str">
        <f t="shared" si="283"/>
        <v/>
      </c>
      <c r="U2209" s="348" t="str">
        <f t="shared" si="284"/>
        <v/>
      </c>
      <c r="V2209" s="348" t="str">
        <f t="shared" si="285"/>
        <v/>
      </c>
      <c r="W2209" s="348" t="str">
        <f t="shared" si="286"/>
        <v/>
      </c>
      <c r="X2209" s="348" t="str">
        <f t="shared" si="287"/>
        <v/>
      </c>
    </row>
    <row r="2210" spans="1:24" x14ac:dyDescent="0.2">
      <c r="A2210" s="407">
        <v>2202</v>
      </c>
      <c r="B2210" s="438"/>
      <c r="C2210" s="438"/>
      <c r="D2210" s="438"/>
      <c r="E2210" s="438"/>
      <c r="F2210" s="438"/>
      <c r="G2210" s="438"/>
      <c r="H2210" s="438"/>
      <c r="I2210" s="438"/>
      <c r="J2210" s="11"/>
      <c r="Q2210" s="348" t="str">
        <f t="shared" si="280"/>
        <v/>
      </c>
      <c r="R2210" s="348" t="str">
        <f t="shared" si="281"/>
        <v/>
      </c>
      <c r="S2210" s="348" t="str">
        <f t="shared" si="282"/>
        <v/>
      </c>
      <c r="T2210" s="348" t="str">
        <f t="shared" si="283"/>
        <v/>
      </c>
      <c r="U2210" s="348" t="str">
        <f t="shared" si="284"/>
        <v/>
      </c>
      <c r="V2210" s="348" t="str">
        <f t="shared" si="285"/>
        <v/>
      </c>
      <c r="W2210" s="348" t="str">
        <f t="shared" si="286"/>
        <v/>
      </c>
      <c r="X2210" s="348" t="str">
        <f t="shared" si="287"/>
        <v/>
      </c>
    </row>
    <row r="2211" spans="1:24" x14ac:dyDescent="0.2">
      <c r="A2211" s="407">
        <v>2203</v>
      </c>
      <c r="B2211" s="438"/>
      <c r="C2211" s="438"/>
      <c r="D2211" s="438"/>
      <c r="E2211" s="438"/>
      <c r="F2211" s="438"/>
      <c r="G2211" s="438"/>
      <c r="H2211" s="438"/>
      <c r="I2211" s="438"/>
      <c r="J2211" s="11"/>
      <c r="Q2211" s="348" t="str">
        <f t="shared" si="280"/>
        <v/>
      </c>
      <c r="R2211" s="348" t="str">
        <f t="shared" si="281"/>
        <v/>
      </c>
      <c r="S2211" s="348" t="str">
        <f t="shared" si="282"/>
        <v/>
      </c>
      <c r="T2211" s="348" t="str">
        <f t="shared" si="283"/>
        <v/>
      </c>
      <c r="U2211" s="348" t="str">
        <f t="shared" si="284"/>
        <v/>
      </c>
      <c r="V2211" s="348" t="str">
        <f t="shared" si="285"/>
        <v/>
      </c>
      <c r="W2211" s="348" t="str">
        <f t="shared" si="286"/>
        <v/>
      </c>
      <c r="X2211" s="348" t="str">
        <f t="shared" si="287"/>
        <v/>
      </c>
    </row>
    <row r="2212" spans="1:24" x14ac:dyDescent="0.2">
      <c r="A2212" s="407">
        <v>2204</v>
      </c>
      <c r="B2212" s="438"/>
      <c r="C2212" s="438"/>
      <c r="D2212" s="438"/>
      <c r="E2212" s="438"/>
      <c r="F2212" s="438"/>
      <c r="G2212" s="438"/>
      <c r="H2212" s="438"/>
      <c r="I2212" s="438"/>
      <c r="J2212" s="11"/>
      <c r="Q2212" s="348" t="str">
        <f t="shared" si="280"/>
        <v/>
      </c>
      <c r="R2212" s="348" t="str">
        <f t="shared" si="281"/>
        <v/>
      </c>
      <c r="S2212" s="348" t="str">
        <f t="shared" si="282"/>
        <v/>
      </c>
      <c r="T2212" s="348" t="str">
        <f t="shared" si="283"/>
        <v/>
      </c>
      <c r="U2212" s="348" t="str">
        <f t="shared" si="284"/>
        <v/>
      </c>
      <c r="V2212" s="348" t="str">
        <f t="shared" si="285"/>
        <v/>
      </c>
      <c r="W2212" s="348" t="str">
        <f t="shared" si="286"/>
        <v/>
      </c>
      <c r="X2212" s="348" t="str">
        <f t="shared" si="287"/>
        <v/>
      </c>
    </row>
    <row r="2213" spans="1:24" x14ac:dyDescent="0.2">
      <c r="A2213" s="407">
        <v>2205</v>
      </c>
      <c r="B2213" s="438"/>
      <c r="C2213" s="438"/>
      <c r="D2213" s="438"/>
      <c r="E2213" s="438"/>
      <c r="F2213" s="438"/>
      <c r="G2213" s="438"/>
      <c r="H2213" s="438"/>
      <c r="I2213" s="438"/>
      <c r="J2213" s="11"/>
      <c r="Q2213" s="348" t="str">
        <f t="shared" si="280"/>
        <v/>
      </c>
      <c r="R2213" s="348" t="str">
        <f t="shared" si="281"/>
        <v/>
      </c>
      <c r="S2213" s="348" t="str">
        <f t="shared" si="282"/>
        <v/>
      </c>
      <c r="T2213" s="348" t="str">
        <f t="shared" si="283"/>
        <v/>
      </c>
      <c r="U2213" s="348" t="str">
        <f t="shared" si="284"/>
        <v/>
      </c>
      <c r="V2213" s="348" t="str">
        <f t="shared" si="285"/>
        <v/>
      </c>
      <c r="W2213" s="348" t="str">
        <f t="shared" si="286"/>
        <v/>
      </c>
      <c r="X2213" s="348" t="str">
        <f t="shared" si="287"/>
        <v/>
      </c>
    </row>
    <row r="2214" spans="1:24" x14ac:dyDescent="0.2">
      <c r="A2214" s="407">
        <v>2206</v>
      </c>
      <c r="B2214" s="438"/>
      <c r="C2214" s="438"/>
      <c r="D2214" s="438"/>
      <c r="E2214" s="438"/>
      <c r="F2214" s="438"/>
      <c r="G2214" s="438"/>
      <c r="H2214" s="438"/>
      <c r="I2214" s="438"/>
      <c r="J2214" s="11"/>
      <c r="Q2214" s="348" t="str">
        <f t="shared" si="280"/>
        <v/>
      </c>
      <c r="R2214" s="348" t="str">
        <f t="shared" si="281"/>
        <v/>
      </c>
      <c r="S2214" s="348" t="str">
        <f t="shared" si="282"/>
        <v/>
      </c>
      <c r="T2214" s="348" t="str">
        <f t="shared" si="283"/>
        <v/>
      </c>
      <c r="U2214" s="348" t="str">
        <f t="shared" si="284"/>
        <v/>
      </c>
      <c r="V2214" s="348" t="str">
        <f t="shared" si="285"/>
        <v/>
      </c>
      <c r="W2214" s="348" t="str">
        <f t="shared" si="286"/>
        <v/>
      </c>
      <c r="X2214" s="348" t="str">
        <f t="shared" si="287"/>
        <v/>
      </c>
    </row>
    <row r="2215" spans="1:24" x14ac:dyDescent="0.2">
      <c r="A2215" s="407">
        <v>2207</v>
      </c>
      <c r="B2215" s="438"/>
      <c r="C2215" s="438"/>
      <c r="D2215" s="438"/>
      <c r="E2215" s="438"/>
      <c r="F2215" s="438"/>
      <c r="G2215" s="438"/>
      <c r="H2215" s="438"/>
      <c r="I2215" s="438"/>
      <c r="J2215" s="11"/>
      <c r="Q2215" s="348" t="str">
        <f t="shared" si="280"/>
        <v/>
      </c>
      <c r="R2215" s="348" t="str">
        <f t="shared" si="281"/>
        <v/>
      </c>
      <c r="S2215" s="348" t="str">
        <f t="shared" si="282"/>
        <v/>
      </c>
      <c r="T2215" s="348" t="str">
        <f t="shared" si="283"/>
        <v/>
      </c>
      <c r="U2215" s="348" t="str">
        <f t="shared" si="284"/>
        <v/>
      </c>
      <c r="V2215" s="348" t="str">
        <f t="shared" si="285"/>
        <v/>
      </c>
      <c r="W2215" s="348" t="str">
        <f t="shared" si="286"/>
        <v/>
      </c>
      <c r="X2215" s="348" t="str">
        <f t="shared" si="287"/>
        <v/>
      </c>
    </row>
    <row r="2216" spans="1:24" x14ac:dyDescent="0.2">
      <c r="A2216" s="407">
        <v>2208</v>
      </c>
      <c r="B2216" s="438"/>
      <c r="C2216" s="438"/>
      <c r="D2216" s="438"/>
      <c r="E2216" s="438"/>
      <c r="F2216" s="438"/>
      <c r="G2216" s="438"/>
      <c r="H2216" s="438"/>
      <c r="I2216" s="438"/>
      <c r="J2216" s="11"/>
      <c r="Q2216" s="348" t="str">
        <f t="shared" si="280"/>
        <v/>
      </c>
      <c r="R2216" s="348" t="str">
        <f t="shared" si="281"/>
        <v/>
      </c>
      <c r="S2216" s="348" t="str">
        <f t="shared" si="282"/>
        <v/>
      </c>
      <c r="T2216" s="348" t="str">
        <f t="shared" si="283"/>
        <v/>
      </c>
      <c r="U2216" s="348" t="str">
        <f t="shared" si="284"/>
        <v/>
      </c>
      <c r="V2216" s="348" t="str">
        <f t="shared" si="285"/>
        <v/>
      </c>
      <c r="W2216" s="348" t="str">
        <f t="shared" si="286"/>
        <v/>
      </c>
      <c r="X2216" s="348" t="str">
        <f t="shared" si="287"/>
        <v/>
      </c>
    </row>
    <row r="2217" spans="1:24" x14ac:dyDescent="0.2">
      <c r="A2217" s="407">
        <v>2209</v>
      </c>
      <c r="B2217" s="438"/>
      <c r="C2217" s="438"/>
      <c r="D2217" s="438"/>
      <c r="E2217" s="438"/>
      <c r="F2217" s="438"/>
      <c r="G2217" s="438"/>
      <c r="H2217" s="438"/>
      <c r="I2217" s="438"/>
      <c r="J2217" s="11"/>
      <c r="Q2217" s="348" t="str">
        <f t="shared" si="280"/>
        <v/>
      </c>
      <c r="R2217" s="348" t="str">
        <f t="shared" si="281"/>
        <v/>
      </c>
      <c r="S2217" s="348" t="str">
        <f t="shared" si="282"/>
        <v/>
      </c>
      <c r="T2217" s="348" t="str">
        <f t="shared" si="283"/>
        <v/>
      </c>
      <c r="U2217" s="348" t="str">
        <f t="shared" si="284"/>
        <v/>
      </c>
      <c r="V2217" s="348" t="str">
        <f t="shared" si="285"/>
        <v/>
      </c>
      <c r="W2217" s="348" t="str">
        <f t="shared" si="286"/>
        <v/>
      </c>
      <c r="X2217" s="348" t="str">
        <f t="shared" si="287"/>
        <v/>
      </c>
    </row>
    <row r="2218" spans="1:24" x14ac:dyDescent="0.2">
      <c r="A2218" s="407">
        <v>2210</v>
      </c>
      <c r="B2218" s="438"/>
      <c r="C2218" s="438"/>
      <c r="D2218" s="438"/>
      <c r="E2218" s="438"/>
      <c r="F2218" s="438"/>
      <c r="G2218" s="438"/>
      <c r="H2218" s="438"/>
      <c r="I2218" s="438"/>
      <c r="J2218" s="11"/>
      <c r="Q2218" s="348" t="str">
        <f t="shared" si="280"/>
        <v/>
      </c>
      <c r="R2218" s="348" t="str">
        <f t="shared" si="281"/>
        <v/>
      </c>
      <c r="S2218" s="348" t="str">
        <f t="shared" si="282"/>
        <v/>
      </c>
      <c r="T2218" s="348" t="str">
        <f t="shared" si="283"/>
        <v/>
      </c>
      <c r="U2218" s="348" t="str">
        <f t="shared" si="284"/>
        <v/>
      </c>
      <c r="V2218" s="348" t="str">
        <f t="shared" si="285"/>
        <v/>
      </c>
      <c r="W2218" s="348" t="str">
        <f t="shared" si="286"/>
        <v/>
      </c>
      <c r="X2218" s="348" t="str">
        <f t="shared" si="287"/>
        <v/>
      </c>
    </row>
    <row r="2219" spans="1:24" x14ac:dyDescent="0.2">
      <c r="A2219" s="407">
        <v>2211</v>
      </c>
      <c r="B2219" s="437"/>
      <c r="C2219" s="438"/>
      <c r="D2219" s="438"/>
      <c r="E2219" s="438"/>
      <c r="F2219" s="438"/>
      <c r="G2219" s="438"/>
      <c r="H2219" s="438"/>
      <c r="I2219" s="438"/>
      <c r="J2219" s="11"/>
      <c r="Q2219" s="348" t="str">
        <f t="shared" si="280"/>
        <v/>
      </c>
      <c r="R2219" s="348" t="str">
        <f t="shared" si="281"/>
        <v/>
      </c>
      <c r="S2219" s="348" t="str">
        <f t="shared" si="282"/>
        <v/>
      </c>
      <c r="T2219" s="348" t="str">
        <f t="shared" si="283"/>
        <v/>
      </c>
      <c r="U2219" s="348" t="str">
        <f t="shared" si="284"/>
        <v/>
      </c>
      <c r="V2219" s="348" t="str">
        <f t="shared" si="285"/>
        <v/>
      </c>
      <c r="W2219" s="348" t="str">
        <f t="shared" si="286"/>
        <v/>
      </c>
      <c r="X2219" s="348" t="str">
        <f t="shared" si="287"/>
        <v/>
      </c>
    </row>
    <row r="2220" spans="1:24" x14ac:dyDescent="0.2">
      <c r="A2220" s="407">
        <v>2212</v>
      </c>
      <c r="B2220" s="438"/>
      <c r="C2220" s="438"/>
      <c r="D2220" s="438"/>
      <c r="E2220" s="438"/>
      <c r="F2220" s="438"/>
      <c r="G2220" s="438"/>
      <c r="H2220" s="438"/>
      <c r="I2220" s="438"/>
      <c r="J2220" s="11"/>
      <c r="Q2220" s="348" t="str">
        <f t="shared" si="280"/>
        <v/>
      </c>
      <c r="R2220" s="348" t="str">
        <f t="shared" si="281"/>
        <v/>
      </c>
      <c r="S2220" s="348" t="str">
        <f t="shared" si="282"/>
        <v/>
      </c>
      <c r="T2220" s="348" t="str">
        <f t="shared" si="283"/>
        <v/>
      </c>
      <c r="U2220" s="348" t="str">
        <f t="shared" si="284"/>
        <v/>
      </c>
      <c r="V2220" s="348" t="str">
        <f t="shared" si="285"/>
        <v/>
      </c>
      <c r="W2220" s="348" t="str">
        <f t="shared" si="286"/>
        <v/>
      </c>
      <c r="X2220" s="348" t="str">
        <f t="shared" si="287"/>
        <v/>
      </c>
    </row>
    <row r="2221" spans="1:24" x14ac:dyDescent="0.2">
      <c r="A2221" s="407">
        <v>2213</v>
      </c>
      <c r="B2221" s="438"/>
      <c r="C2221" s="438"/>
      <c r="D2221" s="438"/>
      <c r="E2221" s="438"/>
      <c r="F2221" s="438"/>
      <c r="G2221" s="438"/>
      <c r="H2221" s="438"/>
      <c r="I2221" s="438"/>
      <c r="J2221" s="11"/>
      <c r="Q2221" s="348" t="str">
        <f t="shared" si="280"/>
        <v/>
      </c>
      <c r="R2221" s="348" t="str">
        <f t="shared" si="281"/>
        <v/>
      </c>
      <c r="S2221" s="348" t="str">
        <f t="shared" si="282"/>
        <v/>
      </c>
      <c r="T2221" s="348" t="str">
        <f t="shared" si="283"/>
        <v/>
      </c>
      <c r="U2221" s="348" t="str">
        <f t="shared" si="284"/>
        <v/>
      </c>
      <c r="V2221" s="348" t="str">
        <f t="shared" si="285"/>
        <v/>
      </c>
      <c r="W2221" s="348" t="str">
        <f t="shared" si="286"/>
        <v/>
      </c>
      <c r="X2221" s="348" t="str">
        <f t="shared" si="287"/>
        <v/>
      </c>
    </row>
    <row r="2222" spans="1:24" x14ac:dyDescent="0.2">
      <c r="A2222" s="407">
        <v>2214</v>
      </c>
      <c r="B2222" s="438"/>
      <c r="C2222" s="438"/>
      <c r="D2222" s="438"/>
      <c r="E2222" s="438"/>
      <c r="F2222" s="438"/>
      <c r="G2222" s="438"/>
      <c r="H2222" s="438"/>
      <c r="I2222" s="438"/>
      <c r="J2222" s="11"/>
      <c r="Q2222" s="348" t="str">
        <f t="shared" si="280"/>
        <v/>
      </c>
      <c r="R2222" s="348" t="str">
        <f t="shared" si="281"/>
        <v/>
      </c>
      <c r="S2222" s="348" t="str">
        <f t="shared" si="282"/>
        <v/>
      </c>
      <c r="T2222" s="348" t="str">
        <f t="shared" si="283"/>
        <v/>
      </c>
      <c r="U2222" s="348" t="str">
        <f t="shared" si="284"/>
        <v/>
      </c>
      <c r="V2222" s="348" t="str">
        <f t="shared" si="285"/>
        <v/>
      </c>
      <c r="W2222" s="348" t="str">
        <f t="shared" si="286"/>
        <v/>
      </c>
      <c r="X2222" s="348" t="str">
        <f t="shared" si="287"/>
        <v/>
      </c>
    </row>
    <row r="2223" spans="1:24" x14ac:dyDescent="0.2">
      <c r="A2223" s="407">
        <v>2215</v>
      </c>
      <c r="B2223" s="438"/>
      <c r="C2223" s="437"/>
      <c r="D2223" s="438"/>
      <c r="E2223" s="438"/>
      <c r="F2223" s="438"/>
      <c r="G2223" s="438"/>
      <c r="H2223" s="438"/>
      <c r="I2223" s="438"/>
      <c r="J2223" s="11"/>
      <c r="Q2223" s="348" t="str">
        <f t="shared" si="280"/>
        <v/>
      </c>
      <c r="R2223" s="348" t="str">
        <f t="shared" si="281"/>
        <v/>
      </c>
      <c r="S2223" s="348" t="str">
        <f t="shared" si="282"/>
        <v/>
      </c>
      <c r="T2223" s="348" t="str">
        <f t="shared" si="283"/>
        <v/>
      </c>
      <c r="U2223" s="348" t="str">
        <f t="shared" si="284"/>
        <v/>
      </c>
      <c r="V2223" s="348" t="str">
        <f t="shared" si="285"/>
        <v/>
      </c>
      <c r="W2223" s="348" t="str">
        <f t="shared" si="286"/>
        <v/>
      </c>
      <c r="X2223" s="348" t="str">
        <f t="shared" si="287"/>
        <v/>
      </c>
    </row>
    <row r="2224" spans="1:24" x14ac:dyDescent="0.2">
      <c r="A2224" s="407">
        <v>2216</v>
      </c>
      <c r="B2224" s="438"/>
      <c r="C2224" s="438"/>
      <c r="D2224" s="438"/>
      <c r="E2224" s="438"/>
      <c r="F2224" s="438"/>
      <c r="G2224" s="438"/>
      <c r="H2224" s="438"/>
      <c r="I2224" s="438"/>
      <c r="J2224" s="11"/>
      <c r="Q2224" s="348" t="str">
        <f t="shared" si="280"/>
        <v/>
      </c>
      <c r="R2224" s="348" t="str">
        <f t="shared" si="281"/>
        <v/>
      </c>
      <c r="S2224" s="348" t="str">
        <f t="shared" si="282"/>
        <v/>
      </c>
      <c r="T2224" s="348" t="str">
        <f t="shared" si="283"/>
        <v/>
      </c>
      <c r="U2224" s="348" t="str">
        <f t="shared" si="284"/>
        <v/>
      </c>
      <c r="V2224" s="348" t="str">
        <f t="shared" si="285"/>
        <v/>
      </c>
      <c r="W2224" s="348" t="str">
        <f t="shared" si="286"/>
        <v/>
      </c>
      <c r="X2224" s="348" t="str">
        <f t="shared" si="287"/>
        <v/>
      </c>
    </row>
    <row r="2225" spans="1:24" x14ac:dyDescent="0.2">
      <c r="A2225" s="407">
        <v>2217</v>
      </c>
      <c r="B2225" s="438"/>
      <c r="C2225" s="438"/>
      <c r="D2225" s="438"/>
      <c r="E2225" s="438"/>
      <c r="F2225" s="438"/>
      <c r="G2225" s="438"/>
      <c r="H2225" s="438"/>
      <c r="I2225" s="438"/>
      <c r="J2225" s="11"/>
      <c r="Q2225" s="348" t="str">
        <f t="shared" si="280"/>
        <v/>
      </c>
      <c r="R2225" s="348" t="str">
        <f t="shared" si="281"/>
        <v/>
      </c>
      <c r="S2225" s="348" t="str">
        <f t="shared" si="282"/>
        <v/>
      </c>
      <c r="T2225" s="348" t="str">
        <f t="shared" si="283"/>
        <v/>
      </c>
      <c r="U2225" s="348" t="str">
        <f t="shared" si="284"/>
        <v/>
      </c>
      <c r="V2225" s="348" t="str">
        <f t="shared" si="285"/>
        <v/>
      </c>
      <c r="W2225" s="348" t="str">
        <f t="shared" si="286"/>
        <v/>
      </c>
      <c r="X2225" s="348" t="str">
        <f t="shared" si="287"/>
        <v/>
      </c>
    </row>
    <row r="2226" spans="1:24" x14ac:dyDescent="0.2">
      <c r="A2226" s="407">
        <v>2218</v>
      </c>
      <c r="B2226" s="438"/>
      <c r="C2226" s="438"/>
      <c r="D2226" s="438"/>
      <c r="E2226" s="438"/>
      <c r="F2226" s="438"/>
      <c r="G2226" s="438"/>
      <c r="H2226" s="438"/>
      <c r="I2226" s="438"/>
      <c r="J2226" s="11"/>
      <c r="Q2226" s="348" t="str">
        <f t="shared" si="280"/>
        <v/>
      </c>
      <c r="R2226" s="348" t="str">
        <f t="shared" si="281"/>
        <v/>
      </c>
      <c r="S2226" s="348" t="str">
        <f t="shared" si="282"/>
        <v/>
      </c>
      <c r="T2226" s="348" t="str">
        <f t="shared" si="283"/>
        <v/>
      </c>
      <c r="U2226" s="348" t="str">
        <f t="shared" si="284"/>
        <v/>
      </c>
      <c r="V2226" s="348" t="str">
        <f t="shared" si="285"/>
        <v/>
      </c>
      <c r="W2226" s="348" t="str">
        <f t="shared" si="286"/>
        <v/>
      </c>
      <c r="X2226" s="348" t="str">
        <f t="shared" si="287"/>
        <v/>
      </c>
    </row>
    <row r="2227" spans="1:24" x14ac:dyDescent="0.2">
      <c r="A2227" s="407">
        <v>2219</v>
      </c>
      <c r="B2227" s="438"/>
      <c r="C2227" s="438"/>
      <c r="D2227" s="438"/>
      <c r="E2227" s="438"/>
      <c r="F2227" s="438"/>
      <c r="G2227" s="438"/>
      <c r="H2227" s="438"/>
      <c r="I2227" s="438"/>
      <c r="J2227" s="11"/>
      <c r="Q2227" s="348" t="str">
        <f t="shared" si="280"/>
        <v/>
      </c>
      <c r="R2227" s="348" t="str">
        <f t="shared" si="281"/>
        <v/>
      </c>
      <c r="S2227" s="348" t="str">
        <f t="shared" si="282"/>
        <v/>
      </c>
      <c r="T2227" s="348" t="str">
        <f t="shared" si="283"/>
        <v/>
      </c>
      <c r="U2227" s="348" t="str">
        <f t="shared" si="284"/>
        <v/>
      </c>
      <c r="V2227" s="348" t="str">
        <f t="shared" si="285"/>
        <v/>
      </c>
      <c r="W2227" s="348" t="str">
        <f t="shared" si="286"/>
        <v/>
      </c>
      <c r="X2227" s="348" t="str">
        <f t="shared" si="287"/>
        <v/>
      </c>
    </row>
    <row r="2228" spans="1:24" x14ac:dyDescent="0.2">
      <c r="A2228" s="407">
        <v>2220</v>
      </c>
      <c r="B2228" s="438"/>
      <c r="C2228" s="438"/>
      <c r="D2228" s="438"/>
      <c r="E2228" s="438"/>
      <c r="F2228" s="438"/>
      <c r="G2228" s="438"/>
      <c r="H2228" s="438"/>
      <c r="I2228" s="438"/>
      <c r="J2228" s="11"/>
      <c r="Q2228" s="348" t="str">
        <f t="shared" si="280"/>
        <v/>
      </c>
      <c r="R2228" s="348" t="str">
        <f t="shared" si="281"/>
        <v/>
      </c>
      <c r="S2228" s="348" t="str">
        <f t="shared" si="282"/>
        <v/>
      </c>
      <c r="T2228" s="348" t="str">
        <f t="shared" si="283"/>
        <v/>
      </c>
      <c r="U2228" s="348" t="str">
        <f t="shared" si="284"/>
        <v/>
      </c>
      <c r="V2228" s="348" t="str">
        <f t="shared" si="285"/>
        <v/>
      </c>
      <c r="W2228" s="348" t="str">
        <f t="shared" si="286"/>
        <v/>
      </c>
      <c r="X2228" s="348" t="str">
        <f t="shared" si="287"/>
        <v/>
      </c>
    </row>
    <row r="2229" spans="1:24" x14ac:dyDescent="0.2">
      <c r="A2229" s="407">
        <v>2221</v>
      </c>
      <c r="B2229" s="438"/>
      <c r="C2229" s="438"/>
      <c r="D2229" s="438"/>
      <c r="E2229" s="438"/>
      <c r="F2229" s="438"/>
      <c r="G2229" s="438"/>
      <c r="H2229" s="438"/>
      <c r="I2229" s="438"/>
      <c r="J2229" s="11"/>
      <c r="Q2229" s="348" t="str">
        <f t="shared" si="280"/>
        <v/>
      </c>
      <c r="R2229" s="348" t="str">
        <f t="shared" si="281"/>
        <v/>
      </c>
      <c r="S2229" s="348" t="str">
        <f t="shared" si="282"/>
        <v/>
      </c>
      <c r="T2229" s="348" t="str">
        <f t="shared" si="283"/>
        <v/>
      </c>
      <c r="U2229" s="348" t="str">
        <f t="shared" si="284"/>
        <v/>
      </c>
      <c r="V2229" s="348" t="str">
        <f t="shared" si="285"/>
        <v/>
      </c>
      <c r="W2229" s="348" t="str">
        <f t="shared" si="286"/>
        <v/>
      </c>
      <c r="X2229" s="348" t="str">
        <f t="shared" si="287"/>
        <v/>
      </c>
    </row>
    <row r="2230" spans="1:24" x14ac:dyDescent="0.2">
      <c r="A2230" s="407">
        <v>2222</v>
      </c>
      <c r="B2230" s="438"/>
      <c r="C2230" s="438"/>
      <c r="D2230" s="438"/>
      <c r="E2230" s="438"/>
      <c r="F2230" s="438"/>
      <c r="G2230" s="438"/>
      <c r="H2230" s="438"/>
      <c r="I2230" s="438"/>
      <c r="J2230" s="11"/>
      <c r="Q2230" s="348" t="str">
        <f t="shared" si="280"/>
        <v/>
      </c>
      <c r="R2230" s="348" t="str">
        <f t="shared" si="281"/>
        <v/>
      </c>
      <c r="S2230" s="348" t="str">
        <f t="shared" si="282"/>
        <v/>
      </c>
      <c r="T2230" s="348" t="str">
        <f t="shared" si="283"/>
        <v/>
      </c>
      <c r="U2230" s="348" t="str">
        <f t="shared" si="284"/>
        <v/>
      </c>
      <c r="V2230" s="348" t="str">
        <f t="shared" si="285"/>
        <v/>
      </c>
      <c r="W2230" s="348" t="str">
        <f t="shared" si="286"/>
        <v/>
      </c>
      <c r="X2230" s="348" t="str">
        <f t="shared" si="287"/>
        <v/>
      </c>
    </row>
    <row r="2231" spans="1:24" x14ac:dyDescent="0.2">
      <c r="A2231" s="407">
        <v>2223</v>
      </c>
      <c r="B2231" s="438"/>
      <c r="C2231" s="438"/>
      <c r="D2231" s="438"/>
      <c r="E2231" s="438"/>
      <c r="F2231" s="438"/>
      <c r="G2231" s="438"/>
      <c r="H2231" s="438"/>
      <c r="I2231" s="438"/>
      <c r="J2231" s="11"/>
      <c r="Q2231" s="348" t="str">
        <f t="shared" si="280"/>
        <v/>
      </c>
      <c r="R2231" s="348" t="str">
        <f t="shared" si="281"/>
        <v/>
      </c>
      <c r="S2231" s="348" t="str">
        <f t="shared" si="282"/>
        <v/>
      </c>
      <c r="T2231" s="348" t="str">
        <f t="shared" si="283"/>
        <v/>
      </c>
      <c r="U2231" s="348" t="str">
        <f t="shared" si="284"/>
        <v/>
      </c>
      <c r="V2231" s="348" t="str">
        <f t="shared" si="285"/>
        <v/>
      </c>
      <c r="W2231" s="348" t="str">
        <f t="shared" si="286"/>
        <v/>
      </c>
      <c r="X2231" s="348" t="str">
        <f t="shared" si="287"/>
        <v/>
      </c>
    </row>
    <row r="2232" spans="1:24" x14ac:dyDescent="0.2">
      <c r="A2232" s="407">
        <v>2224</v>
      </c>
      <c r="B2232" s="438"/>
      <c r="C2232" s="438"/>
      <c r="D2232" s="437"/>
      <c r="E2232" s="438"/>
      <c r="F2232" s="438"/>
      <c r="G2232" s="438"/>
      <c r="H2232" s="438"/>
      <c r="I2232" s="438"/>
      <c r="J2232" s="11"/>
      <c r="Q2232" s="348" t="str">
        <f t="shared" si="280"/>
        <v/>
      </c>
      <c r="R2232" s="348" t="str">
        <f t="shared" si="281"/>
        <v/>
      </c>
      <c r="S2232" s="348" t="str">
        <f t="shared" si="282"/>
        <v/>
      </c>
      <c r="T2232" s="348" t="str">
        <f t="shared" si="283"/>
        <v/>
      </c>
      <c r="U2232" s="348" t="str">
        <f t="shared" si="284"/>
        <v/>
      </c>
      <c r="V2232" s="348" t="str">
        <f t="shared" si="285"/>
        <v/>
      </c>
      <c r="W2232" s="348" t="str">
        <f t="shared" si="286"/>
        <v/>
      </c>
      <c r="X2232" s="348" t="str">
        <f t="shared" si="287"/>
        <v/>
      </c>
    </row>
    <row r="2233" spans="1:24" x14ac:dyDescent="0.2">
      <c r="A2233" s="407">
        <v>2225</v>
      </c>
      <c r="B2233" s="437"/>
      <c r="C2233" s="438"/>
      <c r="D2233" s="438"/>
      <c r="E2233" s="438"/>
      <c r="F2233" s="438"/>
      <c r="G2233" s="438"/>
      <c r="H2233" s="438"/>
      <c r="I2233" s="437"/>
      <c r="J2233" s="11"/>
      <c r="Q2233" s="348" t="str">
        <f t="shared" si="280"/>
        <v/>
      </c>
      <c r="R2233" s="348" t="str">
        <f t="shared" si="281"/>
        <v/>
      </c>
      <c r="S2233" s="348" t="str">
        <f t="shared" si="282"/>
        <v/>
      </c>
      <c r="T2233" s="348" t="str">
        <f t="shared" si="283"/>
        <v/>
      </c>
      <c r="U2233" s="348" t="str">
        <f t="shared" si="284"/>
        <v/>
      </c>
      <c r="V2233" s="348" t="str">
        <f t="shared" si="285"/>
        <v/>
      </c>
      <c r="W2233" s="348" t="str">
        <f t="shared" si="286"/>
        <v/>
      </c>
      <c r="X2233" s="348" t="str">
        <f t="shared" si="287"/>
        <v/>
      </c>
    </row>
    <row r="2234" spans="1:24" x14ac:dyDescent="0.2">
      <c r="A2234" s="407">
        <v>2226</v>
      </c>
      <c r="B2234" s="438"/>
      <c r="C2234" s="438"/>
      <c r="D2234" s="438"/>
      <c r="E2234" s="437"/>
      <c r="F2234" s="437"/>
      <c r="G2234" s="437"/>
      <c r="H2234" s="437"/>
      <c r="I2234" s="438"/>
      <c r="J2234" s="11"/>
      <c r="Q2234" s="348" t="str">
        <f t="shared" si="280"/>
        <v/>
      </c>
      <c r="R2234" s="348" t="str">
        <f t="shared" si="281"/>
        <v/>
      </c>
      <c r="S2234" s="348" t="str">
        <f t="shared" si="282"/>
        <v/>
      </c>
      <c r="T2234" s="348" t="str">
        <f t="shared" si="283"/>
        <v/>
      </c>
      <c r="U2234" s="348" t="str">
        <f t="shared" si="284"/>
        <v/>
      </c>
      <c r="V2234" s="348" t="str">
        <f t="shared" si="285"/>
        <v/>
      </c>
      <c r="W2234" s="348" t="str">
        <f t="shared" si="286"/>
        <v/>
      </c>
      <c r="X2234" s="348" t="str">
        <f t="shared" si="287"/>
        <v/>
      </c>
    </row>
    <row r="2235" spans="1:24" x14ac:dyDescent="0.2">
      <c r="A2235" s="407">
        <v>2227</v>
      </c>
      <c r="B2235" s="438"/>
      <c r="C2235" s="438"/>
      <c r="D2235" s="438"/>
      <c r="E2235" s="438"/>
      <c r="F2235" s="438"/>
      <c r="G2235" s="438"/>
      <c r="H2235" s="438"/>
      <c r="I2235" s="438"/>
      <c r="J2235" s="11"/>
      <c r="Q2235" s="348" t="str">
        <f t="shared" si="280"/>
        <v/>
      </c>
      <c r="R2235" s="348" t="str">
        <f t="shared" si="281"/>
        <v/>
      </c>
      <c r="S2235" s="348" t="str">
        <f t="shared" si="282"/>
        <v/>
      </c>
      <c r="T2235" s="348" t="str">
        <f t="shared" si="283"/>
        <v/>
      </c>
      <c r="U2235" s="348" t="str">
        <f t="shared" si="284"/>
        <v/>
      </c>
      <c r="V2235" s="348" t="str">
        <f t="shared" si="285"/>
        <v/>
      </c>
      <c r="W2235" s="348" t="str">
        <f t="shared" si="286"/>
        <v/>
      </c>
      <c r="X2235" s="348" t="str">
        <f t="shared" si="287"/>
        <v/>
      </c>
    </row>
    <row r="2236" spans="1:24" x14ac:dyDescent="0.2">
      <c r="A2236" s="407">
        <v>2228</v>
      </c>
      <c r="B2236" s="438"/>
      <c r="C2236" s="438"/>
      <c r="D2236" s="438"/>
      <c r="E2236" s="438"/>
      <c r="F2236" s="438"/>
      <c r="G2236" s="438"/>
      <c r="H2236" s="438"/>
      <c r="I2236" s="438"/>
      <c r="J2236" s="11"/>
      <c r="Q2236" s="348" t="str">
        <f t="shared" si="280"/>
        <v/>
      </c>
      <c r="R2236" s="348" t="str">
        <f t="shared" si="281"/>
        <v/>
      </c>
      <c r="S2236" s="348" t="str">
        <f t="shared" si="282"/>
        <v/>
      </c>
      <c r="T2236" s="348" t="str">
        <f t="shared" si="283"/>
        <v/>
      </c>
      <c r="U2236" s="348" t="str">
        <f t="shared" si="284"/>
        <v/>
      </c>
      <c r="V2236" s="348" t="str">
        <f t="shared" si="285"/>
        <v/>
      </c>
      <c r="W2236" s="348" t="str">
        <f t="shared" si="286"/>
        <v/>
      </c>
      <c r="X2236" s="348" t="str">
        <f t="shared" si="287"/>
        <v/>
      </c>
    </row>
    <row r="2237" spans="1:24" x14ac:dyDescent="0.2">
      <c r="A2237" s="407">
        <v>2229</v>
      </c>
      <c r="B2237" s="438"/>
      <c r="C2237" s="438"/>
      <c r="D2237" s="438"/>
      <c r="E2237" s="438"/>
      <c r="F2237" s="438"/>
      <c r="G2237" s="438"/>
      <c r="H2237" s="438"/>
      <c r="I2237" s="438"/>
      <c r="J2237" s="11"/>
      <c r="Q2237" s="348" t="str">
        <f t="shared" si="280"/>
        <v/>
      </c>
      <c r="R2237" s="348" t="str">
        <f t="shared" si="281"/>
        <v/>
      </c>
      <c r="S2237" s="348" t="str">
        <f t="shared" si="282"/>
        <v/>
      </c>
      <c r="T2237" s="348" t="str">
        <f t="shared" si="283"/>
        <v/>
      </c>
      <c r="U2237" s="348" t="str">
        <f t="shared" si="284"/>
        <v/>
      </c>
      <c r="V2237" s="348" t="str">
        <f t="shared" si="285"/>
        <v/>
      </c>
      <c r="W2237" s="348" t="str">
        <f t="shared" si="286"/>
        <v/>
      </c>
      <c r="X2237" s="348" t="str">
        <f t="shared" si="287"/>
        <v/>
      </c>
    </row>
    <row r="2238" spans="1:24" x14ac:dyDescent="0.2">
      <c r="A2238" s="407">
        <v>2230</v>
      </c>
      <c r="B2238" s="438"/>
      <c r="C2238" s="438"/>
      <c r="D2238" s="438"/>
      <c r="E2238" s="438"/>
      <c r="F2238" s="438"/>
      <c r="G2238" s="438"/>
      <c r="H2238" s="438"/>
      <c r="I2238" s="438"/>
      <c r="J2238" s="11"/>
      <c r="Q2238" s="348" t="str">
        <f t="shared" si="280"/>
        <v/>
      </c>
      <c r="R2238" s="348" t="str">
        <f t="shared" si="281"/>
        <v/>
      </c>
      <c r="S2238" s="348" t="str">
        <f t="shared" si="282"/>
        <v/>
      </c>
      <c r="T2238" s="348" t="str">
        <f t="shared" si="283"/>
        <v/>
      </c>
      <c r="U2238" s="348" t="str">
        <f t="shared" si="284"/>
        <v/>
      </c>
      <c r="V2238" s="348" t="str">
        <f t="shared" si="285"/>
        <v/>
      </c>
      <c r="W2238" s="348" t="str">
        <f t="shared" si="286"/>
        <v/>
      </c>
      <c r="X2238" s="348" t="str">
        <f t="shared" si="287"/>
        <v/>
      </c>
    </row>
    <row r="2239" spans="1:24" x14ac:dyDescent="0.2">
      <c r="A2239" s="407">
        <v>2231</v>
      </c>
      <c r="B2239" s="438"/>
      <c r="C2239" s="438"/>
      <c r="D2239" s="438"/>
      <c r="E2239" s="438"/>
      <c r="F2239" s="438"/>
      <c r="G2239" s="438"/>
      <c r="H2239" s="438"/>
      <c r="I2239" s="438"/>
      <c r="J2239" s="11"/>
      <c r="Q2239" s="348" t="str">
        <f t="shared" si="280"/>
        <v/>
      </c>
      <c r="R2239" s="348" t="str">
        <f t="shared" si="281"/>
        <v/>
      </c>
      <c r="S2239" s="348" t="str">
        <f t="shared" si="282"/>
        <v/>
      </c>
      <c r="T2239" s="348" t="str">
        <f t="shared" si="283"/>
        <v/>
      </c>
      <c r="U2239" s="348" t="str">
        <f t="shared" si="284"/>
        <v/>
      </c>
      <c r="V2239" s="348" t="str">
        <f t="shared" si="285"/>
        <v/>
      </c>
      <c r="W2239" s="348" t="str">
        <f t="shared" si="286"/>
        <v/>
      </c>
      <c r="X2239" s="348" t="str">
        <f t="shared" si="287"/>
        <v/>
      </c>
    </row>
    <row r="2240" spans="1:24" x14ac:dyDescent="0.2">
      <c r="A2240" s="407">
        <v>2232</v>
      </c>
      <c r="B2240" s="438"/>
      <c r="C2240" s="438"/>
      <c r="D2240" s="438"/>
      <c r="E2240" s="438"/>
      <c r="F2240" s="438"/>
      <c r="G2240" s="438"/>
      <c r="H2240" s="438"/>
      <c r="I2240" s="438"/>
      <c r="J2240" s="11"/>
      <c r="Q2240" s="348" t="str">
        <f t="shared" si="280"/>
        <v/>
      </c>
      <c r="R2240" s="348" t="str">
        <f t="shared" si="281"/>
        <v/>
      </c>
      <c r="S2240" s="348" t="str">
        <f t="shared" si="282"/>
        <v/>
      </c>
      <c r="T2240" s="348" t="str">
        <f t="shared" si="283"/>
        <v/>
      </c>
      <c r="U2240" s="348" t="str">
        <f t="shared" si="284"/>
        <v/>
      </c>
      <c r="V2240" s="348" t="str">
        <f t="shared" si="285"/>
        <v/>
      </c>
      <c r="W2240" s="348" t="str">
        <f t="shared" si="286"/>
        <v/>
      </c>
      <c r="X2240" s="348" t="str">
        <f t="shared" si="287"/>
        <v/>
      </c>
    </row>
    <row r="2241" spans="1:24" x14ac:dyDescent="0.2">
      <c r="A2241" s="407">
        <v>2233</v>
      </c>
      <c r="B2241" s="438"/>
      <c r="C2241" s="438"/>
      <c r="D2241" s="438"/>
      <c r="E2241" s="438"/>
      <c r="F2241" s="438"/>
      <c r="G2241" s="438"/>
      <c r="H2241" s="438"/>
      <c r="I2241" s="438"/>
      <c r="J2241" s="11"/>
      <c r="Q2241" s="348" t="str">
        <f t="shared" si="280"/>
        <v/>
      </c>
      <c r="R2241" s="348" t="str">
        <f t="shared" si="281"/>
        <v/>
      </c>
      <c r="S2241" s="348" t="str">
        <f t="shared" si="282"/>
        <v/>
      </c>
      <c r="T2241" s="348" t="str">
        <f t="shared" si="283"/>
        <v/>
      </c>
      <c r="U2241" s="348" t="str">
        <f t="shared" si="284"/>
        <v/>
      </c>
      <c r="V2241" s="348" t="str">
        <f t="shared" si="285"/>
        <v/>
      </c>
      <c r="W2241" s="348" t="str">
        <f t="shared" si="286"/>
        <v/>
      </c>
      <c r="X2241" s="348" t="str">
        <f t="shared" si="287"/>
        <v/>
      </c>
    </row>
    <row r="2242" spans="1:24" x14ac:dyDescent="0.2">
      <c r="A2242" s="407">
        <v>2234</v>
      </c>
      <c r="B2242" s="438"/>
      <c r="C2242" s="438"/>
      <c r="D2242" s="438"/>
      <c r="E2242" s="438"/>
      <c r="F2242" s="438"/>
      <c r="G2242" s="438"/>
      <c r="H2242" s="438"/>
      <c r="I2242" s="438"/>
      <c r="J2242" s="11"/>
      <c r="Q2242" s="348" t="str">
        <f t="shared" si="280"/>
        <v/>
      </c>
      <c r="R2242" s="348" t="str">
        <f t="shared" si="281"/>
        <v/>
      </c>
      <c r="S2242" s="348" t="str">
        <f t="shared" si="282"/>
        <v/>
      </c>
      <c r="T2242" s="348" t="str">
        <f t="shared" si="283"/>
        <v/>
      </c>
      <c r="U2242" s="348" t="str">
        <f t="shared" si="284"/>
        <v/>
      </c>
      <c r="V2242" s="348" t="str">
        <f t="shared" si="285"/>
        <v/>
      </c>
      <c r="W2242" s="348" t="str">
        <f t="shared" si="286"/>
        <v/>
      </c>
      <c r="X2242" s="348" t="str">
        <f t="shared" si="287"/>
        <v/>
      </c>
    </row>
    <row r="2243" spans="1:24" x14ac:dyDescent="0.2">
      <c r="A2243" s="407">
        <v>2235</v>
      </c>
      <c r="B2243" s="438"/>
      <c r="C2243" s="438"/>
      <c r="D2243" s="438"/>
      <c r="E2243" s="438"/>
      <c r="F2243" s="438"/>
      <c r="G2243" s="438"/>
      <c r="H2243" s="438"/>
      <c r="I2243" s="438"/>
      <c r="J2243" s="11"/>
      <c r="Q2243" s="348" t="str">
        <f t="shared" si="280"/>
        <v/>
      </c>
      <c r="R2243" s="348" t="str">
        <f t="shared" si="281"/>
        <v/>
      </c>
      <c r="S2243" s="348" t="str">
        <f t="shared" si="282"/>
        <v/>
      </c>
      <c r="T2243" s="348" t="str">
        <f t="shared" si="283"/>
        <v/>
      </c>
      <c r="U2243" s="348" t="str">
        <f t="shared" si="284"/>
        <v/>
      </c>
      <c r="V2243" s="348" t="str">
        <f t="shared" si="285"/>
        <v/>
      </c>
      <c r="W2243" s="348" t="str">
        <f t="shared" si="286"/>
        <v/>
      </c>
      <c r="X2243" s="348" t="str">
        <f t="shared" si="287"/>
        <v/>
      </c>
    </row>
    <row r="2244" spans="1:24" x14ac:dyDescent="0.2">
      <c r="A2244" s="407">
        <v>2236</v>
      </c>
      <c r="B2244" s="438"/>
      <c r="C2244" s="437"/>
      <c r="D2244" s="438"/>
      <c r="E2244" s="438"/>
      <c r="F2244" s="438"/>
      <c r="G2244" s="438"/>
      <c r="H2244" s="438"/>
      <c r="I2244" s="438"/>
      <c r="J2244" s="11"/>
      <c r="Q2244" s="348" t="str">
        <f t="shared" si="280"/>
        <v/>
      </c>
      <c r="R2244" s="348" t="str">
        <f t="shared" si="281"/>
        <v/>
      </c>
      <c r="S2244" s="348" t="str">
        <f t="shared" si="282"/>
        <v/>
      </c>
      <c r="T2244" s="348" t="str">
        <f t="shared" si="283"/>
        <v/>
      </c>
      <c r="U2244" s="348" t="str">
        <f t="shared" si="284"/>
        <v/>
      </c>
      <c r="V2244" s="348" t="str">
        <f t="shared" si="285"/>
        <v/>
      </c>
      <c r="W2244" s="348" t="str">
        <f t="shared" si="286"/>
        <v/>
      </c>
      <c r="X2244" s="348" t="str">
        <f t="shared" si="287"/>
        <v/>
      </c>
    </row>
    <row r="2245" spans="1:24" x14ac:dyDescent="0.2">
      <c r="A2245" s="407">
        <v>2237</v>
      </c>
      <c r="B2245" s="438"/>
      <c r="C2245" s="438"/>
      <c r="D2245" s="438"/>
      <c r="E2245" s="438"/>
      <c r="F2245" s="438"/>
      <c r="G2245" s="438"/>
      <c r="H2245" s="438"/>
      <c r="I2245" s="438"/>
      <c r="J2245" s="11"/>
      <c r="Q2245" s="348" t="str">
        <f t="shared" si="280"/>
        <v/>
      </c>
      <c r="R2245" s="348" t="str">
        <f t="shared" si="281"/>
        <v/>
      </c>
      <c r="S2245" s="348" t="str">
        <f t="shared" si="282"/>
        <v/>
      </c>
      <c r="T2245" s="348" t="str">
        <f t="shared" si="283"/>
        <v/>
      </c>
      <c r="U2245" s="348" t="str">
        <f t="shared" si="284"/>
        <v/>
      </c>
      <c r="V2245" s="348" t="str">
        <f t="shared" si="285"/>
        <v/>
      </c>
      <c r="W2245" s="348" t="str">
        <f t="shared" si="286"/>
        <v/>
      </c>
      <c r="X2245" s="348" t="str">
        <f t="shared" si="287"/>
        <v/>
      </c>
    </row>
    <row r="2246" spans="1:24" x14ac:dyDescent="0.2">
      <c r="A2246" s="407">
        <v>2238</v>
      </c>
      <c r="B2246" s="438"/>
      <c r="C2246" s="438"/>
      <c r="D2246" s="438"/>
      <c r="E2246" s="438"/>
      <c r="F2246" s="438"/>
      <c r="G2246" s="438"/>
      <c r="H2246" s="438"/>
      <c r="I2246" s="438"/>
      <c r="J2246" s="11"/>
      <c r="Q2246" s="348" t="str">
        <f t="shared" si="280"/>
        <v/>
      </c>
      <c r="R2246" s="348" t="str">
        <f t="shared" si="281"/>
        <v/>
      </c>
      <c r="S2246" s="348" t="str">
        <f t="shared" si="282"/>
        <v/>
      </c>
      <c r="T2246" s="348" t="str">
        <f t="shared" si="283"/>
        <v/>
      </c>
      <c r="U2246" s="348" t="str">
        <f t="shared" si="284"/>
        <v/>
      </c>
      <c r="V2246" s="348" t="str">
        <f t="shared" si="285"/>
        <v/>
      </c>
      <c r="W2246" s="348" t="str">
        <f t="shared" si="286"/>
        <v/>
      </c>
      <c r="X2246" s="348" t="str">
        <f t="shared" si="287"/>
        <v/>
      </c>
    </row>
    <row r="2247" spans="1:24" x14ac:dyDescent="0.2">
      <c r="A2247" s="407">
        <v>2239</v>
      </c>
      <c r="B2247" s="438"/>
      <c r="C2247" s="438"/>
      <c r="D2247" s="438"/>
      <c r="E2247" s="438"/>
      <c r="F2247" s="438"/>
      <c r="G2247" s="438"/>
      <c r="H2247" s="438"/>
      <c r="I2247" s="438"/>
      <c r="J2247" s="11"/>
      <c r="Q2247" s="348" t="str">
        <f t="shared" si="280"/>
        <v/>
      </c>
      <c r="R2247" s="348" t="str">
        <f t="shared" si="281"/>
        <v/>
      </c>
      <c r="S2247" s="348" t="str">
        <f t="shared" si="282"/>
        <v/>
      </c>
      <c r="T2247" s="348" t="str">
        <f t="shared" si="283"/>
        <v/>
      </c>
      <c r="U2247" s="348" t="str">
        <f t="shared" si="284"/>
        <v/>
      </c>
      <c r="V2247" s="348" t="str">
        <f t="shared" si="285"/>
        <v/>
      </c>
      <c r="W2247" s="348" t="str">
        <f t="shared" si="286"/>
        <v/>
      </c>
      <c r="X2247" s="348" t="str">
        <f t="shared" si="287"/>
        <v/>
      </c>
    </row>
    <row r="2248" spans="1:24" x14ac:dyDescent="0.2">
      <c r="A2248" s="407">
        <v>2240</v>
      </c>
      <c r="B2248" s="438"/>
      <c r="C2248" s="438"/>
      <c r="D2248" s="438"/>
      <c r="E2248" s="438"/>
      <c r="F2248" s="438"/>
      <c r="G2248" s="438"/>
      <c r="H2248" s="438"/>
      <c r="I2248" s="438"/>
      <c r="J2248" s="11"/>
      <c r="Q2248" s="348" t="str">
        <f t="shared" si="280"/>
        <v/>
      </c>
      <c r="R2248" s="348" t="str">
        <f t="shared" si="281"/>
        <v/>
      </c>
      <c r="S2248" s="348" t="str">
        <f t="shared" si="282"/>
        <v/>
      </c>
      <c r="T2248" s="348" t="str">
        <f t="shared" si="283"/>
        <v/>
      </c>
      <c r="U2248" s="348" t="str">
        <f t="shared" si="284"/>
        <v/>
      </c>
      <c r="V2248" s="348" t="str">
        <f t="shared" si="285"/>
        <v/>
      </c>
      <c r="W2248" s="348" t="str">
        <f t="shared" si="286"/>
        <v/>
      </c>
      <c r="X2248" s="348" t="str">
        <f t="shared" si="287"/>
        <v/>
      </c>
    </row>
    <row r="2249" spans="1:24" x14ac:dyDescent="0.2">
      <c r="A2249" s="407">
        <v>2241</v>
      </c>
      <c r="B2249" s="438"/>
      <c r="C2249" s="438"/>
      <c r="D2249" s="438"/>
      <c r="E2249" s="438"/>
      <c r="F2249" s="438"/>
      <c r="G2249" s="438"/>
      <c r="H2249" s="438"/>
      <c r="I2249" s="438"/>
      <c r="J2249" s="11"/>
      <c r="Q2249" s="348" t="str">
        <f t="shared" si="280"/>
        <v/>
      </c>
      <c r="R2249" s="348" t="str">
        <f t="shared" si="281"/>
        <v/>
      </c>
      <c r="S2249" s="348" t="str">
        <f t="shared" si="282"/>
        <v/>
      </c>
      <c r="T2249" s="348" t="str">
        <f t="shared" si="283"/>
        <v/>
      </c>
      <c r="U2249" s="348" t="str">
        <f t="shared" si="284"/>
        <v/>
      </c>
      <c r="V2249" s="348" t="str">
        <f t="shared" si="285"/>
        <v/>
      </c>
      <c r="W2249" s="348" t="str">
        <f t="shared" si="286"/>
        <v/>
      </c>
      <c r="X2249" s="348" t="str">
        <f t="shared" si="287"/>
        <v/>
      </c>
    </row>
    <row r="2250" spans="1:24" x14ac:dyDescent="0.2">
      <c r="A2250" s="407">
        <v>2242</v>
      </c>
      <c r="B2250" s="438"/>
      <c r="C2250" s="438"/>
      <c r="D2250" s="438"/>
      <c r="E2250" s="438"/>
      <c r="F2250" s="438"/>
      <c r="G2250" s="438"/>
      <c r="H2250" s="438"/>
      <c r="I2250" s="438"/>
      <c r="J2250" s="11"/>
      <c r="Q2250" s="348" t="str">
        <f t="shared" ref="Q2250:Q2313" si="288">IFERROR(B2250^4*$AB$9+B2250^3*$AC$9+B2250^2*$AD$9+B2250^1*$AE$9+B2250^0*$AF$9,"")</f>
        <v/>
      </c>
      <c r="R2250" s="348" t="str">
        <f t="shared" ref="R2250:R2313" si="289">IFERROR(C2250^4*$AB$10+C2250^3*$AC$10+C2250^2*$AD$10+C2250^1*$AE$10+C2250^0*$AF$10,"")</f>
        <v/>
      </c>
      <c r="S2250" s="348" t="str">
        <f t="shared" ref="S2250:S2313" si="290">IFERROR(D2250^4*$AB$11+D2250^3*$AC$11+D2250^2*$AD$11+D2250^1*$AE$11+D2250^0*$AF$11,"")</f>
        <v/>
      </c>
      <c r="T2250" s="348" t="str">
        <f t="shared" ref="T2250:T2313" si="291">IFERROR(E2250^4*$AB$12+E2250^3*$AC$12+E2250^2*$AD$12+E2250^1*$AE$12+E2250^0*$AF$12,"")</f>
        <v/>
      </c>
      <c r="U2250" s="348" t="str">
        <f t="shared" ref="U2250:U2313" si="292">IFERROR(F2250^4*$AB$13+F2250^3*$AC$13+F2250^2*$AD$13+F2250^1*$AE$13+F2250^0*$AF$13,"")</f>
        <v/>
      </c>
      <c r="V2250" s="348" t="str">
        <f t="shared" ref="V2250:V2313" si="293">IFERROR(G2250^4*$AB$14+G2250^3*$AC$14+G2250^2*$AD$14+G2250^1*$AE$14+G2250^0*$AF$14,"")</f>
        <v/>
      </c>
      <c r="W2250" s="348" t="str">
        <f t="shared" ref="W2250:W2313" si="294">IFERROR(H2250^4*$AB$15+H2250^3*$AC$15+H2250^2*$AD$15+H2250^1*$AE$15+H2250^0*$AF$15,"")</f>
        <v/>
      </c>
      <c r="X2250" s="348" t="str">
        <f t="shared" ref="X2250:X2313" si="295">IFERROR(I2250^4*$AB$16+I2250^3*$AC$16+I2250^2*$AD$16+I2250^1*$AE$16+I2250^0*$AF$16,"")</f>
        <v/>
      </c>
    </row>
    <row r="2251" spans="1:24" x14ac:dyDescent="0.2">
      <c r="A2251" s="407">
        <v>2243</v>
      </c>
      <c r="B2251" s="438"/>
      <c r="C2251" s="438"/>
      <c r="D2251" s="438"/>
      <c r="E2251" s="438"/>
      <c r="F2251" s="438"/>
      <c r="G2251" s="438"/>
      <c r="H2251" s="438"/>
      <c r="I2251" s="438"/>
      <c r="J2251" s="11"/>
      <c r="Q2251" s="348" t="str">
        <f t="shared" si="288"/>
        <v/>
      </c>
      <c r="R2251" s="348" t="str">
        <f t="shared" si="289"/>
        <v/>
      </c>
      <c r="S2251" s="348" t="str">
        <f t="shared" si="290"/>
        <v/>
      </c>
      <c r="T2251" s="348" t="str">
        <f t="shared" si="291"/>
        <v/>
      </c>
      <c r="U2251" s="348" t="str">
        <f t="shared" si="292"/>
        <v/>
      </c>
      <c r="V2251" s="348" t="str">
        <f t="shared" si="293"/>
        <v/>
      </c>
      <c r="W2251" s="348" t="str">
        <f t="shared" si="294"/>
        <v/>
      </c>
      <c r="X2251" s="348" t="str">
        <f t="shared" si="295"/>
        <v/>
      </c>
    </row>
    <row r="2252" spans="1:24" x14ac:dyDescent="0.2">
      <c r="A2252" s="407">
        <v>2244</v>
      </c>
      <c r="B2252" s="437"/>
      <c r="C2252" s="438"/>
      <c r="D2252" s="438"/>
      <c r="E2252" s="438"/>
      <c r="F2252" s="438"/>
      <c r="G2252" s="438"/>
      <c r="H2252" s="438"/>
      <c r="I2252" s="438"/>
      <c r="J2252" s="11"/>
      <c r="Q2252" s="348" t="str">
        <f t="shared" si="288"/>
        <v/>
      </c>
      <c r="R2252" s="348" t="str">
        <f t="shared" si="289"/>
        <v/>
      </c>
      <c r="S2252" s="348" t="str">
        <f t="shared" si="290"/>
        <v/>
      </c>
      <c r="T2252" s="348" t="str">
        <f t="shared" si="291"/>
        <v/>
      </c>
      <c r="U2252" s="348" t="str">
        <f t="shared" si="292"/>
        <v/>
      </c>
      <c r="V2252" s="348" t="str">
        <f t="shared" si="293"/>
        <v/>
      </c>
      <c r="W2252" s="348" t="str">
        <f t="shared" si="294"/>
        <v/>
      </c>
      <c r="X2252" s="348" t="str">
        <f t="shared" si="295"/>
        <v/>
      </c>
    </row>
    <row r="2253" spans="1:24" x14ac:dyDescent="0.2">
      <c r="A2253" s="407">
        <v>2245</v>
      </c>
      <c r="B2253" s="438"/>
      <c r="C2253" s="438"/>
      <c r="D2253" s="438"/>
      <c r="E2253" s="438"/>
      <c r="F2253" s="438"/>
      <c r="G2253" s="438"/>
      <c r="H2253" s="438"/>
      <c r="I2253" s="438"/>
      <c r="J2253" s="11"/>
      <c r="Q2253" s="348" t="str">
        <f t="shared" si="288"/>
        <v/>
      </c>
      <c r="R2253" s="348" t="str">
        <f t="shared" si="289"/>
        <v/>
      </c>
      <c r="S2253" s="348" t="str">
        <f t="shared" si="290"/>
        <v/>
      </c>
      <c r="T2253" s="348" t="str">
        <f t="shared" si="291"/>
        <v/>
      </c>
      <c r="U2253" s="348" t="str">
        <f t="shared" si="292"/>
        <v/>
      </c>
      <c r="V2253" s="348" t="str">
        <f t="shared" si="293"/>
        <v/>
      </c>
      <c r="W2253" s="348" t="str">
        <f t="shared" si="294"/>
        <v/>
      </c>
      <c r="X2253" s="348" t="str">
        <f t="shared" si="295"/>
        <v/>
      </c>
    </row>
    <row r="2254" spans="1:24" x14ac:dyDescent="0.2">
      <c r="A2254" s="407">
        <v>2246</v>
      </c>
      <c r="B2254" s="438"/>
      <c r="C2254" s="438"/>
      <c r="D2254" s="438"/>
      <c r="E2254" s="438"/>
      <c r="F2254" s="438"/>
      <c r="G2254" s="438"/>
      <c r="H2254" s="438"/>
      <c r="I2254" s="438"/>
      <c r="J2254" s="11"/>
      <c r="Q2254" s="348" t="str">
        <f t="shared" si="288"/>
        <v/>
      </c>
      <c r="R2254" s="348" t="str">
        <f t="shared" si="289"/>
        <v/>
      </c>
      <c r="S2254" s="348" t="str">
        <f t="shared" si="290"/>
        <v/>
      </c>
      <c r="T2254" s="348" t="str">
        <f t="shared" si="291"/>
        <v/>
      </c>
      <c r="U2254" s="348" t="str">
        <f t="shared" si="292"/>
        <v/>
      </c>
      <c r="V2254" s="348" t="str">
        <f t="shared" si="293"/>
        <v/>
      </c>
      <c r="W2254" s="348" t="str">
        <f t="shared" si="294"/>
        <v/>
      </c>
      <c r="X2254" s="348" t="str">
        <f t="shared" si="295"/>
        <v/>
      </c>
    </row>
    <row r="2255" spans="1:24" x14ac:dyDescent="0.2">
      <c r="A2255" s="407">
        <v>2247</v>
      </c>
      <c r="B2255" s="438"/>
      <c r="C2255" s="438"/>
      <c r="D2255" s="438"/>
      <c r="E2255" s="438"/>
      <c r="F2255" s="438"/>
      <c r="G2255" s="438"/>
      <c r="H2255" s="438"/>
      <c r="I2255" s="438"/>
      <c r="J2255" s="11"/>
      <c r="Q2255" s="348" t="str">
        <f t="shared" si="288"/>
        <v/>
      </c>
      <c r="R2255" s="348" t="str">
        <f t="shared" si="289"/>
        <v/>
      </c>
      <c r="S2255" s="348" t="str">
        <f t="shared" si="290"/>
        <v/>
      </c>
      <c r="T2255" s="348" t="str">
        <f t="shared" si="291"/>
        <v/>
      </c>
      <c r="U2255" s="348" t="str">
        <f t="shared" si="292"/>
        <v/>
      </c>
      <c r="V2255" s="348" t="str">
        <f t="shared" si="293"/>
        <v/>
      </c>
      <c r="W2255" s="348" t="str">
        <f t="shared" si="294"/>
        <v/>
      </c>
      <c r="X2255" s="348" t="str">
        <f t="shared" si="295"/>
        <v/>
      </c>
    </row>
    <row r="2256" spans="1:24" x14ac:dyDescent="0.2">
      <c r="A2256" s="407">
        <v>2248</v>
      </c>
      <c r="B2256" s="438"/>
      <c r="C2256" s="438"/>
      <c r="D2256" s="438"/>
      <c r="E2256" s="438"/>
      <c r="F2256" s="438"/>
      <c r="G2256" s="438"/>
      <c r="H2256" s="438"/>
      <c r="I2256" s="438"/>
      <c r="J2256" s="11"/>
      <c r="Q2256" s="348" t="str">
        <f t="shared" si="288"/>
        <v/>
      </c>
      <c r="R2256" s="348" t="str">
        <f t="shared" si="289"/>
        <v/>
      </c>
      <c r="S2256" s="348" t="str">
        <f t="shared" si="290"/>
        <v/>
      </c>
      <c r="T2256" s="348" t="str">
        <f t="shared" si="291"/>
        <v/>
      </c>
      <c r="U2256" s="348" t="str">
        <f t="shared" si="292"/>
        <v/>
      </c>
      <c r="V2256" s="348" t="str">
        <f t="shared" si="293"/>
        <v/>
      </c>
      <c r="W2256" s="348" t="str">
        <f t="shared" si="294"/>
        <v/>
      </c>
      <c r="X2256" s="348" t="str">
        <f t="shared" si="295"/>
        <v/>
      </c>
    </row>
    <row r="2257" spans="1:24" x14ac:dyDescent="0.2">
      <c r="A2257" s="407">
        <v>2249</v>
      </c>
      <c r="B2257" s="438"/>
      <c r="C2257" s="438"/>
      <c r="D2257" s="438"/>
      <c r="E2257" s="438"/>
      <c r="F2257" s="438"/>
      <c r="G2257" s="438"/>
      <c r="H2257" s="438"/>
      <c r="I2257" s="438"/>
      <c r="J2257" s="11"/>
      <c r="Q2257" s="348" t="str">
        <f t="shared" si="288"/>
        <v/>
      </c>
      <c r="R2257" s="348" t="str">
        <f t="shared" si="289"/>
        <v/>
      </c>
      <c r="S2257" s="348" t="str">
        <f t="shared" si="290"/>
        <v/>
      </c>
      <c r="T2257" s="348" t="str">
        <f t="shared" si="291"/>
        <v/>
      </c>
      <c r="U2257" s="348" t="str">
        <f t="shared" si="292"/>
        <v/>
      </c>
      <c r="V2257" s="348" t="str">
        <f t="shared" si="293"/>
        <v/>
      </c>
      <c r="W2257" s="348" t="str">
        <f t="shared" si="294"/>
        <v/>
      </c>
      <c r="X2257" s="348" t="str">
        <f t="shared" si="295"/>
        <v/>
      </c>
    </row>
    <row r="2258" spans="1:24" x14ac:dyDescent="0.2">
      <c r="A2258" s="407">
        <v>2250</v>
      </c>
      <c r="B2258" s="438"/>
      <c r="C2258" s="437"/>
      <c r="D2258" s="438"/>
      <c r="E2258" s="438"/>
      <c r="F2258" s="438"/>
      <c r="G2258" s="438"/>
      <c r="H2258" s="438"/>
      <c r="I2258" s="437"/>
      <c r="J2258" s="11"/>
      <c r="Q2258" s="348" t="str">
        <f t="shared" si="288"/>
        <v/>
      </c>
      <c r="R2258" s="348" t="str">
        <f t="shared" si="289"/>
        <v/>
      </c>
      <c r="S2258" s="348" t="str">
        <f t="shared" si="290"/>
        <v/>
      </c>
      <c r="T2258" s="348" t="str">
        <f t="shared" si="291"/>
        <v/>
      </c>
      <c r="U2258" s="348" t="str">
        <f t="shared" si="292"/>
        <v/>
      </c>
      <c r="V2258" s="348" t="str">
        <f t="shared" si="293"/>
        <v/>
      </c>
      <c r="W2258" s="348" t="str">
        <f t="shared" si="294"/>
        <v/>
      </c>
      <c r="X2258" s="348" t="str">
        <f t="shared" si="295"/>
        <v/>
      </c>
    </row>
    <row r="2259" spans="1:24" x14ac:dyDescent="0.2">
      <c r="A2259" s="407">
        <v>2251</v>
      </c>
      <c r="B2259" s="438"/>
      <c r="C2259" s="438"/>
      <c r="D2259" s="438"/>
      <c r="E2259" s="437"/>
      <c r="F2259" s="438"/>
      <c r="G2259" s="438"/>
      <c r="H2259" s="438"/>
      <c r="I2259" s="438"/>
      <c r="J2259" s="11"/>
      <c r="Q2259" s="348" t="str">
        <f t="shared" si="288"/>
        <v/>
      </c>
      <c r="R2259" s="348" t="str">
        <f t="shared" si="289"/>
        <v/>
      </c>
      <c r="S2259" s="348" t="str">
        <f t="shared" si="290"/>
        <v/>
      </c>
      <c r="T2259" s="348" t="str">
        <f t="shared" si="291"/>
        <v/>
      </c>
      <c r="U2259" s="348" t="str">
        <f t="shared" si="292"/>
        <v/>
      </c>
      <c r="V2259" s="348" t="str">
        <f t="shared" si="293"/>
        <v/>
      </c>
      <c r="W2259" s="348" t="str">
        <f t="shared" si="294"/>
        <v/>
      </c>
      <c r="X2259" s="348" t="str">
        <f t="shared" si="295"/>
        <v/>
      </c>
    </row>
    <row r="2260" spans="1:24" x14ac:dyDescent="0.2">
      <c r="A2260" s="407">
        <v>2252</v>
      </c>
      <c r="B2260" s="438"/>
      <c r="C2260" s="438"/>
      <c r="D2260" s="437"/>
      <c r="E2260" s="438"/>
      <c r="F2260" s="438"/>
      <c r="G2260" s="438"/>
      <c r="H2260" s="438"/>
      <c r="I2260" s="438"/>
      <c r="J2260" s="11"/>
      <c r="Q2260" s="348" t="str">
        <f t="shared" si="288"/>
        <v/>
      </c>
      <c r="R2260" s="348" t="str">
        <f t="shared" si="289"/>
        <v/>
      </c>
      <c r="S2260" s="348" t="str">
        <f t="shared" si="290"/>
        <v/>
      </c>
      <c r="T2260" s="348" t="str">
        <f t="shared" si="291"/>
        <v/>
      </c>
      <c r="U2260" s="348" t="str">
        <f t="shared" si="292"/>
        <v/>
      </c>
      <c r="V2260" s="348" t="str">
        <f t="shared" si="293"/>
        <v/>
      </c>
      <c r="W2260" s="348" t="str">
        <f t="shared" si="294"/>
        <v/>
      </c>
      <c r="X2260" s="348" t="str">
        <f t="shared" si="295"/>
        <v/>
      </c>
    </row>
    <row r="2261" spans="1:24" x14ac:dyDescent="0.2">
      <c r="A2261" s="407">
        <v>2253</v>
      </c>
      <c r="B2261" s="438"/>
      <c r="C2261" s="438"/>
      <c r="D2261" s="438"/>
      <c r="E2261" s="438"/>
      <c r="F2261" s="438"/>
      <c r="G2261" s="438"/>
      <c r="H2261" s="438"/>
      <c r="I2261" s="438"/>
      <c r="J2261" s="11"/>
      <c r="Q2261" s="348" t="str">
        <f t="shared" si="288"/>
        <v/>
      </c>
      <c r="R2261" s="348" t="str">
        <f t="shared" si="289"/>
        <v/>
      </c>
      <c r="S2261" s="348" t="str">
        <f t="shared" si="290"/>
        <v/>
      </c>
      <c r="T2261" s="348" t="str">
        <f t="shared" si="291"/>
        <v/>
      </c>
      <c r="U2261" s="348" t="str">
        <f t="shared" si="292"/>
        <v/>
      </c>
      <c r="V2261" s="348" t="str">
        <f t="shared" si="293"/>
        <v/>
      </c>
      <c r="W2261" s="348" t="str">
        <f t="shared" si="294"/>
        <v/>
      </c>
      <c r="X2261" s="348" t="str">
        <f t="shared" si="295"/>
        <v/>
      </c>
    </row>
    <row r="2262" spans="1:24" x14ac:dyDescent="0.2">
      <c r="A2262" s="407">
        <v>2254</v>
      </c>
      <c r="B2262" s="437"/>
      <c r="C2262" s="438"/>
      <c r="D2262" s="438"/>
      <c r="E2262" s="438"/>
      <c r="F2262" s="438"/>
      <c r="G2262" s="438"/>
      <c r="H2262" s="438"/>
      <c r="I2262" s="438"/>
      <c r="J2262" s="11"/>
      <c r="Q2262" s="348" t="str">
        <f t="shared" si="288"/>
        <v/>
      </c>
      <c r="R2262" s="348" t="str">
        <f t="shared" si="289"/>
        <v/>
      </c>
      <c r="S2262" s="348" t="str">
        <f t="shared" si="290"/>
        <v/>
      </c>
      <c r="T2262" s="348" t="str">
        <f t="shared" si="291"/>
        <v/>
      </c>
      <c r="U2262" s="348" t="str">
        <f t="shared" si="292"/>
        <v/>
      </c>
      <c r="V2262" s="348" t="str">
        <f t="shared" si="293"/>
        <v/>
      </c>
      <c r="W2262" s="348" t="str">
        <f t="shared" si="294"/>
        <v/>
      </c>
      <c r="X2262" s="348" t="str">
        <f t="shared" si="295"/>
        <v/>
      </c>
    </row>
    <row r="2263" spans="1:24" x14ac:dyDescent="0.2">
      <c r="A2263" s="407">
        <v>2255</v>
      </c>
      <c r="B2263" s="438"/>
      <c r="C2263" s="438"/>
      <c r="D2263" s="438"/>
      <c r="E2263" s="438"/>
      <c r="F2263" s="438"/>
      <c r="G2263" s="438"/>
      <c r="H2263" s="438"/>
      <c r="I2263" s="438"/>
      <c r="J2263" s="11"/>
      <c r="Q2263" s="348" t="str">
        <f t="shared" si="288"/>
        <v/>
      </c>
      <c r="R2263" s="348" t="str">
        <f t="shared" si="289"/>
        <v/>
      </c>
      <c r="S2263" s="348" t="str">
        <f t="shared" si="290"/>
        <v/>
      </c>
      <c r="T2263" s="348" t="str">
        <f t="shared" si="291"/>
        <v/>
      </c>
      <c r="U2263" s="348" t="str">
        <f t="shared" si="292"/>
        <v/>
      </c>
      <c r="V2263" s="348" t="str">
        <f t="shared" si="293"/>
        <v/>
      </c>
      <c r="W2263" s="348" t="str">
        <f t="shared" si="294"/>
        <v/>
      </c>
      <c r="X2263" s="348" t="str">
        <f t="shared" si="295"/>
        <v/>
      </c>
    </row>
    <row r="2264" spans="1:24" x14ac:dyDescent="0.2">
      <c r="A2264" s="407">
        <v>2256</v>
      </c>
      <c r="B2264" s="438"/>
      <c r="C2264" s="438"/>
      <c r="D2264" s="438"/>
      <c r="E2264" s="438"/>
      <c r="F2264" s="438"/>
      <c r="G2264" s="438"/>
      <c r="H2264" s="438"/>
      <c r="I2264" s="438"/>
      <c r="J2264" s="11"/>
      <c r="Q2264" s="348" t="str">
        <f t="shared" si="288"/>
        <v/>
      </c>
      <c r="R2264" s="348" t="str">
        <f t="shared" si="289"/>
        <v/>
      </c>
      <c r="S2264" s="348" t="str">
        <f t="shared" si="290"/>
        <v/>
      </c>
      <c r="T2264" s="348" t="str">
        <f t="shared" si="291"/>
        <v/>
      </c>
      <c r="U2264" s="348" t="str">
        <f t="shared" si="292"/>
        <v/>
      </c>
      <c r="V2264" s="348" t="str">
        <f t="shared" si="293"/>
        <v/>
      </c>
      <c r="W2264" s="348" t="str">
        <f t="shared" si="294"/>
        <v/>
      </c>
      <c r="X2264" s="348" t="str">
        <f t="shared" si="295"/>
        <v/>
      </c>
    </row>
    <row r="2265" spans="1:24" x14ac:dyDescent="0.2">
      <c r="A2265" s="407">
        <v>2257</v>
      </c>
      <c r="B2265" s="438"/>
      <c r="C2265" s="438"/>
      <c r="D2265" s="438"/>
      <c r="E2265" s="438"/>
      <c r="F2265" s="438"/>
      <c r="G2265" s="438"/>
      <c r="H2265" s="438"/>
      <c r="I2265" s="438"/>
      <c r="J2265" s="11"/>
      <c r="Q2265" s="348" t="str">
        <f t="shared" si="288"/>
        <v/>
      </c>
      <c r="R2265" s="348" t="str">
        <f t="shared" si="289"/>
        <v/>
      </c>
      <c r="S2265" s="348" t="str">
        <f t="shared" si="290"/>
        <v/>
      </c>
      <c r="T2265" s="348" t="str">
        <f t="shared" si="291"/>
        <v/>
      </c>
      <c r="U2265" s="348" t="str">
        <f t="shared" si="292"/>
        <v/>
      </c>
      <c r="V2265" s="348" t="str">
        <f t="shared" si="293"/>
        <v/>
      </c>
      <c r="W2265" s="348" t="str">
        <f t="shared" si="294"/>
        <v/>
      </c>
      <c r="X2265" s="348" t="str">
        <f t="shared" si="295"/>
        <v/>
      </c>
    </row>
    <row r="2266" spans="1:24" x14ac:dyDescent="0.2">
      <c r="A2266" s="407">
        <v>2258</v>
      </c>
      <c r="B2266" s="438"/>
      <c r="C2266" s="438"/>
      <c r="D2266" s="438"/>
      <c r="E2266" s="438"/>
      <c r="F2266" s="438"/>
      <c r="G2266" s="438"/>
      <c r="H2266" s="438"/>
      <c r="I2266" s="438"/>
      <c r="J2266" s="11"/>
      <c r="Q2266" s="348" t="str">
        <f t="shared" si="288"/>
        <v/>
      </c>
      <c r="R2266" s="348" t="str">
        <f t="shared" si="289"/>
        <v/>
      </c>
      <c r="S2266" s="348" t="str">
        <f t="shared" si="290"/>
        <v/>
      </c>
      <c r="T2266" s="348" t="str">
        <f t="shared" si="291"/>
        <v/>
      </c>
      <c r="U2266" s="348" t="str">
        <f t="shared" si="292"/>
        <v/>
      </c>
      <c r="V2266" s="348" t="str">
        <f t="shared" si="293"/>
        <v/>
      </c>
      <c r="W2266" s="348" t="str">
        <f t="shared" si="294"/>
        <v/>
      </c>
      <c r="X2266" s="348" t="str">
        <f t="shared" si="295"/>
        <v/>
      </c>
    </row>
    <row r="2267" spans="1:24" x14ac:dyDescent="0.2">
      <c r="A2267" s="407">
        <v>2259</v>
      </c>
      <c r="B2267" s="438"/>
      <c r="C2267" s="438"/>
      <c r="D2267" s="438"/>
      <c r="E2267" s="438"/>
      <c r="F2267" s="438"/>
      <c r="G2267" s="438"/>
      <c r="H2267" s="438"/>
      <c r="I2267" s="438"/>
      <c r="J2267" s="11"/>
      <c r="Q2267" s="348" t="str">
        <f t="shared" si="288"/>
        <v/>
      </c>
      <c r="R2267" s="348" t="str">
        <f t="shared" si="289"/>
        <v/>
      </c>
      <c r="S2267" s="348" t="str">
        <f t="shared" si="290"/>
        <v/>
      </c>
      <c r="T2267" s="348" t="str">
        <f t="shared" si="291"/>
        <v/>
      </c>
      <c r="U2267" s="348" t="str">
        <f t="shared" si="292"/>
        <v/>
      </c>
      <c r="V2267" s="348" t="str">
        <f t="shared" si="293"/>
        <v/>
      </c>
      <c r="W2267" s="348" t="str">
        <f t="shared" si="294"/>
        <v/>
      </c>
      <c r="X2267" s="348" t="str">
        <f t="shared" si="295"/>
        <v/>
      </c>
    </row>
    <row r="2268" spans="1:24" x14ac:dyDescent="0.2">
      <c r="A2268" s="407">
        <v>2260</v>
      </c>
      <c r="B2268" s="438"/>
      <c r="C2268" s="438"/>
      <c r="D2268" s="438"/>
      <c r="E2268" s="438"/>
      <c r="F2268" s="438"/>
      <c r="G2268" s="438"/>
      <c r="H2268" s="438"/>
      <c r="I2268" s="438"/>
      <c r="J2268" s="11"/>
      <c r="Q2268" s="348" t="str">
        <f t="shared" si="288"/>
        <v/>
      </c>
      <c r="R2268" s="348" t="str">
        <f t="shared" si="289"/>
        <v/>
      </c>
      <c r="S2268" s="348" t="str">
        <f t="shared" si="290"/>
        <v/>
      </c>
      <c r="T2268" s="348" t="str">
        <f t="shared" si="291"/>
        <v/>
      </c>
      <c r="U2268" s="348" t="str">
        <f t="shared" si="292"/>
        <v/>
      </c>
      <c r="V2268" s="348" t="str">
        <f t="shared" si="293"/>
        <v/>
      </c>
      <c r="W2268" s="348" t="str">
        <f t="shared" si="294"/>
        <v/>
      </c>
      <c r="X2268" s="348" t="str">
        <f t="shared" si="295"/>
        <v/>
      </c>
    </row>
    <row r="2269" spans="1:24" x14ac:dyDescent="0.2">
      <c r="A2269" s="407">
        <v>2261</v>
      </c>
      <c r="B2269" s="438"/>
      <c r="C2269" s="438"/>
      <c r="D2269" s="438"/>
      <c r="E2269" s="438"/>
      <c r="F2269" s="438"/>
      <c r="G2269" s="438"/>
      <c r="H2269" s="438"/>
      <c r="I2269" s="438"/>
      <c r="J2269" s="11"/>
      <c r="Q2269" s="348" t="str">
        <f t="shared" si="288"/>
        <v/>
      </c>
      <c r="R2269" s="348" t="str">
        <f t="shared" si="289"/>
        <v/>
      </c>
      <c r="S2269" s="348" t="str">
        <f t="shared" si="290"/>
        <v/>
      </c>
      <c r="T2269" s="348" t="str">
        <f t="shared" si="291"/>
        <v/>
      </c>
      <c r="U2269" s="348" t="str">
        <f t="shared" si="292"/>
        <v/>
      </c>
      <c r="V2269" s="348" t="str">
        <f t="shared" si="293"/>
        <v/>
      </c>
      <c r="W2269" s="348" t="str">
        <f t="shared" si="294"/>
        <v/>
      </c>
      <c r="X2269" s="348" t="str">
        <f t="shared" si="295"/>
        <v/>
      </c>
    </row>
    <row r="2270" spans="1:24" x14ac:dyDescent="0.2">
      <c r="A2270" s="407">
        <v>2262</v>
      </c>
      <c r="B2270" s="438"/>
      <c r="C2270" s="438"/>
      <c r="D2270" s="438"/>
      <c r="E2270" s="438"/>
      <c r="F2270" s="438"/>
      <c r="G2270" s="437"/>
      <c r="H2270" s="438"/>
      <c r="I2270" s="438"/>
      <c r="J2270" s="11"/>
      <c r="Q2270" s="348" t="str">
        <f t="shared" si="288"/>
        <v/>
      </c>
      <c r="R2270" s="348" t="str">
        <f t="shared" si="289"/>
        <v/>
      </c>
      <c r="S2270" s="348" t="str">
        <f t="shared" si="290"/>
        <v/>
      </c>
      <c r="T2270" s="348" t="str">
        <f t="shared" si="291"/>
        <v/>
      </c>
      <c r="U2270" s="348" t="str">
        <f t="shared" si="292"/>
        <v/>
      </c>
      <c r="V2270" s="348" t="str">
        <f t="shared" si="293"/>
        <v/>
      </c>
      <c r="W2270" s="348" t="str">
        <f t="shared" si="294"/>
        <v/>
      </c>
      <c r="X2270" s="348" t="str">
        <f t="shared" si="295"/>
        <v/>
      </c>
    </row>
    <row r="2271" spans="1:24" x14ac:dyDescent="0.2">
      <c r="A2271" s="407">
        <v>2263</v>
      </c>
      <c r="B2271" s="438"/>
      <c r="C2271" s="438"/>
      <c r="D2271" s="438"/>
      <c r="E2271" s="438"/>
      <c r="F2271" s="438"/>
      <c r="G2271" s="438"/>
      <c r="H2271" s="438"/>
      <c r="I2271" s="438"/>
      <c r="J2271" s="11"/>
      <c r="Q2271" s="348" t="str">
        <f t="shared" si="288"/>
        <v/>
      </c>
      <c r="R2271" s="348" t="str">
        <f t="shared" si="289"/>
        <v/>
      </c>
      <c r="S2271" s="348" t="str">
        <f t="shared" si="290"/>
        <v/>
      </c>
      <c r="T2271" s="348" t="str">
        <f t="shared" si="291"/>
        <v/>
      </c>
      <c r="U2271" s="348" t="str">
        <f t="shared" si="292"/>
        <v/>
      </c>
      <c r="V2271" s="348" t="str">
        <f t="shared" si="293"/>
        <v/>
      </c>
      <c r="W2271" s="348" t="str">
        <f t="shared" si="294"/>
        <v/>
      </c>
      <c r="X2271" s="348" t="str">
        <f t="shared" si="295"/>
        <v/>
      </c>
    </row>
    <row r="2272" spans="1:24" x14ac:dyDescent="0.2">
      <c r="A2272" s="407">
        <v>2264</v>
      </c>
      <c r="B2272" s="438"/>
      <c r="C2272" s="437"/>
      <c r="D2272" s="438"/>
      <c r="E2272" s="438"/>
      <c r="F2272" s="437"/>
      <c r="G2272" s="438"/>
      <c r="H2272" s="437"/>
      <c r="I2272" s="438"/>
      <c r="J2272" s="11"/>
      <c r="Q2272" s="348" t="str">
        <f t="shared" si="288"/>
        <v/>
      </c>
      <c r="R2272" s="348" t="str">
        <f t="shared" si="289"/>
        <v/>
      </c>
      <c r="S2272" s="348" t="str">
        <f t="shared" si="290"/>
        <v/>
      </c>
      <c r="T2272" s="348" t="str">
        <f t="shared" si="291"/>
        <v/>
      </c>
      <c r="U2272" s="348" t="str">
        <f t="shared" si="292"/>
        <v/>
      </c>
      <c r="V2272" s="348" t="str">
        <f t="shared" si="293"/>
        <v/>
      </c>
      <c r="W2272" s="348" t="str">
        <f t="shared" si="294"/>
        <v/>
      </c>
      <c r="X2272" s="348" t="str">
        <f t="shared" si="295"/>
        <v/>
      </c>
    </row>
    <row r="2273" spans="1:24" x14ac:dyDescent="0.2">
      <c r="A2273" s="407">
        <v>2265</v>
      </c>
      <c r="B2273" s="438"/>
      <c r="C2273" s="438"/>
      <c r="D2273" s="438"/>
      <c r="E2273" s="438"/>
      <c r="F2273" s="438"/>
      <c r="G2273" s="438"/>
      <c r="H2273" s="438"/>
      <c r="I2273" s="438"/>
      <c r="J2273" s="11"/>
      <c r="Q2273" s="348" t="str">
        <f t="shared" si="288"/>
        <v/>
      </c>
      <c r="R2273" s="348" t="str">
        <f t="shared" si="289"/>
        <v/>
      </c>
      <c r="S2273" s="348" t="str">
        <f t="shared" si="290"/>
        <v/>
      </c>
      <c r="T2273" s="348" t="str">
        <f t="shared" si="291"/>
        <v/>
      </c>
      <c r="U2273" s="348" t="str">
        <f t="shared" si="292"/>
        <v/>
      </c>
      <c r="V2273" s="348" t="str">
        <f t="shared" si="293"/>
        <v/>
      </c>
      <c r="W2273" s="348" t="str">
        <f t="shared" si="294"/>
        <v/>
      </c>
      <c r="X2273" s="348" t="str">
        <f t="shared" si="295"/>
        <v/>
      </c>
    </row>
    <row r="2274" spans="1:24" x14ac:dyDescent="0.2">
      <c r="A2274" s="407">
        <v>2266</v>
      </c>
      <c r="B2274" s="438"/>
      <c r="C2274" s="438"/>
      <c r="D2274" s="438"/>
      <c r="E2274" s="438"/>
      <c r="F2274" s="438"/>
      <c r="G2274" s="438"/>
      <c r="H2274" s="438"/>
      <c r="I2274" s="438"/>
      <c r="J2274" s="11"/>
      <c r="Q2274" s="348" t="str">
        <f t="shared" si="288"/>
        <v/>
      </c>
      <c r="R2274" s="348" t="str">
        <f t="shared" si="289"/>
        <v/>
      </c>
      <c r="S2274" s="348" t="str">
        <f t="shared" si="290"/>
        <v/>
      </c>
      <c r="T2274" s="348" t="str">
        <f t="shared" si="291"/>
        <v/>
      </c>
      <c r="U2274" s="348" t="str">
        <f t="shared" si="292"/>
        <v/>
      </c>
      <c r="V2274" s="348" t="str">
        <f t="shared" si="293"/>
        <v/>
      </c>
      <c r="W2274" s="348" t="str">
        <f t="shared" si="294"/>
        <v/>
      </c>
      <c r="X2274" s="348" t="str">
        <f t="shared" si="295"/>
        <v/>
      </c>
    </row>
    <row r="2275" spans="1:24" x14ac:dyDescent="0.2">
      <c r="A2275" s="407">
        <v>2267</v>
      </c>
      <c r="B2275" s="438"/>
      <c r="C2275" s="438"/>
      <c r="D2275" s="438"/>
      <c r="E2275" s="438"/>
      <c r="F2275" s="438"/>
      <c r="G2275" s="438"/>
      <c r="H2275" s="438"/>
      <c r="I2275" s="438"/>
      <c r="J2275" s="11"/>
      <c r="Q2275" s="348" t="str">
        <f t="shared" si="288"/>
        <v/>
      </c>
      <c r="R2275" s="348" t="str">
        <f t="shared" si="289"/>
        <v/>
      </c>
      <c r="S2275" s="348" t="str">
        <f t="shared" si="290"/>
        <v/>
      </c>
      <c r="T2275" s="348" t="str">
        <f t="shared" si="291"/>
        <v/>
      </c>
      <c r="U2275" s="348" t="str">
        <f t="shared" si="292"/>
        <v/>
      </c>
      <c r="V2275" s="348" t="str">
        <f t="shared" si="293"/>
        <v/>
      </c>
      <c r="W2275" s="348" t="str">
        <f t="shared" si="294"/>
        <v/>
      </c>
      <c r="X2275" s="348" t="str">
        <f t="shared" si="295"/>
        <v/>
      </c>
    </row>
    <row r="2276" spans="1:24" x14ac:dyDescent="0.2">
      <c r="A2276" s="407">
        <v>2268</v>
      </c>
      <c r="B2276" s="437"/>
      <c r="C2276" s="438"/>
      <c r="D2276" s="438"/>
      <c r="E2276" s="438"/>
      <c r="F2276" s="438"/>
      <c r="G2276" s="438"/>
      <c r="H2276" s="438"/>
      <c r="I2276" s="438"/>
      <c r="J2276" s="11"/>
      <c r="Q2276" s="348" t="str">
        <f t="shared" si="288"/>
        <v/>
      </c>
      <c r="R2276" s="348" t="str">
        <f t="shared" si="289"/>
        <v/>
      </c>
      <c r="S2276" s="348" t="str">
        <f t="shared" si="290"/>
        <v/>
      </c>
      <c r="T2276" s="348" t="str">
        <f t="shared" si="291"/>
        <v/>
      </c>
      <c r="U2276" s="348" t="str">
        <f t="shared" si="292"/>
        <v/>
      </c>
      <c r="V2276" s="348" t="str">
        <f t="shared" si="293"/>
        <v/>
      </c>
      <c r="W2276" s="348" t="str">
        <f t="shared" si="294"/>
        <v/>
      </c>
      <c r="X2276" s="348" t="str">
        <f t="shared" si="295"/>
        <v/>
      </c>
    </row>
    <row r="2277" spans="1:24" x14ac:dyDescent="0.2">
      <c r="A2277" s="407">
        <v>2269</v>
      </c>
      <c r="B2277" s="438"/>
      <c r="C2277" s="438"/>
      <c r="D2277" s="438"/>
      <c r="E2277" s="437"/>
      <c r="F2277" s="438"/>
      <c r="G2277" s="438"/>
      <c r="H2277" s="438"/>
      <c r="I2277" s="438"/>
      <c r="J2277" s="11"/>
      <c r="Q2277" s="348" t="str">
        <f t="shared" si="288"/>
        <v/>
      </c>
      <c r="R2277" s="348" t="str">
        <f t="shared" si="289"/>
        <v/>
      </c>
      <c r="S2277" s="348" t="str">
        <f t="shared" si="290"/>
        <v/>
      </c>
      <c r="T2277" s="348" t="str">
        <f t="shared" si="291"/>
        <v/>
      </c>
      <c r="U2277" s="348" t="str">
        <f t="shared" si="292"/>
        <v/>
      </c>
      <c r="V2277" s="348" t="str">
        <f t="shared" si="293"/>
        <v/>
      </c>
      <c r="W2277" s="348" t="str">
        <f t="shared" si="294"/>
        <v/>
      </c>
      <c r="X2277" s="348" t="str">
        <f t="shared" si="295"/>
        <v/>
      </c>
    </row>
    <row r="2278" spans="1:24" x14ac:dyDescent="0.2">
      <c r="A2278" s="407">
        <v>2270</v>
      </c>
      <c r="B2278" s="438"/>
      <c r="C2278" s="438"/>
      <c r="D2278" s="438"/>
      <c r="E2278" s="438"/>
      <c r="F2278" s="438"/>
      <c r="G2278" s="438"/>
      <c r="H2278" s="438"/>
      <c r="I2278" s="438"/>
      <c r="J2278" s="11"/>
      <c r="Q2278" s="348" t="str">
        <f t="shared" si="288"/>
        <v/>
      </c>
      <c r="R2278" s="348" t="str">
        <f t="shared" si="289"/>
        <v/>
      </c>
      <c r="S2278" s="348" t="str">
        <f t="shared" si="290"/>
        <v/>
      </c>
      <c r="T2278" s="348" t="str">
        <f t="shared" si="291"/>
        <v/>
      </c>
      <c r="U2278" s="348" t="str">
        <f t="shared" si="292"/>
        <v/>
      </c>
      <c r="V2278" s="348" t="str">
        <f t="shared" si="293"/>
        <v/>
      </c>
      <c r="W2278" s="348" t="str">
        <f t="shared" si="294"/>
        <v/>
      </c>
      <c r="X2278" s="348" t="str">
        <f t="shared" si="295"/>
        <v/>
      </c>
    </row>
    <row r="2279" spans="1:24" x14ac:dyDescent="0.2">
      <c r="A2279" s="407">
        <v>2271</v>
      </c>
      <c r="B2279" s="438"/>
      <c r="C2279" s="438"/>
      <c r="D2279" s="438"/>
      <c r="E2279" s="438"/>
      <c r="F2279" s="438"/>
      <c r="G2279" s="438"/>
      <c r="H2279" s="438"/>
      <c r="I2279" s="438"/>
      <c r="J2279" s="11"/>
      <c r="Q2279" s="348" t="str">
        <f t="shared" si="288"/>
        <v/>
      </c>
      <c r="R2279" s="348" t="str">
        <f t="shared" si="289"/>
        <v/>
      </c>
      <c r="S2279" s="348" t="str">
        <f t="shared" si="290"/>
        <v/>
      </c>
      <c r="T2279" s="348" t="str">
        <f t="shared" si="291"/>
        <v/>
      </c>
      <c r="U2279" s="348" t="str">
        <f t="shared" si="292"/>
        <v/>
      </c>
      <c r="V2279" s="348" t="str">
        <f t="shared" si="293"/>
        <v/>
      </c>
      <c r="W2279" s="348" t="str">
        <f t="shared" si="294"/>
        <v/>
      </c>
      <c r="X2279" s="348" t="str">
        <f t="shared" si="295"/>
        <v/>
      </c>
    </row>
    <row r="2280" spans="1:24" x14ac:dyDescent="0.2">
      <c r="A2280" s="407">
        <v>2272</v>
      </c>
      <c r="B2280" s="438"/>
      <c r="C2280" s="438"/>
      <c r="D2280" s="438"/>
      <c r="E2280" s="438"/>
      <c r="F2280" s="438"/>
      <c r="G2280" s="438"/>
      <c r="H2280" s="438"/>
      <c r="I2280" s="438"/>
      <c r="J2280" s="11"/>
      <c r="Q2280" s="348" t="str">
        <f t="shared" si="288"/>
        <v/>
      </c>
      <c r="R2280" s="348" t="str">
        <f t="shared" si="289"/>
        <v/>
      </c>
      <c r="S2280" s="348" t="str">
        <f t="shared" si="290"/>
        <v/>
      </c>
      <c r="T2280" s="348" t="str">
        <f t="shared" si="291"/>
        <v/>
      </c>
      <c r="U2280" s="348" t="str">
        <f t="shared" si="292"/>
        <v/>
      </c>
      <c r="V2280" s="348" t="str">
        <f t="shared" si="293"/>
        <v/>
      </c>
      <c r="W2280" s="348" t="str">
        <f t="shared" si="294"/>
        <v/>
      </c>
      <c r="X2280" s="348" t="str">
        <f t="shared" si="295"/>
        <v/>
      </c>
    </row>
    <row r="2281" spans="1:24" x14ac:dyDescent="0.2">
      <c r="A2281" s="407">
        <v>2273</v>
      </c>
      <c r="B2281" s="438"/>
      <c r="C2281" s="438"/>
      <c r="D2281" s="438"/>
      <c r="E2281" s="438"/>
      <c r="F2281" s="438"/>
      <c r="G2281" s="438"/>
      <c r="H2281" s="438"/>
      <c r="I2281" s="438"/>
      <c r="J2281" s="11"/>
      <c r="Q2281" s="348" t="str">
        <f t="shared" si="288"/>
        <v/>
      </c>
      <c r="R2281" s="348" t="str">
        <f t="shared" si="289"/>
        <v/>
      </c>
      <c r="S2281" s="348" t="str">
        <f t="shared" si="290"/>
        <v/>
      </c>
      <c r="T2281" s="348" t="str">
        <f t="shared" si="291"/>
        <v/>
      </c>
      <c r="U2281" s="348" t="str">
        <f t="shared" si="292"/>
        <v/>
      </c>
      <c r="V2281" s="348" t="str">
        <f t="shared" si="293"/>
        <v/>
      </c>
      <c r="W2281" s="348" t="str">
        <f t="shared" si="294"/>
        <v/>
      </c>
      <c r="X2281" s="348" t="str">
        <f t="shared" si="295"/>
        <v/>
      </c>
    </row>
    <row r="2282" spans="1:24" x14ac:dyDescent="0.2">
      <c r="A2282" s="407">
        <v>2274</v>
      </c>
      <c r="B2282" s="438"/>
      <c r="C2282" s="438"/>
      <c r="D2282" s="438"/>
      <c r="E2282" s="438"/>
      <c r="F2282" s="438"/>
      <c r="G2282" s="438"/>
      <c r="H2282" s="438"/>
      <c r="I2282" s="438"/>
      <c r="J2282" s="11"/>
      <c r="Q2282" s="348" t="str">
        <f t="shared" si="288"/>
        <v/>
      </c>
      <c r="R2282" s="348" t="str">
        <f t="shared" si="289"/>
        <v/>
      </c>
      <c r="S2282" s="348" t="str">
        <f t="shared" si="290"/>
        <v/>
      </c>
      <c r="T2282" s="348" t="str">
        <f t="shared" si="291"/>
        <v/>
      </c>
      <c r="U2282" s="348" t="str">
        <f t="shared" si="292"/>
        <v/>
      </c>
      <c r="V2282" s="348" t="str">
        <f t="shared" si="293"/>
        <v/>
      </c>
      <c r="W2282" s="348" t="str">
        <f t="shared" si="294"/>
        <v/>
      </c>
      <c r="X2282" s="348" t="str">
        <f t="shared" si="295"/>
        <v/>
      </c>
    </row>
    <row r="2283" spans="1:24" x14ac:dyDescent="0.2">
      <c r="A2283" s="407">
        <v>2275</v>
      </c>
      <c r="B2283" s="438"/>
      <c r="C2283" s="438"/>
      <c r="D2283" s="438"/>
      <c r="E2283" s="438"/>
      <c r="F2283" s="438"/>
      <c r="G2283" s="438"/>
      <c r="H2283" s="438"/>
      <c r="I2283" s="438"/>
      <c r="J2283" s="11"/>
      <c r="Q2283" s="348" t="str">
        <f t="shared" si="288"/>
        <v/>
      </c>
      <c r="R2283" s="348" t="str">
        <f t="shared" si="289"/>
        <v/>
      </c>
      <c r="S2283" s="348" t="str">
        <f t="shared" si="290"/>
        <v/>
      </c>
      <c r="T2283" s="348" t="str">
        <f t="shared" si="291"/>
        <v/>
      </c>
      <c r="U2283" s="348" t="str">
        <f t="shared" si="292"/>
        <v/>
      </c>
      <c r="V2283" s="348" t="str">
        <f t="shared" si="293"/>
        <v/>
      </c>
      <c r="W2283" s="348" t="str">
        <f t="shared" si="294"/>
        <v/>
      </c>
      <c r="X2283" s="348" t="str">
        <f t="shared" si="295"/>
        <v/>
      </c>
    </row>
    <row r="2284" spans="1:24" x14ac:dyDescent="0.2">
      <c r="A2284" s="407">
        <v>2276</v>
      </c>
      <c r="B2284" s="438"/>
      <c r="C2284" s="438"/>
      <c r="D2284" s="438"/>
      <c r="E2284" s="438"/>
      <c r="F2284" s="438"/>
      <c r="G2284" s="438"/>
      <c r="H2284" s="438"/>
      <c r="I2284" s="438"/>
      <c r="J2284" s="11"/>
      <c r="Q2284" s="348" t="str">
        <f t="shared" si="288"/>
        <v/>
      </c>
      <c r="R2284" s="348" t="str">
        <f t="shared" si="289"/>
        <v/>
      </c>
      <c r="S2284" s="348" t="str">
        <f t="shared" si="290"/>
        <v/>
      </c>
      <c r="T2284" s="348" t="str">
        <f t="shared" si="291"/>
        <v/>
      </c>
      <c r="U2284" s="348" t="str">
        <f t="shared" si="292"/>
        <v/>
      </c>
      <c r="V2284" s="348" t="str">
        <f t="shared" si="293"/>
        <v/>
      </c>
      <c r="W2284" s="348" t="str">
        <f t="shared" si="294"/>
        <v/>
      </c>
      <c r="X2284" s="348" t="str">
        <f t="shared" si="295"/>
        <v/>
      </c>
    </row>
    <row r="2285" spans="1:24" x14ac:dyDescent="0.2">
      <c r="A2285" s="407">
        <v>2277</v>
      </c>
      <c r="B2285" s="438"/>
      <c r="C2285" s="438"/>
      <c r="D2285" s="438"/>
      <c r="E2285" s="438"/>
      <c r="F2285" s="438"/>
      <c r="G2285" s="438"/>
      <c r="H2285" s="438"/>
      <c r="I2285" s="438"/>
      <c r="J2285" s="11"/>
      <c r="Q2285" s="348" t="str">
        <f t="shared" si="288"/>
        <v/>
      </c>
      <c r="R2285" s="348" t="str">
        <f t="shared" si="289"/>
        <v/>
      </c>
      <c r="S2285" s="348" t="str">
        <f t="shared" si="290"/>
        <v/>
      </c>
      <c r="T2285" s="348" t="str">
        <f t="shared" si="291"/>
        <v/>
      </c>
      <c r="U2285" s="348" t="str">
        <f t="shared" si="292"/>
        <v/>
      </c>
      <c r="V2285" s="348" t="str">
        <f t="shared" si="293"/>
        <v/>
      </c>
      <c r="W2285" s="348" t="str">
        <f t="shared" si="294"/>
        <v/>
      </c>
      <c r="X2285" s="348" t="str">
        <f t="shared" si="295"/>
        <v/>
      </c>
    </row>
    <row r="2286" spans="1:24" x14ac:dyDescent="0.2">
      <c r="A2286" s="407">
        <v>2278</v>
      </c>
      <c r="B2286" s="438"/>
      <c r="C2286" s="438"/>
      <c r="D2286" s="438"/>
      <c r="E2286" s="438"/>
      <c r="F2286" s="438"/>
      <c r="G2286" s="438"/>
      <c r="H2286" s="438"/>
      <c r="I2286" s="438"/>
      <c r="J2286" s="11"/>
      <c r="Q2286" s="348" t="str">
        <f t="shared" si="288"/>
        <v/>
      </c>
      <c r="R2286" s="348" t="str">
        <f t="shared" si="289"/>
        <v/>
      </c>
      <c r="S2286" s="348" t="str">
        <f t="shared" si="290"/>
        <v/>
      </c>
      <c r="T2286" s="348" t="str">
        <f t="shared" si="291"/>
        <v/>
      </c>
      <c r="U2286" s="348" t="str">
        <f t="shared" si="292"/>
        <v/>
      </c>
      <c r="V2286" s="348" t="str">
        <f t="shared" si="293"/>
        <v/>
      </c>
      <c r="W2286" s="348" t="str">
        <f t="shared" si="294"/>
        <v/>
      </c>
      <c r="X2286" s="348" t="str">
        <f t="shared" si="295"/>
        <v/>
      </c>
    </row>
    <row r="2287" spans="1:24" x14ac:dyDescent="0.2">
      <c r="A2287" s="407">
        <v>2279</v>
      </c>
      <c r="B2287" s="438"/>
      <c r="C2287" s="438"/>
      <c r="D2287" s="438"/>
      <c r="E2287" s="438"/>
      <c r="F2287" s="438"/>
      <c r="G2287" s="438"/>
      <c r="H2287" s="438"/>
      <c r="I2287" s="438"/>
      <c r="J2287" s="11"/>
      <c r="Q2287" s="348" t="str">
        <f t="shared" si="288"/>
        <v/>
      </c>
      <c r="R2287" s="348" t="str">
        <f t="shared" si="289"/>
        <v/>
      </c>
      <c r="S2287" s="348" t="str">
        <f t="shared" si="290"/>
        <v/>
      </c>
      <c r="T2287" s="348" t="str">
        <f t="shared" si="291"/>
        <v/>
      </c>
      <c r="U2287" s="348" t="str">
        <f t="shared" si="292"/>
        <v/>
      </c>
      <c r="V2287" s="348" t="str">
        <f t="shared" si="293"/>
        <v/>
      </c>
      <c r="W2287" s="348" t="str">
        <f t="shared" si="294"/>
        <v/>
      </c>
      <c r="X2287" s="348" t="str">
        <f t="shared" si="295"/>
        <v/>
      </c>
    </row>
    <row r="2288" spans="1:24" x14ac:dyDescent="0.2">
      <c r="A2288" s="407">
        <v>2280</v>
      </c>
      <c r="B2288" s="438"/>
      <c r="C2288" s="438"/>
      <c r="D2288" s="438"/>
      <c r="E2288" s="438"/>
      <c r="F2288" s="438"/>
      <c r="G2288" s="438"/>
      <c r="H2288" s="438"/>
      <c r="I2288" s="438"/>
      <c r="J2288" s="11"/>
      <c r="Q2288" s="348" t="str">
        <f t="shared" si="288"/>
        <v/>
      </c>
      <c r="R2288" s="348" t="str">
        <f t="shared" si="289"/>
        <v/>
      </c>
      <c r="S2288" s="348" t="str">
        <f t="shared" si="290"/>
        <v/>
      </c>
      <c r="T2288" s="348" t="str">
        <f t="shared" si="291"/>
        <v/>
      </c>
      <c r="U2288" s="348" t="str">
        <f t="shared" si="292"/>
        <v/>
      </c>
      <c r="V2288" s="348" t="str">
        <f t="shared" si="293"/>
        <v/>
      </c>
      <c r="W2288" s="348" t="str">
        <f t="shared" si="294"/>
        <v/>
      </c>
      <c r="X2288" s="348" t="str">
        <f t="shared" si="295"/>
        <v/>
      </c>
    </row>
    <row r="2289" spans="1:24" x14ac:dyDescent="0.2">
      <c r="A2289" s="407">
        <v>2281</v>
      </c>
      <c r="B2289" s="438"/>
      <c r="C2289" s="438"/>
      <c r="D2289" s="438"/>
      <c r="E2289" s="438"/>
      <c r="F2289" s="438"/>
      <c r="G2289" s="438"/>
      <c r="H2289" s="438"/>
      <c r="I2289" s="438"/>
      <c r="J2289" s="11"/>
      <c r="Q2289" s="348" t="str">
        <f t="shared" si="288"/>
        <v/>
      </c>
      <c r="R2289" s="348" t="str">
        <f t="shared" si="289"/>
        <v/>
      </c>
      <c r="S2289" s="348" t="str">
        <f t="shared" si="290"/>
        <v/>
      </c>
      <c r="T2289" s="348" t="str">
        <f t="shared" si="291"/>
        <v/>
      </c>
      <c r="U2289" s="348" t="str">
        <f t="shared" si="292"/>
        <v/>
      </c>
      <c r="V2289" s="348" t="str">
        <f t="shared" si="293"/>
        <v/>
      </c>
      <c r="W2289" s="348" t="str">
        <f t="shared" si="294"/>
        <v/>
      </c>
      <c r="X2289" s="348" t="str">
        <f t="shared" si="295"/>
        <v/>
      </c>
    </row>
    <row r="2290" spans="1:24" x14ac:dyDescent="0.2">
      <c r="A2290" s="407">
        <v>2282</v>
      </c>
      <c r="B2290" s="438"/>
      <c r="C2290" s="438"/>
      <c r="D2290" s="437"/>
      <c r="E2290" s="438"/>
      <c r="F2290" s="438"/>
      <c r="G2290" s="438"/>
      <c r="H2290" s="438"/>
      <c r="I2290" s="438"/>
      <c r="J2290" s="11"/>
      <c r="Q2290" s="348" t="str">
        <f t="shared" si="288"/>
        <v/>
      </c>
      <c r="R2290" s="348" t="str">
        <f t="shared" si="289"/>
        <v/>
      </c>
      <c r="S2290" s="348" t="str">
        <f t="shared" si="290"/>
        <v/>
      </c>
      <c r="T2290" s="348" t="str">
        <f t="shared" si="291"/>
        <v/>
      </c>
      <c r="U2290" s="348" t="str">
        <f t="shared" si="292"/>
        <v/>
      </c>
      <c r="V2290" s="348" t="str">
        <f t="shared" si="293"/>
        <v/>
      </c>
      <c r="W2290" s="348" t="str">
        <f t="shared" si="294"/>
        <v/>
      </c>
      <c r="X2290" s="348" t="str">
        <f t="shared" si="295"/>
        <v/>
      </c>
    </row>
    <row r="2291" spans="1:24" x14ac:dyDescent="0.2">
      <c r="A2291" s="407">
        <v>2283</v>
      </c>
      <c r="B2291" s="438"/>
      <c r="C2291" s="438"/>
      <c r="D2291" s="438"/>
      <c r="E2291" s="438"/>
      <c r="F2291" s="438"/>
      <c r="G2291" s="438"/>
      <c r="H2291" s="438"/>
      <c r="I2291" s="438"/>
      <c r="J2291" s="11"/>
      <c r="Q2291" s="348" t="str">
        <f t="shared" si="288"/>
        <v/>
      </c>
      <c r="R2291" s="348" t="str">
        <f t="shared" si="289"/>
        <v/>
      </c>
      <c r="S2291" s="348" t="str">
        <f t="shared" si="290"/>
        <v/>
      </c>
      <c r="T2291" s="348" t="str">
        <f t="shared" si="291"/>
        <v/>
      </c>
      <c r="U2291" s="348" t="str">
        <f t="shared" si="292"/>
        <v/>
      </c>
      <c r="V2291" s="348" t="str">
        <f t="shared" si="293"/>
        <v/>
      </c>
      <c r="W2291" s="348" t="str">
        <f t="shared" si="294"/>
        <v/>
      </c>
      <c r="X2291" s="348" t="str">
        <f t="shared" si="295"/>
        <v/>
      </c>
    </row>
    <row r="2292" spans="1:24" x14ac:dyDescent="0.2">
      <c r="A2292" s="407">
        <v>2284</v>
      </c>
      <c r="B2292" s="438"/>
      <c r="C2292" s="438"/>
      <c r="D2292" s="438"/>
      <c r="E2292" s="438"/>
      <c r="F2292" s="438"/>
      <c r="G2292" s="438"/>
      <c r="H2292" s="438"/>
      <c r="I2292" s="438"/>
      <c r="J2292" s="11"/>
      <c r="Q2292" s="348" t="str">
        <f t="shared" si="288"/>
        <v/>
      </c>
      <c r="R2292" s="348" t="str">
        <f t="shared" si="289"/>
        <v/>
      </c>
      <c r="S2292" s="348" t="str">
        <f t="shared" si="290"/>
        <v/>
      </c>
      <c r="T2292" s="348" t="str">
        <f t="shared" si="291"/>
        <v/>
      </c>
      <c r="U2292" s="348" t="str">
        <f t="shared" si="292"/>
        <v/>
      </c>
      <c r="V2292" s="348" t="str">
        <f t="shared" si="293"/>
        <v/>
      </c>
      <c r="W2292" s="348" t="str">
        <f t="shared" si="294"/>
        <v/>
      </c>
      <c r="X2292" s="348" t="str">
        <f t="shared" si="295"/>
        <v/>
      </c>
    </row>
    <row r="2293" spans="1:24" x14ac:dyDescent="0.2">
      <c r="A2293" s="407">
        <v>2285</v>
      </c>
      <c r="B2293" s="438"/>
      <c r="C2293" s="438"/>
      <c r="D2293" s="438"/>
      <c r="E2293" s="438"/>
      <c r="F2293" s="438"/>
      <c r="G2293" s="438"/>
      <c r="H2293" s="438"/>
      <c r="I2293" s="438"/>
      <c r="J2293" s="11"/>
      <c r="Q2293" s="348" t="str">
        <f t="shared" si="288"/>
        <v/>
      </c>
      <c r="R2293" s="348" t="str">
        <f t="shared" si="289"/>
        <v/>
      </c>
      <c r="S2293" s="348" t="str">
        <f t="shared" si="290"/>
        <v/>
      </c>
      <c r="T2293" s="348" t="str">
        <f t="shared" si="291"/>
        <v/>
      </c>
      <c r="U2293" s="348" t="str">
        <f t="shared" si="292"/>
        <v/>
      </c>
      <c r="V2293" s="348" t="str">
        <f t="shared" si="293"/>
        <v/>
      </c>
      <c r="W2293" s="348" t="str">
        <f t="shared" si="294"/>
        <v/>
      </c>
      <c r="X2293" s="348" t="str">
        <f t="shared" si="295"/>
        <v/>
      </c>
    </row>
    <row r="2294" spans="1:24" x14ac:dyDescent="0.2">
      <c r="A2294" s="407">
        <v>2286</v>
      </c>
      <c r="B2294" s="438"/>
      <c r="C2294" s="438"/>
      <c r="D2294" s="438"/>
      <c r="E2294" s="438"/>
      <c r="F2294" s="438"/>
      <c r="G2294" s="438"/>
      <c r="H2294" s="438"/>
      <c r="I2294" s="438"/>
      <c r="J2294" s="11"/>
      <c r="Q2294" s="348" t="str">
        <f t="shared" si="288"/>
        <v/>
      </c>
      <c r="R2294" s="348" t="str">
        <f t="shared" si="289"/>
        <v/>
      </c>
      <c r="S2294" s="348" t="str">
        <f t="shared" si="290"/>
        <v/>
      </c>
      <c r="T2294" s="348" t="str">
        <f t="shared" si="291"/>
        <v/>
      </c>
      <c r="U2294" s="348" t="str">
        <f t="shared" si="292"/>
        <v/>
      </c>
      <c r="V2294" s="348" t="str">
        <f t="shared" si="293"/>
        <v/>
      </c>
      <c r="W2294" s="348" t="str">
        <f t="shared" si="294"/>
        <v/>
      </c>
      <c r="X2294" s="348" t="str">
        <f t="shared" si="295"/>
        <v/>
      </c>
    </row>
    <row r="2295" spans="1:24" x14ac:dyDescent="0.2">
      <c r="A2295" s="407">
        <v>2287</v>
      </c>
      <c r="B2295" s="437"/>
      <c r="C2295" s="438"/>
      <c r="D2295" s="438"/>
      <c r="E2295" s="438"/>
      <c r="F2295" s="438"/>
      <c r="G2295" s="438"/>
      <c r="H2295" s="438"/>
      <c r="I2295" s="438"/>
      <c r="J2295" s="11"/>
      <c r="Q2295" s="348" t="str">
        <f t="shared" si="288"/>
        <v/>
      </c>
      <c r="R2295" s="348" t="str">
        <f t="shared" si="289"/>
        <v/>
      </c>
      <c r="S2295" s="348" t="str">
        <f t="shared" si="290"/>
        <v/>
      </c>
      <c r="T2295" s="348" t="str">
        <f t="shared" si="291"/>
        <v/>
      </c>
      <c r="U2295" s="348" t="str">
        <f t="shared" si="292"/>
        <v/>
      </c>
      <c r="V2295" s="348" t="str">
        <f t="shared" si="293"/>
        <v/>
      </c>
      <c r="W2295" s="348" t="str">
        <f t="shared" si="294"/>
        <v/>
      </c>
      <c r="X2295" s="348" t="str">
        <f t="shared" si="295"/>
        <v/>
      </c>
    </row>
    <row r="2296" spans="1:24" x14ac:dyDescent="0.2">
      <c r="A2296" s="407">
        <v>2288</v>
      </c>
      <c r="B2296" s="438"/>
      <c r="C2296" s="438"/>
      <c r="D2296" s="438"/>
      <c r="E2296" s="438"/>
      <c r="F2296" s="438"/>
      <c r="G2296" s="438"/>
      <c r="H2296" s="438"/>
      <c r="I2296" s="438"/>
      <c r="J2296" s="11"/>
      <c r="Q2296" s="348" t="str">
        <f t="shared" si="288"/>
        <v/>
      </c>
      <c r="R2296" s="348" t="str">
        <f t="shared" si="289"/>
        <v/>
      </c>
      <c r="S2296" s="348" t="str">
        <f t="shared" si="290"/>
        <v/>
      </c>
      <c r="T2296" s="348" t="str">
        <f t="shared" si="291"/>
        <v/>
      </c>
      <c r="U2296" s="348" t="str">
        <f t="shared" si="292"/>
        <v/>
      </c>
      <c r="V2296" s="348" t="str">
        <f t="shared" si="293"/>
        <v/>
      </c>
      <c r="W2296" s="348" t="str">
        <f t="shared" si="294"/>
        <v/>
      </c>
      <c r="X2296" s="348" t="str">
        <f t="shared" si="295"/>
        <v/>
      </c>
    </row>
    <row r="2297" spans="1:24" x14ac:dyDescent="0.2">
      <c r="A2297" s="407">
        <v>2289</v>
      </c>
      <c r="B2297" s="438"/>
      <c r="C2297" s="438"/>
      <c r="D2297" s="438"/>
      <c r="E2297" s="438"/>
      <c r="F2297" s="438"/>
      <c r="G2297" s="438"/>
      <c r="H2297" s="438"/>
      <c r="I2297" s="437"/>
      <c r="J2297" s="11"/>
      <c r="Q2297" s="348" t="str">
        <f t="shared" si="288"/>
        <v/>
      </c>
      <c r="R2297" s="348" t="str">
        <f t="shared" si="289"/>
        <v/>
      </c>
      <c r="S2297" s="348" t="str">
        <f t="shared" si="290"/>
        <v/>
      </c>
      <c r="T2297" s="348" t="str">
        <f t="shared" si="291"/>
        <v/>
      </c>
      <c r="U2297" s="348" t="str">
        <f t="shared" si="292"/>
        <v/>
      </c>
      <c r="V2297" s="348" t="str">
        <f t="shared" si="293"/>
        <v/>
      </c>
      <c r="W2297" s="348" t="str">
        <f t="shared" si="294"/>
        <v/>
      </c>
      <c r="X2297" s="348" t="str">
        <f t="shared" si="295"/>
        <v/>
      </c>
    </row>
    <row r="2298" spans="1:24" x14ac:dyDescent="0.2">
      <c r="A2298" s="407">
        <v>2290</v>
      </c>
      <c r="B2298" s="438"/>
      <c r="C2298" s="438"/>
      <c r="D2298" s="438"/>
      <c r="E2298" s="438"/>
      <c r="F2298" s="438"/>
      <c r="G2298" s="438"/>
      <c r="H2298" s="438"/>
      <c r="I2298" s="438"/>
      <c r="J2298" s="11"/>
      <c r="Q2298" s="348" t="str">
        <f t="shared" si="288"/>
        <v/>
      </c>
      <c r="R2298" s="348" t="str">
        <f t="shared" si="289"/>
        <v/>
      </c>
      <c r="S2298" s="348" t="str">
        <f t="shared" si="290"/>
        <v/>
      </c>
      <c r="T2298" s="348" t="str">
        <f t="shared" si="291"/>
        <v/>
      </c>
      <c r="U2298" s="348" t="str">
        <f t="shared" si="292"/>
        <v/>
      </c>
      <c r="V2298" s="348" t="str">
        <f t="shared" si="293"/>
        <v/>
      </c>
      <c r="W2298" s="348" t="str">
        <f t="shared" si="294"/>
        <v/>
      </c>
      <c r="X2298" s="348" t="str">
        <f t="shared" si="295"/>
        <v/>
      </c>
    </row>
    <row r="2299" spans="1:24" x14ac:dyDescent="0.2">
      <c r="A2299" s="407">
        <v>2291</v>
      </c>
      <c r="B2299" s="438"/>
      <c r="C2299" s="438"/>
      <c r="D2299" s="438"/>
      <c r="E2299" s="438"/>
      <c r="F2299" s="438"/>
      <c r="G2299" s="438"/>
      <c r="H2299" s="438"/>
      <c r="I2299" s="438"/>
      <c r="J2299" s="11"/>
      <c r="Q2299" s="348" t="str">
        <f t="shared" si="288"/>
        <v/>
      </c>
      <c r="R2299" s="348" t="str">
        <f t="shared" si="289"/>
        <v/>
      </c>
      <c r="S2299" s="348" t="str">
        <f t="shared" si="290"/>
        <v/>
      </c>
      <c r="T2299" s="348" t="str">
        <f t="shared" si="291"/>
        <v/>
      </c>
      <c r="U2299" s="348" t="str">
        <f t="shared" si="292"/>
        <v/>
      </c>
      <c r="V2299" s="348" t="str">
        <f t="shared" si="293"/>
        <v/>
      </c>
      <c r="W2299" s="348" t="str">
        <f t="shared" si="294"/>
        <v/>
      </c>
      <c r="X2299" s="348" t="str">
        <f t="shared" si="295"/>
        <v/>
      </c>
    </row>
    <row r="2300" spans="1:24" x14ac:dyDescent="0.2">
      <c r="A2300" s="407">
        <v>2292</v>
      </c>
      <c r="B2300" s="438"/>
      <c r="C2300" s="438"/>
      <c r="D2300" s="438"/>
      <c r="E2300" s="438"/>
      <c r="F2300" s="438"/>
      <c r="G2300" s="438"/>
      <c r="H2300" s="438"/>
      <c r="I2300" s="438"/>
      <c r="J2300" s="11"/>
      <c r="Q2300" s="348" t="str">
        <f t="shared" si="288"/>
        <v/>
      </c>
      <c r="R2300" s="348" t="str">
        <f t="shared" si="289"/>
        <v/>
      </c>
      <c r="S2300" s="348" t="str">
        <f t="shared" si="290"/>
        <v/>
      </c>
      <c r="T2300" s="348" t="str">
        <f t="shared" si="291"/>
        <v/>
      </c>
      <c r="U2300" s="348" t="str">
        <f t="shared" si="292"/>
        <v/>
      </c>
      <c r="V2300" s="348" t="str">
        <f t="shared" si="293"/>
        <v/>
      </c>
      <c r="W2300" s="348" t="str">
        <f t="shared" si="294"/>
        <v/>
      </c>
      <c r="X2300" s="348" t="str">
        <f t="shared" si="295"/>
        <v/>
      </c>
    </row>
    <row r="2301" spans="1:24" x14ac:dyDescent="0.2">
      <c r="A2301" s="407">
        <v>2293</v>
      </c>
      <c r="B2301" s="438"/>
      <c r="C2301" s="437"/>
      <c r="D2301" s="438"/>
      <c r="E2301" s="438"/>
      <c r="F2301" s="438"/>
      <c r="G2301" s="438"/>
      <c r="H2301" s="438"/>
      <c r="I2301" s="438"/>
      <c r="J2301" s="11"/>
      <c r="Q2301" s="348" t="str">
        <f t="shared" si="288"/>
        <v/>
      </c>
      <c r="R2301" s="348" t="str">
        <f t="shared" si="289"/>
        <v/>
      </c>
      <c r="S2301" s="348" t="str">
        <f t="shared" si="290"/>
        <v/>
      </c>
      <c r="T2301" s="348" t="str">
        <f t="shared" si="291"/>
        <v/>
      </c>
      <c r="U2301" s="348" t="str">
        <f t="shared" si="292"/>
        <v/>
      </c>
      <c r="V2301" s="348" t="str">
        <f t="shared" si="293"/>
        <v/>
      </c>
      <c r="W2301" s="348" t="str">
        <f t="shared" si="294"/>
        <v/>
      </c>
      <c r="X2301" s="348" t="str">
        <f t="shared" si="295"/>
        <v/>
      </c>
    </row>
    <row r="2302" spans="1:24" x14ac:dyDescent="0.2">
      <c r="A2302" s="407">
        <v>2294</v>
      </c>
      <c r="B2302" s="438"/>
      <c r="C2302" s="438"/>
      <c r="D2302" s="438"/>
      <c r="E2302" s="437"/>
      <c r="F2302" s="438"/>
      <c r="G2302" s="438"/>
      <c r="H2302" s="438"/>
      <c r="I2302" s="438"/>
      <c r="J2302" s="11"/>
      <c r="Q2302" s="348" t="str">
        <f t="shared" si="288"/>
        <v/>
      </c>
      <c r="R2302" s="348" t="str">
        <f t="shared" si="289"/>
        <v/>
      </c>
      <c r="S2302" s="348" t="str">
        <f t="shared" si="290"/>
        <v/>
      </c>
      <c r="T2302" s="348" t="str">
        <f t="shared" si="291"/>
        <v/>
      </c>
      <c r="U2302" s="348" t="str">
        <f t="shared" si="292"/>
        <v/>
      </c>
      <c r="V2302" s="348" t="str">
        <f t="shared" si="293"/>
        <v/>
      </c>
      <c r="W2302" s="348" t="str">
        <f t="shared" si="294"/>
        <v/>
      </c>
      <c r="X2302" s="348" t="str">
        <f t="shared" si="295"/>
        <v/>
      </c>
    </row>
    <row r="2303" spans="1:24" x14ac:dyDescent="0.2">
      <c r="A2303" s="407">
        <v>2295</v>
      </c>
      <c r="B2303" s="437"/>
      <c r="C2303" s="438"/>
      <c r="D2303" s="438"/>
      <c r="E2303" s="438"/>
      <c r="F2303" s="438"/>
      <c r="G2303" s="438"/>
      <c r="H2303" s="438"/>
      <c r="I2303" s="438"/>
      <c r="J2303" s="11"/>
      <c r="Q2303" s="348" t="str">
        <f t="shared" si="288"/>
        <v/>
      </c>
      <c r="R2303" s="348" t="str">
        <f t="shared" si="289"/>
        <v/>
      </c>
      <c r="S2303" s="348" t="str">
        <f t="shared" si="290"/>
        <v/>
      </c>
      <c r="T2303" s="348" t="str">
        <f t="shared" si="291"/>
        <v/>
      </c>
      <c r="U2303" s="348" t="str">
        <f t="shared" si="292"/>
        <v/>
      </c>
      <c r="V2303" s="348" t="str">
        <f t="shared" si="293"/>
        <v/>
      </c>
      <c r="W2303" s="348" t="str">
        <f t="shared" si="294"/>
        <v/>
      </c>
      <c r="X2303" s="348" t="str">
        <f t="shared" si="295"/>
        <v/>
      </c>
    </row>
    <row r="2304" spans="1:24" x14ac:dyDescent="0.2">
      <c r="A2304" s="407">
        <v>2296</v>
      </c>
      <c r="B2304" s="438"/>
      <c r="C2304" s="438"/>
      <c r="D2304" s="438"/>
      <c r="E2304" s="438"/>
      <c r="F2304" s="438"/>
      <c r="G2304" s="438"/>
      <c r="H2304" s="438"/>
      <c r="I2304" s="438"/>
      <c r="J2304" s="11"/>
      <c r="Q2304" s="348" t="str">
        <f t="shared" si="288"/>
        <v/>
      </c>
      <c r="R2304" s="348" t="str">
        <f t="shared" si="289"/>
        <v/>
      </c>
      <c r="S2304" s="348" t="str">
        <f t="shared" si="290"/>
        <v/>
      </c>
      <c r="T2304" s="348" t="str">
        <f t="shared" si="291"/>
        <v/>
      </c>
      <c r="U2304" s="348" t="str">
        <f t="shared" si="292"/>
        <v/>
      </c>
      <c r="V2304" s="348" t="str">
        <f t="shared" si="293"/>
        <v/>
      </c>
      <c r="W2304" s="348" t="str">
        <f t="shared" si="294"/>
        <v/>
      </c>
      <c r="X2304" s="348" t="str">
        <f t="shared" si="295"/>
        <v/>
      </c>
    </row>
    <row r="2305" spans="1:24" x14ac:dyDescent="0.2">
      <c r="A2305" s="407">
        <v>2297</v>
      </c>
      <c r="B2305" s="438"/>
      <c r="C2305" s="438"/>
      <c r="D2305" s="438"/>
      <c r="E2305" s="438"/>
      <c r="F2305" s="438"/>
      <c r="G2305" s="438"/>
      <c r="H2305" s="438"/>
      <c r="I2305" s="438"/>
      <c r="J2305" s="11"/>
      <c r="Q2305" s="348" t="str">
        <f t="shared" si="288"/>
        <v/>
      </c>
      <c r="R2305" s="348" t="str">
        <f t="shared" si="289"/>
        <v/>
      </c>
      <c r="S2305" s="348" t="str">
        <f t="shared" si="290"/>
        <v/>
      </c>
      <c r="T2305" s="348" t="str">
        <f t="shared" si="291"/>
        <v/>
      </c>
      <c r="U2305" s="348" t="str">
        <f t="shared" si="292"/>
        <v/>
      </c>
      <c r="V2305" s="348" t="str">
        <f t="shared" si="293"/>
        <v/>
      </c>
      <c r="W2305" s="348" t="str">
        <f t="shared" si="294"/>
        <v/>
      </c>
      <c r="X2305" s="348" t="str">
        <f t="shared" si="295"/>
        <v/>
      </c>
    </row>
    <row r="2306" spans="1:24" x14ac:dyDescent="0.2">
      <c r="A2306" s="407">
        <v>2298</v>
      </c>
      <c r="B2306" s="438"/>
      <c r="C2306" s="438"/>
      <c r="D2306" s="438"/>
      <c r="E2306" s="438"/>
      <c r="F2306" s="438"/>
      <c r="G2306" s="438"/>
      <c r="H2306" s="438"/>
      <c r="I2306" s="438"/>
      <c r="J2306" s="11"/>
      <c r="Q2306" s="348" t="str">
        <f t="shared" si="288"/>
        <v/>
      </c>
      <c r="R2306" s="348" t="str">
        <f t="shared" si="289"/>
        <v/>
      </c>
      <c r="S2306" s="348" t="str">
        <f t="shared" si="290"/>
        <v/>
      </c>
      <c r="T2306" s="348" t="str">
        <f t="shared" si="291"/>
        <v/>
      </c>
      <c r="U2306" s="348" t="str">
        <f t="shared" si="292"/>
        <v/>
      </c>
      <c r="V2306" s="348" t="str">
        <f t="shared" si="293"/>
        <v/>
      </c>
      <c r="W2306" s="348" t="str">
        <f t="shared" si="294"/>
        <v/>
      </c>
      <c r="X2306" s="348" t="str">
        <f t="shared" si="295"/>
        <v/>
      </c>
    </row>
    <row r="2307" spans="1:24" x14ac:dyDescent="0.2">
      <c r="A2307" s="407">
        <v>2299</v>
      </c>
      <c r="B2307" s="438"/>
      <c r="C2307" s="438"/>
      <c r="D2307" s="438"/>
      <c r="E2307" s="438"/>
      <c r="F2307" s="438"/>
      <c r="G2307" s="437"/>
      <c r="H2307" s="438"/>
      <c r="I2307" s="438"/>
      <c r="J2307" s="11"/>
      <c r="Q2307" s="348" t="str">
        <f t="shared" si="288"/>
        <v/>
      </c>
      <c r="R2307" s="348" t="str">
        <f t="shared" si="289"/>
        <v/>
      </c>
      <c r="S2307" s="348" t="str">
        <f t="shared" si="290"/>
        <v/>
      </c>
      <c r="T2307" s="348" t="str">
        <f t="shared" si="291"/>
        <v/>
      </c>
      <c r="U2307" s="348" t="str">
        <f t="shared" si="292"/>
        <v/>
      </c>
      <c r="V2307" s="348" t="str">
        <f t="shared" si="293"/>
        <v/>
      </c>
      <c r="W2307" s="348" t="str">
        <f t="shared" si="294"/>
        <v/>
      </c>
      <c r="X2307" s="348" t="str">
        <f t="shared" si="295"/>
        <v/>
      </c>
    </row>
    <row r="2308" spans="1:24" x14ac:dyDescent="0.2">
      <c r="A2308" s="407">
        <v>2300</v>
      </c>
      <c r="B2308" s="438"/>
      <c r="C2308" s="438"/>
      <c r="D2308" s="438"/>
      <c r="E2308" s="438"/>
      <c r="F2308" s="438"/>
      <c r="G2308" s="438"/>
      <c r="H2308" s="438"/>
      <c r="I2308" s="438"/>
      <c r="J2308" s="11"/>
      <c r="Q2308" s="348" t="str">
        <f t="shared" si="288"/>
        <v/>
      </c>
      <c r="R2308" s="348" t="str">
        <f t="shared" si="289"/>
        <v/>
      </c>
      <c r="S2308" s="348" t="str">
        <f t="shared" si="290"/>
        <v/>
      </c>
      <c r="T2308" s="348" t="str">
        <f t="shared" si="291"/>
        <v/>
      </c>
      <c r="U2308" s="348" t="str">
        <f t="shared" si="292"/>
        <v/>
      </c>
      <c r="V2308" s="348" t="str">
        <f t="shared" si="293"/>
        <v/>
      </c>
      <c r="W2308" s="348" t="str">
        <f t="shared" si="294"/>
        <v/>
      </c>
      <c r="X2308" s="348" t="str">
        <f t="shared" si="295"/>
        <v/>
      </c>
    </row>
    <row r="2309" spans="1:24" x14ac:dyDescent="0.2">
      <c r="A2309" s="407">
        <v>2301</v>
      </c>
      <c r="B2309" s="438"/>
      <c r="C2309" s="437"/>
      <c r="D2309" s="438"/>
      <c r="E2309" s="437"/>
      <c r="F2309" s="437"/>
      <c r="G2309" s="437"/>
      <c r="H2309" s="437"/>
      <c r="I2309" s="438"/>
      <c r="J2309" s="11"/>
      <c r="Q2309" s="348" t="str">
        <f t="shared" si="288"/>
        <v/>
      </c>
      <c r="R2309" s="348" t="str">
        <f t="shared" si="289"/>
        <v/>
      </c>
      <c r="S2309" s="348" t="str">
        <f t="shared" si="290"/>
        <v/>
      </c>
      <c r="T2309" s="348" t="str">
        <f t="shared" si="291"/>
        <v/>
      </c>
      <c r="U2309" s="348" t="str">
        <f t="shared" si="292"/>
        <v/>
      </c>
      <c r="V2309" s="348" t="str">
        <f t="shared" si="293"/>
        <v/>
      </c>
      <c r="W2309" s="348" t="str">
        <f t="shared" si="294"/>
        <v/>
      </c>
      <c r="X2309" s="348" t="str">
        <f t="shared" si="295"/>
        <v/>
      </c>
    </row>
    <row r="2310" spans="1:24" x14ac:dyDescent="0.2">
      <c r="A2310" s="407">
        <v>2302</v>
      </c>
      <c r="B2310" s="438"/>
      <c r="C2310" s="438"/>
      <c r="D2310" s="438"/>
      <c r="E2310" s="438"/>
      <c r="F2310" s="438"/>
      <c r="G2310" s="438"/>
      <c r="H2310" s="438"/>
      <c r="I2310" s="438"/>
      <c r="J2310" s="11"/>
      <c r="Q2310" s="348" t="str">
        <f t="shared" si="288"/>
        <v/>
      </c>
      <c r="R2310" s="348" t="str">
        <f t="shared" si="289"/>
        <v/>
      </c>
      <c r="S2310" s="348" t="str">
        <f t="shared" si="290"/>
        <v/>
      </c>
      <c r="T2310" s="348" t="str">
        <f t="shared" si="291"/>
        <v/>
      </c>
      <c r="U2310" s="348" t="str">
        <f t="shared" si="292"/>
        <v/>
      </c>
      <c r="V2310" s="348" t="str">
        <f t="shared" si="293"/>
        <v/>
      </c>
      <c r="W2310" s="348" t="str">
        <f t="shared" si="294"/>
        <v/>
      </c>
      <c r="X2310" s="348" t="str">
        <f t="shared" si="295"/>
        <v/>
      </c>
    </row>
    <row r="2311" spans="1:24" x14ac:dyDescent="0.2">
      <c r="A2311" s="407">
        <v>2303</v>
      </c>
      <c r="B2311" s="438"/>
      <c r="C2311" s="438"/>
      <c r="D2311" s="438"/>
      <c r="E2311" s="438"/>
      <c r="F2311" s="438"/>
      <c r="G2311" s="438"/>
      <c r="H2311" s="438"/>
      <c r="I2311" s="438"/>
      <c r="J2311" s="11"/>
      <c r="Q2311" s="348" t="str">
        <f t="shared" si="288"/>
        <v/>
      </c>
      <c r="R2311" s="348" t="str">
        <f t="shared" si="289"/>
        <v/>
      </c>
      <c r="S2311" s="348" t="str">
        <f t="shared" si="290"/>
        <v/>
      </c>
      <c r="T2311" s="348" t="str">
        <f t="shared" si="291"/>
        <v/>
      </c>
      <c r="U2311" s="348" t="str">
        <f t="shared" si="292"/>
        <v/>
      </c>
      <c r="V2311" s="348" t="str">
        <f t="shared" si="293"/>
        <v/>
      </c>
      <c r="W2311" s="348" t="str">
        <f t="shared" si="294"/>
        <v/>
      </c>
      <c r="X2311" s="348" t="str">
        <f t="shared" si="295"/>
        <v/>
      </c>
    </row>
    <row r="2312" spans="1:24" x14ac:dyDescent="0.2">
      <c r="A2312" s="407">
        <v>2304</v>
      </c>
      <c r="B2312" s="438"/>
      <c r="C2312" s="438"/>
      <c r="D2312" s="438"/>
      <c r="E2312" s="438"/>
      <c r="F2312" s="438"/>
      <c r="G2312" s="438"/>
      <c r="H2312" s="438"/>
      <c r="I2312" s="438"/>
      <c r="J2312" s="11"/>
      <c r="Q2312" s="348" t="str">
        <f t="shared" si="288"/>
        <v/>
      </c>
      <c r="R2312" s="348" t="str">
        <f t="shared" si="289"/>
        <v/>
      </c>
      <c r="S2312" s="348" t="str">
        <f t="shared" si="290"/>
        <v/>
      </c>
      <c r="T2312" s="348" t="str">
        <f t="shared" si="291"/>
        <v/>
      </c>
      <c r="U2312" s="348" t="str">
        <f t="shared" si="292"/>
        <v/>
      </c>
      <c r="V2312" s="348" t="str">
        <f t="shared" si="293"/>
        <v/>
      </c>
      <c r="W2312" s="348" t="str">
        <f t="shared" si="294"/>
        <v/>
      </c>
      <c r="X2312" s="348" t="str">
        <f t="shared" si="295"/>
        <v/>
      </c>
    </row>
    <row r="2313" spans="1:24" x14ac:dyDescent="0.2">
      <c r="A2313" s="407">
        <v>2305</v>
      </c>
      <c r="B2313" s="438"/>
      <c r="C2313" s="438"/>
      <c r="D2313" s="438"/>
      <c r="E2313" s="438"/>
      <c r="F2313" s="438"/>
      <c r="G2313" s="438"/>
      <c r="H2313" s="438"/>
      <c r="I2313" s="438"/>
      <c r="J2313" s="11"/>
      <c r="Q2313" s="348" t="str">
        <f t="shared" si="288"/>
        <v/>
      </c>
      <c r="R2313" s="348" t="str">
        <f t="shared" si="289"/>
        <v/>
      </c>
      <c r="S2313" s="348" t="str">
        <f t="shared" si="290"/>
        <v/>
      </c>
      <c r="T2313" s="348" t="str">
        <f t="shared" si="291"/>
        <v/>
      </c>
      <c r="U2313" s="348" t="str">
        <f t="shared" si="292"/>
        <v/>
      </c>
      <c r="V2313" s="348" t="str">
        <f t="shared" si="293"/>
        <v/>
      </c>
      <c r="W2313" s="348" t="str">
        <f t="shared" si="294"/>
        <v/>
      </c>
      <c r="X2313" s="348" t="str">
        <f t="shared" si="295"/>
        <v/>
      </c>
    </row>
    <row r="2314" spans="1:24" x14ac:dyDescent="0.2">
      <c r="A2314" s="407">
        <v>2306</v>
      </c>
      <c r="B2314" s="438"/>
      <c r="C2314" s="438"/>
      <c r="D2314" s="438"/>
      <c r="E2314" s="438"/>
      <c r="F2314" s="438"/>
      <c r="G2314" s="438"/>
      <c r="H2314" s="438"/>
      <c r="I2314" s="438"/>
      <c r="J2314" s="11"/>
      <c r="Q2314" s="348" t="str">
        <f t="shared" ref="Q2314:Q2377" si="296">IFERROR(B2314^4*$AB$9+B2314^3*$AC$9+B2314^2*$AD$9+B2314^1*$AE$9+B2314^0*$AF$9,"")</f>
        <v/>
      </c>
      <c r="R2314" s="348" t="str">
        <f t="shared" ref="R2314:R2377" si="297">IFERROR(C2314^4*$AB$10+C2314^3*$AC$10+C2314^2*$AD$10+C2314^1*$AE$10+C2314^0*$AF$10,"")</f>
        <v/>
      </c>
      <c r="S2314" s="348" t="str">
        <f t="shared" ref="S2314:S2377" si="298">IFERROR(D2314^4*$AB$11+D2314^3*$AC$11+D2314^2*$AD$11+D2314^1*$AE$11+D2314^0*$AF$11,"")</f>
        <v/>
      </c>
      <c r="T2314" s="348" t="str">
        <f t="shared" ref="T2314:T2377" si="299">IFERROR(E2314^4*$AB$12+E2314^3*$AC$12+E2314^2*$AD$12+E2314^1*$AE$12+E2314^0*$AF$12,"")</f>
        <v/>
      </c>
      <c r="U2314" s="348" t="str">
        <f t="shared" ref="U2314:U2377" si="300">IFERROR(F2314^4*$AB$13+F2314^3*$AC$13+F2314^2*$AD$13+F2314^1*$AE$13+F2314^0*$AF$13,"")</f>
        <v/>
      </c>
      <c r="V2314" s="348" t="str">
        <f t="shared" ref="V2314:V2377" si="301">IFERROR(G2314^4*$AB$14+G2314^3*$AC$14+G2314^2*$AD$14+G2314^1*$AE$14+G2314^0*$AF$14,"")</f>
        <v/>
      </c>
      <c r="W2314" s="348" t="str">
        <f t="shared" ref="W2314:W2377" si="302">IFERROR(H2314^4*$AB$15+H2314^3*$AC$15+H2314^2*$AD$15+H2314^1*$AE$15+H2314^0*$AF$15,"")</f>
        <v/>
      </c>
      <c r="X2314" s="348" t="str">
        <f t="shared" ref="X2314:X2377" si="303">IFERROR(I2314^4*$AB$16+I2314^3*$AC$16+I2314^2*$AD$16+I2314^1*$AE$16+I2314^0*$AF$16,"")</f>
        <v/>
      </c>
    </row>
    <row r="2315" spans="1:24" x14ac:dyDescent="0.2">
      <c r="A2315" s="407">
        <v>2307</v>
      </c>
      <c r="B2315" s="438"/>
      <c r="C2315" s="438"/>
      <c r="D2315" s="438"/>
      <c r="E2315" s="438"/>
      <c r="F2315" s="438"/>
      <c r="G2315" s="438"/>
      <c r="H2315" s="438"/>
      <c r="I2315" s="438"/>
      <c r="J2315" s="11"/>
      <c r="Q2315" s="348" t="str">
        <f t="shared" si="296"/>
        <v/>
      </c>
      <c r="R2315" s="348" t="str">
        <f t="shared" si="297"/>
        <v/>
      </c>
      <c r="S2315" s="348" t="str">
        <f t="shared" si="298"/>
        <v/>
      </c>
      <c r="T2315" s="348" t="str">
        <f t="shared" si="299"/>
        <v/>
      </c>
      <c r="U2315" s="348" t="str">
        <f t="shared" si="300"/>
        <v/>
      </c>
      <c r="V2315" s="348" t="str">
        <f t="shared" si="301"/>
        <v/>
      </c>
      <c r="W2315" s="348" t="str">
        <f t="shared" si="302"/>
        <v/>
      </c>
      <c r="X2315" s="348" t="str">
        <f t="shared" si="303"/>
        <v/>
      </c>
    </row>
    <row r="2316" spans="1:24" x14ac:dyDescent="0.2">
      <c r="A2316" s="407">
        <v>2308</v>
      </c>
      <c r="B2316" s="438"/>
      <c r="C2316" s="438"/>
      <c r="D2316" s="438"/>
      <c r="E2316" s="438"/>
      <c r="F2316" s="438"/>
      <c r="G2316" s="438"/>
      <c r="H2316" s="438"/>
      <c r="I2316" s="438"/>
      <c r="J2316" s="11"/>
      <c r="Q2316" s="348" t="str">
        <f t="shared" si="296"/>
        <v/>
      </c>
      <c r="R2316" s="348" t="str">
        <f t="shared" si="297"/>
        <v/>
      </c>
      <c r="S2316" s="348" t="str">
        <f t="shared" si="298"/>
        <v/>
      </c>
      <c r="T2316" s="348" t="str">
        <f t="shared" si="299"/>
        <v/>
      </c>
      <c r="U2316" s="348" t="str">
        <f t="shared" si="300"/>
        <v/>
      </c>
      <c r="V2316" s="348" t="str">
        <f t="shared" si="301"/>
        <v/>
      </c>
      <c r="W2316" s="348" t="str">
        <f t="shared" si="302"/>
        <v/>
      </c>
      <c r="X2316" s="348" t="str">
        <f t="shared" si="303"/>
        <v/>
      </c>
    </row>
    <row r="2317" spans="1:24" x14ac:dyDescent="0.2">
      <c r="A2317" s="407">
        <v>2309</v>
      </c>
      <c r="B2317" s="437"/>
      <c r="C2317" s="438"/>
      <c r="D2317" s="438"/>
      <c r="E2317" s="438"/>
      <c r="F2317" s="438"/>
      <c r="G2317" s="438"/>
      <c r="H2317" s="438"/>
      <c r="I2317" s="438"/>
      <c r="J2317" s="11"/>
      <c r="Q2317" s="348" t="str">
        <f t="shared" si="296"/>
        <v/>
      </c>
      <c r="R2317" s="348" t="str">
        <f t="shared" si="297"/>
        <v/>
      </c>
      <c r="S2317" s="348" t="str">
        <f t="shared" si="298"/>
        <v/>
      </c>
      <c r="T2317" s="348" t="str">
        <f t="shared" si="299"/>
        <v/>
      </c>
      <c r="U2317" s="348" t="str">
        <f t="shared" si="300"/>
        <v/>
      </c>
      <c r="V2317" s="348" t="str">
        <f t="shared" si="301"/>
        <v/>
      </c>
      <c r="W2317" s="348" t="str">
        <f t="shared" si="302"/>
        <v/>
      </c>
      <c r="X2317" s="348" t="str">
        <f t="shared" si="303"/>
        <v/>
      </c>
    </row>
    <row r="2318" spans="1:24" x14ac:dyDescent="0.2">
      <c r="A2318" s="407">
        <v>2310</v>
      </c>
      <c r="B2318" s="438"/>
      <c r="C2318" s="438"/>
      <c r="D2318" s="438"/>
      <c r="E2318" s="438"/>
      <c r="F2318" s="438"/>
      <c r="G2318" s="438"/>
      <c r="H2318" s="438"/>
      <c r="I2318" s="438"/>
      <c r="J2318" s="11"/>
      <c r="Q2318" s="348" t="str">
        <f t="shared" si="296"/>
        <v/>
      </c>
      <c r="R2318" s="348" t="str">
        <f t="shared" si="297"/>
        <v/>
      </c>
      <c r="S2318" s="348" t="str">
        <f t="shared" si="298"/>
        <v/>
      </c>
      <c r="T2318" s="348" t="str">
        <f t="shared" si="299"/>
        <v/>
      </c>
      <c r="U2318" s="348" t="str">
        <f t="shared" si="300"/>
        <v/>
      </c>
      <c r="V2318" s="348" t="str">
        <f t="shared" si="301"/>
        <v/>
      </c>
      <c r="W2318" s="348" t="str">
        <f t="shared" si="302"/>
        <v/>
      </c>
      <c r="X2318" s="348" t="str">
        <f t="shared" si="303"/>
        <v/>
      </c>
    </row>
    <row r="2319" spans="1:24" x14ac:dyDescent="0.2">
      <c r="A2319" s="407">
        <v>2311</v>
      </c>
      <c r="B2319" s="438"/>
      <c r="C2319" s="438"/>
      <c r="D2319" s="438"/>
      <c r="E2319" s="438"/>
      <c r="F2319" s="438"/>
      <c r="G2319" s="438"/>
      <c r="H2319" s="438"/>
      <c r="I2319" s="438"/>
      <c r="J2319" s="11"/>
      <c r="Q2319" s="348" t="str">
        <f t="shared" si="296"/>
        <v/>
      </c>
      <c r="R2319" s="348" t="str">
        <f t="shared" si="297"/>
        <v/>
      </c>
      <c r="S2319" s="348" t="str">
        <f t="shared" si="298"/>
        <v/>
      </c>
      <c r="T2319" s="348" t="str">
        <f t="shared" si="299"/>
        <v/>
      </c>
      <c r="U2319" s="348" t="str">
        <f t="shared" si="300"/>
        <v/>
      </c>
      <c r="V2319" s="348" t="str">
        <f t="shared" si="301"/>
        <v/>
      </c>
      <c r="W2319" s="348" t="str">
        <f t="shared" si="302"/>
        <v/>
      </c>
      <c r="X2319" s="348" t="str">
        <f t="shared" si="303"/>
        <v/>
      </c>
    </row>
    <row r="2320" spans="1:24" x14ac:dyDescent="0.2">
      <c r="A2320" s="407">
        <v>2312</v>
      </c>
      <c r="B2320" s="438"/>
      <c r="C2320" s="438"/>
      <c r="D2320" s="438"/>
      <c r="E2320" s="438"/>
      <c r="F2320" s="438"/>
      <c r="G2320" s="438"/>
      <c r="H2320" s="438"/>
      <c r="I2320" s="438"/>
      <c r="J2320" s="11"/>
      <c r="Q2320" s="348" t="str">
        <f t="shared" si="296"/>
        <v/>
      </c>
      <c r="R2320" s="348" t="str">
        <f t="shared" si="297"/>
        <v/>
      </c>
      <c r="S2320" s="348" t="str">
        <f t="shared" si="298"/>
        <v/>
      </c>
      <c r="T2320" s="348" t="str">
        <f t="shared" si="299"/>
        <v/>
      </c>
      <c r="U2320" s="348" t="str">
        <f t="shared" si="300"/>
        <v/>
      </c>
      <c r="V2320" s="348" t="str">
        <f t="shared" si="301"/>
        <v/>
      </c>
      <c r="W2320" s="348" t="str">
        <f t="shared" si="302"/>
        <v/>
      </c>
      <c r="X2320" s="348" t="str">
        <f t="shared" si="303"/>
        <v/>
      </c>
    </row>
    <row r="2321" spans="1:24" x14ac:dyDescent="0.2">
      <c r="A2321" s="407">
        <v>2313</v>
      </c>
      <c r="B2321" s="438"/>
      <c r="C2321" s="438"/>
      <c r="D2321" s="438"/>
      <c r="E2321" s="438"/>
      <c r="F2321" s="438"/>
      <c r="G2321" s="438"/>
      <c r="H2321" s="438"/>
      <c r="I2321" s="438"/>
      <c r="J2321" s="11"/>
      <c r="Q2321" s="348" t="str">
        <f t="shared" si="296"/>
        <v/>
      </c>
      <c r="R2321" s="348" t="str">
        <f t="shared" si="297"/>
        <v/>
      </c>
      <c r="S2321" s="348" t="str">
        <f t="shared" si="298"/>
        <v/>
      </c>
      <c r="T2321" s="348" t="str">
        <f t="shared" si="299"/>
        <v/>
      </c>
      <c r="U2321" s="348" t="str">
        <f t="shared" si="300"/>
        <v/>
      </c>
      <c r="V2321" s="348" t="str">
        <f t="shared" si="301"/>
        <v/>
      </c>
      <c r="W2321" s="348" t="str">
        <f t="shared" si="302"/>
        <v/>
      </c>
      <c r="X2321" s="348" t="str">
        <f t="shared" si="303"/>
        <v/>
      </c>
    </row>
    <row r="2322" spans="1:24" x14ac:dyDescent="0.2">
      <c r="A2322" s="407">
        <v>2314</v>
      </c>
      <c r="B2322" s="438"/>
      <c r="C2322" s="438"/>
      <c r="D2322" s="438"/>
      <c r="E2322" s="438"/>
      <c r="F2322" s="438"/>
      <c r="G2322" s="438"/>
      <c r="H2322" s="438"/>
      <c r="I2322" s="438"/>
      <c r="J2322" s="11"/>
      <c r="Q2322" s="348" t="str">
        <f t="shared" si="296"/>
        <v/>
      </c>
      <c r="R2322" s="348" t="str">
        <f t="shared" si="297"/>
        <v/>
      </c>
      <c r="S2322" s="348" t="str">
        <f t="shared" si="298"/>
        <v/>
      </c>
      <c r="T2322" s="348" t="str">
        <f t="shared" si="299"/>
        <v/>
      </c>
      <c r="U2322" s="348" t="str">
        <f t="shared" si="300"/>
        <v/>
      </c>
      <c r="V2322" s="348" t="str">
        <f t="shared" si="301"/>
        <v/>
      </c>
      <c r="W2322" s="348" t="str">
        <f t="shared" si="302"/>
        <v/>
      </c>
      <c r="X2322" s="348" t="str">
        <f t="shared" si="303"/>
        <v/>
      </c>
    </row>
    <row r="2323" spans="1:24" x14ac:dyDescent="0.2">
      <c r="A2323" s="407">
        <v>2315</v>
      </c>
      <c r="B2323" s="438"/>
      <c r="C2323" s="437"/>
      <c r="D2323" s="438"/>
      <c r="E2323" s="438"/>
      <c r="F2323" s="438"/>
      <c r="G2323" s="438"/>
      <c r="H2323" s="438"/>
      <c r="I2323" s="438"/>
      <c r="J2323" s="11"/>
      <c r="Q2323" s="348" t="str">
        <f t="shared" si="296"/>
        <v/>
      </c>
      <c r="R2323" s="348" t="str">
        <f t="shared" si="297"/>
        <v/>
      </c>
      <c r="S2323" s="348" t="str">
        <f t="shared" si="298"/>
        <v/>
      </c>
      <c r="T2323" s="348" t="str">
        <f t="shared" si="299"/>
        <v/>
      </c>
      <c r="U2323" s="348" t="str">
        <f t="shared" si="300"/>
        <v/>
      </c>
      <c r="V2323" s="348" t="str">
        <f t="shared" si="301"/>
        <v/>
      </c>
      <c r="W2323" s="348" t="str">
        <f t="shared" si="302"/>
        <v/>
      </c>
      <c r="X2323" s="348" t="str">
        <f t="shared" si="303"/>
        <v/>
      </c>
    </row>
    <row r="2324" spans="1:24" x14ac:dyDescent="0.2">
      <c r="A2324" s="407">
        <v>2316</v>
      </c>
      <c r="B2324" s="438"/>
      <c r="C2324" s="438"/>
      <c r="D2324" s="438"/>
      <c r="E2324" s="438"/>
      <c r="F2324" s="438"/>
      <c r="G2324" s="438"/>
      <c r="H2324" s="438"/>
      <c r="I2324" s="438"/>
      <c r="J2324" s="11"/>
      <c r="Q2324" s="348" t="str">
        <f t="shared" si="296"/>
        <v/>
      </c>
      <c r="R2324" s="348" t="str">
        <f t="shared" si="297"/>
        <v/>
      </c>
      <c r="S2324" s="348" t="str">
        <f t="shared" si="298"/>
        <v/>
      </c>
      <c r="T2324" s="348" t="str">
        <f t="shared" si="299"/>
        <v/>
      </c>
      <c r="U2324" s="348" t="str">
        <f t="shared" si="300"/>
        <v/>
      </c>
      <c r="V2324" s="348" t="str">
        <f t="shared" si="301"/>
        <v/>
      </c>
      <c r="W2324" s="348" t="str">
        <f t="shared" si="302"/>
        <v/>
      </c>
      <c r="X2324" s="348" t="str">
        <f t="shared" si="303"/>
        <v/>
      </c>
    </row>
    <row r="2325" spans="1:24" x14ac:dyDescent="0.2">
      <c r="A2325" s="407">
        <v>2317</v>
      </c>
      <c r="B2325" s="438"/>
      <c r="C2325" s="438"/>
      <c r="D2325" s="438"/>
      <c r="E2325" s="438"/>
      <c r="F2325" s="438"/>
      <c r="G2325" s="438"/>
      <c r="H2325" s="438"/>
      <c r="I2325" s="438"/>
      <c r="J2325" s="11"/>
      <c r="Q2325" s="348" t="str">
        <f t="shared" si="296"/>
        <v/>
      </c>
      <c r="R2325" s="348" t="str">
        <f t="shared" si="297"/>
        <v/>
      </c>
      <c r="S2325" s="348" t="str">
        <f t="shared" si="298"/>
        <v/>
      </c>
      <c r="T2325" s="348" t="str">
        <f t="shared" si="299"/>
        <v/>
      </c>
      <c r="U2325" s="348" t="str">
        <f t="shared" si="300"/>
        <v/>
      </c>
      <c r="V2325" s="348" t="str">
        <f t="shared" si="301"/>
        <v/>
      </c>
      <c r="W2325" s="348" t="str">
        <f t="shared" si="302"/>
        <v/>
      </c>
      <c r="X2325" s="348" t="str">
        <f t="shared" si="303"/>
        <v/>
      </c>
    </row>
    <row r="2326" spans="1:24" x14ac:dyDescent="0.2">
      <c r="A2326" s="407">
        <v>2318</v>
      </c>
      <c r="B2326" s="438"/>
      <c r="C2326" s="438"/>
      <c r="D2326" s="438"/>
      <c r="E2326" s="438"/>
      <c r="F2326" s="438"/>
      <c r="G2326" s="438"/>
      <c r="H2326" s="438"/>
      <c r="I2326" s="438"/>
      <c r="J2326" s="11"/>
      <c r="Q2326" s="348" t="str">
        <f t="shared" si="296"/>
        <v/>
      </c>
      <c r="R2326" s="348" t="str">
        <f t="shared" si="297"/>
        <v/>
      </c>
      <c r="S2326" s="348" t="str">
        <f t="shared" si="298"/>
        <v/>
      </c>
      <c r="T2326" s="348" t="str">
        <f t="shared" si="299"/>
        <v/>
      </c>
      <c r="U2326" s="348" t="str">
        <f t="shared" si="300"/>
        <v/>
      </c>
      <c r="V2326" s="348" t="str">
        <f t="shared" si="301"/>
        <v/>
      </c>
      <c r="W2326" s="348" t="str">
        <f t="shared" si="302"/>
        <v/>
      </c>
      <c r="X2326" s="348" t="str">
        <f t="shared" si="303"/>
        <v/>
      </c>
    </row>
    <row r="2327" spans="1:24" x14ac:dyDescent="0.2">
      <c r="A2327" s="407">
        <v>2319</v>
      </c>
      <c r="B2327" s="438"/>
      <c r="C2327" s="438"/>
      <c r="D2327" s="438"/>
      <c r="E2327" s="438"/>
      <c r="F2327" s="438"/>
      <c r="G2327" s="438"/>
      <c r="H2327" s="438"/>
      <c r="I2327" s="438"/>
      <c r="J2327" s="11"/>
      <c r="Q2327" s="348" t="str">
        <f t="shared" si="296"/>
        <v/>
      </c>
      <c r="R2327" s="348" t="str">
        <f t="shared" si="297"/>
        <v/>
      </c>
      <c r="S2327" s="348" t="str">
        <f t="shared" si="298"/>
        <v/>
      </c>
      <c r="T2327" s="348" t="str">
        <f t="shared" si="299"/>
        <v/>
      </c>
      <c r="U2327" s="348" t="str">
        <f t="shared" si="300"/>
        <v/>
      </c>
      <c r="V2327" s="348" t="str">
        <f t="shared" si="301"/>
        <v/>
      </c>
      <c r="W2327" s="348" t="str">
        <f t="shared" si="302"/>
        <v/>
      </c>
      <c r="X2327" s="348" t="str">
        <f t="shared" si="303"/>
        <v/>
      </c>
    </row>
    <row r="2328" spans="1:24" x14ac:dyDescent="0.2">
      <c r="A2328" s="407">
        <v>2320</v>
      </c>
      <c r="B2328" s="438"/>
      <c r="C2328" s="438"/>
      <c r="D2328" s="438"/>
      <c r="E2328" s="438"/>
      <c r="F2328" s="438"/>
      <c r="G2328" s="438"/>
      <c r="H2328" s="438"/>
      <c r="I2328" s="438"/>
      <c r="J2328" s="11"/>
      <c r="Q2328" s="348" t="str">
        <f t="shared" si="296"/>
        <v/>
      </c>
      <c r="R2328" s="348" t="str">
        <f t="shared" si="297"/>
        <v/>
      </c>
      <c r="S2328" s="348" t="str">
        <f t="shared" si="298"/>
        <v/>
      </c>
      <c r="T2328" s="348" t="str">
        <f t="shared" si="299"/>
        <v/>
      </c>
      <c r="U2328" s="348" t="str">
        <f t="shared" si="300"/>
        <v/>
      </c>
      <c r="V2328" s="348" t="str">
        <f t="shared" si="301"/>
        <v/>
      </c>
      <c r="W2328" s="348" t="str">
        <f t="shared" si="302"/>
        <v/>
      </c>
      <c r="X2328" s="348" t="str">
        <f t="shared" si="303"/>
        <v/>
      </c>
    </row>
    <row r="2329" spans="1:24" x14ac:dyDescent="0.2">
      <c r="A2329" s="407">
        <v>2321</v>
      </c>
      <c r="B2329" s="438"/>
      <c r="C2329" s="438"/>
      <c r="D2329" s="438"/>
      <c r="E2329" s="438"/>
      <c r="F2329" s="438"/>
      <c r="G2329" s="438"/>
      <c r="H2329" s="438"/>
      <c r="I2329" s="438"/>
      <c r="J2329" s="11"/>
      <c r="Q2329" s="348" t="str">
        <f t="shared" si="296"/>
        <v/>
      </c>
      <c r="R2329" s="348" t="str">
        <f t="shared" si="297"/>
        <v/>
      </c>
      <c r="S2329" s="348" t="str">
        <f t="shared" si="298"/>
        <v/>
      </c>
      <c r="T2329" s="348" t="str">
        <f t="shared" si="299"/>
        <v/>
      </c>
      <c r="U2329" s="348" t="str">
        <f t="shared" si="300"/>
        <v/>
      </c>
      <c r="V2329" s="348" t="str">
        <f t="shared" si="301"/>
        <v/>
      </c>
      <c r="W2329" s="348" t="str">
        <f t="shared" si="302"/>
        <v/>
      </c>
      <c r="X2329" s="348" t="str">
        <f t="shared" si="303"/>
        <v/>
      </c>
    </row>
    <row r="2330" spans="1:24" x14ac:dyDescent="0.2">
      <c r="A2330" s="407">
        <v>2322</v>
      </c>
      <c r="B2330" s="438"/>
      <c r="C2330" s="438"/>
      <c r="D2330" s="438"/>
      <c r="E2330" s="438"/>
      <c r="F2330" s="438"/>
      <c r="G2330" s="438"/>
      <c r="H2330" s="438"/>
      <c r="I2330" s="438"/>
      <c r="J2330" s="11"/>
      <c r="Q2330" s="348" t="str">
        <f t="shared" si="296"/>
        <v/>
      </c>
      <c r="R2330" s="348" t="str">
        <f t="shared" si="297"/>
        <v/>
      </c>
      <c r="S2330" s="348" t="str">
        <f t="shared" si="298"/>
        <v/>
      </c>
      <c r="T2330" s="348" t="str">
        <f t="shared" si="299"/>
        <v/>
      </c>
      <c r="U2330" s="348" t="str">
        <f t="shared" si="300"/>
        <v/>
      </c>
      <c r="V2330" s="348" t="str">
        <f t="shared" si="301"/>
        <v/>
      </c>
      <c r="W2330" s="348" t="str">
        <f t="shared" si="302"/>
        <v/>
      </c>
      <c r="X2330" s="348" t="str">
        <f t="shared" si="303"/>
        <v/>
      </c>
    </row>
    <row r="2331" spans="1:24" x14ac:dyDescent="0.2">
      <c r="A2331" s="407">
        <v>2323</v>
      </c>
      <c r="B2331" s="438"/>
      <c r="C2331" s="438"/>
      <c r="D2331" s="438"/>
      <c r="E2331" s="438"/>
      <c r="F2331" s="438"/>
      <c r="G2331" s="438"/>
      <c r="H2331" s="438"/>
      <c r="I2331" s="438"/>
      <c r="J2331" s="11"/>
      <c r="Q2331" s="348" t="str">
        <f t="shared" si="296"/>
        <v/>
      </c>
      <c r="R2331" s="348" t="str">
        <f t="shared" si="297"/>
        <v/>
      </c>
      <c r="S2331" s="348" t="str">
        <f t="shared" si="298"/>
        <v/>
      </c>
      <c r="T2331" s="348" t="str">
        <f t="shared" si="299"/>
        <v/>
      </c>
      <c r="U2331" s="348" t="str">
        <f t="shared" si="300"/>
        <v/>
      </c>
      <c r="V2331" s="348" t="str">
        <f t="shared" si="301"/>
        <v/>
      </c>
      <c r="W2331" s="348" t="str">
        <f t="shared" si="302"/>
        <v/>
      </c>
      <c r="X2331" s="348" t="str">
        <f t="shared" si="303"/>
        <v/>
      </c>
    </row>
    <row r="2332" spans="1:24" x14ac:dyDescent="0.2">
      <c r="A2332" s="407">
        <v>2324</v>
      </c>
      <c r="B2332" s="438"/>
      <c r="C2332" s="438"/>
      <c r="D2332" s="438"/>
      <c r="E2332" s="438"/>
      <c r="F2332" s="438"/>
      <c r="G2332" s="438"/>
      <c r="H2332" s="438"/>
      <c r="I2332" s="438"/>
      <c r="J2332" s="11"/>
      <c r="Q2332" s="348" t="str">
        <f t="shared" si="296"/>
        <v/>
      </c>
      <c r="R2332" s="348" t="str">
        <f t="shared" si="297"/>
        <v/>
      </c>
      <c r="S2332" s="348" t="str">
        <f t="shared" si="298"/>
        <v/>
      </c>
      <c r="T2332" s="348" t="str">
        <f t="shared" si="299"/>
        <v/>
      </c>
      <c r="U2332" s="348" t="str">
        <f t="shared" si="300"/>
        <v/>
      </c>
      <c r="V2332" s="348" t="str">
        <f t="shared" si="301"/>
        <v/>
      </c>
      <c r="W2332" s="348" t="str">
        <f t="shared" si="302"/>
        <v/>
      </c>
      <c r="X2332" s="348" t="str">
        <f t="shared" si="303"/>
        <v/>
      </c>
    </row>
    <row r="2333" spans="1:24" x14ac:dyDescent="0.2">
      <c r="A2333" s="407">
        <v>2325</v>
      </c>
      <c r="B2333" s="438"/>
      <c r="C2333" s="438"/>
      <c r="D2333" s="438"/>
      <c r="E2333" s="438"/>
      <c r="F2333" s="438"/>
      <c r="G2333" s="438"/>
      <c r="H2333" s="438"/>
      <c r="I2333" s="437"/>
      <c r="J2333" s="11"/>
      <c r="Q2333" s="348" t="str">
        <f t="shared" si="296"/>
        <v/>
      </c>
      <c r="R2333" s="348" t="str">
        <f t="shared" si="297"/>
        <v/>
      </c>
      <c r="S2333" s="348" t="str">
        <f t="shared" si="298"/>
        <v/>
      </c>
      <c r="T2333" s="348" t="str">
        <f t="shared" si="299"/>
        <v/>
      </c>
      <c r="U2333" s="348" t="str">
        <f t="shared" si="300"/>
        <v/>
      </c>
      <c r="V2333" s="348" t="str">
        <f t="shared" si="301"/>
        <v/>
      </c>
      <c r="W2333" s="348" t="str">
        <f t="shared" si="302"/>
        <v/>
      </c>
      <c r="X2333" s="348" t="str">
        <f t="shared" si="303"/>
        <v/>
      </c>
    </row>
    <row r="2334" spans="1:24" x14ac:dyDescent="0.2">
      <c r="A2334" s="407">
        <v>2326</v>
      </c>
      <c r="B2334" s="438"/>
      <c r="C2334" s="438"/>
      <c r="D2334" s="438"/>
      <c r="E2334" s="437"/>
      <c r="F2334" s="437"/>
      <c r="G2334" s="437"/>
      <c r="H2334" s="437"/>
      <c r="I2334" s="438"/>
      <c r="J2334" s="11"/>
      <c r="Q2334" s="348" t="str">
        <f t="shared" si="296"/>
        <v/>
      </c>
      <c r="R2334" s="348" t="str">
        <f t="shared" si="297"/>
        <v/>
      </c>
      <c r="S2334" s="348" t="str">
        <f t="shared" si="298"/>
        <v/>
      </c>
      <c r="T2334" s="348" t="str">
        <f t="shared" si="299"/>
        <v/>
      </c>
      <c r="U2334" s="348" t="str">
        <f t="shared" si="300"/>
        <v/>
      </c>
      <c r="V2334" s="348" t="str">
        <f t="shared" si="301"/>
        <v/>
      </c>
      <c r="W2334" s="348" t="str">
        <f t="shared" si="302"/>
        <v/>
      </c>
      <c r="X2334" s="348" t="str">
        <f t="shared" si="303"/>
        <v/>
      </c>
    </row>
    <row r="2335" spans="1:24" x14ac:dyDescent="0.2">
      <c r="A2335" s="407">
        <v>2327</v>
      </c>
      <c r="B2335" s="438"/>
      <c r="C2335" s="438"/>
      <c r="D2335" s="438"/>
      <c r="E2335" s="438"/>
      <c r="F2335" s="438"/>
      <c r="G2335" s="438"/>
      <c r="H2335" s="438"/>
      <c r="I2335" s="438"/>
      <c r="J2335" s="11"/>
      <c r="Q2335" s="348" t="str">
        <f t="shared" si="296"/>
        <v/>
      </c>
      <c r="R2335" s="348" t="str">
        <f t="shared" si="297"/>
        <v/>
      </c>
      <c r="S2335" s="348" t="str">
        <f t="shared" si="298"/>
        <v/>
      </c>
      <c r="T2335" s="348" t="str">
        <f t="shared" si="299"/>
        <v/>
      </c>
      <c r="U2335" s="348" t="str">
        <f t="shared" si="300"/>
        <v/>
      </c>
      <c r="V2335" s="348" t="str">
        <f t="shared" si="301"/>
        <v/>
      </c>
      <c r="W2335" s="348" t="str">
        <f t="shared" si="302"/>
        <v/>
      </c>
      <c r="X2335" s="348" t="str">
        <f t="shared" si="303"/>
        <v/>
      </c>
    </row>
    <row r="2336" spans="1:24" x14ac:dyDescent="0.2">
      <c r="A2336" s="407">
        <v>2328</v>
      </c>
      <c r="B2336" s="437"/>
      <c r="C2336" s="438"/>
      <c r="D2336" s="438"/>
      <c r="E2336" s="438"/>
      <c r="F2336" s="438"/>
      <c r="G2336" s="438"/>
      <c r="H2336" s="438"/>
      <c r="I2336" s="438"/>
      <c r="J2336" s="11"/>
      <c r="Q2336" s="348" t="str">
        <f t="shared" si="296"/>
        <v/>
      </c>
      <c r="R2336" s="348" t="str">
        <f t="shared" si="297"/>
        <v/>
      </c>
      <c r="S2336" s="348" t="str">
        <f t="shared" si="298"/>
        <v/>
      </c>
      <c r="T2336" s="348" t="str">
        <f t="shared" si="299"/>
        <v/>
      </c>
      <c r="U2336" s="348" t="str">
        <f t="shared" si="300"/>
        <v/>
      </c>
      <c r="V2336" s="348" t="str">
        <f t="shared" si="301"/>
        <v/>
      </c>
      <c r="W2336" s="348" t="str">
        <f t="shared" si="302"/>
        <v/>
      </c>
      <c r="X2336" s="348" t="str">
        <f t="shared" si="303"/>
        <v/>
      </c>
    </row>
    <row r="2337" spans="1:24" x14ac:dyDescent="0.2">
      <c r="A2337" s="407">
        <v>2329</v>
      </c>
      <c r="B2337" s="438"/>
      <c r="C2337" s="438"/>
      <c r="D2337" s="438"/>
      <c r="E2337" s="438"/>
      <c r="F2337" s="438"/>
      <c r="G2337" s="438"/>
      <c r="H2337" s="438"/>
      <c r="I2337" s="438"/>
      <c r="J2337" s="11"/>
      <c r="Q2337" s="348" t="str">
        <f t="shared" si="296"/>
        <v/>
      </c>
      <c r="R2337" s="348" t="str">
        <f t="shared" si="297"/>
        <v/>
      </c>
      <c r="S2337" s="348" t="str">
        <f t="shared" si="298"/>
        <v/>
      </c>
      <c r="T2337" s="348" t="str">
        <f t="shared" si="299"/>
        <v/>
      </c>
      <c r="U2337" s="348" t="str">
        <f t="shared" si="300"/>
        <v/>
      </c>
      <c r="V2337" s="348" t="str">
        <f t="shared" si="301"/>
        <v/>
      </c>
      <c r="W2337" s="348" t="str">
        <f t="shared" si="302"/>
        <v/>
      </c>
      <c r="X2337" s="348" t="str">
        <f t="shared" si="303"/>
        <v/>
      </c>
    </row>
    <row r="2338" spans="1:24" x14ac:dyDescent="0.2">
      <c r="A2338" s="407">
        <v>2330</v>
      </c>
      <c r="B2338" s="438"/>
      <c r="C2338" s="438"/>
      <c r="D2338" s="438"/>
      <c r="E2338" s="438"/>
      <c r="F2338" s="438"/>
      <c r="G2338" s="438"/>
      <c r="H2338" s="438"/>
      <c r="I2338" s="438"/>
      <c r="J2338" s="11"/>
      <c r="Q2338" s="348" t="str">
        <f t="shared" si="296"/>
        <v/>
      </c>
      <c r="R2338" s="348" t="str">
        <f t="shared" si="297"/>
        <v/>
      </c>
      <c r="S2338" s="348" t="str">
        <f t="shared" si="298"/>
        <v/>
      </c>
      <c r="T2338" s="348" t="str">
        <f t="shared" si="299"/>
        <v/>
      </c>
      <c r="U2338" s="348" t="str">
        <f t="shared" si="300"/>
        <v/>
      </c>
      <c r="V2338" s="348" t="str">
        <f t="shared" si="301"/>
        <v/>
      </c>
      <c r="W2338" s="348" t="str">
        <f t="shared" si="302"/>
        <v/>
      </c>
      <c r="X2338" s="348" t="str">
        <f t="shared" si="303"/>
        <v/>
      </c>
    </row>
    <row r="2339" spans="1:24" x14ac:dyDescent="0.2">
      <c r="A2339" s="407">
        <v>2331</v>
      </c>
      <c r="B2339" s="438"/>
      <c r="C2339" s="438"/>
      <c r="D2339" s="438"/>
      <c r="E2339" s="438"/>
      <c r="F2339" s="438"/>
      <c r="G2339" s="438"/>
      <c r="H2339" s="438"/>
      <c r="I2339" s="438"/>
      <c r="J2339" s="11"/>
      <c r="Q2339" s="348" t="str">
        <f t="shared" si="296"/>
        <v/>
      </c>
      <c r="R2339" s="348" t="str">
        <f t="shared" si="297"/>
        <v/>
      </c>
      <c r="S2339" s="348" t="str">
        <f t="shared" si="298"/>
        <v/>
      </c>
      <c r="T2339" s="348" t="str">
        <f t="shared" si="299"/>
        <v/>
      </c>
      <c r="U2339" s="348" t="str">
        <f t="shared" si="300"/>
        <v/>
      </c>
      <c r="V2339" s="348" t="str">
        <f t="shared" si="301"/>
        <v/>
      </c>
      <c r="W2339" s="348" t="str">
        <f t="shared" si="302"/>
        <v/>
      </c>
      <c r="X2339" s="348" t="str">
        <f t="shared" si="303"/>
        <v/>
      </c>
    </row>
    <row r="2340" spans="1:24" x14ac:dyDescent="0.2">
      <c r="A2340" s="407">
        <v>2332</v>
      </c>
      <c r="B2340" s="438"/>
      <c r="C2340" s="438"/>
      <c r="D2340" s="438"/>
      <c r="E2340" s="438"/>
      <c r="F2340" s="438"/>
      <c r="G2340" s="438"/>
      <c r="H2340" s="438"/>
      <c r="I2340" s="438"/>
      <c r="J2340" s="11"/>
      <c r="Q2340" s="348" t="str">
        <f t="shared" si="296"/>
        <v/>
      </c>
      <c r="R2340" s="348" t="str">
        <f t="shared" si="297"/>
        <v/>
      </c>
      <c r="S2340" s="348" t="str">
        <f t="shared" si="298"/>
        <v/>
      </c>
      <c r="T2340" s="348" t="str">
        <f t="shared" si="299"/>
        <v/>
      </c>
      <c r="U2340" s="348" t="str">
        <f t="shared" si="300"/>
        <v/>
      </c>
      <c r="V2340" s="348" t="str">
        <f t="shared" si="301"/>
        <v/>
      </c>
      <c r="W2340" s="348" t="str">
        <f t="shared" si="302"/>
        <v/>
      </c>
      <c r="X2340" s="348" t="str">
        <f t="shared" si="303"/>
        <v/>
      </c>
    </row>
    <row r="2341" spans="1:24" x14ac:dyDescent="0.2">
      <c r="A2341" s="407">
        <v>2333</v>
      </c>
      <c r="B2341" s="438"/>
      <c r="C2341" s="438"/>
      <c r="D2341" s="438"/>
      <c r="E2341" s="438"/>
      <c r="F2341" s="438"/>
      <c r="G2341" s="438"/>
      <c r="H2341" s="438"/>
      <c r="I2341" s="438"/>
      <c r="J2341" s="11"/>
      <c r="Q2341" s="348" t="str">
        <f t="shared" si="296"/>
        <v/>
      </c>
      <c r="R2341" s="348" t="str">
        <f t="shared" si="297"/>
        <v/>
      </c>
      <c r="S2341" s="348" t="str">
        <f t="shared" si="298"/>
        <v/>
      </c>
      <c r="T2341" s="348" t="str">
        <f t="shared" si="299"/>
        <v/>
      </c>
      <c r="U2341" s="348" t="str">
        <f t="shared" si="300"/>
        <v/>
      </c>
      <c r="V2341" s="348" t="str">
        <f t="shared" si="301"/>
        <v/>
      </c>
      <c r="W2341" s="348" t="str">
        <f t="shared" si="302"/>
        <v/>
      </c>
      <c r="X2341" s="348" t="str">
        <f t="shared" si="303"/>
        <v/>
      </c>
    </row>
    <row r="2342" spans="1:24" x14ac:dyDescent="0.2">
      <c r="A2342" s="407">
        <v>2334</v>
      </c>
      <c r="B2342" s="438"/>
      <c r="C2342" s="438"/>
      <c r="D2342" s="438"/>
      <c r="E2342" s="438"/>
      <c r="F2342" s="438"/>
      <c r="G2342" s="438"/>
      <c r="H2342" s="438"/>
      <c r="I2342" s="438"/>
      <c r="J2342" s="11"/>
      <c r="Q2342" s="348" t="str">
        <f t="shared" si="296"/>
        <v/>
      </c>
      <c r="R2342" s="348" t="str">
        <f t="shared" si="297"/>
        <v/>
      </c>
      <c r="S2342" s="348" t="str">
        <f t="shared" si="298"/>
        <v/>
      </c>
      <c r="T2342" s="348" t="str">
        <f t="shared" si="299"/>
        <v/>
      </c>
      <c r="U2342" s="348" t="str">
        <f t="shared" si="300"/>
        <v/>
      </c>
      <c r="V2342" s="348" t="str">
        <f t="shared" si="301"/>
        <v/>
      </c>
      <c r="W2342" s="348" t="str">
        <f t="shared" si="302"/>
        <v/>
      </c>
      <c r="X2342" s="348" t="str">
        <f t="shared" si="303"/>
        <v/>
      </c>
    </row>
    <row r="2343" spans="1:24" x14ac:dyDescent="0.2">
      <c r="A2343" s="407">
        <v>2335</v>
      </c>
      <c r="B2343" s="438"/>
      <c r="C2343" s="438"/>
      <c r="D2343" s="438"/>
      <c r="E2343" s="438"/>
      <c r="F2343" s="438"/>
      <c r="G2343" s="438"/>
      <c r="H2343" s="438"/>
      <c r="I2343" s="438"/>
      <c r="J2343" s="11"/>
      <c r="Q2343" s="348" t="str">
        <f t="shared" si="296"/>
        <v/>
      </c>
      <c r="R2343" s="348" t="str">
        <f t="shared" si="297"/>
        <v/>
      </c>
      <c r="S2343" s="348" t="str">
        <f t="shared" si="298"/>
        <v/>
      </c>
      <c r="T2343" s="348" t="str">
        <f t="shared" si="299"/>
        <v/>
      </c>
      <c r="U2343" s="348" t="str">
        <f t="shared" si="300"/>
        <v/>
      </c>
      <c r="V2343" s="348" t="str">
        <f t="shared" si="301"/>
        <v/>
      </c>
      <c r="W2343" s="348" t="str">
        <f t="shared" si="302"/>
        <v/>
      </c>
      <c r="X2343" s="348" t="str">
        <f t="shared" si="303"/>
        <v/>
      </c>
    </row>
    <row r="2344" spans="1:24" x14ac:dyDescent="0.2">
      <c r="A2344" s="407">
        <v>2336</v>
      </c>
      <c r="B2344" s="438"/>
      <c r="C2344" s="437"/>
      <c r="D2344" s="438"/>
      <c r="E2344" s="438"/>
      <c r="F2344" s="438"/>
      <c r="G2344" s="438"/>
      <c r="H2344" s="438"/>
      <c r="I2344" s="438"/>
      <c r="J2344" s="11"/>
      <c r="Q2344" s="348" t="str">
        <f t="shared" si="296"/>
        <v/>
      </c>
      <c r="R2344" s="348" t="str">
        <f t="shared" si="297"/>
        <v/>
      </c>
      <c r="S2344" s="348" t="str">
        <f t="shared" si="298"/>
        <v/>
      </c>
      <c r="T2344" s="348" t="str">
        <f t="shared" si="299"/>
        <v/>
      </c>
      <c r="U2344" s="348" t="str">
        <f t="shared" si="300"/>
        <v/>
      </c>
      <c r="V2344" s="348" t="str">
        <f t="shared" si="301"/>
        <v/>
      </c>
      <c r="W2344" s="348" t="str">
        <f t="shared" si="302"/>
        <v/>
      </c>
      <c r="X2344" s="348" t="str">
        <f t="shared" si="303"/>
        <v/>
      </c>
    </row>
    <row r="2345" spans="1:24" x14ac:dyDescent="0.2">
      <c r="A2345" s="407">
        <v>2337</v>
      </c>
      <c r="B2345" s="438"/>
      <c r="C2345" s="438"/>
      <c r="D2345" s="438"/>
      <c r="E2345" s="438"/>
      <c r="F2345" s="438"/>
      <c r="G2345" s="438"/>
      <c r="H2345" s="438"/>
      <c r="I2345" s="438"/>
      <c r="J2345" s="11"/>
      <c r="Q2345" s="348" t="str">
        <f t="shared" si="296"/>
        <v/>
      </c>
      <c r="R2345" s="348" t="str">
        <f t="shared" si="297"/>
        <v/>
      </c>
      <c r="S2345" s="348" t="str">
        <f t="shared" si="298"/>
        <v/>
      </c>
      <c r="T2345" s="348" t="str">
        <f t="shared" si="299"/>
        <v/>
      </c>
      <c r="U2345" s="348" t="str">
        <f t="shared" si="300"/>
        <v/>
      </c>
      <c r="V2345" s="348" t="str">
        <f t="shared" si="301"/>
        <v/>
      </c>
      <c r="W2345" s="348" t="str">
        <f t="shared" si="302"/>
        <v/>
      </c>
      <c r="X2345" s="348" t="str">
        <f t="shared" si="303"/>
        <v/>
      </c>
    </row>
    <row r="2346" spans="1:24" x14ac:dyDescent="0.2">
      <c r="A2346" s="407">
        <v>2338</v>
      </c>
      <c r="B2346" s="437"/>
      <c r="C2346" s="438"/>
      <c r="D2346" s="438"/>
      <c r="E2346" s="438"/>
      <c r="F2346" s="438"/>
      <c r="G2346" s="438"/>
      <c r="H2346" s="438"/>
      <c r="I2346" s="438"/>
      <c r="J2346" s="11"/>
      <c r="Q2346" s="348" t="str">
        <f t="shared" si="296"/>
        <v/>
      </c>
      <c r="R2346" s="348" t="str">
        <f t="shared" si="297"/>
        <v/>
      </c>
      <c r="S2346" s="348" t="str">
        <f t="shared" si="298"/>
        <v/>
      </c>
      <c r="T2346" s="348" t="str">
        <f t="shared" si="299"/>
        <v/>
      </c>
      <c r="U2346" s="348" t="str">
        <f t="shared" si="300"/>
        <v/>
      </c>
      <c r="V2346" s="348" t="str">
        <f t="shared" si="301"/>
        <v/>
      </c>
      <c r="W2346" s="348" t="str">
        <f t="shared" si="302"/>
        <v/>
      </c>
      <c r="X2346" s="348" t="str">
        <f t="shared" si="303"/>
        <v/>
      </c>
    </row>
    <row r="2347" spans="1:24" x14ac:dyDescent="0.2">
      <c r="A2347" s="407">
        <v>2339</v>
      </c>
      <c r="B2347" s="438"/>
      <c r="C2347" s="438"/>
      <c r="D2347" s="438"/>
      <c r="E2347" s="438"/>
      <c r="F2347" s="438"/>
      <c r="G2347" s="438"/>
      <c r="H2347" s="438"/>
      <c r="I2347" s="438"/>
      <c r="J2347" s="11"/>
      <c r="Q2347" s="348" t="str">
        <f t="shared" si="296"/>
        <v/>
      </c>
      <c r="R2347" s="348" t="str">
        <f t="shared" si="297"/>
        <v/>
      </c>
      <c r="S2347" s="348" t="str">
        <f t="shared" si="298"/>
        <v/>
      </c>
      <c r="T2347" s="348" t="str">
        <f t="shared" si="299"/>
        <v/>
      </c>
      <c r="U2347" s="348" t="str">
        <f t="shared" si="300"/>
        <v/>
      </c>
      <c r="V2347" s="348" t="str">
        <f t="shared" si="301"/>
        <v/>
      </c>
      <c r="W2347" s="348" t="str">
        <f t="shared" si="302"/>
        <v/>
      </c>
      <c r="X2347" s="348" t="str">
        <f t="shared" si="303"/>
        <v/>
      </c>
    </row>
    <row r="2348" spans="1:24" x14ac:dyDescent="0.2">
      <c r="A2348" s="407">
        <v>2340</v>
      </c>
      <c r="B2348" s="438"/>
      <c r="C2348" s="438"/>
      <c r="D2348" s="437"/>
      <c r="E2348" s="438"/>
      <c r="F2348" s="438"/>
      <c r="G2348" s="438"/>
      <c r="H2348" s="438"/>
      <c r="I2348" s="438"/>
      <c r="J2348" s="11"/>
      <c r="Q2348" s="348" t="str">
        <f t="shared" si="296"/>
        <v/>
      </c>
      <c r="R2348" s="348" t="str">
        <f t="shared" si="297"/>
        <v/>
      </c>
      <c r="S2348" s="348" t="str">
        <f t="shared" si="298"/>
        <v/>
      </c>
      <c r="T2348" s="348" t="str">
        <f t="shared" si="299"/>
        <v/>
      </c>
      <c r="U2348" s="348" t="str">
        <f t="shared" si="300"/>
        <v/>
      </c>
      <c r="V2348" s="348" t="str">
        <f t="shared" si="301"/>
        <v/>
      </c>
      <c r="W2348" s="348" t="str">
        <f t="shared" si="302"/>
        <v/>
      </c>
      <c r="X2348" s="348" t="str">
        <f t="shared" si="303"/>
        <v/>
      </c>
    </row>
    <row r="2349" spans="1:24" x14ac:dyDescent="0.2">
      <c r="A2349" s="407">
        <v>2341</v>
      </c>
      <c r="B2349" s="438"/>
      <c r="C2349" s="438"/>
      <c r="D2349" s="438"/>
      <c r="E2349" s="438"/>
      <c r="F2349" s="438"/>
      <c r="G2349" s="438"/>
      <c r="H2349" s="438"/>
      <c r="I2349" s="438"/>
      <c r="J2349" s="11"/>
      <c r="Q2349" s="348" t="str">
        <f t="shared" si="296"/>
        <v/>
      </c>
      <c r="R2349" s="348" t="str">
        <f t="shared" si="297"/>
        <v/>
      </c>
      <c r="S2349" s="348" t="str">
        <f t="shared" si="298"/>
        <v/>
      </c>
      <c r="T2349" s="348" t="str">
        <f t="shared" si="299"/>
        <v/>
      </c>
      <c r="U2349" s="348" t="str">
        <f t="shared" si="300"/>
        <v/>
      </c>
      <c r="V2349" s="348" t="str">
        <f t="shared" si="301"/>
        <v/>
      </c>
      <c r="W2349" s="348" t="str">
        <f t="shared" si="302"/>
        <v/>
      </c>
      <c r="X2349" s="348" t="str">
        <f t="shared" si="303"/>
        <v/>
      </c>
    </row>
    <row r="2350" spans="1:24" x14ac:dyDescent="0.2">
      <c r="A2350" s="407">
        <v>2342</v>
      </c>
      <c r="B2350" s="438"/>
      <c r="C2350" s="438"/>
      <c r="D2350" s="438"/>
      <c r="E2350" s="438"/>
      <c r="F2350" s="438"/>
      <c r="G2350" s="438"/>
      <c r="H2350" s="438"/>
      <c r="I2350" s="438"/>
      <c r="J2350" s="11"/>
      <c r="Q2350" s="348" t="str">
        <f t="shared" si="296"/>
        <v/>
      </c>
      <c r="R2350" s="348" t="str">
        <f t="shared" si="297"/>
        <v/>
      </c>
      <c r="S2350" s="348" t="str">
        <f t="shared" si="298"/>
        <v/>
      </c>
      <c r="T2350" s="348" t="str">
        <f t="shared" si="299"/>
        <v/>
      </c>
      <c r="U2350" s="348" t="str">
        <f t="shared" si="300"/>
        <v/>
      </c>
      <c r="V2350" s="348" t="str">
        <f t="shared" si="301"/>
        <v/>
      </c>
      <c r="W2350" s="348" t="str">
        <f t="shared" si="302"/>
        <v/>
      </c>
      <c r="X2350" s="348" t="str">
        <f t="shared" si="303"/>
        <v/>
      </c>
    </row>
    <row r="2351" spans="1:24" x14ac:dyDescent="0.2">
      <c r="A2351" s="407">
        <v>2343</v>
      </c>
      <c r="B2351" s="438"/>
      <c r="C2351" s="438"/>
      <c r="D2351" s="438"/>
      <c r="E2351" s="438"/>
      <c r="F2351" s="438"/>
      <c r="G2351" s="438"/>
      <c r="H2351" s="438"/>
      <c r="I2351" s="438"/>
      <c r="J2351" s="11"/>
      <c r="Q2351" s="348" t="str">
        <f t="shared" si="296"/>
        <v/>
      </c>
      <c r="R2351" s="348" t="str">
        <f t="shared" si="297"/>
        <v/>
      </c>
      <c r="S2351" s="348" t="str">
        <f t="shared" si="298"/>
        <v/>
      </c>
      <c r="T2351" s="348" t="str">
        <f t="shared" si="299"/>
        <v/>
      </c>
      <c r="U2351" s="348" t="str">
        <f t="shared" si="300"/>
        <v/>
      </c>
      <c r="V2351" s="348" t="str">
        <f t="shared" si="301"/>
        <v/>
      </c>
      <c r="W2351" s="348" t="str">
        <f t="shared" si="302"/>
        <v/>
      </c>
      <c r="X2351" s="348" t="str">
        <f t="shared" si="303"/>
        <v/>
      </c>
    </row>
    <row r="2352" spans="1:24" x14ac:dyDescent="0.2">
      <c r="A2352" s="407">
        <v>2344</v>
      </c>
      <c r="B2352" s="438"/>
      <c r="C2352" s="438"/>
      <c r="D2352" s="438"/>
      <c r="E2352" s="438"/>
      <c r="F2352" s="438"/>
      <c r="G2352" s="438"/>
      <c r="H2352" s="438"/>
      <c r="I2352" s="438"/>
      <c r="J2352" s="11"/>
      <c r="Q2352" s="348" t="str">
        <f t="shared" si="296"/>
        <v/>
      </c>
      <c r="R2352" s="348" t="str">
        <f t="shared" si="297"/>
        <v/>
      </c>
      <c r="S2352" s="348" t="str">
        <f t="shared" si="298"/>
        <v/>
      </c>
      <c r="T2352" s="348" t="str">
        <f t="shared" si="299"/>
        <v/>
      </c>
      <c r="U2352" s="348" t="str">
        <f t="shared" si="300"/>
        <v/>
      </c>
      <c r="V2352" s="348" t="str">
        <f t="shared" si="301"/>
        <v/>
      </c>
      <c r="W2352" s="348" t="str">
        <f t="shared" si="302"/>
        <v/>
      </c>
      <c r="X2352" s="348" t="str">
        <f t="shared" si="303"/>
        <v/>
      </c>
    </row>
    <row r="2353" spans="1:24" x14ac:dyDescent="0.2">
      <c r="A2353" s="407">
        <v>2345</v>
      </c>
      <c r="B2353" s="438"/>
      <c r="C2353" s="438"/>
      <c r="D2353" s="438"/>
      <c r="E2353" s="438"/>
      <c r="F2353" s="438"/>
      <c r="G2353" s="438"/>
      <c r="H2353" s="438"/>
      <c r="I2353" s="438"/>
      <c r="J2353" s="11"/>
      <c r="Q2353" s="348" t="str">
        <f t="shared" si="296"/>
        <v/>
      </c>
      <c r="R2353" s="348" t="str">
        <f t="shared" si="297"/>
        <v/>
      </c>
      <c r="S2353" s="348" t="str">
        <f t="shared" si="298"/>
        <v/>
      </c>
      <c r="T2353" s="348" t="str">
        <f t="shared" si="299"/>
        <v/>
      </c>
      <c r="U2353" s="348" t="str">
        <f t="shared" si="300"/>
        <v/>
      </c>
      <c r="V2353" s="348" t="str">
        <f t="shared" si="301"/>
        <v/>
      </c>
      <c r="W2353" s="348" t="str">
        <f t="shared" si="302"/>
        <v/>
      </c>
      <c r="X2353" s="348" t="str">
        <f t="shared" si="303"/>
        <v/>
      </c>
    </row>
    <row r="2354" spans="1:24" x14ac:dyDescent="0.2">
      <c r="A2354" s="407">
        <v>2346</v>
      </c>
      <c r="B2354" s="438"/>
      <c r="C2354" s="438"/>
      <c r="D2354" s="438"/>
      <c r="E2354" s="438"/>
      <c r="F2354" s="438"/>
      <c r="G2354" s="438"/>
      <c r="H2354" s="438"/>
      <c r="I2354" s="438"/>
      <c r="J2354" s="11"/>
      <c r="Q2354" s="348" t="str">
        <f t="shared" si="296"/>
        <v/>
      </c>
      <c r="R2354" s="348" t="str">
        <f t="shared" si="297"/>
        <v/>
      </c>
      <c r="S2354" s="348" t="str">
        <f t="shared" si="298"/>
        <v/>
      </c>
      <c r="T2354" s="348" t="str">
        <f t="shared" si="299"/>
        <v/>
      </c>
      <c r="U2354" s="348" t="str">
        <f t="shared" si="300"/>
        <v/>
      </c>
      <c r="V2354" s="348" t="str">
        <f t="shared" si="301"/>
        <v/>
      </c>
      <c r="W2354" s="348" t="str">
        <f t="shared" si="302"/>
        <v/>
      </c>
      <c r="X2354" s="348" t="str">
        <f t="shared" si="303"/>
        <v/>
      </c>
    </row>
    <row r="2355" spans="1:24" x14ac:dyDescent="0.2">
      <c r="A2355" s="407">
        <v>2347</v>
      </c>
      <c r="B2355" s="438"/>
      <c r="C2355" s="438"/>
      <c r="D2355" s="438"/>
      <c r="E2355" s="438"/>
      <c r="F2355" s="438"/>
      <c r="G2355" s="438"/>
      <c r="H2355" s="438"/>
      <c r="I2355" s="438"/>
      <c r="J2355" s="11"/>
      <c r="Q2355" s="348" t="str">
        <f t="shared" si="296"/>
        <v/>
      </c>
      <c r="R2355" s="348" t="str">
        <f t="shared" si="297"/>
        <v/>
      </c>
      <c r="S2355" s="348" t="str">
        <f t="shared" si="298"/>
        <v/>
      </c>
      <c r="T2355" s="348" t="str">
        <f t="shared" si="299"/>
        <v/>
      </c>
      <c r="U2355" s="348" t="str">
        <f t="shared" si="300"/>
        <v/>
      </c>
      <c r="V2355" s="348" t="str">
        <f t="shared" si="301"/>
        <v/>
      </c>
      <c r="W2355" s="348" t="str">
        <f t="shared" si="302"/>
        <v/>
      </c>
      <c r="X2355" s="348" t="str">
        <f t="shared" si="303"/>
        <v/>
      </c>
    </row>
    <row r="2356" spans="1:24" x14ac:dyDescent="0.2">
      <c r="A2356" s="407">
        <v>2348</v>
      </c>
      <c r="B2356" s="438"/>
      <c r="C2356" s="438"/>
      <c r="D2356" s="438"/>
      <c r="E2356" s="438"/>
      <c r="F2356" s="438"/>
      <c r="G2356" s="438"/>
      <c r="H2356" s="438"/>
      <c r="I2356" s="438"/>
      <c r="J2356" s="11"/>
      <c r="Q2356" s="348" t="str">
        <f t="shared" si="296"/>
        <v/>
      </c>
      <c r="R2356" s="348" t="str">
        <f t="shared" si="297"/>
        <v/>
      </c>
      <c r="S2356" s="348" t="str">
        <f t="shared" si="298"/>
        <v/>
      </c>
      <c r="T2356" s="348" t="str">
        <f t="shared" si="299"/>
        <v/>
      </c>
      <c r="U2356" s="348" t="str">
        <f t="shared" si="300"/>
        <v/>
      </c>
      <c r="V2356" s="348" t="str">
        <f t="shared" si="301"/>
        <v/>
      </c>
      <c r="W2356" s="348" t="str">
        <f t="shared" si="302"/>
        <v/>
      </c>
      <c r="X2356" s="348" t="str">
        <f t="shared" si="303"/>
        <v/>
      </c>
    </row>
    <row r="2357" spans="1:24" x14ac:dyDescent="0.2">
      <c r="A2357" s="407">
        <v>2349</v>
      </c>
      <c r="B2357" s="438"/>
      <c r="C2357" s="438"/>
      <c r="D2357" s="438"/>
      <c r="E2357" s="438"/>
      <c r="F2357" s="438"/>
      <c r="G2357" s="438"/>
      <c r="H2357" s="438"/>
      <c r="I2357" s="438"/>
      <c r="J2357" s="11"/>
      <c r="Q2357" s="348" t="str">
        <f t="shared" si="296"/>
        <v/>
      </c>
      <c r="R2357" s="348" t="str">
        <f t="shared" si="297"/>
        <v/>
      </c>
      <c r="S2357" s="348" t="str">
        <f t="shared" si="298"/>
        <v/>
      </c>
      <c r="T2357" s="348" t="str">
        <f t="shared" si="299"/>
        <v/>
      </c>
      <c r="U2357" s="348" t="str">
        <f t="shared" si="300"/>
        <v/>
      </c>
      <c r="V2357" s="348" t="str">
        <f t="shared" si="301"/>
        <v/>
      </c>
      <c r="W2357" s="348" t="str">
        <f t="shared" si="302"/>
        <v/>
      </c>
      <c r="X2357" s="348" t="str">
        <f t="shared" si="303"/>
        <v/>
      </c>
    </row>
    <row r="2358" spans="1:24" x14ac:dyDescent="0.2">
      <c r="A2358" s="407">
        <v>2350</v>
      </c>
      <c r="B2358" s="438"/>
      <c r="C2358" s="437"/>
      <c r="D2358" s="438"/>
      <c r="E2358" s="438"/>
      <c r="F2358" s="438"/>
      <c r="G2358" s="438"/>
      <c r="H2358" s="438"/>
      <c r="I2358" s="437"/>
      <c r="J2358" s="11"/>
      <c r="Q2358" s="348" t="str">
        <f t="shared" si="296"/>
        <v/>
      </c>
      <c r="R2358" s="348" t="str">
        <f t="shared" si="297"/>
        <v/>
      </c>
      <c r="S2358" s="348" t="str">
        <f t="shared" si="298"/>
        <v/>
      </c>
      <c r="T2358" s="348" t="str">
        <f t="shared" si="299"/>
        <v/>
      </c>
      <c r="U2358" s="348" t="str">
        <f t="shared" si="300"/>
        <v/>
      </c>
      <c r="V2358" s="348" t="str">
        <f t="shared" si="301"/>
        <v/>
      </c>
      <c r="W2358" s="348" t="str">
        <f t="shared" si="302"/>
        <v/>
      </c>
      <c r="X2358" s="348" t="str">
        <f t="shared" si="303"/>
        <v/>
      </c>
    </row>
    <row r="2359" spans="1:24" x14ac:dyDescent="0.2">
      <c r="A2359" s="407">
        <v>2351</v>
      </c>
      <c r="B2359" s="438"/>
      <c r="C2359" s="438"/>
      <c r="D2359" s="438"/>
      <c r="E2359" s="437"/>
      <c r="F2359" s="438"/>
      <c r="G2359" s="438"/>
      <c r="H2359" s="438"/>
      <c r="I2359" s="438"/>
      <c r="J2359" s="11"/>
      <c r="Q2359" s="348" t="str">
        <f t="shared" si="296"/>
        <v/>
      </c>
      <c r="R2359" s="348" t="str">
        <f t="shared" si="297"/>
        <v/>
      </c>
      <c r="S2359" s="348" t="str">
        <f t="shared" si="298"/>
        <v/>
      </c>
      <c r="T2359" s="348" t="str">
        <f t="shared" si="299"/>
        <v/>
      </c>
      <c r="U2359" s="348" t="str">
        <f t="shared" si="300"/>
        <v/>
      </c>
      <c r="V2359" s="348" t="str">
        <f t="shared" si="301"/>
        <v/>
      </c>
      <c r="W2359" s="348" t="str">
        <f t="shared" si="302"/>
        <v/>
      </c>
      <c r="X2359" s="348" t="str">
        <f t="shared" si="303"/>
        <v/>
      </c>
    </row>
    <row r="2360" spans="1:24" x14ac:dyDescent="0.2">
      <c r="A2360" s="407">
        <v>2352</v>
      </c>
      <c r="B2360" s="437"/>
      <c r="C2360" s="438"/>
      <c r="D2360" s="438"/>
      <c r="E2360" s="438"/>
      <c r="F2360" s="438"/>
      <c r="G2360" s="438"/>
      <c r="H2360" s="438"/>
      <c r="I2360" s="438"/>
      <c r="J2360" s="11"/>
      <c r="Q2360" s="348" t="str">
        <f t="shared" si="296"/>
        <v/>
      </c>
      <c r="R2360" s="348" t="str">
        <f t="shared" si="297"/>
        <v/>
      </c>
      <c r="S2360" s="348" t="str">
        <f t="shared" si="298"/>
        <v/>
      </c>
      <c r="T2360" s="348" t="str">
        <f t="shared" si="299"/>
        <v/>
      </c>
      <c r="U2360" s="348" t="str">
        <f t="shared" si="300"/>
        <v/>
      </c>
      <c r="V2360" s="348" t="str">
        <f t="shared" si="301"/>
        <v/>
      </c>
      <c r="W2360" s="348" t="str">
        <f t="shared" si="302"/>
        <v/>
      </c>
      <c r="X2360" s="348" t="str">
        <f t="shared" si="303"/>
        <v/>
      </c>
    </row>
    <row r="2361" spans="1:24" x14ac:dyDescent="0.2">
      <c r="A2361" s="407">
        <v>2353</v>
      </c>
      <c r="B2361" s="438"/>
      <c r="C2361" s="438"/>
      <c r="D2361" s="438"/>
      <c r="E2361" s="438"/>
      <c r="F2361" s="438"/>
      <c r="G2361" s="438"/>
      <c r="H2361" s="438"/>
      <c r="I2361" s="438"/>
      <c r="J2361" s="11"/>
      <c r="Q2361" s="348" t="str">
        <f t="shared" si="296"/>
        <v/>
      </c>
      <c r="R2361" s="348" t="str">
        <f t="shared" si="297"/>
        <v/>
      </c>
      <c r="S2361" s="348" t="str">
        <f t="shared" si="298"/>
        <v/>
      </c>
      <c r="T2361" s="348" t="str">
        <f t="shared" si="299"/>
        <v/>
      </c>
      <c r="U2361" s="348" t="str">
        <f t="shared" si="300"/>
        <v/>
      </c>
      <c r="V2361" s="348" t="str">
        <f t="shared" si="301"/>
        <v/>
      </c>
      <c r="W2361" s="348" t="str">
        <f t="shared" si="302"/>
        <v/>
      </c>
      <c r="X2361" s="348" t="str">
        <f t="shared" si="303"/>
        <v/>
      </c>
    </row>
    <row r="2362" spans="1:24" x14ac:dyDescent="0.2">
      <c r="A2362" s="407">
        <v>2354</v>
      </c>
      <c r="B2362" s="438"/>
      <c r="C2362" s="438"/>
      <c r="D2362" s="438"/>
      <c r="E2362" s="438"/>
      <c r="F2362" s="438"/>
      <c r="G2362" s="438"/>
      <c r="H2362" s="438"/>
      <c r="I2362" s="438"/>
      <c r="J2362" s="11"/>
      <c r="Q2362" s="348" t="str">
        <f t="shared" si="296"/>
        <v/>
      </c>
      <c r="R2362" s="348" t="str">
        <f t="shared" si="297"/>
        <v/>
      </c>
      <c r="S2362" s="348" t="str">
        <f t="shared" si="298"/>
        <v/>
      </c>
      <c r="T2362" s="348" t="str">
        <f t="shared" si="299"/>
        <v/>
      </c>
      <c r="U2362" s="348" t="str">
        <f t="shared" si="300"/>
        <v/>
      </c>
      <c r="V2362" s="348" t="str">
        <f t="shared" si="301"/>
        <v/>
      </c>
      <c r="W2362" s="348" t="str">
        <f t="shared" si="302"/>
        <v/>
      </c>
      <c r="X2362" s="348" t="str">
        <f t="shared" si="303"/>
        <v/>
      </c>
    </row>
    <row r="2363" spans="1:24" x14ac:dyDescent="0.2">
      <c r="A2363" s="407">
        <v>2355</v>
      </c>
      <c r="B2363" s="438"/>
      <c r="C2363" s="438"/>
      <c r="D2363" s="438"/>
      <c r="E2363" s="438"/>
      <c r="F2363" s="438"/>
      <c r="G2363" s="438"/>
      <c r="H2363" s="438"/>
      <c r="I2363" s="438"/>
      <c r="J2363" s="11"/>
      <c r="Q2363" s="348" t="str">
        <f t="shared" si="296"/>
        <v/>
      </c>
      <c r="R2363" s="348" t="str">
        <f t="shared" si="297"/>
        <v/>
      </c>
      <c r="S2363" s="348" t="str">
        <f t="shared" si="298"/>
        <v/>
      </c>
      <c r="T2363" s="348" t="str">
        <f t="shared" si="299"/>
        <v/>
      </c>
      <c r="U2363" s="348" t="str">
        <f t="shared" si="300"/>
        <v/>
      </c>
      <c r="V2363" s="348" t="str">
        <f t="shared" si="301"/>
        <v/>
      </c>
      <c r="W2363" s="348" t="str">
        <f t="shared" si="302"/>
        <v/>
      </c>
      <c r="X2363" s="348" t="str">
        <f t="shared" si="303"/>
        <v/>
      </c>
    </row>
    <row r="2364" spans="1:24" x14ac:dyDescent="0.2">
      <c r="A2364" s="407">
        <v>2356</v>
      </c>
      <c r="B2364" s="438"/>
      <c r="C2364" s="438"/>
      <c r="D2364" s="438"/>
      <c r="E2364" s="438"/>
      <c r="F2364" s="438"/>
      <c r="G2364" s="438"/>
      <c r="H2364" s="438"/>
      <c r="I2364" s="438"/>
      <c r="J2364" s="11"/>
      <c r="Q2364" s="348" t="str">
        <f t="shared" si="296"/>
        <v/>
      </c>
      <c r="R2364" s="348" t="str">
        <f t="shared" si="297"/>
        <v/>
      </c>
      <c r="S2364" s="348" t="str">
        <f t="shared" si="298"/>
        <v/>
      </c>
      <c r="T2364" s="348" t="str">
        <f t="shared" si="299"/>
        <v/>
      </c>
      <c r="U2364" s="348" t="str">
        <f t="shared" si="300"/>
        <v/>
      </c>
      <c r="V2364" s="348" t="str">
        <f t="shared" si="301"/>
        <v/>
      </c>
      <c r="W2364" s="348" t="str">
        <f t="shared" si="302"/>
        <v/>
      </c>
      <c r="X2364" s="348" t="str">
        <f t="shared" si="303"/>
        <v/>
      </c>
    </row>
    <row r="2365" spans="1:24" x14ac:dyDescent="0.2">
      <c r="A2365" s="407">
        <v>2357</v>
      </c>
      <c r="B2365" s="438"/>
      <c r="C2365" s="438"/>
      <c r="D2365" s="438"/>
      <c r="E2365" s="438"/>
      <c r="F2365" s="438"/>
      <c r="G2365" s="438"/>
      <c r="H2365" s="438"/>
      <c r="I2365" s="438"/>
      <c r="J2365" s="11"/>
      <c r="Q2365" s="348" t="str">
        <f t="shared" si="296"/>
        <v/>
      </c>
      <c r="R2365" s="348" t="str">
        <f t="shared" si="297"/>
        <v/>
      </c>
      <c r="S2365" s="348" t="str">
        <f t="shared" si="298"/>
        <v/>
      </c>
      <c r="T2365" s="348" t="str">
        <f t="shared" si="299"/>
        <v/>
      </c>
      <c r="U2365" s="348" t="str">
        <f t="shared" si="300"/>
        <v/>
      </c>
      <c r="V2365" s="348" t="str">
        <f t="shared" si="301"/>
        <v/>
      </c>
      <c r="W2365" s="348" t="str">
        <f t="shared" si="302"/>
        <v/>
      </c>
      <c r="X2365" s="348" t="str">
        <f t="shared" si="303"/>
        <v/>
      </c>
    </row>
    <row r="2366" spans="1:24" x14ac:dyDescent="0.2">
      <c r="A2366" s="407">
        <v>2358</v>
      </c>
      <c r="B2366" s="438"/>
      <c r="C2366" s="438"/>
      <c r="D2366" s="438"/>
      <c r="E2366" s="438"/>
      <c r="F2366" s="438"/>
      <c r="G2366" s="438"/>
      <c r="H2366" s="438"/>
      <c r="I2366" s="438"/>
      <c r="J2366" s="11"/>
      <c r="Q2366" s="348" t="str">
        <f t="shared" si="296"/>
        <v/>
      </c>
      <c r="R2366" s="348" t="str">
        <f t="shared" si="297"/>
        <v/>
      </c>
      <c r="S2366" s="348" t="str">
        <f t="shared" si="298"/>
        <v/>
      </c>
      <c r="T2366" s="348" t="str">
        <f t="shared" si="299"/>
        <v/>
      </c>
      <c r="U2366" s="348" t="str">
        <f t="shared" si="300"/>
        <v/>
      </c>
      <c r="V2366" s="348" t="str">
        <f t="shared" si="301"/>
        <v/>
      </c>
      <c r="W2366" s="348" t="str">
        <f t="shared" si="302"/>
        <v/>
      </c>
      <c r="X2366" s="348" t="str">
        <f t="shared" si="303"/>
        <v/>
      </c>
    </row>
    <row r="2367" spans="1:24" x14ac:dyDescent="0.2">
      <c r="A2367" s="407">
        <v>2359</v>
      </c>
      <c r="B2367" s="438"/>
      <c r="C2367" s="438"/>
      <c r="D2367" s="438"/>
      <c r="E2367" s="438"/>
      <c r="F2367" s="438"/>
      <c r="G2367" s="438"/>
      <c r="H2367" s="438"/>
      <c r="I2367" s="438"/>
      <c r="J2367" s="11"/>
      <c r="Q2367" s="348" t="str">
        <f t="shared" si="296"/>
        <v/>
      </c>
      <c r="R2367" s="348" t="str">
        <f t="shared" si="297"/>
        <v/>
      </c>
      <c r="S2367" s="348" t="str">
        <f t="shared" si="298"/>
        <v/>
      </c>
      <c r="T2367" s="348" t="str">
        <f t="shared" si="299"/>
        <v/>
      </c>
      <c r="U2367" s="348" t="str">
        <f t="shared" si="300"/>
        <v/>
      </c>
      <c r="V2367" s="348" t="str">
        <f t="shared" si="301"/>
        <v/>
      </c>
      <c r="W2367" s="348" t="str">
        <f t="shared" si="302"/>
        <v/>
      </c>
      <c r="X2367" s="348" t="str">
        <f t="shared" si="303"/>
        <v/>
      </c>
    </row>
    <row r="2368" spans="1:24" x14ac:dyDescent="0.2">
      <c r="A2368" s="407">
        <v>2360</v>
      </c>
      <c r="B2368" s="438"/>
      <c r="C2368" s="438"/>
      <c r="D2368" s="438"/>
      <c r="E2368" s="438"/>
      <c r="F2368" s="438"/>
      <c r="G2368" s="438"/>
      <c r="H2368" s="438"/>
      <c r="I2368" s="438"/>
      <c r="J2368" s="11"/>
      <c r="Q2368" s="348" t="str">
        <f t="shared" si="296"/>
        <v/>
      </c>
      <c r="R2368" s="348" t="str">
        <f t="shared" si="297"/>
        <v/>
      </c>
      <c r="S2368" s="348" t="str">
        <f t="shared" si="298"/>
        <v/>
      </c>
      <c r="T2368" s="348" t="str">
        <f t="shared" si="299"/>
        <v/>
      </c>
      <c r="U2368" s="348" t="str">
        <f t="shared" si="300"/>
        <v/>
      </c>
      <c r="V2368" s="348" t="str">
        <f t="shared" si="301"/>
        <v/>
      </c>
      <c r="W2368" s="348" t="str">
        <f t="shared" si="302"/>
        <v/>
      </c>
      <c r="X2368" s="348" t="str">
        <f t="shared" si="303"/>
        <v/>
      </c>
    </row>
    <row r="2369" spans="1:24" x14ac:dyDescent="0.2">
      <c r="A2369" s="407">
        <v>2361</v>
      </c>
      <c r="B2369" s="438"/>
      <c r="C2369" s="438"/>
      <c r="D2369" s="438"/>
      <c r="E2369" s="438"/>
      <c r="F2369" s="438"/>
      <c r="G2369" s="438"/>
      <c r="H2369" s="438"/>
      <c r="I2369" s="438"/>
      <c r="J2369" s="11"/>
      <c r="Q2369" s="348" t="str">
        <f t="shared" si="296"/>
        <v/>
      </c>
      <c r="R2369" s="348" t="str">
        <f t="shared" si="297"/>
        <v/>
      </c>
      <c r="S2369" s="348" t="str">
        <f t="shared" si="298"/>
        <v/>
      </c>
      <c r="T2369" s="348" t="str">
        <f t="shared" si="299"/>
        <v/>
      </c>
      <c r="U2369" s="348" t="str">
        <f t="shared" si="300"/>
        <v/>
      </c>
      <c r="V2369" s="348" t="str">
        <f t="shared" si="301"/>
        <v/>
      </c>
      <c r="W2369" s="348" t="str">
        <f t="shared" si="302"/>
        <v/>
      </c>
      <c r="X2369" s="348" t="str">
        <f t="shared" si="303"/>
        <v/>
      </c>
    </row>
    <row r="2370" spans="1:24" x14ac:dyDescent="0.2">
      <c r="A2370" s="407">
        <v>2362</v>
      </c>
      <c r="B2370" s="438"/>
      <c r="C2370" s="438"/>
      <c r="D2370" s="437"/>
      <c r="E2370" s="438"/>
      <c r="F2370" s="438"/>
      <c r="G2370" s="437"/>
      <c r="H2370" s="438"/>
      <c r="I2370" s="438"/>
      <c r="J2370" s="11"/>
      <c r="Q2370" s="348" t="str">
        <f t="shared" si="296"/>
        <v/>
      </c>
      <c r="R2370" s="348" t="str">
        <f t="shared" si="297"/>
        <v/>
      </c>
      <c r="S2370" s="348" t="str">
        <f t="shared" si="298"/>
        <v/>
      </c>
      <c r="T2370" s="348" t="str">
        <f t="shared" si="299"/>
        <v/>
      </c>
      <c r="U2370" s="348" t="str">
        <f t="shared" si="300"/>
        <v/>
      </c>
      <c r="V2370" s="348" t="str">
        <f t="shared" si="301"/>
        <v/>
      </c>
      <c r="W2370" s="348" t="str">
        <f t="shared" si="302"/>
        <v/>
      </c>
      <c r="X2370" s="348" t="str">
        <f t="shared" si="303"/>
        <v/>
      </c>
    </row>
    <row r="2371" spans="1:24" x14ac:dyDescent="0.2">
      <c r="A2371" s="407">
        <v>2363</v>
      </c>
      <c r="B2371" s="438"/>
      <c r="C2371" s="438"/>
      <c r="D2371" s="438"/>
      <c r="E2371" s="438"/>
      <c r="F2371" s="438"/>
      <c r="G2371" s="438"/>
      <c r="H2371" s="438"/>
      <c r="I2371" s="438"/>
      <c r="J2371" s="11"/>
      <c r="Q2371" s="348" t="str">
        <f t="shared" si="296"/>
        <v/>
      </c>
      <c r="R2371" s="348" t="str">
        <f t="shared" si="297"/>
        <v/>
      </c>
      <c r="S2371" s="348" t="str">
        <f t="shared" si="298"/>
        <v/>
      </c>
      <c r="T2371" s="348" t="str">
        <f t="shared" si="299"/>
        <v/>
      </c>
      <c r="U2371" s="348" t="str">
        <f t="shared" si="300"/>
        <v/>
      </c>
      <c r="V2371" s="348" t="str">
        <f t="shared" si="301"/>
        <v/>
      </c>
      <c r="W2371" s="348" t="str">
        <f t="shared" si="302"/>
        <v/>
      </c>
      <c r="X2371" s="348" t="str">
        <f t="shared" si="303"/>
        <v/>
      </c>
    </row>
    <row r="2372" spans="1:24" x14ac:dyDescent="0.2">
      <c r="A2372" s="407">
        <v>2364</v>
      </c>
      <c r="B2372" s="438"/>
      <c r="C2372" s="437"/>
      <c r="D2372" s="438"/>
      <c r="E2372" s="438"/>
      <c r="F2372" s="437"/>
      <c r="G2372" s="438"/>
      <c r="H2372" s="437"/>
      <c r="I2372" s="438"/>
      <c r="J2372" s="11"/>
      <c r="Q2372" s="348" t="str">
        <f t="shared" si="296"/>
        <v/>
      </c>
      <c r="R2372" s="348" t="str">
        <f t="shared" si="297"/>
        <v/>
      </c>
      <c r="S2372" s="348" t="str">
        <f t="shared" si="298"/>
        <v/>
      </c>
      <c r="T2372" s="348" t="str">
        <f t="shared" si="299"/>
        <v/>
      </c>
      <c r="U2372" s="348" t="str">
        <f t="shared" si="300"/>
        <v/>
      </c>
      <c r="V2372" s="348" t="str">
        <f t="shared" si="301"/>
        <v/>
      </c>
      <c r="W2372" s="348" t="str">
        <f t="shared" si="302"/>
        <v/>
      </c>
      <c r="X2372" s="348" t="str">
        <f t="shared" si="303"/>
        <v/>
      </c>
    </row>
    <row r="2373" spans="1:24" x14ac:dyDescent="0.2">
      <c r="A2373" s="407">
        <v>2365</v>
      </c>
      <c r="B2373" s="438"/>
      <c r="C2373" s="438"/>
      <c r="D2373" s="438"/>
      <c r="E2373" s="438"/>
      <c r="F2373" s="438"/>
      <c r="G2373" s="438"/>
      <c r="H2373" s="438"/>
      <c r="I2373" s="438"/>
      <c r="J2373" s="11"/>
      <c r="Q2373" s="348" t="str">
        <f t="shared" si="296"/>
        <v/>
      </c>
      <c r="R2373" s="348" t="str">
        <f t="shared" si="297"/>
        <v/>
      </c>
      <c r="S2373" s="348" t="str">
        <f t="shared" si="298"/>
        <v/>
      </c>
      <c r="T2373" s="348" t="str">
        <f t="shared" si="299"/>
        <v/>
      </c>
      <c r="U2373" s="348" t="str">
        <f t="shared" si="300"/>
        <v/>
      </c>
      <c r="V2373" s="348" t="str">
        <f t="shared" si="301"/>
        <v/>
      </c>
      <c r="W2373" s="348" t="str">
        <f t="shared" si="302"/>
        <v/>
      </c>
      <c r="X2373" s="348" t="str">
        <f t="shared" si="303"/>
        <v/>
      </c>
    </row>
    <row r="2374" spans="1:24" x14ac:dyDescent="0.2">
      <c r="A2374" s="407">
        <v>2366</v>
      </c>
      <c r="B2374" s="438"/>
      <c r="C2374" s="438"/>
      <c r="D2374" s="438"/>
      <c r="E2374" s="438"/>
      <c r="F2374" s="438"/>
      <c r="G2374" s="438"/>
      <c r="H2374" s="438"/>
      <c r="I2374" s="438"/>
      <c r="J2374" s="11"/>
      <c r="Q2374" s="348" t="str">
        <f t="shared" si="296"/>
        <v/>
      </c>
      <c r="R2374" s="348" t="str">
        <f t="shared" si="297"/>
        <v/>
      </c>
      <c r="S2374" s="348" t="str">
        <f t="shared" si="298"/>
        <v/>
      </c>
      <c r="T2374" s="348" t="str">
        <f t="shared" si="299"/>
        <v/>
      </c>
      <c r="U2374" s="348" t="str">
        <f t="shared" si="300"/>
        <v/>
      </c>
      <c r="V2374" s="348" t="str">
        <f t="shared" si="301"/>
        <v/>
      </c>
      <c r="W2374" s="348" t="str">
        <f t="shared" si="302"/>
        <v/>
      </c>
      <c r="X2374" s="348" t="str">
        <f t="shared" si="303"/>
        <v/>
      </c>
    </row>
    <row r="2375" spans="1:24" x14ac:dyDescent="0.2">
      <c r="A2375" s="407">
        <v>2367</v>
      </c>
      <c r="B2375" s="438"/>
      <c r="C2375" s="438"/>
      <c r="D2375" s="438"/>
      <c r="E2375" s="438"/>
      <c r="F2375" s="438"/>
      <c r="G2375" s="438"/>
      <c r="H2375" s="438"/>
      <c r="I2375" s="438"/>
      <c r="J2375" s="11"/>
      <c r="Q2375" s="348" t="str">
        <f t="shared" si="296"/>
        <v/>
      </c>
      <c r="R2375" s="348" t="str">
        <f t="shared" si="297"/>
        <v/>
      </c>
      <c r="S2375" s="348" t="str">
        <f t="shared" si="298"/>
        <v/>
      </c>
      <c r="T2375" s="348" t="str">
        <f t="shared" si="299"/>
        <v/>
      </c>
      <c r="U2375" s="348" t="str">
        <f t="shared" si="300"/>
        <v/>
      </c>
      <c r="V2375" s="348" t="str">
        <f t="shared" si="301"/>
        <v/>
      </c>
      <c r="W2375" s="348" t="str">
        <f t="shared" si="302"/>
        <v/>
      </c>
      <c r="X2375" s="348" t="str">
        <f t="shared" si="303"/>
        <v/>
      </c>
    </row>
    <row r="2376" spans="1:24" x14ac:dyDescent="0.2">
      <c r="A2376" s="407">
        <v>2368</v>
      </c>
      <c r="B2376" s="438"/>
      <c r="C2376" s="438"/>
      <c r="D2376" s="438"/>
      <c r="E2376" s="438"/>
      <c r="F2376" s="438"/>
      <c r="G2376" s="438"/>
      <c r="H2376" s="438"/>
      <c r="I2376" s="438"/>
      <c r="J2376" s="11"/>
      <c r="Q2376" s="348" t="str">
        <f t="shared" si="296"/>
        <v/>
      </c>
      <c r="R2376" s="348" t="str">
        <f t="shared" si="297"/>
        <v/>
      </c>
      <c r="S2376" s="348" t="str">
        <f t="shared" si="298"/>
        <v/>
      </c>
      <c r="T2376" s="348" t="str">
        <f t="shared" si="299"/>
        <v/>
      </c>
      <c r="U2376" s="348" t="str">
        <f t="shared" si="300"/>
        <v/>
      </c>
      <c r="V2376" s="348" t="str">
        <f t="shared" si="301"/>
        <v/>
      </c>
      <c r="W2376" s="348" t="str">
        <f t="shared" si="302"/>
        <v/>
      </c>
      <c r="X2376" s="348" t="str">
        <f t="shared" si="303"/>
        <v/>
      </c>
    </row>
    <row r="2377" spans="1:24" x14ac:dyDescent="0.2">
      <c r="A2377" s="407">
        <v>2369</v>
      </c>
      <c r="B2377" s="438"/>
      <c r="C2377" s="438"/>
      <c r="D2377" s="438"/>
      <c r="E2377" s="437"/>
      <c r="F2377" s="438"/>
      <c r="G2377" s="438"/>
      <c r="H2377" s="438"/>
      <c r="I2377" s="438"/>
      <c r="J2377" s="11"/>
      <c r="Q2377" s="348" t="str">
        <f t="shared" si="296"/>
        <v/>
      </c>
      <c r="R2377" s="348" t="str">
        <f t="shared" si="297"/>
        <v/>
      </c>
      <c r="S2377" s="348" t="str">
        <f t="shared" si="298"/>
        <v/>
      </c>
      <c r="T2377" s="348" t="str">
        <f t="shared" si="299"/>
        <v/>
      </c>
      <c r="U2377" s="348" t="str">
        <f t="shared" si="300"/>
        <v/>
      </c>
      <c r="V2377" s="348" t="str">
        <f t="shared" si="301"/>
        <v/>
      </c>
      <c r="W2377" s="348" t="str">
        <f t="shared" si="302"/>
        <v/>
      </c>
      <c r="X2377" s="348" t="str">
        <f t="shared" si="303"/>
        <v/>
      </c>
    </row>
    <row r="2378" spans="1:24" x14ac:dyDescent="0.2">
      <c r="A2378" s="407">
        <v>2370</v>
      </c>
      <c r="B2378" s="438"/>
      <c r="C2378" s="438"/>
      <c r="D2378" s="438"/>
      <c r="E2378" s="438"/>
      <c r="F2378" s="438"/>
      <c r="G2378" s="438"/>
      <c r="H2378" s="438"/>
      <c r="I2378" s="438"/>
      <c r="J2378" s="11"/>
      <c r="Q2378" s="348" t="str">
        <f t="shared" ref="Q2378:Q2441" si="304">IFERROR(B2378^4*$AB$9+B2378^3*$AC$9+B2378^2*$AD$9+B2378^1*$AE$9+B2378^0*$AF$9,"")</f>
        <v/>
      </c>
      <c r="R2378" s="348" t="str">
        <f t="shared" ref="R2378:R2441" si="305">IFERROR(C2378^4*$AB$10+C2378^3*$AC$10+C2378^2*$AD$10+C2378^1*$AE$10+C2378^0*$AF$10,"")</f>
        <v/>
      </c>
      <c r="S2378" s="348" t="str">
        <f t="shared" ref="S2378:S2441" si="306">IFERROR(D2378^4*$AB$11+D2378^3*$AC$11+D2378^2*$AD$11+D2378^1*$AE$11+D2378^0*$AF$11,"")</f>
        <v/>
      </c>
      <c r="T2378" s="348" t="str">
        <f t="shared" ref="T2378:T2441" si="307">IFERROR(E2378^4*$AB$12+E2378^3*$AC$12+E2378^2*$AD$12+E2378^1*$AE$12+E2378^0*$AF$12,"")</f>
        <v/>
      </c>
      <c r="U2378" s="348" t="str">
        <f t="shared" ref="U2378:U2441" si="308">IFERROR(F2378^4*$AB$13+F2378^3*$AC$13+F2378^2*$AD$13+F2378^1*$AE$13+F2378^0*$AF$13,"")</f>
        <v/>
      </c>
      <c r="V2378" s="348" t="str">
        <f t="shared" ref="V2378:V2441" si="309">IFERROR(G2378^4*$AB$14+G2378^3*$AC$14+G2378^2*$AD$14+G2378^1*$AE$14+G2378^0*$AF$14,"")</f>
        <v/>
      </c>
      <c r="W2378" s="348" t="str">
        <f t="shared" ref="W2378:W2441" si="310">IFERROR(H2378^4*$AB$15+H2378^3*$AC$15+H2378^2*$AD$15+H2378^1*$AE$15+H2378^0*$AF$15,"")</f>
        <v/>
      </c>
      <c r="X2378" s="348" t="str">
        <f t="shared" ref="X2378:X2441" si="311">IFERROR(I2378^4*$AB$16+I2378^3*$AC$16+I2378^2*$AD$16+I2378^1*$AE$16+I2378^0*$AF$16,"")</f>
        <v/>
      </c>
    </row>
    <row r="2379" spans="1:24" x14ac:dyDescent="0.2">
      <c r="A2379" s="407">
        <v>2371</v>
      </c>
      <c r="B2379" s="437"/>
      <c r="C2379" s="438"/>
      <c r="D2379" s="438"/>
      <c r="E2379" s="438"/>
      <c r="F2379" s="438"/>
      <c r="G2379" s="438"/>
      <c r="H2379" s="438"/>
      <c r="I2379" s="438"/>
      <c r="J2379" s="11"/>
      <c r="Q2379" s="348" t="str">
        <f t="shared" si="304"/>
        <v/>
      </c>
      <c r="R2379" s="348" t="str">
        <f t="shared" si="305"/>
        <v/>
      </c>
      <c r="S2379" s="348" t="str">
        <f t="shared" si="306"/>
        <v/>
      </c>
      <c r="T2379" s="348" t="str">
        <f t="shared" si="307"/>
        <v/>
      </c>
      <c r="U2379" s="348" t="str">
        <f t="shared" si="308"/>
        <v/>
      </c>
      <c r="V2379" s="348" t="str">
        <f t="shared" si="309"/>
        <v/>
      </c>
      <c r="W2379" s="348" t="str">
        <f t="shared" si="310"/>
        <v/>
      </c>
      <c r="X2379" s="348" t="str">
        <f t="shared" si="311"/>
        <v/>
      </c>
    </row>
    <row r="2380" spans="1:24" x14ac:dyDescent="0.2">
      <c r="A2380" s="407">
        <v>2372</v>
      </c>
      <c r="B2380" s="438"/>
      <c r="C2380" s="438"/>
      <c r="D2380" s="438"/>
      <c r="E2380" s="438"/>
      <c r="F2380" s="438"/>
      <c r="G2380" s="438"/>
      <c r="H2380" s="438"/>
      <c r="I2380" s="438"/>
      <c r="J2380" s="11"/>
      <c r="Q2380" s="348" t="str">
        <f t="shared" si="304"/>
        <v/>
      </c>
      <c r="R2380" s="348" t="str">
        <f t="shared" si="305"/>
        <v/>
      </c>
      <c r="S2380" s="348" t="str">
        <f t="shared" si="306"/>
        <v/>
      </c>
      <c r="T2380" s="348" t="str">
        <f t="shared" si="307"/>
        <v/>
      </c>
      <c r="U2380" s="348" t="str">
        <f t="shared" si="308"/>
        <v/>
      </c>
      <c r="V2380" s="348" t="str">
        <f t="shared" si="309"/>
        <v/>
      </c>
      <c r="W2380" s="348" t="str">
        <f t="shared" si="310"/>
        <v/>
      </c>
      <c r="X2380" s="348" t="str">
        <f t="shared" si="311"/>
        <v/>
      </c>
    </row>
    <row r="2381" spans="1:24" x14ac:dyDescent="0.2">
      <c r="A2381" s="407">
        <v>2373</v>
      </c>
      <c r="B2381" s="438"/>
      <c r="C2381" s="438"/>
      <c r="D2381" s="438"/>
      <c r="E2381" s="438"/>
      <c r="F2381" s="438"/>
      <c r="G2381" s="438"/>
      <c r="H2381" s="438"/>
      <c r="I2381" s="438"/>
      <c r="J2381" s="11"/>
      <c r="Q2381" s="348" t="str">
        <f t="shared" si="304"/>
        <v/>
      </c>
      <c r="R2381" s="348" t="str">
        <f t="shared" si="305"/>
        <v/>
      </c>
      <c r="S2381" s="348" t="str">
        <f t="shared" si="306"/>
        <v/>
      </c>
      <c r="T2381" s="348" t="str">
        <f t="shared" si="307"/>
        <v/>
      </c>
      <c r="U2381" s="348" t="str">
        <f t="shared" si="308"/>
        <v/>
      </c>
      <c r="V2381" s="348" t="str">
        <f t="shared" si="309"/>
        <v/>
      </c>
      <c r="W2381" s="348" t="str">
        <f t="shared" si="310"/>
        <v/>
      </c>
      <c r="X2381" s="348" t="str">
        <f t="shared" si="311"/>
        <v/>
      </c>
    </row>
    <row r="2382" spans="1:24" x14ac:dyDescent="0.2">
      <c r="A2382" s="407">
        <v>2374</v>
      </c>
      <c r="B2382" s="438"/>
      <c r="C2382" s="438"/>
      <c r="D2382" s="438"/>
      <c r="E2382" s="438"/>
      <c r="F2382" s="438"/>
      <c r="G2382" s="438"/>
      <c r="H2382" s="438"/>
      <c r="I2382" s="438"/>
      <c r="J2382" s="11"/>
      <c r="Q2382" s="348" t="str">
        <f t="shared" si="304"/>
        <v/>
      </c>
      <c r="R2382" s="348" t="str">
        <f t="shared" si="305"/>
        <v/>
      </c>
      <c r="S2382" s="348" t="str">
        <f t="shared" si="306"/>
        <v/>
      </c>
      <c r="T2382" s="348" t="str">
        <f t="shared" si="307"/>
        <v/>
      </c>
      <c r="U2382" s="348" t="str">
        <f t="shared" si="308"/>
        <v/>
      </c>
      <c r="V2382" s="348" t="str">
        <f t="shared" si="309"/>
        <v/>
      </c>
      <c r="W2382" s="348" t="str">
        <f t="shared" si="310"/>
        <v/>
      </c>
      <c r="X2382" s="348" t="str">
        <f t="shared" si="311"/>
        <v/>
      </c>
    </row>
    <row r="2383" spans="1:24" x14ac:dyDescent="0.2">
      <c r="A2383" s="407">
        <v>2375</v>
      </c>
      <c r="B2383" s="438"/>
      <c r="C2383" s="438"/>
      <c r="D2383" s="438"/>
      <c r="E2383" s="438"/>
      <c r="F2383" s="438"/>
      <c r="G2383" s="438"/>
      <c r="H2383" s="438"/>
      <c r="I2383" s="438"/>
      <c r="J2383" s="11"/>
      <c r="Q2383" s="348" t="str">
        <f t="shared" si="304"/>
        <v/>
      </c>
      <c r="R2383" s="348" t="str">
        <f t="shared" si="305"/>
        <v/>
      </c>
      <c r="S2383" s="348" t="str">
        <f t="shared" si="306"/>
        <v/>
      </c>
      <c r="T2383" s="348" t="str">
        <f t="shared" si="307"/>
        <v/>
      </c>
      <c r="U2383" s="348" t="str">
        <f t="shared" si="308"/>
        <v/>
      </c>
      <c r="V2383" s="348" t="str">
        <f t="shared" si="309"/>
        <v/>
      </c>
      <c r="W2383" s="348" t="str">
        <f t="shared" si="310"/>
        <v/>
      </c>
      <c r="X2383" s="348" t="str">
        <f t="shared" si="311"/>
        <v/>
      </c>
    </row>
    <row r="2384" spans="1:24" x14ac:dyDescent="0.2">
      <c r="A2384" s="407">
        <v>2376</v>
      </c>
      <c r="B2384" s="438"/>
      <c r="C2384" s="438"/>
      <c r="D2384" s="438"/>
      <c r="E2384" s="438"/>
      <c r="F2384" s="438"/>
      <c r="G2384" s="438"/>
      <c r="H2384" s="438"/>
      <c r="I2384" s="438"/>
      <c r="J2384" s="11"/>
      <c r="Q2384" s="348" t="str">
        <f t="shared" si="304"/>
        <v/>
      </c>
      <c r="R2384" s="348" t="str">
        <f t="shared" si="305"/>
        <v/>
      </c>
      <c r="S2384" s="348" t="str">
        <f t="shared" si="306"/>
        <v/>
      </c>
      <c r="T2384" s="348" t="str">
        <f t="shared" si="307"/>
        <v/>
      </c>
      <c r="U2384" s="348" t="str">
        <f t="shared" si="308"/>
        <v/>
      </c>
      <c r="V2384" s="348" t="str">
        <f t="shared" si="309"/>
        <v/>
      </c>
      <c r="W2384" s="348" t="str">
        <f t="shared" si="310"/>
        <v/>
      </c>
      <c r="X2384" s="348" t="str">
        <f t="shared" si="311"/>
        <v/>
      </c>
    </row>
    <row r="2385" spans="1:24" x14ac:dyDescent="0.2">
      <c r="A2385" s="407">
        <v>2377</v>
      </c>
      <c r="B2385" s="438"/>
      <c r="C2385" s="438"/>
      <c r="D2385" s="438"/>
      <c r="E2385" s="438"/>
      <c r="F2385" s="438"/>
      <c r="G2385" s="438"/>
      <c r="H2385" s="438"/>
      <c r="I2385" s="438"/>
      <c r="J2385" s="11"/>
      <c r="Q2385" s="348" t="str">
        <f t="shared" si="304"/>
        <v/>
      </c>
      <c r="R2385" s="348" t="str">
        <f t="shared" si="305"/>
        <v/>
      </c>
      <c r="S2385" s="348" t="str">
        <f t="shared" si="306"/>
        <v/>
      </c>
      <c r="T2385" s="348" t="str">
        <f t="shared" si="307"/>
        <v/>
      </c>
      <c r="U2385" s="348" t="str">
        <f t="shared" si="308"/>
        <v/>
      </c>
      <c r="V2385" s="348" t="str">
        <f t="shared" si="309"/>
        <v/>
      </c>
      <c r="W2385" s="348" t="str">
        <f t="shared" si="310"/>
        <v/>
      </c>
      <c r="X2385" s="348" t="str">
        <f t="shared" si="311"/>
        <v/>
      </c>
    </row>
    <row r="2386" spans="1:24" x14ac:dyDescent="0.2">
      <c r="A2386" s="407">
        <v>2378</v>
      </c>
      <c r="B2386" s="438"/>
      <c r="C2386" s="438"/>
      <c r="D2386" s="438"/>
      <c r="E2386" s="438"/>
      <c r="F2386" s="438"/>
      <c r="G2386" s="438"/>
      <c r="H2386" s="438"/>
      <c r="I2386" s="438"/>
      <c r="J2386" s="11"/>
      <c r="Q2386" s="348" t="str">
        <f t="shared" si="304"/>
        <v/>
      </c>
      <c r="R2386" s="348" t="str">
        <f t="shared" si="305"/>
        <v/>
      </c>
      <c r="S2386" s="348" t="str">
        <f t="shared" si="306"/>
        <v/>
      </c>
      <c r="T2386" s="348" t="str">
        <f t="shared" si="307"/>
        <v/>
      </c>
      <c r="U2386" s="348" t="str">
        <f t="shared" si="308"/>
        <v/>
      </c>
      <c r="V2386" s="348" t="str">
        <f t="shared" si="309"/>
        <v/>
      </c>
      <c r="W2386" s="348" t="str">
        <f t="shared" si="310"/>
        <v/>
      </c>
      <c r="X2386" s="348" t="str">
        <f t="shared" si="311"/>
        <v/>
      </c>
    </row>
    <row r="2387" spans="1:24" x14ac:dyDescent="0.2">
      <c r="A2387" s="407">
        <v>2379</v>
      </c>
      <c r="B2387" s="438"/>
      <c r="C2387" s="438"/>
      <c r="D2387" s="438"/>
      <c r="E2387" s="438"/>
      <c r="F2387" s="438"/>
      <c r="G2387" s="438"/>
      <c r="H2387" s="438"/>
      <c r="I2387" s="438"/>
      <c r="J2387" s="11"/>
      <c r="Q2387" s="348" t="str">
        <f t="shared" si="304"/>
        <v/>
      </c>
      <c r="R2387" s="348" t="str">
        <f t="shared" si="305"/>
        <v/>
      </c>
      <c r="S2387" s="348" t="str">
        <f t="shared" si="306"/>
        <v/>
      </c>
      <c r="T2387" s="348" t="str">
        <f t="shared" si="307"/>
        <v/>
      </c>
      <c r="U2387" s="348" t="str">
        <f t="shared" si="308"/>
        <v/>
      </c>
      <c r="V2387" s="348" t="str">
        <f t="shared" si="309"/>
        <v/>
      </c>
      <c r="W2387" s="348" t="str">
        <f t="shared" si="310"/>
        <v/>
      </c>
      <c r="X2387" s="348" t="str">
        <f t="shared" si="311"/>
        <v/>
      </c>
    </row>
    <row r="2388" spans="1:24" x14ac:dyDescent="0.2">
      <c r="A2388" s="407">
        <v>2380</v>
      </c>
      <c r="B2388" s="438"/>
      <c r="C2388" s="438"/>
      <c r="D2388" s="438"/>
      <c r="E2388" s="438"/>
      <c r="F2388" s="438"/>
      <c r="G2388" s="438"/>
      <c r="H2388" s="438"/>
      <c r="I2388" s="438"/>
      <c r="J2388" s="11"/>
      <c r="Q2388" s="348" t="str">
        <f t="shared" si="304"/>
        <v/>
      </c>
      <c r="R2388" s="348" t="str">
        <f t="shared" si="305"/>
        <v/>
      </c>
      <c r="S2388" s="348" t="str">
        <f t="shared" si="306"/>
        <v/>
      </c>
      <c r="T2388" s="348" t="str">
        <f t="shared" si="307"/>
        <v/>
      </c>
      <c r="U2388" s="348" t="str">
        <f t="shared" si="308"/>
        <v/>
      </c>
      <c r="V2388" s="348" t="str">
        <f t="shared" si="309"/>
        <v/>
      </c>
      <c r="W2388" s="348" t="str">
        <f t="shared" si="310"/>
        <v/>
      </c>
      <c r="X2388" s="348" t="str">
        <f t="shared" si="311"/>
        <v/>
      </c>
    </row>
    <row r="2389" spans="1:24" x14ac:dyDescent="0.2">
      <c r="A2389" s="407">
        <v>2381</v>
      </c>
      <c r="B2389" s="437"/>
      <c r="C2389" s="438"/>
      <c r="D2389" s="438"/>
      <c r="E2389" s="438"/>
      <c r="F2389" s="438"/>
      <c r="G2389" s="438"/>
      <c r="H2389" s="438"/>
      <c r="I2389" s="438"/>
      <c r="J2389" s="11"/>
      <c r="Q2389" s="348" t="str">
        <f t="shared" si="304"/>
        <v/>
      </c>
      <c r="R2389" s="348" t="str">
        <f t="shared" si="305"/>
        <v/>
      </c>
      <c r="S2389" s="348" t="str">
        <f t="shared" si="306"/>
        <v/>
      </c>
      <c r="T2389" s="348" t="str">
        <f t="shared" si="307"/>
        <v/>
      </c>
      <c r="U2389" s="348" t="str">
        <f t="shared" si="308"/>
        <v/>
      </c>
      <c r="V2389" s="348" t="str">
        <f t="shared" si="309"/>
        <v/>
      </c>
      <c r="W2389" s="348" t="str">
        <f t="shared" si="310"/>
        <v/>
      </c>
      <c r="X2389" s="348" t="str">
        <f t="shared" si="311"/>
        <v/>
      </c>
    </row>
    <row r="2390" spans="1:24" x14ac:dyDescent="0.2">
      <c r="A2390" s="407">
        <v>2382</v>
      </c>
      <c r="B2390" s="438"/>
      <c r="C2390" s="438"/>
      <c r="D2390" s="438"/>
      <c r="E2390" s="438"/>
      <c r="F2390" s="438"/>
      <c r="G2390" s="438"/>
      <c r="H2390" s="438"/>
      <c r="I2390" s="438"/>
      <c r="J2390" s="11"/>
      <c r="Q2390" s="348" t="str">
        <f t="shared" si="304"/>
        <v/>
      </c>
      <c r="R2390" s="348" t="str">
        <f t="shared" si="305"/>
        <v/>
      </c>
      <c r="S2390" s="348" t="str">
        <f t="shared" si="306"/>
        <v/>
      </c>
      <c r="T2390" s="348" t="str">
        <f t="shared" si="307"/>
        <v/>
      </c>
      <c r="U2390" s="348" t="str">
        <f t="shared" si="308"/>
        <v/>
      </c>
      <c r="V2390" s="348" t="str">
        <f t="shared" si="309"/>
        <v/>
      </c>
      <c r="W2390" s="348" t="str">
        <f t="shared" si="310"/>
        <v/>
      </c>
      <c r="X2390" s="348" t="str">
        <f t="shared" si="311"/>
        <v/>
      </c>
    </row>
    <row r="2391" spans="1:24" x14ac:dyDescent="0.2">
      <c r="A2391" s="407">
        <v>2383</v>
      </c>
      <c r="B2391" s="438"/>
      <c r="C2391" s="438"/>
      <c r="D2391" s="438"/>
      <c r="E2391" s="438"/>
      <c r="F2391" s="438"/>
      <c r="G2391" s="438"/>
      <c r="H2391" s="438"/>
      <c r="I2391" s="438"/>
      <c r="J2391" s="11"/>
      <c r="Q2391" s="348" t="str">
        <f t="shared" si="304"/>
        <v/>
      </c>
      <c r="R2391" s="348" t="str">
        <f t="shared" si="305"/>
        <v/>
      </c>
      <c r="S2391" s="348" t="str">
        <f t="shared" si="306"/>
        <v/>
      </c>
      <c r="T2391" s="348" t="str">
        <f t="shared" si="307"/>
        <v/>
      </c>
      <c r="U2391" s="348" t="str">
        <f t="shared" si="308"/>
        <v/>
      </c>
      <c r="V2391" s="348" t="str">
        <f t="shared" si="309"/>
        <v/>
      </c>
      <c r="W2391" s="348" t="str">
        <f t="shared" si="310"/>
        <v/>
      </c>
      <c r="X2391" s="348" t="str">
        <f t="shared" si="311"/>
        <v/>
      </c>
    </row>
    <row r="2392" spans="1:24" x14ac:dyDescent="0.2">
      <c r="A2392" s="407">
        <v>2384</v>
      </c>
      <c r="B2392" s="438"/>
      <c r="C2392" s="438"/>
      <c r="D2392" s="438"/>
      <c r="E2392" s="438"/>
      <c r="F2392" s="438"/>
      <c r="G2392" s="438"/>
      <c r="H2392" s="438"/>
      <c r="I2392" s="438"/>
      <c r="J2392" s="11"/>
      <c r="Q2392" s="348" t="str">
        <f t="shared" si="304"/>
        <v/>
      </c>
      <c r="R2392" s="348" t="str">
        <f t="shared" si="305"/>
        <v/>
      </c>
      <c r="S2392" s="348" t="str">
        <f t="shared" si="306"/>
        <v/>
      </c>
      <c r="T2392" s="348" t="str">
        <f t="shared" si="307"/>
        <v/>
      </c>
      <c r="U2392" s="348" t="str">
        <f t="shared" si="308"/>
        <v/>
      </c>
      <c r="V2392" s="348" t="str">
        <f t="shared" si="309"/>
        <v/>
      </c>
      <c r="W2392" s="348" t="str">
        <f t="shared" si="310"/>
        <v/>
      </c>
      <c r="X2392" s="348" t="str">
        <f t="shared" si="311"/>
        <v/>
      </c>
    </row>
    <row r="2393" spans="1:24" x14ac:dyDescent="0.2">
      <c r="A2393" s="407">
        <v>2385</v>
      </c>
      <c r="B2393" s="438"/>
      <c r="C2393" s="438"/>
      <c r="D2393" s="438"/>
      <c r="E2393" s="438"/>
      <c r="F2393" s="438"/>
      <c r="G2393" s="438"/>
      <c r="H2393" s="438"/>
      <c r="I2393" s="438"/>
      <c r="J2393" s="11"/>
      <c r="Q2393" s="348" t="str">
        <f t="shared" si="304"/>
        <v/>
      </c>
      <c r="R2393" s="348" t="str">
        <f t="shared" si="305"/>
        <v/>
      </c>
      <c r="S2393" s="348" t="str">
        <f t="shared" si="306"/>
        <v/>
      </c>
      <c r="T2393" s="348" t="str">
        <f t="shared" si="307"/>
        <v/>
      </c>
      <c r="U2393" s="348" t="str">
        <f t="shared" si="308"/>
        <v/>
      </c>
      <c r="V2393" s="348" t="str">
        <f t="shared" si="309"/>
        <v/>
      </c>
      <c r="W2393" s="348" t="str">
        <f t="shared" si="310"/>
        <v/>
      </c>
      <c r="X2393" s="348" t="str">
        <f t="shared" si="311"/>
        <v/>
      </c>
    </row>
    <row r="2394" spans="1:24" x14ac:dyDescent="0.2">
      <c r="A2394" s="407">
        <v>2386</v>
      </c>
      <c r="B2394" s="438"/>
      <c r="C2394" s="438"/>
      <c r="D2394" s="438"/>
      <c r="E2394" s="438"/>
      <c r="F2394" s="438"/>
      <c r="G2394" s="438"/>
      <c r="H2394" s="438"/>
      <c r="I2394" s="438"/>
      <c r="J2394" s="11"/>
      <c r="Q2394" s="348" t="str">
        <f t="shared" si="304"/>
        <v/>
      </c>
      <c r="R2394" s="348" t="str">
        <f t="shared" si="305"/>
        <v/>
      </c>
      <c r="S2394" s="348" t="str">
        <f t="shared" si="306"/>
        <v/>
      </c>
      <c r="T2394" s="348" t="str">
        <f t="shared" si="307"/>
        <v/>
      </c>
      <c r="U2394" s="348" t="str">
        <f t="shared" si="308"/>
        <v/>
      </c>
      <c r="V2394" s="348" t="str">
        <f t="shared" si="309"/>
        <v/>
      </c>
      <c r="W2394" s="348" t="str">
        <f t="shared" si="310"/>
        <v/>
      </c>
      <c r="X2394" s="348" t="str">
        <f t="shared" si="311"/>
        <v/>
      </c>
    </row>
    <row r="2395" spans="1:24" x14ac:dyDescent="0.2">
      <c r="A2395" s="407">
        <v>2387</v>
      </c>
      <c r="B2395" s="438"/>
      <c r="C2395" s="438"/>
      <c r="D2395" s="438"/>
      <c r="E2395" s="438"/>
      <c r="F2395" s="438"/>
      <c r="G2395" s="438"/>
      <c r="H2395" s="438"/>
      <c r="I2395" s="438"/>
      <c r="J2395" s="11"/>
      <c r="Q2395" s="348" t="str">
        <f t="shared" si="304"/>
        <v/>
      </c>
      <c r="R2395" s="348" t="str">
        <f t="shared" si="305"/>
        <v/>
      </c>
      <c r="S2395" s="348" t="str">
        <f t="shared" si="306"/>
        <v/>
      </c>
      <c r="T2395" s="348" t="str">
        <f t="shared" si="307"/>
        <v/>
      </c>
      <c r="U2395" s="348" t="str">
        <f t="shared" si="308"/>
        <v/>
      </c>
      <c r="V2395" s="348" t="str">
        <f t="shared" si="309"/>
        <v/>
      </c>
      <c r="W2395" s="348" t="str">
        <f t="shared" si="310"/>
        <v/>
      </c>
      <c r="X2395" s="348" t="str">
        <f t="shared" si="311"/>
        <v/>
      </c>
    </row>
    <row r="2396" spans="1:24" x14ac:dyDescent="0.2">
      <c r="A2396" s="407">
        <v>2388</v>
      </c>
      <c r="B2396" s="438"/>
      <c r="C2396" s="438"/>
      <c r="D2396" s="438"/>
      <c r="E2396" s="438"/>
      <c r="F2396" s="438"/>
      <c r="G2396" s="438"/>
      <c r="H2396" s="438"/>
      <c r="I2396" s="438"/>
      <c r="J2396" s="11"/>
      <c r="Q2396" s="348" t="str">
        <f t="shared" si="304"/>
        <v/>
      </c>
      <c r="R2396" s="348" t="str">
        <f t="shared" si="305"/>
        <v/>
      </c>
      <c r="S2396" s="348" t="str">
        <f t="shared" si="306"/>
        <v/>
      </c>
      <c r="T2396" s="348" t="str">
        <f t="shared" si="307"/>
        <v/>
      </c>
      <c r="U2396" s="348" t="str">
        <f t="shared" si="308"/>
        <v/>
      </c>
      <c r="V2396" s="348" t="str">
        <f t="shared" si="309"/>
        <v/>
      </c>
      <c r="W2396" s="348" t="str">
        <f t="shared" si="310"/>
        <v/>
      </c>
      <c r="X2396" s="348" t="str">
        <f t="shared" si="311"/>
        <v/>
      </c>
    </row>
    <row r="2397" spans="1:24" x14ac:dyDescent="0.2">
      <c r="A2397" s="407">
        <v>2389</v>
      </c>
      <c r="B2397" s="438"/>
      <c r="C2397" s="438"/>
      <c r="D2397" s="438"/>
      <c r="E2397" s="438"/>
      <c r="F2397" s="438"/>
      <c r="G2397" s="438"/>
      <c r="H2397" s="438"/>
      <c r="I2397" s="438"/>
      <c r="J2397" s="11"/>
      <c r="Q2397" s="348" t="str">
        <f t="shared" si="304"/>
        <v/>
      </c>
      <c r="R2397" s="348" t="str">
        <f t="shared" si="305"/>
        <v/>
      </c>
      <c r="S2397" s="348" t="str">
        <f t="shared" si="306"/>
        <v/>
      </c>
      <c r="T2397" s="348" t="str">
        <f t="shared" si="307"/>
        <v/>
      </c>
      <c r="U2397" s="348" t="str">
        <f t="shared" si="308"/>
        <v/>
      </c>
      <c r="V2397" s="348" t="str">
        <f t="shared" si="309"/>
        <v/>
      </c>
      <c r="W2397" s="348" t="str">
        <f t="shared" si="310"/>
        <v/>
      </c>
      <c r="X2397" s="348" t="str">
        <f t="shared" si="311"/>
        <v/>
      </c>
    </row>
    <row r="2398" spans="1:24" x14ac:dyDescent="0.2">
      <c r="A2398" s="407">
        <v>2390</v>
      </c>
      <c r="B2398" s="438"/>
      <c r="C2398" s="438"/>
      <c r="D2398" s="438"/>
      <c r="E2398" s="438"/>
      <c r="F2398" s="438"/>
      <c r="G2398" s="438"/>
      <c r="H2398" s="438"/>
      <c r="I2398" s="438"/>
      <c r="J2398" s="11"/>
      <c r="Q2398" s="348" t="str">
        <f t="shared" si="304"/>
        <v/>
      </c>
      <c r="R2398" s="348" t="str">
        <f t="shared" si="305"/>
        <v/>
      </c>
      <c r="S2398" s="348" t="str">
        <f t="shared" si="306"/>
        <v/>
      </c>
      <c r="T2398" s="348" t="str">
        <f t="shared" si="307"/>
        <v/>
      </c>
      <c r="U2398" s="348" t="str">
        <f t="shared" si="308"/>
        <v/>
      </c>
      <c r="V2398" s="348" t="str">
        <f t="shared" si="309"/>
        <v/>
      </c>
      <c r="W2398" s="348" t="str">
        <f t="shared" si="310"/>
        <v/>
      </c>
      <c r="X2398" s="348" t="str">
        <f t="shared" si="311"/>
        <v/>
      </c>
    </row>
    <row r="2399" spans="1:24" x14ac:dyDescent="0.2">
      <c r="A2399" s="407">
        <v>2391</v>
      </c>
      <c r="B2399" s="438"/>
      <c r="C2399" s="438"/>
      <c r="D2399" s="438"/>
      <c r="E2399" s="438"/>
      <c r="F2399" s="438"/>
      <c r="G2399" s="438"/>
      <c r="H2399" s="438"/>
      <c r="I2399" s="438"/>
      <c r="J2399" s="11"/>
      <c r="Q2399" s="348" t="str">
        <f t="shared" si="304"/>
        <v/>
      </c>
      <c r="R2399" s="348" t="str">
        <f t="shared" si="305"/>
        <v/>
      </c>
      <c r="S2399" s="348" t="str">
        <f t="shared" si="306"/>
        <v/>
      </c>
      <c r="T2399" s="348" t="str">
        <f t="shared" si="307"/>
        <v/>
      </c>
      <c r="U2399" s="348" t="str">
        <f t="shared" si="308"/>
        <v/>
      </c>
      <c r="V2399" s="348" t="str">
        <f t="shared" si="309"/>
        <v/>
      </c>
      <c r="W2399" s="348" t="str">
        <f t="shared" si="310"/>
        <v/>
      </c>
      <c r="X2399" s="348" t="str">
        <f t="shared" si="311"/>
        <v/>
      </c>
    </row>
    <row r="2400" spans="1:24" x14ac:dyDescent="0.2">
      <c r="A2400" s="407">
        <v>2392</v>
      </c>
      <c r="B2400" s="438"/>
      <c r="C2400" s="438"/>
      <c r="D2400" s="437"/>
      <c r="E2400" s="438"/>
      <c r="F2400" s="438"/>
      <c r="G2400" s="438"/>
      <c r="H2400" s="438"/>
      <c r="I2400" s="438"/>
      <c r="J2400" s="11"/>
      <c r="Q2400" s="348" t="str">
        <f t="shared" si="304"/>
        <v/>
      </c>
      <c r="R2400" s="348" t="str">
        <f t="shared" si="305"/>
        <v/>
      </c>
      <c r="S2400" s="348" t="str">
        <f t="shared" si="306"/>
        <v/>
      </c>
      <c r="T2400" s="348" t="str">
        <f t="shared" si="307"/>
        <v/>
      </c>
      <c r="U2400" s="348" t="str">
        <f t="shared" si="308"/>
        <v/>
      </c>
      <c r="V2400" s="348" t="str">
        <f t="shared" si="309"/>
        <v/>
      </c>
      <c r="W2400" s="348" t="str">
        <f t="shared" si="310"/>
        <v/>
      </c>
      <c r="X2400" s="348" t="str">
        <f t="shared" si="311"/>
        <v/>
      </c>
    </row>
    <row r="2401" spans="1:24" x14ac:dyDescent="0.2">
      <c r="A2401" s="407">
        <v>2393</v>
      </c>
      <c r="B2401" s="438"/>
      <c r="C2401" s="437"/>
      <c r="D2401" s="438"/>
      <c r="E2401" s="438"/>
      <c r="F2401" s="438"/>
      <c r="G2401" s="438"/>
      <c r="H2401" s="438"/>
      <c r="I2401" s="438"/>
      <c r="J2401" s="11"/>
      <c r="Q2401" s="348" t="str">
        <f t="shared" si="304"/>
        <v/>
      </c>
      <c r="R2401" s="348" t="str">
        <f t="shared" si="305"/>
        <v/>
      </c>
      <c r="S2401" s="348" t="str">
        <f t="shared" si="306"/>
        <v/>
      </c>
      <c r="T2401" s="348" t="str">
        <f t="shared" si="307"/>
        <v/>
      </c>
      <c r="U2401" s="348" t="str">
        <f t="shared" si="308"/>
        <v/>
      </c>
      <c r="V2401" s="348" t="str">
        <f t="shared" si="309"/>
        <v/>
      </c>
      <c r="W2401" s="348" t="str">
        <f t="shared" si="310"/>
        <v/>
      </c>
      <c r="X2401" s="348" t="str">
        <f t="shared" si="311"/>
        <v/>
      </c>
    </row>
    <row r="2402" spans="1:24" x14ac:dyDescent="0.2">
      <c r="A2402" s="407">
        <v>2394</v>
      </c>
      <c r="B2402" s="438"/>
      <c r="C2402" s="438"/>
      <c r="D2402" s="438"/>
      <c r="E2402" s="437"/>
      <c r="F2402" s="438"/>
      <c r="G2402" s="438"/>
      <c r="H2402" s="438"/>
      <c r="I2402" s="438"/>
      <c r="J2402" s="11"/>
      <c r="Q2402" s="348" t="str">
        <f t="shared" si="304"/>
        <v/>
      </c>
      <c r="R2402" s="348" t="str">
        <f t="shared" si="305"/>
        <v/>
      </c>
      <c r="S2402" s="348" t="str">
        <f t="shared" si="306"/>
        <v/>
      </c>
      <c r="T2402" s="348" t="str">
        <f t="shared" si="307"/>
        <v/>
      </c>
      <c r="U2402" s="348" t="str">
        <f t="shared" si="308"/>
        <v/>
      </c>
      <c r="V2402" s="348" t="str">
        <f t="shared" si="309"/>
        <v/>
      </c>
      <c r="W2402" s="348" t="str">
        <f t="shared" si="310"/>
        <v/>
      </c>
      <c r="X2402" s="348" t="str">
        <f t="shared" si="311"/>
        <v/>
      </c>
    </row>
    <row r="2403" spans="1:24" x14ac:dyDescent="0.2">
      <c r="A2403" s="407">
        <v>2395</v>
      </c>
      <c r="B2403" s="437"/>
      <c r="C2403" s="438"/>
      <c r="D2403" s="438"/>
      <c r="E2403" s="438"/>
      <c r="F2403" s="438"/>
      <c r="G2403" s="438"/>
      <c r="H2403" s="438"/>
      <c r="I2403" s="438"/>
      <c r="J2403" s="11"/>
      <c r="Q2403" s="348" t="str">
        <f t="shared" si="304"/>
        <v/>
      </c>
      <c r="R2403" s="348" t="str">
        <f t="shared" si="305"/>
        <v/>
      </c>
      <c r="S2403" s="348" t="str">
        <f t="shared" si="306"/>
        <v/>
      </c>
      <c r="T2403" s="348" t="str">
        <f t="shared" si="307"/>
        <v/>
      </c>
      <c r="U2403" s="348" t="str">
        <f t="shared" si="308"/>
        <v/>
      </c>
      <c r="V2403" s="348" t="str">
        <f t="shared" si="309"/>
        <v/>
      </c>
      <c r="W2403" s="348" t="str">
        <f t="shared" si="310"/>
        <v/>
      </c>
      <c r="X2403" s="348" t="str">
        <f t="shared" si="311"/>
        <v/>
      </c>
    </row>
    <row r="2404" spans="1:24" x14ac:dyDescent="0.2">
      <c r="A2404" s="407">
        <v>2396</v>
      </c>
      <c r="B2404" s="438"/>
      <c r="C2404" s="438"/>
      <c r="D2404" s="438"/>
      <c r="E2404" s="438"/>
      <c r="F2404" s="438"/>
      <c r="G2404" s="438"/>
      <c r="H2404" s="438"/>
      <c r="I2404" s="438"/>
      <c r="J2404" s="11"/>
      <c r="Q2404" s="348" t="str">
        <f t="shared" si="304"/>
        <v/>
      </c>
      <c r="R2404" s="348" t="str">
        <f t="shared" si="305"/>
        <v/>
      </c>
      <c r="S2404" s="348" t="str">
        <f t="shared" si="306"/>
        <v/>
      </c>
      <c r="T2404" s="348" t="str">
        <f t="shared" si="307"/>
        <v/>
      </c>
      <c r="U2404" s="348" t="str">
        <f t="shared" si="308"/>
        <v/>
      </c>
      <c r="V2404" s="348" t="str">
        <f t="shared" si="309"/>
        <v/>
      </c>
      <c r="W2404" s="348" t="str">
        <f t="shared" si="310"/>
        <v/>
      </c>
      <c r="X2404" s="348" t="str">
        <f t="shared" si="311"/>
        <v/>
      </c>
    </row>
    <row r="2405" spans="1:24" x14ac:dyDescent="0.2">
      <c r="A2405" s="407">
        <v>2397</v>
      </c>
      <c r="B2405" s="438"/>
      <c r="C2405" s="438"/>
      <c r="D2405" s="438"/>
      <c r="E2405" s="438"/>
      <c r="F2405" s="438"/>
      <c r="G2405" s="438"/>
      <c r="H2405" s="438"/>
      <c r="I2405" s="438"/>
      <c r="J2405" s="11"/>
      <c r="Q2405" s="348" t="str">
        <f t="shared" si="304"/>
        <v/>
      </c>
      <c r="R2405" s="348" t="str">
        <f t="shared" si="305"/>
        <v/>
      </c>
      <c r="S2405" s="348" t="str">
        <f t="shared" si="306"/>
        <v/>
      </c>
      <c r="T2405" s="348" t="str">
        <f t="shared" si="307"/>
        <v/>
      </c>
      <c r="U2405" s="348" t="str">
        <f t="shared" si="308"/>
        <v/>
      </c>
      <c r="V2405" s="348" t="str">
        <f t="shared" si="309"/>
        <v/>
      </c>
      <c r="W2405" s="348" t="str">
        <f t="shared" si="310"/>
        <v/>
      </c>
      <c r="X2405" s="348" t="str">
        <f t="shared" si="311"/>
        <v/>
      </c>
    </row>
    <row r="2406" spans="1:24" x14ac:dyDescent="0.2">
      <c r="A2406" s="407">
        <v>2398</v>
      </c>
      <c r="B2406" s="438"/>
      <c r="C2406" s="438"/>
      <c r="D2406" s="438"/>
      <c r="E2406" s="438"/>
      <c r="F2406" s="438"/>
      <c r="G2406" s="438"/>
      <c r="H2406" s="438"/>
      <c r="I2406" s="438"/>
      <c r="J2406" s="11"/>
      <c r="Q2406" s="348" t="str">
        <f t="shared" si="304"/>
        <v/>
      </c>
      <c r="R2406" s="348" t="str">
        <f t="shared" si="305"/>
        <v/>
      </c>
      <c r="S2406" s="348" t="str">
        <f t="shared" si="306"/>
        <v/>
      </c>
      <c r="T2406" s="348" t="str">
        <f t="shared" si="307"/>
        <v/>
      </c>
      <c r="U2406" s="348" t="str">
        <f t="shared" si="308"/>
        <v/>
      </c>
      <c r="V2406" s="348" t="str">
        <f t="shared" si="309"/>
        <v/>
      </c>
      <c r="W2406" s="348" t="str">
        <f t="shared" si="310"/>
        <v/>
      </c>
      <c r="X2406" s="348" t="str">
        <f t="shared" si="311"/>
        <v/>
      </c>
    </row>
    <row r="2407" spans="1:24" x14ac:dyDescent="0.2">
      <c r="A2407" s="407">
        <v>2399</v>
      </c>
      <c r="B2407" s="438"/>
      <c r="C2407" s="438"/>
      <c r="D2407" s="438"/>
      <c r="E2407" s="438"/>
      <c r="F2407" s="438"/>
      <c r="G2407" s="437"/>
      <c r="H2407" s="438"/>
      <c r="I2407" s="438"/>
      <c r="J2407" s="11"/>
      <c r="Q2407" s="348" t="str">
        <f t="shared" si="304"/>
        <v/>
      </c>
      <c r="R2407" s="348" t="str">
        <f t="shared" si="305"/>
        <v/>
      </c>
      <c r="S2407" s="348" t="str">
        <f t="shared" si="306"/>
        <v/>
      </c>
      <c r="T2407" s="348" t="str">
        <f t="shared" si="307"/>
        <v/>
      </c>
      <c r="U2407" s="348" t="str">
        <f t="shared" si="308"/>
        <v/>
      </c>
      <c r="V2407" s="348" t="str">
        <f t="shared" si="309"/>
        <v/>
      </c>
      <c r="W2407" s="348" t="str">
        <f t="shared" si="310"/>
        <v/>
      </c>
      <c r="X2407" s="348" t="str">
        <f t="shared" si="311"/>
        <v/>
      </c>
    </row>
    <row r="2408" spans="1:24" x14ac:dyDescent="0.2">
      <c r="A2408" s="407">
        <v>2400</v>
      </c>
      <c r="B2408" s="438"/>
      <c r="C2408" s="438"/>
      <c r="D2408" s="438"/>
      <c r="E2408" s="438"/>
      <c r="F2408" s="438"/>
      <c r="G2408" s="438"/>
      <c r="H2408" s="438"/>
      <c r="I2408" s="438"/>
      <c r="J2408" s="11"/>
      <c r="Q2408" s="348" t="str">
        <f t="shared" si="304"/>
        <v/>
      </c>
      <c r="R2408" s="348" t="str">
        <f t="shared" si="305"/>
        <v/>
      </c>
      <c r="S2408" s="348" t="str">
        <f t="shared" si="306"/>
        <v/>
      </c>
      <c r="T2408" s="348" t="str">
        <f t="shared" si="307"/>
        <v/>
      </c>
      <c r="U2408" s="348" t="str">
        <f t="shared" si="308"/>
        <v/>
      </c>
      <c r="V2408" s="348" t="str">
        <f t="shared" si="309"/>
        <v/>
      </c>
      <c r="W2408" s="348" t="str">
        <f t="shared" si="310"/>
        <v/>
      </c>
      <c r="X2408" s="348" t="str">
        <f t="shared" si="311"/>
        <v/>
      </c>
    </row>
    <row r="2409" spans="1:24" x14ac:dyDescent="0.2">
      <c r="A2409" s="407">
        <v>2401</v>
      </c>
      <c r="B2409" s="438"/>
      <c r="C2409" s="437"/>
      <c r="D2409" s="438"/>
      <c r="E2409" s="437"/>
      <c r="F2409" s="437"/>
      <c r="G2409" s="437"/>
      <c r="H2409" s="437"/>
      <c r="I2409" s="437"/>
      <c r="J2409" s="11"/>
      <c r="Q2409" s="348" t="str">
        <f t="shared" si="304"/>
        <v/>
      </c>
      <c r="R2409" s="348" t="str">
        <f t="shared" si="305"/>
        <v/>
      </c>
      <c r="S2409" s="348" t="str">
        <f t="shared" si="306"/>
        <v/>
      </c>
      <c r="T2409" s="348" t="str">
        <f t="shared" si="307"/>
        <v/>
      </c>
      <c r="U2409" s="348" t="str">
        <f t="shared" si="308"/>
        <v/>
      </c>
      <c r="V2409" s="348" t="str">
        <f t="shared" si="309"/>
        <v/>
      </c>
      <c r="W2409" s="348" t="str">
        <f t="shared" si="310"/>
        <v/>
      </c>
      <c r="X2409" s="348" t="str">
        <f t="shared" si="311"/>
        <v/>
      </c>
    </row>
    <row r="2410" spans="1:24" x14ac:dyDescent="0.2">
      <c r="A2410" s="407">
        <v>2402</v>
      </c>
      <c r="B2410" s="438"/>
      <c r="C2410" s="438"/>
      <c r="D2410" s="438"/>
      <c r="E2410" s="438"/>
      <c r="F2410" s="438"/>
      <c r="G2410" s="438"/>
      <c r="H2410" s="438"/>
      <c r="I2410" s="438"/>
      <c r="J2410" s="11"/>
      <c r="Q2410" s="348" t="str">
        <f t="shared" si="304"/>
        <v/>
      </c>
      <c r="R2410" s="348" t="str">
        <f t="shared" si="305"/>
        <v/>
      </c>
      <c r="S2410" s="348" t="str">
        <f t="shared" si="306"/>
        <v/>
      </c>
      <c r="T2410" s="348" t="str">
        <f t="shared" si="307"/>
        <v/>
      </c>
      <c r="U2410" s="348" t="str">
        <f t="shared" si="308"/>
        <v/>
      </c>
      <c r="V2410" s="348" t="str">
        <f t="shared" si="309"/>
        <v/>
      </c>
      <c r="W2410" s="348" t="str">
        <f t="shared" si="310"/>
        <v/>
      </c>
      <c r="X2410" s="348" t="str">
        <f t="shared" si="311"/>
        <v/>
      </c>
    </row>
    <row r="2411" spans="1:24" x14ac:dyDescent="0.2">
      <c r="A2411" s="407">
        <v>2403</v>
      </c>
      <c r="B2411" s="438"/>
      <c r="C2411" s="438"/>
      <c r="D2411" s="438"/>
      <c r="E2411" s="438"/>
      <c r="F2411" s="438"/>
      <c r="G2411" s="438"/>
      <c r="H2411" s="438"/>
      <c r="I2411" s="438"/>
      <c r="J2411" s="11"/>
      <c r="Q2411" s="348" t="str">
        <f t="shared" si="304"/>
        <v/>
      </c>
      <c r="R2411" s="348" t="str">
        <f t="shared" si="305"/>
        <v/>
      </c>
      <c r="S2411" s="348" t="str">
        <f t="shared" si="306"/>
        <v/>
      </c>
      <c r="T2411" s="348" t="str">
        <f t="shared" si="307"/>
        <v/>
      </c>
      <c r="U2411" s="348" t="str">
        <f t="shared" si="308"/>
        <v/>
      </c>
      <c r="V2411" s="348" t="str">
        <f t="shared" si="309"/>
        <v/>
      </c>
      <c r="W2411" s="348" t="str">
        <f t="shared" si="310"/>
        <v/>
      </c>
      <c r="X2411" s="348" t="str">
        <f t="shared" si="311"/>
        <v/>
      </c>
    </row>
    <row r="2412" spans="1:24" x14ac:dyDescent="0.2">
      <c r="A2412" s="407">
        <v>2404</v>
      </c>
      <c r="B2412" s="438"/>
      <c r="C2412" s="438"/>
      <c r="D2412" s="438"/>
      <c r="E2412" s="438"/>
      <c r="F2412" s="438"/>
      <c r="G2412" s="438"/>
      <c r="H2412" s="438"/>
      <c r="I2412" s="438"/>
      <c r="J2412" s="11"/>
      <c r="Q2412" s="348" t="str">
        <f t="shared" si="304"/>
        <v/>
      </c>
      <c r="R2412" s="348" t="str">
        <f t="shared" si="305"/>
        <v/>
      </c>
      <c r="S2412" s="348" t="str">
        <f t="shared" si="306"/>
        <v/>
      </c>
      <c r="T2412" s="348" t="str">
        <f t="shared" si="307"/>
        <v/>
      </c>
      <c r="U2412" s="348" t="str">
        <f t="shared" si="308"/>
        <v/>
      </c>
      <c r="V2412" s="348" t="str">
        <f t="shared" si="309"/>
        <v/>
      </c>
      <c r="W2412" s="348" t="str">
        <f t="shared" si="310"/>
        <v/>
      </c>
      <c r="X2412" s="348" t="str">
        <f t="shared" si="311"/>
        <v/>
      </c>
    </row>
    <row r="2413" spans="1:24" x14ac:dyDescent="0.2">
      <c r="A2413" s="407">
        <v>2405</v>
      </c>
      <c r="B2413" s="438"/>
      <c r="C2413" s="438"/>
      <c r="D2413" s="438"/>
      <c r="E2413" s="438"/>
      <c r="F2413" s="438"/>
      <c r="G2413" s="438"/>
      <c r="H2413" s="438"/>
      <c r="I2413" s="438"/>
      <c r="J2413" s="11"/>
      <c r="Q2413" s="348" t="str">
        <f t="shared" si="304"/>
        <v/>
      </c>
      <c r="R2413" s="348" t="str">
        <f t="shared" si="305"/>
        <v/>
      </c>
      <c r="S2413" s="348" t="str">
        <f t="shared" si="306"/>
        <v/>
      </c>
      <c r="T2413" s="348" t="str">
        <f t="shared" si="307"/>
        <v/>
      </c>
      <c r="U2413" s="348" t="str">
        <f t="shared" si="308"/>
        <v/>
      </c>
      <c r="V2413" s="348" t="str">
        <f t="shared" si="309"/>
        <v/>
      </c>
      <c r="W2413" s="348" t="str">
        <f t="shared" si="310"/>
        <v/>
      </c>
      <c r="X2413" s="348" t="str">
        <f t="shared" si="311"/>
        <v/>
      </c>
    </row>
    <row r="2414" spans="1:24" x14ac:dyDescent="0.2">
      <c r="A2414" s="407">
        <v>2406</v>
      </c>
      <c r="B2414" s="438"/>
      <c r="C2414" s="438"/>
      <c r="D2414" s="438"/>
      <c r="E2414" s="438"/>
      <c r="F2414" s="438"/>
      <c r="G2414" s="438"/>
      <c r="H2414" s="438"/>
      <c r="I2414" s="438"/>
      <c r="J2414" s="11"/>
      <c r="Q2414" s="348" t="str">
        <f t="shared" si="304"/>
        <v/>
      </c>
      <c r="R2414" s="348" t="str">
        <f t="shared" si="305"/>
        <v/>
      </c>
      <c r="S2414" s="348" t="str">
        <f t="shared" si="306"/>
        <v/>
      </c>
      <c r="T2414" s="348" t="str">
        <f t="shared" si="307"/>
        <v/>
      </c>
      <c r="U2414" s="348" t="str">
        <f t="shared" si="308"/>
        <v/>
      </c>
      <c r="V2414" s="348" t="str">
        <f t="shared" si="309"/>
        <v/>
      </c>
      <c r="W2414" s="348" t="str">
        <f t="shared" si="310"/>
        <v/>
      </c>
      <c r="X2414" s="348" t="str">
        <f t="shared" si="311"/>
        <v/>
      </c>
    </row>
    <row r="2415" spans="1:24" x14ac:dyDescent="0.2">
      <c r="A2415" s="407">
        <v>2407</v>
      </c>
      <c r="B2415" s="438"/>
      <c r="C2415" s="438"/>
      <c r="D2415" s="438"/>
      <c r="E2415" s="438"/>
      <c r="F2415" s="438"/>
      <c r="G2415" s="438"/>
      <c r="H2415" s="438"/>
      <c r="I2415" s="438"/>
      <c r="J2415" s="11"/>
      <c r="Q2415" s="348" t="str">
        <f t="shared" si="304"/>
        <v/>
      </c>
      <c r="R2415" s="348" t="str">
        <f t="shared" si="305"/>
        <v/>
      </c>
      <c r="S2415" s="348" t="str">
        <f t="shared" si="306"/>
        <v/>
      </c>
      <c r="T2415" s="348" t="str">
        <f t="shared" si="307"/>
        <v/>
      </c>
      <c r="U2415" s="348" t="str">
        <f t="shared" si="308"/>
        <v/>
      </c>
      <c r="V2415" s="348" t="str">
        <f t="shared" si="309"/>
        <v/>
      </c>
      <c r="W2415" s="348" t="str">
        <f t="shared" si="310"/>
        <v/>
      </c>
      <c r="X2415" s="348" t="str">
        <f t="shared" si="311"/>
        <v/>
      </c>
    </row>
    <row r="2416" spans="1:24" x14ac:dyDescent="0.2">
      <c r="A2416" s="407">
        <v>2408</v>
      </c>
      <c r="B2416" s="438"/>
      <c r="C2416" s="438"/>
      <c r="D2416" s="438"/>
      <c r="E2416" s="438"/>
      <c r="F2416" s="438"/>
      <c r="G2416" s="438"/>
      <c r="H2416" s="438"/>
      <c r="I2416" s="438"/>
      <c r="J2416" s="11"/>
      <c r="Q2416" s="348" t="str">
        <f t="shared" si="304"/>
        <v/>
      </c>
      <c r="R2416" s="348" t="str">
        <f t="shared" si="305"/>
        <v/>
      </c>
      <c r="S2416" s="348" t="str">
        <f t="shared" si="306"/>
        <v/>
      </c>
      <c r="T2416" s="348" t="str">
        <f t="shared" si="307"/>
        <v/>
      </c>
      <c r="U2416" s="348" t="str">
        <f t="shared" si="308"/>
        <v/>
      </c>
      <c r="V2416" s="348" t="str">
        <f t="shared" si="309"/>
        <v/>
      </c>
      <c r="W2416" s="348" t="str">
        <f t="shared" si="310"/>
        <v/>
      </c>
      <c r="X2416" s="348" t="str">
        <f t="shared" si="311"/>
        <v/>
      </c>
    </row>
    <row r="2417" spans="1:24" x14ac:dyDescent="0.2">
      <c r="A2417" s="407">
        <v>2409</v>
      </c>
      <c r="B2417" s="438"/>
      <c r="C2417" s="438"/>
      <c r="D2417" s="438"/>
      <c r="E2417" s="438"/>
      <c r="F2417" s="438"/>
      <c r="G2417" s="438"/>
      <c r="H2417" s="438"/>
      <c r="I2417" s="438"/>
      <c r="J2417" s="11"/>
      <c r="Q2417" s="348" t="str">
        <f t="shared" si="304"/>
        <v/>
      </c>
      <c r="R2417" s="348" t="str">
        <f t="shared" si="305"/>
        <v/>
      </c>
      <c r="S2417" s="348" t="str">
        <f t="shared" si="306"/>
        <v/>
      </c>
      <c r="T2417" s="348" t="str">
        <f t="shared" si="307"/>
        <v/>
      </c>
      <c r="U2417" s="348" t="str">
        <f t="shared" si="308"/>
        <v/>
      </c>
      <c r="V2417" s="348" t="str">
        <f t="shared" si="309"/>
        <v/>
      </c>
      <c r="W2417" s="348" t="str">
        <f t="shared" si="310"/>
        <v/>
      </c>
      <c r="X2417" s="348" t="str">
        <f t="shared" si="311"/>
        <v/>
      </c>
    </row>
    <row r="2418" spans="1:24" x14ac:dyDescent="0.2">
      <c r="A2418" s="407">
        <v>2410</v>
      </c>
      <c r="B2418" s="438"/>
      <c r="C2418" s="438"/>
      <c r="D2418" s="438"/>
      <c r="E2418" s="438"/>
      <c r="F2418" s="438"/>
      <c r="G2418" s="438"/>
      <c r="H2418" s="438"/>
      <c r="I2418" s="438"/>
      <c r="J2418" s="11"/>
      <c r="Q2418" s="348" t="str">
        <f t="shared" si="304"/>
        <v/>
      </c>
      <c r="R2418" s="348" t="str">
        <f t="shared" si="305"/>
        <v/>
      </c>
      <c r="S2418" s="348" t="str">
        <f t="shared" si="306"/>
        <v/>
      </c>
      <c r="T2418" s="348" t="str">
        <f t="shared" si="307"/>
        <v/>
      </c>
      <c r="U2418" s="348" t="str">
        <f t="shared" si="308"/>
        <v/>
      </c>
      <c r="V2418" s="348" t="str">
        <f t="shared" si="309"/>
        <v/>
      </c>
      <c r="W2418" s="348" t="str">
        <f t="shared" si="310"/>
        <v/>
      </c>
      <c r="X2418" s="348" t="str">
        <f t="shared" si="311"/>
        <v/>
      </c>
    </row>
    <row r="2419" spans="1:24" x14ac:dyDescent="0.2">
      <c r="A2419" s="407">
        <v>2411</v>
      </c>
      <c r="B2419" s="438"/>
      <c r="C2419" s="438"/>
      <c r="D2419" s="438"/>
      <c r="E2419" s="438"/>
      <c r="F2419" s="438"/>
      <c r="G2419" s="438"/>
      <c r="H2419" s="438"/>
      <c r="I2419" s="438"/>
      <c r="J2419" s="11"/>
      <c r="Q2419" s="348" t="str">
        <f t="shared" si="304"/>
        <v/>
      </c>
      <c r="R2419" s="348" t="str">
        <f t="shared" si="305"/>
        <v/>
      </c>
      <c r="S2419" s="348" t="str">
        <f t="shared" si="306"/>
        <v/>
      </c>
      <c r="T2419" s="348" t="str">
        <f t="shared" si="307"/>
        <v/>
      </c>
      <c r="U2419" s="348" t="str">
        <f t="shared" si="308"/>
        <v/>
      </c>
      <c r="V2419" s="348" t="str">
        <f t="shared" si="309"/>
        <v/>
      </c>
      <c r="W2419" s="348" t="str">
        <f t="shared" si="310"/>
        <v/>
      </c>
      <c r="X2419" s="348" t="str">
        <f t="shared" si="311"/>
        <v/>
      </c>
    </row>
    <row r="2420" spans="1:24" x14ac:dyDescent="0.2">
      <c r="A2420" s="407">
        <v>2412</v>
      </c>
      <c r="B2420" s="438"/>
      <c r="C2420" s="438"/>
      <c r="D2420" s="438"/>
      <c r="E2420" s="438"/>
      <c r="F2420" s="438"/>
      <c r="G2420" s="438"/>
      <c r="H2420" s="438"/>
      <c r="I2420" s="438"/>
      <c r="J2420" s="11"/>
      <c r="Q2420" s="348" t="str">
        <f t="shared" si="304"/>
        <v/>
      </c>
      <c r="R2420" s="348" t="str">
        <f t="shared" si="305"/>
        <v/>
      </c>
      <c r="S2420" s="348" t="str">
        <f t="shared" si="306"/>
        <v/>
      </c>
      <c r="T2420" s="348" t="str">
        <f t="shared" si="307"/>
        <v/>
      </c>
      <c r="U2420" s="348" t="str">
        <f t="shared" si="308"/>
        <v/>
      </c>
      <c r="V2420" s="348" t="str">
        <f t="shared" si="309"/>
        <v/>
      </c>
      <c r="W2420" s="348" t="str">
        <f t="shared" si="310"/>
        <v/>
      </c>
      <c r="X2420" s="348" t="str">
        <f t="shared" si="311"/>
        <v/>
      </c>
    </row>
    <row r="2421" spans="1:24" x14ac:dyDescent="0.2">
      <c r="A2421" s="407">
        <v>2413</v>
      </c>
      <c r="B2421" s="438"/>
      <c r="C2421" s="438"/>
      <c r="D2421" s="438"/>
      <c r="E2421" s="438"/>
      <c r="F2421" s="438"/>
      <c r="G2421" s="438"/>
      <c r="H2421" s="438"/>
      <c r="I2421" s="438"/>
      <c r="J2421" s="11"/>
      <c r="Q2421" s="348" t="str">
        <f t="shared" si="304"/>
        <v/>
      </c>
      <c r="R2421" s="348" t="str">
        <f t="shared" si="305"/>
        <v/>
      </c>
      <c r="S2421" s="348" t="str">
        <f t="shared" si="306"/>
        <v/>
      </c>
      <c r="T2421" s="348" t="str">
        <f t="shared" si="307"/>
        <v/>
      </c>
      <c r="U2421" s="348" t="str">
        <f t="shared" si="308"/>
        <v/>
      </c>
      <c r="V2421" s="348" t="str">
        <f t="shared" si="309"/>
        <v/>
      </c>
      <c r="W2421" s="348" t="str">
        <f t="shared" si="310"/>
        <v/>
      </c>
      <c r="X2421" s="348" t="str">
        <f t="shared" si="311"/>
        <v/>
      </c>
    </row>
    <row r="2422" spans="1:24" x14ac:dyDescent="0.2">
      <c r="A2422" s="407">
        <v>2414</v>
      </c>
      <c r="B2422" s="437"/>
      <c r="C2422" s="438"/>
      <c r="D2422" s="438"/>
      <c r="E2422" s="438"/>
      <c r="F2422" s="438"/>
      <c r="G2422" s="438"/>
      <c r="H2422" s="438"/>
      <c r="I2422" s="438"/>
      <c r="J2422" s="11"/>
      <c r="Q2422" s="348" t="str">
        <f t="shared" si="304"/>
        <v/>
      </c>
      <c r="R2422" s="348" t="str">
        <f t="shared" si="305"/>
        <v/>
      </c>
      <c r="S2422" s="348" t="str">
        <f t="shared" si="306"/>
        <v/>
      </c>
      <c r="T2422" s="348" t="str">
        <f t="shared" si="307"/>
        <v/>
      </c>
      <c r="U2422" s="348" t="str">
        <f t="shared" si="308"/>
        <v/>
      </c>
      <c r="V2422" s="348" t="str">
        <f t="shared" si="309"/>
        <v/>
      </c>
      <c r="W2422" s="348" t="str">
        <f t="shared" si="310"/>
        <v/>
      </c>
      <c r="X2422" s="348" t="str">
        <f t="shared" si="311"/>
        <v/>
      </c>
    </row>
    <row r="2423" spans="1:24" x14ac:dyDescent="0.2">
      <c r="A2423" s="407">
        <v>2415</v>
      </c>
      <c r="B2423" s="438"/>
      <c r="C2423" s="437"/>
      <c r="D2423" s="438"/>
      <c r="E2423" s="438"/>
      <c r="F2423" s="438"/>
      <c r="G2423" s="438"/>
      <c r="H2423" s="438"/>
      <c r="I2423" s="438"/>
      <c r="J2423" s="11"/>
      <c r="Q2423" s="348" t="str">
        <f t="shared" si="304"/>
        <v/>
      </c>
      <c r="R2423" s="348" t="str">
        <f t="shared" si="305"/>
        <v/>
      </c>
      <c r="S2423" s="348" t="str">
        <f t="shared" si="306"/>
        <v/>
      </c>
      <c r="T2423" s="348" t="str">
        <f t="shared" si="307"/>
        <v/>
      </c>
      <c r="U2423" s="348" t="str">
        <f t="shared" si="308"/>
        <v/>
      </c>
      <c r="V2423" s="348" t="str">
        <f t="shared" si="309"/>
        <v/>
      </c>
      <c r="W2423" s="348" t="str">
        <f t="shared" si="310"/>
        <v/>
      </c>
      <c r="X2423" s="348" t="str">
        <f t="shared" si="311"/>
        <v/>
      </c>
    </row>
    <row r="2424" spans="1:24" x14ac:dyDescent="0.2">
      <c r="A2424" s="407">
        <v>2416</v>
      </c>
      <c r="B2424" s="438"/>
      <c r="C2424" s="438"/>
      <c r="D2424" s="438"/>
      <c r="E2424" s="438"/>
      <c r="F2424" s="438"/>
      <c r="G2424" s="438"/>
      <c r="H2424" s="438"/>
      <c r="I2424" s="438"/>
      <c r="J2424" s="11"/>
      <c r="Q2424" s="348" t="str">
        <f t="shared" si="304"/>
        <v/>
      </c>
      <c r="R2424" s="348" t="str">
        <f t="shared" si="305"/>
        <v/>
      </c>
      <c r="S2424" s="348" t="str">
        <f t="shared" si="306"/>
        <v/>
      </c>
      <c r="T2424" s="348" t="str">
        <f t="shared" si="307"/>
        <v/>
      </c>
      <c r="U2424" s="348" t="str">
        <f t="shared" si="308"/>
        <v/>
      </c>
      <c r="V2424" s="348" t="str">
        <f t="shared" si="309"/>
        <v/>
      </c>
      <c r="W2424" s="348" t="str">
        <f t="shared" si="310"/>
        <v/>
      </c>
      <c r="X2424" s="348" t="str">
        <f t="shared" si="311"/>
        <v/>
      </c>
    </row>
    <row r="2425" spans="1:24" x14ac:dyDescent="0.2">
      <c r="A2425" s="407">
        <v>2417</v>
      </c>
      <c r="B2425" s="438"/>
      <c r="C2425" s="438"/>
      <c r="D2425" s="438"/>
      <c r="E2425" s="438"/>
      <c r="F2425" s="438"/>
      <c r="G2425" s="438"/>
      <c r="H2425" s="438"/>
      <c r="I2425" s="438"/>
      <c r="J2425" s="11"/>
      <c r="Q2425" s="348" t="str">
        <f t="shared" si="304"/>
        <v/>
      </c>
      <c r="R2425" s="348" t="str">
        <f t="shared" si="305"/>
        <v/>
      </c>
      <c r="S2425" s="348" t="str">
        <f t="shared" si="306"/>
        <v/>
      </c>
      <c r="T2425" s="348" t="str">
        <f t="shared" si="307"/>
        <v/>
      </c>
      <c r="U2425" s="348" t="str">
        <f t="shared" si="308"/>
        <v/>
      </c>
      <c r="V2425" s="348" t="str">
        <f t="shared" si="309"/>
        <v/>
      </c>
      <c r="W2425" s="348" t="str">
        <f t="shared" si="310"/>
        <v/>
      </c>
      <c r="X2425" s="348" t="str">
        <f t="shared" si="311"/>
        <v/>
      </c>
    </row>
    <row r="2426" spans="1:24" x14ac:dyDescent="0.2">
      <c r="A2426" s="407">
        <v>2418</v>
      </c>
      <c r="B2426" s="438"/>
      <c r="C2426" s="438"/>
      <c r="D2426" s="438"/>
      <c r="E2426" s="438"/>
      <c r="F2426" s="438"/>
      <c r="G2426" s="438"/>
      <c r="H2426" s="438"/>
      <c r="I2426" s="438"/>
      <c r="J2426" s="11"/>
      <c r="Q2426" s="348" t="str">
        <f t="shared" si="304"/>
        <v/>
      </c>
      <c r="R2426" s="348" t="str">
        <f t="shared" si="305"/>
        <v/>
      </c>
      <c r="S2426" s="348" t="str">
        <f t="shared" si="306"/>
        <v/>
      </c>
      <c r="T2426" s="348" t="str">
        <f t="shared" si="307"/>
        <v/>
      </c>
      <c r="U2426" s="348" t="str">
        <f t="shared" si="308"/>
        <v/>
      </c>
      <c r="V2426" s="348" t="str">
        <f t="shared" si="309"/>
        <v/>
      </c>
      <c r="W2426" s="348" t="str">
        <f t="shared" si="310"/>
        <v/>
      </c>
      <c r="X2426" s="348" t="str">
        <f t="shared" si="311"/>
        <v/>
      </c>
    </row>
    <row r="2427" spans="1:24" x14ac:dyDescent="0.2">
      <c r="A2427" s="407">
        <v>2419</v>
      </c>
      <c r="B2427" s="438"/>
      <c r="C2427" s="438"/>
      <c r="D2427" s="438"/>
      <c r="E2427" s="438"/>
      <c r="F2427" s="438"/>
      <c r="G2427" s="438"/>
      <c r="H2427" s="438"/>
      <c r="I2427" s="438"/>
      <c r="J2427" s="11"/>
      <c r="Q2427" s="348" t="str">
        <f t="shared" si="304"/>
        <v/>
      </c>
      <c r="R2427" s="348" t="str">
        <f t="shared" si="305"/>
        <v/>
      </c>
      <c r="S2427" s="348" t="str">
        <f t="shared" si="306"/>
        <v/>
      </c>
      <c r="T2427" s="348" t="str">
        <f t="shared" si="307"/>
        <v/>
      </c>
      <c r="U2427" s="348" t="str">
        <f t="shared" si="308"/>
        <v/>
      </c>
      <c r="V2427" s="348" t="str">
        <f t="shared" si="309"/>
        <v/>
      </c>
      <c r="W2427" s="348" t="str">
        <f t="shared" si="310"/>
        <v/>
      </c>
      <c r="X2427" s="348" t="str">
        <f t="shared" si="311"/>
        <v/>
      </c>
    </row>
    <row r="2428" spans="1:24" x14ac:dyDescent="0.2">
      <c r="A2428" s="407">
        <v>2420</v>
      </c>
      <c r="B2428" s="438"/>
      <c r="C2428" s="438"/>
      <c r="D2428" s="438"/>
      <c r="E2428" s="438"/>
      <c r="F2428" s="438"/>
      <c r="G2428" s="438"/>
      <c r="H2428" s="438"/>
      <c r="I2428" s="438"/>
      <c r="J2428" s="11"/>
      <c r="Q2428" s="348" t="str">
        <f t="shared" si="304"/>
        <v/>
      </c>
      <c r="R2428" s="348" t="str">
        <f t="shared" si="305"/>
        <v/>
      </c>
      <c r="S2428" s="348" t="str">
        <f t="shared" si="306"/>
        <v/>
      </c>
      <c r="T2428" s="348" t="str">
        <f t="shared" si="307"/>
        <v/>
      </c>
      <c r="U2428" s="348" t="str">
        <f t="shared" si="308"/>
        <v/>
      </c>
      <c r="V2428" s="348" t="str">
        <f t="shared" si="309"/>
        <v/>
      </c>
      <c r="W2428" s="348" t="str">
        <f t="shared" si="310"/>
        <v/>
      </c>
      <c r="X2428" s="348" t="str">
        <f t="shared" si="311"/>
        <v/>
      </c>
    </row>
    <row r="2429" spans="1:24" x14ac:dyDescent="0.2">
      <c r="A2429" s="407">
        <v>2421</v>
      </c>
      <c r="B2429" s="438"/>
      <c r="C2429" s="438"/>
      <c r="D2429" s="438"/>
      <c r="E2429" s="438"/>
      <c r="F2429" s="438"/>
      <c r="G2429" s="438"/>
      <c r="H2429" s="438"/>
      <c r="I2429" s="438"/>
      <c r="J2429" s="11"/>
      <c r="Q2429" s="348" t="str">
        <f t="shared" si="304"/>
        <v/>
      </c>
      <c r="R2429" s="348" t="str">
        <f t="shared" si="305"/>
        <v/>
      </c>
      <c r="S2429" s="348" t="str">
        <f t="shared" si="306"/>
        <v/>
      </c>
      <c r="T2429" s="348" t="str">
        <f t="shared" si="307"/>
        <v/>
      </c>
      <c r="U2429" s="348" t="str">
        <f t="shared" si="308"/>
        <v/>
      </c>
      <c r="V2429" s="348" t="str">
        <f t="shared" si="309"/>
        <v/>
      </c>
      <c r="W2429" s="348" t="str">
        <f t="shared" si="310"/>
        <v/>
      </c>
      <c r="X2429" s="348" t="str">
        <f t="shared" si="311"/>
        <v/>
      </c>
    </row>
    <row r="2430" spans="1:24" x14ac:dyDescent="0.2">
      <c r="A2430" s="407">
        <v>2422</v>
      </c>
      <c r="B2430" s="437"/>
      <c r="C2430" s="438"/>
      <c r="D2430" s="438"/>
      <c r="E2430" s="438"/>
      <c r="F2430" s="438"/>
      <c r="G2430" s="438"/>
      <c r="H2430" s="438"/>
      <c r="I2430" s="438"/>
      <c r="J2430" s="11"/>
      <c r="Q2430" s="348" t="str">
        <f t="shared" si="304"/>
        <v/>
      </c>
      <c r="R2430" s="348" t="str">
        <f t="shared" si="305"/>
        <v/>
      </c>
      <c r="S2430" s="348" t="str">
        <f t="shared" si="306"/>
        <v/>
      </c>
      <c r="T2430" s="348" t="str">
        <f t="shared" si="307"/>
        <v/>
      </c>
      <c r="U2430" s="348" t="str">
        <f t="shared" si="308"/>
        <v/>
      </c>
      <c r="V2430" s="348" t="str">
        <f t="shared" si="309"/>
        <v/>
      </c>
      <c r="W2430" s="348" t="str">
        <f t="shared" si="310"/>
        <v/>
      </c>
      <c r="X2430" s="348" t="str">
        <f t="shared" si="311"/>
        <v/>
      </c>
    </row>
    <row r="2431" spans="1:24" x14ac:dyDescent="0.2">
      <c r="A2431" s="407">
        <v>2423</v>
      </c>
      <c r="B2431" s="438"/>
      <c r="C2431" s="438"/>
      <c r="D2431" s="438"/>
      <c r="E2431" s="438"/>
      <c r="F2431" s="438"/>
      <c r="G2431" s="438"/>
      <c r="H2431" s="438"/>
      <c r="I2431" s="438"/>
      <c r="J2431" s="11"/>
      <c r="Q2431" s="348" t="str">
        <f t="shared" si="304"/>
        <v/>
      </c>
      <c r="R2431" s="348" t="str">
        <f t="shared" si="305"/>
        <v/>
      </c>
      <c r="S2431" s="348" t="str">
        <f t="shared" si="306"/>
        <v/>
      </c>
      <c r="T2431" s="348" t="str">
        <f t="shared" si="307"/>
        <v/>
      </c>
      <c r="U2431" s="348" t="str">
        <f t="shared" si="308"/>
        <v/>
      </c>
      <c r="V2431" s="348" t="str">
        <f t="shared" si="309"/>
        <v/>
      </c>
      <c r="W2431" s="348" t="str">
        <f t="shared" si="310"/>
        <v/>
      </c>
      <c r="X2431" s="348" t="str">
        <f t="shared" si="311"/>
        <v/>
      </c>
    </row>
    <row r="2432" spans="1:24" x14ac:dyDescent="0.2">
      <c r="A2432" s="407">
        <v>2424</v>
      </c>
      <c r="B2432" s="438"/>
      <c r="C2432" s="438"/>
      <c r="D2432" s="438"/>
      <c r="E2432" s="438"/>
      <c r="F2432" s="438"/>
      <c r="G2432" s="438"/>
      <c r="H2432" s="438"/>
      <c r="I2432" s="438"/>
      <c r="J2432" s="11"/>
      <c r="Q2432" s="348" t="str">
        <f t="shared" si="304"/>
        <v/>
      </c>
      <c r="R2432" s="348" t="str">
        <f t="shared" si="305"/>
        <v/>
      </c>
      <c r="S2432" s="348" t="str">
        <f t="shared" si="306"/>
        <v/>
      </c>
      <c r="T2432" s="348" t="str">
        <f t="shared" si="307"/>
        <v/>
      </c>
      <c r="U2432" s="348" t="str">
        <f t="shared" si="308"/>
        <v/>
      </c>
      <c r="V2432" s="348" t="str">
        <f t="shared" si="309"/>
        <v/>
      </c>
      <c r="W2432" s="348" t="str">
        <f t="shared" si="310"/>
        <v/>
      </c>
      <c r="X2432" s="348" t="str">
        <f t="shared" si="311"/>
        <v/>
      </c>
    </row>
    <row r="2433" spans="1:24" x14ac:dyDescent="0.2">
      <c r="A2433" s="407">
        <v>2425</v>
      </c>
      <c r="B2433" s="438"/>
      <c r="C2433" s="438"/>
      <c r="D2433" s="438"/>
      <c r="E2433" s="438"/>
      <c r="F2433" s="438"/>
      <c r="G2433" s="438"/>
      <c r="H2433" s="438"/>
      <c r="I2433" s="438"/>
      <c r="J2433" s="11"/>
      <c r="Q2433" s="348" t="str">
        <f t="shared" si="304"/>
        <v/>
      </c>
      <c r="R2433" s="348" t="str">
        <f t="shared" si="305"/>
        <v/>
      </c>
      <c r="S2433" s="348" t="str">
        <f t="shared" si="306"/>
        <v/>
      </c>
      <c r="T2433" s="348" t="str">
        <f t="shared" si="307"/>
        <v/>
      </c>
      <c r="U2433" s="348" t="str">
        <f t="shared" si="308"/>
        <v/>
      </c>
      <c r="V2433" s="348" t="str">
        <f t="shared" si="309"/>
        <v/>
      </c>
      <c r="W2433" s="348" t="str">
        <f t="shared" si="310"/>
        <v/>
      </c>
      <c r="X2433" s="348" t="str">
        <f t="shared" si="311"/>
        <v/>
      </c>
    </row>
    <row r="2434" spans="1:24" x14ac:dyDescent="0.2">
      <c r="A2434" s="407">
        <v>2426</v>
      </c>
      <c r="B2434" s="438"/>
      <c r="C2434" s="438"/>
      <c r="D2434" s="438"/>
      <c r="E2434" s="437"/>
      <c r="F2434" s="437"/>
      <c r="G2434" s="437"/>
      <c r="H2434" s="437"/>
      <c r="I2434" s="437"/>
      <c r="J2434" s="11"/>
      <c r="Q2434" s="348" t="str">
        <f t="shared" si="304"/>
        <v/>
      </c>
      <c r="R2434" s="348" t="str">
        <f t="shared" si="305"/>
        <v/>
      </c>
      <c r="S2434" s="348" t="str">
        <f t="shared" si="306"/>
        <v/>
      </c>
      <c r="T2434" s="348" t="str">
        <f t="shared" si="307"/>
        <v/>
      </c>
      <c r="U2434" s="348" t="str">
        <f t="shared" si="308"/>
        <v/>
      </c>
      <c r="V2434" s="348" t="str">
        <f t="shared" si="309"/>
        <v/>
      </c>
      <c r="W2434" s="348" t="str">
        <f t="shared" si="310"/>
        <v/>
      </c>
      <c r="X2434" s="348" t="str">
        <f t="shared" si="311"/>
        <v/>
      </c>
    </row>
    <row r="2435" spans="1:24" x14ac:dyDescent="0.2">
      <c r="A2435" s="407">
        <v>2427</v>
      </c>
      <c r="B2435" s="438"/>
      <c r="C2435" s="438"/>
      <c r="D2435" s="438"/>
      <c r="E2435" s="438"/>
      <c r="F2435" s="438"/>
      <c r="G2435" s="438"/>
      <c r="H2435" s="438"/>
      <c r="I2435" s="438"/>
      <c r="J2435" s="11"/>
      <c r="Q2435" s="348" t="str">
        <f t="shared" si="304"/>
        <v/>
      </c>
      <c r="R2435" s="348" t="str">
        <f t="shared" si="305"/>
        <v/>
      </c>
      <c r="S2435" s="348" t="str">
        <f t="shared" si="306"/>
        <v/>
      </c>
      <c r="T2435" s="348" t="str">
        <f t="shared" si="307"/>
        <v/>
      </c>
      <c r="U2435" s="348" t="str">
        <f t="shared" si="308"/>
        <v/>
      </c>
      <c r="V2435" s="348" t="str">
        <f t="shared" si="309"/>
        <v/>
      </c>
      <c r="W2435" s="348" t="str">
        <f t="shared" si="310"/>
        <v/>
      </c>
      <c r="X2435" s="348" t="str">
        <f t="shared" si="311"/>
        <v/>
      </c>
    </row>
    <row r="2436" spans="1:24" x14ac:dyDescent="0.2">
      <c r="A2436" s="407">
        <v>2428</v>
      </c>
      <c r="B2436" s="438"/>
      <c r="C2436" s="438"/>
      <c r="D2436" s="438"/>
      <c r="E2436" s="438"/>
      <c r="F2436" s="438"/>
      <c r="G2436" s="438"/>
      <c r="H2436" s="438"/>
      <c r="I2436" s="438"/>
      <c r="J2436" s="11"/>
      <c r="Q2436" s="348" t="str">
        <f t="shared" si="304"/>
        <v/>
      </c>
      <c r="R2436" s="348" t="str">
        <f t="shared" si="305"/>
        <v/>
      </c>
      <c r="S2436" s="348" t="str">
        <f t="shared" si="306"/>
        <v/>
      </c>
      <c r="T2436" s="348" t="str">
        <f t="shared" si="307"/>
        <v/>
      </c>
      <c r="U2436" s="348" t="str">
        <f t="shared" si="308"/>
        <v/>
      </c>
      <c r="V2436" s="348" t="str">
        <f t="shared" si="309"/>
        <v/>
      </c>
      <c r="W2436" s="348" t="str">
        <f t="shared" si="310"/>
        <v/>
      </c>
      <c r="X2436" s="348" t="str">
        <f t="shared" si="311"/>
        <v/>
      </c>
    </row>
    <row r="2437" spans="1:24" x14ac:dyDescent="0.2">
      <c r="A2437" s="407">
        <v>2429</v>
      </c>
      <c r="B2437" s="438"/>
      <c r="C2437" s="438"/>
      <c r="D2437" s="438"/>
      <c r="E2437" s="438"/>
      <c r="F2437" s="438"/>
      <c r="G2437" s="438"/>
      <c r="H2437" s="438"/>
      <c r="I2437" s="438"/>
      <c r="J2437" s="11"/>
      <c r="Q2437" s="348" t="str">
        <f t="shared" si="304"/>
        <v/>
      </c>
      <c r="R2437" s="348" t="str">
        <f t="shared" si="305"/>
        <v/>
      </c>
      <c r="S2437" s="348" t="str">
        <f t="shared" si="306"/>
        <v/>
      </c>
      <c r="T2437" s="348" t="str">
        <f t="shared" si="307"/>
        <v/>
      </c>
      <c r="U2437" s="348" t="str">
        <f t="shared" si="308"/>
        <v/>
      </c>
      <c r="V2437" s="348" t="str">
        <f t="shared" si="309"/>
        <v/>
      </c>
      <c r="W2437" s="348" t="str">
        <f t="shared" si="310"/>
        <v/>
      </c>
      <c r="X2437" s="348" t="str">
        <f t="shared" si="311"/>
        <v/>
      </c>
    </row>
    <row r="2438" spans="1:24" x14ac:dyDescent="0.2">
      <c r="A2438" s="407">
        <v>2430</v>
      </c>
      <c r="B2438" s="438"/>
      <c r="C2438" s="438"/>
      <c r="D2438" s="438"/>
      <c r="E2438" s="438"/>
      <c r="F2438" s="438"/>
      <c r="G2438" s="438"/>
      <c r="H2438" s="438"/>
      <c r="I2438" s="438"/>
      <c r="J2438" s="11"/>
      <c r="Q2438" s="348" t="str">
        <f t="shared" si="304"/>
        <v/>
      </c>
      <c r="R2438" s="348" t="str">
        <f t="shared" si="305"/>
        <v/>
      </c>
      <c r="S2438" s="348" t="str">
        <f t="shared" si="306"/>
        <v/>
      </c>
      <c r="T2438" s="348" t="str">
        <f t="shared" si="307"/>
        <v/>
      </c>
      <c r="U2438" s="348" t="str">
        <f t="shared" si="308"/>
        <v/>
      </c>
      <c r="V2438" s="348" t="str">
        <f t="shared" si="309"/>
        <v/>
      </c>
      <c r="W2438" s="348" t="str">
        <f t="shared" si="310"/>
        <v/>
      </c>
      <c r="X2438" s="348" t="str">
        <f t="shared" si="311"/>
        <v/>
      </c>
    </row>
    <row r="2439" spans="1:24" x14ac:dyDescent="0.2">
      <c r="A2439" s="407">
        <v>2431</v>
      </c>
      <c r="B2439" s="438"/>
      <c r="C2439" s="438"/>
      <c r="D2439" s="438"/>
      <c r="E2439" s="438"/>
      <c r="F2439" s="438"/>
      <c r="G2439" s="438"/>
      <c r="H2439" s="438"/>
      <c r="I2439" s="438"/>
      <c r="J2439" s="11"/>
      <c r="Q2439" s="348" t="str">
        <f t="shared" si="304"/>
        <v/>
      </c>
      <c r="R2439" s="348" t="str">
        <f t="shared" si="305"/>
        <v/>
      </c>
      <c r="S2439" s="348" t="str">
        <f t="shared" si="306"/>
        <v/>
      </c>
      <c r="T2439" s="348" t="str">
        <f t="shared" si="307"/>
        <v/>
      </c>
      <c r="U2439" s="348" t="str">
        <f t="shared" si="308"/>
        <v/>
      </c>
      <c r="V2439" s="348" t="str">
        <f t="shared" si="309"/>
        <v/>
      </c>
      <c r="W2439" s="348" t="str">
        <f t="shared" si="310"/>
        <v/>
      </c>
      <c r="X2439" s="348" t="str">
        <f t="shared" si="311"/>
        <v/>
      </c>
    </row>
    <row r="2440" spans="1:24" x14ac:dyDescent="0.2">
      <c r="A2440" s="407">
        <v>2432</v>
      </c>
      <c r="B2440" s="438"/>
      <c r="C2440" s="438"/>
      <c r="D2440" s="438"/>
      <c r="E2440" s="438"/>
      <c r="F2440" s="438"/>
      <c r="G2440" s="438"/>
      <c r="H2440" s="438"/>
      <c r="I2440" s="438"/>
      <c r="J2440" s="11"/>
      <c r="Q2440" s="348" t="str">
        <f t="shared" si="304"/>
        <v/>
      </c>
      <c r="R2440" s="348" t="str">
        <f t="shared" si="305"/>
        <v/>
      </c>
      <c r="S2440" s="348" t="str">
        <f t="shared" si="306"/>
        <v/>
      </c>
      <c r="T2440" s="348" t="str">
        <f t="shared" si="307"/>
        <v/>
      </c>
      <c r="U2440" s="348" t="str">
        <f t="shared" si="308"/>
        <v/>
      </c>
      <c r="V2440" s="348" t="str">
        <f t="shared" si="309"/>
        <v/>
      </c>
      <c r="W2440" s="348" t="str">
        <f t="shared" si="310"/>
        <v/>
      </c>
      <c r="X2440" s="348" t="str">
        <f t="shared" si="311"/>
        <v/>
      </c>
    </row>
    <row r="2441" spans="1:24" x14ac:dyDescent="0.2">
      <c r="A2441" s="407">
        <v>2433</v>
      </c>
      <c r="B2441" s="438"/>
      <c r="C2441" s="438"/>
      <c r="D2441" s="438"/>
      <c r="E2441" s="438"/>
      <c r="F2441" s="438"/>
      <c r="G2441" s="438"/>
      <c r="H2441" s="438"/>
      <c r="I2441" s="438"/>
      <c r="J2441" s="11"/>
      <c r="Q2441" s="348" t="str">
        <f t="shared" si="304"/>
        <v/>
      </c>
      <c r="R2441" s="348" t="str">
        <f t="shared" si="305"/>
        <v/>
      </c>
      <c r="S2441" s="348" t="str">
        <f t="shared" si="306"/>
        <v/>
      </c>
      <c r="T2441" s="348" t="str">
        <f t="shared" si="307"/>
        <v/>
      </c>
      <c r="U2441" s="348" t="str">
        <f t="shared" si="308"/>
        <v/>
      </c>
      <c r="V2441" s="348" t="str">
        <f t="shared" si="309"/>
        <v/>
      </c>
      <c r="W2441" s="348" t="str">
        <f t="shared" si="310"/>
        <v/>
      </c>
      <c r="X2441" s="348" t="str">
        <f t="shared" si="311"/>
        <v/>
      </c>
    </row>
    <row r="2442" spans="1:24" x14ac:dyDescent="0.2">
      <c r="A2442" s="407">
        <v>2434</v>
      </c>
      <c r="B2442" s="438"/>
      <c r="C2442" s="438"/>
      <c r="D2442" s="438"/>
      <c r="E2442" s="438"/>
      <c r="F2442" s="438"/>
      <c r="G2442" s="438"/>
      <c r="H2442" s="438"/>
      <c r="I2442" s="438"/>
      <c r="J2442" s="11"/>
      <c r="Q2442" s="348" t="str">
        <f t="shared" ref="Q2442:Q2505" si="312">IFERROR(B2442^4*$AB$9+B2442^3*$AC$9+B2442^2*$AD$9+B2442^1*$AE$9+B2442^0*$AF$9,"")</f>
        <v/>
      </c>
      <c r="R2442" s="348" t="str">
        <f t="shared" ref="R2442:R2505" si="313">IFERROR(C2442^4*$AB$10+C2442^3*$AC$10+C2442^2*$AD$10+C2442^1*$AE$10+C2442^0*$AF$10,"")</f>
        <v/>
      </c>
      <c r="S2442" s="348" t="str">
        <f t="shared" ref="S2442:S2505" si="314">IFERROR(D2442^4*$AB$11+D2442^3*$AC$11+D2442^2*$AD$11+D2442^1*$AE$11+D2442^0*$AF$11,"")</f>
        <v/>
      </c>
      <c r="T2442" s="348" t="str">
        <f t="shared" ref="T2442:T2505" si="315">IFERROR(E2442^4*$AB$12+E2442^3*$AC$12+E2442^2*$AD$12+E2442^1*$AE$12+E2442^0*$AF$12,"")</f>
        <v/>
      </c>
      <c r="U2442" s="348" t="str">
        <f t="shared" ref="U2442:U2505" si="316">IFERROR(F2442^4*$AB$13+F2442^3*$AC$13+F2442^2*$AD$13+F2442^1*$AE$13+F2442^0*$AF$13,"")</f>
        <v/>
      </c>
      <c r="V2442" s="348" t="str">
        <f t="shared" ref="V2442:V2505" si="317">IFERROR(G2442^4*$AB$14+G2442^3*$AC$14+G2442^2*$AD$14+G2442^1*$AE$14+G2442^0*$AF$14,"")</f>
        <v/>
      </c>
      <c r="W2442" s="348" t="str">
        <f t="shared" ref="W2442:W2505" si="318">IFERROR(H2442^4*$AB$15+H2442^3*$AC$15+H2442^2*$AD$15+H2442^1*$AE$15+H2442^0*$AF$15,"")</f>
        <v/>
      </c>
      <c r="X2442" s="348" t="str">
        <f t="shared" ref="X2442:X2505" si="319">IFERROR(I2442^4*$AB$16+I2442^3*$AC$16+I2442^2*$AD$16+I2442^1*$AE$16+I2442^0*$AF$16,"")</f>
        <v/>
      </c>
    </row>
    <row r="2443" spans="1:24" x14ac:dyDescent="0.2">
      <c r="A2443" s="407">
        <v>2435</v>
      </c>
      <c r="B2443" s="438"/>
      <c r="C2443" s="438"/>
      <c r="D2443" s="438"/>
      <c r="E2443" s="438"/>
      <c r="F2443" s="438"/>
      <c r="G2443" s="438"/>
      <c r="H2443" s="438"/>
      <c r="I2443" s="438"/>
      <c r="J2443" s="11"/>
      <c r="Q2443" s="348" t="str">
        <f t="shared" si="312"/>
        <v/>
      </c>
      <c r="R2443" s="348" t="str">
        <f t="shared" si="313"/>
        <v/>
      </c>
      <c r="S2443" s="348" t="str">
        <f t="shared" si="314"/>
        <v/>
      </c>
      <c r="T2443" s="348" t="str">
        <f t="shared" si="315"/>
        <v/>
      </c>
      <c r="U2443" s="348" t="str">
        <f t="shared" si="316"/>
        <v/>
      </c>
      <c r="V2443" s="348" t="str">
        <f t="shared" si="317"/>
        <v/>
      </c>
      <c r="W2443" s="348" t="str">
        <f t="shared" si="318"/>
        <v/>
      </c>
      <c r="X2443" s="348" t="str">
        <f t="shared" si="319"/>
        <v/>
      </c>
    </row>
    <row r="2444" spans="1:24" x14ac:dyDescent="0.2">
      <c r="A2444" s="407">
        <v>2436</v>
      </c>
      <c r="B2444" s="437"/>
      <c r="C2444" s="437"/>
      <c r="D2444" s="438"/>
      <c r="E2444" s="438"/>
      <c r="F2444" s="438"/>
      <c r="G2444" s="438"/>
      <c r="H2444" s="438"/>
      <c r="I2444" s="438"/>
      <c r="J2444" s="11"/>
      <c r="Q2444" s="348" t="str">
        <f t="shared" si="312"/>
        <v/>
      </c>
      <c r="R2444" s="348" t="str">
        <f t="shared" si="313"/>
        <v/>
      </c>
      <c r="S2444" s="348" t="str">
        <f t="shared" si="314"/>
        <v/>
      </c>
      <c r="T2444" s="348" t="str">
        <f t="shared" si="315"/>
        <v/>
      </c>
      <c r="U2444" s="348" t="str">
        <f t="shared" si="316"/>
        <v/>
      </c>
      <c r="V2444" s="348" t="str">
        <f t="shared" si="317"/>
        <v/>
      </c>
      <c r="W2444" s="348" t="str">
        <f t="shared" si="318"/>
        <v/>
      </c>
      <c r="X2444" s="348" t="str">
        <f t="shared" si="319"/>
        <v/>
      </c>
    </row>
    <row r="2445" spans="1:24" x14ac:dyDescent="0.2">
      <c r="A2445" s="407">
        <v>2437</v>
      </c>
      <c r="B2445" s="438"/>
      <c r="C2445" s="438"/>
      <c r="D2445" s="438"/>
      <c r="E2445" s="438"/>
      <c r="F2445" s="438"/>
      <c r="G2445" s="438"/>
      <c r="H2445" s="438"/>
      <c r="I2445" s="438"/>
      <c r="J2445" s="11"/>
      <c r="Q2445" s="348" t="str">
        <f t="shared" si="312"/>
        <v/>
      </c>
      <c r="R2445" s="348" t="str">
        <f t="shared" si="313"/>
        <v/>
      </c>
      <c r="S2445" s="348" t="str">
        <f t="shared" si="314"/>
        <v/>
      </c>
      <c r="T2445" s="348" t="str">
        <f t="shared" si="315"/>
        <v/>
      </c>
      <c r="U2445" s="348" t="str">
        <f t="shared" si="316"/>
        <v/>
      </c>
      <c r="V2445" s="348" t="str">
        <f t="shared" si="317"/>
        <v/>
      </c>
      <c r="W2445" s="348" t="str">
        <f t="shared" si="318"/>
        <v/>
      </c>
      <c r="X2445" s="348" t="str">
        <f t="shared" si="319"/>
        <v/>
      </c>
    </row>
    <row r="2446" spans="1:24" x14ac:dyDescent="0.2">
      <c r="A2446" s="407">
        <v>2438</v>
      </c>
      <c r="B2446" s="438"/>
      <c r="C2446" s="438"/>
      <c r="D2446" s="438"/>
      <c r="E2446" s="438"/>
      <c r="F2446" s="438"/>
      <c r="G2446" s="438"/>
      <c r="H2446" s="438"/>
      <c r="I2446" s="438"/>
      <c r="J2446" s="11"/>
      <c r="Q2446" s="348" t="str">
        <f t="shared" si="312"/>
        <v/>
      </c>
      <c r="R2446" s="348" t="str">
        <f t="shared" si="313"/>
        <v/>
      </c>
      <c r="S2446" s="348" t="str">
        <f t="shared" si="314"/>
        <v/>
      </c>
      <c r="T2446" s="348" t="str">
        <f t="shared" si="315"/>
        <v/>
      </c>
      <c r="U2446" s="348" t="str">
        <f t="shared" si="316"/>
        <v/>
      </c>
      <c r="V2446" s="348" t="str">
        <f t="shared" si="317"/>
        <v/>
      </c>
      <c r="W2446" s="348" t="str">
        <f t="shared" si="318"/>
        <v/>
      </c>
      <c r="X2446" s="348" t="str">
        <f t="shared" si="319"/>
        <v/>
      </c>
    </row>
    <row r="2447" spans="1:24" x14ac:dyDescent="0.2">
      <c r="A2447" s="407">
        <v>2439</v>
      </c>
      <c r="B2447" s="438"/>
      <c r="C2447" s="438"/>
      <c r="D2447" s="438"/>
      <c r="E2447" s="438"/>
      <c r="F2447" s="438"/>
      <c r="G2447" s="438"/>
      <c r="H2447" s="438"/>
      <c r="I2447" s="438"/>
      <c r="J2447" s="11"/>
      <c r="Q2447" s="348" t="str">
        <f t="shared" si="312"/>
        <v/>
      </c>
      <c r="R2447" s="348" t="str">
        <f t="shared" si="313"/>
        <v/>
      </c>
      <c r="S2447" s="348" t="str">
        <f t="shared" si="314"/>
        <v/>
      </c>
      <c r="T2447" s="348" t="str">
        <f t="shared" si="315"/>
        <v/>
      </c>
      <c r="U2447" s="348" t="str">
        <f t="shared" si="316"/>
        <v/>
      </c>
      <c r="V2447" s="348" t="str">
        <f t="shared" si="317"/>
        <v/>
      </c>
      <c r="W2447" s="348" t="str">
        <f t="shared" si="318"/>
        <v/>
      </c>
      <c r="X2447" s="348" t="str">
        <f t="shared" si="319"/>
        <v/>
      </c>
    </row>
    <row r="2448" spans="1:24" x14ac:dyDescent="0.2">
      <c r="A2448" s="407">
        <v>2440</v>
      </c>
      <c r="B2448" s="438"/>
      <c r="C2448" s="438"/>
      <c r="D2448" s="438"/>
      <c r="E2448" s="438"/>
      <c r="F2448" s="438"/>
      <c r="G2448" s="438"/>
      <c r="H2448" s="438"/>
      <c r="I2448" s="438"/>
      <c r="J2448" s="11"/>
      <c r="Q2448" s="348" t="str">
        <f t="shared" si="312"/>
        <v/>
      </c>
      <c r="R2448" s="348" t="str">
        <f t="shared" si="313"/>
        <v/>
      </c>
      <c r="S2448" s="348" t="str">
        <f t="shared" si="314"/>
        <v/>
      </c>
      <c r="T2448" s="348" t="str">
        <f t="shared" si="315"/>
        <v/>
      </c>
      <c r="U2448" s="348" t="str">
        <f t="shared" si="316"/>
        <v/>
      </c>
      <c r="V2448" s="348" t="str">
        <f t="shared" si="317"/>
        <v/>
      </c>
      <c r="W2448" s="348" t="str">
        <f t="shared" si="318"/>
        <v/>
      </c>
      <c r="X2448" s="348" t="str">
        <f t="shared" si="319"/>
        <v/>
      </c>
    </row>
    <row r="2449" spans="1:24" x14ac:dyDescent="0.2">
      <c r="A2449" s="407">
        <v>2441</v>
      </c>
      <c r="B2449" s="438"/>
      <c r="C2449" s="438"/>
      <c r="D2449" s="438"/>
      <c r="E2449" s="438"/>
      <c r="F2449" s="438"/>
      <c r="G2449" s="438"/>
      <c r="H2449" s="438"/>
      <c r="I2449" s="438"/>
      <c r="J2449" s="11"/>
      <c r="Q2449" s="348" t="str">
        <f t="shared" si="312"/>
        <v/>
      </c>
      <c r="R2449" s="348" t="str">
        <f t="shared" si="313"/>
        <v/>
      </c>
      <c r="S2449" s="348" t="str">
        <f t="shared" si="314"/>
        <v/>
      </c>
      <c r="T2449" s="348" t="str">
        <f t="shared" si="315"/>
        <v/>
      </c>
      <c r="U2449" s="348" t="str">
        <f t="shared" si="316"/>
        <v/>
      </c>
      <c r="V2449" s="348" t="str">
        <f t="shared" si="317"/>
        <v/>
      </c>
      <c r="W2449" s="348" t="str">
        <f t="shared" si="318"/>
        <v/>
      </c>
      <c r="X2449" s="348" t="str">
        <f t="shared" si="319"/>
        <v/>
      </c>
    </row>
    <row r="2450" spans="1:24" x14ac:dyDescent="0.2">
      <c r="A2450" s="407">
        <v>2442</v>
      </c>
      <c r="B2450" s="438"/>
      <c r="C2450" s="438"/>
      <c r="D2450" s="438"/>
      <c r="E2450" s="438"/>
      <c r="F2450" s="438"/>
      <c r="G2450" s="438"/>
      <c r="H2450" s="438"/>
      <c r="I2450" s="438"/>
      <c r="J2450" s="11"/>
      <c r="Q2450" s="348" t="str">
        <f t="shared" si="312"/>
        <v/>
      </c>
      <c r="R2450" s="348" t="str">
        <f t="shared" si="313"/>
        <v/>
      </c>
      <c r="S2450" s="348" t="str">
        <f t="shared" si="314"/>
        <v/>
      </c>
      <c r="T2450" s="348" t="str">
        <f t="shared" si="315"/>
        <v/>
      </c>
      <c r="U2450" s="348" t="str">
        <f t="shared" si="316"/>
        <v/>
      </c>
      <c r="V2450" s="348" t="str">
        <f t="shared" si="317"/>
        <v/>
      </c>
      <c r="W2450" s="348" t="str">
        <f t="shared" si="318"/>
        <v/>
      </c>
      <c r="X2450" s="348" t="str">
        <f t="shared" si="319"/>
        <v/>
      </c>
    </row>
    <row r="2451" spans="1:24" x14ac:dyDescent="0.2">
      <c r="A2451" s="407">
        <v>2443</v>
      </c>
      <c r="B2451" s="438"/>
      <c r="C2451" s="438"/>
      <c r="D2451" s="438"/>
      <c r="E2451" s="438"/>
      <c r="F2451" s="438"/>
      <c r="G2451" s="438"/>
      <c r="H2451" s="438"/>
      <c r="I2451" s="438"/>
      <c r="J2451" s="11"/>
      <c r="Q2451" s="348" t="str">
        <f t="shared" si="312"/>
        <v/>
      </c>
      <c r="R2451" s="348" t="str">
        <f t="shared" si="313"/>
        <v/>
      </c>
      <c r="S2451" s="348" t="str">
        <f t="shared" si="314"/>
        <v/>
      </c>
      <c r="T2451" s="348" t="str">
        <f t="shared" si="315"/>
        <v/>
      </c>
      <c r="U2451" s="348" t="str">
        <f t="shared" si="316"/>
        <v/>
      </c>
      <c r="V2451" s="348" t="str">
        <f t="shared" si="317"/>
        <v/>
      </c>
      <c r="W2451" s="348" t="str">
        <f t="shared" si="318"/>
        <v/>
      </c>
      <c r="X2451" s="348" t="str">
        <f t="shared" si="319"/>
        <v/>
      </c>
    </row>
    <row r="2452" spans="1:24" x14ac:dyDescent="0.2">
      <c r="A2452" s="407">
        <v>2444</v>
      </c>
      <c r="B2452" s="438"/>
      <c r="C2452" s="438"/>
      <c r="D2452" s="438"/>
      <c r="E2452" s="438"/>
      <c r="F2452" s="438"/>
      <c r="G2452" s="438"/>
      <c r="H2452" s="438"/>
      <c r="I2452" s="438"/>
      <c r="J2452" s="11"/>
      <c r="Q2452" s="348" t="str">
        <f t="shared" si="312"/>
        <v/>
      </c>
      <c r="R2452" s="348" t="str">
        <f t="shared" si="313"/>
        <v/>
      </c>
      <c r="S2452" s="348" t="str">
        <f t="shared" si="314"/>
        <v/>
      </c>
      <c r="T2452" s="348" t="str">
        <f t="shared" si="315"/>
        <v/>
      </c>
      <c r="U2452" s="348" t="str">
        <f t="shared" si="316"/>
        <v/>
      </c>
      <c r="V2452" s="348" t="str">
        <f t="shared" si="317"/>
        <v/>
      </c>
      <c r="W2452" s="348" t="str">
        <f t="shared" si="318"/>
        <v/>
      </c>
      <c r="X2452" s="348" t="str">
        <f t="shared" si="319"/>
        <v/>
      </c>
    </row>
    <row r="2453" spans="1:24" x14ac:dyDescent="0.2">
      <c r="A2453" s="407">
        <v>2445</v>
      </c>
      <c r="B2453" s="438"/>
      <c r="C2453" s="438"/>
      <c r="D2453" s="438"/>
      <c r="E2453" s="438"/>
      <c r="F2453" s="438"/>
      <c r="G2453" s="438"/>
      <c r="H2453" s="438"/>
      <c r="I2453" s="438"/>
      <c r="J2453" s="11"/>
      <c r="Q2453" s="348" t="str">
        <f t="shared" si="312"/>
        <v/>
      </c>
      <c r="R2453" s="348" t="str">
        <f t="shared" si="313"/>
        <v/>
      </c>
      <c r="S2453" s="348" t="str">
        <f t="shared" si="314"/>
        <v/>
      </c>
      <c r="T2453" s="348" t="str">
        <f t="shared" si="315"/>
        <v/>
      </c>
      <c r="U2453" s="348" t="str">
        <f t="shared" si="316"/>
        <v/>
      </c>
      <c r="V2453" s="348" t="str">
        <f t="shared" si="317"/>
        <v/>
      </c>
      <c r="W2453" s="348" t="str">
        <f t="shared" si="318"/>
        <v/>
      </c>
      <c r="X2453" s="348" t="str">
        <f t="shared" si="319"/>
        <v/>
      </c>
    </row>
    <row r="2454" spans="1:24" x14ac:dyDescent="0.2">
      <c r="A2454" s="407">
        <v>2446</v>
      </c>
      <c r="B2454" s="438"/>
      <c r="C2454" s="438"/>
      <c r="D2454" s="438"/>
      <c r="E2454" s="438"/>
      <c r="F2454" s="438"/>
      <c r="G2454" s="438"/>
      <c r="H2454" s="438"/>
      <c r="I2454" s="438"/>
      <c r="J2454" s="11"/>
      <c r="Q2454" s="348" t="str">
        <f t="shared" si="312"/>
        <v/>
      </c>
      <c r="R2454" s="348" t="str">
        <f t="shared" si="313"/>
        <v/>
      </c>
      <c r="S2454" s="348" t="str">
        <f t="shared" si="314"/>
        <v/>
      </c>
      <c r="T2454" s="348" t="str">
        <f t="shared" si="315"/>
        <v/>
      </c>
      <c r="U2454" s="348" t="str">
        <f t="shared" si="316"/>
        <v/>
      </c>
      <c r="V2454" s="348" t="str">
        <f t="shared" si="317"/>
        <v/>
      </c>
      <c r="W2454" s="348" t="str">
        <f t="shared" si="318"/>
        <v/>
      </c>
      <c r="X2454" s="348" t="str">
        <f t="shared" si="319"/>
        <v/>
      </c>
    </row>
    <row r="2455" spans="1:24" x14ac:dyDescent="0.2">
      <c r="A2455" s="407">
        <v>2447</v>
      </c>
      <c r="B2455" s="438"/>
      <c r="C2455" s="438"/>
      <c r="D2455" s="438"/>
      <c r="E2455" s="438"/>
      <c r="F2455" s="438"/>
      <c r="G2455" s="438"/>
      <c r="H2455" s="438"/>
      <c r="I2455" s="438"/>
      <c r="J2455" s="11"/>
      <c r="Q2455" s="348" t="str">
        <f t="shared" si="312"/>
        <v/>
      </c>
      <c r="R2455" s="348" t="str">
        <f t="shared" si="313"/>
        <v/>
      </c>
      <c r="S2455" s="348" t="str">
        <f t="shared" si="314"/>
        <v/>
      </c>
      <c r="T2455" s="348" t="str">
        <f t="shared" si="315"/>
        <v/>
      </c>
      <c r="U2455" s="348" t="str">
        <f t="shared" si="316"/>
        <v/>
      </c>
      <c r="V2455" s="348" t="str">
        <f t="shared" si="317"/>
        <v/>
      </c>
      <c r="W2455" s="348" t="str">
        <f t="shared" si="318"/>
        <v/>
      </c>
      <c r="X2455" s="348" t="str">
        <f t="shared" si="319"/>
        <v/>
      </c>
    </row>
    <row r="2456" spans="1:24" x14ac:dyDescent="0.2">
      <c r="A2456" s="407">
        <v>2448</v>
      </c>
      <c r="B2456" s="438"/>
      <c r="C2456" s="438"/>
      <c r="D2456" s="438"/>
      <c r="E2456" s="438"/>
      <c r="F2456" s="438"/>
      <c r="G2456" s="438"/>
      <c r="H2456" s="438"/>
      <c r="I2456" s="438"/>
      <c r="J2456" s="11"/>
      <c r="Q2456" s="348" t="str">
        <f t="shared" si="312"/>
        <v/>
      </c>
      <c r="R2456" s="348" t="str">
        <f t="shared" si="313"/>
        <v/>
      </c>
      <c r="S2456" s="348" t="str">
        <f t="shared" si="314"/>
        <v/>
      </c>
      <c r="T2456" s="348" t="str">
        <f t="shared" si="315"/>
        <v/>
      </c>
      <c r="U2456" s="348" t="str">
        <f t="shared" si="316"/>
        <v/>
      </c>
      <c r="V2456" s="348" t="str">
        <f t="shared" si="317"/>
        <v/>
      </c>
      <c r="W2456" s="348" t="str">
        <f t="shared" si="318"/>
        <v/>
      </c>
      <c r="X2456" s="348" t="str">
        <f t="shared" si="319"/>
        <v/>
      </c>
    </row>
    <row r="2457" spans="1:24" x14ac:dyDescent="0.2">
      <c r="A2457" s="407">
        <v>2449</v>
      </c>
      <c r="B2457" s="438"/>
      <c r="C2457" s="438"/>
      <c r="D2457" s="438"/>
      <c r="E2457" s="438"/>
      <c r="F2457" s="438"/>
      <c r="G2457" s="438"/>
      <c r="H2457" s="438"/>
      <c r="I2457" s="438"/>
      <c r="J2457" s="11"/>
      <c r="Q2457" s="348" t="str">
        <f t="shared" si="312"/>
        <v/>
      </c>
      <c r="R2457" s="348" t="str">
        <f t="shared" si="313"/>
        <v/>
      </c>
      <c r="S2457" s="348" t="str">
        <f t="shared" si="314"/>
        <v/>
      </c>
      <c r="T2457" s="348" t="str">
        <f t="shared" si="315"/>
        <v/>
      </c>
      <c r="U2457" s="348" t="str">
        <f t="shared" si="316"/>
        <v/>
      </c>
      <c r="V2457" s="348" t="str">
        <f t="shared" si="317"/>
        <v/>
      </c>
      <c r="W2457" s="348" t="str">
        <f t="shared" si="318"/>
        <v/>
      </c>
      <c r="X2457" s="348" t="str">
        <f t="shared" si="319"/>
        <v/>
      </c>
    </row>
    <row r="2458" spans="1:24" x14ac:dyDescent="0.2">
      <c r="A2458" s="407">
        <v>2450</v>
      </c>
      <c r="B2458" s="438"/>
      <c r="C2458" s="437"/>
      <c r="D2458" s="437"/>
      <c r="E2458" s="438"/>
      <c r="F2458" s="438"/>
      <c r="G2458" s="438"/>
      <c r="H2458" s="438"/>
      <c r="I2458" s="438"/>
      <c r="J2458" s="11"/>
      <c r="Q2458" s="348" t="str">
        <f t="shared" si="312"/>
        <v/>
      </c>
      <c r="R2458" s="348" t="str">
        <f t="shared" si="313"/>
        <v/>
      </c>
      <c r="S2458" s="348" t="str">
        <f t="shared" si="314"/>
        <v/>
      </c>
      <c r="T2458" s="348" t="str">
        <f t="shared" si="315"/>
        <v/>
      </c>
      <c r="U2458" s="348" t="str">
        <f t="shared" si="316"/>
        <v/>
      </c>
      <c r="V2458" s="348" t="str">
        <f t="shared" si="317"/>
        <v/>
      </c>
      <c r="W2458" s="348" t="str">
        <f t="shared" si="318"/>
        <v/>
      </c>
      <c r="X2458" s="348" t="str">
        <f t="shared" si="319"/>
        <v/>
      </c>
    </row>
    <row r="2459" spans="1:24" x14ac:dyDescent="0.2">
      <c r="A2459" s="407">
        <v>2451</v>
      </c>
      <c r="B2459" s="438"/>
      <c r="C2459" s="438"/>
      <c r="D2459" s="438"/>
      <c r="E2459" s="437"/>
      <c r="F2459" s="438"/>
      <c r="G2459" s="438"/>
      <c r="H2459" s="438"/>
      <c r="I2459" s="438"/>
      <c r="J2459" s="11"/>
      <c r="Q2459" s="348" t="str">
        <f t="shared" si="312"/>
        <v/>
      </c>
      <c r="R2459" s="348" t="str">
        <f t="shared" si="313"/>
        <v/>
      </c>
      <c r="S2459" s="348" t="str">
        <f t="shared" si="314"/>
        <v/>
      </c>
      <c r="T2459" s="348" t="str">
        <f t="shared" si="315"/>
        <v/>
      </c>
      <c r="U2459" s="348" t="str">
        <f t="shared" si="316"/>
        <v/>
      </c>
      <c r="V2459" s="348" t="str">
        <f t="shared" si="317"/>
        <v/>
      </c>
      <c r="W2459" s="348" t="str">
        <f t="shared" si="318"/>
        <v/>
      </c>
      <c r="X2459" s="348" t="str">
        <f t="shared" si="319"/>
        <v/>
      </c>
    </row>
    <row r="2460" spans="1:24" x14ac:dyDescent="0.2">
      <c r="A2460" s="407">
        <v>2452</v>
      </c>
      <c r="B2460" s="438"/>
      <c r="C2460" s="438"/>
      <c r="D2460" s="438"/>
      <c r="E2460" s="438"/>
      <c r="F2460" s="438"/>
      <c r="G2460" s="438"/>
      <c r="H2460" s="438"/>
      <c r="I2460" s="438"/>
      <c r="J2460" s="11"/>
      <c r="Q2460" s="348" t="str">
        <f t="shared" si="312"/>
        <v/>
      </c>
      <c r="R2460" s="348" t="str">
        <f t="shared" si="313"/>
        <v/>
      </c>
      <c r="S2460" s="348" t="str">
        <f t="shared" si="314"/>
        <v/>
      </c>
      <c r="T2460" s="348" t="str">
        <f t="shared" si="315"/>
        <v/>
      </c>
      <c r="U2460" s="348" t="str">
        <f t="shared" si="316"/>
        <v/>
      </c>
      <c r="V2460" s="348" t="str">
        <f t="shared" si="317"/>
        <v/>
      </c>
      <c r="W2460" s="348" t="str">
        <f t="shared" si="318"/>
        <v/>
      </c>
      <c r="X2460" s="348" t="str">
        <f t="shared" si="319"/>
        <v/>
      </c>
    </row>
    <row r="2461" spans="1:24" x14ac:dyDescent="0.2">
      <c r="A2461" s="407">
        <v>2453</v>
      </c>
      <c r="B2461" s="438"/>
      <c r="C2461" s="438"/>
      <c r="D2461" s="438"/>
      <c r="E2461" s="438"/>
      <c r="F2461" s="438"/>
      <c r="G2461" s="438"/>
      <c r="H2461" s="438"/>
      <c r="I2461" s="438"/>
      <c r="J2461" s="11"/>
      <c r="Q2461" s="348" t="str">
        <f t="shared" si="312"/>
        <v/>
      </c>
      <c r="R2461" s="348" t="str">
        <f t="shared" si="313"/>
        <v/>
      </c>
      <c r="S2461" s="348" t="str">
        <f t="shared" si="314"/>
        <v/>
      </c>
      <c r="T2461" s="348" t="str">
        <f t="shared" si="315"/>
        <v/>
      </c>
      <c r="U2461" s="348" t="str">
        <f t="shared" si="316"/>
        <v/>
      </c>
      <c r="V2461" s="348" t="str">
        <f t="shared" si="317"/>
        <v/>
      </c>
      <c r="W2461" s="348" t="str">
        <f t="shared" si="318"/>
        <v/>
      </c>
      <c r="X2461" s="348" t="str">
        <f t="shared" si="319"/>
        <v/>
      </c>
    </row>
    <row r="2462" spans="1:24" x14ac:dyDescent="0.2">
      <c r="A2462" s="407">
        <v>2454</v>
      </c>
      <c r="B2462" s="438"/>
      <c r="C2462" s="438"/>
      <c r="D2462" s="438"/>
      <c r="E2462" s="438"/>
      <c r="F2462" s="438"/>
      <c r="G2462" s="438"/>
      <c r="H2462" s="438"/>
      <c r="I2462" s="438"/>
      <c r="J2462" s="11"/>
      <c r="Q2462" s="348" t="str">
        <f t="shared" si="312"/>
        <v/>
      </c>
      <c r="R2462" s="348" t="str">
        <f t="shared" si="313"/>
        <v/>
      </c>
      <c r="S2462" s="348" t="str">
        <f t="shared" si="314"/>
        <v/>
      </c>
      <c r="T2462" s="348" t="str">
        <f t="shared" si="315"/>
        <v/>
      </c>
      <c r="U2462" s="348" t="str">
        <f t="shared" si="316"/>
        <v/>
      </c>
      <c r="V2462" s="348" t="str">
        <f t="shared" si="317"/>
        <v/>
      </c>
      <c r="W2462" s="348" t="str">
        <f t="shared" si="318"/>
        <v/>
      </c>
      <c r="X2462" s="348" t="str">
        <f t="shared" si="319"/>
        <v/>
      </c>
    </row>
    <row r="2463" spans="1:24" x14ac:dyDescent="0.2">
      <c r="A2463" s="407">
        <v>2455</v>
      </c>
      <c r="B2463" s="437"/>
      <c r="C2463" s="438"/>
      <c r="D2463" s="438"/>
      <c r="E2463" s="438"/>
      <c r="F2463" s="438"/>
      <c r="G2463" s="438"/>
      <c r="H2463" s="438"/>
      <c r="I2463" s="438"/>
      <c r="J2463" s="11"/>
      <c r="Q2463" s="348" t="str">
        <f t="shared" si="312"/>
        <v/>
      </c>
      <c r="R2463" s="348" t="str">
        <f t="shared" si="313"/>
        <v/>
      </c>
      <c r="S2463" s="348" t="str">
        <f t="shared" si="314"/>
        <v/>
      </c>
      <c r="T2463" s="348" t="str">
        <f t="shared" si="315"/>
        <v/>
      </c>
      <c r="U2463" s="348" t="str">
        <f t="shared" si="316"/>
        <v/>
      </c>
      <c r="V2463" s="348" t="str">
        <f t="shared" si="317"/>
        <v/>
      </c>
      <c r="W2463" s="348" t="str">
        <f t="shared" si="318"/>
        <v/>
      </c>
      <c r="X2463" s="348" t="str">
        <f t="shared" si="319"/>
        <v/>
      </c>
    </row>
    <row r="2464" spans="1:24" x14ac:dyDescent="0.2">
      <c r="A2464" s="407">
        <v>2456</v>
      </c>
      <c r="B2464" s="438"/>
      <c r="C2464" s="438"/>
      <c r="D2464" s="438"/>
      <c r="E2464" s="438"/>
      <c r="F2464" s="438"/>
      <c r="G2464" s="438"/>
      <c r="H2464" s="438"/>
      <c r="I2464" s="438"/>
      <c r="J2464" s="11"/>
      <c r="Q2464" s="348" t="str">
        <f t="shared" si="312"/>
        <v/>
      </c>
      <c r="R2464" s="348" t="str">
        <f t="shared" si="313"/>
        <v/>
      </c>
      <c r="S2464" s="348" t="str">
        <f t="shared" si="314"/>
        <v/>
      </c>
      <c r="T2464" s="348" t="str">
        <f t="shared" si="315"/>
        <v/>
      </c>
      <c r="U2464" s="348" t="str">
        <f t="shared" si="316"/>
        <v/>
      </c>
      <c r="V2464" s="348" t="str">
        <f t="shared" si="317"/>
        <v/>
      </c>
      <c r="W2464" s="348" t="str">
        <f t="shared" si="318"/>
        <v/>
      </c>
      <c r="X2464" s="348" t="str">
        <f t="shared" si="319"/>
        <v/>
      </c>
    </row>
    <row r="2465" spans="1:24" x14ac:dyDescent="0.2">
      <c r="A2465" s="407">
        <v>2457</v>
      </c>
      <c r="B2465" s="438"/>
      <c r="C2465" s="438"/>
      <c r="D2465" s="438"/>
      <c r="E2465" s="438"/>
      <c r="F2465" s="438"/>
      <c r="G2465" s="438"/>
      <c r="H2465" s="438"/>
      <c r="I2465" s="438"/>
      <c r="J2465" s="11"/>
      <c r="Q2465" s="348" t="str">
        <f t="shared" si="312"/>
        <v/>
      </c>
      <c r="R2465" s="348" t="str">
        <f t="shared" si="313"/>
        <v/>
      </c>
      <c r="S2465" s="348" t="str">
        <f t="shared" si="314"/>
        <v/>
      </c>
      <c r="T2465" s="348" t="str">
        <f t="shared" si="315"/>
        <v/>
      </c>
      <c r="U2465" s="348" t="str">
        <f t="shared" si="316"/>
        <v/>
      </c>
      <c r="V2465" s="348" t="str">
        <f t="shared" si="317"/>
        <v/>
      </c>
      <c r="W2465" s="348" t="str">
        <f t="shared" si="318"/>
        <v/>
      </c>
      <c r="X2465" s="348" t="str">
        <f t="shared" si="319"/>
        <v/>
      </c>
    </row>
    <row r="2466" spans="1:24" x14ac:dyDescent="0.2">
      <c r="A2466" s="407">
        <v>2458</v>
      </c>
      <c r="B2466" s="438"/>
      <c r="C2466" s="438"/>
      <c r="D2466" s="438"/>
      <c r="E2466" s="438"/>
      <c r="F2466" s="438"/>
      <c r="G2466" s="438"/>
      <c r="H2466" s="438"/>
      <c r="I2466" s="438"/>
      <c r="J2466" s="11"/>
      <c r="Q2466" s="348" t="str">
        <f t="shared" si="312"/>
        <v/>
      </c>
      <c r="R2466" s="348" t="str">
        <f t="shared" si="313"/>
        <v/>
      </c>
      <c r="S2466" s="348" t="str">
        <f t="shared" si="314"/>
        <v/>
      </c>
      <c r="T2466" s="348" t="str">
        <f t="shared" si="315"/>
        <v/>
      </c>
      <c r="U2466" s="348" t="str">
        <f t="shared" si="316"/>
        <v/>
      </c>
      <c r="V2466" s="348" t="str">
        <f t="shared" si="317"/>
        <v/>
      </c>
      <c r="W2466" s="348" t="str">
        <f t="shared" si="318"/>
        <v/>
      </c>
      <c r="X2466" s="348" t="str">
        <f t="shared" si="319"/>
        <v/>
      </c>
    </row>
    <row r="2467" spans="1:24" x14ac:dyDescent="0.2">
      <c r="A2467" s="407">
        <v>2459</v>
      </c>
      <c r="B2467" s="438"/>
      <c r="C2467" s="438"/>
      <c r="D2467" s="438"/>
      <c r="E2467" s="438"/>
      <c r="F2467" s="438"/>
      <c r="G2467" s="438"/>
      <c r="H2467" s="438"/>
      <c r="I2467" s="438"/>
      <c r="J2467" s="11"/>
      <c r="Q2467" s="348" t="str">
        <f t="shared" si="312"/>
        <v/>
      </c>
      <c r="R2467" s="348" t="str">
        <f t="shared" si="313"/>
        <v/>
      </c>
      <c r="S2467" s="348" t="str">
        <f t="shared" si="314"/>
        <v/>
      </c>
      <c r="T2467" s="348" t="str">
        <f t="shared" si="315"/>
        <v/>
      </c>
      <c r="U2467" s="348" t="str">
        <f t="shared" si="316"/>
        <v/>
      </c>
      <c r="V2467" s="348" t="str">
        <f t="shared" si="317"/>
        <v/>
      </c>
      <c r="W2467" s="348" t="str">
        <f t="shared" si="318"/>
        <v/>
      </c>
      <c r="X2467" s="348" t="str">
        <f t="shared" si="319"/>
        <v/>
      </c>
    </row>
    <row r="2468" spans="1:24" x14ac:dyDescent="0.2">
      <c r="A2468" s="407">
        <v>2460</v>
      </c>
      <c r="B2468" s="438"/>
      <c r="C2468" s="438"/>
      <c r="D2468" s="438"/>
      <c r="E2468" s="438"/>
      <c r="F2468" s="438"/>
      <c r="G2468" s="438"/>
      <c r="H2468" s="438"/>
      <c r="I2468" s="438"/>
      <c r="J2468" s="11"/>
      <c r="Q2468" s="348" t="str">
        <f t="shared" si="312"/>
        <v/>
      </c>
      <c r="R2468" s="348" t="str">
        <f t="shared" si="313"/>
        <v/>
      </c>
      <c r="S2468" s="348" t="str">
        <f t="shared" si="314"/>
        <v/>
      </c>
      <c r="T2468" s="348" t="str">
        <f t="shared" si="315"/>
        <v/>
      </c>
      <c r="U2468" s="348" t="str">
        <f t="shared" si="316"/>
        <v/>
      </c>
      <c r="V2468" s="348" t="str">
        <f t="shared" si="317"/>
        <v/>
      </c>
      <c r="W2468" s="348" t="str">
        <f t="shared" si="318"/>
        <v/>
      </c>
      <c r="X2468" s="348" t="str">
        <f t="shared" si="319"/>
        <v/>
      </c>
    </row>
    <row r="2469" spans="1:24" x14ac:dyDescent="0.2">
      <c r="A2469" s="407">
        <v>2461</v>
      </c>
      <c r="B2469" s="438"/>
      <c r="C2469" s="438"/>
      <c r="D2469" s="438"/>
      <c r="E2469" s="438"/>
      <c r="F2469" s="438"/>
      <c r="G2469" s="438"/>
      <c r="H2469" s="438"/>
      <c r="I2469" s="438"/>
      <c r="J2469" s="11"/>
      <c r="Q2469" s="348" t="str">
        <f t="shared" si="312"/>
        <v/>
      </c>
      <c r="R2469" s="348" t="str">
        <f t="shared" si="313"/>
        <v/>
      </c>
      <c r="S2469" s="348" t="str">
        <f t="shared" si="314"/>
        <v/>
      </c>
      <c r="T2469" s="348" t="str">
        <f t="shared" si="315"/>
        <v/>
      </c>
      <c r="U2469" s="348" t="str">
        <f t="shared" si="316"/>
        <v/>
      </c>
      <c r="V2469" s="348" t="str">
        <f t="shared" si="317"/>
        <v/>
      </c>
      <c r="W2469" s="348" t="str">
        <f t="shared" si="318"/>
        <v/>
      </c>
      <c r="X2469" s="348" t="str">
        <f t="shared" si="319"/>
        <v/>
      </c>
    </row>
    <row r="2470" spans="1:24" x14ac:dyDescent="0.2">
      <c r="A2470" s="407">
        <v>2462</v>
      </c>
      <c r="B2470" s="438"/>
      <c r="C2470" s="438"/>
      <c r="D2470" s="438"/>
      <c r="E2470" s="438"/>
      <c r="F2470" s="438"/>
      <c r="G2470" s="437"/>
      <c r="H2470" s="438"/>
      <c r="I2470" s="438"/>
      <c r="J2470" s="11"/>
      <c r="Q2470" s="348" t="str">
        <f t="shared" si="312"/>
        <v/>
      </c>
      <c r="R2470" s="348" t="str">
        <f t="shared" si="313"/>
        <v/>
      </c>
      <c r="S2470" s="348" t="str">
        <f t="shared" si="314"/>
        <v/>
      </c>
      <c r="T2470" s="348" t="str">
        <f t="shared" si="315"/>
        <v/>
      </c>
      <c r="U2470" s="348" t="str">
        <f t="shared" si="316"/>
        <v/>
      </c>
      <c r="V2470" s="348" t="str">
        <f t="shared" si="317"/>
        <v/>
      </c>
      <c r="W2470" s="348" t="str">
        <f t="shared" si="318"/>
        <v/>
      </c>
      <c r="X2470" s="348" t="str">
        <f t="shared" si="319"/>
        <v/>
      </c>
    </row>
    <row r="2471" spans="1:24" x14ac:dyDescent="0.2">
      <c r="A2471" s="407">
        <v>2463</v>
      </c>
      <c r="B2471" s="438"/>
      <c r="C2471" s="438"/>
      <c r="D2471" s="438"/>
      <c r="E2471" s="438"/>
      <c r="F2471" s="438"/>
      <c r="G2471" s="438"/>
      <c r="H2471" s="438"/>
      <c r="I2471" s="438"/>
      <c r="J2471" s="11"/>
      <c r="Q2471" s="348" t="str">
        <f t="shared" si="312"/>
        <v/>
      </c>
      <c r="R2471" s="348" t="str">
        <f t="shared" si="313"/>
        <v/>
      </c>
      <c r="S2471" s="348" t="str">
        <f t="shared" si="314"/>
        <v/>
      </c>
      <c r="T2471" s="348" t="str">
        <f t="shared" si="315"/>
        <v/>
      </c>
      <c r="U2471" s="348" t="str">
        <f t="shared" si="316"/>
        <v/>
      </c>
      <c r="V2471" s="348" t="str">
        <f t="shared" si="317"/>
        <v/>
      </c>
      <c r="W2471" s="348" t="str">
        <f t="shared" si="318"/>
        <v/>
      </c>
      <c r="X2471" s="348" t="str">
        <f t="shared" si="319"/>
        <v/>
      </c>
    </row>
    <row r="2472" spans="1:24" x14ac:dyDescent="0.2">
      <c r="A2472" s="407">
        <v>2464</v>
      </c>
      <c r="B2472" s="438"/>
      <c r="C2472" s="437"/>
      <c r="D2472" s="438"/>
      <c r="E2472" s="438"/>
      <c r="F2472" s="437"/>
      <c r="G2472" s="438"/>
      <c r="H2472" s="437"/>
      <c r="I2472" s="438"/>
      <c r="J2472" s="11"/>
      <c r="Q2472" s="348" t="str">
        <f t="shared" si="312"/>
        <v/>
      </c>
      <c r="R2472" s="348" t="str">
        <f t="shared" si="313"/>
        <v/>
      </c>
      <c r="S2472" s="348" t="str">
        <f t="shared" si="314"/>
        <v/>
      </c>
      <c r="T2472" s="348" t="str">
        <f t="shared" si="315"/>
        <v/>
      </c>
      <c r="U2472" s="348" t="str">
        <f t="shared" si="316"/>
        <v/>
      </c>
      <c r="V2472" s="348" t="str">
        <f t="shared" si="317"/>
        <v/>
      </c>
      <c r="W2472" s="348" t="str">
        <f t="shared" si="318"/>
        <v/>
      </c>
      <c r="X2472" s="348" t="str">
        <f t="shared" si="319"/>
        <v/>
      </c>
    </row>
    <row r="2473" spans="1:24" x14ac:dyDescent="0.2">
      <c r="A2473" s="407">
        <v>2465</v>
      </c>
      <c r="B2473" s="437"/>
      <c r="C2473" s="438"/>
      <c r="D2473" s="438"/>
      <c r="E2473" s="438"/>
      <c r="F2473" s="438"/>
      <c r="G2473" s="438"/>
      <c r="H2473" s="438"/>
      <c r="I2473" s="437"/>
      <c r="J2473" s="11"/>
      <c r="Q2473" s="348" t="str">
        <f t="shared" si="312"/>
        <v/>
      </c>
      <c r="R2473" s="348" t="str">
        <f t="shared" si="313"/>
        <v/>
      </c>
      <c r="S2473" s="348" t="str">
        <f t="shared" si="314"/>
        <v/>
      </c>
      <c r="T2473" s="348" t="str">
        <f t="shared" si="315"/>
        <v/>
      </c>
      <c r="U2473" s="348" t="str">
        <f t="shared" si="316"/>
        <v/>
      </c>
      <c r="V2473" s="348" t="str">
        <f t="shared" si="317"/>
        <v/>
      </c>
      <c r="W2473" s="348" t="str">
        <f t="shared" si="318"/>
        <v/>
      </c>
      <c r="X2473" s="348" t="str">
        <f t="shared" si="319"/>
        <v/>
      </c>
    </row>
    <row r="2474" spans="1:24" x14ac:dyDescent="0.2">
      <c r="A2474" s="407">
        <v>2466</v>
      </c>
      <c r="B2474" s="438"/>
      <c r="C2474" s="438"/>
      <c r="D2474" s="438"/>
      <c r="E2474" s="438"/>
      <c r="F2474" s="438"/>
      <c r="G2474" s="438"/>
      <c r="H2474" s="438"/>
      <c r="I2474" s="438"/>
      <c r="J2474" s="11"/>
      <c r="Q2474" s="348" t="str">
        <f t="shared" si="312"/>
        <v/>
      </c>
      <c r="R2474" s="348" t="str">
        <f t="shared" si="313"/>
        <v/>
      </c>
      <c r="S2474" s="348" t="str">
        <f t="shared" si="314"/>
        <v/>
      </c>
      <c r="T2474" s="348" t="str">
        <f t="shared" si="315"/>
        <v/>
      </c>
      <c r="U2474" s="348" t="str">
        <f t="shared" si="316"/>
        <v/>
      </c>
      <c r="V2474" s="348" t="str">
        <f t="shared" si="317"/>
        <v/>
      </c>
      <c r="W2474" s="348" t="str">
        <f t="shared" si="318"/>
        <v/>
      </c>
      <c r="X2474" s="348" t="str">
        <f t="shared" si="319"/>
        <v/>
      </c>
    </row>
    <row r="2475" spans="1:24" x14ac:dyDescent="0.2">
      <c r="A2475" s="407">
        <v>2467</v>
      </c>
      <c r="B2475" s="438"/>
      <c r="C2475" s="438"/>
      <c r="D2475" s="438"/>
      <c r="E2475" s="438"/>
      <c r="F2475" s="438"/>
      <c r="G2475" s="438"/>
      <c r="H2475" s="438"/>
      <c r="I2475" s="438"/>
      <c r="J2475" s="11"/>
      <c r="Q2475" s="348" t="str">
        <f t="shared" si="312"/>
        <v/>
      </c>
      <c r="R2475" s="348" t="str">
        <f t="shared" si="313"/>
        <v/>
      </c>
      <c r="S2475" s="348" t="str">
        <f t="shared" si="314"/>
        <v/>
      </c>
      <c r="T2475" s="348" t="str">
        <f t="shared" si="315"/>
        <v/>
      </c>
      <c r="U2475" s="348" t="str">
        <f t="shared" si="316"/>
        <v/>
      </c>
      <c r="V2475" s="348" t="str">
        <f t="shared" si="317"/>
        <v/>
      </c>
      <c r="W2475" s="348" t="str">
        <f t="shared" si="318"/>
        <v/>
      </c>
      <c r="X2475" s="348" t="str">
        <f t="shared" si="319"/>
        <v/>
      </c>
    </row>
    <row r="2476" spans="1:24" x14ac:dyDescent="0.2">
      <c r="A2476" s="407">
        <v>2468</v>
      </c>
      <c r="B2476" s="438"/>
      <c r="C2476" s="438"/>
      <c r="D2476" s="438"/>
      <c r="E2476" s="438"/>
      <c r="F2476" s="438"/>
      <c r="G2476" s="438"/>
      <c r="H2476" s="438"/>
      <c r="I2476" s="438"/>
      <c r="J2476" s="11"/>
      <c r="Q2476" s="348" t="str">
        <f t="shared" si="312"/>
        <v/>
      </c>
      <c r="R2476" s="348" t="str">
        <f t="shared" si="313"/>
        <v/>
      </c>
      <c r="S2476" s="348" t="str">
        <f t="shared" si="314"/>
        <v/>
      </c>
      <c r="T2476" s="348" t="str">
        <f t="shared" si="315"/>
        <v/>
      </c>
      <c r="U2476" s="348" t="str">
        <f t="shared" si="316"/>
        <v/>
      </c>
      <c r="V2476" s="348" t="str">
        <f t="shared" si="317"/>
        <v/>
      </c>
      <c r="W2476" s="348" t="str">
        <f t="shared" si="318"/>
        <v/>
      </c>
      <c r="X2476" s="348" t="str">
        <f t="shared" si="319"/>
        <v/>
      </c>
    </row>
    <row r="2477" spans="1:24" x14ac:dyDescent="0.2">
      <c r="A2477" s="407">
        <v>2469</v>
      </c>
      <c r="B2477" s="438"/>
      <c r="C2477" s="438"/>
      <c r="D2477" s="438"/>
      <c r="E2477" s="437"/>
      <c r="F2477" s="438"/>
      <c r="G2477" s="438"/>
      <c r="H2477" s="438"/>
      <c r="I2477" s="438"/>
      <c r="J2477" s="11"/>
      <c r="Q2477" s="348" t="str">
        <f t="shared" si="312"/>
        <v/>
      </c>
      <c r="R2477" s="348" t="str">
        <f t="shared" si="313"/>
        <v/>
      </c>
      <c r="S2477" s="348" t="str">
        <f t="shared" si="314"/>
        <v/>
      </c>
      <c r="T2477" s="348" t="str">
        <f t="shared" si="315"/>
        <v/>
      </c>
      <c r="U2477" s="348" t="str">
        <f t="shared" si="316"/>
        <v/>
      </c>
      <c r="V2477" s="348" t="str">
        <f t="shared" si="317"/>
        <v/>
      </c>
      <c r="W2477" s="348" t="str">
        <f t="shared" si="318"/>
        <v/>
      </c>
      <c r="X2477" s="348" t="str">
        <f t="shared" si="319"/>
        <v/>
      </c>
    </row>
    <row r="2478" spans="1:24" x14ac:dyDescent="0.2">
      <c r="A2478" s="407">
        <v>2470</v>
      </c>
      <c r="B2478" s="438"/>
      <c r="C2478" s="438"/>
      <c r="D2478" s="438"/>
      <c r="E2478" s="438"/>
      <c r="F2478" s="438"/>
      <c r="G2478" s="438"/>
      <c r="H2478" s="438"/>
      <c r="I2478" s="438"/>
      <c r="J2478" s="11"/>
      <c r="Q2478" s="348" t="str">
        <f t="shared" si="312"/>
        <v/>
      </c>
      <c r="R2478" s="348" t="str">
        <f t="shared" si="313"/>
        <v/>
      </c>
      <c r="S2478" s="348" t="str">
        <f t="shared" si="314"/>
        <v/>
      </c>
      <c r="T2478" s="348" t="str">
        <f t="shared" si="315"/>
        <v/>
      </c>
      <c r="U2478" s="348" t="str">
        <f t="shared" si="316"/>
        <v/>
      </c>
      <c r="V2478" s="348" t="str">
        <f t="shared" si="317"/>
        <v/>
      </c>
      <c r="W2478" s="348" t="str">
        <f t="shared" si="318"/>
        <v/>
      </c>
      <c r="X2478" s="348" t="str">
        <f t="shared" si="319"/>
        <v/>
      </c>
    </row>
    <row r="2479" spans="1:24" x14ac:dyDescent="0.2">
      <c r="A2479" s="407">
        <v>2471</v>
      </c>
      <c r="B2479" s="438"/>
      <c r="C2479" s="438"/>
      <c r="D2479" s="438"/>
      <c r="E2479" s="438"/>
      <c r="F2479" s="438"/>
      <c r="G2479" s="438"/>
      <c r="H2479" s="438"/>
      <c r="I2479" s="438"/>
      <c r="J2479" s="11"/>
      <c r="Q2479" s="348" t="str">
        <f t="shared" si="312"/>
        <v/>
      </c>
      <c r="R2479" s="348" t="str">
        <f t="shared" si="313"/>
        <v/>
      </c>
      <c r="S2479" s="348" t="str">
        <f t="shared" si="314"/>
        <v/>
      </c>
      <c r="T2479" s="348" t="str">
        <f t="shared" si="315"/>
        <v/>
      </c>
      <c r="U2479" s="348" t="str">
        <f t="shared" si="316"/>
        <v/>
      </c>
      <c r="V2479" s="348" t="str">
        <f t="shared" si="317"/>
        <v/>
      </c>
      <c r="W2479" s="348" t="str">
        <f t="shared" si="318"/>
        <v/>
      </c>
      <c r="X2479" s="348" t="str">
        <f t="shared" si="319"/>
        <v/>
      </c>
    </row>
    <row r="2480" spans="1:24" x14ac:dyDescent="0.2">
      <c r="A2480" s="407">
        <v>2472</v>
      </c>
      <c r="B2480" s="438"/>
      <c r="C2480" s="438"/>
      <c r="D2480" s="437"/>
      <c r="E2480" s="438"/>
      <c r="F2480" s="438"/>
      <c r="G2480" s="438"/>
      <c r="H2480" s="438"/>
      <c r="I2480" s="438"/>
      <c r="J2480" s="11"/>
      <c r="Q2480" s="348" t="str">
        <f t="shared" si="312"/>
        <v/>
      </c>
      <c r="R2480" s="348" t="str">
        <f t="shared" si="313"/>
        <v/>
      </c>
      <c r="S2480" s="348" t="str">
        <f t="shared" si="314"/>
        <v/>
      </c>
      <c r="T2480" s="348" t="str">
        <f t="shared" si="315"/>
        <v/>
      </c>
      <c r="U2480" s="348" t="str">
        <f t="shared" si="316"/>
        <v/>
      </c>
      <c r="V2480" s="348" t="str">
        <f t="shared" si="317"/>
        <v/>
      </c>
      <c r="W2480" s="348" t="str">
        <f t="shared" si="318"/>
        <v/>
      </c>
      <c r="X2480" s="348" t="str">
        <f t="shared" si="319"/>
        <v/>
      </c>
    </row>
    <row r="2481" spans="1:24" x14ac:dyDescent="0.2">
      <c r="A2481" s="407">
        <v>2473</v>
      </c>
      <c r="B2481" s="438"/>
      <c r="C2481" s="438"/>
      <c r="D2481" s="438"/>
      <c r="E2481" s="438"/>
      <c r="F2481" s="438"/>
      <c r="G2481" s="438"/>
      <c r="H2481" s="438"/>
      <c r="I2481" s="438"/>
      <c r="J2481" s="11"/>
      <c r="Q2481" s="348" t="str">
        <f t="shared" si="312"/>
        <v/>
      </c>
      <c r="R2481" s="348" t="str">
        <f t="shared" si="313"/>
        <v/>
      </c>
      <c r="S2481" s="348" t="str">
        <f t="shared" si="314"/>
        <v/>
      </c>
      <c r="T2481" s="348" t="str">
        <f t="shared" si="315"/>
        <v/>
      </c>
      <c r="U2481" s="348" t="str">
        <f t="shared" si="316"/>
        <v/>
      </c>
      <c r="V2481" s="348" t="str">
        <f t="shared" si="317"/>
        <v/>
      </c>
      <c r="W2481" s="348" t="str">
        <f t="shared" si="318"/>
        <v/>
      </c>
      <c r="X2481" s="348" t="str">
        <f t="shared" si="319"/>
        <v/>
      </c>
    </row>
    <row r="2482" spans="1:24" x14ac:dyDescent="0.2">
      <c r="A2482" s="407">
        <v>2474</v>
      </c>
      <c r="B2482" s="438"/>
      <c r="C2482" s="438"/>
      <c r="D2482" s="438"/>
      <c r="E2482" s="438"/>
      <c r="F2482" s="438"/>
      <c r="G2482" s="438"/>
      <c r="H2482" s="438"/>
      <c r="I2482" s="438"/>
      <c r="J2482" s="11"/>
      <c r="Q2482" s="348" t="str">
        <f t="shared" si="312"/>
        <v/>
      </c>
      <c r="R2482" s="348" t="str">
        <f t="shared" si="313"/>
        <v/>
      </c>
      <c r="S2482" s="348" t="str">
        <f t="shared" si="314"/>
        <v/>
      </c>
      <c r="T2482" s="348" t="str">
        <f t="shared" si="315"/>
        <v/>
      </c>
      <c r="U2482" s="348" t="str">
        <f t="shared" si="316"/>
        <v/>
      </c>
      <c r="V2482" s="348" t="str">
        <f t="shared" si="317"/>
        <v/>
      </c>
      <c r="W2482" s="348" t="str">
        <f t="shared" si="318"/>
        <v/>
      </c>
      <c r="X2482" s="348" t="str">
        <f t="shared" si="319"/>
        <v/>
      </c>
    </row>
    <row r="2483" spans="1:24" x14ac:dyDescent="0.2">
      <c r="A2483" s="407">
        <v>2475</v>
      </c>
      <c r="B2483" s="438"/>
      <c r="C2483" s="438"/>
      <c r="D2483" s="438"/>
      <c r="E2483" s="438"/>
      <c r="F2483" s="438"/>
      <c r="G2483" s="438"/>
      <c r="H2483" s="438"/>
      <c r="I2483" s="438"/>
      <c r="J2483" s="11"/>
      <c r="Q2483" s="348" t="str">
        <f t="shared" si="312"/>
        <v/>
      </c>
      <c r="R2483" s="348" t="str">
        <f t="shared" si="313"/>
        <v/>
      </c>
      <c r="S2483" s="348" t="str">
        <f t="shared" si="314"/>
        <v/>
      </c>
      <c r="T2483" s="348" t="str">
        <f t="shared" si="315"/>
        <v/>
      </c>
      <c r="U2483" s="348" t="str">
        <f t="shared" si="316"/>
        <v/>
      </c>
      <c r="V2483" s="348" t="str">
        <f t="shared" si="317"/>
        <v/>
      </c>
      <c r="W2483" s="348" t="str">
        <f t="shared" si="318"/>
        <v/>
      </c>
      <c r="X2483" s="348" t="str">
        <f t="shared" si="319"/>
        <v/>
      </c>
    </row>
    <row r="2484" spans="1:24" x14ac:dyDescent="0.2">
      <c r="A2484" s="407">
        <v>2476</v>
      </c>
      <c r="B2484" s="438"/>
      <c r="C2484" s="438"/>
      <c r="D2484" s="438"/>
      <c r="E2484" s="438"/>
      <c r="F2484" s="438"/>
      <c r="G2484" s="438"/>
      <c r="H2484" s="438"/>
      <c r="I2484" s="438"/>
      <c r="J2484" s="11"/>
      <c r="Q2484" s="348" t="str">
        <f t="shared" si="312"/>
        <v/>
      </c>
      <c r="R2484" s="348" t="str">
        <f t="shared" si="313"/>
        <v/>
      </c>
      <c r="S2484" s="348" t="str">
        <f t="shared" si="314"/>
        <v/>
      </c>
      <c r="T2484" s="348" t="str">
        <f t="shared" si="315"/>
        <v/>
      </c>
      <c r="U2484" s="348" t="str">
        <f t="shared" si="316"/>
        <v/>
      </c>
      <c r="V2484" s="348" t="str">
        <f t="shared" si="317"/>
        <v/>
      </c>
      <c r="W2484" s="348" t="str">
        <f t="shared" si="318"/>
        <v/>
      </c>
      <c r="X2484" s="348" t="str">
        <f t="shared" si="319"/>
        <v/>
      </c>
    </row>
    <row r="2485" spans="1:24" x14ac:dyDescent="0.2">
      <c r="A2485" s="407">
        <v>2477</v>
      </c>
      <c r="B2485" s="438"/>
      <c r="C2485" s="438"/>
      <c r="D2485" s="438"/>
      <c r="E2485" s="438"/>
      <c r="F2485" s="438"/>
      <c r="G2485" s="438"/>
      <c r="H2485" s="438"/>
      <c r="I2485" s="438"/>
      <c r="J2485" s="11"/>
      <c r="Q2485" s="348" t="str">
        <f t="shared" si="312"/>
        <v/>
      </c>
      <c r="R2485" s="348" t="str">
        <f t="shared" si="313"/>
        <v/>
      </c>
      <c r="S2485" s="348" t="str">
        <f t="shared" si="314"/>
        <v/>
      </c>
      <c r="T2485" s="348" t="str">
        <f t="shared" si="315"/>
        <v/>
      </c>
      <c r="U2485" s="348" t="str">
        <f t="shared" si="316"/>
        <v/>
      </c>
      <c r="V2485" s="348" t="str">
        <f t="shared" si="317"/>
        <v/>
      </c>
      <c r="W2485" s="348" t="str">
        <f t="shared" si="318"/>
        <v/>
      </c>
      <c r="X2485" s="348" t="str">
        <f t="shared" si="319"/>
        <v/>
      </c>
    </row>
    <row r="2486" spans="1:24" x14ac:dyDescent="0.2">
      <c r="A2486" s="407">
        <v>2478</v>
      </c>
      <c r="B2486" s="438"/>
      <c r="C2486" s="438"/>
      <c r="D2486" s="438"/>
      <c r="E2486" s="438"/>
      <c r="F2486" s="438"/>
      <c r="G2486" s="438"/>
      <c r="H2486" s="438"/>
      <c r="I2486" s="438"/>
      <c r="J2486" s="11"/>
      <c r="Q2486" s="348" t="str">
        <f t="shared" si="312"/>
        <v/>
      </c>
      <c r="R2486" s="348" t="str">
        <f t="shared" si="313"/>
        <v/>
      </c>
      <c r="S2486" s="348" t="str">
        <f t="shared" si="314"/>
        <v/>
      </c>
      <c r="T2486" s="348" t="str">
        <f t="shared" si="315"/>
        <v/>
      </c>
      <c r="U2486" s="348" t="str">
        <f t="shared" si="316"/>
        <v/>
      </c>
      <c r="V2486" s="348" t="str">
        <f t="shared" si="317"/>
        <v/>
      </c>
      <c r="W2486" s="348" t="str">
        <f t="shared" si="318"/>
        <v/>
      </c>
      <c r="X2486" s="348" t="str">
        <f t="shared" si="319"/>
        <v/>
      </c>
    </row>
    <row r="2487" spans="1:24" x14ac:dyDescent="0.2">
      <c r="A2487" s="407">
        <v>2479</v>
      </c>
      <c r="B2487" s="437"/>
      <c r="C2487" s="438"/>
      <c r="D2487" s="438"/>
      <c r="E2487" s="438"/>
      <c r="F2487" s="438"/>
      <c r="G2487" s="438"/>
      <c r="H2487" s="438"/>
      <c r="I2487" s="438"/>
      <c r="J2487" s="11"/>
      <c r="Q2487" s="348" t="str">
        <f t="shared" si="312"/>
        <v/>
      </c>
      <c r="R2487" s="348" t="str">
        <f t="shared" si="313"/>
        <v/>
      </c>
      <c r="S2487" s="348" t="str">
        <f t="shared" si="314"/>
        <v/>
      </c>
      <c r="T2487" s="348" t="str">
        <f t="shared" si="315"/>
        <v/>
      </c>
      <c r="U2487" s="348" t="str">
        <f t="shared" si="316"/>
        <v/>
      </c>
      <c r="V2487" s="348" t="str">
        <f t="shared" si="317"/>
        <v/>
      </c>
      <c r="W2487" s="348" t="str">
        <f t="shared" si="318"/>
        <v/>
      </c>
      <c r="X2487" s="348" t="str">
        <f t="shared" si="319"/>
        <v/>
      </c>
    </row>
    <row r="2488" spans="1:24" x14ac:dyDescent="0.2">
      <c r="A2488" s="407">
        <v>2480</v>
      </c>
      <c r="B2488" s="438"/>
      <c r="C2488" s="438"/>
      <c r="D2488" s="438"/>
      <c r="E2488" s="438"/>
      <c r="F2488" s="438"/>
      <c r="G2488" s="438"/>
      <c r="H2488" s="438"/>
      <c r="I2488" s="438"/>
      <c r="J2488" s="11"/>
      <c r="Q2488" s="348" t="str">
        <f t="shared" si="312"/>
        <v/>
      </c>
      <c r="R2488" s="348" t="str">
        <f t="shared" si="313"/>
        <v/>
      </c>
      <c r="S2488" s="348" t="str">
        <f t="shared" si="314"/>
        <v/>
      </c>
      <c r="T2488" s="348" t="str">
        <f t="shared" si="315"/>
        <v/>
      </c>
      <c r="U2488" s="348" t="str">
        <f t="shared" si="316"/>
        <v/>
      </c>
      <c r="V2488" s="348" t="str">
        <f t="shared" si="317"/>
        <v/>
      </c>
      <c r="W2488" s="348" t="str">
        <f t="shared" si="318"/>
        <v/>
      </c>
      <c r="X2488" s="348" t="str">
        <f t="shared" si="319"/>
        <v/>
      </c>
    </row>
    <row r="2489" spans="1:24" x14ac:dyDescent="0.2">
      <c r="A2489" s="407">
        <v>2481</v>
      </c>
      <c r="B2489" s="438"/>
      <c r="C2489" s="438"/>
      <c r="D2489" s="438"/>
      <c r="E2489" s="438"/>
      <c r="F2489" s="438"/>
      <c r="G2489" s="438"/>
      <c r="H2489" s="438"/>
      <c r="I2489" s="438"/>
      <c r="J2489" s="11"/>
      <c r="Q2489" s="348" t="str">
        <f t="shared" si="312"/>
        <v/>
      </c>
      <c r="R2489" s="348" t="str">
        <f t="shared" si="313"/>
        <v/>
      </c>
      <c r="S2489" s="348" t="str">
        <f t="shared" si="314"/>
        <v/>
      </c>
      <c r="T2489" s="348" t="str">
        <f t="shared" si="315"/>
        <v/>
      </c>
      <c r="U2489" s="348" t="str">
        <f t="shared" si="316"/>
        <v/>
      </c>
      <c r="V2489" s="348" t="str">
        <f t="shared" si="317"/>
        <v/>
      </c>
      <c r="W2489" s="348" t="str">
        <f t="shared" si="318"/>
        <v/>
      </c>
      <c r="X2489" s="348" t="str">
        <f t="shared" si="319"/>
        <v/>
      </c>
    </row>
    <row r="2490" spans="1:24" x14ac:dyDescent="0.2">
      <c r="A2490" s="407">
        <v>2482</v>
      </c>
      <c r="B2490" s="438"/>
      <c r="C2490" s="438"/>
      <c r="D2490" s="438"/>
      <c r="E2490" s="438"/>
      <c r="F2490" s="438"/>
      <c r="G2490" s="438"/>
      <c r="H2490" s="438"/>
      <c r="I2490" s="438"/>
      <c r="J2490" s="11"/>
      <c r="Q2490" s="348" t="str">
        <f t="shared" si="312"/>
        <v/>
      </c>
      <c r="R2490" s="348" t="str">
        <f t="shared" si="313"/>
        <v/>
      </c>
      <c r="S2490" s="348" t="str">
        <f t="shared" si="314"/>
        <v/>
      </c>
      <c r="T2490" s="348" t="str">
        <f t="shared" si="315"/>
        <v/>
      </c>
      <c r="U2490" s="348" t="str">
        <f t="shared" si="316"/>
        <v/>
      </c>
      <c r="V2490" s="348" t="str">
        <f t="shared" si="317"/>
        <v/>
      </c>
      <c r="W2490" s="348" t="str">
        <f t="shared" si="318"/>
        <v/>
      </c>
      <c r="X2490" s="348" t="str">
        <f t="shared" si="319"/>
        <v/>
      </c>
    </row>
    <row r="2491" spans="1:24" x14ac:dyDescent="0.2">
      <c r="A2491" s="407">
        <v>2483</v>
      </c>
      <c r="B2491" s="438"/>
      <c r="C2491" s="438"/>
      <c r="D2491" s="438"/>
      <c r="E2491" s="438"/>
      <c r="F2491" s="438"/>
      <c r="G2491" s="438"/>
      <c r="H2491" s="438"/>
      <c r="I2491" s="438"/>
      <c r="J2491" s="11"/>
      <c r="Q2491" s="348" t="str">
        <f t="shared" si="312"/>
        <v/>
      </c>
      <c r="R2491" s="348" t="str">
        <f t="shared" si="313"/>
        <v/>
      </c>
      <c r="S2491" s="348" t="str">
        <f t="shared" si="314"/>
        <v/>
      </c>
      <c r="T2491" s="348" t="str">
        <f t="shared" si="315"/>
        <v/>
      </c>
      <c r="U2491" s="348" t="str">
        <f t="shared" si="316"/>
        <v/>
      </c>
      <c r="V2491" s="348" t="str">
        <f t="shared" si="317"/>
        <v/>
      </c>
      <c r="W2491" s="348" t="str">
        <f t="shared" si="318"/>
        <v/>
      </c>
      <c r="X2491" s="348" t="str">
        <f t="shared" si="319"/>
        <v/>
      </c>
    </row>
    <row r="2492" spans="1:24" x14ac:dyDescent="0.2">
      <c r="A2492" s="407">
        <v>2484</v>
      </c>
      <c r="B2492" s="438"/>
      <c r="C2492" s="438"/>
      <c r="D2492" s="438"/>
      <c r="E2492" s="438"/>
      <c r="F2492" s="438"/>
      <c r="G2492" s="438"/>
      <c r="H2492" s="438"/>
      <c r="I2492" s="438"/>
      <c r="J2492" s="11"/>
      <c r="Q2492" s="348" t="str">
        <f t="shared" si="312"/>
        <v/>
      </c>
      <c r="R2492" s="348" t="str">
        <f t="shared" si="313"/>
        <v/>
      </c>
      <c r="S2492" s="348" t="str">
        <f t="shared" si="314"/>
        <v/>
      </c>
      <c r="T2492" s="348" t="str">
        <f t="shared" si="315"/>
        <v/>
      </c>
      <c r="U2492" s="348" t="str">
        <f t="shared" si="316"/>
        <v/>
      </c>
      <c r="V2492" s="348" t="str">
        <f t="shared" si="317"/>
        <v/>
      </c>
      <c r="W2492" s="348" t="str">
        <f t="shared" si="318"/>
        <v/>
      </c>
      <c r="X2492" s="348" t="str">
        <f t="shared" si="319"/>
        <v/>
      </c>
    </row>
    <row r="2493" spans="1:24" x14ac:dyDescent="0.2">
      <c r="A2493" s="407">
        <v>2485</v>
      </c>
      <c r="B2493" s="438"/>
      <c r="C2493" s="438"/>
      <c r="D2493" s="438"/>
      <c r="E2493" s="438"/>
      <c r="F2493" s="438"/>
      <c r="G2493" s="438"/>
      <c r="H2493" s="438"/>
      <c r="I2493" s="438"/>
      <c r="J2493" s="11"/>
      <c r="Q2493" s="348" t="str">
        <f t="shared" si="312"/>
        <v/>
      </c>
      <c r="R2493" s="348" t="str">
        <f t="shared" si="313"/>
        <v/>
      </c>
      <c r="S2493" s="348" t="str">
        <f t="shared" si="314"/>
        <v/>
      </c>
      <c r="T2493" s="348" t="str">
        <f t="shared" si="315"/>
        <v/>
      </c>
      <c r="U2493" s="348" t="str">
        <f t="shared" si="316"/>
        <v/>
      </c>
      <c r="V2493" s="348" t="str">
        <f t="shared" si="317"/>
        <v/>
      </c>
      <c r="W2493" s="348" t="str">
        <f t="shared" si="318"/>
        <v/>
      </c>
      <c r="X2493" s="348" t="str">
        <f t="shared" si="319"/>
        <v/>
      </c>
    </row>
    <row r="2494" spans="1:24" x14ac:dyDescent="0.2">
      <c r="A2494" s="407">
        <v>2486</v>
      </c>
      <c r="B2494" s="438"/>
      <c r="C2494" s="438"/>
      <c r="D2494" s="438"/>
      <c r="E2494" s="438"/>
      <c r="F2494" s="438"/>
      <c r="G2494" s="438"/>
      <c r="H2494" s="438"/>
      <c r="I2494" s="438"/>
      <c r="J2494" s="11"/>
      <c r="Q2494" s="348" t="str">
        <f t="shared" si="312"/>
        <v/>
      </c>
      <c r="R2494" s="348" t="str">
        <f t="shared" si="313"/>
        <v/>
      </c>
      <c r="S2494" s="348" t="str">
        <f t="shared" si="314"/>
        <v/>
      </c>
      <c r="T2494" s="348" t="str">
        <f t="shared" si="315"/>
        <v/>
      </c>
      <c r="U2494" s="348" t="str">
        <f t="shared" si="316"/>
        <v/>
      </c>
      <c r="V2494" s="348" t="str">
        <f t="shared" si="317"/>
        <v/>
      </c>
      <c r="W2494" s="348" t="str">
        <f t="shared" si="318"/>
        <v/>
      </c>
      <c r="X2494" s="348" t="str">
        <f t="shared" si="319"/>
        <v/>
      </c>
    </row>
    <row r="2495" spans="1:24" x14ac:dyDescent="0.2">
      <c r="A2495" s="407">
        <v>2487</v>
      </c>
      <c r="B2495" s="438"/>
      <c r="C2495" s="438"/>
      <c r="D2495" s="438"/>
      <c r="E2495" s="438"/>
      <c r="F2495" s="438"/>
      <c r="G2495" s="438"/>
      <c r="H2495" s="438"/>
      <c r="I2495" s="438"/>
      <c r="J2495" s="11"/>
      <c r="Q2495" s="348" t="str">
        <f t="shared" si="312"/>
        <v/>
      </c>
      <c r="R2495" s="348" t="str">
        <f t="shared" si="313"/>
        <v/>
      </c>
      <c r="S2495" s="348" t="str">
        <f t="shared" si="314"/>
        <v/>
      </c>
      <c r="T2495" s="348" t="str">
        <f t="shared" si="315"/>
        <v/>
      </c>
      <c r="U2495" s="348" t="str">
        <f t="shared" si="316"/>
        <v/>
      </c>
      <c r="V2495" s="348" t="str">
        <f t="shared" si="317"/>
        <v/>
      </c>
      <c r="W2495" s="348" t="str">
        <f t="shared" si="318"/>
        <v/>
      </c>
      <c r="X2495" s="348" t="str">
        <f t="shared" si="319"/>
        <v/>
      </c>
    </row>
    <row r="2496" spans="1:24" x14ac:dyDescent="0.2">
      <c r="A2496" s="407">
        <v>2488</v>
      </c>
      <c r="B2496" s="438"/>
      <c r="C2496" s="438"/>
      <c r="D2496" s="438"/>
      <c r="E2496" s="438"/>
      <c r="F2496" s="438"/>
      <c r="G2496" s="438"/>
      <c r="H2496" s="438"/>
      <c r="I2496" s="438"/>
      <c r="J2496" s="11"/>
      <c r="Q2496" s="348" t="str">
        <f t="shared" si="312"/>
        <v/>
      </c>
      <c r="R2496" s="348" t="str">
        <f t="shared" si="313"/>
        <v/>
      </c>
      <c r="S2496" s="348" t="str">
        <f t="shared" si="314"/>
        <v/>
      </c>
      <c r="T2496" s="348" t="str">
        <f t="shared" si="315"/>
        <v/>
      </c>
      <c r="U2496" s="348" t="str">
        <f t="shared" si="316"/>
        <v/>
      </c>
      <c r="V2496" s="348" t="str">
        <f t="shared" si="317"/>
        <v/>
      </c>
      <c r="W2496" s="348" t="str">
        <f t="shared" si="318"/>
        <v/>
      </c>
      <c r="X2496" s="348" t="str">
        <f t="shared" si="319"/>
        <v/>
      </c>
    </row>
    <row r="2497" spans="1:24" x14ac:dyDescent="0.2">
      <c r="A2497" s="407">
        <v>2489</v>
      </c>
      <c r="B2497" s="438"/>
      <c r="C2497" s="438"/>
      <c r="D2497" s="438"/>
      <c r="E2497" s="438"/>
      <c r="F2497" s="438"/>
      <c r="G2497" s="438"/>
      <c r="H2497" s="438"/>
      <c r="I2497" s="438"/>
      <c r="J2497" s="11"/>
      <c r="Q2497" s="348" t="str">
        <f t="shared" si="312"/>
        <v/>
      </c>
      <c r="R2497" s="348" t="str">
        <f t="shared" si="313"/>
        <v/>
      </c>
      <c r="S2497" s="348" t="str">
        <f t="shared" si="314"/>
        <v/>
      </c>
      <c r="T2497" s="348" t="str">
        <f t="shared" si="315"/>
        <v/>
      </c>
      <c r="U2497" s="348" t="str">
        <f t="shared" si="316"/>
        <v/>
      </c>
      <c r="V2497" s="348" t="str">
        <f t="shared" si="317"/>
        <v/>
      </c>
      <c r="W2497" s="348" t="str">
        <f t="shared" si="318"/>
        <v/>
      </c>
      <c r="X2497" s="348" t="str">
        <f t="shared" si="319"/>
        <v/>
      </c>
    </row>
    <row r="2498" spans="1:24" x14ac:dyDescent="0.2">
      <c r="A2498" s="407">
        <v>2490</v>
      </c>
      <c r="B2498" s="438"/>
      <c r="C2498" s="438"/>
      <c r="D2498" s="438"/>
      <c r="E2498" s="438"/>
      <c r="F2498" s="438"/>
      <c r="G2498" s="438"/>
      <c r="H2498" s="438"/>
      <c r="I2498" s="438"/>
      <c r="J2498" s="11"/>
      <c r="Q2498" s="348" t="str">
        <f t="shared" si="312"/>
        <v/>
      </c>
      <c r="R2498" s="348" t="str">
        <f t="shared" si="313"/>
        <v/>
      </c>
      <c r="S2498" s="348" t="str">
        <f t="shared" si="314"/>
        <v/>
      </c>
      <c r="T2498" s="348" t="str">
        <f t="shared" si="315"/>
        <v/>
      </c>
      <c r="U2498" s="348" t="str">
        <f t="shared" si="316"/>
        <v/>
      </c>
      <c r="V2498" s="348" t="str">
        <f t="shared" si="317"/>
        <v/>
      </c>
      <c r="W2498" s="348" t="str">
        <f t="shared" si="318"/>
        <v/>
      </c>
      <c r="X2498" s="348" t="str">
        <f t="shared" si="319"/>
        <v/>
      </c>
    </row>
    <row r="2499" spans="1:24" x14ac:dyDescent="0.2">
      <c r="A2499" s="407">
        <v>2491</v>
      </c>
      <c r="B2499" s="438"/>
      <c r="C2499" s="438"/>
      <c r="D2499" s="438"/>
      <c r="E2499" s="438"/>
      <c r="F2499" s="438"/>
      <c r="G2499" s="438"/>
      <c r="H2499" s="438"/>
      <c r="I2499" s="438"/>
      <c r="J2499" s="11"/>
      <c r="Q2499" s="348" t="str">
        <f t="shared" si="312"/>
        <v/>
      </c>
      <c r="R2499" s="348" t="str">
        <f t="shared" si="313"/>
        <v/>
      </c>
      <c r="S2499" s="348" t="str">
        <f t="shared" si="314"/>
        <v/>
      </c>
      <c r="T2499" s="348" t="str">
        <f t="shared" si="315"/>
        <v/>
      </c>
      <c r="U2499" s="348" t="str">
        <f t="shared" si="316"/>
        <v/>
      </c>
      <c r="V2499" s="348" t="str">
        <f t="shared" si="317"/>
        <v/>
      </c>
      <c r="W2499" s="348" t="str">
        <f t="shared" si="318"/>
        <v/>
      </c>
      <c r="X2499" s="348" t="str">
        <f t="shared" si="319"/>
        <v/>
      </c>
    </row>
    <row r="2500" spans="1:24" x14ac:dyDescent="0.2">
      <c r="A2500" s="407">
        <v>2492</v>
      </c>
      <c r="B2500" s="438"/>
      <c r="C2500" s="438"/>
      <c r="D2500" s="438"/>
      <c r="E2500" s="438"/>
      <c r="F2500" s="438"/>
      <c r="G2500" s="438"/>
      <c r="H2500" s="438"/>
      <c r="I2500" s="438"/>
      <c r="J2500" s="11"/>
      <c r="Q2500" s="348" t="str">
        <f t="shared" si="312"/>
        <v/>
      </c>
      <c r="R2500" s="348" t="str">
        <f t="shared" si="313"/>
        <v/>
      </c>
      <c r="S2500" s="348" t="str">
        <f t="shared" si="314"/>
        <v/>
      </c>
      <c r="T2500" s="348" t="str">
        <f t="shared" si="315"/>
        <v/>
      </c>
      <c r="U2500" s="348" t="str">
        <f t="shared" si="316"/>
        <v/>
      </c>
      <c r="V2500" s="348" t="str">
        <f t="shared" si="317"/>
        <v/>
      </c>
      <c r="W2500" s="348" t="str">
        <f t="shared" si="318"/>
        <v/>
      </c>
      <c r="X2500" s="348" t="str">
        <f t="shared" si="319"/>
        <v/>
      </c>
    </row>
    <row r="2501" spans="1:24" x14ac:dyDescent="0.2">
      <c r="A2501" s="407">
        <v>2493</v>
      </c>
      <c r="B2501" s="438"/>
      <c r="C2501" s="437"/>
      <c r="D2501" s="438"/>
      <c r="E2501" s="438"/>
      <c r="F2501" s="438"/>
      <c r="G2501" s="438"/>
      <c r="H2501" s="438"/>
      <c r="I2501" s="438"/>
      <c r="J2501" s="11"/>
      <c r="Q2501" s="348" t="str">
        <f t="shared" si="312"/>
        <v/>
      </c>
      <c r="R2501" s="348" t="str">
        <f t="shared" si="313"/>
        <v/>
      </c>
      <c r="S2501" s="348" t="str">
        <f t="shared" si="314"/>
        <v/>
      </c>
      <c r="T2501" s="348" t="str">
        <f t="shared" si="315"/>
        <v/>
      </c>
      <c r="U2501" s="348" t="str">
        <f t="shared" si="316"/>
        <v/>
      </c>
      <c r="V2501" s="348" t="str">
        <f t="shared" si="317"/>
        <v/>
      </c>
      <c r="W2501" s="348" t="str">
        <f t="shared" si="318"/>
        <v/>
      </c>
      <c r="X2501" s="348" t="str">
        <f t="shared" si="319"/>
        <v/>
      </c>
    </row>
    <row r="2502" spans="1:24" x14ac:dyDescent="0.2">
      <c r="A2502" s="407">
        <v>2494</v>
      </c>
      <c r="B2502" s="438"/>
      <c r="C2502" s="438"/>
      <c r="D2502" s="438"/>
      <c r="E2502" s="437"/>
      <c r="F2502" s="438"/>
      <c r="G2502" s="438"/>
      <c r="H2502" s="438"/>
      <c r="I2502" s="438"/>
      <c r="J2502" s="11"/>
      <c r="Q2502" s="348" t="str">
        <f t="shared" si="312"/>
        <v/>
      </c>
      <c r="R2502" s="348" t="str">
        <f t="shared" si="313"/>
        <v/>
      </c>
      <c r="S2502" s="348" t="str">
        <f t="shared" si="314"/>
        <v/>
      </c>
      <c r="T2502" s="348" t="str">
        <f t="shared" si="315"/>
        <v/>
      </c>
      <c r="U2502" s="348" t="str">
        <f t="shared" si="316"/>
        <v/>
      </c>
      <c r="V2502" s="348" t="str">
        <f t="shared" si="317"/>
        <v/>
      </c>
      <c r="W2502" s="348" t="str">
        <f t="shared" si="318"/>
        <v/>
      </c>
      <c r="X2502" s="348" t="str">
        <f t="shared" si="319"/>
        <v/>
      </c>
    </row>
    <row r="2503" spans="1:24" x14ac:dyDescent="0.2">
      <c r="A2503" s="407">
        <v>2495</v>
      </c>
      <c r="B2503" s="438"/>
      <c r="C2503" s="438"/>
      <c r="D2503" s="438"/>
      <c r="E2503" s="438"/>
      <c r="F2503" s="438"/>
      <c r="G2503" s="438"/>
      <c r="H2503" s="438"/>
      <c r="I2503" s="438"/>
      <c r="J2503" s="11"/>
      <c r="Q2503" s="348" t="str">
        <f t="shared" si="312"/>
        <v/>
      </c>
      <c r="R2503" s="348" t="str">
        <f t="shared" si="313"/>
        <v/>
      </c>
      <c r="S2503" s="348" t="str">
        <f t="shared" si="314"/>
        <v/>
      </c>
      <c r="T2503" s="348" t="str">
        <f t="shared" si="315"/>
        <v/>
      </c>
      <c r="U2503" s="348" t="str">
        <f t="shared" si="316"/>
        <v/>
      </c>
      <c r="V2503" s="348" t="str">
        <f t="shared" si="317"/>
        <v/>
      </c>
      <c r="W2503" s="348" t="str">
        <f t="shared" si="318"/>
        <v/>
      </c>
      <c r="X2503" s="348" t="str">
        <f t="shared" si="319"/>
        <v/>
      </c>
    </row>
    <row r="2504" spans="1:24" x14ac:dyDescent="0.2">
      <c r="A2504" s="407">
        <v>2496</v>
      </c>
      <c r="B2504" s="438"/>
      <c r="C2504" s="438"/>
      <c r="D2504" s="438"/>
      <c r="E2504" s="438"/>
      <c r="F2504" s="438"/>
      <c r="G2504" s="438"/>
      <c r="H2504" s="438"/>
      <c r="I2504" s="438"/>
      <c r="J2504" s="11"/>
      <c r="Q2504" s="348" t="str">
        <f t="shared" si="312"/>
        <v/>
      </c>
      <c r="R2504" s="348" t="str">
        <f t="shared" si="313"/>
        <v/>
      </c>
      <c r="S2504" s="348" t="str">
        <f t="shared" si="314"/>
        <v/>
      </c>
      <c r="T2504" s="348" t="str">
        <f t="shared" si="315"/>
        <v/>
      </c>
      <c r="U2504" s="348" t="str">
        <f t="shared" si="316"/>
        <v/>
      </c>
      <c r="V2504" s="348" t="str">
        <f t="shared" si="317"/>
        <v/>
      </c>
      <c r="W2504" s="348" t="str">
        <f t="shared" si="318"/>
        <v/>
      </c>
      <c r="X2504" s="348" t="str">
        <f t="shared" si="319"/>
        <v/>
      </c>
    </row>
    <row r="2505" spans="1:24" x14ac:dyDescent="0.2">
      <c r="A2505" s="407">
        <v>2497</v>
      </c>
      <c r="B2505" s="438"/>
      <c r="C2505" s="438"/>
      <c r="D2505" s="438"/>
      <c r="E2505" s="438"/>
      <c r="F2505" s="438"/>
      <c r="G2505" s="438"/>
      <c r="H2505" s="438"/>
      <c r="I2505" s="438"/>
      <c r="J2505" s="11"/>
      <c r="Q2505" s="348" t="str">
        <f t="shared" si="312"/>
        <v/>
      </c>
      <c r="R2505" s="348" t="str">
        <f t="shared" si="313"/>
        <v/>
      </c>
      <c r="S2505" s="348" t="str">
        <f t="shared" si="314"/>
        <v/>
      </c>
      <c r="T2505" s="348" t="str">
        <f t="shared" si="315"/>
        <v/>
      </c>
      <c r="U2505" s="348" t="str">
        <f t="shared" si="316"/>
        <v/>
      </c>
      <c r="V2505" s="348" t="str">
        <f t="shared" si="317"/>
        <v/>
      </c>
      <c r="W2505" s="348" t="str">
        <f t="shared" si="318"/>
        <v/>
      </c>
      <c r="X2505" s="348" t="str">
        <f t="shared" si="319"/>
        <v/>
      </c>
    </row>
    <row r="2506" spans="1:24" x14ac:dyDescent="0.2">
      <c r="A2506" s="407">
        <v>2498</v>
      </c>
      <c r="B2506" s="437"/>
      <c r="C2506" s="438"/>
      <c r="D2506" s="438"/>
      <c r="E2506" s="438"/>
      <c r="F2506" s="438"/>
      <c r="G2506" s="438"/>
      <c r="H2506" s="438"/>
      <c r="I2506" s="438"/>
      <c r="J2506" s="11"/>
      <c r="Q2506" s="348" t="str">
        <f t="shared" ref="Q2506:Q2569" si="320">IFERROR(B2506^4*$AB$9+B2506^3*$AC$9+B2506^2*$AD$9+B2506^1*$AE$9+B2506^0*$AF$9,"")</f>
        <v/>
      </c>
      <c r="R2506" s="348" t="str">
        <f t="shared" ref="R2506:R2569" si="321">IFERROR(C2506^4*$AB$10+C2506^3*$AC$10+C2506^2*$AD$10+C2506^1*$AE$10+C2506^0*$AF$10,"")</f>
        <v/>
      </c>
      <c r="S2506" s="348" t="str">
        <f t="shared" ref="S2506:S2569" si="322">IFERROR(D2506^4*$AB$11+D2506^3*$AC$11+D2506^2*$AD$11+D2506^1*$AE$11+D2506^0*$AF$11,"")</f>
        <v/>
      </c>
      <c r="T2506" s="348" t="str">
        <f t="shared" ref="T2506:T2569" si="323">IFERROR(E2506^4*$AB$12+E2506^3*$AC$12+E2506^2*$AD$12+E2506^1*$AE$12+E2506^0*$AF$12,"")</f>
        <v/>
      </c>
      <c r="U2506" s="348" t="str">
        <f t="shared" ref="U2506:U2569" si="324">IFERROR(F2506^4*$AB$13+F2506^3*$AC$13+F2506^2*$AD$13+F2506^1*$AE$13+F2506^0*$AF$13,"")</f>
        <v/>
      </c>
      <c r="V2506" s="348" t="str">
        <f t="shared" ref="V2506:V2569" si="325">IFERROR(G2506^4*$AB$14+G2506^3*$AC$14+G2506^2*$AD$14+G2506^1*$AE$14+G2506^0*$AF$14,"")</f>
        <v/>
      </c>
      <c r="W2506" s="348" t="str">
        <f t="shared" ref="W2506:W2569" si="326">IFERROR(H2506^4*$AB$15+H2506^3*$AC$15+H2506^2*$AD$15+H2506^1*$AE$15+H2506^0*$AF$15,"")</f>
        <v/>
      </c>
      <c r="X2506" s="348" t="str">
        <f t="shared" ref="X2506:X2569" si="327">IFERROR(I2506^4*$AB$16+I2506^3*$AC$16+I2506^2*$AD$16+I2506^1*$AE$16+I2506^0*$AF$16,"")</f>
        <v/>
      </c>
    </row>
    <row r="2507" spans="1:24" x14ac:dyDescent="0.2">
      <c r="A2507" s="407">
        <v>2499</v>
      </c>
      <c r="B2507" s="438"/>
      <c r="C2507" s="438"/>
      <c r="D2507" s="438"/>
      <c r="E2507" s="438"/>
      <c r="F2507" s="438"/>
      <c r="G2507" s="437"/>
      <c r="H2507" s="438"/>
      <c r="I2507" s="438"/>
      <c r="J2507" s="11"/>
      <c r="Q2507" s="348" t="str">
        <f t="shared" si="320"/>
        <v/>
      </c>
      <c r="R2507" s="348" t="str">
        <f t="shared" si="321"/>
        <v/>
      </c>
      <c r="S2507" s="348" t="str">
        <f t="shared" si="322"/>
        <v/>
      </c>
      <c r="T2507" s="348" t="str">
        <f t="shared" si="323"/>
        <v/>
      </c>
      <c r="U2507" s="348" t="str">
        <f t="shared" si="324"/>
        <v/>
      </c>
      <c r="V2507" s="348" t="str">
        <f t="shared" si="325"/>
        <v/>
      </c>
      <c r="W2507" s="348" t="str">
        <f t="shared" si="326"/>
        <v/>
      </c>
      <c r="X2507" s="348" t="str">
        <f t="shared" si="327"/>
        <v/>
      </c>
    </row>
    <row r="2508" spans="1:24" x14ac:dyDescent="0.2">
      <c r="A2508" s="407">
        <v>2500</v>
      </c>
      <c r="B2508" s="438"/>
      <c r="C2508" s="438"/>
      <c r="D2508" s="438"/>
      <c r="E2508" s="438"/>
      <c r="F2508" s="438"/>
      <c r="G2508" s="438"/>
      <c r="H2508" s="438"/>
      <c r="I2508" s="438"/>
      <c r="J2508" s="11"/>
      <c r="Q2508" s="348" t="str">
        <f t="shared" si="320"/>
        <v/>
      </c>
      <c r="R2508" s="348" t="str">
        <f t="shared" si="321"/>
        <v/>
      </c>
      <c r="S2508" s="348" t="str">
        <f t="shared" si="322"/>
        <v/>
      </c>
      <c r="T2508" s="348" t="str">
        <f t="shared" si="323"/>
        <v/>
      </c>
      <c r="U2508" s="348" t="str">
        <f t="shared" si="324"/>
        <v/>
      </c>
      <c r="V2508" s="348" t="str">
        <f t="shared" si="325"/>
        <v/>
      </c>
      <c r="W2508" s="348" t="str">
        <f t="shared" si="326"/>
        <v/>
      </c>
      <c r="X2508" s="348" t="str">
        <f t="shared" si="327"/>
        <v/>
      </c>
    </row>
    <row r="2509" spans="1:24" x14ac:dyDescent="0.2">
      <c r="A2509" s="407">
        <v>2501</v>
      </c>
      <c r="B2509" s="438"/>
      <c r="C2509" s="437"/>
      <c r="D2509" s="438"/>
      <c r="E2509" s="437"/>
      <c r="F2509" s="437"/>
      <c r="G2509" s="437"/>
      <c r="H2509" s="437"/>
      <c r="I2509" s="437"/>
      <c r="J2509" s="11"/>
      <c r="Q2509" s="348" t="str">
        <f t="shared" si="320"/>
        <v/>
      </c>
      <c r="R2509" s="348" t="str">
        <f t="shared" si="321"/>
        <v/>
      </c>
      <c r="S2509" s="348" t="str">
        <f t="shared" si="322"/>
        <v/>
      </c>
      <c r="T2509" s="348" t="str">
        <f t="shared" si="323"/>
        <v/>
      </c>
      <c r="U2509" s="348" t="str">
        <f t="shared" si="324"/>
        <v/>
      </c>
      <c r="V2509" s="348" t="str">
        <f t="shared" si="325"/>
        <v/>
      </c>
      <c r="W2509" s="348" t="str">
        <f t="shared" si="326"/>
        <v/>
      </c>
      <c r="X2509" s="348" t="str">
        <f t="shared" si="327"/>
        <v/>
      </c>
    </row>
    <row r="2510" spans="1:24" x14ac:dyDescent="0.2">
      <c r="A2510" s="407">
        <v>2502</v>
      </c>
      <c r="B2510" s="438"/>
      <c r="C2510" s="438"/>
      <c r="D2510" s="437"/>
      <c r="E2510" s="438"/>
      <c r="F2510" s="438"/>
      <c r="G2510" s="438"/>
      <c r="H2510" s="438"/>
      <c r="I2510" s="438"/>
      <c r="J2510" s="11"/>
      <c r="Q2510" s="348" t="str">
        <f t="shared" si="320"/>
        <v/>
      </c>
      <c r="R2510" s="348" t="str">
        <f t="shared" si="321"/>
        <v/>
      </c>
      <c r="S2510" s="348" t="str">
        <f t="shared" si="322"/>
        <v/>
      </c>
      <c r="T2510" s="348" t="str">
        <f t="shared" si="323"/>
        <v/>
      </c>
      <c r="U2510" s="348" t="str">
        <f t="shared" si="324"/>
        <v/>
      </c>
      <c r="V2510" s="348" t="str">
        <f t="shared" si="325"/>
        <v/>
      </c>
      <c r="W2510" s="348" t="str">
        <f t="shared" si="326"/>
        <v/>
      </c>
      <c r="X2510" s="348" t="str">
        <f t="shared" si="327"/>
        <v/>
      </c>
    </row>
    <row r="2511" spans="1:24" x14ac:dyDescent="0.2">
      <c r="A2511" s="407">
        <v>2503</v>
      </c>
      <c r="B2511" s="438"/>
      <c r="C2511" s="438"/>
      <c r="D2511" s="438"/>
      <c r="E2511" s="438"/>
      <c r="F2511" s="438"/>
      <c r="G2511" s="438"/>
      <c r="H2511" s="438"/>
      <c r="I2511" s="438"/>
      <c r="J2511" s="11"/>
      <c r="Q2511" s="348" t="str">
        <f t="shared" si="320"/>
        <v/>
      </c>
      <c r="R2511" s="348" t="str">
        <f t="shared" si="321"/>
        <v/>
      </c>
      <c r="S2511" s="348" t="str">
        <f t="shared" si="322"/>
        <v/>
      </c>
      <c r="T2511" s="348" t="str">
        <f t="shared" si="323"/>
        <v/>
      </c>
      <c r="U2511" s="348" t="str">
        <f t="shared" si="324"/>
        <v/>
      </c>
      <c r="V2511" s="348" t="str">
        <f t="shared" si="325"/>
        <v/>
      </c>
      <c r="W2511" s="348" t="str">
        <f t="shared" si="326"/>
        <v/>
      </c>
      <c r="X2511" s="348" t="str">
        <f t="shared" si="327"/>
        <v/>
      </c>
    </row>
    <row r="2512" spans="1:24" x14ac:dyDescent="0.2">
      <c r="A2512" s="407">
        <v>2504</v>
      </c>
      <c r="B2512" s="438"/>
      <c r="C2512" s="438"/>
      <c r="D2512" s="438"/>
      <c r="E2512" s="438"/>
      <c r="F2512" s="438"/>
      <c r="G2512" s="438"/>
      <c r="H2512" s="438"/>
      <c r="I2512" s="438"/>
      <c r="J2512" s="11"/>
      <c r="Q2512" s="348" t="str">
        <f t="shared" si="320"/>
        <v/>
      </c>
      <c r="R2512" s="348" t="str">
        <f t="shared" si="321"/>
        <v/>
      </c>
      <c r="S2512" s="348" t="str">
        <f t="shared" si="322"/>
        <v/>
      </c>
      <c r="T2512" s="348" t="str">
        <f t="shared" si="323"/>
        <v/>
      </c>
      <c r="U2512" s="348" t="str">
        <f t="shared" si="324"/>
        <v/>
      </c>
      <c r="V2512" s="348" t="str">
        <f t="shared" si="325"/>
        <v/>
      </c>
      <c r="W2512" s="348" t="str">
        <f t="shared" si="326"/>
        <v/>
      </c>
      <c r="X2512" s="348" t="str">
        <f t="shared" si="327"/>
        <v/>
      </c>
    </row>
    <row r="2513" spans="1:24" x14ac:dyDescent="0.2">
      <c r="A2513" s="407">
        <v>2505</v>
      </c>
      <c r="B2513" s="438"/>
      <c r="C2513" s="438"/>
      <c r="D2513" s="438"/>
      <c r="E2513" s="438"/>
      <c r="F2513" s="438"/>
      <c r="G2513" s="438"/>
      <c r="H2513" s="438"/>
      <c r="I2513" s="438"/>
      <c r="J2513" s="11"/>
      <c r="Q2513" s="348" t="str">
        <f t="shared" si="320"/>
        <v/>
      </c>
      <c r="R2513" s="348" t="str">
        <f t="shared" si="321"/>
        <v/>
      </c>
      <c r="S2513" s="348" t="str">
        <f t="shared" si="322"/>
        <v/>
      </c>
      <c r="T2513" s="348" t="str">
        <f t="shared" si="323"/>
        <v/>
      </c>
      <c r="U2513" s="348" t="str">
        <f t="shared" si="324"/>
        <v/>
      </c>
      <c r="V2513" s="348" t="str">
        <f t="shared" si="325"/>
        <v/>
      </c>
      <c r="W2513" s="348" t="str">
        <f t="shared" si="326"/>
        <v/>
      </c>
      <c r="X2513" s="348" t="str">
        <f t="shared" si="327"/>
        <v/>
      </c>
    </row>
    <row r="2514" spans="1:24" x14ac:dyDescent="0.2">
      <c r="A2514" s="407">
        <v>2506</v>
      </c>
      <c r="B2514" s="438"/>
      <c r="C2514" s="438"/>
      <c r="D2514" s="438"/>
      <c r="E2514" s="438"/>
      <c r="F2514" s="438"/>
      <c r="G2514" s="438"/>
      <c r="H2514" s="438"/>
      <c r="I2514" s="438"/>
      <c r="J2514" s="11"/>
      <c r="Q2514" s="348" t="str">
        <f t="shared" si="320"/>
        <v/>
      </c>
      <c r="R2514" s="348" t="str">
        <f t="shared" si="321"/>
        <v/>
      </c>
      <c r="S2514" s="348" t="str">
        <f t="shared" si="322"/>
        <v/>
      </c>
      <c r="T2514" s="348" t="str">
        <f t="shared" si="323"/>
        <v/>
      </c>
      <c r="U2514" s="348" t="str">
        <f t="shared" si="324"/>
        <v/>
      </c>
      <c r="V2514" s="348" t="str">
        <f t="shared" si="325"/>
        <v/>
      </c>
      <c r="W2514" s="348" t="str">
        <f t="shared" si="326"/>
        <v/>
      </c>
      <c r="X2514" s="348" t="str">
        <f t="shared" si="327"/>
        <v/>
      </c>
    </row>
    <row r="2515" spans="1:24" x14ac:dyDescent="0.2">
      <c r="A2515" s="407">
        <v>2507</v>
      </c>
      <c r="B2515" s="438"/>
      <c r="C2515" s="438"/>
      <c r="D2515" s="438"/>
      <c r="E2515" s="438"/>
      <c r="F2515" s="438"/>
      <c r="G2515" s="438"/>
      <c r="H2515" s="438"/>
      <c r="I2515" s="438"/>
      <c r="J2515" s="11"/>
      <c r="Q2515" s="348" t="str">
        <f t="shared" si="320"/>
        <v/>
      </c>
      <c r="R2515" s="348" t="str">
        <f t="shared" si="321"/>
        <v/>
      </c>
      <c r="S2515" s="348" t="str">
        <f t="shared" si="322"/>
        <v/>
      </c>
      <c r="T2515" s="348" t="str">
        <f t="shared" si="323"/>
        <v/>
      </c>
      <c r="U2515" s="348" t="str">
        <f t="shared" si="324"/>
        <v/>
      </c>
      <c r="V2515" s="348" t="str">
        <f t="shared" si="325"/>
        <v/>
      </c>
      <c r="W2515" s="348" t="str">
        <f t="shared" si="326"/>
        <v/>
      </c>
      <c r="X2515" s="348" t="str">
        <f t="shared" si="327"/>
        <v/>
      </c>
    </row>
    <row r="2516" spans="1:24" x14ac:dyDescent="0.2">
      <c r="A2516" s="407">
        <v>2508</v>
      </c>
      <c r="B2516" s="437"/>
      <c r="C2516" s="438"/>
      <c r="D2516" s="438"/>
      <c r="E2516" s="438"/>
      <c r="F2516" s="438"/>
      <c r="G2516" s="438"/>
      <c r="H2516" s="438"/>
      <c r="I2516" s="438"/>
      <c r="J2516" s="11"/>
      <c r="Q2516" s="348" t="str">
        <f t="shared" si="320"/>
        <v/>
      </c>
      <c r="R2516" s="348" t="str">
        <f t="shared" si="321"/>
        <v/>
      </c>
      <c r="S2516" s="348" t="str">
        <f t="shared" si="322"/>
        <v/>
      </c>
      <c r="T2516" s="348" t="str">
        <f t="shared" si="323"/>
        <v/>
      </c>
      <c r="U2516" s="348" t="str">
        <f t="shared" si="324"/>
        <v/>
      </c>
      <c r="V2516" s="348" t="str">
        <f t="shared" si="325"/>
        <v/>
      </c>
      <c r="W2516" s="348" t="str">
        <f t="shared" si="326"/>
        <v/>
      </c>
      <c r="X2516" s="348" t="str">
        <f t="shared" si="327"/>
        <v/>
      </c>
    </row>
    <row r="2517" spans="1:24" x14ac:dyDescent="0.2">
      <c r="A2517" s="407">
        <v>2509</v>
      </c>
      <c r="B2517" s="438"/>
      <c r="C2517" s="438"/>
      <c r="D2517" s="438"/>
      <c r="E2517" s="438"/>
      <c r="F2517" s="438"/>
      <c r="G2517" s="438"/>
      <c r="H2517" s="438"/>
      <c r="I2517" s="438"/>
      <c r="J2517" s="11"/>
      <c r="Q2517" s="348" t="str">
        <f t="shared" si="320"/>
        <v/>
      </c>
      <c r="R2517" s="348" t="str">
        <f t="shared" si="321"/>
        <v/>
      </c>
      <c r="S2517" s="348" t="str">
        <f t="shared" si="322"/>
        <v/>
      </c>
      <c r="T2517" s="348" t="str">
        <f t="shared" si="323"/>
        <v/>
      </c>
      <c r="U2517" s="348" t="str">
        <f t="shared" si="324"/>
        <v/>
      </c>
      <c r="V2517" s="348" t="str">
        <f t="shared" si="325"/>
        <v/>
      </c>
      <c r="W2517" s="348" t="str">
        <f t="shared" si="326"/>
        <v/>
      </c>
      <c r="X2517" s="348" t="str">
        <f t="shared" si="327"/>
        <v/>
      </c>
    </row>
    <row r="2518" spans="1:24" x14ac:dyDescent="0.2">
      <c r="A2518" s="407">
        <v>2510</v>
      </c>
      <c r="B2518" s="438"/>
      <c r="C2518" s="438"/>
      <c r="D2518" s="438"/>
      <c r="E2518" s="438"/>
      <c r="F2518" s="438"/>
      <c r="G2518" s="438"/>
      <c r="H2518" s="438"/>
      <c r="I2518" s="438"/>
      <c r="J2518" s="11"/>
      <c r="Q2518" s="348" t="str">
        <f t="shared" si="320"/>
        <v/>
      </c>
      <c r="R2518" s="348" t="str">
        <f t="shared" si="321"/>
        <v/>
      </c>
      <c r="S2518" s="348" t="str">
        <f t="shared" si="322"/>
        <v/>
      </c>
      <c r="T2518" s="348" t="str">
        <f t="shared" si="323"/>
        <v/>
      </c>
      <c r="U2518" s="348" t="str">
        <f t="shared" si="324"/>
        <v/>
      </c>
      <c r="V2518" s="348" t="str">
        <f t="shared" si="325"/>
        <v/>
      </c>
      <c r="W2518" s="348" t="str">
        <f t="shared" si="326"/>
        <v/>
      </c>
      <c r="X2518" s="348" t="str">
        <f t="shared" si="327"/>
        <v/>
      </c>
    </row>
    <row r="2519" spans="1:24" x14ac:dyDescent="0.2">
      <c r="A2519" s="407">
        <v>2511</v>
      </c>
      <c r="B2519" s="438"/>
      <c r="C2519" s="438"/>
      <c r="D2519" s="438"/>
      <c r="E2519" s="438"/>
      <c r="F2519" s="438"/>
      <c r="G2519" s="438"/>
      <c r="H2519" s="438"/>
      <c r="I2519" s="438"/>
      <c r="J2519" s="11"/>
      <c r="Q2519" s="348" t="str">
        <f t="shared" si="320"/>
        <v/>
      </c>
      <c r="R2519" s="348" t="str">
        <f t="shared" si="321"/>
        <v/>
      </c>
      <c r="S2519" s="348" t="str">
        <f t="shared" si="322"/>
        <v/>
      </c>
      <c r="T2519" s="348" t="str">
        <f t="shared" si="323"/>
        <v/>
      </c>
      <c r="U2519" s="348" t="str">
        <f t="shared" si="324"/>
        <v/>
      </c>
      <c r="V2519" s="348" t="str">
        <f t="shared" si="325"/>
        <v/>
      </c>
      <c r="W2519" s="348" t="str">
        <f t="shared" si="326"/>
        <v/>
      </c>
      <c r="X2519" s="348" t="str">
        <f t="shared" si="327"/>
        <v/>
      </c>
    </row>
    <row r="2520" spans="1:24" x14ac:dyDescent="0.2">
      <c r="A2520" s="407">
        <v>2512</v>
      </c>
      <c r="B2520" s="438"/>
      <c r="C2520" s="438"/>
      <c r="D2520" s="438"/>
      <c r="E2520" s="438"/>
      <c r="F2520" s="438"/>
      <c r="G2520" s="438"/>
      <c r="H2520" s="438"/>
      <c r="I2520" s="438"/>
      <c r="J2520" s="11"/>
      <c r="Q2520" s="348" t="str">
        <f t="shared" si="320"/>
        <v/>
      </c>
      <c r="R2520" s="348" t="str">
        <f t="shared" si="321"/>
        <v/>
      </c>
      <c r="S2520" s="348" t="str">
        <f t="shared" si="322"/>
        <v/>
      </c>
      <c r="T2520" s="348" t="str">
        <f t="shared" si="323"/>
        <v/>
      </c>
      <c r="U2520" s="348" t="str">
        <f t="shared" si="324"/>
        <v/>
      </c>
      <c r="V2520" s="348" t="str">
        <f t="shared" si="325"/>
        <v/>
      </c>
      <c r="W2520" s="348" t="str">
        <f t="shared" si="326"/>
        <v/>
      </c>
      <c r="X2520" s="348" t="str">
        <f t="shared" si="327"/>
        <v/>
      </c>
    </row>
    <row r="2521" spans="1:24" x14ac:dyDescent="0.2">
      <c r="A2521" s="407">
        <v>2513</v>
      </c>
      <c r="B2521" s="438"/>
      <c r="C2521" s="438"/>
      <c r="D2521" s="438"/>
      <c r="E2521" s="438"/>
      <c r="F2521" s="438"/>
      <c r="G2521" s="438"/>
      <c r="H2521" s="438"/>
      <c r="I2521" s="438"/>
      <c r="J2521" s="11"/>
      <c r="Q2521" s="348" t="str">
        <f t="shared" si="320"/>
        <v/>
      </c>
      <c r="R2521" s="348" t="str">
        <f t="shared" si="321"/>
        <v/>
      </c>
      <c r="S2521" s="348" t="str">
        <f t="shared" si="322"/>
        <v/>
      </c>
      <c r="T2521" s="348" t="str">
        <f t="shared" si="323"/>
        <v/>
      </c>
      <c r="U2521" s="348" t="str">
        <f t="shared" si="324"/>
        <v/>
      </c>
      <c r="V2521" s="348" t="str">
        <f t="shared" si="325"/>
        <v/>
      </c>
      <c r="W2521" s="348" t="str">
        <f t="shared" si="326"/>
        <v/>
      </c>
      <c r="X2521" s="348" t="str">
        <f t="shared" si="327"/>
        <v/>
      </c>
    </row>
    <row r="2522" spans="1:24" x14ac:dyDescent="0.2">
      <c r="A2522" s="407">
        <v>2514</v>
      </c>
      <c r="B2522" s="438"/>
      <c r="C2522" s="438"/>
      <c r="D2522" s="438"/>
      <c r="E2522" s="438"/>
      <c r="F2522" s="438"/>
      <c r="G2522" s="438"/>
      <c r="H2522" s="438"/>
      <c r="I2522" s="438"/>
      <c r="J2522" s="11"/>
      <c r="Q2522" s="348" t="str">
        <f t="shared" si="320"/>
        <v/>
      </c>
      <c r="R2522" s="348" t="str">
        <f t="shared" si="321"/>
        <v/>
      </c>
      <c r="S2522" s="348" t="str">
        <f t="shared" si="322"/>
        <v/>
      </c>
      <c r="T2522" s="348" t="str">
        <f t="shared" si="323"/>
        <v/>
      </c>
      <c r="U2522" s="348" t="str">
        <f t="shared" si="324"/>
        <v/>
      </c>
      <c r="V2522" s="348" t="str">
        <f t="shared" si="325"/>
        <v/>
      </c>
      <c r="W2522" s="348" t="str">
        <f t="shared" si="326"/>
        <v/>
      </c>
      <c r="X2522" s="348" t="str">
        <f t="shared" si="327"/>
        <v/>
      </c>
    </row>
    <row r="2523" spans="1:24" x14ac:dyDescent="0.2">
      <c r="A2523" s="407">
        <v>2515</v>
      </c>
      <c r="B2523" s="438"/>
      <c r="C2523" s="437"/>
      <c r="D2523" s="438"/>
      <c r="E2523" s="438"/>
      <c r="F2523" s="438"/>
      <c r="G2523" s="438"/>
      <c r="H2523" s="438"/>
      <c r="I2523" s="438"/>
      <c r="J2523" s="11"/>
      <c r="Q2523" s="348" t="str">
        <f t="shared" si="320"/>
        <v/>
      </c>
      <c r="R2523" s="348" t="str">
        <f t="shared" si="321"/>
        <v/>
      </c>
      <c r="S2523" s="348" t="str">
        <f t="shared" si="322"/>
        <v/>
      </c>
      <c r="T2523" s="348" t="str">
        <f t="shared" si="323"/>
        <v/>
      </c>
      <c r="U2523" s="348" t="str">
        <f t="shared" si="324"/>
        <v/>
      </c>
      <c r="V2523" s="348" t="str">
        <f t="shared" si="325"/>
        <v/>
      </c>
      <c r="W2523" s="348" t="str">
        <f t="shared" si="326"/>
        <v/>
      </c>
      <c r="X2523" s="348" t="str">
        <f t="shared" si="327"/>
        <v/>
      </c>
    </row>
    <row r="2524" spans="1:24" x14ac:dyDescent="0.2">
      <c r="A2524" s="407">
        <v>2516</v>
      </c>
      <c r="B2524" s="438"/>
      <c r="C2524" s="438"/>
      <c r="D2524" s="438"/>
      <c r="E2524" s="438"/>
      <c r="F2524" s="438"/>
      <c r="G2524" s="438"/>
      <c r="H2524" s="438"/>
      <c r="I2524" s="438"/>
      <c r="J2524" s="11"/>
      <c r="Q2524" s="348" t="str">
        <f t="shared" si="320"/>
        <v/>
      </c>
      <c r="R2524" s="348" t="str">
        <f t="shared" si="321"/>
        <v/>
      </c>
      <c r="S2524" s="348" t="str">
        <f t="shared" si="322"/>
        <v/>
      </c>
      <c r="T2524" s="348" t="str">
        <f t="shared" si="323"/>
        <v/>
      </c>
      <c r="U2524" s="348" t="str">
        <f t="shared" si="324"/>
        <v/>
      </c>
      <c r="V2524" s="348" t="str">
        <f t="shared" si="325"/>
        <v/>
      </c>
      <c r="W2524" s="348" t="str">
        <f t="shared" si="326"/>
        <v/>
      </c>
      <c r="X2524" s="348" t="str">
        <f t="shared" si="327"/>
        <v/>
      </c>
    </row>
    <row r="2525" spans="1:24" x14ac:dyDescent="0.2">
      <c r="A2525" s="407">
        <v>2517</v>
      </c>
      <c r="B2525" s="438"/>
      <c r="C2525" s="438"/>
      <c r="D2525" s="438"/>
      <c r="E2525" s="438"/>
      <c r="F2525" s="438"/>
      <c r="G2525" s="438"/>
      <c r="H2525" s="438"/>
      <c r="I2525" s="438"/>
      <c r="J2525" s="11"/>
      <c r="Q2525" s="348" t="str">
        <f t="shared" si="320"/>
        <v/>
      </c>
      <c r="R2525" s="348" t="str">
        <f t="shared" si="321"/>
        <v/>
      </c>
      <c r="S2525" s="348" t="str">
        <f t="shared" si="322"/>
        <v/>
      </c>
      <c r="T2525" s="348" t="str">
        <f t="shared" si="323"/>
        <v/>
      </c>
      <c r="U2525" s="348" t="str">
        <f t="shared" si="324"/>
        <v/>
      </c>
      <c r="V2525" s="348" t="str">
        <f t="shared" si="325"/>
        <v/>
      </c>
      <c r="W2525" s="348" t="str">
        <f t="shared" si="326"/>
        <v/>
      </c>
      <c r="X2525" s="348" t="str">
        <f t="shared" si="327"/>
        <v/>
      </c>
    </row>
    <row r="2526" spans="1:24" x14ac:dyDescent="0.2">
      <c r="A2526" s="407">
        <v>2518</v>
      </c>
      <c r="B2526" s="438"/>
      <c r="C2526" s="438"/>
      <c r="D2526" s="438"/>
      <c r="E2526" s="438"/>
      <c r="F2526" s="438"/>
      <c r="G2526" s="438"/>
      <c r="H2526" s="438"/>
      <c r="I2526" s="438"/>
      <c r="J2526" s="11"/>
      <c r="Q2526" s="348" t="str">
        <f t="shared" si="320"/>
        <v/>
      </c>
      <c r="R2526" s="348" t="str">
        <f t="shared" si="321"/>
        <v/>
      </c>
      <c r="S2526" s="348" t="str">
        <f t="shared" si="322"/>
        <v/>
      </c>
      <c r="T2526" s="348" t="str">
        <f t="shared" si="323"/>
        <v/>
      </c>
      <c r="U2526" s="348" t="str">
        <f t="shared" si="324"/>
        <v/>
      </c>
      <c r="V2526" s="348" t="str">
        <f t="shared" si="325"/>
        <v/>
      </c>
      <c r="W2526" s="348" t="str">
        <f t="shared" si="326"/>
        <v/>
      </c>
      <c r="X2526" s="348" t="str">
        <f t="shared" si="327"/>
        <v/>
      </c>
    </row>
    <row r="2527" spans="1:24" x14ac:dyDescent="0.2">
      <c r="A2527" s="407">
        <v>2519</v>
      </c>
      <c r="B2527" s="438"/>
      <c r="C2527" s="438"/>
      <c r="D2527" s="438"/>
      <c r="E2527" s="438"/>
      <c r="F2527" s="438"/>
      <c r="G2527" s="438"/>
      <c r="H2527" s="438"/>
      <c r="I2527" s="438"/>
      <c r="J2527" s="11"/>
      <c r="Q2527" s="348" t="str">
        <f t="shared" si="320"/>
        <v/>
      </c>
      <c r="R2527" s="348" t="str">
        <f t="shared" si="321"/>
        <v/>
      </c>
      <c r="S2527" s="348" t="str">
        <f t="shared" si="322"/>
        <v/>
      </c>
      <c r="T2527" s="348" t="str">
        <f t="shared" si="323"/>
        <v/>
      </c>
      <c r="U2527" s="348" t="str">
        <f t="shared" si="324"/>
        <v/>
      </c>
      <c r="V2527" s="348" t="str">
        <f t="shared" si="325"/>
        <v/>
      </c>
      <c r="W2527" s="348" t="str">
        <f t="shared" si="326"/>
        <v/>
      </c>
      <c r="X2527" s="348" t="str">
        <f t="shared" si="327"/>
        <v/>
      </c>
    </row>
    <row r="2528" spans="1:24" x14ac:dyDescent="0.2">
      <c r="A2528" s="407">
        <v>2520</v>
      </c>
      <c r="B2528" s="438"/>
      <c r="C2528" s="438"/>
      <c r="D2528" s="438"/>
      <c r="E2528" s="438"/>
      <c r="F2528" s="438"/>
      <c r="G2528" s="438"/>
      <c r="H2528" s="438"/>
      <c r="I2528" s="438"/>
      <c r="J2528" s="11"/>
      <c r="Q2528" s="348" t="str">
        <f t="shared" si="320"/>
        <v/>
      </c>
      <c r="R2528" s="348" t="str">
        <f t="shared" si="321"/>
        <v/>
      </c>
      <c r="S2528" s="348" t="str">
        <f t="shared" si="322"/>
        <v/>
      </c>
      <c r="T2528" s="348" t="str">
        <f t="shared" si="323"/>
        <v/>
      </c>
      <c r="U2528" s="348" t="str">
        <f t="shared" si="324"/>
        <v/>
      </c>
      <c r="V2528" s="348" t="str">
        <f t="shared" si="325"/>
        <v/>
      </c>
      <c r="W2528" s="348" t="str">
        <f t="shared" si="326"/>
        <v/>
      </c>
      <c r="X2528" s="348" t="str">
        <f t="shared" si="327"/>
        <v/>
      </c>
    </row>
    <row r="2529" spans="1:24" x14ac:dyDescent="0.2">
      <c r="A2529" s="407">
        <v>2521</v>
      </c>
      <c r="B2529" s="438"/>
      <c r="C2529" s="438"/>
      <c r="D2529" s="438"/>
      <c r="E2529" s="438"/>
      <c r="F2529" s="438"/>
      <c r="G2529" s="438"/>
      <c r="H2529" s="438"/>
      <c r="I2529" s="438"/>
      <c r="J2529" s="11"/>
      <c r="Q2529" s="348" t="str">
        <f t="shared" si="320"/>
        <v/>
      </c>
      <c r="R2529" s="348" t="str">
        <f t="shared" si="321"/>
        <v/>
      </c>
      <c r="S2529" s="348" t="str">
        <f t="shared" si="322"/>
        <v/>
      </c>
      <c r="T2529" s="348" t="str">
        <f t="shared" si="323"/>
        <v/>
      </c>
      <c r="U2529" s="348" t="str">
        <f t="shared" si="324"/>
        <v/>
      </c>
      <c r="V2529" s="348" t="str">
        <f t="shared" si="325"/>
        <v/>
      </c>
      <c r="W2529" s="348" t="str">
        <f t="shared" si="326"/>
        <v/>
      </c>
      <c r="X2529" s="348" t="str">
        <f t="shared" si="327"/>
        <v/>
      </c>
    </row>
    <row r="2530" spans="1:24" x14ac:dyDescent="0.2">
      <c r="A2530" s="407">
        <v>2522</v>
      </c>
      <c r="B2530" s="437"/>
      <c r="C2530" s="438"/>
      <c r="D2530" s="438"/>
      <c r="E2530" s="438"/>
      <c r="F2530" s="438"/>
      <c r="G2530" s="438"/>
      <c r="H2530" s="438"/>
      <c r="I2530" s="438"/>
      <c r="J2530" s="11"/>
      <c r="Q2530" s="348" t="str">
        <f t="shared" si="320"/>
        <v/>
      </c>
      <c r="R2530" s="348" t="str">
        <f t="shared" si="321"/>
        <v/>
      </c>
      <c r="S2530" s="348" t="str">
        <f t="shared" si="322"/>
        <v/>
      </c>
      <c r="T2530" s="348" t="str">
        <f t="shared" si="323"/>
        <v/>
      </c>
      <c r="U2530" s="348" t="str">
        <f t="shared" si="324"/>
        <v/>
      </c>
      <c r="V2530" s="348" t="str">
        <f t="shared" si="325"/>
        <v/>
      </c>
      <c r="W2530" s="348" t="str">
        <f t="shared" si="326"/>
        <v/>
      </c>
      <c r="X2530" s="348" t="str">
        <f t="shared" si="327"/>
        <v/>
      </c>
    </row>
    <row r="2531" spans="1:24" x14ac:dyDescent="0.2">
      <c r="A2531" s="407">
        <v>2523</v>
      </c>
      <c r="B2531" s="438"/>
      <c r="C2531" s="438"/>
      <c r="D2531" s="438"/>
      <c r="E2531" s="438"/>
      <c r="F2531" s="438"/>
      <c r="G2531" s="438"/>
      <c r="H2531" s="438"/>
      <c r="I2531" s="438"/>
      <c r="J2531" s="11"/>
      <c r="Q2531" s="348" t="str">
        <f t="shared" si="320"/>
        <v/>
      </c>
      <c r="R2531" s="348" t="str">
        <f t="shared" si="321"/>
        <v/>
      </c>
      <c r="S2531" s="348" t="str">
        <f t="shared" si="322"/>
        <v/>
      </c>
      <c r="T2531" s="348" t="str">
        <f t="shared" si="323"/>
        <v/>
      </c>
      <c r="U2531" s="348" t="str">
        <f t="shared" si="324"/>
        <v/>
      </c>
      <c r="V2531" s="348" t="str">
        <f t="shared" si="325"/>
        <v/>
      </c>
      <c r="W2531" s="348" t="str">
        <f t="shared" si="326"/>
        <v/>
      </c>
      <c r="X2531" s="348" t="str">
        <f t="shared" si="327"/>
        <v/>
      </c>
    </row>
    <row r="2532" spans="1:24" x14ac:dyDescent="0.2">
      <c r="A2532" s="407">
        <v>2524</v>
      </c>
      <c r="B2532" s="438"/>
      <c r="C2532" s="438"/>
      <c r="D2532" s="438"/>
      <c r="E2532" s="438"/>
      <c r="F2532" s="438"/>
      <c r="G2532" s="438"/>
      <c r="H2532" s="438"/>
      <c r="I2532" s="438"/>
      <c r="J2532" s="11"/>
      <c r="Q2532" s="348" t="str">
        <f t="shared" si="320"/>
        <v/>
      </c>
      <c r="R2532" s="348" t="str">
        <f t="shared" si="321"/>
        <v/>
      </c>
      <c r="S2532" s="348" t="str">
        <f t="shared" si="322"/>
        <v/>
      </c>
      <c r="T2532" s="348" t="str">
        <f t="shared" si="323"/>
        <v/>
      </c>
      <c r="U2532" s="348" t="str">
        <f t="shared" si="324"/>
        <v/>
      </c>
      <c r="V2532" s="348" t="str">
        <f t="shared" si="325"/>
        <v/>
      </c>
      <c r="W2532" s="348" t="str">
        <f t="shared" si="326"/>
        <v/>
      </c>
      <c r="X2532" s="348" t="str">
        <f t="shared" si="327"/>
        <v/>
      </c>
    </row>
    <row r="2533" spans="1:24" x14ac:dyDescent="0.2">
      <c r="A2533" s="407">
        <v>2525</v>
      </c>
      <c r="B2533" s="438"/>
      <c r="C2533" s="438"/>
      <c r="D2533" s="438"/>
      <c r="E2533" s="438"/>
      <c r="F2533" s="438"/>
      <c r="G2533" s="438"/>
      <c r="H2533" s="438"/>
      <c r="I2533" s="438"/>
      <c r="J2533" s="11"/>
      <c r="Q2533" s="348" t="str">
        <f t="shared" si="320"/>
        <v/>
      </c>
      <c r="R2533" s="348" t="str">
        <f t="shared" si="321"/>
        <v/>
      </c>
      <c r="S2533" s="348" t="str">
        <f t="shared" si="322"/>
        <v/>
      </c>
      <c r="T2533" s="348" t="str">
        <f t="shared" si="323"/>
        <v/>
      </c>
      <c r="U2533" s="348" t="str">
        <f t="shared" si="324"/>
        <v/>
      </c>
      <c r="V2533" s="348" t="str">
        <f t="shared" si="325"/>
        <v/>
      </c>
      <c r="W2533" s="348" t="str">
        <f t="shared" si="326"/>
        <v/>
      </c>
      <c r="X2533" s="348" t="str">
        <f t="shared" si="327"/>
        <v/>
      </c>
    </row>
    <row r="2534" spans="1:24" x14ac:dyDescent="0.2">
      <c r="A2534" s="407">
        <v>2526</v>
      </c>
      <c r="B2534" s="438"/>
      <c r="C2534" s="438"/>
      <c r="D2534" s="438"/>
      <c r="E2534" s="437"/>
      <c r="F2534" s="437"/>
      <c r="G2534" s="437"/>
      <c r="H2534" s="437"/>
      <c r="I2534" s="437"/>
      <c r="J2534" s="11"/>
      <c r="Q2534" s="348" t="str">
        <f t="shared" si="320"/>
        <v/>
      </c>
      <c r="R2534" s="348" t="str">
        <f t="shared" si="321"/>
        <v/>
      </c>
      <c r="S2534" s="348" t="str">
        <f t="shared" si="322"/>
        <v/>
      </c>
      <c r="T2534" s="348" t="str">
        <f t="shared" si="323"/>
        <v/>
      </c>
      <c r="U2534" s="348" t="str">
        <f t="shared" si="324"/>
        <v/>
      </c>
      <c r="V2534" s="348" t="str">
        <f t="shared" si="325"/>
        <v/>
      </c>
      <c r="W2534" s="348" t="str">
        <f t="shared" si="326"/>
        <v/>
      </c>
      <c r="X2534" s="348" t="str">
        <f t="shared" si="327"/>
        <v/>
      </c>
    </row>
    <row r="2535" spans="1:24" x14ac:dyDescent="0.2">
      <c r="A2535" s="407">
        <v>2527</v>
      </c>
      <c r="B2535" s="438"/>
      <c r="C2535" s="438"/>
      <c r="D2535" s="438"/>
      <c r="E2535" s="438"/>
      <c r="F2535" s="438"/>
      <c r="G2535" s="438"/>
      <c r="H2535" s="438"/>
      <c r="I2535" s="438"/>
      <c r="J2535" s="11"/>
      <c r="Q2535" s="348" t="str">
        <f t="shared" si="320"/>
        <v/>
      </c>
      <c r="R2535" s="348" t="str">
        <f t="shared" si="321"/>
        <v/>
      </c>
      <c r="S2535" s="348" t="str">
        <f t="shared" si="322"/>
        <v/>
      </c>
      <c r="T2535" s="348" t="str">
        <f t="shared" si="323"/>
        <v/>
      </c>
      <c r="U2535" s="348" t="str">
        <f t="shared" si="324"/>
        <v/>
      </c>
      <c r="V2535" s="348" t="str">
        <f t="shared" si="325"/>
        <v/>
      </c>
      <c r="W2535" s="348" t="str">
        <f t="shared" si="326"/>
        <v/>
      </c>
      <c r="X2535" s="348" t="str">
        <f t="shared" si="327"/>
        <v/>
      </c>
    </row>
    <row r="2536" spans="1:24" x14ac:dyDescent="0.2">
      <c r="A2536" s="407">
        <v>2528</v>
      </c>
      <c r="B2536" s="438"/>
      <c r="C2536" s="438"/>
      <c r="D2536" s="438"/>
      <c r="E2536" s="438"/>
      <c r="F2536" s="438"/>
      <c r="G2536" s="438"/>
      <c r="H2536" s="438"/>
      <c r="I2536" s="438"/>
      <c r="J2536" s="11"/>
      <c r="Q2536" s="348" t="str">
        <f t="shared" si="320"/>
        <v/>
      </c>
      <c r="R2536" s="348" t="str">
        <f t="shared" si="321"/>
        <v/>
      </c>
      <c r="S2536" s="348" t="str">
        <f t="shared" si="322"/>
        <v/>
      </c>
      <c r="T2536" s="348" t="str">
        <f t="shared" si="323"/>
        <v/>
      </c>
      <c r="U2536" s="348" t="str">
        <f t="shared" si="324"/>
        <v/>
      </c>
      <c r="V2536" s="348" t="str">
        <f t="shared" si="325"/>
        <v/>
      </c>
      <c r="W2536" s="348" t="str">
        <f t="shared" si="326"/>
        <v/>
      </c>
      <c r="X2536" s="348" t="str">
        <f t="shared" si="327"/>
        <v/>
      </c>
    </row>
    <row r="2537" spans="1:24" x14ac:dyDescent="0.2">
      <c r="A2537" s="407">
        <v>2529</v>
      </c>
      <c r="B2537" s="438"/>
      <c r="C2537" s="438"/>
      <c r="D2537" s="438"/>
      <c r="E2537" s="438"/>
      <c r="F2537" s="438"/>
      <c r="G2537" s="438"/>
      <c r="H2537" s="438"/>
      <c r="I2537" s="438"/>
      <c r="J2537" s="11"/>
      <c r="Q2537" s="348" t="str">
        <f t="shared" si="320"/>
        <v/>
      </c>
      <c r="R2537" s="348" t="str">
        <f t="shared" si="321"/>
        <v/>
      </c>
      <c r="S2537" s="348" t="str">
        <f t="shared" si="322"/>
        <v/>
      </c>
      <c r="T2537" s="348" t="str">
        <f t="shared" si="323"/>
        <v/>
      </c>
      <c r="U2537" s="348" t="str">
        <f t="shared" si="324"/>
        <v/>
      </c>
      <c r="V2537" s="348" t="str">
        <f t="shared" si="325"/>
        <v/>
      </c>
      <c r="W2537" s="348" t="str">
        <f t="shared" si="326"/>
        <v/>
      </c>
      <c r="X2537" s="348" t="str">
        <f t="shared" si="327"/>
        <v/>
      </c>
    </row>
    <row r="2538" spans="1:24" x14ac:dyDescent="0.2">
      <c r="A2538" s="407">
        <v>2530</v>
      </c>
      <c r="B2538" s="438"/>
      <c r="C2538" s="438"/>
      <c r="D2538" s="438"/>
      <c r="E2538" s="438"/>
      <c r="F2538" s="438"/>
      <c r="G2538" s="438"/>
      <c r="H2538" s="438"/>
      <c r="I2538" s="438"/>
      <c r="J2538" s="11"/>
      <c r="Q2538" s="348" t="str">
        <f t="shared" si="320"/>
        <v/>
      </c>
      <c r="R2538" s="348" t="str">
        <f t="shared" si="321"/>
        <v/>
      </c>
      <c r="S2538" s="348" t="str">
        <f t="shared" si="322"/>
        <v/>
      </c>
      <c r="T2538" s="348" t="str">
        <f t="shared" si="323"/>
        <v/>
      </c>
      <c r="U2538" s="348" t="str">
        <f t="shared" si="324"/>
        <v/>
      </c>
      <c r="V2538" s="348" t="str">
        <f t="shared" si="325"/>
        <v/>
      </c>
      <c r="W2538" s="348" t="str">
        <f t="shared" si="326"/>
        <v/>
      </c>
      <c r="X2538" s="348" t="str">
        <f t="shared" si="327"/>
        <v/>
      </c>
    </row>
    <row r="2539" spans="1:24" x14ac:dyDescent="0.2">
      <c r="A2539" s="407">
        <v>2531</v>
      </c>
      <c r="B2539" s="438"/>
      <c r="C2539" s="438"/>
      <c r="D2539" s="438"/>
      <c r="E2539" s="438"/>
      <c r="F2539" s="438"/>
      <c r="G2539" s="438"/>
      <c r="H2539" s="438"/>
      <c r="I2539" s="438"/>
      <c r="J2539" s="11"/>
      <c r="Q2539" s="348" t="str">
        <f t="shared" si="320"/>
        <v/>
      </c>
      <c r="R2539" s="348" t="str">
        <f t="shared" si="321"/>
        <v/>
      </c>
      <c r="S2539" s="348" t="str">
        <f t="shared" si="322"/>
        <v/>
      </c>
      <c r="T2539" s="348" t="str">
        <f t="shared" si="323"/>
        <v/>
      </c>
      <c r="U2539" s="348" t="str">
        <f t="shared" si="324"/>
        <v/>
      </c>
      <c r="V2539" s="348" t="str">
        <f t="shared" si="325"/>
        <v/>
      </c>
      <c r="W2539" s="348" t="str">
        <f t="shared" si="326"/>
        <v/>
      </c>
      <c r="X2539" s="348" t="str">
        <f t="shared" si="327"/>
        <v/>
      </c>
    </row>
    <row r="2540" spans="1:24" x14ac:dyDescent="0.2">
      <c r="A2540" s="407">
        <v>2532</v>
      </c>
      <c r="B2540" s="438"/>
      <c r="C2540" s="438"/>
      <c r="D2540" s="438"/>
      <c r="E2540" s="438"/>
      <c r="F2540" s="438"/>
      <c r="G2540" s="438"/>
      <c r="H2540" s="438"/>
      <c r="I2540" s="438"/>
      <c r="J2540" s="11"/>
      <c r="Q2540" s="348" t="str">
        <f t="shared" si="320"/>
        <v/>
      </c>
      <c r="R2540" s="348" t="str">
        <f t="shared" si="321"/>
        <v/>
      </c>
      <c r="S2540" s="348" t="str">
        <f t="shared" si="322"/>
        <v/>
      </c>
      <c r="T2540" s="348" t="str">
        <f t="shared" si="323"/>
        <v/>
      </c>
      <c r="U2540" s="348" t="str">
        <f t="shared" si="324"/>
        <v/>
      </c>
      <c r="V2540" s="348" t="str">
        <f t="shared" si="325"/>
        <v/>
      </c>
      <c r="W2540" s="348" t="str">
        <f t="shared" si="326"/>
        <v/>
      </c>
      <c r="X2540" s="348" t="str">
        <f t="shared" si="327"/>
        <v/>
      </c>
    </row>
    <row r="2541" spans="1:24" x14ac:dyDescent="0.2">
      <c r="A2541" s="407">
        <v>2533</v>
      </c>
      <c r="B2541" s="438"/>
      <c r="C2541" s="438"/>
      <c r="D2541" s="438"/>
      <c r="E2541" s="438"/>
      <c r="F2541" s="438"/>
      <c r="G2541" s="438"/>
      <c r="H2541" s="438"/>
      <c r="I2541" s="438"/>
      <c r="J2541" s="11"/>
      <c r="Q2541" s="348" t="str">
        <f t="shared" si="320"/>
        <v/>
      </c>
      <c r="R2541" s="348" t="str">
        <f t="shared" si="321"/>
        <v/>
      </c>
      <c r="S2541" s="348" t="str">
        <f t="shared" si="322"/>
        <v/>
      </c>
      <c r="T2541" s="348" t="str">
        <f t="shared" si="323"/>
        <v/>
      </c>
      <c r="U2541" s="348" t="str">
        <f t="shared" si="324"/>
        <v/>
      </c>
      <c r="V2541" s="348" t="str">
        <f t="shared" si="325"/>
        <v/>
      </c>
      <c r="W2541" s="348" t="str">
        <f t="shared" si="326"/>
        <v/>
      </c>
      <c r="X2541" s="348" t="str">
        <f t="shared" si="327"/>
        <v/>
      </c>
    </row>
    <row r="2542" spans="1:24" x14ac:dyDescent="0.2">
      <c r="A2542" s="407">
        <v>2534</v>
      </c>
      <c r="B2542" s="438"/>
      <c r="C2542" s="438"/>
      <c r="D2542" s="438"/>
      <c r="E2542" s="438"/>
      <c r="F2542" s="438"/>
      <c r="G2542" s="438"/>
      <c r="H2542" s="438"/>
      <c r="I2542" s="438"/>
      <c r="J2542" s="11"/>
      <c r="Q2542" s="348" t="str">
        <f t="shared" si="320"/>
        <v/>
      </c>
      <c r="R2542" s="348" t="str">
        <f t="shared" si="321"/>
        <v/>
      </c>
      <c r="S2542" s="348" t="str">
        <f t="shared" si="322"/>
        <v/>
      </c>
      <c r="T2542" s="348" t="str">
        <f t="shared" si="323"/>
        <v/>
      </c>
      <c r="U2542" s="348" t="str">
        <f t="shared" si="324"/>
        <v/>
      </c>
      <c r="V2542" s="348" t="str">
        <f t="shared" si="325"/>
        <v/>
      </c>
      <c r="W2542" s="348" t="str">
        <f t="shared" si="326"/>
        <v/>
      </c>
      <c r="X2542" s="348" t="str">
        <f t="shared" si="327"/>
        <v/>
      </c>
    </row>
    <row r="2543" spans="1:24" x14ac:dyDescent="0.2">
      <c r="A2543" s="407">
        <v>2535</v>
      </c>
      <c r="B2543" s="438"/>
      <c r="C2543" s="438"/>
      <c r="D2543" s="438"/>
      <c r="E2543" s="438"/>
      <c r="F2543" s="438"/>
      <c r="G2543" s="438"/>
      <c r="H2543" s="438"/>
      <c r="I2543" s="438"/>
      <c r="J2543" s="11"/>
      <c r="Q2543" s="348" t="str">
        <f t="shared" si="320"/>
        <v/>
      </c>
      <c r="R2543" s="348" t="str">
        <f t="shared" si="321"/>
        <v/>
      </c>
      <c r="S2543" s="348" t="str">
        <f t="shared" si="322"/>
        <v/>
      </c>
      <c r="T2543" s="348" t="str">
        <f t="shared" si="323"/>
        <v/>
      </c>
      <c r="U2543" s="348" t="str">
        <f t="shared" si="324"/>
        <v/>
      </c>
      <c r="V2543" s="348" t="str">
        <f t="shared" si="325"/>
        <v/>
      </c>
      <c r="W2543" s="348" t="str">
        <f t="shared" si="326"/>
        <v/>
      </c>
      <c r="X2543" s="348" t="str">
        <f t="shared" si="327"/>
        <v/>
      </c>
    </row>
    <row r="2544" spans="1:24" x14ac:dyDescent="0.2">
      <c r="A2544" s="407">
        <v>2536</v>
      </c>
      <c r="B2544" s="438"/>
      <c r="C2544" s="437"/>
      <c r="D2544" s="438"/>
      <c r="E2544" s="438"/>
      <c r="F2544" s="438"/>
      <c r="G2544" s="438"/>
      <c r="H2544" s="438"/>
      <c r="I2544" s="438"/>
      <c r="J2544" s="11"/>
      <c r="Q2544" s="348" t="str">
        <f t="shared" si="320"/>
        <v/>
      </c>
      <c r="R2544" s="348" t="str">
        <f t="shared" si="321"/>
        <v/>
      </c>
      <c r="S2544" s="348" t="str">
        <f t="shared" si="322"/>
        <v/>
      </c>
      <c r="T2544" s="348" t="str">
        <f t="shared" si="323"/>
        <v/>
      </c>
      <c r="U2544" s="348" t="str">
        <f t="shared" si="324"/>
        <v/>
      </c>
      <c r="V2544" s="348" t="str">
        <f t="shared" si="325"/>
        <v/>
      </c>
      <c r="W2544" s="348" t="str">
        <f t="shared" si="326"/>
        <v/>
      </c>
      <c r="X2544" s="348" t="str">
        <f t="shared" si="327"/>
        <v/>
      </c>
    </row>
    <row r="2545" spans="1:24" x14ac:dyDescent="0.2">
      <c r="A2545" s="407">
        <v>2537</v>
      </c>
      <c r="B2545" s="438"/>
      <c r="C2545" s="438"/>
      <c r="D2545" s="438"/>
      <c r="E2545" s="438"/>
      <c r="F2545" s="438"/>
      <c r="G2545" s="438"/>
      <c r="H2545" s="438"/>
      <c r="I2545" s="438"/>
      <c r="J2545" s="11"/>
      <c r="Q2545" s="348" t="str">
        <f t="shared" si="320"/>
        <v/>
      </c>
      <c r="R2545" s="348" t="str">
        <f t="shared" si="321"/>
        <v/>
      </c>
      <c r="S2545" s="348" t="str">
        <f t="shared" si="322"/>
        <v/>
      </c>
      <c r="T2545" s="348" t="str">
        <f t="shared" si="323"/>
        <v/>
      </c>
      <c r="U2545" s="348" t="str">
        <f t="shared" si="324"/>
        <v/>
      </c>
      <c r="V2545" s="348" t="str">
        <f t="shared" si="325"/>
        <v/>
      </c>
      <c r="W2545" s="348" t="str">
        <f t="shared" si="326"/>
        <v/>
      </c>
      <c r="X2545" s="348" t="str">
        <f t="shared" si="327"/>
        <v/>
      </c>
    </row>
    <row r="2546" spans="1:24" x14ac:dyDescent="0.2">
      <c r="A2546" s="407">
        <v>2538</v>
      </c>
      <c r="B2546" s="438"/>
      <c r="C2546" s="438"/>
      <c r="D2546" s="438"/>
      <c r="E2546" s="438"/>
      <c r="F2546" s="438"/>
      <c r="G2546" s="438"/>
      <c r="H2546" s="438"/>
      <c r="I2546" s="438"/>
      <c r="J2546" s="11"/>
      <c r="Q2546" s="348" t="str">
        <f t="shared" si="320"/>
        <v/>
      </c>
      <c r="R2546" s="348" t="str">
        <f t="shared" si="321"/>
        <v/>
      </c>
      <c r="S2546" s="348" t="str">
        <f t="shared" si="322"/>
        <v/>
      </c>
      <c r="T2546" s="348" t="str">
        <f t="shared" si="323"/>
        <v/>
      </c>
      <c r="U2546" s="348" t="str">
        <f t="shared" si="324"/>
        <v/>
      </c>
      <c r="V2546" s="348" t="str">
        <f t="shared" si="325"/>
        <v/>
      </c>
      <c r="W2546" s="348" t="str">
        <f t="shared" si="326"/>
        <v/>
      </c>
      <c r="X2546" s="348" t="str">
        <f t="shared" si="327"/>
        <v/>
      </c>
    </row>
    <row r="2547" spans="1:24" x14ac:dyDescent="0.2">
      <c r="A2547" s="407">
        <v>2539</v>
      </c>
      <c r="B2547" s="438"/>
      <c r="C2547" s="438"/>
      <c r="D2547" s="438"/>
      <c r="E2547" s="438"/>
      <c r="F2547" s="438"/>
      <c r="G2547" s="438"/>
      <c r="H2547" s="438"/>
      <c r="I2547" s="438"/>
      <c r="J2547" s="11"/>
      <c r="Q2547" s="348" t="str">
        <f t="shared" si="320"/>
        <v/>
      </c>
      <c r="R2547" s="348" t="str">
        <f t="shared" si="321"/>
        <v/>
      </c>
      <c r="S2547" s="348" t="str">
        <f t="shared" si="322"/>
        <v/>
      </c>
      <c r="T2547" s="348" t="str">
        <f t="shared" si="323"/>
        <v/>
      </c>
      <c r="U2547" s="348" t="str">
        <f t="shared" si="324"/>
        <v/>
      </c>
      <c r="V2547" s="348" t="str">
        <f t="shared" si="325"/>
        <v/>
      </c>
      <c r="W2547" s="348" t="str">
        <f t="shared" si="326"/>
        <v/>
      </c>
      <c r="X2547" s="348" t="str">
        <f t="shared" si="327"/>
        <v/>
      </c>
    </row>
    <row r="2548" spans="1:24" x14ac:dyDescent="0.2">
      <c r="A2548" s="407">
        <v>2540</v>
      </c>
      <c r="B2548" s="438"/>
      <c r="C2548" s="438"/>
      <c r="D2548" s="438"/>
      <c r="E2548" s="438"/>
      <c r="F2548" s="438"/>
      <c r="G2548" s="438"/>
      <c r="H2548" s="438"/>
      <c r="I2548" s="438"/>
      <c r="J2548" s="11"/>
      <c r="Q2548" s="348" t="str">
        <f t="shared" si="320"/>
        <v/>
      </c>
      <c r="R2548" s="348" t="str">
        <f t="shared" si="321"/>
        <v/>
      </c>
      <c r="S2548" s="348" t="str">
        <f t="shared" si="322"/>
        <v/>
      </c>
      <c r="T2548" s="348" t="str">
        <f t="shared" si="323"/>
        <v/>
      </c>
      <c r="U2548" s="348" t="str">
        <f t="shared" si="324"/>
        <v/>
      </c>
      <c r="V2548" s="348" t="str">
        <f t="shared" si="325"/>
        <v/>
      </c>
      <c r="W2548" s="348" t="str">
        <f t="shared" si="326"/>
        <v/>
      </c>
      <c r="X2548" s="348" t="str">
        <f t="shared" si="327"/>
        <v/>
      </c>
    </row>
    <row r="2549" spans="1:24" x14ac:dyDescent="0.2">
      <c r="A2549" s="407">
        <v>2541</v>
      </c>
      <c r="B2549" s="437"/>
      <c r="C2549" s="438"/>
      <c r="D2549" s="438"/>
      <c r="E2549" s="438"/>
      <c r="F2549" s="438"/>
      <c r="G2549" s="438"/>
      <c r="H2549" s="438"/>
      <c r="I2549" s="438"/>
      <c r="J2549" s="11"/>
      <c r="Q2549" s="348" t="str">
        <f t="shared" si="320"/>
        <v/>
      </c>
      <c r="R2549" s="348" t="str">
        <f t="shared" si="321"/>
        <v/>
      </c>
      <c r="S2549" s="348" t="str">
        <f t="shared" si="322"/>
        <v/>
      </c>
      <c r="T2549" s="348" t="str">
        <f t="shared" si="323"/>
        <v/>
      </c>
      <c r="U2549" s="348" t="str">
        <f t="shared" si="324"/>
        <v/>
      </c>
      <c r="V2549" s="348" t="str">
        <f t="shared" si="325"/>
        <v/>
      </c>
      <c r="W2549" s="348" t="str">
        <f t="shared" si="326"/>
        <v/>
      </c>
      <c r="X2549" s="348" t="str">
        <f t="shared" si="327"/>
        <v/>
      </c>
    </row>
    <row r="2550" spans="1:24" x14ac:dyDescent="0.2">
      <c r="A2550" s="407">
        <v>2542</v>
      </c>
      <c r="B2550" s="438"/>
      <c r="C2550" s="438"/>
      <c r="D2550" s="438"/>
      <c r="E2550" s="438"/>
      <c r="F2550" s="438"/>
      <c r="G2550" s="438"/>
      <c r="H2550" s="438"/>
      <c r="I2550" s="438"/>
      <c r="J2550" s="11"/>
      <c r="Q2550" s="348" t="str">
        <f t="shared" si="320"/>
        <v/>
      </c>
      <c r="R2550" s="348" t="str">
        <f t="shared" si="321"/>
        <v/>
      </c>
      <c r="S2550" s="348" t="str">
        <f t="shared" si="322"/>
        <v/>
      </c>
      <c r="T2550" s="348" t="str">
        <f t="shared" si="323"/>
        <v/>
      </c>
      <c r="U2550" s="348" t="str">
        <f t="shared" si="324"/>
        <v/>
      </c>
      <c r="V2550" s="348" t="str">
        <f t="shared" si="325"/>
        <v/>
      </c>
      <c r="W2550" s="348" t="str">
        <f t="shared" si="326"/>
        <v/>
      </c>
      <c r="X2550" s="348" t="str">
        <f t="shared" si="327"/>
        <v/>
      </c>
    </row>
    <row r="2551" spans="1:24" x14ac:dyDescent="0.2">
      <c r="A2551" s="407">
        <v>2543</v>
      </c>
      <c r="B2551" s="438"/>
      <c r="C2551" s="438"/>
      <c r="D2551" s="438"/>
      <c r="E2551" s="438"/>
      <c r="F2551" s="438"/>
      <c r="G2551" s="438"/>
      <c r="H2551" s="438"/>
      <c r="I2551" s="438"/>
      <c r="J2551" s="11"/>
      <c r="Q2551" s="348" t="str">
        <f t="shared" si="320"/>
        <v/>
      </c>
      <c r="R2551" s="348" t="str">
        <f t="shared" si="321"/>
        <v/>
      </c>
      <c r="S2551" s="348" t="str">
        <f t="shared" si="322"/>
        <v/>
      </c>
      <c r="T2551" s="348" t="str">
        <f t="shared" si="323"/>
        <v/>
      </c>
      <c r="U2551" s="348" t="str">
        <f t="shared" si="324"/>
        <v/>
      </c>
      <c r="V2551" s="348" t="str">
        <f t="shared" si="325"/>
        <v/>
      </c>
      <c r="W2551" s="348" t="str">
        <f t="shared" si="326"/>
        <v/>
      </c>
      <c r="X2551" s="348" t="str">
        <f t="shared" si="327"/>
        <v/>
      </c>
    </row>
    <row r="2552" spans="1:24" x14ac:dyDescent="0.2">
      <c r="A2552" s="407">
        <v>2544</v>
      </c>
      <c r="B2552" s="438"/>
      <c r="C2552" s="438"/>
      <c r="D2552" s="438"/>
      <c r="E2552" s="438"/>
      <c r="F2552" s="438"/>
      <c r="G2552" s="438"/>
      <c r="H2552" s="438"/>
      <c r="I2552" s="438"/>
      <c r="J2552" s="11"/>
      <c r="Q2552" s="348" t="str">
        <f t="shared" si="320"/>
        <v/>
      </c>
      <c r="R2552" s="348" t="str">
        <f t="shared" si="321"/>
        <v/>
      </c>
      <c r="S2552" s="348" t="str">
        <f t="shared" si="322"/>
        <v/>
      </c>
      <c r="T2552" s="348" t="str">
        <f t="shared" si="323"/>
        <v/>
      </c>
      <c r="U2552" s="348" t="str">
        <f t="shared" si="324"/>
        <v/>
      </c>
      <c r="V2552" s="348" t="str">
        <f t="shared" si="325"/>
        <v/>
      </c>
      <c r="W2552" s="348" t="str">
        <f t="shared" si="326"/>
        <v/>
      </c>
      <c r="X2552" s="348" t="str">
        <f t="shared" si="327"/>
        <v/>
      </c>
    </row>
    <row r="2553" spans="1:24" x14ac:dyDescent="0.2">
      <c r="A2553" s="407">
        <v>2545</v>
      </c>
      <c r="B2553" s="438"/>
      <c r="C2553" s="438"/>
      <c r="D2553" s="438"/>
      <c r="E2553" s="438"/>
      <c r="F2553" s="438"/>
      <c r="G2553" s="438"/>
      <c r="H2553" s="438"/>
      <c r="I2553" s="438"/>
      <c r="J2553" s="11"/>
      <c r="Q2553" s="348" t="str">
        <f t="shared" si="320"/>
        <v/>
      </c>
      <c r="R2553" s="348" t="str">
        <f t="shared" si="321"/>
        <v/>
      </c>
      <c r="S2553" s="348" t="str">
        <f t="shared" si="322"/>
        <v/>
      </c>
      <c r="T2553" s="348" t="str">
        <f t="shared" si="323"/>
        <v/>
      </c>
      <c r="U2553" s="348" t="str">
        <f t="shared" si="324"/>
        <v/>
      </c>
      <c r="V2553" s="348" t="str">
        <f t="shared" si="325"/>
        <v/>
      </c>
      <c r="W2553" s="348" t="str">
        <f t="shared" si="326"/>
        <v/>
      </c>
      <c r="X2553" s="348" t="str">
        <f t="shared" si="327"/>
        <v/>
      </c>
    </row>
    <row r="2554" spans="1:24" x14ac:dyDescent="0.2">
      <c r="A2554" s="407">
        <v>2546</v>
      </c>
      <c r="B2554" s="438"/>
      <c r="C2554" s="438"/>
      <c r="D2554" s="438"/>
      <c r="E2554" s="438"/>
      <c r="F2554" s="438"/>
      <c r="G2554" s="438"/>
      <c r="H2554" s="438"/>
      <c r="I2554" s="438"/>
      <c r="J2554" s="11"/>
      <c r="Q2554" s="348" t="str">
        <f t="shared" si="320"/>
        <v/>
      </c>
      <c r="R2554" s="348" t="str">
        <f t="shared" si="321"/>
        <v/>
      </c>
      <c r="S2554" s="348" t="str">
        <f t="shared" si="322"/>
        <v/>
      </c>
      <c r="T2554" s="348" t="str">
        <f t="shared" si="323"/>
        <v/>
      </c>
      <c r="U2554" s="348" t="str">
        <f t="shared" si="324"/>
        <v/>
      </c>
      <c r="V2554" s="348" t="str">
        <f t="shared" si="325"/>
        <v/>
      </c>
      <c r="W2554" s="348" t="str">
        <f t="shared" si="326"/>
        <v/>
      </c>
      <c r="X2554" s="348" t="str">
        <f t="shared" si="327"/>
        <v/>
      </c>
    </row>
    <row r="2555" spans="1:24" x14ac:dyDescent="0.2">
      <c r="A2555" s="407">
        <v>2547</v>
      </c>
      <c r="B2555" s="438"/>
      <c r="C2555" s="438"/>
      <c r="D2555" s="438"/>
      <c r="E2555" s="438"/>
      <c r="F2555" s="438"/>
      <c r="G2555" s="438"/>
      <c r="H2555" s="438"/>
      <c r="I2555" s="438"/>
      <c r="J2555" s="11"/>
      <c r="Q2555" s="348" t="str">
        <f t="shared" si="320"/>
        <v/>
      </c>
      <c r="R2555" s="348" t="str">
        <f t="shared" si="321"/>
        <v/>
      </c>
      <c r="S2555" s="348" t="str">
        <f t="shared" si="322"/>
        <v/>
      </c>
      <c r="T2555" s="348" t="str">
        <f t="shared" si="323"/>
        <v/>
      </c>
      <c r="U2555" s="348" t="str">
        <f t="shared" si="324"/>
        <v/>
      </c>
      <c r="V2555" s="348" t="str">
        <f t="shared" si="325"/>
        <v/>
      </c>
      <c r="W2555" s="348" t="str">
        <f t="shared" si="326"/>
        <v/>
      </c>
      <c r="X2555" s="348" t="str">
        <f t="shared" si="327"/>
        <v/>
      </c>
    </row>
    <row r="2556" spans="1:24" x14ac:dyDescent="0.2">
      <c r="A2556" s="407">
        <v>2548</v>
      </c>
      <c r="B2556" s="438"/>
      <c r="C2556" s="438"/>
      <c r="D2556" s="438"/>
      <c r="E2556" s="438"/>
      <c r="F2556" s="438"/>
      <c r="G2556" s="438"/>
      <c r="H2556" s="438"/>
      <c r="I2556" s="438"/>
      <c r="J2556" s="11"/>
      <c r="Q2556" s="348" t="str">
        <f t="shared" si="320"/>
        <v/>
      </c>
      <c r="R2556" s="348" t="str">
        <f t="shared" si="321"/>
        <v/>
      </c>
      <c r="S2556" s="348" t="str">
        <f t="shared" si="322"/>
        <v/>
      </c>
      <c r="T2556" s="348" t="str">
        <f t="shared" si="323"/>
        <v/>
      </c>
      <c r="U2556" s="348" t="str">
        <f t="shared" si="324"/>
        <v/>
      </c>
      <c r="V2556" s="348" t="str">
        <f t="shared" si="325"/>
        <v/>
      </c>
      <c r="W2556" s="348" t="str">
        <f t="shared" si="326"/>
        <v/>
      </c>
      <c r="X2556" s="348" t="str">
        <f t="shared" si="327"/>
        <v/>
      </c>
    </row>
    <row r="2557" spans="1:24" x14ac:dyDescent="0.2">
      <c r="A2557" s="407">
        <v>2549</v>
      </c>
      <c r="B2557" s="437"/>
      <c r="C2557" s="438"/>
      <c r="D2557" s="438"/>
      <c r="E2557" s="438"/>
      <c r="F2557" s="438"/>
      <c r="G2557" s="438"/>
      <c r="H2557" s="438"/>
      <c r="I2557" s="438"/>
      <c r="J2557" s="11"/>
      <c r="Q2557" s="348" t="str">
        <f t="shared" si="320"/>
        <v/>
      </c>
      <c r="R2557" s="348" t="str">
        <f t="shared" si="321"/>
        <v/>
      </c>
      <c r="S2557" s="348" t="str">
        <f t="shared" si="322"/>
        <v/>
      </c>
      <c r="T2557" s="348" t="str">
        <f t="shared" si="323"/>
        <v/>
      </c>
      <c r="U2557" s="348" t="str">
        <f t="shared" si="324"/>
        <v/>
      </c>
      <c r="V2557" s="348" t="str">
        <f t="shared" si="325"/>
        <v/>
      </c>
      <c r="W2557" s="348" t="str">
        <f t="shared" si="326"/>
        <v/>
      </c>
      <c r="X2557" s="348" t="str">
        <f t="shared" si="327"/>
        <v/>
      </c>
    </row>
    <row r="2558" spans="1:24" x14ac:dyDescent="0.2">
      <c r="A2558" s="407">
        <v>2550</v>
      </c>
      <c r="B2558" s="438"/>
      <c r="C2558" s="437"/>
      <c r="D2558" s="438"/>
      <c r="E2558" s="438"/>
      <c r="F2558" s="438"/>
      <c r="G2558" s="438"/>
      <c r="H2558" s="438"/>
      <c r="I2558" s="438"/>
      <c r="J2558" s="11"/>
      <c r="Q2558" s="348" t="str">
        <f t="shared" si="320"/>
        <v/>
      </c>
      <c r="R2558" s="348" t="str">
        <f t="shared" si="321"/>
        <v/>
      </c>
      <c r="S2558" s="348" t="str">
        <f t="shared" si="322"/>
        <v/>
      </c>
      <c r="T2558" s="348" t="str">
        <f t="shared" si="323"/>
        <v/>
      </c>
      <c r="U2558" s="348" t="str">
        <f t="shared" si="324"/>
        <v/>
      </c>
      <c r="V2558" s="348" t="str">
        <f t="shared" si="325"/>
        <v/>
      </c>
      <c r="W2558" s="348" t="str">
        <f t="shared" si="326"/>
        <v/>
      </c>
      <c r="X2558" s="348" t="str">
        <f t="shared" si="327"/>
        <v/>
      </c>
    </row>
    <row r="2559" spans="1:24" x14ac:dyDescent="0.2">
      <c r="A2559" s="407">
        <v>2551</v>
      </c>
      <c r="B2559" s="438"/>
      <c r="C2559" s="438"/>
      <c r="D2559" s="438"/>
      <c r="E2559" s="437"/>
      <c r="F2559" s="438"/>
      <c r="G2559" s="438"/>
      <c r="H2559" s="438"/>
      <c r="I2559" s="438"/>
      <c r="J2559" s="11"/>
      <c r="Q2559" s="348" t="str">
        <f t="shared" si="320"/>
        <v/>
      </c>
      <c r="R2559" s="348" t="str">
        <f t="shared" si="321"/>
        <v/>
      </c>
      <c r="S2559" s="348" t="str">
        <f t="shared" si="322"/>
        <v/>
      </c>
      <c r="T2559" s="348" t="str">
        <f t="shared" si="323"/>
        <v/>
      </c>
      <c r="U2559" s="348" t="str">
        <f t="shared" si="324"/>
        <v/>
      </c>
      <c r="V2559" s="348" t="str">
        <f t="shared" si="325"/>
        <v/>
      </c>
      <c r="W2559" s="348" t="str">
        <f t="shared" si="326"/>
        <v/>
      </c>
      <c r="X2559" s="348" t="str">
        <f t="shared" si="327"/>
        <v/>
      </c>
    </row>
    <row r="2560" spans="1:24" x14ac:dyDescent="0.2">
      <c r="A2560" s="407">
        <v>2552</v>
      </c>
      <c r="B2560" s="438"/>
      <c r="C2560" s="438"/>
      <c r="D2560" s="438"/>
      <c r="E2560" s="438"/>
      <c r="F2560" s="438"/>
      <c r="G2560" s="438"/>
      <c r="H2560" s="438"/>
      <c r="I2560" s="438"/>
      <c r="J2560" s="11"/>
      <c r="Q2560" s="348" t="str">
        <f t="shared" si="320"/>
        <v/>
      </c>
      <c r="R2560" s="348" t="str">
        <f t="shared" si="321"/>
        <v/>
      </c>
      <c r="S2560" s="348" t="str">
        <f t="shared" si="322"/>
        <v/>
      </c>
      <c r="T2560" s="348" t="str">
        <f t="shared" si="323"/>
        <v/>
      </c>
      <c r="U2560" s="348" t="str">
        <f t="shared" si="324"/>
        <v/>
      </c>
      <c r="V2560" s="348" t="str">
        <f t="shared" si="325"/>
        <v/>
      </c>
      <c r="W2560" s="348" t="str">
        <f t="shared" si="326"/>
        <v/>
      </c>
      <c r="X2560" s="348" t="str">
        <f t="shared" si="327"/>
        <v/>
      </c>
    </row>
    <row r="2561" spans="1:24" x14ac:dyDescent="0.2">
      <c r="A2561" s="407">
        <v>2553</v>
      </c>
      <c r="B2561" s="438"/>
      <c r="C2561" s="438"/>
      <c r="D2561" s="438"/>
      <c r="E2561" s="438"/>
      <c r="F2561" s="438"/>
      <c r="G2561" s="438"/>
      <c r="H2561" s="438"/>
      <c r="I2561" s="438"/>
      <c r="J2561" s="11"/>
      <c r="Q2561" s="348" t="str">
        <f t="shared" si="320"/>
        <v/>
      </c>
      <c r="R2561" s="348" t="str">
        <f t="shared" si="321"/>
        <v/>
      </c>
      <c r="S2561" s="348" t="str">
        <f t="shared" si="322"/>
        <v/>
      </c>
      <c r="T2561" s="348" t="str">
        <f t="shared" si="323"/>
        <v/>
      </c>
      <c r="U2561" s="348" t="str">
        <f t="shared" si="324"/>
        <v/>
      </c>
      <c r="V2561" s="348" t="str">
        <f t="shared" si="325"/>
        <v/>
      </c>
      <c r="W2561" s="348" t="str">
        <f t="shared" si="326"/>
        <v/>
      </c>
      <c r="X2561" s="348" t="str">
        <f t="shared" si="327"/>
        <v/>
      </c>
    </row>
    <row r="2562" spans="1:24" x14ac:dyDescent="0.2">
      <c r="A2562" s="407">
        <v>2554</v>
      </c>
      <c r="B2562" s="438"/>
      <c r="C2562" s="438"/>
      <c r="D2562" s="438"/>
      <c r="E2562" s="438"/>
      <c r="F2562" s="438"/>
      <c r="G2562" s="438"/>
      <c r="H2562" s="438"/>
      <c r="I2562" s="438"/>
      <c r="J2562" s="11"/>
      <c r="Q2562" s="348" t="str">
        <f t="shared" si="320"/>
        <v/>
      </c>
      <c r="R2562" s="348" t="str">
        <f t="shared" si="321"/>
        <v/>
      </c>
      <c r="S2562" s="348" t="str">
        <f t="shared" si="322"/>
        <v/>
      </c>
      <c r="T2562" s="348" t="str">
        <f t="shared" si="323"/>
        <v/>
      </c>
      <c r="U2562" s="348" t="str">
        <f t="shared" si="324"/>
        <v/>
      </c>
      <c r="V2562" s="348" t="str">
        <f t="shared" si="325"/>
        <v/>
      </c>
      <c r="W2562" s="348" t="str">
        <f t="shared" si="326"/>
        <v/>
      </c>
      <c r="X2562" s="348" t="str">
        <f t="shared" si="327"/>
        <v/>
      </c>
    </row>
    <row r="2563" spans="1:24" x14ac:dyDescent="0.2">
      <c r="A2563" s="407">
        <v>2555</v>
      </c>
      <c r="B2563" s="438"/>
      <c r="C2563" s="438"/>
      <c r="D2563" s="438"/>
      <c r="E2563" s="438"/>
      <c r="F2563" s="438"/>
      <c r="G2563" s="438"/>
      <c r="H2563" s="438"/>
      <c r="I2563" s="438"/>
      <c r="J2563" s="11"/>
      <c r="Q2563" s="348" t="str">
        <f t="shared" si="320"/>
        <v/>
      </c>
      <c r="R2563" s="348" t="str">
        <f t="shared" si="321"/>
        <v/>
      </c>
      <c r="S2563" s="348" t="str">
        <f t="shared" si="322"/>
        <v/>
      </c>
      <c r="T2563" s="348" t="str">
        <f t="shared" si="323"/>
        <v/>
      </c>
      <c r="U2563" s="348" t="str">
        <f t="shared" si="324"/>
        <v/>
      </c>
      <c r="V2563" s="348" t="str">
        <f t="shared" si="325"/>
        <v/>
      </c>
      <c r="W2563" s="348" t="str">
        <f t="shared" si="326"/>
        <v/>
      </c>
      <c r="X2563" s="348" t="str">
        <f t="shared" si="327"/>
        <v/>
      </c>
    </row>
    <row r="2564" spans="1:24" x14ac:dyDescent="0.2">
      <c r="A2564" s="407">
        <v>2556</v>
      </c>
      <c r="B2564" s="438"/>
      <c r="C2564" s="438"/>
      <c r="D2564" s="438"/>
      <c r="E2564" s="438"/>
      <c r="F2564" s="438"/>
      <c r="G2564" s="438"/>
      <c r="H2564" s="438"/>
      <c r="I2564" s="438"/>
      <c r="J2564" s="11"/>
      <c r="Q2564" s="348" t="str">
        <f t="shared" si="320"/>
        <v/>
      </c>
      <c r="R2564" s="348" t="str">
        <f t="shared" si="321"/>
        <v/>
      </c>
      <c r="S2564" s="348" t="str">
        <f t="shared" si="322"/>
        <v/>
      </c>
      <c r="T2564" s="348" t="str">
        <f t="shared" si="323"/>
        <v/>
      </c>
      <c r="U2564" s="348" t="str">
        <f t="shared" si="324"/>
        <v/>
      </c>
      <c r="V2564" s="348" t="str">
        <f t="shared" si="325"/>
        <v/>
      </c>
      <c r="W2564" s="348" t="str">
        <f t="shared" si="326"/>
        <v/>
      </c>
      <c r="X2564" s="348" t="str">
        <f t="shared" si="327"/>
        <v/>
      </c>
    </row>
    <row r="2565" spans="1:24" x14ac:dyDescent="0.2">
      <c r="A2565" s="407">
        <v>2557</v>
      </c>
      <c r="B2565" s="438"/>
      <c r="C2565" s="438"/>
      <c r="D2565" s="438"/>
      <c r="E2565" s="438"/>
      <c r="F2565" s="438"/>
      <c r="G2565" s="438"/>
      <c r="H2565" s="438"/>
      <c r="I2565" s="438"/>
      <c r="J2565" s="11"/>
      <c r="Q2565" s="348" t="str">
        <f t="shared" si="320"/>
        <v/>
      </c>
      <c r="R2565" s="348" t="str">
        <f t="shared" si="321"/>
        <v/>
      </c>
      <c r="S2565" s="348" t="str">
        <f t="shared" si="322"/>
        <v/>
      </c>
      <c r="T2565" s="348" t="str">
        <f t="shared" si="323"/>
        <v/>
      </c>
      <c r="U2565" s="348" t="str">
        <f t="shared" si="324"/>
        <v/>
      </c>
      <c r="V2565" s="348" t="str">
        <f t="shared" si="325"/>
        <v/>
      </c>
      <c r="W2565" s="348" t="str">
        <f t="shared" si="326"/>
        <v/>
      </c>
      <c r="X2565" s="348" t="str">
        <f t="shared" si="327"/>
        <v/>
      </c>
    </row>
    <row r="2566" spans="1:24" x14ac:dyDescent="0.2">
      <c r="A2566" s="407">
        <v>2558</v>
      </c>
      <c r="B2566" s="438"/>
      <c r="C2566" s="438"/>
      <c r="D2566" s="438"/>
      <c r="E2566" s="438"/>
      <c r="F2566" s="438"/>
      <c r="G2566" s="438"/>
      <c r="H2566" s="438"/>
      <c r="I2566" s="438"/>
      <c r="J2566" s="11"/>
      <c r="Q2566" s="348" t="str">
        <f t="shared" si="320"/>
        <v/>
      </c>
      <c r="R2566" s="348" t="str">
        <f t="shared" si="321"/>
        <v/>
      </c>
      <c r="S2566" s="348" t="str">
        <f t="shared" si="322"/>
        <v/>
      </c>
      <c r="T2566" s="348" t="str">
        <f t="shared" si="323"/>
        <v/>
      </c>
      <c r="U2566" s="348" t="str">
        <f t="shared" si="324"/>
        <v/>
      </c>
      <c r="V2566" s="348" t="str">
        <f t="shared" si="325"/>
        <v/>
      </c>
      <c r="W2566" s="348" t="str">
        <f t="shared" si="326"/>
        <v/>
      </c>
      <c r="X2566" s="348" t="str">
        <f t="shared" si="327"/>
        <v/>
      </c>
    </row>
    <row r="2567" spans="1:24" x14ac:dyDescent="0.2">
      <c r="A2567" s="407">
        <v>2559</v>
      </c>
      <c r="B2567" s="438"/>
      <c r="C2567" s="438"/>
      <c r="D2567" s="438"/>
      <c r="E2567" s="438"/>
      <c r="F2567" s="438"/>
      <c r="G2567" s="438"/>
      <c r="H2567" s="438"/>
      <c r="I2567" s="438"/>
      <c r="J2567" s="11"/>
      <c r="Q2567" s="348" t="str">
        <f t="shared" si="320"/>
        <v/>
      </c>
      <c r="R2567" s="348" t="str">
        <f t="shared" si="321"/>
        <v/>
      </c>
      <c r="S2567" s="348" t="str">
        <f t="shared" si="322"/>
        <v/>
      </c>
      <c r="T2567" s="348" t="str">
        <f t="shared" si="323"/>
        <v/>
      </c>
      <c r="U2567" s="348" t="str">
        <f t="shared" si="324"/>
        <v/>
      </c>
      <c r="V2567" s="348" t="str">
        <f t="shared" si="325"/>
        <v/>
      </c>
      <c r="W2567" s="348" t="str">
        <f t="shared" si="326"/>
        <v/>
      </c>
      <c r="X2567" s="348" t="str">
        <f t="shared" si="327"/>
        <v/>
      </c>
    </row>
    <row r="2568" spans="1:24" x14ac:dyDescent="0.2">
      <c r="A2568" s="407">
        <v>2560</v>
      </c>
      <c r="B2568" s="438"/>
      <c r="C2568" s="438"/>
      <c r="D2568" s="437"/>
      <c r="E2568" s="438"/>
      <c r="F2568" s="438"/>
      <c r="G2568" s="438"/>
      <c r="H2568" s="438"/>
      <c r="I2568" s="438"/>
      <c r="J2568" s="11"/>
      <c r="Q2568" s="348" t="str">
        <f t="shared" si="320"/>
        <v/>
      </c>
      <c r="R2568" s="348" t="str">
        <f t="shared" si="321"/>
        <v/>
      </c>
      <c r="S2568" s="348" t="str">
        <f t="shared" si="322"/>
        <v/>
      </c>
      <c r="T2568" s="348" t="str">
        <f t="shared" si="323"/>
        <v/>
      </c>
      <c r="U2568" s="348" t="str">
        <f t="shared" si="324"/>
        <v/>
      </c>
      <c r="V2568" s="348" t="str">
        <f t="shared" si="325"/>
        <v/>
      </c>
      <c r="W2568" s="348" t="str">
        <f t="shared" si="326"/>
        <v/>
      </c>
      <c r="X2568" s="348" t="str">
        <f t="shared" si="327"/>
        <v/>
      </c>
    </row>
    <row r="2569" spans="1:24" x14ac:dyDescent="0.2">
      <c r="A2569" s="407">
        <v>2561</v>
      </c>
      <c r="B2569" s="438"/>
      <c r="C2569" s="438"/>
      <c r="D2569" s="438"/>
      <c r="E2569" s="438"/>
      <c r="F2569" s="438"/>
      <c r="G2569" s="438"/>
      <c r="H2569" s="438"/>
      <c r="I2569" s="438"/>
      <c r="J2569" s="11"/>
      <c r="Q2569" s="348" t="str">
        <f t="shared" si="320"/>
        <v/>
      </c>
      <c r="R2569" s="348" t="str">
        <f t="shared" si="321"/>
        <v/>
      </c>
      <c r="S2569" s="348" t="str">
        <f t="shared" si="322"/>
        <v/>
      </c>
      <c r="T2569" s="348" t="str">
        <f t="shared" si="323"/>
        <v/>
      </c>
      <c r="U2569" s="348" t="str">
        <f t="shared" si="324"/>
        <v/>
      </c>
      <c r="V2569" s="348" t="str">
        <f t="shared" si="325"/>
        <v/>
      </c>
      <c r="W2569" s="348" t="str">
        <f t="shared" si="326"/>
        <v/>
      </c>
      <c r="X2569" s="348" t="str">
        <f t="shared" si="327"/>
        <v/>
      </c>
    </row>
    <row r="2570" spans="1:24" x14ac:dyDescent="0.2">
      <c r="A2570" s="407">
        <v>2562</v>
      </c>
      <c r="B2570" s="438"/>
      <c r="C2570" s="438"/>
      <c r="D2570" s="438"/>
      <c r="E2570" s="438"/>
      <c r="F2570" s="438"/>
      <c r="G2570" s="437"/>
      <c r="H2570" s="438"/>
      <c r="I2570" s="438"/>
      <c r="J2570" s="11"/>
      <c r="Q2570" s="348" t="str">
        <f t="shared" ref="Q2570:Q2633" si="328">IFERROR(B2570^4*$AB$9+B2570^3*$AC$9+B2570^2*$AD$9+B2570^1*$AE$9+B2570^0*$AF$9,"")</f>
        <v/>
      </c>
      <c r="R2570" s="348" t="str">
        <f t="shared" ref="R2570:R2633" si="329">IFERROR(C2570^4*$AB$10+C2570^3*$AC$10+C2570^2*$AD$10+C2570^1*$AE$10+C2570^0*$AF$10,"")</f>
        <v/>
      </c>
      <c r="S2570" s="348" t="str">
        <f t="shared" ref="S2570:S2633" si="330">IFERROR(D2570^4*$AB$11+D2570^3*$AC$11+D2570^2*$AD$11+D2570^1*$AE$11+D2570^0*$AF$11,"")</f>
        <v/>
      </c>
      <c r="T2570" s="348" t="str">
        <f t="shared" ref="T2570:T2633" si="331">IFERROR(E2570^4*$AB$12+E2570^3*$AC$12+E2570^2*$AD$12+E2570^1*$AE$12+E2570^0*$AF$12,"")</f>
        <v/>
      </c>
      <c r="U2570" s="348" t="str">
        <f t="shared" ref="U2570:U2633" si="332">IFERROR(F2570^4*$AB$13+F2570^3*$AC$13+F2570^2*$AD$13+F2570^1*$AE$13+F2570^0*$AF$13,"")</f>
        <v/>
      </c>
      <c r="V2570" s="348" t="str">
        <f t="shared" ref="V2570:V2633" si="333">IFERROR(G2570^4*$AB$14+G2570^3*$AC$14+G2570^2*$AD$14+G2570^1*$AE$14+G2570^0*$AF$14,"")</f>
        <v/>
      </c>
      <c r="W2570" s="348" t="str">
        <f t="shared" ref="W2570:W2633" si="334">IFERROR(H2570^4*$AB$15+H2570^3*$AC$15+H2570^2*$AD$15+H2570^1*$AE$15+H2570^0*$AF$15,"")</f>
        <v/>
      </c>
      <c r="X2570" s="348" t="str">
        <f t="shared" ref="X2570:X2633" si="335">IFERROR(I2570^4*$AB$16+I2570^3*$AC$16+I2570^2*$AD$16+I2570^1*$AE$16+I2570^0*$AF$16,"")</f>
        <v/>
      </c>
    </row>
    <row r="2571" spans="1:24" x14ac:dyDescent="0.2">
      <c r="A2571" s="407">
        <v>2563</v>
      </c>
      <c r="B2571" s="437"/>
      <c r="C2571" s="438"/>
      <c r="D2571" s="438"/>
      <c r="E2571" s="438"/>
      <c r="F2571" s="438"/>
      <c r="G2571" s="438"/>
      <c r="H2571" s="438"/>
      <c r="I2571" s="438"/>
      <c r="J2571" s="11"/>
      <c r="Q2571" s="348" t="str">
        <f t="shared" si="328"/>
        <v/>
      </c>
      <c r="R2571" s="348" t="str">
        <f t="shared" si="329"/>
        <v/>
      </c>
      <c r="S2571" s="348" t="str">
        <f t="shared" si="330"/>
        <v/>
      </c>
      <c r="T2571" s="348" t="str">
        <f t="shared" si="331"/>
        <v/>
      </c>
      <c r="U2571" s="348" t="str">
        <f t="shared" si="332"/>
        <v/>
      </c>
      <c r="V2571" s="348" t="str">
        <f t="shared" si="333"/>
        <v/>
      </c>
      <c r="W2571" s="348" t="str">
        <f t="shared" si="334"/>
        <v/>
      </c>
      <c r="X2571" s="348" t="str">
        <f t="shared" si="335"/>
        <v/>
      </c>
    </row>
    <row r="2572" spans="1:24" x14ac:dyDescent="0.2">
      <c r="A2572" s="407">
        <v>2564</v>
      </c>
      <c r="B2572" s="438"/>
      <c r="C2572" s="437"/>
      <c r="D2572" s="438"/>
      <c r="E2572" s="438"/>
      <c r="F2572" s="437"/>
      <c r="G2572" s="438"/>
      <c r="H2572" s="437"/>
      <c r="I2572" s="438"/>
      <c r="J2572" s="11"/>
      <c r="Q2572" s="348" t="str">
        <f t="shared" si="328"/>
        <v/>
      </c>
      <c r="R2572" s="348" t="str">
        <f t="shared" si="329"/>
        <v/>
      </c>
      <c r="S2572" s="348" t="str">
        <f t="shared" si="330"/>
        <v/>
      </c>
      <c r="T2572" s="348" t="str">
        <f t="shared" si="331"/>
        <v/>
      </c>
      <c r="U2572" s="348" t="str">
        <f t="shared" si="332"/>
        <v/>
      </c>
      <c r="V2572" s="348" t="str">
        <f t="shared" si="333"/>
        <v/>
      </c>
      <c r="W2572" s="348" t="str">
        <f t="shared" si="334"/>
        <v/>
      </c>
      <c r="X2572" s="348" t="str">
        <f t="shared" si="335"/>
        <v/>
      </c>
    </row>
    <row r="2573" spans="1:24" x14ac:dyDescent="0.2">
      <c r="A2573" s="407">
        <v>2565</v>
      </c>
      <c r="B2573" s="438"/>
      <c r="C2573" s="438"/>
      <c r="D2573" s="438"/>
      <c r="E2573" s="438"/>
      <c r="F2573" s="438"/>
      <c r="G2573" s="438"/>
      <c r="H2573" s="438"/>
      <c r="I2573" s="437"/>
      <c r="J2573" s="11"/>
      <c r="Q2573" s="348" t="str">
        <f t="shared" si="328"/>
        <v/>
      </c>
      <c r="R2573" s="348" t="str">
        <f t="shared" si="329"/>
        <v/>
      </c>
      <c r="S2573" s="348" t="str">
        <f t="shared" si="330"/>
        <v/>
      </c>
      <c r="T2573" s="348" t="str">
        <f t="shared" si="331"/>
        <v/>
      </c>
      <c r="U2573" s="348" t="str">
        <f t="shared" si="332"/>
        <v/>
      </c>
      <c r="V2573" s="348" t="str">
        <f t="shared" si="333"/>
        <v/>
      </c>
      <c r="W2573" s="348" t="str">
        <f t="shared" si="334"/>
        <v/>
      </c>
      <c r="X2573" s="348" t="str">
        <f t="shared" si="335"/>
        <v/>
      </c>
    </row>
    <row r="2574" spans="1:24" x14ac:dyDescent="0.2">
      <c r="A2574" s="407">
        <v>2566</v>
      </c>
      <c r="B2574" s="438"/>
      <c r="C2574" s="438"/>
      <c r="D2574" s="438"/>
      <c r="E2574" s="438"/>
      <c r="F2574" s="438"/>
      <c r="G2574" s="438"/>
      <c r="H2574" s="438"/>
      <c r="I2574" s="438"/>
      <c r="J2574" s="11"/>
      <c r="Q2574" s="348" t="str">
        <f t="shared" si="328"/>
        <v/>
      </c>
      <c r="R2574" s="348" t="str">
        <f t="shared" si="329"/>
        <v/>
      </c>
      <c r="S2574" s="348" t="str">
        <f t="shared" si="330"/>
        <v/>
      </c>
      <c r="T2574" s="348" t="str">
        <f t="shared" si="331"/>
        <v/>
      </c>
      <c r="U2574" s="348" t="str">
        <f t="shared" si="332"/>
        <v/>
      </c>
      <c r="V2574" s="348" t="str">
        <f t="shared" si="333"/>
        <v/>
      </c>
      <c r="W2574" s="348" t="str">
        <f t="shared" si="334"/>
        <v/>
      </c>
      <c r="X2574" s="348" t="str">
        <f t="shared" si="335"/>
        <v/>
      </c>
    </row>
    <row r="2575" spans="1:24" x14ac:dyDescent="0.2">
      <c r="A2575" s="407">
        <v>2567</v>
      </c>
      <c r="B2575" s="438"/>
      <c r="C2575" s="438"/>
      <c r="D2575" s="438"/>
      <c r="E2575" s="438"/>
      <c r="F2575" s="438"/>
      <c r="G2575" s="438"/>
      <c r="H2575" s="438"/>
      <c r="I2575" s="438"/>
      <c r="J2575" s="11"/>
      <c r="Q2575" s="348" t="str">
        <f t="shared" si="328"/>
        <v/>
      </c>
      <c r="R2575" s="348" t="str">
        <f t="shared" si="329"/>
        <v/>
      </c>
      <c r="S2575" s="348" t="str">
        <f t="shared" si="330"/>
        <v/>
      </c>
      <c r="T2575" s="348" t="str">
        <f t="shared" si="331"/>
        <v/>
      </c>
      <c r="U2575" s="348" t="str">
        <f t="shared" si="332"/>
        <v/>
      </c>
      <c r="V2575" s="348" t="str">
        <f t="shared" si="333"/>
        <v/>
      </c>
      <c r="W2575" s="348" t="str">
        <f t="shared" si="334"/>
        <v/>
      </c>
      <c r="X2575" s="348" t="str">
        <f t="shared" si="335"/>
        <v/>
      </c>
    </row>
    <row r="2576" spans="1:24" x14ac:dyDescent="0.2">
      <c r="A2576" s="407">
        <v>2568</v>
      </c>
      <c r="B2576" s="438"/>
      <c r="C2576" s="438"/>
      <c r="D2576" s="438"/>
      <c r="E2576" s="438"/>
      <c r="F2576" s="438"/>
      <c r="G2576" s="438"/>
      <c r="H2576" s="438"/>
      <c r="I2576" s="438"/>
      <c r="J2576" s="11"/>
      <c r="Q2576" s="348" t="str">
        <f t="shared" si="328"/>
        <v/>
      </c>
      <c r="R2576" s="348" t="str">
        <f t="shared" si="329"/>
        <v/>
      </c>
      <c r="S2576" s="348" t="str">
        <f t="shared" si="330"/>
        <v/>
      </c>
      <c r="T2576" s="348" t="str">
        <f t="shared" si="331"/>
        <v/>
      </c>
      <c r="U2576" s="348" t="str">
        <f t="shared" si="332"/>
        <v/>
      </c>
      <c r="V2576" s="348" t="str">
        <f t="shared" si="333"/>
        <v/>
      </c>
      <c r="W2576" s="348" t="str">
        <f t="shared" si="334"/>
        <v/>
      </c>
      <c r="X2576" s="348" t="str">
        <f t="shared" si="335"/>
        <v/>
      </c>
    </row>
    <row r="2577" spans="1:24" x14ac:dyDescent="0.2">
      <c r="A2577" s="407">
        <v>2569</v>
      </c>
      <c r="B2577" s="438"/>
      <c r="C2577" s="438"/>
      <c r="D2577" s="438"/>
      <c r="E2577" s="437"/>
      <c r="F2577" s="438"/>
      <c r="G2577" s="438"/>
      <c r="H2577" s="438"/>
      <c r="I2577" s="438"/>
      <c r="J2577" s="11"/>
      <c r="Q2577" s="348" t="str">
        <f t="shared" si="328"/>
        <v/>
      </c>
      <c r="R2577" s="348" t="str">
        <f t="shared" si="329"/>
        <v/>
      </c>
      <c r="S2577" s="348" t="str">
        <f t="shared" si="330"/>
        <v/>
      </c>
      <c r="T2577" s="348" t="str">
        <f t="shared" si="331"/>
        <v/>
      </c>
      <c r="U2577" s="348" t="str">
        <f t="shared" si="332"/>
        <v/>
      </c>
      <c r="V2577" s="348" t="str">
        <f t="shared" si="333"/>
        <v/>
      </c>
      <c r="W2577" s="348" t="str">
        <f t="shared" si="334"/>
        <v/>
      </c>
      <c r="X2577" s="348" t="str">
        <f t="shared" si="335"/>
        <v/>
      </c>
    </row>
    <row r="2578" spans="1:24" x14ac:dyDescent="0.2">
      <c r="A2578" s="407">
        <v>2570</v>
      </c>
      <c r="B2578" s="438"/>
      <c r="C2578" s="438"/>
      <c r="D2578" s="438"/>
      <c r="E2578" s="438"/>
      <c r="F2578" s="438"/>
      <c r="G2578" s="438"/>
      <c r="H2578" s="438"/>
      <c r="I2578" s="438"/>
      <c r="J2578" s="11"/>
      <c r="Q2578" s="348" t="str">
        <f t="shared" si="328"/>
        <v/>
      </c>
      <c r="R2578" s="348" t="str">
        <f t="shared" si="329"/>
        <v/>
      </c>
      <c r="S2578" s="348" t="str">
        <f t="shared" si="330"/>
        <v/>
      </c>
      <c r="T2578" s="348" t="str">
        <f t="shared" si="331"/>
        <v/>
      </c>
      <c r="U2578" s="348" t="str">
        <f t="shared" si="332"/>
        <v/>
      </c>
      <c r="V2578" s="348" t="str">
        <f t="shared" si="333"/>
        <v/>
      </c>
      <c r="W2578" s="348" t="str">
        <f t="shared" si="334"/>
        <v/>
      </c>
      <c r="X2578" s="348" t="str">
        <f t="shared" si="335"/>
        <v/>
      </c>
    </row>
    <row r="2579" spans="1:24" x14ac:dyDescent="0.2">
      <c r="A2579" s="407">
        <v>2571</v>
      </c>
      <c r="B2579" s="438"/>
      <c r="C2579" s="438"/>
      <c r="D2579" s="438"/>
      <c r="E2579" s="438"/>
      <c r="F2579" s="438"/>
      <c r="G2579" s="438"/>
      <c r="H2579" s="438"/>
      <c r="I2579" s="438"/>
      <c r="J2579" s="11"/>
      <c r="Q2579" s="348" t="str">
        <f t="shared" si="328"/>
        <v/>
      </c>
      <c r="R2579" s="348" t="str">
        <f t="shared" si="329"/>
        <v/>
      </c>
      <c r="S2579" s="348" t="str">
        <f t="shared" si="330"/>
        <v/>
      </c>
      <c r="T2579" s="348" t="str">
        <f t="shared" si="331"/>
        <v/>
      </c>
      <c r="U2579" s="348" t="str">
        <f t="shared" si="332"/>
        <v/>
      </c>
      <c r="V2579" s="348" t="str">
        <f t="shared" si="333"/>
        <v/>
      </c>
      <c r="W2579" s="348" t="str">
        <f t="shared" si="334"/>
        <v/>
      </c>
      <c r="X2579" s="348" t="str">
        <f t="shared" si="335"/>
        <v/>
      </c>
    </row>
    <row r="2580" spans="1:24" x14ac:dyDescent="0.2">
      <c r="A2580" s="407">
        <v>2572</v>
      </c>
      <c r="B2580" s="438"/>
      <c r="C2580" s="438"/>
      <c r="D2580" s="438"/>
      <c r="E2580" s="438"/>
      <c r="F2580" s="438"/>
      <c r="G2580" s="438"/>
      <c r="H2580" s="438"/>
      <c r="I2580" s="438"/>
      <c r="J2580" s="11"/>
      <c r="Q2580" s="348" t="str">
        <f t="shared" si="328"/>
        <v/>
      </c>
      <c r="R2580" s="348" t="str">
        <f t="shared" si="329"/>
        <v/>
      </c>
      <c r="S2580" s="348" t="str">
        <f t="shared" si="330"/>
        <v/>
      </c>
      <c r="T2580" s="348" t="str">
        <f t="shared" si="331"/>
        <v/>
      </c>
      <c r="U2580" s="348" t="str">
        <f t="shared" si="332"/>
        <v/>
      </c>
      <c r="V2580" s="348" t="str">
        <f t="shared" si="333"/>
        <v/>
      </c>
      <c r="W2580" s="348" t="str">
        <f t="shared" si="334"/>
        <v/>
      </c>
      <c r="X2580" s="348" t="str">
        <f t="shared" si="335"/>
        <v/>
      </c>
    </row>
    <row r="2581" spans="1:24" x14ac:dyDescent="0.2">
      <c r="A2581" s="407">
        <v>2573</v>
      </c>
      <c r="B2581" s="438"/>
      <c r="C2581" s="438"/>
      <c r="D2581" s="438"/>
      <c r="E2581" s="438"/>
      <c r="F2581" s="438"/>
      <c r="G2581" s="438"/>
      <c r="H2581" s="438"/>
      <c r="I2581" s="438"/>
      <c r="J2581" s="11"/>
      <c r="Q2581" s="348" t="str">
        <f t="shared" si="328"/>
        <v/>
      </c>
      <c r="R2581" s="348" t="str">
        <f t="shared" si="329"/>
        <v/>
      </c>
      <c r="S2581" s="348" t="str">
        <f t="shared" si="330"/>
        <v/>
      </c>
      <c r="T2581" s="348" t="str">
        <f t="shared" si="331"/>
        <v/>
      </c>
      <c r="U2581" s="348" t="str">
        <f t="shared" si="332"/>
        <v/>
      </c>
      <c r="V2581" s="348" t="str">
        <f t="shared" si="333"/>
        <v/>
      </c>
      <c r="W2581" s="348" t="str">
        <f t="shared" si="334"/>
        <v/>
      </c>
      <c r="X2581" s="348" t="str">
        <f t="shared" si="335"/>
        <v/>
      </c>
    </row>
    <row r="2582" spans="1:24" x14ac:dyDescent="0.2">
      <c r="A2582" s="407">
        <v>2574</v>
      </c>
      <c r="B2582" s="438"/>
      <c r="C2582" s="438"/>
      <c r="D2582" s="438"/>
      <c r="E2582" s="438"/>
      <c r="F2582" s="438"/>
      <c r="G2582" s="438"/>
      <c r="H2582" s="438"/>
      <c r="I2582" s="438"/>
      <c r="J2582" s="11"/>
      <c r="Q2582" s="348" t="str">
        <f t="shared" si="328"/>
        <v/>
      </c>
      <c r="R2582" s="348" t="str">
        <f t="shared" si="329"/>
        <v/>
      </c>
      <c r="S2582" s="348" t="str">
        <f t="shared" si="330"/>
        <v/>
      </c>
      <c r="T2582" s="348" t="str">
        <f t="shared" si="331"/>
        <v/>
      </c>
      <c r="U2582" s="348" t="str">
        <f t="shared" si="332"/>
        <v/>
      </c>
      <c r="V2582" s="348" t="str">
        <f t="shared" si="333"/>
        <v/>
      </c>
      <c r="W2582" s="348" t="str">
        <f t="shared" si="334"/>
        <v/>
      </c>
      <c r="X2582" s="348" t="str">
        <f t="shared" si="335"/>
        <v/>
      </c>
    </row>
    <row r="2583" spans="1:24" x14ac:dyDescent="0.2">
      <c r="A2583" s="407">
        <v>2575</v>
      </c>
      <c r="B2583" s="438"/>
      <c r="C2583" s="438"/>
      <c r="D2583" s="438"/>
      <c r="E2583" s="438"/>
      <c r="F2583" s="438"/>
      <c r="G2583" s="438"/>
      <c r="H2583" s="438"/>
      <c r="I2583" s="438"/>
      <c r="J2583" s="11"/>
      <c r="Q2583" s="348" t="str">
        <f t="shared" si="328"/>
        <v/>
      </c>
      <c r="R2583" s="348" t="str">
        <f t="shared" si="329"/>
        <v/>
      </c>
      <c r="S2583" s="348" t="str">
        <f t="shared" si="330"/>
        <v/>
      </c>
      <c r="T2583" s="348" t="str">
        <f t="shared" si="331"/>
        <v/>
      </c>
      <c r="U2583" s="348" t="str">
        <f t="shared" si="332"/>
        <v/>
      </c>
      <c r="V2583" s="348" t="str">
        <f t="shared" si="333"/>
        <v/>
      </c>
      <c r="W2583" s="348" t="str">
        <f t="shared" si="334"/>
        <v/>
      </c>
      <c r="X2583" s="348" t="str">
        <f t="shared" si="335"/>
        <v/>
      </c>
    </row>
    <row r="2584" spans="1:24" x14ac:dyDescent="0.2">
      <c r="A2584" s="407">
        <v>2576</v>
      </c>
      <c r="B2584" s="438"/>
      <c r="C2584" s="438"/>
      <c r="D2584" s="438"/>
      <c r="E2584" s="438"/>
      <c r="F2584" s="438"/>
      <c r="G2584" s="438"/>
      <c r="H2584" s="438"/>
      <c r="I2584" s="438"/>
      <c r="J2584" s="11"/>
      <c r="Q2584" s="348" t="str">
        <f t="shared" si="328"/>
        <v/>
      </c>
      <c r="R2584" s="348" t="str">
        <f t="shared" si="329"/>
        <v/>
      </c>
      <c r="S2584" s="348" t="str">
        <f t="shared" si="330"/>
        <v/>
      </c>
      <c r="T2584" s="348" t="str">
        <f t="shared" si="331"/>
        <v/>
      </c>
      <c r="U2584" s="348" t="str">
        <f t="shared" si="332"/>
        <v/>
      </c>
      <c r="V2584" s="348" t="str">
        <f t="shared" si="333"/>
        <v/>
      </c>
      <c r="W2584" s="348" t="str">
        <f t="shared" si="334"/>
        <v/>
      </c>
      <c r="X2584" s="348" t="str">
        <f t="shared" si="335"/>
        <v/>
      </c>
    </row>
    <row r="2585" spans="1:24" x14ac:dyDescent="0.2">
      <c r="A2585" s="407">
        <v>2577</v>
      </c>
      <c r="B2585" s="438"/>
      <c r="C2585" s="438"/>
      <c r="D2585" s="438"/>
      <c r="E2585" s="438"/>
      <c r="F2585" s="438"/>
      <c r="G2585" s="438"/>
      <c r="H2585" s="438"/>
      <c r="I2585" s="438"/>
      <c r="J2585" s="11"/>
      <c r="Q2585" s="348" t="str">
        <f t="shared" si="328"/>
        <v/>
      </c>
      <c r="R2585" s="348" t="str">
        <f t="shared" si="329"/>
        <v/>
      </c>
      <c r="S2585" s="348" t="str">
        <f t="shared" si="330"/>
        <v/>
      </c>
      <c r="T2585" s="348" t="str">
        <f t="shared" si="331"/>
        <v/>
      </c>
      <c r="U2585" s="348" t="str">
        <f t="shared" si="332"/>
        <v/>
      </c>
      <c r="V2585" s="348" t="str">
        <f t="shared" si="333"/>
        <v/>
      </c>
      <c r="W2585" s="348" t="str">
        <f t="shared" si="334"/>
        <v/>
      </c>
      <c r="X2585" s="348" t="str">
        <f t="shared" si="335"/>
        <v/>
      </c>
    </row>
    <row r="2586" spans="1:24" x14ac:dyDescent="0.2">
      <c r="A2586" s="407">
        <v>2578</v>
      </c>
      <c r="B2586" s="438"/>
      <c r="C2586" s="438"/>
      <c r="D2586" s="438"/>
      <c r="E2586" s="438"/>
      <c r="F2586" s="438"/>
      <c r="G2586" s="438"/>
      <c r="H2586" s="438"/>
      <c r="I2586" s="438"/>
      <c r="J2586" s="11"/>
      <c r="Q2586" s="348" t="str">
        <f t="shared" si="328"/>
        <v/>
      </c>
      <c r="R2586" s="348" t="str">
        <f t="shared" si="329"/>
        <v/>
      </c>
      <c r="S2586" s="348" t="str">
        <f t="shared" si="330"/>
        <v/>
      </c>
      <c r="T2586" s="348" t="str">
        <f t="shared" si="331"/>
        <v/>
      </c>
      <c r="U2586" s="348" t="str">
        <f t="shared" si="332"/>
        <v/>
      </c>
      <c r="V2586" s="348" t="str">
        <f t="shared" si="333"/>
        <v/>
      </c>
      <c r="W2586" s="348" t="str">
        <f t="shared" si="334"/>
        <v/>
      </c>
      <c r="X2586" s="348" t="str">
        <f t="shared" si="335"/>
        <v/>
      </c>
    </row>
    <row r="2587" spans="1:24" x14ac:dyDescent="0.2">
      <c r="A2587" s="407">
        <v>2579</v>
      </c>
      <c r="B2587" s="438"/>
      <c r="C2587" s="438"/>
      <c r="D2587" s="438"/>
      <c r="E2587" s="438"/>
      <c r="F2587" s="438"/>
      <c r="G2587" s="438"/>
      <c r="H2587" s="438"/>
      <c r="I2587" s="438"/>
      <c r="J2587" s="11"/>
      <c r="Q2587" s="348" t="str">
        <f t="shared" si="328"/>
        <v/>
      </c>
      <c r="R2587" s="348" t="str">
        <f t="shared" si="329"/>
        <v/>
      </c>
      <c r="S2587" s="348" t="str">
        <f t="shared" si="330"/>
        <v/>
      </c>
      <c r="T2587" s="348" t="str">
        <f t="shared" si="331"/>
        <v/>
      </c>
      <c r="U2587" s="348" t="str">
        <f t="shared" si="332"/>
        <v/>
      </c>
      <c r="V2587" s="348" t="str">
        <f t="shared" si="333"/>
        <v/>
      </c>
      <c r="W2587" s="348" t="str">
        <f t="shared" si="334"/>
        <v/>
      </c>
      <c r="X2587" s="348" t="str">
        <f t="shared" si="335"/>
        <v/>
      </c>
    </row>
    <row r="2588" spans="1:24" x14ac:dyDescent="0.2">
      <c r="A2588" s="407">
        <v>2580</v>
      </c>
      <c r="B2588" s="438"/>
      <c r="C2588" s="438"/>
      <c r="D2588" s="438"/>
      <c r="E2588" s="438"/>
      <c r="F2588" s="438"/>
      <c r="G2588" s="438"/>
      <c r="H2588" s="438"/>
      <c r="I2588" s="438"/>
      <c r="J2588" s="11"/>
      <c r="Q2588" s="348" t="str">
        <f t="shared" si="328"/>
        <v/>
      </c>
      <c r="R2588" s="348" t="str">
        <f t="shared" si="329"/>
        <v/>
      </c>
      <c r="S2588" s="348" t="str">
        <f t="shared" si="330"/>
        <v/>
      </c>
      <c r="T2588" s="348" t="str">
        <f t="shared" si="331"/>
        <v/>
      </c>
      <c r="U2588" s="348" t="str">
        <f t="shared" si="332"/>
        <v/>
      </c>
      <c r="V2588" s="348" t="str">
        <f t="shared" si="333"/>
        <v/>
      </c>
      <c r="W2588" s="348" t="str">
        <f t="shared" si="334"/>
        <v/>
      </c>
      <c r="X2588" s="348" t="str">
        <f t="shared" si="335"/>
        <v/>
      </c>
    </row>
    <row r="2589" spans="1:24" x14ac:dyDescent="0.2">
      <c r="A2589" s="407">
        <v>2581</v>
      </c>
      <c r="B2589" s="438"/>
      <c r="C2589" s="438"/>
      <c r="D2589" s="438"/>
      <c r="E2589" s="438"/>
      <c r="F2589" s="438"/>
      <c r="G2589" s="438"/>
      <c r="H2589" s="438"/>
      <c r="I2589" s="438"/>
      <c r="J2589" s="11"/>
      <c r="Q2589" s="348" t="str">
        <f t="shared" si="328"/>
        <v/>
      </c>
      <c r="R2589" s="348" t="str">
        <f t="shared" si="329"/>
        <v/>
      </c>
      <c r="S2589" s="348" t="str">
        <f t="shared" si="330"/>
        <v/>
      </c>
      <c r="T2589" s="348" t="str">
        <f t="shared" si="331"/>
        <v/>
      </c>
      <c r="U2589" s="348" t="str">
        <f t="shared" si="332"/>
        <v/>
      </c>
      <c r="V2589" s="348" t="str">
        <f t="shared" si="333"/>
        <v/>
      </c>
      <c r="W2589" s="348" t="str">
        <f t="shared" si="334"/>
        <v/>
      </c>
      <c r="X2589" s="348" t="str">
        <f t="shared" si="335"/>
        <v/>
      </c>
    </row>
    <row r="2590" spans="1:24" x14ac:dyDescent="0.2">
      <c r="A2590" s="407">
        <v>2582</v>
      </c>
      <c r="B2590" s="437"/>
      <c r="C2590" s="438"/>
      <c r="D2590" s="438"/>
      <c r="E2590" s="438"/>
      <c r="F2590" s="438"/>
      <c r="G2590" s="438"/>
      <c r="H2590" s="438"/>
      <c r="I2590" s="438"/>
      <c r="J2590" s="11"/>
      <c r="Q2590" s="348" t="str">
        <f t="shared" si="328"/>
        <v/>
      </c>
      <c r="R2590" s="348" t="str">
        <f t="shared" si="329"/>
        <v/>
      </c>
      <c r="S2590" s="348" t="str">
        <f t="shared" si="330"/>
        <v/>
      </c>
      <c r="T2590" s="348" t="str">
        <f t="shared" si="331"/>
        <v/>
      </c>
      <c r="U2590" s="348" t="str">
        <f t="shared" si="332"/>
        <v/>
      </c>
      <c r="V2590" s="348" t="str">
        <f t="shared" si="333"/>
        <v/>
      </c>
      <c r="W2590" s="348" t="str">
        <f t="shared" si="334"/>
        <v/>
      </c>
      <c r="X2590" s="348" t="str">
        <f t="shared" si="335"/>
        <v/>
      </c>
    </row>
    <row r="2591" spans="1:24" x14ac:dyDescent="0.2">
      <c r="A2591" s="407">
        <v>2583</v>
      </c>
      <c r="B2591" s="438"/>
      <c r="C2591" s="438"/>
      <c r="D2591" s="438"/>
      <c r="E2591" s="438"/>
      <c r="F2591" s="438"/>
      <c r="G2591" s="438"/>
      <c r="H2591" s="438"/>
      <c r="I2591" s="438"/>
      <c r="J2591" s="11"/>
      <c r="Q2591" s="348" t="str">
        <f t="shared" si="328"/>
        <v/>
      </c>
      <c r="R2591" s="348" t="str">
        <f t="shared" si="329"/>
        <v/>
      </c>
      <c r="S2591" s="348" t="str">
        <f t="shared" si="330"/>
        <v/>
      </c>
      <c r="T2591" s="348" t="str">
        <f t="shared" si="331"/>
        <v/>
      </c>
      <c r="U2591" s="348" t="str">
        <f t="shared" si="332"/>
        <v/>
      </c>
      <c r="V2591" s="348" t="str">
        <f t="shared" si="333"/>
        <v/>
      </c>
      <c r="W2591" s="348" t="str">
        <f t="shared" si="334"/>
        <v/>
      </c>
      <c r="X2591" s="348" t="str">
        <f t="shared" si="335"/>
        <v/>
      </c>
    </row>
    <row r="2592" spans="1:24" x14ac:dyDescent="0.2">
      <c r="A2592" s="407">
        <v>2584</v>
      </c>
      <c r="B2592" s="438"/>
      <c r="C2592" s="438"/>
      <c r="D2592" s="438"/>
      <c r="E2592" s="438"/>
      <c r="F2592" s="438"/>
      <c r="G2592" s="438"/>
      <c r="H2592" s="438"/>
      <c r="I2592" s="438"/>
      <c r="J2592" s="11"/>
      <c r="Q2592" s="348" t="str">
        <f t="shared" si="328"/>
        <v/>
      </c>
      <c r="R2592" s="348" t="str">
        <f t="shared" si="329"/>
        <v/>
      </c>
      <c r="S2592" s="348" t="str">
        <f t="shared" si="330"/>
        <v/>
      </c>
      <c r="T2592" s="348" t="str">
        <f t="shared" si="331"/>
        <v/>
      </c>
      <c r="U2592" s="348" t="str">
        <f t="shared" si="332"/>
        <v/>
      </c>
      <c r="V2592" s="348" t="str">
        <f t="shared" si="333"/>
        <v/>
      </c>
      <c r="W2592" s="348" t="str">
        <f t="shared" si="334"/>
        <v/>
      </c>
      <c r="X2592" s="348" t="str">
        <f t="shared" si="335"/>
        <v/>
      </c>
    </row>
    <row r="2593" spans="1:24" x14ac:dyDescent="0.2">
      <c r="A2593" s="407">
        <v>2585</v>
      </c>
      <c r="B2593" s="438"/>
      <c r="C2593" s="438"/>
      <c r="D2593" s="438"/>
      <c r="E2593" s="438"/>
      <c r="F2593" s="438"/>
      <c r="G2593" s="438"/>
      <c r="H2593" s="438"/>
      <c r="I2593" s="438"/>
      <c r="J2593" s="11"/>
      <c r="Q2593" s="348" t="str">
        <f t="shared" si="328"/>
        <v/>
      </c>
      <c r="R2593" s="348" t="str">
        <f t="shared" si="329"/>
        <v/>
      </c>
      <c r="S2593" s="348" t="str">
        <f t="shared" si="330"/>
        <v/>
      </c>
      <c r="T2593" s="348" t="str">
        <f t="shared" si="331"/>
        <v/>
      </c>
      <c r="U2593" s="348" t="str">
        <f t="shared" si="332"/>
        <v/>
      </c>
      <c r="V2593" s="348" t="str">
        <f t="shared" si="333"/>
        <v/>
      </c>
      <c r="W2593" s="348" t="str">
        <f t="shared" si="334"/>
        <v/>
      </c>
      <c r="X2593" s="348" t="str">
        <f t="shared" si="335"/>
        <v/>
      </c>
    </row>
    <row r="2594" spans="1:24" x14ac:dyDescent="0.2">
      <c r="A2594" s="407">
        <v>2586</v>
      </c>
      <c r="B2594" s="438"/>
      <c r="C2594" s="438"/>
      <c r="D2594" s="438"/>
      <c r="E2594" s="438"/>
      <c r="F2594" s="438"/>
      <c r="G2594" s="438"/>
      <c r="H2594" s="438"/>
      <c r="I2594" s="438"/>
      <c r="J2594" s="11"/>
      <c r="Q2594" s="348" t="str">
        <f t="shared" si="328"/>
        <v/>
      </c>
      <c r="R2594" s="348" t="str">
        <f t="shared" si="329"/>
        <v/>
      </c>
      <c r="S2594" s="348" t="str">
        <f t="shared" si="330"/>
        <v/>
      </c>
      <c r="T2594" s="348" t="str">
        <f t="shared" si="331"/>
        <v/>
      </c>
      <c r="U2594" s="348" t="str">
        <f t="shared" si="332"/>
        <v/>
      </c>
      <c r="V2594" s="348" t="str">
        <f t="shared" si="333"/>
        <v/>
      </c>
      <c r="W2594" s="348" t="str">
        <f t="shared" si="334"/>
        <v/>
      </c>
      <c r="X2594" s="348" t="str">
        <f t="shared" si="335"/>
        <v/>
      </c>
    </row>
    <row r="2595" spans="1:24" x14ac:dyDescent="0.2">
      <c r="A2595" s="407">
        <v>2587</v>
      </c>
      <c r="B2595" s="438"/>
      <c r="C2595" s="438"/>
      <c r="D2595" s="438"/>
      <c r="E2595" s="438"/>
      <c r="F2595" s="438"/>
      <c r="G2595" s="438"/>
      <c r="H2595" s="438"/>
      <c r="I2595" s="438"/>
      <c r="J2595" s="11"/>
      <c r="Q2595" s="348" t="str">
        <f t="shared" si="328"/>
        <v/>
      </c>
      <c r="R2595" s="348" t="str">
        <f t="shared" si="329"/>
        <v/>
      </c>
      <c r="S2595" s="348" t="str">
        <f t="shared" si="330"/>
        <v/>
      </c>
      <c r="T2595" s="348" t="str">
        <f t="shared" si="331"/>
        <v/>
      </c>
      <c r="U2595" s="348" t="str">
        <f t="shared" si="332"/>
        <v/>
      </c>
      <c r="V2595" s="348" t="str">
        <f t="shared" si="333"/>
        <v/>
      </c>
      <c r="W2595" s="348" t="str">
        <f t="shared" si="334"/>
        <v/>
      </c>
      <c r="X2595" s="348" t="str">
        <f t="shared" si="335"/>
        <v/>
      </c>
    </row>
    <row r="2596" spans="1:24" x14ac:dyDescent="0.2">
      <c r="A2596" s="407">
        <v>2588</v>
      </c>
      <c r="B2596" s="438"/>
      <c r="C2596" s="438"/>
      <c r="D2596" s="437"/>
      <c r="E2596" s="438"/>
      <c r="F2596" s="438"/>
      <c r="G2596" s="438"/>
      <c r="H2596" s="438"/>
      <c r="I2596" s="438"/>
      <c r="J2596" s="11"/>
      <c r="Q2596" s="348" t="str">
        <f t="shared" si="328"/>
        <v/>
      </c>
      <c r="R2596" s="348" t="str">
        <f t="shared" si="329"/>
        <v/>
      </c>
      <c r="S2596" s="348" t="str">
        <f t="shared" si="330"/>
        <v/>
      </c>
      <c r="T2596" s="348" t="str">
        <f t="shared" si="331"/>
        <v/>
      </c>
      <c r="U2596" s="348" t="str">
        <f t="shared" si="332"/>
        <v/>
      </c>
      <c r="V2596" s="348" t="str">
        <f t="shared" si="333"/>
        <v/>
      </c>
      <c r="W2596" s="348" t="str">
        <f t="shared" si="334"/>
        <v/>
      </c>
      <c r="X2596" s="348" t="str">
        <f t="shared" si="335"/>
        <v/>
      </c>
    </row>
    <row r="2597" spans="1:24" x14ac:dyDescent="0.2">
      <c r="A2597" s="407">
        <v>2589</v>
      </c>
      <c r="B2597" s="438"/>
      <c r="C2597" s="438"/>
      <c r="D2597" s="438"/>
      <c r="E2597" s="438"/>
      <c r="F2597" s="438"/>
      <c r="G2597" s="438"/>
      <c r="H2597" s="438"/>
      <c r="I2597" s="438"/>
      <c r="J2597" s="11"/>
      <c r="Q2597" s="348" t="str">
        <f t="shared" si="328"/>
        <v/>
      </c>
      <c r="R2597" s="348" t="str">
        <f t="shared" si="329"/>
        <v/>
      </c>
      <c r="S2597" s="348" t="str">
        <f t="shared" si="330"/>
        <v/>
      </c>
      <c r="T2597" s="348" t="str">
        <f t="shared" si="331"/>
        <v/>
      </c>
      <c r="U2597" s="348" t="str">
        <f t="shared" si="332"/>
        <v/>
      </c>
      <c r="V2597" s="348" t="str">
        <f t="shared" si="333"/>
        <v/>
      </c>
      <c r="W2597" s="348" t="str">
        <f t="shared" si="334"/>
        <v/>
      </c>
      <c r="X2597" s="348" t="str">
        <f t="shared" si="335"/>
        <v/>
      </c>
    </row>
    <row r="2598" spans="1:24" x14ac:dyDescent="0.2">
      <c r="A2598" s="407">
        <v>2590</v>
      </c>
      <c r="B2598" s="438"/>
      <c r="C2598" s="438"/>
      <c r="D2598" s="438"/>
      <c r="E2598" s="438"/>
      <c r="F2598" s="438"/>
      <c r="G2598" s="438"/>
      <c r="H2598" s="438"/>
      <c r="I2598" s="438"/>
      <c r="J2598" s="11"/>
      <c r="Q2598" s="348" t="str">
        <f t="shared" si="328"/>
        <v/>
      </c>
      <c r="R2598" s="348" t="str">
        <f t="shared" si="329"/>
        <v/>
      </c>
      <c r="S2598" s="348" t="str">
        <f t="shared" si="330"/>
        <v/>
      </c>
      <c r="T2598" s="348" t="str">
        <f t="shared" si="331"/>
        <v/>
      </c>
      <c r="U2598" s="348" t="str">
        <f t="shared" si="332"/>
        <v/>
      </c>
      <c r="V2598" s="348" t="str">
        <f t="shared" si="333"/>
        <v/>
      </c>
      <c r="W2598" s="348" t="str">
        <f t="shared" si="334"/>
        <v/>
      </c>
      <c r="X2598" s="348" t="str">
        <f t="shared" si="335"/>
        <v/>
      </c>
    </row>
    <row r="2599" spans="1:24" x14ac:dyDescent="0.2">
      <c r="A2599" s="407">
        <v>2591</v>
      </c>
      <c r="B2599" s="438"/>
      <c r="C2599" s="438"/>
      <c r="D2599" s="438"/>
      <c r="E2599" s="438"/>
      <c r="F2599" s="438"/>
      <c r="G2599" s="438"/>
      <c r="H2599" s="438"/>
      <c r="I2599" s="438"/>
      <c r="J2599" s="11"/>
      <c r="Q2599" s="348" t="str">
        <f t="shared" si="328"/>
        <v/>
      </c>
      <c r="R2599" s="348" t="str">
        <f t="shared" si="329"/>
        <v/>
      </c>
      <c r="S2599" s="348" t="str">
        <f t="shared" si="330"/>
        <v/>
      </c>
      <c r="T2599" s="348" t="str">
        <f t="shared" si="331"/>
        <v/>
      </c>
      <c r="U2599" s="348" t="str">
        <f t="shared" si="332"/>
        <v/>
      </c>
      <c r="V2599" s="348" t="str">
        <f t="shared" si="333"/>
        <v/>
      </c>
      <c r="W2599" s="348" t="str">
        <f t="shared" si="334"/>
        <v/>
      </c>
      <c r="X2599" s="348" t="str">
        <f t="shared" si="335"/>
        <v/>
      </c>
    </row>
    <row r="2600" spans="1:24" x14ac:dyDescent="0.2">
      <c r="A2600" s="407">
        <v>2592</v>
      </c>
      <c r="B2600" s="437"/>
      <c r="C2600" s="438"/>
      <c r="D2600" s="438"/>
      <c r="E2600" s="438"/>
      <c r="F2600" s="438"/>
      <c r="G2600" s="438"/>
      <c r="H2600" s="438"/>
      <c r="I2600" s="438"/>
      <c r="J2600" s="11"/>
      <c r="Q2600" s="348" t="str">
        <f t="shared" si="328"/>
        <v/>
      </c>
      <c r="R2600" s="348" t="str">
        <f t="shared" si="329"/>
        <v/>
      </c>
      <c r="S2600" s="348" t="str">
        <f t="shared" si="330"/>
        <v/>
      </c>
      <c r="T2600" s="348" t="str">
        <f t="shared" si="331"/>
        <v/>
      </c>
      <c r="U2600" s="348" t="str">
        <f t="shared" si="332"/>
        <v/>
      </c>
      <c r="V2600" s="348" t="str">
        <f t="shared" si="333"/>
        <v/>
      </c>
      <c r="W2600" s="348" t="str">
        <f t="shared" si="334"/>
        <v/>
      </c>
      <c r="X2600" s="348" t="str">
        <f t="shared" si="335"/>
        <v/>
      </c>
    </row>
    <row r="2601" spans="1:24" x14ac:dyDescent="0.2">
      <c r="A2601" s="407">
        <v>2593</v>
      </c>
      <c r="B2601" s="438"/>
      <c r="C2601" s="437"/>
      <c r="D2601" s="438"/>
      <c r="E2601" s="438"/>
      <c r="F2601" s="438"/>
      <c r="G2601" s="438"/>
      <c r="H2601" s="438"/>
      <c r="I2601" s="438"/>
      <c r="J2601" s="11"/>
      <c r="Q2601" s="348" t="str">
        <f t="shared" si="328"/>
        <v/>
      </c>
      <c r="R2601" s="348" t="str">
        <f t="shared" si="329"/>
        <v/>
      </c>
      <c r="S2601" s="348" t="str">
        <f t="shared" si="330"/>
        <v/>
      </c>
      <c r="T2601" s="348" t="str">
        <f t="shared" si="331"/>
        <v/>
      </c>
      <c r="U2601" s="348" t="str">
        <f t="shared" si="332"/>
        <v/>
      </c>
      <c r="V2601" s="348" t="str">
        <f t="shared" si="333"/>
        <v/>
      </c>
      <c r="W2601" s="348" t="str">
        <f t="shared" si="334"/>
        <v/>
      </c>
      <c r="X2601" s="348" t="str">
        <f t="shared" si="335"/>
        <v/>
      </c>
    </row>
    <row r="2602" spans="1:24" x14ac:dyDescent="0.2">
      <c r="A2602" s="407">
        <v>2594</v>
      </c>
      <c r="B2602" s="438"/>
      <c r="C2602" s="438"/>
      <c r="D2602" s="438"/>
      <c r="E2602" s="437"/>
      <c r="F2602" s="438"/>
      <c r="G2602" s="438"/>
      <c r="H2602" s="438"/>
      <c r="I2602" s="438"/>
      <c r="J2602" s="11"/>
      <c r="Q2602" s="348" t="str">
        <f t="shared" si="328"/>
        <v/>
      </c>
      <c r="R2602" s="348" t="str">
        <f t="shared" si="329"/>
        <v/>
      </c>
      <c r="S2602" s="348" t="str">
        <f t="shared" si="330"/>
        <v/>
      </c>
      <c r="T2602" s="348" t="str">
        <f t="shared" si="331"/>
        <v/>
      </c>
      <c r="U2602" s="348" t="str">
        <f t="shared" si="332"/>
        <v/>
      </c>
      <c r="V2602" s="348" t="str">
        <f t="shared" si="333"/>
        <v/>
      </c>
      <c r="W2602" s="348" t="str">
        <f t="shared" si="334"/>
        <v/>
      </c>
      <c r="X2602" s="348" t="str">
        <f t="shared" si="335"/>
        <v/>
      </c>
    </row>
    <row r="2603" spans="1:24" x14ac:dyDescent="0.2">
      <c r="A2603" s="407">
        <v>2595</v>
      </c>
      <c r="B2603" s="438"/>
      <c r="C2603" s="438"/>
      <c r="D2603" s="438"/>
      <c r="E2603" s="438"/>
      <c r="F2603" s="438"/>
      <c r="G2603" s="438"/>
      <c r="H2603" s="438"/>
      <c r="I2603" s="438"/>
      <c r="J2603" s="11"/>
      <c r="Q2603" s="348" t="str">
        <f t="shared" si="328"/>
        <v/>
      </c>
      <c r="R2603" s="348" t="str">
        <f t="shared" si="329"/>
        <v/>
      </c>
      <c r="S2603" s="348" t="str">
        <f t="shared" si="330"/>
        <v/>
      </c>
      <c r="T2603" s="348" t="str">
        <f t="shared" si="331"/>
        <v/>
      </c>
      <c r="U2603" s="348" t="str">
        <f t="shared" si="332"/>
        <v/>
      </c>
      <c r="V2603" s="348" t="str">
        <f t="shared" si="333"/>
        <v/>
      </c>
      <c r="W2603" s="348" t="str">
        <f t="shared" si="334"/>
        <v/>
      </c>
      <c r="X2603" s="348" t="str">
        <f t="shared" si="335"/>
        <v/>
      </c>
    </row>
    <row r="2604" spans="1:24" x14ac:dyDescent="0.2">
      <c r="A2604" s="407">
        <v>2596</v>
      </c>
      <c r="B2604" s="438"/>
      <c r="C2604" s="438"/>
      <c r="D2604" s="438"/>
      <c r="E2604" s="438"/>
      <c r="F2604" s="438"/>
      <c r="G2604" s="438"/>
      <c r="H2604" s="438"/>
      <c r="I2604" s="438"/>
      <c r="J2604" s="11"/>
      <c r="Q2604" s="348" t="str">
        <f t="shared" si="328"/>
        <v/>
      </c>
      <c r="R2604" s="348" t="str">
        <f t="shared" si="329"/>
        <v/>
      </c>
      <c r="S2604" s="348" t="str">
        <f t="shared" si="330"/>
        <v/>
      </c>
      <c r="T2604" s="348" t="str">
        <f t="shared" si="331"/>
        <v/>
      </c>
      <c r="U2604" s="348" t="str">
        <f t="shared" si="332"/>
        <v/>
      </c>
      <c r="V2604" s="348" t="str">
        <f t="shared" si="333"/>
        <v/>
      </c>
      <c r="W2604" s="348" t="str">
        <f t="shared" si="334"/>
        <v/>
      </c>
      <c r="X2604" s="348" t="str">
        <f t="shared" si="335"/>
        <v/>
      </c>
    </row>
    <row r="2605" spans="1:24" x14ac:dyDescent="0.2">
      <c r="A2605" s="407">
        <v>2597</v>
      </c>
      <c r="B2605" s="438"/>
      <c r="C2605" s="438"/>
      <c r="D2605" s="438"/>
      <c r="E2605" s="438"/>
      <c r="F2605" s="438"/>
      <c r="G2605" s="438"/>
      <c r="H2605" s="438"/>
      <c r="I2605" s="438"/>
      <c r="J2605" s="11"/>
      <c r="Q2605" s="348" t="str">
        <f t="shared" si="328"/>
        <v/>
      </c>
      <c r="R2605" s="348" t="str">
        <f t="shared" si="329"/>
        <v/>
      </c>
      <c r="S2605" s="348" t="str">
        <f t="shared" si="330"/>
        <v/>
      </c>
      <c r="T2605" s="348" t="str">
        <f t="shared" si="331"/>
        <v/>
      </c>
      <c r="U2605" s="348" t="str">
        <f t="shared" si="332"/>
        <v/>
      </c>
      <c r="V2605" s="348" t="str">
        <f t="shared" si="333"/>
        <v/>
      </c>
      <c r="W2605" s="348" t="str">
        <f t="shared" si="334"/>
        <v/>
      </c>
      <c r="X2605" s="348" t="str">
        <f t="shared" si="335"/>
        <v/>
      </c>
    </row>
    <row r="2606" spans="1:24" x14ac:dyDescent="0.2">
      <c r="A2606" s="407">
        <v>2598</v>
      </c>
      <c r="B2606" s="438"/>
      <c r="C2606" s="438"/>
      <c r="D2606" s="438"/>
      <c r="E2606" s="438"/>
      <c r="F2606" s="438"/>
      <c r="G2606" s="438"/>
      <c r="H2606" s="438"/>
      <c r="I2606" s="438"/>
      <c r="J2606" s="11"/>
      <c r="Q2606" s="348" t="str">
        <f t="shared" si="328"/>
        <v/>
      </c>
      <c r="R2606" s="348" t="str">
        <f t="shared" si="329"/>
        <v/>
      </c>
      <c r="S2606" s="348" t="str">
        <f t="shared" si="330"/>
        <v/>
      </c>
      <c r="T2606" s="348" t="str">
        <f t="shared" si="331"/>
        <v/>
      </c>
      <c r="U2606" s="348" t="str">
        <f t="shared" si="332"/>
        <v/>
      </c>
      <c r="V2606" s="348" t="str">
        <f t="shared" si="333"/>
        <v/>
      </c>
      <c r="W2606" s="348" t="str">
        <f t="shared" si="334"/>
        <v/>
      </c>
      <c r="X2606" s="348" t="str">
        <f t="shared" si="335"/>
        <v/>
      </c>
    </row>
    <row r="2607" spans="1:24" x14ac:dyDescent="0.2">
      <c r="A2607" s="407">
        <v>2599</v>
      </c>
      <c r="B2607" s="438"/>
      <c r="C2607" s="438"/>
      <c r="D2607" s="438"/>
      <c r="E2607" s="438"/>
      <c r="F2607" s="438"/>
      <c r="G2607" s="437"/>
      <c r="H2607" s="438"/>
      <c r="I2607" s="438"/>
      <c r="J2607" s="11"/>
      <c r="Q2607" s="348" t="str">
        <f t="shared" si="328"/>
        <v/>
      </c>
      <c r="R2607" s="348" t="str">
        <f t="shared" si="329"/>
        <v/>
      </c>
      <c r="S2607" s="348" t="str">
        <f t="shared" si="330"/>
        <v/>
      </c>
      <c r="T2607" s="348" t="str">
        <f t="shared" si="331"/>
        <v/>
      </c>
      <c r="U2607" s="348" t="str">
        <f t="shared" si="332"/>
        <v/>
      </c>
      <c r="V2607" s="348" t="str">
        <f t="shared" si="333"/>
        <v/>
      </c>
      <c r="W2607" s="348" t="str">
        <f t="shared" si="334"/>
        <v/>
      </c>
      <c r="X2607" s="348" t="str">
        <f t="shared" si="335"/>
        <v/>
      </c>
    </row>
    <row r="2608" spans="1:24" x14ac:dyDescent="0.2">
      <c r="A2608" s="407">
        <v>2600</v>
      </c>
      <c r="B2608" s="438"/>
      <c r="C2608" s="438"/>
      <c r="D2608" s="438"/>
      <c r="E2608" s="438"/>
      <c r="F2608" s="438"/>
      <c r="G2608" s="438"/>
      <c r="H2608" s="438"/>
      <c r="I2608" s="438"/>
      <c r="J2608" s="11"/>
      <c r="Q2608" s="348" t="str">
        <f t="shared" si="328"/>
        <v/>
      </c>
      <c r="R2608" s="348" t="str">
        <f t="shared" si="329"/>
        <v/>
      </c>
      <c r="S2608" s="348" t="str">
        <f t="shared" si="330"/>
        <v/>
      </c>
      <c r="T2608" s="348" t="str">
        <f t="shared" si="331"/>
        <v/>
      </c>
      <c r="U2608" s="348" t="str">
        <f t="shared" si="332"/>
        <v/>
      </c>
      <c r="V2608" s="348" t="str">
        <f t="shared" si="333"/>
        <v/>
      </c>
      <c r="W2608" s="348" t="str">
        <f t="shared" si="334"/>
        <v/>
      </c>
      <c r="X2608" s="348" t="str">
        <f t="shared" si="335"/>
        <v/>
      </c>
    </row>
    <row r="2609" spans="1:24" x14ac:dyDescent="0.2">
      <c r="A2609" s="407">
        <v>2601</v>
      </c>
      <c r="B2609" s="438"/>
      <c r="C2609" s="437"/>
      <c r="D2609" s="438"/>
      <c r="E2609" s="437"/>
      <c r="F2609" s="437"/>
      <c r="G2609" s="437"/>
      <c r="H2609" s="437"/>
      <c r="I2609" s="437"/>
      <c r="J2609" s="11"/>
      <c r="Q2609" s="348" t="str">
        <f t="shared" si="328"/>
        <v/>
      </c>
      <c r="R2609" s="348" t="str">
        <f t="shared" si="329"/>
        <v/>
      </c>
      <c r="S2609" s="348" t="str">
        <f t="shared" si="330"/>
        <v/>
      </c>
      <c r="T2609" s="348" t="str">
        <f t="shared" si="331"/>
        <v/>
      </c>
      <c r="U2609" s="348" t="str">
        <f t="shared" si="332"/>
        <v/>
      </c>
      <c r="V2609" s="348" t="str">
        <f t="shared" si="333"/>
        <v/>
      </c>
      <c r="W2609" s="348" t="str">
        <f t="shared" si="334"/>
        <v/>
      </c>
      <c r="X2609" s="348" t="str">
        <f t="shared" si="335"/>
        <v/>
      </c>
    </row>
    <row r="2610" spans="1:24" x14ac:dyDescent="0.2">
      <c r="A2610" s="407">
        <v>2602</v>
      </c>
      <c r="B2610" s="438"/>
      <c r="C2610" s="438"/>
      <c r="D2610" s="438"/>
      <c r="E2610" s="438"/>
      <c r="F2610" s="438"/>
      <c r="G2610" s="438"/>
      <c r="H2610" s="438"/>
      <c r="I2610" s="438"/>
      <c r="J2610" s="11"/>
      <c r="Q2610" s="348" t="str">
        <f t="shared" si="328"/>
        <v/>
      </c>
      <c r="R2610" s="348" t="str">
        <f t="shared" si="329"/>
        <v/>
      </c>
      <c r="S2610" s="348" t="str">
        <f t="shared" si="330"/>
        <v/>
      </c>
      <c r="T2610" s="348" t="str">
        <f t="shared" si="331"/>
        <v/>
      </c>
      <c r="U2610" s="348" t="str">
        <f t="shared" si="332"/>
        <v/>
      </c>
      <c r="V2610" s="348" t="str">
        <f t="shared" si="333"/>
        <v/>
      </c>
      <c r="W2610" s="348" t="str">
        <f t="shared" si="334"/>
        <v/>
      </c>
      <c r="X2610" s="348" t="str">
        <f t="shared" si="335"/>
        <v/>
      </c>
    </row>
    <row r="2611" spans="1:24" x14ac:dyDescent="0.2">
      <c r="A2611" s="407">
        <v>2603</v>
      </c>
      <c r="B2611" s="438"/>
      <c r="C2611" s="438"/>
      <c r="D2611" s="438"/>
      <c r="E2611" s="438"/>
      <c r="F2611" s="438"/>
      <c r="G2611" s="438"/>
      <c r="H2611" s="438"/>
      <c r="I2611" s="438"/>
      <c r="J2611" s="11"/>
      <c r="Q2611" s="348" t="str">
        <f t="shared" si="328"/>
        <v/>
      </c>
      <c r="R2611" s="348" t="str">
        <f t="shared" si="329"/>
        <v/>
      </c>
      <c r="S2611" s="348" t="str">
        <f t="shared" si="330"/>
        <v/>
      </c>
      <c r="T2611" s="348" t="str">
        <f t="shared" si="331"/>
        <v/>
      </c>
      <c r="U2611" s="348" t="str">
        <f t="shared" si="332"/>
        <v/>
      </c>
      <c r="V2611" s="348" t="str">
        <f t="shared" si="333"/>
        <v/>
      </c>
      <c r="W2611" s="348" t="str">
        <f t="shared" si="334"/>
        <v/>
      </c>
      <c r="X2611" s="348" t="str">
        <f t="shared" si="335"/>
        <v/>
      </c>
    </row>
    <row r="2612" spans="1:24" x14ac:dyDescent="0.2">
      <c r="A2612" s="407">
        <v>2604</v>
      </c>
      <c r="B2612" s="438"/>
      <c r="C2612" s="438"/>
      <c r="D2612" s="438"/>
      <c r="E2612" s="438"/>
      <c r="F2612" s="438"/>
      <c r="G2612" s="438"/>
      <c r="H2612" s="438"/>
      <c r="I2612" s="438"/>
      <c r="J2612" s="11"/>
      <c r="Q2612" s="348" t="str">
        <f t="shared" si="328"/>
        <v/>
      </c>
      <c r="R2612" s="348" t="str">
        <f t="shared" si="329"/>
        <v/>
      </c>
      <c r="S2612" s="348" t="str">
        <f t="shared" si="330"/>
        <v/>
      </c>
      <c r="T2612" s="348" t="str">
        <f t="shared" si="331"/>
        <v/>
      </c>
      <c r="U2612" s="348" t="str">
        <f t="shared" si="332"/>
        <v/>
      </c>
      <c r="V2612" s="348" t="str">
        <f t="shared" si="333"/>
        <v/>
      </c>
      <c r="W2612" s="348" t="str">
        <f t="shared" si="334"/>
        <v/>
      </c>
      <c r="X2612" s="348" t="str">
        <f t="shared" si="335"/>
        <v/>
      </c>
    </row>
    <row r="2613" spans="1:24" x14ac:dyDescent="0.2">
      <c r="A2613" s="407">
        <v>2605</v>
      </c>
      <c r="B2613" s="438"/>
      <c r="C2613" s="438"/>
      <c r="D2613" s="438"/>
      <c r="E2613" s="438"/>
      <c r="F2613" s="438"/>
      <c r="G2613" s="438"/>
      <c r="H2613" s="438"/>
      <c r="I2613" s="438"/>
      <c r="J2613" s="11"/>
      <c r="Q2613" s="348" t="str">
        <f t="shared" si="328"/>
        <v/>
      </c>
      <c r="R2613" s="348" t="str">
        <f t="shared" si="329"/>
        <v/>
      </c>
      <c r="S2613" s="348" t="str">
        <f t="shared" si="330"/>
        <v/>
      </c>
      <c r="T2613" s="348" t="str">
        <f t="shared" si="331"/>
        <v/>
      </c>
      <c r="U2613" s="348" t="str">
        <f t="shared" si="332"/>
        <v/>
      </c>
      <c r="V2613" s="348" t="str">
        <f t="shared" si="333"/>
        <v/>
      </c>
      <c r="W2613" s="348" t="str">
        <f t="shared" si="334"/>
        <v/>
      </c>
      <c r="X2613" s="348" t="str">
        <f t="shared" si="335"/>
        <v/>
      </c>
    </row>
    <row r="2614" spans="1:24" x14ac:dyDescent="0.2">
      <c r="A2614" s="407">
        <v>2606</v>
      </c>
      <c r="B2614" s="437"/>
      <c r="C2614" s="438"/>
      <c r="D2614" s="438"/>
      <c r="E2614" s="438"/>
      <c r="F2614" s="438"/>
      <c r="G2614" s="438"/>
      <c r="H2614" s="438"/>
      <c r="I2614" s="438"/>
      <c r="J2614" s="11"/>
      <c r="Q2614" s="348" t="str">
        <f t="shared" si="328"/>
        <v/>
      </c>
      <c r="R2614" s="348" t="str">
        <f t="shared" si="329"/>
        <v/>
      </c>
      <c r="S2614" s="348" t="str">
        <f t="shared" si="330"/>
        <v/>
      </c>
      <c r="T2614" s="348" t="str">
        <f t="shared" si="331"/>
        <v/>
      </c>
      <c r="U2614" s="348" t="str">
        <f t="shared" si="332"/>
        <v/>
      </c>
      <c r="V2614" s="348" t="str">
        <f t="shared" si="333"/>
        <v/>
      </c>
      <c r="W2614" s="348" t="str">
        <f t="shared" si="334"/>
        <v/>
      </c>
      <c r="X2614" s="348" t="str">
        <f t="shared" si="335"/>
        <v/>
      </c>
    </row>
    <row r="2615" spans="1:24" x14ac:dyDescent="0.2">
      <c r="A2615" s="407">
        <v>2607</v>
      </c>
      <c r="B2615" s="438"/>
      <c r="C2615" s="438"/>
      <c r="D2615" s="438"/>
      <c r="E2615" s="438"/>
      <c r="F2615" s="438"/>
      <c r="G2615" s="438"/>
      <c r="H2615" s="438"/>
      <c r="I2615" s="438"/>
      <c r="J2615" s="11"/>
      <c r="Q2615" s="348" t="str">
        <f t="shared" si="328"/>
        <v/>
      </c>
      <c r="R2615" s="348" t="str">
        <f t="shared" si="329"/>
        <v/>
      </c>
      <c r="S2615" s="348" t="str">
        <f t="shared" si="330"/>
        <v/>
      </c>
      <c r="T2615" s="348" t="str">
        <f t="shared" si="331"/>
        <v/>
      </c>
      <c r="U2615" s="348" t="str">
        <f t="shared" si="332"/>
        <v/>
      </c>
      <c r="V2615" s="348" t="str">
        <f t="shared" si="333"/>
        <v/>
      </c>
      <c r="W2615" s="348" t="str">
        <f t="shared" si="334"/>
        <v/>
      </c>
      <c r="X2615" s="348" t="str">
        <f t="shared" si="335"/>
        <v/>
      </c>
    </row>
    <row r="2616" spans="1:24" x14ac:dyDescent="0.2">
      <c r="A2616" s="407">
        <v>2608</v>
      </c>
      <c r="B2616" s="438"/>
      <c r="C2616" s="438"/>
      <c r="D2616" s="438"/>
      <c r="E2616" s="438"/>
      <c r="F2616" s="438"/>
      <c r="G2616" s="438"/>
      <c r="H2616" s="438"/>
      <c r="I2616" s="438"/>
      <c r="J2616" s="11"/>
      <c r="Q2616" s="348" t="str">
        <f t="shared" si="328"/>
        <v/>
      </c>
      <c r="R2616" s="348" t="str">
        <f t="shared" si="329"/>
        <v/>
      </c>
      <c r="S2616" s="348" t="str">
        <f t="shared" si="330"/>
        <v/>
      </c>
      <c r="T2616" s="348" t="str">
        <f t="shared" si="331"/>
        <v/>
      </c>
      <c r="U2616" s="348" t="str">
        <f t="shared" si="332"/>
        <v/>
      </c>
      <c r="V2616" s="348" t="str">
        <f t="shared" si="333"/>
        <v/>
      </c>
      <c r="W2616" s="348" t="str">
        <f t="shared" si="334"/>
        <v/>
      </c>
      <c r="X2616" s="348" t="str">
        <f t="shared" si="335"/>
        <v/>
      </c>
    </row>
    <row r="2617" spans="1:24" x14ac:dyDescent="0.2">
      <c r="A2617" s="407">
        <v>2609</v>
      </c>
      <c r="B2617" s="438"/>
      <c r="C2617" s="438"/>
      <c r="D2617" s="438"/>
      <c r="E2617" s="438"/>
      <c r="F2617" s="438"/>
      <c r="G2617" s="438"/>
      <c r="H2617" s="438"/>
      <c r="I2617" s="438"/>
      <c r="J2617" s="11"/>
      <c r="Q2617" s="348" t="str">
        <f t="shared" si="328"/>
        <v/>
      </c>
      <c r="R2617" s="348" t="str">
        <f t="shared" si="329"/>
        <v/>
      </c>
      <c r="S2617" s="348" t="str">
        <f t="shared" si="330"/>
        <v/>
      </c>
      <c r="T2617" s="348" t="str">
        <f t="shared" si="331"/>
        <v/>
      </c>
      <c r="U2617" s="348" t="str">
        <f t="shared" si="332"/>
        <v/>
      </c>
      <c r="V2617" s="348" t="str">
        <f t="shared" si="333"/>
        <v/>
      </c>
      <c r="W2617" s="348" t="str">
        <f t="shared" si="334"/>
        <v/>
      </c>
      <c r="X2617" s="348" t="str">
        <f t="shared" si="335"/>
        <v/>
      </c>
    </row>
    <row r="2618" spans="1:24" x14ac:dyDescent="0.2">
      <c r="A2618" s="407">
        <v>2610</v>
      </c>
      <c r="B2618" s="438"/>
      <c r="C2618" s="438"/>
      <c r="D2618" s="438"/>
      <c r="E2618" s="438"/>
      <c r="F2618" s="438"/>
      <c r="G2618" s="438"/>
      <c r="H2618" s="438"/>
      <c r="I2618" s="438"/>
      <c r="J2618" s="11"/>
      <c r="Q2618" s="348" t="str">
        <f t="shared" si="328"/>
        <v/>
      </c>
      <c r="R2618" s="348" t="str">
        <f t="shared" si="329"/>
        <v/>
      </c>
      <c r="S2618" s="348" t="str">
        <f t="shared" si="330"/>
        <v/>
      </c>
      <c r="T2618" s="348" t="str">
        <f t="shared" si="331"/>
        <v/>
      </c>
      <c r="U2618" s="348" t="str">
        <f t="shared" si="332"/>
        <v/>
      </c>
      <c r="V2618" s="348" t="str">
        <f t="shared" si="333"/>
        <v/>
      </c>
      <c r="W2618" s="348" t="str">
        <f t="shared" si="334"/>
        <v/>
      </c>
      <c r="X2618" s="348" t="str">
        <f t="shared" si="335"/>
        <v/>
      </c>
    </row>
    <row r="2619" spans="1:24" x14ac:dyDescent="0.2">
      <c r="A2619" s="407">
        <v>2611</v>
      </c>
      <c r="B2619" s="438"/>
      <c r="C2619" s="438"/>
      <c r="D2619" s="438"/>
      <c r="E2619" s="438"/>
      <c r="F2619" s="438"/>
      <c r="G2619" s="438"/>
      <c r="H2619" s="438"/>
      <c r="I2619" s="438"/>
      <c r="J2619" s="11"/>
      <c r="Q2619" s="348" t="str">
        <f t="shared" si="328"/>
        <v/>
      </c>
      <c r="R2619" s="348" t="str">
        <f t="shared" si="329"/>
        <v/>
      </c>
      <c r="S2619" s="348" t="str">
        <f t="shared" si="330"/>
        <v/>
      </c>
      <c r="T2619" s="348" t="str">
        <f t="shared" si="331"/>
        <v/>
      </c>
      <c r="U2619" s="348" t="str">
        <f t="shared" si="332"/>
        <v/>
      </c>
      <c r="V2619" s="348" t="str">
        <f t="shared" si="333"/>
        <v/>
      </c>
      <c r="W2619" s="348" t="str">
        <f t="shared" si="334"/>
        <v/>
      </c>
      <c r="X2619" s="348" t="str">
        <f t="shared" si="335"/>
        <v/>
      </c>
    </row>
    <row r="2620" spans="1:24" x14ac:dyDescent="0.2">
      <c r="A2620" s="407">
        <v>2612</v>
      </c>
      <c r="B2620" s="438"/>
      <c r="C2620" s="438"/>
      <c r="D2620" s="438"/>
      <c r="E2620" s="438"/>
      <c r="F2620" s="438"/>
      <c r="G2620" s="438"/>
      <c r="H2620" s="438"/>
      <c r="I2620" s="438"/>
      <c r="J2620" s="11"/>
      <c r="Q2620" s="348" t="str">
        <f t="shared" si="328"/>
        <v/>
      </c>
      <c r="R2620" s="348" t="str">
        <f t="shared" si="329"/>
        <v/>
      </c>
      <c r="S2620" s="348" t="str">
        <f t="shared" si="330"/>
        <v/>
      </c>
      <c r="T2620" s="348" t="str">
        <f t="shared" si="331"/>
        <v/>
      </c>
      <c r="U2620" s="348" t="str">
        <f t="shared" si="332"/>
        <v/>
      </c>
      <c r="V2620" s="348" t="str">
        <f t="shared" si="333"/>
        <v/>
      </c>
      <c r="W2620" s="348" t="str">
        <f t="shared" si="334"/>
        <v/>
      </c>
      <c r="X2620" s="348" t="str">
        <f t="shared" si="335"/>
        <v/>
      </c>
    </row>
    <row r="2621" spans="1:24" x14ac:dyDescent="0.2">
      <c r="A2621" s="407">
        <v>2613</v>
      </c>
      <c r="B2621" s="438"/>
      <c r="C2621" s="438"/>
      <c r="D2621" s="438"/>
      <c r="E2621" s="438"/>
      <c r="F2621" s="438"/>
      <c r="G2621" s="438"/>
      <c r="H2621" s="438"/>
      <c r="I2621" s="438"/>
      <c r="J2621" s="11"/>
      <c r="Q2621" s="348" t="str">
        <f t="shared" si="328"/>
        <v/>
      </c>
      <c r="R2621" s="348" t="str">
        <f t="shared" si="329"/>
        <v/>
      </c>
      <c r="S2621" s="348" t="str">
        <f t="shared" si="330"/>
        <v/>
      </c>
      <c r="T2621" s="348" t="str">
        <f t="shared" si="331"/>
        <v/>
      </c>
      <c r="U2621" s="348" t="str">
        <f t="shared" si="332"/>
        <v/>
      </c>
      <c r="V2621" s="348" t="str">
        <f t="shared" si="333"/>
        <v/>
      </c>
      <c r="W2621" s="348" t="str">
        <f t="shared" si="334"/>
        <v/>
      </c>
      <c r="X2621" s="348" t="str">
        <f t="shared" si="335"/>
        <v/>
      </c>
    </row>
    <row r="2622" spans="1:24" x14ac:dyDescent="0.2">
      <c r="A2622" s="407">
        <v>2614</v>
      </c>
      <c r="B2622" s="438"/>
      <c r="C2622" s="438"/>
      <c r="D2622" s="438"/>
      <c r="E2622" s="438"/>
      <c r="F2622" s="438"/>
      <c r="G2622" s="438"/>
      <c r="H2622" s="438"/>
      <c r="I2622" s="438"/>
      <c r="J2622" s="11"/>
      <c r="Q2622" s="348" t="str">
        <f t="shared" si="328"/>
        <v/>
      </c>
      <c r="R2622" s="348" t="str">
        <f t="shared" si="329"/>
        <v/>
      </c>
      <c r="S2622" s="348" t="str">
        <f t="shared" si="330"/>
        <v/>
      </c>
      <c r="T2622" s="348" t="str">
        <f t="shared" si="331"/>
        <v/>
      </c>
      <c r="U2622" s="348" t="str">
        <f t="shared" si="332"/>
        <v/>
      </c>
      <c r="V2622" s="348" t="str">
        <f t="shared" si="333"/>
        <v/>
      </c>
      <c r="W2622" s="348" t="str">
        <f t="shared" si="334"/>
        <v/>
      </c>
      <c r="X2622" s="348" t="str">
        <f t="shared" si="335"/>
        <v/>
      </c>
    </row>
    <row r="2623" spans="1:24" x14ac:dyDescent="0.2">
      <c r="A2623" s="407">
        <v>2615</v>
      </c>
      <c r="B2623" s="438"/>
      <c r="C2623" s="437"/>
      <c r="D2623" s="438"/>
      <c r="E2623" s="438"/>
      <c r="F2623" s="438"/>
      <c r="G2623" s="438"/>
      <c r="H2623" s="438"/>
      <c r="I2623" s="438"/>
      <c r="J2623" s="11"/>
      <c r="Q2623" s="348" t="str">
        <f t="shared" si="328"/>
        <v/>
      </c>
      <c r="R2623" s="348" t="str">
        <f t="shared" si="329"/>
        <v/>
      </c>
      <c r="S2623" s="348" t="str">
        <f t="shared" si="330"/>
        <v/>
      </c>
      <c r="T2623" s="348" t="str">
        <f t="shared" si="331"/>
        <v/>
      </c>
      <c r="U2623" s="348" t="str">
        <f t="shared" si="332"/>
        <v/>
      </c>
      <c r="V2623" s="348" t="str">
        <f t="shared" si="333"/>
        <v/>
      </c>
      <c r="W2623" s="348" t="str">
        <f t="shared" si="334"/>
        <v/>
      </c>
      <c r="X2623" s="348" t="str">
        <f t="shared" si="335"/>
        <v/>
      </c>
    </row>
    <row r="2624" spans="1:24" x14ac:dyDescent="0.2">
      <c r="A2624" s="407">
        <v>2616</v>
      </c>
      <c r="B2624" s="438"/>
      <c r="C2624" s="438"/>
      <c r="D2624" s="438"/>
      <c r="E2624" s="438"/>
      <c r="F2624" s="438"/>
      <c r="G2624" s="438"/>
      <c r="H2624" s="438"/>
      <c r="I2624" s="438"/>
      <c r="J2624" s="11"/>
      <c r="Q2624" s="348" t="str">
        <f t="shared" si="328"/>
        <v/>
      </c>
      <c r="R2624" s="348" t="str">
        <f t="shared" si="329"/>
        <v/>
      </c>
      <c r="S2624" s="348" t="str">
        <f t="shared" si="330"/>
        <v/>
      </c>
      <c r="T2624" s="348" t="str">
        <f t="shared" si="331"/>
        <v/>
      </c>
      <c r="U2624" s="348" t="str">
        <f t="shared" si="332"/>
        <v/>
      </c>
      <c r="V2624" s="348" t="str">
        <f t="shared" si="333"/>
        <v/>
      </c>
      <c r="W2624" s="348" t="str">
        <f t="shared" si="334"/>
        <v/>
      </c>
      <c r="X2624" s="348" t="str">
        <f t="shared" si="335"/>
        <v/>
      </c>
    </row>
    <row r="2625" spans="1:24" x14ac:dyDescent="0.2">
      <c r="A2625" s="407">
        <v>2617</v>
      </c>
      <c r="B2625" s="438"/>
      <c r="C2625" s="438"/>
      <c r="D2625" s="438"/>
      <c r="E2625" s="438"/>
      <c r="F2625" s="438"/>
      <c r="G2625" s="438"/>
      <c r="H2625" s="438"/>
      <c r="I2625" s="438"/>
      <c r="J2625" s="11"/>
      <c r="Q2625" s="348" t="str">
        <f t="shared" si="328"/>
        <v/>
      </c>
      <c r="R2625" s="348" t="str">
        <f t="shared" si="329"/>
        <v/>
      </c>
      <c r="S2625" s="348" t="str">
        <f t="shared" si="330"/>
        <v/>
      </c>
      <c r="T2625" s="348" t="str">
        <f t="shared" si="331"/>
        <v/>
      </c>
      <c r="U2625" s="348" t="str">
        <f t="shared" si="332"/>
        <v/>
      </c>
      <c r="V2625" s="348" t="str">
        <f t="shared" si="333"/>
        <v/>
      </c>
      <c r="W2625" s="348" t="str">
        <f t="shared" si="334"/>
        <v/>
      </c>
      <c r="X2625" s="348" t="str">
        <f t="shared" si="335"/>
        <v/>
      </c>
    </row>
    <row r="2626" spans="1:24" x14ac:dyDescent="0.2">
      <c r="A2626" s="407">
        <v>2618</v>
      </c>
      <c r="B2626" s="438"/>
      <c r="C2626" s="438"/>
      <c r="D2626" s="437"/>
      <c r="E2626" s="438"/>
      <c r="F2626" s="438"/>
      <c r="G2626" s="438"/>
      <c r="H2626" s="438"/>
      <c r="I2626" s="438"/>
      <c r="J2626" s="11"/>
      <c r="Q2626" s="348" t="str">
        <f t="shared" si="328"/>
        <v/>
      </c>
      <c r="R2626" s="348" t="str">
        <f t="shared" si="329"/>
        <v/>
      </c>
      <c r="S2626" s="348" t="str">
        <f t="shared" si="330"/>
        <v/>
      </c>
      <c r="T2626" s="348" t="str">
        <f t="shared" si="331"/>
        <v/>
      </c>
      <c r="U2626" s="348" t="str">
        <f t="shared" si="332"/>
        <v/>
      </c>
      <c r="V2626" s="348" t="str">
        <f t="shared" si="333"/>
        <v/>
      </c>
      <c r="W2626" s="348" t="str">
        <f t="shared" si="334"/>
        <v/>
      </c>
      <c r="X2626" s="348" t="str">
        <f t="shared" si="335"/>
        <v/>
      </c>
    </row>
    <row r="2627" spans="1:24" x14ac:dyDescent="0.2">
      <c r="A2627" s="407">
        <v>2619</v>
      </c>
      <c r="B2627" s="438"/>
      <c r="C2627" s="438"/>
      <c r="D2627" s="438"/>
      <c r="E2627" s="438"/>
      <c r="F2627" s="438"/>
      <c r="G2627" s="438"/>
      <c r="H2627" s="438"/>
      <c r="I2627" s="438"/>
      <c r="J2627" s="11"/>
      <c r="Q2627" s="348" t="str">
        <f t="shared" si="328"/>
        <v/>
      </c>
      <c r="R2627" s="348" t="str">
        <f t="shared" si="329"/>
        <v/>
      </c>
      <c r="S2627" s="348" t="str">
        <f t="shared" si="330"/>
        <v/>
      </c>
      <c r="T2627" s="348" t="str">
        <f t="shared" si="331"/>
        <v/>
      </c>
      <c r="U2627" s="348" t="str">
        <f t="shared" si="332"/>
        <v/>
      </c>
      <c r="V2627" s="348" t="str">
        <f t="shared" si="333"/>
        <v/>
      </c>
      <c r="W2627" s="348" t="str">
        <f t="shared" si="334"/>
        <v/>
      </c>
      <c r="X2627" s="348" t="str">
        <f t="shared" si="335"/>
        <v/>
      </c>
    </row>
    <row r="2628" spans="1:24" x14ac:dyDescent="0.2">
      <c r="A2628" s="407">
        <v>2620</v>
      </c>
      <c r="B2628" s="438"/>
      <c r="C2628" s="438"/>
      <c r="D2628" s="438"/>
      <c r="E2628" s="438"/>
      <c r="F2628" s="438"/>
      <c r="G2628" s="438"/>
      <c r="H2628" s="438"/>
      <c r="I2628" s="438"/>
      <c r="J2628" s="11"/>
      <c r="Q2628" s="348" t="str">
        <f t="shared" si="328"/>
        <v/>
      </c>
      <c r="R2628" s="348" t="str">
        <f t="shared" si="329"/>
        <v/>
      </c>
      <c r="S2628" s="348" t="str">
        <f t="shared" si="330"/>
        <v/>
      </c>
      <c r="T2628" s="348" t="str">
        <f t="shared" si="331"/>
        <v/>
      </c>
      <c r="U2628" s="348" t="str">
        <f t="shared" si="332"/>
        <v/>
      </c>
      <c r="V2628" s="348" t="str">
        <f t="shared" si="333"/>
        <v/>
      </c>
      <c r="W2628" s="348" t="str">
        <f t="shared" si="334"/>
        <v/>
      </c>
      <c r="X2628" s="348" t="str">
        <f t="shared" si="335"/>
        <v/>
      </c>
    </row>
    <row r="2629" spans="1:24" x14ac:dyDescent="0.2">
      <c r="A2629" s="407">
        <v>2621</v>
      </c>
      <c r="B2629" s="438"/>
      <c r="C2629" s="438"/>
      <c r="D2629" s="438"/>
      <c r="E2629" s="438"/>
      <c r="F2629" s="438"/>
      <c r="G2629" s="438"/>
      <c r="H2629" s="438"/>
      <c r="I2629" s="438"/>
      <c r="J2629" s="11"/>
      <c r="Q2629" s="348" t="str">
        <f t="shared" si="328"/>
        <v/>
      </c>
      <c r="R2629" s="348" t="str">
        <f t="shared" si="329"/>
        <v/>
      </c>
      <c r="S2629" s="348" t="str">
        <f t="shared" si="330"/>
        <v/>
      </c>
      <c r="T2629" s="348" t="str">
        <f t="shared" si="331"/>
        <v/>
      </c>
      <c r="U2629" s="348" t="str">
        <f t="shared" si="332"/>
        <v/>
      </c>
      <c r="V2629" s="348" t="str">
        <f t="shared" si="333"/>
        <v/>
      </c>
      <c r="W2629" s="348" t="str">
        <f t="shared" si="334"/>
        <v/>
      </c>
      <c r="X2629" s="348" t="str">
        <f t="shared" si="335"/>
        <v/>
      </c>
    </row>
    <row r="2630" spans="1:24" x14ac:dyDescent="0.2">
      <c r="A2630" s="407">
        <v>2622</v>
      </c>
      <c r="B2630" s="438"/>
      <c r="C2630" s="438"/>
      <c r="D2630" s="438"/>
      <c r="E2630" s="438"/>
      <c r="F2630" s="438"/>
      <c r="G2630" s="438"/>
      <c r="H2630" s="438"/>
      <c r="I2630" s="438"/>
      <c r="J2630" s="11"/>
      <c r="Q2630" s="348" t="str">
        <f t="shared" si="328"/>
        <v/>
      </c>
      <c r="R2630" s="348" t="str">
        <f t="shared" si="329"/>
        <v/>
      </c>
      <c r="S2630" s="348" t="str">
        <f t="shared" si="330"/>
        <v/>
      </c>
      <c r="T2630" s="348" t="str">
        <f t="shared" si="331"/>
        <v/>
      </c>
      <c r="U2630" s="348" t="str">
        <f t="shared" si="332"/>
        <v/>
      </c>
      <c r="V2630" s="348" t="str">
        <f t="shared" si="333"/>
        <v/>
      </c>
      <c r="W2630" s="348" t="str">
        <f t="shared" si="334"/>
        <v/>
      </c>
      <c r="X2630" s="348" t="str">
        <f t="shared" si="335"/>
        <v/>
      </c>
    </row>
    <row r="2631" spans="1:24" x14ac:dyDescent="0.2">
      <c r="A2631" s="407">
        <v>2623</v>
      </c>
      <c r="B2631" s="438"/>
      <c r="C2631" s="438"/>
      <c r="D2631" s="438"/>
      <c r="E2631" s="438"/>
      <c r="F2631" s="438"/>
      <c r="G2631" s="438"/>
      <c r="H2631" s="438"/>
      <c r="I2631" s="438"/>
      <c r="J2631" s="11"/>
      <c r="Q2631" s="348" t="str">
        <f t="shared" si="328"/>
        <v/>
      </c>
      <c r="R2631" s="348" t="str">
        <f t="shared" si="329"/>
        <v/>
      </c>
      <c r="S2631" s="348" t="str">
        <f t="shared" si="330"/>
        <v/>
      </c>
      <c r="T2631" s="348" t="str">
        <f t="shared" si="331"/>
        <v/>
      </c>
      <c r="U2631" s="348" t="str">
        <f t="shared" si="332"/>
        <v/>
      </c>
      <c r="V2631" s="348" t="str">
        <f t="shared" si="333"/>
        <v/>
      </c>
      <c r="W2631" s="348" t="str">
        <f t="shared" si="334"/>
        <v/>
      </c>
      <c r="X2631" s="348" t="str">
        <f t="shared" si="335"/>
        <v/>
      </c>
    </row>
    <row r="2632" spans="1:24" x14ac:dyDescent="0.2">
      <c r="A2632" s="407">
        <v>2624</v>
      </c>
      <c r="B2632" s="438"/>
      <c r="C2632" s="438"/>
      <c r="D2632" s="438"/>
      <c r="E2632" s="438"/>
      <c r="F2632" s="438"/>
      <c r="G2632" s="438"/>
      <c r="H2632" s="438"/>
      <c r="I2632" s="438"/>
      <c r="J2632" s="11"/>
      <c r="Q2632" s="348" t="str">
        <f t="shared" si="328"/>
        <v/>
      </c>
      <c r="R2632" s="348" t="str">
        <f t="shared" si="329"/>
        <v/>
      </c>
      <c r="S2632" s="348" t="str">
        <f t="shared" si="330"/>
        <v/>
      </c>
      <c r="T2632" s="348" t="str">
        <f t="shared" si="331"/>
        <v/>
      </c>
      <c r="U2632" s="348" t="str">
        <f t="shared" si="332"/>
        <v/>
      </c>
      <c r="V2632" s="348" t="str">
        <f t="shared" si="333"/>
        <v/>
      </c>
      <c r="W2632" s="348" t="str">
        <f t="shared" si="334"/>
        <v/>
      </c>
      <c r="X2632" s="348" t="str">
        <f t="shared" si="335"/>
        <v/>
      </c>
    </row>
    <row r="2633" spans="1:24" x14ac:dyDescent="0.2">
      <c r="A2633" s="407">
        <v>2625</v>
      </c>
      <c r="B2633" s="437"/>
      <c r="C2633" s="438"/>
      <c r="D2633" s="438"/>
      <c r="E2633" s="438"/>
      <c r="F2633" s="438"/>
      <c r="G2633" s="438"/>
      <c r="H2633" s="438"/>
      <c r="I2633" s="438"/>
      <c r="J2633" s="11"/>
      <c r="Q2633" s="348" t="str">
        <f t="shared" si="328"/>
        <v/>
      </c>
      <c r="R2633" s="348" t="str">
        <f t="shared" si="329"/>
        <v/>
      </c>
      <c r="S2633" s="348" t="str">
        <f t="shared" si="330"/>
        <v/>
      </c>
      <c r="T2633" s="348" t="str">
        <f t="shared" si="331"/>
        <v/>
      </c>
      <c r="U2633" s="348" t="str">
        <f t="shared" si="332"/>
        <v/>
      </c>
      <c r="V2633" s="348" t="str">
        <f t="shared" si="333"/>
        <v/>
      </c>
      <c r="W2633" s="348" t="str">
        <f t="shared" si="334"/>
        <v/>
      </c>
      <c r="X2633" s="348" t="str">
        <f t="shared" si="335"/>
        <v/>
      </c>
    </row>
    <row r="2634" spans="1:24" x14ac:dyDescent="0.2">
      <c r="A2634" s="407">
        <v>2626</v>
      </c>
      <c r="B2634" s="438"/>
      <c r="C2634" s="438"/>
      <c r="D2634" s="438"/>
      <c r="E2634" s="437"/>
      <c r="F2634" s="437"/>
      <c r="G2634" s="437"/>
      <c r="H2634" s="437"/>
      <c r="I2634" s="437"/>
      <c r="J2634" s="11"/>
      <c r="Q2634" s="348" t="str">
        <f t="shared" ref="Q2634:Q2697" si="336">IFERROR(B2634^4*$AB$9+B2634^3*$AC$9+B2634^2*$AD$9+B2634^1*$AE$9+B2634^0*$AF$9,"")</f>
        <v/>
      </c>
      <c r="R2634" s="348" t="str">
        <f t="shared" ref="R2634:R2697" si="337">IFERROR(C2634^4*$AB$10+C2634^3*$AC$10+C2634^2*$AD$10+C2634^1*$AE$10+C2634^0*$AF$10,"")</f>
        <v/>
      </c>
      <c r="S2634" s="348" t="str">
        <f t="shared" ref="S2634:S2697" si="338">IFERROR(D2634^4*$AB$11+D2634^3*$AC$11+D2634^2*$AD$11+D2634^1*$AE$11+D2634^0*$AF$11,"")</f>
        <v/>
      </c>
      <c r="T2634" s="348" t="str">
        <f t="shared" ref="T2634:T2697" si="339">IFERROR(E2634^4*$AB$12+E2634^3*$AC$12+E2634^2*$AD$12+E2634^1*$AE$12+E2634^0*$AF$12,"")</f>
        <v/>
      </c>
      <c r="U2634" s="348" t="str">
        <f t="shared" ref="U2634:U2697" si="340">IFERROR(F2634^4*$AB$13+F2634^3*$AC$13+F2634^2*$AD$13+F2634^1*$AE$13+F2634^0*$AF$13,"")</f>
        <v/>
      </c>
      <c r="V2634" s="348" t="str">
        <f t="shared" ref="V2634:V2697" si="341">IFERROR(G2634^4*$AB$14+G2634^3*$AC$14+G2634^2*$AD$14+G2634^1*$AE$14+G2634^0*$AF$14,"")</f>
        <v/>
      </c>
      <c r="W2634" s="348" t="str">
        <f t="shared" ref="W2634:W2697" si="342">IFERROR(H2634^4*$AB$15+H2634^3*$AC$15+H2634^2*$AD$15+H2634^1*$AE$15+H2634^0*$AF$15,"")</f>
        <v/>
      </c>
      <c r="X2634" s="348" t="str">
        <f t="shared" ref="X2634:X2697" si="343">IFERROR(I2634^4*$AB$16+I2634^3*$AC$16+I2634^2*$AD$16+I2634^1*$AE$16+I2634^0*$AF$16,"")</f>
        <v/>
      </c>
    </row>
    <row r="2635" spans="1:24" x14ac:dyDescent="0.2">
      <c r="A2635" s="407">
        <v>2627</v>
      </c>
      <c r="B2635" s="438"/>
      <c r="C2635" s="438"/>
      <c r="D2635" s="438"/>
      <c r="E2635" s="438"/>
      <c r="F2635" s="438"/>
      <c r="G2635" s="438"/>
      <c r="H2635" s="438"/>
      <c r="I2635" s="438"/>
      <c r="J2635" s="11"/>
      <c r="Q2635" s="348" t="str">
        <f t="shared" si="336"/>
        <v/>
      </c>
      <c r="R2635" s="348" t="str">
        <f t="shared" si="337"/>
        <v/>
      </c>
      <c r="S2635" s="348" t="str">
        <f t="shared" si="338"/>
        <v/>
      </c>
      <c r="T2635" s="348" t="str">
        <f t="shared" si="339"/>
        <v/>
      </c>
      <c r="U2635" s="348" t="str">
        <f t="shared" si="340"/>
        <v/>
      </c>
      <c r="V2635" s="348" t="str">
        <f t="shared" si="341"/>
        <v/>
      </c>
      <c r="W2635" s="348" t="str">
        <f t="shared" si="342"/>
        <v/>
      </c>
      <c r="X2635" s="348" t="str">
        <f t="shared" si="343"/>
        <v/>
      </c>
    </row>
    <row r="2636" spans="1:24" x14ac:dyDescent="0.2">
      <c r="A2636" s="407">
        <v>2628</v>
      </c>
      <c r="B2636" s="438"/>
      <c r="C2636" s="438"/>
      <c r="D2636" s="438"/>
      <c r="E2636" s="438"/>
      <c r="F2636" s="438"/>
      <c r="G2636" s="438"/>
      <c r="H2636" s="438"/>
      <c r="I2636" s="438"/>
      <c r="J2636" s="11"/>
      <c r="Q2636" s="348" t="str">
        <f t="shared" si="336"/>
        <v/>
      </c>
      <c r="R2636" s="348" t="str">
        <f t="shared" si="337"/>
        <v/>
      </c>
      <c r="S2636" s="348" t="str">
        <f t="shared" si="338"/>
        <v/>
      </c>
      <c r="T2636" s="348" t="str">
        <f t="shared" si="339"/>
        <v/>
      </c>
      <c r="U2636" s="348" t="str">
        <f t="shared" si="340"/>
        <v/>
      </c>
      <c r="V2636" s="348" t="str">
        <f t="shared" si="341"/>
        <v/>
      </c>
      <c r="W2636" s="348" t="str">
        <f t="shared" si="342"/>
        <v/>
      </c>
      <c r="X2636" s="348" t="str">
        <f t="shared" si="343"/>
        <v/>
      </c>
    </row>
    <row r="2637" spans="1:24" x14ac:dyDescent="0.2">
      <c r="A2637" s="407">
        <v>2629</v>
      </c>
      <c r="B2637" s="438"/>
      <c r="C2637" s="438"/>
      <c r="D2637" s="438"/>
      <c r="E2637" s="438"/>
      <c r="F2637" s="438"/>
      <c r="G2637" s="438"/>
      <c r="H2637" s="438"/>
      <c r="I2637" s="438"/>
      <c r="J2637" s="11"/>
      <c r="Q2637" s="348" t="str">
        <f t="shared" si="336"/>
        <v/>
      </c>
      <c r="R2637" s="348" t="str">
        <f t="shared" si="337"/>
        <v/>
      </c>
      <c r="S2637" s="348" t="str">
        <f t="shared" si="338"/>
        <v/>
      </c>
      <c r="T2637" s="348" t="str">
        <f t="shared" si="339"/>
        <v/>
      </c>
      <c r="U2637" s="348" t="str">
        <f t="shared" si="340"/>
        <v/>
      </c>
      <c r="V2637" s="348" t="str">
        <f t="shared" si="341"/>
        <v/>
      </c>
      <c r="W2637" s="348" t="str">
        <f t="shared" si="342"/>
        <v/>
      </c>
      <c r="X2637" s="348" t="str">
        <f t="shared" si="343"/>
        <v/>
      </c>
    </row>
    <row r="2638" spans="1:24" x14ac:dyDescent="0.2">
      <c r="A2638" s="407">
        <v>2630</v>
      </c>
      <c r="B2638" s="438"/>
      <c r="C2638" s="438"/>
      <c r="D2638" s="438"/>
      <c r="E2638" s="438"/>
      <c r="F2638" s="438"/>
      <c r="G2638" s="438"/>
      <c r="H2638" s="438"/>
      <c r="I2638" s="438"/>
      <c r="J2638" s="11"/>
      <c r="Q2638" s="348" t="str">
        <f t="shared" si="336"/>
        <v/>
      </c>
      <c r="R2638" s="348" t="str">
        <f t="shared" si="337"/>
        <v/>
      </c>
      <c r="S2638" s="348" t="str">
        <f t="shared" si="338"/>
        <v/>
      </c>
      <c r="T2638" s="348" t="str">
        <f t="shared" si="339"/>
        <v/>
      </c>
      <c r="U2638" s="348" t="str">
        <f t="shared" si="340"/>
        <v/>
      </c>
      <c r="V2638" s="348" t="str">
        <f t="shared" si="341"/>
        <v/>
      </c>
      <c r="W2638" s="348" t="str">
        <f t="shared" si="342"/>
        <v/>
      </c>
      <c r="X2638" s="348" t="str">
        <f t="shared" si="343"/>
        <v/>
      </c>
    </row>
    <row r="2639" spans="1:24" x14ac:dyDescent="0.2">
      <c r="A2639" s="407">
        <v>2631</v>
      </c>
      <c r="B2639" s="438"/>
      <c r="C2639" s="438"/>
      <c r="D2639" s="438"/>
      <c r="E2639" s="438"/>
      <c r="F2639" s="438"/>
      <c r="G2639" s="438"/>
      <c r="H2639" s="438"/>
      <c r="I2639" s="438"/>
      <c r="J2639" s="11"/>
      <c r="Q2639" s="348" t="str">
        <f t="shared" si="336"/>
        <v/>
      </c>
      <c r="R2639" s="348" t="str">
        <f t="shared" si="337"/>
        <v/>
      </c>
      <c r="S2639" s="348" t="str">
        <f t="shared" si="338"/>
        <v/>
      </c>
      <c r="T2639" s="348" t="str">
        <f t="shared" si="339"/>
        <v/>
      </c>
      <c r="U2639" s="348" t="str">
        <f t="shared" si="340"/>
        <v/>
      </c>
      <c r="V2639" s="348" t="str">
        <f t="shared" si="341"/>
        <v/>
      </c>
      <c r="W2639" s="348" t="str">
        <f t="shared" si="342"/>
        <v/>
      </c>
      <c r="X2639" s="348" t="str">
        <f t="shared" si="343"/>
        <v/>
      </c>
    </row>
    <row r="2640" spans="1:24" x14ac:dyDescent="0.2">
      <c r="A2640" s="407">
        <v>2632</v>
      </c>
      <c r="B2640" s="438"/>
      <c r="C2640" s="438"/>
      <c r="D2640" s="438"/>
      <c r="E2640" s="438"/>
      <c r="F2640" s="438"/>
      <c r="G2640" s="438"/>
      <c r="H2640" s="438"/>
      <c r="I2640" s="438"/>
      <c r="J2640" s="11"/>
      <c r="Q2640" s="348" t="str">
        <f t="shared" si="336"/>
        <v/>
      </c>
      <c r="R2640" s="348" t="str">
        <f t="shared" si="337"/>
        <v/>
      </c>
      <c r="S2640" s="348" t="str">
        <f t="shared" si="338"/>
        <v/>
      </c>
      <c r="T2640" s="348" t="str">
        <f t="shared" si="339"/>
        <v/>
      </c>
      <c r="U2640" s="348" t="str">
        <f t="shared" si="340"/>
        <v/>
      </c>
      <c r="V2640" s="348" t="str">
        <f t="shared" si="341"/>
        <v/>
      </c>
      <c r="W2640" s="348" t="str">
        <f t="shared" si="342"/>
        <v/>
      </c>
      <c r="X2640" s="348" t="str">
        <f t="shared" si="343"/>
        <v/>
      </c>
    </row>
    <row r="2641" spans="1:24" x14ac:dyDescent="0.2">
      <c r="A2641" s="407">
        <v>2633</v>
      </c>
      <c r="B2641" s="438"/>
      <c r="C2641" s="438"/>
      <c r="D2641" s="438"/>
      <c r="E2641" s="438"/>
      <c r="F2641" s="438"/>
      <c r="G2641" s="438"/>
      <c r="H2641" s="438"/>
      <c r="I2641" s="438"/>
      <c r="J2641" s="11"/>
      <c r="Q2641" s="348" t="str">
        <f t="shared" si="336"/>
        <v/>
      </c>
      <c r="R2641" s="348" t="str">
        <f t="shared" si="337"/>
        <v/>
      </c>
      <c r="S2641" s="348" t="str">
        <f t="shared" si="338"/>
        <v/>
      </c>
      <c r="T2641" s="348" t="str">
        <f t="shared" si="339"/>
        <v/>
      </c>
      <c r="U2641" s="348" t="str">
        <f t="shared" si="340"/>
        <v/>
      </c>
      <c r="V2641" s="348" t="str">
        <f t="shared" si="341"/>
        <v/>
      </c>
      <c r="W2641" s="348" t="str">
        <f t="shared" si="342"/>
        <v/>
      </c>
      <c r="X2641" s="348" t="str">
        <f t="shared" si="343"/>
        <v/>
      </c>
    </row>
    <row r="2642" spans="1:24" x14ac:dyDescent="0.2">
      <c r="A2642" s="407">
        <v>2634</v>
      </c>
      <c r="B2642" s="438"/>
      <c r="C2642" s="438"/>
      <c r="D2642" s="438"/>
      <c r="E2642" s="438"/>
      <c r="F2642" s="438"/>
      <c r="G2642" s="438"/>
      <c r="H2642" s="438"/>
      <c r="I2642" s="438"/>
      <c r="J2642" s="11"/>
      <c r="Q2642" s="348" t="str">
        <f t="shared" si="336"/>
        <v/>
      </c>
      <c r="R2642" s="348" t="str">
        <f t="shared" si="337"/>
        <v/>
      </c>
      <c r="S2642" s="348" t="str">
        <f t="shared" si="338"/>
        <v/>
      </c>
      <c r="T2642" s="348" t="str">
        <f t="shared" si="339"/>
        <v/>
      </c>
      <c r="U2642" s="348" t="str">
        <f t="shared" si="340"/>
        <v/>
      </c>
      <c r="V2642" s="348" t="str">
        <f t="shared" si="341"/>
        <v/>
      </c>
      <c r="W2642" s="348" t="str">
        <f t="shared" si="342"/>
        <v/>
      </c>
      <c r="X2642" s="348" t="str">
        <f t="shared" si="343"/>
        <v/>
      </c>
    </row>
    <row r="2643" spans="1:24" x14ac:dyDescent="0.2">
      <c r="A2643" s="407">
        <v>2635</v>
      </c>
      <c r="B2643" s="437"/>
      <c r="C2643" s="438"/>
      <c r="D2643" s="438"/>
      <c r="E2643" s="438"/>
      <c r="F2643" s="438"/>
      <c r="G2643" s="438"/>
      <c r="H2643" s="438"/>
      <c r="I2643" s="438"/>
      <c r="J2643" s="11"/>
      <c r="Q2643" s="348" t="str">
        <f t="shared" si="336"/>
        <v/>
      </c>
      <c r="R2643" s="348" t="str">
        <f t="shared" si="337"/>
        <v/>
      </c>
      <c r="S2643" s="348" t="str">
        <f t="shared" si="338"/>
        <v/>
      </c>
      <c r="T2643" s="348" t="str">
        <f t="shared" si="339"/>
        <v/>
      </c>
      <c r="U2643" s="348" t="str">
        <f t="shared" si="340"/>
        <v/>
      </c>
      <c r="V2643" s="348" t="str">
        <f t="shared" si="341"/>
        <v/>
      </c>
      <c r="W2643" s="348" t="str">
        <f t="shared" si="342"/>
        <v/>
      </c>
      <c r="X2643" s="348" t="str">
        <f t="shared" si="343"/>
        <v/>
      </c>
    </row>
    <row r="2644" spans="1:24" x14ac:dyDescent="0.2">
      <c r="A2644" s="407">
        <v>2636</v>
      </c>
      <c r="B2644" s="438"/>
      <c r="C2644" s="437"/>
      <c r="D2644" s="438"/>
      <c r="E2644" s="438"/>
      <c r="F2644" s="438"/>
      <c r="G2644" s="438"/>
      <c r="H2644" s="438"/>
      <c r="I2644" s="438"/>
      <c r="J2644" s="11"/>
      <c r="Q2644" s="348" t="str">
        <f t="shared" si="336"/>
        <v/>
      </c>
      <c r="R2644" s="348" t="str">
        <f t="shared" si="337"/>
        <v/>
      </c>
      <c r="S2644" s="348" t="str">
        <f t="shared" si="338"/>
        <v/>
      </c>
      <c r="T2644" s="348" t="str">
        <f t="shared" si="339"/>
        <v/>
      </c>
      <c r="U2644" s="348" t="str">
        <f t="shared" si="340"/>
        <v/>
      </c>
      <c r="V2644" s="348" t="str">
        <f t="shared" si="341"/>
        <v/>
      </c>
      <c r="W2644" s="348" t="str">
        <f t="shared" si="342"/>
        <v/>
      </c>
      <c r="X2644" s="348" t="str">
        <f t="shared" si="343"/>
        <v/>
      </c>
    </row>
    <row r="2645" spans="1:24" x14ac:dyDescent="0.2">
      <c r="A2645" s="407">
        <v>2637</v>
      </c>
      <c r="B2645" s="438"/>
      <c r="C2645" s="438"/>
      <c r="D2645" s="438"/>
      <c r="E2645" s="438"/>
      <c r="F2645" s="438"/>
      <c r="G2645" s="438"/>
      <c r="H2645" s="438"/>
      <c r="I2645" s="438"/>
      <c r="J2645" s="11"/>
      <c r="Q2645" s="348" t="str">
        <f t="shared" si="336"/>
        <v/>
      </c>
      <c r="R2645" s="348" t="str">
        <f t="shared" si="337"/>
        <v/>
      </c>
      <c r="S2645" s="348" t="str">
        <f t="shared" si="338"/>
        <v/>
      </c>
      <c r="T2645" s="348" t="str">
        <f t="shared" si="339"/>
        <v/>
      </c>
      <c r="U2645" s="348" t="str">
        <f t="shared" si="340"/>
        <v/>
      </c>
      <c r="V2645" s="348" t="str">
        <f t="shared" si="341"/>
        <v/>
      </c>
      <c r="W2645" s="348" t="str">
        <f t="shared" si="342"/>
        <v/>
      </c>
      <c r="X2645" s="348" t="str">
        <f t="shared" si="343"/>
        <v/>
      </c>
    </row>
    <row r="2646" spans="1:24" x14ac:dyDescent="0.2">
      <c r="A2646" s="407">
        <v>2638</v>
      </c>
      <c r="B2646" s="438"/>
      <c r="C2646" s="438"/>
      <c r="D2646" s="438"/>
      <c r="E2646" s="438"/>
      <c r="F2646" s="438"/>
      <c r="G2646" s="438"/>
      <c r="H2646" s="438"/>
      <c r="I2646" s="438"/>
      <c r="J2646" s="11"/>
      <c r="Q2646" s="348" t="str">
        <f t="shared" si="336"/>
        <v/>
      </c>
      <c r="R2646" s="348" t="str">
        <f t="shared" si="337"/>
        <v/>
      </c>
      <c r="S2646" s="348" t="str">
        <f t="shared" si="338"/>
        <v/>
      </c>
      <c r="T2646" s="348" t="str">
        <f t="shared" si="339"/>
        <v/>
      </c>
      <c r="U2646" s="348" t="str">
        <f t="shared" si="340"/>
        <v/>
      </c>
      <c r="V2646" s="348" t="str">
        <f t="shared" si="341"/>
        <v/>
      </c>
      <c r="W2646" s="348" t="str">
        <f t="shared" si="342"/>
        <v/>
      </c>
      <c r="X2646" s="348" t="str">
        <f t="shared" si="343"/>
        <v/>
      </c>
    </row>
    <row r="2647" spans="1:24" x14ac:dyDescent="0.2">
      <c r="A2647" s="407">
        <v>2639</v>
      </c>
      <c r="B2647" s="438"/>
      <c r="C2647" s="438"/>
      <c r="D2647" s="438"/>
      <c r="E2647" s="438"/>
      <c r="F2647" s="438"/>
      <c r="G2647" s="438"/>
      <c r="H2647" s="438"/>
      <c r="I2647" s="438"/>
      <c r="J2647" s="11"/>
      <c r="Q2647" s="348" t="str">
        <f t="shared" si="336"/>
        <v/>
      </c>
      <c r="R2647" s="348" t="str">
        <f t="shared" si="337"/>
        <v/>
      </c>
      <c r="S2647" s="348" t="str">
        <f t="shared" si="338"/>
        <v/>
      </c>
      <c r="T2647" s="348" t="str">
        <f t="shared" si="339"/>
        <v/>
      </c>
      <c r="U2647" s="348" t="str">
        <f t="shared" si="340"/>
        <v/>
      </c>
      <c r="V2647" s="348" t="str">
        <f t="shared" si="341"/>
        <v/>
      </c>
      <c r="W2647" s="348" t="str">
        <f t="shared" si="342"/>
        <v/>
      </c>
      <c r="X2647" s="348" t="str">
        <f t="shared" si="343"/>
        <v/>
      </c>
    </row>
    <row r="2648" spans="1:24" x14ac:dyDescent="0.2">
      <c r="A2648" s="407">
        <v>2640</v>
      </c>
      <c r="B2648" s="438"/>
      <c r="C2648" s="438"/>
      <c r="D2648" s="438"/>
      <c r="E2648" s="438"/>
      <c r="F2648" s="438"/>
      <c r="G2648" s="438"/>
      <c r="H2648" s="438"/>
      <c r="I2648" s="438"/>
      <c r="J2648" s="11"/>
      <c r="Q2648" s="348" t="str">
        <f t="shared" si="336"/>
        <v/>
      </c>
      <c r="R2648" s="348" t="str">
        <f t="shared" si="337"/>
        <v/>
      </c>
      <c r="S2648" s="348" t="str">
        <f t="shared" si="338"/>
        <v/>
      </c>
      <c r="T2648" s="348" t="str">
        <f t="shared" si="339"/>
        <v/>
      </c>
      <c r="U2648" s="348" t="str">
        <f t="shared" si="340"/>
        <v/>
      </c>
      <c r="V2648" s="348" t="str">
        <f t="shared" si="341"/>
        <v/>
      </c>
      <c r="W2648" s="348" t="str">
        <f t="shared" si="342"/>
        <v/>
      </c>
      <c r="X2648" s="348" t="str">
        <f t="shared" si="343"/>
        <v/>
      </c>
    </row>
    <row r="2649" spans="1:24" x14ac:dyDescent="0.2">
      <c r="A2649" s="407">
        <v>2641</v>
      </c>
      <c r="B2649" s="438"/>
      <c r="C2649" s="438"/>
      <c r="D2649" s="438"/>
      <c r="E2649" s="438"/>
      <c r="F2649" s="438"/>
      <c r="G2649" s="438"/>
      <c r="H2649" s="438"/>
      <c r="I2649" s="438"/>
      <c r="J2649" s="11"/>
      <c r="Q2649" s="348" t="str">
        <f t="shared" si="336"/>
        <v/>
      </c>
      <c r="R2649" s="348" t="str">
        <f t="shared" si="337"/>
        <v/>
      </c>
      <c r="S2649" s="348" t="str">
        <f t="shared" si="338"/>
        <v/>
      </c>
      <c r="T2649" s="348" t="str">
        <f t="shared" si="339"/>
        <v/>
      </c>
      <c r="U2649" s="348" t="str">
        <f t="shared" si="340"/>
        <v/>
      </c>
      <c r="V2649" s="348" t="str">
        <f t="shared" si="341"/>
        <v/>
      </c>
      <c r="W2649" s="348" t="str">
        <f t="shared" si="342"/>
        <v/>
      </c>
      <c r="X2649" s="348" t="str">
        <f t="shared" si="343"/>
        <v/>
      </c>
    </row>
    <row r="2650" spans="1:24" x14ac:dyDescent="0.2">
      <c r="A2650" s="407">
        <v>2642</v>
      </c>
      <c r="B2650" s="438"/>
      <c r="C2650" s="438"/>
      <c r="D2650" s="438"/>
      <c r="E2650" s="438"/>
      <c r="F2650" s="438"/>
      <c r="G2650" s="438"/>
      <c r="H2650" s="438"/>
      <c r="I2650" s="438"/>
      <c r="J2650" s="11"/>
      <c r="Q2650" s="348" t="str">
        <f t="shared" si="336"/>
        <v/>
      </c>
      <c r="R2650" s="348" t="str">
        <f t="shared" si="337"/>
        <v/>
      </c>
      <c r="S2650" s="348" t="str">
        <f t="shared" si="338"/>
        <v/>
      </c>
      <c r="T2650" s="348" t="str">
        <f t="shared" si="339"/>
        <v/>
      </c>
      <c r="U2650" s="348" t="str">
        <f t="shared" si="340"/>
        <v/>
      </c>
      <c r="V2650" s="348" t="str">
        <f t="shared" si="341"/>
        <v/>
      </c>
      <c r="W2650" s="348" t="str">
        <f t="shared" si="342"/>
        <v/>
      </c>
      <c r="X2650" s="348" t="str">
        <f t="shared" si="343"/>
        <v/>
      </c>
    </row>
    <row r="2651" spans="1:24" x14ac:dyDescent="0.2">
      <c r="A2651" s="407">
        <v>2643</v>
      </c>
      <c r="B2651" s="438"/>
      <c r="C2651" s="438"/>
      <c r="D2651" s="438"/>
      <c r="E2651" s="438"/>
      <c r="F2651" s="438"/>
      <c r="G2651" s="438"/>
      <c r="H2651" s="438"/>
      <c r="I2651" s="438"/>
      <c r="J2651" s="11"/>
      <c r="Q2651" s="348" t="str">
        <f t="shared" si="336"/>
        <v/>
      </c>
      <c r="R2651" s="348" t="str">
        <f t="shared" si="337"/>
        <v/>
      </c>
      <c r="S2651" s="348" t="str">
        <f t="shared" si="338"/>
        <v/>
      </c>
      <c r="T2651" s="348" t="str">
        <f t="shared" si="339"/>
        <v/>
      </c>
      <c r="U2651" s="348" t="str">
        <f t="shared" si="340"/>
        <v/>
      </c>
      <c r="V2651" s="348" t="str">
        <f t="shared" si="341"/>
        <v/>
      </c>
      <c r="W2651" s="348" t="str">
        <f t="shared" si="342"/>
        <v/>
      </c>
      <c r="X2651" s="348" t="str">
        <f t="shared" si="343"/>
        <v/>
      </c>
    </row>
    <row r="2652" spans="1:24" x14ac:dyDescent="0.2">
      <c r="A2652" s="407">
        <v>2644</v>
      </c>
      <c r="B2652" s="438"/>
      <c r="C2652" s="438"/>
      <c r="D2652" s="438"/>
      <c r="E2652" s="438"/>
      <c r="F2652" s="438"/>
      <c r="G2652" s="438"/>
      <c r="H2652" s="438"/>
      <c r="I2652" s="438"/>
      <c r="J2652" s="11"/>
      <c r="Q2652" s="348" t="str">
        <f t="shared" si="336"/>
        <v/>
      </c>
      <c r="R2652" s="348" t="str">
        <f t="shared" si="337"/>
        <v/>
      </c>
      <c r="S2652" s="348" t="str">
        <f t="shared" si="338"/>
        <v/>
      </c>
      <c r="T2652" s="348" t="str">
        <f t="shared" si="339"/>
        <v/>
      </c>
      <c r="U2652" s="348" t="str">
        <f t="shared" si="340"/>
        <v/>
      </c>
      <c r="V2652" s="348" t="str">
        <f t="shared" si="341"/>
        <v/>
      </c>
      <c r="W2652" s="348" t="str">
        <f t="shared" si="342"/>
        <v/>
      </c>
      <c r="X2652" s="348" t="str">
        <f t="shared" si="343"/>
        <v/>
      </c>
    </row>
    <row r="2653" spans="1:24" x14ac:dyDescent="0.2">
      <c r="A2653" s="407">
        <v>2645</v>
      </c>
      <c r="B2653" s="438"/>
      <c r="C2653" s="438"/>
      <c r="D2653" s="438"/>
      <c r="E2653" s="438"/>
      <c r="F2653" s="438"/>
      <c r="G2653" s="438"/>
      <c r="H2653" s="438"/>
      <c r="I2653" s="438"/>
      <c r="J2653" s="11"/>
      <c r="Q2653" s="348" t="str">
        <f t="shared" si="336"/>
        <v/>
      </c>
      <c r="R2653" s="348" t="str">
        <f t="shared" si="337"/>
        <v/>
      </c>
      <c r="S2653" s="348" t="str">
        <f t="shared" si="338"/>
        <v/>
      </c>
      <c r="T2653" s="348" t="str">
        <f t="shared" si="339"/>
        <v/>
      </c>
      <c r="U2653" s="348" t="str">
        <f t="shared" si="340"/>
        <v/>
      </c>
      <c r="V2653" s="348" t="str">
        <f t="shared" si="341"/>
        <v/>
      </c>
      <c r="W2653" s="348" t="str">
        <f t="shared" si="342"/>
        <v/>
      </c>
      <c r="X2653" s="348" t="str">
        <f t="shared" si="343"/>
        <v/>
      </c>
    </row>
    <row r="2654" spans="1:24" x14ac:dyDescent="0.2">
      <c r="A2654" s="407">
        <v>2646</v>
      </c>
      <c r="B2654" s="438"/>
      <c r="C2654" s="438"/>
      <c r="D2654" s="438"/>
      <c r="E2654" s="438"/>
      <c r="F2654" s="438"/>
      <c r="G2654" s="438"/>
      <c r="H2654" s="438"/>
      <c r="I2654" s="438"/>
      <c r="J2654" s="11"/>
      <c r="Q2654" s="348" t="str">
        <f t="shared" si="336"/>
        <v/>
      </c>
      <c r="R2654" s="348" t="str">
        <f t="shared" si="337"/>
        <v/>
      </c>
      <c r="S2654" s="348" t="str">
        <f t="shared" si="338"/>
        <v/>
      </c>
      <c r="T2654" s="348" t="str">
        <f t="shared" si="339"/>
        <v/>
      </c>
      <c r="U2654" s="348" t="str">
        <f t="shared" si="340"/>
        <v/>
      </c>
      <c r="V2654" s="348" t="str">
        <f t="shared" si="341"/>
        <v/>
      </c>
      <c r="W2654" s="348" t="str">
        <f t="shared" si="342"/>
        <v/>
      </c>
      <c r="X2654" s="348" t="str">
        <f t="shared" si="343"/>
        <v/>
      </c>
    </row>
    <row r="2655" spans="1:24" x14ac:dyDescent="0.2">
      <c r="A2655" s="407">
        <v>2647</v>
      </c>
      <c r="B2655" s="438"/>
      <c r="C2655" s="438"/>
      <c r="D2655" s="438"/>
      <c r="E2655" s="438"/>
      <c r="F2655" s="438"/>
      <c r="G2655" s="438"/>
      <c r="H2655" s="438"/>
      <c r="I2655" s="438"/>
      <c r="J2655" s="11"/>
      <c r="Q2655" s="348" t="str">
        <f t="shared" si="336"/>
        <v/>
      </c>
      <c r="R2655" s="348" t="str">
        <f t="shared" si="337"/>
        <v/>
      </c>
      <c r="S2655" s="348" t="str">
        <f t="shared" si="338"/>
        <v/>
      </c>
      <c r="T2655" s="348" t="str">
        <f t="shared" si="339"/>
        <v/>
      </c>
      <c r="U2655" s="348" t="str">
        <f t="shared" si="340"/>
        <v/>
      </c>
      <c r="V2655" s="348" t="str">
        <f t="shared" si="341"/>
        <v/>
      </c>
      <c r="W2655" s="348" t="str">
        <f t="shared" si="342"/>
        <v/>
      </c>
      <c r="X2655" s="348" t="str">
        <f t="shared" si="343"/>
        <v/>
      </c>
    </row>
    <row r="2656" spans="1:24" x14ac:dyDescent="0.2">
      <c r="A2656" s="407">
        <v>2648</v>
      </c>
      <c r="B2656" s="438"/>
      <c r="C2656" s="438"/>
      <c r="D2656" s="438"/>
      <c r="E2656" s="438"/>
      <c r="F2656" s="438"/>
      <c r="G2656" s="438"/>
      <c r="H2656" s="438"/>
      <c r="I2656" s="438"/>
      <c r="J2656" s="11"/>
      <c r="Q2656" s="348" t="str">
        <f t="shared" si="336"/>
        <v/>
      </c>
      <c r="R2656" s="348" t="str">
        <f t="shared" si="337"/>
        <v/>
      </c>
      <c r="S2656" s="348" t="str">
        <f t="shared" si="338"/>
        <v/>
      </c>
      <c r="T2656" s="348" t="str">
        <f t="shared" si="339"/>
        <v/>
      </c>
      <c r="U2656" s="348" t="str">
        <f t="shared" si="340"/>
        <v/>
      </c>
      <c r="V2656" s="348" t="str">
        <f t="shared" si="341"/>
        <v/>
      </c>
      <c r="W2656" s="348" t="str">
        <f t="shared" si="342"/>
        <v/>
      </c>
      <c r="X2656" s="348" t="str">
        <f t="shared" si="343"/>
        <v/>
      </c>
    </row>
    <row r="2657" spans="1:24" x14ac:dyDescent="0.2">
      <c r="A2657" s="407">
        <v>2649</v>
      </c>
      <c r="B2657" s="437"/>
      <c r="C2657" s="438"/>
      <c r="D2657" s="438"/>
      <c r="E2657" s="438"/>
      <c r="F2657" s="438"/>
      <c r="G2657" s="438"/>
      <c r="H2657" s="438"/>
      <c r="I2657" s="438"/>
      <c r="J2657" s="11"/>
      <c r="Q2657" s="348" t="str">
        <f t="shared" si="336"/>
        <v/>
      </c>
      <c r="R2657" s="348" t="str">
        <f t="shared" si="337"/>
        <v/>
      </c>
      <c r="S2657" s="348" t="str">
        <f t="shared" si="338"/>
        <v/>
      </c>
      <c r="T2657" s="348" t="str">
        <f t="shared" si="339"/>
        <v/>
      </c>
      <c r="U2657" s="348" t="str">
        <f t="shared" si="340"/>
        <v/>
      </c>
      <c r="V2657" s="348" t="str">
        <f t="shared" si="341"/>
        <v/>
      </c>
      <c r="W2657" s="348" t="str">
        <f t="shared" si="342"/>
        <v/>
      </c>
      <c r="X2657" s="348" t="str">
        <f t="shared" si="343"/>
        <v/>
      </c>
    </row>
    <row r="2658" spans="1:24" x14ac:dyDescent="0.2">
      <c r="A2658" s="407">
        <v>2650</v>
      </c>
      <c r="B2658" s="438"/>
      <c r="C2658" s="437"/>
      <c r="D2658" s="438"/>
      <c r="E2658" s="438"/>
      <c r="F2658" s="438"/>
      <c r="G2658" s="438"/>
      <c r="H2658" s="438"/>
      <c r="I2658" s="438"/>
      <c r="J2658" s="11"/>
      <c r="Q2658" s="348" t="str">
        <f t="shared" si="336"/>
        <v/>
      </c>
      <c r="R2658" s="348" t="str">
        <f t="shared" si="337"/>
        <v/>
      </c>
      <c r="S2658" s="348" t="str">
        <f t="shared" si="338"/>
        <v/>
      </c>
      <c r="T2658" s="348" t="str">
        <f t="shared" si="339"/>
        <v/>
      </c>
      <c r="U2658" s="348" t="str">
        <f t="shared" si="340"/>
        <v/>
      </c>
      <c r="V2658" s="348" t="str">
        <f t="shared" si="341"/>
        <v/>
      </c>
      <c r="W2658" s="348" t="str">
        <f t="shared" si="342"/>
        <v/>
      </c>
      <c r="X2658" s="348" t="str">
        <f t="shared" si="343"/>
        <v/>
      </c>
    </row>
    <row r="2659" spans="1:24" x14ac:dyDescent="0.2">
      <c r="A2659" s="407">
        <v>2651</v>
      </c>
      <c r="B2659" s="438"/>
      <c r="C2659" s="438"/>
      <c r="D2659" s="438"/>
      <c r="E2659" s="437"/>
      <c r="F2659" s="438"/>
      <c r="G2659" s="438"/>
      <c r="H2659" s="438"/>
      <c r="I2659" s="438"/>
      <c r="J2659" s="11"/>
      <c r="Q2659" s="348" t="str">
        <f t="shared" si="336"/>
        <v/>
      </c>
      <c r="R2659" s="348" t="str">
        <f t="shared" si="337"/>
        <v/>
      </c>
      <c r="S2659" s="348" t="str">
        <f t="shared" si="338"/>
        <v/>
      </c>
      <c r="T2659" s="348" t="str">
        <f t="shared" si="339"/>
        <v/>
      </c>
      <c r="U2659" s="348" t="str">
        <f t="shared" si="340"/>
        <v/>
      </c>
      <c r="V2659" s="348" t="str">
        <f t="shared" si="341"/>
        <v/>
      </c>
      <c r="W2659" s="348" t="str">
        <f t="shared" si="342"/>
        <v/>
      </c>
      <c r="X2659" s="348" t="str">
        <f t="shared" si="343"/>
        <v/>
      </c>
    </row>
    <row r="2660" spans="1:24" x14ac:dyDescent="0.2">
      <c r="A2660" s="407">
        <v>2652</v>
      </c>
      <c r="B2660" s="438"/>
      <c r="C2660" s="438"/>
      <c r="D2660" s="438"/>
      <c r="E2660" s="438"/>
      <c r="F2660" s="438"/>
      <c r="G2660" s="438"/>
      <c r="H2660" s="438"/>
      <c r="I2660" s="438"/>
      <c r="J2660" s="11"/>
      <c r="Q2660" s="348" t="str">
        <f t="shared" si="336"/>
        <v/>
      </c>
      <c r="R2660" s="348" t="str">
        <f t="shared" si="337"/>
        <v/>
      </c>
      <c r="S2660" s="348" t="str">
        <f t="shared" si="338"/>
        <v/>
      </c>
      <c r="T2660" s="348" t="str">
        <f t="shared" si="339"/>
        <v/>
      </c>
      <c r="U2660" s="348" t="str">
        <f t="shared" si="340"/>
        <v/>
      </c>
      <c r="V2660" s="348" t="str">
        <f t="shared" si="341"/>
        <v/>
      </c>
      <c r="W2660" s="348" t="str">
        <f t="shared" si="342"/>
        <v/>
      </c>
      <c r="X2660" s="348" t="str">
        <f t="shared" si="343"/>
        <v/>
      </c>
    </row>
    <row r="2661" spans="1:24" x14ac:dyDescent="0.2">
      <c r="A2661" s="407">
        <v>2653</v>
      </c>
      <c r="B2661" s="438"/>
      <c r="C2661" s="438"/>
      <c r="D2661" s="438"/>
      <c r="E2661" s="438"/>
      <c r="F2661" s="438"/>
      <c r="G2661" s="438"/>
      <c r="H2661" s="438"/>
      <c r="I2661" s="438"/>
      <c r="J2661" s="11"/>
      <c r="Q2661" s="348" t="str">
        <f t="shared" si="336"/>
        <v/>
      </c>
      <c r="R2661" s="348" t="str">
        <f t="shared" si="337"/>
        <v/>
      </c>
      <c r="S2661" s="348" t="str">
        <f t="shared" si="338"/>
        <v/>
      </c>
      <c r="T2661" s="348" t="str">
        <f t="shared" si="339"/>
        <v/>
      </c>
      <c r="U2661" s="348" t="str">
        <f t="shared" si="340"/>
        <v/>
      </c>
      <c r="V2661" s="348" t="str">
        <f t="shared" si="341"/>
        <v/>
      </c>
      <c r="W2661" s="348" t="str">
        <f t="shared" si="342"/>
        <v/>
      </c>
      <c r="X2661" s="348" t="str">
        <f t="shared" si="343"/>
        <v/>
      </c>
    </row>
    <row r="2662" spans="1:24" x14ac:dyDescent="0.2">
      <c r="A2662" s="407">
        <v>2654</v>
      </c>
      <c r="B2662" s="438"/>
      <c r="C2662" s="438"/>
      <c r="D2662" s="438"/>
      <c r="E2662" s="438"/>
      <c r="F2662" s="438"/>
      <c r="G2662" s="438"/>
      <c r="H2662" s="438"/>
      <c r="I2662" s="438"/>
      <c r="J2662" s="11"/>
      <c r="Q2662" s="348" t="str">
        <f t="shared" si="336"/>
        <v/>
      </c>
      <c r="R2662" s="348" t="str">
        <f t="shared" si="337"/>
        <v/>
      </c>
      <c r="S2662" s="348" t="str">
        <f t="shared" si="338"/>
        <v/>
      </c>
      <c r="T2662" s="348" t="str">
        <f t="shared" si="339"/>
        <v/>
      </c>
      <c r="U2662" s="348" t="str">
        <f t="shared" si="340"/>
        <v/>
      </c>
      <c r="V2662" s="348" t="str">
        <f t="shared" si="341"/>
        <v/>
      </c>
      <c r="W2662" s="348" t="str">
        <f t="shared" si="342"/>
        <v/>
      </c>
      <c r="X2662" s="348" t="str">
        <f t="shared" si="343"/>
        <v/>
      </c>
    </row>
    <row r="2663" spans="1:24" x14ac:dyDescent="0.2">
      <c r="A2663" s="407">
        <v>2655</v>
      </c>
      <c r="B2663" s="438"/>
      <c r="C2663" s="438"/>
      <c r="D2663" s="438"/>
      <c r="E2663" s="438"/>
      <c r="F2663" s="438"/>
      <c r="G2663" s="438"/>
      <c r="H2663" s="438"/>
      <c r="I2663" s="438"/>
      <c r="J2663" s="11"/>
      <c r="Q2663" s="348" t="str">
        <f t="shared" si="336"/>
        <v/>
      </c>
      <c r="R2663" s="348" t="str">
        <f t="shared" si="337"/>
        <v/>
      </c>
      <c r="S2663" s="348" t="str">
        <f t="shared" si="338"/>
        <v/>
      </c>
      <c r="T2663" s="348" t="str">
        <f t="shared" si="339"/>
        <v/>
      </c>
      <c r="U2663" s="348" t="str">
        <f t="shared" si="340"/>
        <v/>
      </c>
      <c r="V2663" s="348" t="str">
        <f t="shared" si="341"/>
        <v/>
      </c>
      <c r="W2663" s="348" t="str">
        <f t="shared" si="342"/>
        <v/>
      </c>
      <c r="X2663" s="348" t="str">
        <f t="shared" si="343"/>
        <v/>
      </c>
    </row>
    <row r="2664" spans="1:24" x14ac:dyDescent="0.2">
      <c r="A2664" s="407">
        <v>2656</v>
      </c>
      <c r="B2664" s="438"/>
      <c r="C2664" s="438"/>
      <c r="D2664" s="438"/>
      <c r="E2664" s="438"/>
      <c r="F2664" s="438"/>
      <c r="G2664" s="438"/>
      <c r="H2664" s="438"/>
      <c r="I2664" s="438"/>
      <c r="J2664" s="11"/>
      <c r="Q2664" s="348" t="str">
        <f t="shared" si="336"/>
        <v/>
      </c>
      <c r="R2664" s="348" t="str">
        <f t="shared" si="337"/>
        <v/>
      </c>
      <c r="S2664" s="348" t="str">
        <f t="shared" si="338"/>
        <v/>
      </c>
      <c r="T2664" s="348" t="str">
        <f t="shared" si="339"/>
        <v/>
      </c>
      <c r="U2664" s="348" t="str">
        <f t="shared" si="340"/>
        <v/>
      </c>
      <c r="V2664" s="348" t="str">
        <f t="shared" si="341"/>
        <v/>
      </c>
      <c r="W2664" s="348" t="str">
        <f t="shared" si="342"/>
        <v/>
      </c>
      <c r="X2664" s="348" t="str">
        <f t="shared" si="343"/>
        <v/>
      </c>
    </row>
    <row r="2665" spans="1:24" x14ac:dyDescent="0.2">
      <c r="A2665" s="407">
        <v>2657</v>
      </c>
      <c r="B2665" s="438"/>
      <c r="C2665" s="438"/>
      <c r="D2665" s="438"/>
      <c r="E2665" s="438"/>
      <c r="F2665" s="438"/>
      <c r="G2665" s="438"/>
      <c r="H2665" s="438"/>
      <c r="I2665" s="438"/>
      <c r="J2665" s="11"/>
      <c r="Q2665" s="348" t="str">
        <f t="shared" si="336"/>
        <v/>
      </c>
      <c r="R2665" s="348" t="str">
        <f t="shared" si="337"/>
        <v/>
      </c>
      <c r="S2665" s="348" t="str">
        <f t="shared" si="338"/>
        <v/>
      </c>
      <c r="T2665" s="348" t="str">
        <f t="shared" si="339"/>
        <v/>
      </c>
      <c r="U2665" s="348" t="str">
        <f t="shared" si="340"/>
        <v/>
      </c>
      <c r="V2665" s="348" t="str">
        <f t="shared" si="341"/>
        <v/>
      </c>
      <c r="W2665" s="348" t="str">
        <f t="shared" si="342"/>
        <v/>
      </c>
      <c r="X2665" s="348" t="str">
        <f t="shared" si="343"/>
        <v/>
      </c>
    </row>
    <row r="2666" spans="1:24" x14ac:dyDescent="0.2">
      <c r="A2666" s="407">
        <v>2658</v>
      </c>
      <c r="B2666" s="438"/>
      <c r="C2666" s="438"/>
      <c r="D2666" s="438"/>
      <c r="E2666" s="438"/>
      <c r="F2666" s="438"/>
      <c r="G2666" s="438"/>
      <c r="H2666" s="438"/>
      <c r="I2666" s="438"/>
      <c r="J2666" s="11"/>
      <c r="Q2666" s="348" t="str">
        <f t="shared" si="336"/>
        <v/>
      </c>
      <c r="R2666" s="348" t="str">
        <f t="shared" si="337"/>
        <v/>
      </c>
      <c r="S2666" s="348" t="str">
        <f t="shared" si="338"/>
        <v/>
      </c>
      <c r="T2666" s="348" t="str">
        <f t="shared" si="339"/>
        <v/>
      </c>
      <c r="U2666" s="348" t="str">
        <f t="shared" si="340"/>
        <v/>
      </c>
      <c r="V2666" s="348" t="str">
        <f t="shared" si="341"/>
        <v/>
      </c>
      <c r="W2666" s="348" t="str">
        <f t="shared" si="342"/>
        <v/>
      </c>
      <c r="X2666" s="348" t="str">
        <f t="shared" si="343"/>
        <v/>
      </c>
    </row>
    <row r="2667" spans="1:24" x14ac:dyDescent="0.2">
      <c r="A2667" s="407">
        <v>2659</v>
      </c>
      <c r="B2667" s="438"/>
      <c r="C2667" s="438"/>
      <c r="D2667" s="438"/>
      <c r="E2667" s="438"/>
      <c r="F2667" s="438"/>
      <c r="G2667" s="438"/>
      <c r="H2667" s="438"/>
      <c r="I2667" s="438"/>
      <c r="J2667" s="11"/>
      <c r="Q2667" s="348" t="str">
        <f t="shared" si="336"/>
        <v/>
      </c>
      <c r="R2667" s="348" t="str">
        <f t="shared" si="337"/>
        <v/>
      </c>
      <c r="S2667" s="348" t="str">
        <f t="shared" si="338"/>
        <v/>
      </c>
      <c r="T2667" s="348" t="str">
        <f t="shared" si="339"/>
        <v/>
      </c>
      <c r="U2667" s="348" t="str">
        <f t="shared" si="340"/>
        <v/>
      </c>
      <c r="V2667" s="348" t="str">
        <f t="shared" si="341"/>
        <v/>
      </c>
      <c r="W2667" s="348" t="str">
        <f t="shared" si="342"/>
        <v/>
      </c>
      <c r="X2667" s="348" t="str">
        <f t="shared" si="343"/>
        <v/>
      </c>
    </row>
    <row r="2668" spans="1:24" x14ac:dyDescent="0.2">
      <c r="A2668" s="407">
        <v>2660</v>
      </c>
      <c r="B2668" s="438"/>
      <c r="C2668" s="438"/>
      <c r="D2668" s="438"/>
      <c r="E2668" s="438"/>
      <c r="F2668" s="438"/>
      <c r="G2668" s="438"/>
      <c r="H2668" s="438"/>
      <c r="I2668" s="438"/>
      <c r="J2668" s="11"/>
      <c r="Q2668" s="348" t="str">
        <f t="shared" si="336"/>
        <v/>
      </c>
      <c r="R2668" s="348" t="str">
        <f t="shared" si="337"/>
        <v/>
      </c>
      <c r="S2668" s="348" t="str">
        <f t="shared" si="338"/>
        <v/>
      </c>
      <c r="T2668" s="348" t="str">
        <f t="shared" si="339"/>
        <v/>
      </c>
      <c r="U2668" s="348" t="str">
        <f t="shared" si="340"/>
        <v/>
      </c>
      <c r="V2668" s="348" t="str">
        <f t="shared" si="341"/>
        <v/>
      </c>
      <c r="W2668" s="348" t="str">
        <f t="shared" si="342"/>
        <v/>
      </c>
      <c r="X2668" s="348" t="str">
        <f t="shared" si="343"/>
        <v/>
      </c>
    </row>
    <row r="2669" spans="1:24" x14ac:dyDescent="0.2">
      <c r="A2669" s="407">
        <v>2661</v>
      </c>
      <c r="B2669" s="438"/>
      <c r="C2669" s="438"/>
      <c r="D2669" s="438"/>
      <c r="E2669" s="438"/>
      <c r="F2669" s="438"/>
      <c r="G2669" s="438"/>
      <c r="H2669" s="438"/>
      <c r="I2669" s="438"/>
      <c r="J2669" s="11"/>
      <c r="Q2669" s="348" t="str">
        <f t="shared" si="336"/>
        <v/>
      </c>
      <c r="R2669" s="348" t="str">
        <f t="shared" si="337"/>
        <v/>
      </c>
      <c r="S2669" s="348" t="str">
        <f t="shared" si="338"/>
        <v/>
      </c>
      <c r="T2669" s="348" t="str">
        <f t="shared" si="339"/>
        <v/>
      </c>
      <c r="U2669" s="348" t="str">
        <f t="shared" si="340"/>
        <v/>
      </c>
      <c r="V2669" s="348" t="str">
        <f t="shared" si="341"/>
        <v/>
      </c>
      <c r="W2669" s="348" t="str">
        <f t="shared" si="342"/>
        <v/>
      </c>
      <c r="X2669" s="348" t="str">
        <f t="shared" si="343"/>
        <v/>
      </c>
    </row>
    <row r="2670" spans="1:24" x14ac:dyDescent="0.2">
      <c r="A2670" s="407">
        <v>2662</v>
      </c>
      <c r="B2670" s="438"/>
      <c r="C2670" s="438"/>
      <c r="D2670" s="438"/>
      <c r="E2670" s="438"/>
      <c r="F2670" s="438"/>
      <c r="G2670" s="437"/>
      <c r="H2670" s="438"/>
      <c r="I2670" s="438"/>
      <c r="J2670" s="11"/>
      <c r="Q2670" s="348" t="str">
        <f t="shared" si="336"/>
        <v/>
      </c>
      <c r="R2670" s="348" t="str">
        <f t="shared" si="337"/>
        <v/>
      </c>
      <c r="S2670" s="348" t="str">
        <f t="shared" si="338"/>
        <v/>
      </c>
      <c r="T2670" s="348" t="str">
        <f t="shared" si="339"/>
        <v/>
      </c>
      <c r="U2670" s="348" t="str">
        <f t="shared" si="340"/>
        <v/>
      </c>
      <c r="V2670" s="348" t="str">
        <f t="shared" si="341"/>
        <v/>
      </c>
      <c r="W2670" s="348" t="str">
        <f t="shared" si="342"/>
        <v/>
      </c>
      <c r="X2670" s="348" t="str">
        <f t="shared" si="343"/>
        <v/>
      </c>
    </row>
    <row r="2671" spans="1:24" x14ac:dyDescent="0.2">
      <c r="A2671" s="407">
        <v>2663</v>
      </c>
      <c r="B2671" s="438"/>
      <c r="C2671" s="438"/>
      <c r="D2671" s="438"/>
      <c r="E2671" s="438"/>
      <c r="F2671" s="438"/>
      <c r="G2671" s="438"/>
      <c r="H2671" s="438"/>
      <c r="I2671" s="438"/>
      <c r="J2671" s="11"/>
      <c r="Q2671" s="348" t="str">
        <f t="shared" si="336"/>
        <v/>
      </c>
      <c r="R2671" s="348" t="str">
        <f t="shared" si="337"/>
        <v/>
      </c>
      <c r="S2671" s="348" t="str">
        <f t="shared" si="338"/>
        <v/>
      </c>
      <c r="T2671" s="348" t="str">
        <f t="shared" si="339"/>
        <v/>
      </c>
      <c r="U2671" s="348" t="str">
        <f t="shared" si="340"/>
        <v/>
      </c>
      <c r="V2671" s="348" t="str">
        <f t="shared" si="341"/>
        <v/>
      </c>
      <c r="W2671" s="348" t="str">
        <f t="shared" si="342"/>
        <v/>
      </c>
      <c r="X2671" s="348" t="str">
        <f t="shared" si="343"/>
        <v/>
      </c>
    </row>
    <row r="2672" spans="1:24" x14ac:dyDescent="0.2">
      <c r="A2672" s="407">
        <v>2664</v>
      </c>
      <c r="B2672" s="438"/>
      <c r="C2672" s="437"/>
      <c r="D2672" s="438"/>
      <c r="E2672" s="438"/>
      <c r="F2672" s="437"/>
      <c r="G2672" s="438"/>
      <c r="H2672" s="437"/>
      <c r="I2672" s="438"/>
      <c r="J2672" s="11"/>
      <c r="Q2672" s="348" t="str">
        <f t="shared" si="336"/>
        <v/>
      </c>
      <c r="R2672" s="348" t="str">
        <f t="shared" si="337"/>
        <v/>
      </c>
      <c r="S2672" s="348" t="str">
        <f t="shared" si="338"/>
        <v/>
      </c>
      <c r="T2672" s="348" t="str">
        <f t="shared" si="339"/>
        <v/>
      </c>
      <c r="U2672" s="348" t="str">
        <f t="shared" si="340"/>
        <v/>
      </c>
      <c r="V2672" s="348" t="str">
        <f t="shared" si="341"/>
        <v/>
      </c>
      <c r="W2672" s="348" t="str">
        <f t="shared" si="342"/>
        <v/>
      </c>
      <c r="X2672" s="348" t="str">
        <f t="shared" si="343"/>
        <v/>
      </c>
    </row>
    <row r="2673" spans="1:24" x14ac:dyDescent="0.2">
      <c r="A2673" s="407">
        <v>2665</v>
      </c>
      <c r="B2673" s="438"/>
      <c r="C2673" s="438"/>
      <c r="D2673" s="438"/>
      <c r="E2673" s="438"/>
      <c r="F2673" s="438"/>
      <c r="G2673" s="438"/>
      <c r="H2673" s="438"/>
      <c r="I2673" s="437"/>
      <c r="J2673" s="11"/>
      <c r="Q2673" s="348" t="str">
        <f t="shared" si="336"/>
        <v/>
      </c>
      <c r="R2673" s="348" t="str">
        <f t="shared" si="337"/>
        <v/>
      </c>
      <c r="S2673" s="348" t="str">
        <f t="shared" si="338"/>
        <v/>
      </c>
      <c r="T2673" s="348" t="str">
        <f t="shared" si="339"/>
        <v/>
      </c>
      <c r="U2673" s="348" t="str">
        <f t="shared" si="340"/>
        <v/>
      </c>
      <c r="V2673" s="348" t="str">
        <f t="shared" si="341"/>
        <v/>
      </c>
      <c r="W2673" s="348" t="str">
        <f t="shared" si="342"/>
        <v/>
      </c>
      <c r="X2673" s="348" t="str">
        <f t="shared" si="343"/>
        <v/>
      </c>
    </row>
    <row r="2674" spans="1:24" x14ac:dyDescent="0.2">
      <c r="A2674" s="407">
        <v>2666</v>
      </c>
      <c r="B2674" s="438"/>
      <c r="C2674" s="438"/>
      <c r="D2674" s="438"/>
      <c r="E2674" s="438"/>
      <c r="F2674" s="438"/>
      <c r="G2674" s="438"/>
      <c r="H2674" s="438"/>
      <c r="I2674" s="438"/>
      <c r="J2674" s="11"/>
      <c r="Q2674" s="348" t="str">
        <f t="shared" si="336"/>
        <v/>
      </c>
      <c r="R2674" s="348" t="str">
        <f t="shared" si="337"/>
        <v/>
      </c>
      <c r="S2674" s="348" t="str">
        <f t="shared" si="338"/>
        <v/>
      </c>
      <c r="T2674" s="348" t="str">
        <f t="shared" si="339"/>
        <v/>
      </c>
      <c r="U2674" s="348" t="str">
        <f t="shared" si="340"/>
        <v/>
      </c>
      <c r="V2674" s="348" t="str">
        <f t="shared" si="341"/>
        <v/>
      </c>
      <c r="W2674" s="348" t="str">
        <f t="shared" si="342"/>
        <v/>
      </c>
      <c r="X2674" s="348" t="str">
        <f t="shared" si="343"/>
        <v/>
      </c>
    </row>
    <row r="2675" spans="1:24" x14ac:dyDescent="0.2">
      <c r="A2675" s="407">
        <v>2667</v>
      </c>
      <c r="B2675" s="438"/>
      <c r="C2675" s="438"/>
      <c r="D2675" s="438"/>
      <c r="E2675" s="438"/>
      <c r="F2675" s="438"/>
      <c r="G2675" s="438"/>
      <c r="H2675" s="438"/>
      <c r="I2675" s="438"/>
      <c r="J2675" s="11"/>
      <c r="Q2675" s="348" t="str">
        <f t="shared" si="336"/>
        <v/>
      </c>
      <c r="R2675" s="348" t="str">
        <f t="shared" si="337"/>
        <v/>
      </c>
      <c r="S2675" s="348" t="str">
        <f t="shared" si="338"/>
        <v/>
      </c>
      <c r="T2675" s="348" t="str">
        <f t="shared" si="339"/>
        <v/>
      </c>
      <c r="U2675" s="348" t="str">
        <f t="shared" si="340"/>
        <v/>
      </c>
      <c r="V2675" s="348" t="str">
        <f t="shared" si="341"/>
        <v/>
      </c>
      <c r="W2675" s="348" t="str">
        <f t="shared" si="342"/>
        <v/>
      </c>
      <c r="X2675" s="348" t="str">
        <f t="shared" si="343"/>
        <v/>
      </c>
    </row>
    <row r="2676" spans="1:24" x14ac:dyDescent="0.2">
      <c r="A2676" s="407">
        <v>2668</v>
      </c>
      <c r="B2676" s="437"/>
      <c r="C2676" s="438"/>
      <c r="D2676" s="438"/>
      <c r="E2676" s="438"/>
      <c r="F2676" s="438"/>
      <c r="G2676" s="438"/>
      <c r="H2676" s="438"/>
      <c r="I2676" s="438"/>
      <c r="J2676" s="11"/>
      <c r="Q2676" s="348" t="str">
        <f t="shared" si="336"/>
        <v/>
      </c>
      <c r="R2676" s="348" t="str">
        <f t="shared" si="337"/>
        <v/>
      </c>
      <c r="S2676" s="348" t="str">
        <f t="shared" si="338"/>
        <v/>
      </c>
      <c r="T2676" s="348" t="str">
        <f t="shared" si="339"/>
        <v/>
      </c>
      <c r="U2676" s="348" t="str">
        <f t="shared" si="340"/>
        <v/>
      </c>
      <c r="V2676" s="348" t="str">
        <f t="shared" si="341"/>
        <v/>
      </c>
      <c r="W2676" s="348" t="str">
        <f t="shared" si="342"/>
        <v/>
      </c>
      <c r="X2676" s="348" t="str">
        <f t="shared" si="343"/>
        <v/>
      </c>
    </row>
    <row r="2677" spans="1:24" x14ac:dyDescent="0.2">
      <c r="A2677" s="407">
        <v>2669</v>
      </c>
      <c r="B2677" s="438"/>
      <c r="C2677" s="438"/>
      <c r="D2677" s="438"/>
      <c r="E2677" s="437"/>
      <c r="F2677" s="438"/>
      <c r="G2677" s="438"/>
      <c r="H2677" s="438"/>
      <c r="I2677" s="438"/>
      <c r="J2677" s="11"/>
      <c r="Q2677" s="348" t="str">
        <f t="shared" si="336"/>
        <v/>
      </c>
      <c r="R2677" s="348" t="str">
        <f t="shared" si="337"/>
        <v/>
      </c>
      <c r="S2677" s="348" t="str">
        <f t="shared" si="338"/>
        <v/>
      </c>
      <c r="T2677" s="348" t="str">
        <f t="shared" si="339"/>
        <v/>
      </c>
      <c r="U2677" s="348" t="str">
        <f t="shared" si="340"/>
        <v/>
      </c>
      <c r="V2677" s="348" t="str">
        <f t="shared" si="341"/>
        <v/>
      </c>
      <c r="W2677" s="348" t="str">
        <f t="shared" si="342"/>
        <v/>
      </c>
      <c r="X2677" s="348" t="str">
        <f t="shared" si="343"/>
        <v/>
      </c>
    </row>
    <row r="2678" spans="1:24" x14ac:dyDescent="0.2">
      <c r="A2678" s="407">
        <v>2670</v>
      </c>
      <c r="B2678" s="438"/>
      <c r="C2678" s="438"/>
      <c r="D2678" s="438"/>
      <c r="E2678" s="438"/>
      <c r="F2678" s="438"/>
      <c r="G2678" s="438"/>
      <c r="H2678" s="438"/>
      <c r="I2678" s="438"/>
      <c r="J2678" s="11"/>
      <c r="Q2678" s="348" t="str">
        <f t="shared" si="336"/>
        <v/>
      </c>
      <c r="R2678" s="348" t="str">
        <f t="shared" si="337"/>
        <v/>
      </c>
      <c r="S2678" s="348" t="str">
        <f t="shared" si="338"/>
        <v/>
      </c>
      <c r="T2678" s="348" t="str">
        <f t="shared" si="339"/>
        <v/>
      </c>
      <c r="U2678" s="348" t="str">
        <f t="shared" si="340"/>
        <v/>
      </c>
      <c r="V2678" s="348" t="str">
        <f t="shared" si="341"/>
        <v/>
      </c>
      <c r="W2678" s="348" t="str">
        <f t="shared" si="342"/>
        <v/>
      </c>
      <c r="X2678" s="348" t="str">
        <f t="shared" si="343"/>
        <v/>
      </c>
    </row>
    <row r="2679" spans="1:24" x14ac:dyDescent="0.2">
      <c r="A2679" s="407">
        <v>2671</v>
      </c>
      <c r="B2679" s="438"/>
      <c r="C2679" s="438"/>
      <c r="D2679" s="438"/>
      <c r="E2679" s="438"/>
      <c r="F2679" s="438"/>
      <c r="G2679" s="438"/>
      <c r="H2679" s="438"/>
      <c r="I2679" s="438"/>
      <c r="J2679" s="11"/>
      <c r="Q2679" s="348" t="str">
        <f t="shared" si="336"/>
        <v/>
      </c>
      <c r="R2679" s="348" t="str">
        <f t="shared" si="337"/>
        <v/>
      </c>
      <c r="S2679" s="348" t="str">
        <f t="shared" si="338"/>
        <v/>
      </c>
      <c r="T2679" s="348" t="str">
        <f t="shared" si="339"/>
        <v/>
      </c>
      <c r="U2679" s="348" t="str">
        <f t="shared" si="340"/>
        <v/>
      </c>
      <c r="V2679" s="348" t="str">
        <f t="shared" si="341"/>
        <v/>
      </c>
      <c r="W2679" s="348" t="str">
        <f t="shared" si="342"/>
        <v/>
      </c>
      <c r="X2679" s="348" t="str">
        <f t="shared" si="343"/>
        <v/>
      </c>
    </row>
    <row r="2680" spans="1:24" x14ac:dyDescent="0.2">
      <c r="A2680" s="407">
        <v>2672</v>
      </c>
      <c r="B2680" s="438"/>
      <c r="C2680" s="438"/>
      <c r="D2680" s="438"/>
      <c r="E2680" s="438"/>
      <c r="F2680" s="438"/>
      <c r="G2680" s="438"/>
      <c r="H2680" s="438"/>
      <c r="I2680" s="438"/>
      <c r="J2680" s="11"/>
      <c r="Q2680" s="348" t="str">
        <f t="shared" si="336"/>
        <v/>
      </c>
      <c r="R2680" s="348" t="str">
        <f t="shared" si="337"/>
        <v/>
      </c>
      <c r="S2680" s="348" t="str">
        <f t="shared" si="338"/>
        <v/>
      </c>
      <c r="T2680" s="348" t="str">
        <f t="shared" si="339"/>
        <v/>
      </c>
      <c r="U2680" s="348" t="str">
        <f t="shared" si="340"/>
        <v/>
      </c>
      <c r="V2680" s="348" t="str">
        <f t="shared" si="341"/>
        <v/>
      </c>
      <c r="W2680" s="348" t="str">
        <f t="shared" si="342"/>
        <v/>
      </c>
      <c r="X2680" s="348" t="str">
        <f t="shared" si="343"/>
        <v/>
      </c>
    </row>
    <row r="2681" spans="1:24" x14ac:dyDescent="0.2">
      <c r="A2681" s="407">
        <v>2673</v>
      </c>
      <c r="B2681" s="438"/>
      <c r="C2681" s="438"/>
      <c r="D2681" s="438"/>
      <c r="E2681" s="438"/>
      <c r="F2681" s="438"/>
      <c r="G2681" s="438"/>
      <c r="H2681" s="438"/>
      <c r="I2681" s="438"/>
      <c r="J2681" s="11"/>
      <c r="Q2681" s="348" t="str">
        <f t="shared" si="336"/>
        <v/>
      </c>
      <c r="R2681" s="348" t="str">
        <f t="shared" si="337"/>
        <v/>
      </c>
      <c r="S2681" s="348" t="str">
        <f t="shared" si="338"/>
        <v/>
      </c>
      <c r="T2681" s="348" t="str">
        <f t="shared" si="339"/>
        <v/>
      </c>
      <c r="U2681" s="348" t="str">
        <f t="shared" si="340"/>
        <v/>
      </c>
      <c r="V2681" s="348" t="str">
        <f t="shared" si="341"/>
        <v/>
      </c>
      <c r="W2681" s="348" t="str">
        <f t="shared" si="342"/>
        <v/>
      </c>
      <c r="X2681" s="348" t="str">
        <f t="shared" si="343"/>
        <v/>
      </c>
    </row>
    <row r="2682" spans="1:24" x14ac:dyDescent="0.2">
      <c r="A2682" s="407">
        <v>2674</v>
      </c>
      <c r="B2682" s="438"/>
      <c r="C2682" s="438"/>
      <c r="D2682" s="438"/>
      <c r="E2682" s="438"/>
      <c r="F2682" s="438"/>
      <c r="G2682" s="438"/>
      <c r="H2682" s="438"/>
      <c r="I2682" s="438"/>
      <c r="J2682" s="11"/>
      <c r="Q2682" s="348" t="str">
        <f t="shared" si="336"/>
        <v/>
      </c>
      <c r="R2682" s="348" t="str">
        <f t="shared" si="337"/>
        <v/>
      </c>
      <c r="S2682" s="348" t="str">
        <f t="shared" si="338"/>
        <v/>
      </c>
      <c r="T2682" s="348" t="str">
        <f t="shared" si="339"/>
        <v/>
      </c>
      <c r="U2682" s="348" t="str">
        <f t="shared" si="340"/>
        <v/>
      </c>
      <c r="V2682" s="348" t="str">
        <f t="shared" si="341"/>
        <v/>
      </c>
      <c r="W2682" s="348" t="str">
        <f t="shared" si="342"/>
        <v/>
      </c>
      <c r="X2682" s="348" t="str">
        <f t="shared" si="343"/>
        <v/>
      </c>
    </row>
    <row r="2683" spans="1:24" x14ac:dyDescent="0.2">
      <c r="A2683" s="407">
        <v>2675</v>
      </c>
      <c r="B2683" s="438"/>
      <c r="C2683" s="438"/>
      <c r="D2683" s="438"/>
      <c r="E2683" s="438"/>
      <c r="F2683" s="438"/>
      <c r="G2683" s="438"/>
      <c r="H2683" s="438"/>
      <c r="I2683" s="438"/>
      <c r="J2683" s="11"/>
      <c r="Q2683" s="348" t="str">
        <f t="shared" si="336"/>
        <v/>
      </c>
      <c r="R2683" s="348" t="str">
        <f t="shared" si="337"/>
        <v/>
      </c>
      <c r="S2683" s="348" t="str">
        <f t="shared" si="338"/>
        <v/>
      </c>
      <c r="T2683" s="348" t="str">
        <f t="shared" si="339"/>
        <v/>
      </c>
      <c r="U2683" s="348" t="str">
        <f t="shared" si="340"/>
        <v/>
      </c>
      <c r="V2683" s="348" t="str">
        <f t="shared" si="341"/>
        <v/>
      </c>
      <c r="W2683" s="348" t="str">
        <f t="shared" si="342"/>
        <v/>
      </c>
      <c r="X2683" s="348" t="str">
        <f t="shared" si="343"/>
        <v/>
      </c>
    </row>
    <row r="2684" spans="1:24" x14ac:dyDescent="0.2">
      <c r="A2684" s="407">
        <v>2676</v>
      </c>
      <c r="B2684" s="438"/>
      <c r="C2684" s="438"/>
      <c r="D2684" s="437"/>
      <c r="E2684" s="438"/>
      <c r="F2684" s="438"/>
      <c r="G2684" s="438"/>
      <c r="H2684" s="438"/>
      <c r="I2684" s="438"/>
      <c r="J2684" s="11"/>
      <c r="Q2684" s="348" t="str">
        <f t="shared" si="336"/>
        <v/>
      </c>
      <c r="R2684" s="348" t="str">
        <f t="shared" si="337"/>
        <v/>
      </c>
      <c r="S2684" s="348" t="str">
        <f t="shared" si="338"/>
        <v/>
      </c>
      <c r="T2684" s="348" t="str">
        <f t="shared" si="339"/>
        <v/>
      </c>
      <c r="U2684" s="348" t="str">
        <f t="shared" si="340"/>
        <v/>
      </c>
      <c r="V2684" s="348" t="str">
        <f t="shared" si="341"/>
        <v/>
      </c>
      <c r="W2684" s="348" t="str">
        <f t="shared" si="342"/>
        <v/>
      </c>
      <c r="X2684" s="348" t="str">
        <f t="shared" si="343"/>
        <v/>
      </c>
    </row>
    <row r="2685" spans="1:24" x14ac:dyDescent="0.2">
      <c r="A2685" s="407">
        <v>2677</v>
      </c>
      <c r="B2685" s="438"/>
      <c r="C2685" s="438"/>
      <c r="D2685" s="438"/>
      <c r="E2685" s="438"/>
      <c r="F2685" s="438"/>
      <c r="G2685" s="438"/>
      <c r="H2685" s="438"/>
      <c r="I2685" s="438"/>
      <c r="J2685" s="11"/>
      <c r="Q2685" s="348" t="str">
        <f t="shared" si="336"/>
        <v/>
      </c>
      <c r="R2685" s="348" t="str">
        <f t="shared" si="337"/>
        <v/>
      </c>
      <c r="S2685" s="348" t="str">
        <f t="shared" si="338"/>
        <v/>
      </c>
      <c r="T2685" s="348" t="str">
        <f t="shared" si="339"/>
        <v/>
      </c>
      <c r="U2685" s="348" t="str">
        <f t="shared" si="340"/>
        <v/>
      </c>
      <c r="V2685" s="348" t="str">
        <f t="shared" si="341"/>
        <v/>
      </c>
      <c r="W2685" s="348" t="str">
        <f t="shared" si="342"/>
        <v/>
      </c>
      <c r="X2685" s="348" t="str">
        <f t="shared" si="343"/>
        <v/>
      </c>
    </row>
    <row r="2686" spans="1:24" x14ac:dyDescent="0.2">
      <c r="A2686" s="407">
        <v>2678</v>
      </c>
      <c r="B2686" s="437"/>
      <c r="C2686" s="438"/>
      <c r="D2686" s="438"/>
      <c r="E2686" s="438"/>
      <c r="F2686" s="438"/>
      <c r="G2686" s="438"/>
      <c r="H2686" s="438"/>
      <c r="I2686" s="438"/>
      <c r="J2686" s="11"/>
      <c r="Q2686" s="348" t="str">
        <f t="shared" si="336"/>
        <v/>
      </c>
      <c r="R2686" s="348" t="str">
        <f t="shared" si="337"/>
        <v/>
      </c>
      <c r="S2686" s="348" t="str">
        <f t="shared" si="338"/>
        <v/>
      </c>
      <c r="T2686" s="348" t="str">
        <f t="shared" si="339"/>
        <v/>
      </c>
      <c r="U2686" s="348" t="str">
        <f t="shared" si="340"/>
        <v/>
      </c>
      <c r="V2686" s="348" t="str">
        <f t="shared" si="341"/>
        <v/>
      </c>
      <c r="W2686" s="348" t="str">
        <f t="shared" si="342"/>
        <v/>
      </c>
      <c r="X2686" s="348" t="str">
        <f t="shared" si="343"/>
        <v/>
      </c>
    </row>
    <row r="2687" spans="1:24" x14ac:dyDescent="0.2">
      <c r="A2687" s="407">
        <v>2679</v>
      </c>
      <c r="B2687" s="438"/>
      <c r="C2687" s="438"/>
      <c r="D2687" s="438"/>
      <c r="E2687" s="438"/>
      <c r="F2687" s="438"/>
      <c r="G2687" s="438"/>
      <c r="H2687" s="438"/>
      <c r="I2687" s="438"/>
      <c r="J2687" s="11"/>
      <c r="Q2687" s="348" t="str">
        <f t="shared" si="336"/>
        <v/>
      </c>
      <c r="R2687" s="348" t="str">
        <f t="shared" si="337"/>
        <v/>
      </c>
      <c r="S2687" s="348" t="str">
        <f t="shared" si="338"/>
        <v/>
      </c>
      <c r="T2687" s="348" t="str">
        <f t="shared" si="339"/>
        <v/>
      </c>
      <c r="U2687" s="348" t="str">
        <f t="shared" si="340"/>
        <v/>
      </c>
      <c r="V2687" s="348" t="str">
        <f t="shared" si="341"/>
        <v/>
      </c>
      <c r="W2687" s="348" t="str">
        <f t="shared" si="342"/>
        <v/>
      </c>
      <c r="X2687" s="348" t="str">
        <f t="shared" si="343"/>
        <v/>
      </c>
    </row>
    <row r="2688" spans="1:24" x14ac:dyDescent="0.2">
      <c r="A2688" s="407">
        <v>2680</v>
      </c>
      <c r="B2688" s="438"/>
      <c r="C2688" s="438"/>
      <c r="D2688" s="438"/>
      <c r="E2688" s="438"/>
      <c r="F2688" s="438"/>
      <c r="G2688" s="438"/>
      <c r="H2688" s="438"/>
      <c r="I2688" s="438"/>
      <c r="J2688" s="11"/>
      <c r="Q2688" s="348" t="str">
        <f t="shared" si="336"/>
        <v/>
      </c>
      <c r="R2688" s="348" t="str">
        <f t="shared" si="337"/>
        <v/>
      </c>
      <c r="S2688" s="348" t="str">
        <f t="shared" si="338"/>
        <v/>
      </c>
      <c r="T2688" s="348" t="str">
        <f t="shared" si="339"/>
        <v/>
      </c>
      <c r="U2688" s="348" t="str">
        <f t="shared" si="340"/>
        <v/>
      </c>
      <c r="V2688" s="348" t="str">
        <f t="shared" si="341"/>
        <v/>
      </c>
      <c r="W2688" s="348" t="str">
        <f t="shared" si="342"/>
        <v/>
      </c>
      <c r="X2688" s="348" t="str">
        <f t="shared" si="343"/>
        <v/>
      </c>
    </row>
    <row r="2689" spans="1:24" x14ac:dyDescent="0.2">
      <c r="A2689" s="407">
        <v>2681</v>
      </c>
      <c r="B2689" s="438"/>
      <c r="C2689" s="438"/>
      <c r="D2689" s="438"/>
      <c r="E2689" s="438"/>
      <c r="F2689" s="438"/>
      <c r="G2689" s="438"/>
      <c r="H2689" s="438"/>
      <c r="I2689" s="438"/>
      <c r="J2689" s="11"/>
      <c r="Q2689" s="348" t="str">
        <f t="shared" si="336"/>
        <v/>
      </c>
      <c r="R2689" s="348" t="str">
        <f t="shared" si="337"/>
        <v/>
      </c>
      <c r="S2689" s="348" t="str">
        <f t="shared" si="338"/>
        <v/>
      </c>
      <c r="T2689" s="348" t="str">
        <f t="shared" si="339"/>
        <v/>
      </c>
      <c r="U2689" s="348" t="str">
        <f t="shared" si="340"/>
        <v/>
      </c>
      <c r="V2689" s="348" t="str">
        <f t="shared" si="341"/>
        <v/>
      </c>
      <c r="W2689" s="348" t="str">
        <f t="shared" si="342"/>
        <v/>
      </c>
      <c r="X2689" s="348" t="str">
        <f t="shared" si="343"/>
        <v/>
      </c>
    </row>
    <row r="2690" spans="1:24" x14ac:dyDescent="0.2">
      <c r="A2690" s="407">
        <v>2682</v>
      </c>
      <c r="B2690" s="438"/>
      <c r="C2690" s="438"/>
      <c r="D2690" s="438"/>
      <c r="E2690" s="438"/>
      <c r="F2690" s="438"/>
      <c r="G2690" s="438"/>
      <c r="H2690" s="438"/>
      <c r="I2690" s="438"/>
      <c r="J2690" s="11"/>
      <c r="Q2690" s="348" t="str">
        <f t="shared" si="336"/>
        <v/>
      </c>
      <c r="R2690" s="348" t="str">
        <f t="shared" si="337"/>
        <v/>
      </c>
      <c r="S2690" s="348" t="str">
        <f t="shared" si="338"/>
        <v/>
      </c>
      <c r="T2690" s="348" t="str">
        <f t="shared" si="339"/>
        <v/>
      </c>
      <c r="U2690" s="348" t="str">
        <f t="shared" si="340"/>
        <v/>
      </c>
      <c r="V2690" s="348" t="str">
        <f t="shared" si="341"/>
        <v/>
      </c>
      <c r="W2690" s="348" t="str">
        <f t="shared" si="342"/>
        <v/>
      </c>
      <c r="X2690" s="348" t="str">
        <f t="shared" si="343"/>
        <v/>
      </c>
    </row>
    <row r="2691" spans="1:24" x14ac:dyDescent="0.2">
      <c r="A2691" s="407">
        <v>2683</v>
      </c>
      <c r="B2691" s="438"/>
      <c r="C2691" s="438"/>
      <c r="D2691" s="438"/>
      <c r="E2691" s="438"/>
      <c r="F2691" s="438"/>
      <c r="G2691" s="438"/>
      <c r="H2691" s="438"/>
      <c r="I2691" s="438"/>
      <c r="J2691" s="11"/>
      <c r="Q2691" s="348" t="str">
        <f t="shared" si="336"/>
        <v/>
      </c>
      <c r="R2691" s="348" t="str">
        <f t="shared" si="337"/>
        <v/>
      </c>
      <c r="S2691" s="348" t="str">
        <f t="shared" si="338"/>
        <v/>
      </c>
      <c r="T2691" s="348" t="str">
        <f t="shared" si="339"/>
        <v/>
      </c>
      <c r="U2691" s="348" t="str">
        <f t="shared" si="340"/>
        <v/>
      </c>
      <c r="V2691" s="348" t="str">
        <f t="shared" si="341"/>
        <v/>
      </c>
      <c r="W2691" s="348" t="str">
        <f t="shared" si="342"/>
        <v/>
      </c>
      <c r="X2691" s="348" t="str">
        <f t="shared" si="343"/>
        <v/>
      </c>
    </row>
    <row r="2692" spans="1:24" x14ac:dyDescent="0.2">
      <c r="A2692" s="407">
        <v>2684</v>
      </c>
      <c r="B2692" s="438"/>
      <c r="C2692" s="438"/>
      <c r="D2692" s="438"/>
      <c r="E2692" s="438"/>
      <c r="F2692" s="438"/>
      <c r="G2692" s="438"/>
      <c r="H2692" s="438"/>
      <c r="I2692" s="438"/>
      <c r="J2692" s="11"/>
      <c r="Q2692" s="348" t="str">
        <f t="shared" si="336"/>
        <v/>
      </c>
      <c r="R2692" s="348" t="str">
        <f t="shared" si="337"/>
        <v/>
      </c>
      <c r="S2692" s="348" t="str">
        <f t="shared" si="338"/>
        <v/>
      </c>
      <c r="T2692" s="348" t="str">
        <f t="shared" si="339"/>
        <v/>
      </c>
      <c r="U2692" s="348" t="str">
        <f t="shared" si="340"/>
        <v/>
      </c>
      <c r="V2692" s="348" t="str">
        <f t="shared" si="341"/>
        <v/>
      </c>
      <c r="W2692" s="348" t="str">
        <f t="shared" si="342"/>
        <v/>
      </c>
      <c r="X2692" s="348" t="str">
        <f t="shared" si="343"/>
        <v/>
      </c>
    </row>
    <row r="2693" spans="1:24" x14ac:dyDescent="0.2">
      <c r="A2693" s="407">
        <v>2685</v>
      </c>
      <c r="B2693" s="438"/>
      <c r="C2693" s="438"/>
      <c r="D2693" s="438"/>
      <c r="E2693" s="438"/>
      <c r="F2693" s="438"/>
      <c r="G2693" s="438"/>
      <c r="H2693" s="438"/>
      <c r="I2693" s="438"/>
      <c r="J2693" s="11"/>
      <c r="Q2693" s="348" t="str">
        <f t="shared" si="336"/>
        <v/>
      </c>
      <c r="R2693" s="348" t="str">
        <f t="shared" si="337"/>
        <v/>
      </c>
      <c r="S2693" s="348" t="str">
        <f t="shared" si="338"/>
        <v/>
      </c>
      <c r="T2693" s="348" t="str">
        <f t="shared" si="339"/>
        <v/>
      </c>
      <c r="U2693" s="348" t="str">
        <f t="shared" si="340"/>
        <v/>
      </c>
      <c r="V2693" s="348" t="str">
        <f t="shared" si="341"/>
        <v/>
      </c>
      <c r="W2693" s="348" t="str">
        <f t="shared" si="342"/>
        <v/>
      </c>
      <c r="X2693" s="348" t="str">
        <f t="shared" si="343"/>
        <v/>
      </c>
    </row>
    <row r="2694" spans="1:24" x14ac:dyDescent="0.2">
      <c r="A2694" s="407">
        <v>2686</v>
      </c>
      <c r="B2694" s="438"/>
      <c r="C2694" s="438"/>
      <c r="D2694" s="438"/>
      <c r="E2694" s="438"/>
      <c r="F2694" s="438"/>
      <c r="G2694" s="438"/>
      <c r="H2694" s="438"/>
      <c r="I2694" s="438"/>
      <c r="J2694" s="11"/>
      <c r="Q2694" s="348" t="str">
        <f t="shared" si="336"/>
        <v/>
      </c>
      <c r="R2694" s="348" t="str">
        <f t="shared" si="337"/>
        <v/>
      </c>
      <c r="S2694" s="348" t="str">
        <f t="shared" si="338"/>
        <v/>
      </c>
      <c r="T2694" s="348" t="str">
        <f t="shared" si="339"/>
        <v/>
      </c>
      <c r="U2694" s="348" t="str">
        <f t="shared" si="340"/>
        <v/>
      </c>
      <c r="V2694" s="348" t="str">
        <f t="shared" si="341"/>
        <v/>
      </c>
      <c r="W2694" s="348" t="str">
        <f t="shared" si="342"/>
        <v/>
      </c>
      <c r="X2694" s="348" t="str">
        <f t="shared" si="343"/>
        <v/>
      </c>
    </row>
    <row r="2695" spans="1:24" x14ac:dyDescent="0.2">
      <c r="A2695" s="407">
        <v>2687</v>
      </c>
      <c r="B2695" s="438"/>
      <c r="C2695" s="438"/>
      <c r="D2695" s="438"/>
      <c r="E2695" s="438"/>
      <c r="F2695" s="438"/>
      <c r="G2695" s="438"/>
      <c r="H2695" s="438"/>
      <c r="I2695" s="438"/>
      <c r="J2695" s="11"/>
      <c r="Q2695" s="348" t="str">
        <f t="shared" si="336"/>
        <v/>
      </c>
      <c r="R2695" s="348" t="str">
        <f t="shared" si="337"/>
        <v/>
      </c>
      <c r="S2695" s="348" t="str">
        <f t="shared" si="338"/>
        <v/>
      </c>
      <c r="T2695" s="348" t="str">
        <f t="shared" si="339"/>
        <v/>
      </c>
      <c r="U2695" s="348" t="str">
        <f t="shared" si="340"/>
        <v/>
      </c>
      <c r="V2695" s="348" t="str">
        <f t="shared" si="341"/>
        <v/>
      </c>
      <c r="W2695" s="348" t="str">
        <f t="shared" si="342"/>
        <v/>
      </c>
      <c r="X2695" s="348" t="str">
        <f t="shared" si="343"/>
        <v/>
      </c>
    </row>
    <row r="2696" spans="1:24" x14ac:dyDescent="0.2">
      <c r="A2696" s="407">
        <v>2688</v>
      </c>
      <c r="B2696" s="438"/>
      <c r="C2696" s="438"/>
      <c r="D2696" s="438"/>
      <c r="E2696" s="438"/>
      <c r="F2696" s="438"/>
      <c r="G2696" s="438"/>
      <c r="H2696" s="438"/>
      <c r="I2696" s="438"/>
      <c r="J2696" s="11"/>
      <c r="Q2696" s="348" t="str">
        <f t="shared" si="336"/>
        <v/>
      </c>
      <c r="R2696" s="348" t="str">
        <f t="shared" si="337"/>
        <v/>
      </c>
      <c r="S2696" s="348" t="str">
        <f t="shared" si="338"/>
        <v/>
      </c>
      <c r="T2696" s="348" t="str">
        <f t="shared" si="339"/>
        <v/>
      </c>
      <c r="U2696" s="348" t="str">
        <f t="shared" si="340"/>
        <v/>
      </c>
      <c r="V2696" s="348" t="str">
        <f t="shared" si="341"/>
        <v/>
      </c>
      <c r="W2696" s="348" t="str">
        <f t="shared" si="342"/>
        <v/>
      </c>
      <c r="X2696" s="348" t="str">
        <f t="shared" si="343"/>
        <v/>
      </c>
    </row>
    <row r="2697" spans="1:24" x14ac:dyDescent="0.2">
      <c r="A2697" s="407">
        <v>2689</v>
      </c>
      <c r="B2697" s="438"/>
      <c r="C2697" s="438"/>
      <c r="D2697" s="438"/>
      <c r="E2697" s="438"/>
      <c r="F2697" s="438"/>
      <c r="G2697" s="438"/>
      <c r="H2697" s="438"/>
      <c r="I2697" s="438"/>
      <c r="J2697" s="11"/>
      <c r="Q2697" s="348" t="str">
        <f t="shared" si="336"/>
        <v/>
      </c>
      <c r="R2697" s="348" t="str">
        <f t="shared" si="337"/>
        <v/>
      </c>
      <c r="S2697" s="348" t="str">
        <f t="shared" si="338"/>
        <v/>
      </c>
      <c r="T2697" s="348" t="str">
        <f t="shared" si="339"/>
        <v/>
      </c>
      <c r="U2697" s="348" t="str">
        <f t="shared" si="340"/>
        <v/>
      </c>
      <c r="V2697" s="348" t="str">
        <f t="shared" si="341"/>
        <v/>
      </c>
      <c r="W2697" s="348" t="str">
        <f t="shared" si="342"/>
        <v/>
      </c>
      <c r="X2697" s="348" t="str">
        <f t="shared" si="343"/>
        <v/>
      </c>
    </row>
    <row r="2698" spans="1:24" x14ac:dyDescent="0.2">
      <c r="A2698" s="407">
        <v>2690</v>
      </c>
      <c r="B2698" s="438"/>
      <c r="C2698" s="438"/>
      <c r="D2698" s="438"/>
      <c r="E2698" s="438"/>
      <c r="F2698" s="438"/>
      <c r="G2698" s="438"/>
      <c r="H2698" s="438"/>
      <c r="I2698" s="438"/>
      <c r="J2698" s="11"/>
      <c r="Q2698" s="348" t="str">
        <f t="shared" ref="Q2698:Q2761" si="344">IFERROR(B2698^4*$AB$9+B2698^3*$AC$9+B2698^2*$AD$9+B2698^1*$AE$9+B2698^0*$AF$9,"")</f>
        <v/>
      </c>
      <c r="R2698" s="348" t="str">
        <f t="shared" ref="R2698:R2761" si="345">IFERROR(C2698^4*$AB$10+C2698^3*$AC$10+C2698^2*$AD$10+C2698^1*$AE$10+C2698^0*$AF$10,"")</f>
        <v/>
      </c>
      <c r="S2698" s="348" t="str">
        <f t="shared" ref="S2698:S2761" si="346">IFERROR(D2698^4*$AB$11+D2698^3*$AC$11+D2698^2*$AD$11+D2698^1*$AE$11+D2698^0*$AF$11,"")</f>
        <v/>
      </c>
      <c r="T2698" s="348" t="str">
        <f t="shared" ref="T2698:T2761" si="347">IFERROR(E2698^4*$AB$12+E2698^3*$AC$12+E2698^2*$AD$12+E2698^1*$AE$12+E2698^0*$AF$12,"")</f>
        <v/>
      </c>
      <c r="U2698" s="348" t="str">
        <f t="shared" ref="U2698:U2761" si="348">IFERROR(F2698^4*$AB$13+F2698^3*$AC$13+F2698^2*$AD$13+F2698^1*$AE$13+F2698^0*$AF$13,"")</f>
        <v/>
      </c>
      <c r="V2698" s="348" t="str">
        <f t="shared" ref="V2698:V2761" si="349">IFERROR(G2698^4*$AB$14+G2698^3*$AC$14+G2698^2*$AD$14+G2698^1*$AE$14+G2698^0*$AF$14,"")</f>
        <v/>
      </c>
      <c r="W2698" s="348" t="str">
        <f t="shared" ref="W2698:W2761" si="350">IFERROR(H2698^4*$AB$15+H2698^3*$AC$15+H2698^2*$AD$15+H2698^1*$AE$15+H2698^0*$AF$15,"")</f>
        <v/>
      </c>
      <c r="X2698" s="348" t="str">
        <f t="shared" ref="X2698:X2761" si="351">IFERROR(I2698^4*$AB$16+I2698^3*$AC$16+I2698^2*$AD$16+I2698^1*$AE$16+I2698^0*$AF$16,"")</f>
        <v/>
      </c>
    </row>
    <row r="2699" spans="1:24" x14ac:dyDescent="0.2">
      <c r="A2699" s="407">
        <v>2691</v>
      </c>
      <c r="B2699" s="438"/>
      <c r="C2699" s="438"/>
      <c r="D2699" s="438"/>
      <c r="E2699" s="438"/>
      <c r="F2699" s="438"/>
      <c r="G2699" s="438"/>
      <c r="H2699" s="438"/>
      <c r="I2699" s="438"/>
      <c r="J2699" s="11"/>
      <c r="Q2699" s="348" t="str">
        <f t="shared" si="344"/>
        <v/>
      </c>
      <c r="R2699" s="348" t="str">
        <f t="shared" si="345"/>
        <v/>
      </c>
      <c r="S2699" s="348" t="str">
        <f t="shared" si="346"/>
        <v/>
      </c>
      <c r="T2699" s="348" t="str">
        <f t="shared" si="347"/>
        <v/>
      </c>
      <c r="U2699" s="348" t="str">
        <f t="shared" si="348"/>
        <v/>
      </c>
      <c r="V2699" s="348" t="str">
        <f t="shared" si="349"/>
        <v/>
      </c>
      <c r="W2699" s="348" t="str">
        <f t="shared" si="350"/>
        <v/>
      </c>
      <c r="X2699" s="348" t="str">
        <f t="shared" si="351"/>
        <v/>
      </c>
    </row>
    <row r="2700" spans="1:24" x14ac:dyDescent="0.2">
      <c r="A2700" s="407">
        <v>2692</v>
      </c>
      <c r="B2700" s="437"/>
      <c r="C2700" s="438"/>
      <c r="D2700" s="438"/>
      <c r="E2700" s="438"/>
      <c r="F2700" s="438"/>
      <c r="G2700" s="438"/>
      <c r="H2700" s="438"/>
      <c r="I2700" s="438"/>
      <c r="J2700" s="11"/>
      <c r="Q2700" s="348" t="str">
        <f t="shared" si="344"/>
        <v/>
      </c>
      <c r="R2700" s="348" t="str">
        <f t="shared" si="345"/>
        <v/>
      </c>
      <c r="S2700" s="348" t="str">
        <f t="shared" si="346"/>
        <v/>
      </c>
      <c r="T2700" s="348" t="str">
        <f t="shared" si="347"/>
        <v/>
      </c>
      <c r="U2700" s="348" t="str">
        <f t="shared" si="348"/>
        <v/>
      </c>
      <c r="V2700" s="348" t="str">
        <f t="shared" si="349"/>
        <v/>
      </c>
      <c r="W2700" s="348" t="str">
        <f t="shared" si="350"/>
        <v/>
      </c>
      <c r="X2700" s="348" t="str">
        <f t="shared" si="351"/>
        <v/>
      </c>
    </row>
    <row r="2701" spans="1:24" x14ac:dyDescent="0.2">
      <c r="A2701" s="407">
        <v>2693</v>
      </c>
      <c r="B2701" s="438"/>
      <c r="C2701" s="437"/>
      <c r="D2701" s="438"/>
      <c r="E2701" s="438"/>
      <c r="F2701" s="438"/>
      <c r="G2701" s="438"/>
      <c r="H2701" s="438"/>
      <c r="I2701" s="438"/>
      <c r="J2701" s="11"/>
      <c r="Q2701" s="348" t="str">
        <f t="shared" si="344"/>
        <v/>
      </c>
      <c r="R2701" s="348" t="str">
        <f t="shared" si="345"/>
        <v/>
      </c>
      <c r="S2701" s="348" t="str">
        <f t="shared" si="346"/>
        <v/>
      </c>
      <c r="T2701" s="348" t="str">
        <f t="shared" si="347"/>
        <v/>
      </c>
      <c r="U2701" s="348" t="str">
        <f t="shared" si="348"/>
        <v/>
      </c>
      <c r="V2701" s="348" t="str">
        <f t="shared" si="349"/>
        <v/>
      </c>
      <c r="W2701" s="348" t="str">
        <f t="shared" si="350"/>
        <v/>
      </c>
      <c r="X2701" s="348" t="str">
        <f t="shared" si="351"/>
        <v/>
      </c>
    </row>
    <row r="2702" spans="1:24" x14ac:dyDescent="0.2">
      <c r="A2702" s="407">
        <v>2694</v>
      </c>
      <c r="B2702" s="438"/>
      <c r="C2702" s="438"/>
      <c r="D2702" s="438"/>
      <c r="E2702" s="437"/>
      <c r="F2702" s="438"/>
      <c r="G2702" s="438"/>
      <c r="H2702" s="438"/>
      <c r="I2702" s="438"/>
      <c r="J2702" s="11"/>
      <c r="Q2702" s="348" t="str">
        <f t="shared" si="344"/>
        <v/>
      </c>
      <c r="R2702" s="348" t="str">
        <f t="shared" si="345"/>
        <v/>
      </c>
      <c r="S2702" s="348" t="str">
        <f t="shared" si="346"/>
        <v/>
      </c>
      <c r="T2702" s="348" t="str">
        <f t="shared" si="347"/>
        <v/>
      </c>
      <c r="U2702" s="348" t="str">
        <f t="shared" si="348"/>
        <v/>
      </c>
      <c r="V2702" s="348" t="str">
        <f t="shared" si="349"/>
        <v/>
      </c>
      <c r="W2702" s="348" t="str">
        <f t="shared" si="350"/>
        <v/>
      </c>
      <c r="X2702" s="348" t="str">
        <f t="shared" si="351"/>
        <v/>
      </c>
    </row>
    <row r="2703" spans="1:24" x14ac:dyDescent="0.2">
      <c r="A2703" s="407">
        <v>2695</v>
      </c>
      <c r="B2703" s="438"/>
      <c r="C2703" s="438"/>
      <c r="D2703" s="438"/>
      <c r="E2703" s="438"/>
      <c r="F2703" s="438"/>
      <c r="G2703" s="438"/>
      <c r="H2703" s="438"/>
      <c r="I2703" s="438"/>
      <c r="J2703" s="11"/>
      <c r="Q2703" s="348" t="str">
        <f t="shared" si="344"/>
        <v/>
      </c>
      <c r="R2703" s="348" t="str">
        <f t="shared" si="345"/>
        <v/>
      </c>
      <c r="S2703" s="348" t="str">
        <f t="shared" si="346"/>
        <v/>
      </c>
      <c r="T2703" s="348" t="str">
        <f t="shared" si="347"/>
        <v/>
      </c>
      <c r="U2703" s="348" t="str">
        <f t="shared" si="348"/>
        <v/>
      </c>
      <c r="V2703" s="348" t="str">
        <f t="shared" si="349"/>
        <v/>
      </c>
      <c r="W2703" s="348" t="str">
        <f t="shared" si="350"/>
        <v/>
      </c>
      <c r="X2703" s="348" t="str">
        <f t="shared" si="351"/>
        <v/>
      </c>
    </row>
    <row r="2704" spans="1:24" x14ac:dyDescent="0.2">
      <c r="A2704" s="407">
        <v>2696</v>
      </c>
      <c r="B2704" s="438"/>
      <c r="C2704" s="438"/>
      <c r="D2704" s="438"/>
      <c r="E2704" s="438"/>
      <c r="F2704" s="438"/>
      <c r="G2704" s="438"/>
      <c r="H2704" s="438"/>
      <c r="I2704" s="438"/>
      <c r="J2704" s="11"/>
      <c r="Q2704" s="348" t="str">
        <f t="shared" si="344"/>
        <v/>
      </c>
      <c r="R2704" s="348" t="str">
        <f t="shared" si="345"/>
        <v/>
      </c>
      <c r="S2704" s="348" t="str">
        <f t="shared" si="346"/>
        <v/>
      </c>
      <c r="T2704" s="348" t="str">
        <f t="shared" si="347"/>
        <v/>
      </c>
      <c r="U2704" s="348" t="str">
        <f t="shared" si="348"/>
        <v/>
      </c>
      <c r="V2704" s="348" t="str">
        <f t="shared" si="349"/>
        <v/>
      </c>
      <c r="W2704" s="348" t="str">
        <f t="shared" si="350"/>
        <v/>
      </c>
      <c r="X2704" s="348" t="str">
        <f t="shared" si="351"/>
        <v/>
      </c>
    </row>
    <row r="2705" spans="1:24" x14ac:dyDescent="0.2">
      <c r="A2705" s="407">
        <v>2697</v>
      </c>
      <c r="B2705" s="438"/>
      <c r="C2705" s="438"/>
      <c r="D2705" s="438"/>
      <c r="E2705" s="438"/>
      <c r="F2705" s="438"/>
      <c r="G2705" s="438"/>
      <c r="H2705" s="438"/>
      <c r="I2705" s="438"/>
      <c r="J2705" s="11"/>
      <c r="Q2705" s="348" t="str">
        <f t="shared" si="344"/>
        <v/>
      </c>
      <c r="R2705" s="348" t="str">
        <f t="shared" si="345"/>
        <v/>
      </c>
      <c r="S2705" s="348" t="str">
        <f t="shared" si="346"/>
        <v/>
      </c>
      <c r="T2705" s="348" t="str">
        <f t="shared" si="347"/>
        <v/>
      </c>
      <c r="U2705" s="348" t="str">
        <f t="shared" si="348"/>
        <v/>
      </c>
      <c r="V2705" s="348" t="str">
        <f t="shared" si="349"/>
        <v/>
      </c>
      <c r="W2705" s="348" t="str">
        <f t="shared" si="350"/>
        <v/>
      </c>
      <c r="X2705" s="348" t="str">
        <f t="shared" si="351"/>
        <v/>
      </c>
    </row>
    <row r="2706" spans="1:24" x14ac:dyDescent="0.2">
      <c r="A2706" s="407">
        <v>2698</v>
      </c>
      <c r="B2706" s="438"/>
      <c r="C2706" s="438"/>
      <c r="D2706" s="437"/>
      <c r="E2706" s="438"/>
      <c r="F2706" s="438"/>
      <c r="G2706" s="438"/>
      <c r="H2706" s="438"/>
      <c r="I2706" s="438"/>
      <c r="J2706" s="11"/>
      <c r="Q2706" s="348" t="str">
        <f t="shared" si="344"/>
        <v/>
      </c>
      <c r="R2706" s="348" t="str">
        <f t="shared" si="345"/>
        <v/>
      </c>
      <c r="S2706" s="348" t="str">
        <f t="shared" si="346"/>
        <v/>
      </c>
      <c r="T2706" s="348" t="str">
        <f t="shared" si="347"/>
        <v/>
      </c>
      <c r="U2706" s="348" t="str">
        <f t="shared" si="348"/>
        <v/>
      </c>
      <c r="V2706" s="348" t="str">
        <f t="shared" si="349"/>
        <v/>
      </c>
      <c r="W2706" s="348" t="str">
        <f t="shared" si="350"/>
        <v/>
      </c>
      <c r="X2706" s="348" t="str">
        <f t="shared" si="351"/>
        <v/>
      </c>
    </row>
    <row r="2707" spans="1:24" x14ac:dyDescent="0.2">
      <c r="A2707" s="407">
        <v>2699</v>
      </c>
      <c r="B2707" s="438"/>
      <c r="C2707" s="438"/>
      <c r="D2707" s="438"/>
      <c r="E2707" s="438"/>
      <c r="F2707" s="438"/>
      <c r="G2707" s="437"/>
      <c r="H2707" s="438"/>
      <c r="I2707" s="438"/>
      <c r="J2707" s="11"/>
      <c r="Q2707" s="348" t="str">
        <f t="shared" si="344"/>
        <v/>
      </c>
      <c r="R2707" s="348" t="str">
        <f t="shared" si="345"/>
        <v/>
      </c>
      <c r="S2707" s="348" t="str">
        <f t="shared" si="346"/>
        <v/>
      </c>
      <c r="T2707" s="348" t="str">
        <f t="shared" si="347"/>
        <v/>
      </c>
      <c r="U2707" s="348" t="str">
        <f t="shared" si="348"/>
        <v/>
      </c>
      <c r="V2707" s="348" t="str">
        <f t="shared" si="349"/>
        <v/>
      </c>
      <c r="W2707" s="348" t="str">
        <f t="shared" si="350"/>
        <v/>
      </c>
      <c r="X2707" s="348" t="str">
        <f t="shared" si="351"/>
        <v/>
      </c>
    </row>
    <row r="2708" spans="1:24" x14ac:dyDescent="0.2">
      <c r="A2708" s="407">
        <v>2700</v>
      </c>
      <c r="B2708" s="438"/>
      <c r="C2708" s="438"/>
      <c r="D2708" s="438"/>
      <c r="E2708" s="438"/>
      <c r="F2708" s="438"/>
      <c r="G2708" s="438"/>
      <c r="H2708" s="438"/>
      <c r="I2708" s="438"/>
      <c r="J2708" s="11"/>
      <c r="Q2708" s="348" t="str">
        <f t="shared" si="344"/>
        <v/>
      </c>
      <c r="R2708" s="348" t="str">
        <f t="shared" si="345"/>
        <v/>
      </c>
      <c r="S2708" s="348" t="str">
        <f t="shared" si="346"/>
        <v/>
      </c>
      <c r="T2708" s="348" t="str">
        <f t="shared" si="347"/>
        <v/>
      </c>
      <c r="U2708" s="348" t="str">
        <f t="shared" si="348"/>
        <v/>
      </c>
      <c r="V2708" s="348" t="str">
        <f t="shared" si="349"/>
        <v/>
      </c>
      <c r="W2708" s="348" t="str">
        <f t="shared" si="350"/>
        <v/>
      </c>
      <c r="X2708" s="348" t="str">
        <f t="shared" si="351"/>
        <v/>
      </c>
    </row>
    <row r="2709" spans="1:24" x14ac:dyDescent="0.2">
      <c r="A2709" s="407">
        <v>2701</v>
      </c>
      <c r="B2709" s="438"/>
      <c r="C2709" s="437"/>
      <c r="D2709" s="438"/>
      <c r="E2709" s="437"/>
      <c r="F2709" s="437"/>
      <c r="G2709" s="437"/>
      <c r="H2709" s="437"/>
      <c r="I2709" s="437"/>
      <c r="J2709" s="11"/>
      <c r="Q2709" s="348" t="str">
        <f t="shared" si="344"/>
        <v/>
      </c>
      <c r="R2709" s="348" t="str">
        <f t="shared" si="345"/>
        <v/>
      </c>
      <c r="S2709" s="348" t="str">
        <f t="shared" si="346"/>
        <v/>
      </c>
      <c r="T2709" s="348" t="str">
        <f t="shared" si="347"/>
        <v/>
      </c>
      <c r="U2709" s="348" t="str">
        <f t="shared" si="348"/>
        <v/>
      </c>
      <c r="V2709" s="348" t="str">
        <f t="shared" si="349"/>
        <v/>
      </c>
      <c r="W2709" s="348" t="str">
        <f t="shared" si="350"/>
        <v/>
      </c>
      <c r="X2709" s="348" t="str">
        <f t="shared" si="351"/>
        <v/>
      </c>
    </row>
    <row r="2710" spans="1:24" x14ac:dyDescent="0.2">
      <c r="A2710" s="407">
        <v>2702</v>
      </c>
      <c r="B2710" s="438"/>
      <c r="C2710" s="438"/>
      <c r="D2710" s="438"/>
      <c r="E2710" s="438"/>
      <c r="F2710" s="438"/>
      <c r="G2710" s="438"/>
      <c r="H2710" s="438"/>
      <c r="I2710" s="438"/>
      <c r="J2710" s="11"/>
      <c r="Q2710" s="348" t="str">
        <f t="shared" si="344"/>
        <v/>
      </c>
      <c r="R2710" s="348" t="str">
        <f t="shared" si="345"/>
        <v/>
      </c>
      <c r="S2710" s="348" t="str">
        <f t="shared" si="346"/>
        <v/>
      </c>
      <c r="T2710" s="348" t="str">
        <f t="shared" si="347"/>
        <v/>
      </c>
      <c r="U2710" s="348" t="str">
        <f t="shared" si="348"/>
        <v/>
      </c>
      <c r="V2710" s="348" t="str">
        <f t="shared" si="349"/>
        <v/>
      </c>
      <c r="W2710" s="348" t="str">
        <f t="shared" si="350"/>
        <v/>
      </c>
      <c r="X2710" s="348" t="str">
        <f t="shared" si="351"/>
        <v/>
      </c>
    </row>
    <row r="2711" spans="1:24" x14ac:dyDescent="0.2">
      <c r="A2711" s="407">
        <v>2703</v>
      </c>
      <c r="B2711" s="438"/>
      <c r="C2711" s="438"/>
      <c r="D2711" s="438"/>
      <c r="E2711" s="438"/>
      <c r="F2711" s="438"/>
      <c r="G2711" s="438"/>
      <c r="H2711" s="438"/>
      <c r="I2711" s="438"/>
      <c r="J2711" s="11"/>
      <c r="Q2711" s="348" t="str">
        <f t="shared" si="344"/>
        <v/>
      </c>
      <c r="R2711" s="348" t="str">
        <f t="shared" si="345"/>
        <v/>
      </c>
      <c r="S2711" s="348" t="str">
        <f t="shared" si="346"/>
        <v/>
      </c>
      <c r="T2711" s="348" t="str">
        <f t="shared" si="347"/>
        <v/>
      </c>
      <c r="U2711" s="348" t="str">
        <f t="shared" si="348"/>
        <v/>
      </c>
      <c r="V2711" s="348" t="str">
        <f t="shared" si="349"/>
        <v/>
      </c>
      <c r="W2711" s="348" t="str">
        <f t="shared" si="350"/>
        <v/>
      </c>
      <c r="X2711" s="348" t="str">
        <f t="shared" si="351"/>
        <v/>
      </c>
    </row>
    <row r="2712" spans="1:24" x14ac:dyDescent="0.2">
      <c r="A2712" s="407">
        <v>2704</v>
      </c>
      <c r="B2712" s="438"/>
      <c r="C2712" s="438"/>
      <c r="D2712" s="438"/>
      <c r="E2712" s="438"/>
      <c r="F2712" s="438"/>
      <c r="G2712" s="438"/>
      <c r="H2712" s="438"/>
      <c r="I2712" s="438"/>
      <c r="J2712" s="11"/>
      <c r="Q2712" s="348" t="str">
        <f t="shared" si="344"/>
        <v/>
      </c>
      <c r="R2712" s="348" t="str">
        <f t="shared" si="345"/>
        <v/>
      </c>
      <c r="S2712" s="348" t="str">
        <f t="shared" si="346"/>
        <v/>
      </c>
      <c r="T2712" s="348" t="str">
        <f t="shared" si="347"/>
        <v/>
      </c>
      <c r="U2712" s="348" t="str">
        <f t="shared" si="348"/>
        <v/>
      </c>
      <c r="V2712" s="348" t="str">
        <f t="shared" si="349"/>
        <v/>
      </c>
      <c r="W2712" s="348" t="str">
        <f t="shared" si="350"/>
        <v/>
      </c>
      <c r="X2712" s="348" t="str">
        <f t="shared" si="351"/>
        <v/>
      </c>
    </row>
    <row r="2713" spans="1:24" x14ac:dyDescent="0.2">
      <c r="A2713" s="407">
        <v>2705</v>
      </c>
      <c r="B2713" s="438"/>
      <c r="C2713" s="438"/>
      <c r="D2713" s="438"/>
      <c r="E2713" s="438"/>
      <c r="F2713" s="438"/>
      <c r="G2713" s="438"/>
      <c r="H2713" s="438"/>
      <c r="I2713" s="438"/>
      <c r="J2713" s="11"/>
      <c r="Q2713" s="348" t="str">
        <f t="shared" si="344"/>
        <v/>
      </c>
      <c r="R2713" s="348" t="str">
        <f t="shared" si="345"/>
        <v/>
      </c>
      <c r="S2713" s="348" t="str">
        <f t="shared" si="346"/>
        <v/>
      </c>
      <c r="T2713" s="348" t="str">
        <f t="shared" si="347"/>
        <v/>
      </c>
      <c r="U2713" s="348" t="str">
        <f t="shared" si="348"/>
        <v/>
      </c>
      <c r="V2713" s="348" t="str">
        <f t="shared" si="349"/>
        <v/>
      </c>
      <c r="W2713" s="348" t="str">
        <f t="shared" si="350"/>
        <v/>
      </c>
      <c r="X2713" s="348" t="str">
        <f t="shared" si="351"/>
        <v/>
      </c>
    </row>
    <row r="2714" spans="1:24" x14ac:dyDescent="0.2">
      <c r="A2714" s="407">
        <v>2706</v>
      </c>
      <c r="B2714" s="438"/>
      <c r="C2714" s="438"/>
      <c r="D2714" s="438"/>
      <c r="E2714" s="438"/>
      <c r="F2714" s="438"/>
      <c r="G2714" s="438"/>
      <c r="H2714" s="438"/>
      <c r="I2714" s="438"/>
      <c r="J2714" s="11"/>
      <c r="Q2714" s="348" t="str">
        <f t="shared" si="344"/>
        <v/>
      </c>
      <c r="R2714" s="348" t="str">
        <f t="shared" si="345"/>
        <v/>
      </c>
      <c r="S2714" s="348" t="str">
        <f t="shared" si="346"/>
        <v/>
      </c>
      <c r="T2714" s="348" t="str">
        <f t="shared" si="347"/>
        <v/>
      </c>
      <c r="U2714" s="348" t="str">
        <f t="shared" si="348"/>
        <v/>
      </c>
      <c r="V2714" s="348" t="str">
        <f t="shared" si="349"/>
        <v/>
      </c>
      <c r="W2714" s="348" t="str">
        <f t="shared" si="350"/>
        <v/>
      </c>
      <c r="X2714" s="348" t="str">
        <f t="shared" si="351"/>
        <v/>
      </c>
    </row>
    <row r="2715" spans="1:24" x14ac:dyDescent="0.2">
      <c r="A2715" s="407">
        <v>2707</v>
      </c>
      <c r="B2715" s="438"/>
      <c r="C2715" s="438"/>
      <c r="D2715" s="438"/>
      <c r="E2715" s="438"/>
      <c r="F2715" s="438"/>
      <c r="G2715" s="438"/>
      <c r="H2715" s="438"/>
      <c r="I2715" s="438"/>
      <c r="J2715" s="11"/>
      <c r="Q2715" s="348" t="str">
        <f t="shared" si="344"/>
        <v/>
      </c>
      <c r="R2715" s="348" t="str">
        <f t="shared" si="345"/>
        <v/>
      </c>
      <c r="S2715" s="348" t="str">
        <f t="shared" si="346"/>
        <v/>
      </c>
      <c r="T2715" s="348" t="str">
        <f t="shared" si="347"/>
        <v/>
      </c>
      <c r="U2715" s="348" t="str">
        <f t="shared" si="348"/>
        <v/>
      </c>
      <c r="V2715" s="348" t="str">
        <f t="shared" si="349"/>
        <v/>
      </c>
      <c r="W2715" s="348" t="str">
        <f t="shared" si="350"/>
        <v/>
      </c>
      <c r="X2715" s="348" t="str">
        <f t="shared" si="351"/>
        <v/>
      </c>
    </row>
    <row r="2716" spans="1:24" x14ac:dyDescent="0.2">
      <c r="A2716" s="407">
        <v>2708</v>
      </c>
      <c r="B2716" s="438"/>
      <c r="C2716" s="438"/>
      <c r="D2716" s="438"/>
      <c r="E2716" s="438"/>
      <c r="F2716" s="438"/>
      <c r="G2716" s="438"/>
      <c r="H2716" s="438"/>
      <c r="I2716" s="438"/>
      <c r="J2716" s="11"/>
      <c r="Q2716" s="348" t="str">
        <f t="shared" si="344"/>
        <v/>
      </c>
      <c r="R2716" s="348" t="str">
        <f t="shared" si="345"/>
        <v/>
      </c>
      <c r="S2716" s="348" t="str">
        <f t="shared" si="346"/>
        <v/>
      </c>
      <c r="T2716" s="348" t="str">
        <f t="shared" si="347"/>
        <v/>
      </c>
      <c r="U2716" s="348" t="str">
        <f t="shared" si="348"/>
        <v/>
      </c>
      <c r="V2716" s="348" t="str">
        <f t="shared" si="349"/>
        <v/>
      </c>
      <c r="W2716" s="348" t="str">
        <f t="shared" si="350"/>
        <v/>
      </c>
      <c r="X2716" s="348" t="str">
        <f t="shared" si="351"/>
        <v/>
      </c>
    </row>
    <row r="2717" spans="1:24" x14ac:dyDescent="0.2">
      <c r="A2717" s="407">
        <v>2709</v>
      </c>
      <c r="B2717" s="438"/>
      <c r="C2717" s="438"/>
      <c r="D2717" s="438"/>
      <c r="E2717" s="438"/>
      <c r="F2717" s="438"/>
      <c r="G2717" s="438"/>
      <c r="H2717" s="438"/>
      <c r="I2717" s="438"/>
      <c r="J2717" s="11"/>
      <c r="Q2717" s="348" t="str">
        <f t="shared" si="344"/>
        <v/>
      </c>
      <c r="R2717" s="348" t="str">
        <f t="shared" si="345"/>
        <v/>
      </c>
      <c r="S2717" s="348" t="str">
        <f t="shared" si="346"/>
        <v/>
      </c>
      <c r="T2717" s="348" t="str">
        <f t="shared" si="347"/>
        <v/>
      </c>
      <c r="U2717" s="348" t="str">
        <f t="shared" si="348"/>
        <v/>
      </c>
      <c r="V2717" s="348" t="str">
        <f t="shared" si="349"/>
        <v/>
      </c>
      <c r="W2717" s="348" t="str">
        <f t="shared" si="350"/>
        <v/>
      </c>
      <c r="X2717" s="348" t="str">
        <f t="shared" si="351"/>
        <v/>
      </c>
    </row>
    <row r="2718" spans="1:24" x14ac:dyDescent="0.2">
      <c r="A2718" s="407">
        <v>2710</v>
      </c>
      <c r="B2718" s="438"/>
      <c r="C2718" s="438"/>
      <c r="D2718" s="438"/>
      <c r="E2718" s="438"/>
      <c r="F2718" s="438"/>
      <c r="G2718" s="438"/>
      <c r="H2718" s="438"/>
      <c r="I2718" s="438"/>
      <c r="J2718" s="11"/>
      <c r="Q2718" s="348" t="str">
        <f t="shared" si="344"/>
        <v/>
      </c>
      <c r="R2718" s="348" t="str">
        <f t="shared" si="345"/>
        <v/>
      </c>
      <c r="S2718" s="348" t="str">
        <f t="shared" si="346"/>
        <v/>
      </c>
      <c r="T2718" s="348" t="str">
        <f t="shared" si="347"/>
        <v/>
      </c>
      <c r="U2718" s="348" t="str">
        <f t="shared" si="348"/>
        <v/>
      </c>
      <c r="V2718" s="348" t="str">
        <f t="shared" si="349"/>
        <v/>
      </c>
      <c r="W2718" s="348" t="str">
        <f t="shared" si="350"/>
        <v/>
      </c>
      <c r="X2718" s="348" t="str">
        <f t="shared" si="351"/>
        <v/>
      </c>
    </row>
    <row r="2719" spans="1:24" x14ac:dyDescent="0.2">
      <c r="A2719" s="407">
        <v>2711</v>
      </c>
      <c r="B2719" s="437"/>
      <c r="C2719" s="438"/>
      <c r="D2719" s="438"/>
      <c r="E2719" s="438"/>
      <c r="F2719" s="438"/>
      <c r="G2719" s="438"/>
      <c r="H2719" s="438"/>
      <c r="I2719" s="438"/>
      <c r="J2719" s="11"/>
      <c r="Q2719" s="348" t="str">
        <f t="shared" si="344"/>
        <v/>
      </c>
      <c r="R2719" s="348" t="str">
        <f t="shared" si="345"/>
        <v/>
      </c>
      <c r="S2719" s="348" t="str">
        <f t="shared" si="346"/>
        <v/>
      </c>
      <c r="T2719" s="348" t="str">
        <f t="shared" si="347"/>
        <v/>
      </c>
      <c r="U2719" s="348" t="str">
        <f t="shared" si="348"/>
        <v/>
      </c>
      <c r="V2719" s="348" t="str">
        <f t="shared" si="349"/>
        <v/>
      </c>
      <c r="W2719" s="348" t="str">
        <f t="shared" si="350"/>
        <v/>
      </c>
      <c r="X2719" s="348" t="str">
        <f t="shared" si="351"/>
        <v/>
      </c>
    </row>
    <row r="2720" spans="1:24" x14ac:dyDescent="0.2">
      <c r="A2720" s="407">
        <v>2712</v>
      </c>
      <c r="B2720" s="438"/>
      <c r="C2720" s="438"/>
      <c r="D2720" s="438"/>
      <c r="E2720" s="438"/>
      <c r="F2720" s="438"/>
      <c r="G2720" s="438"/>
      <c r="H2720" s="438"/>
      <c r="I2720" s="438"/>
      <c r="J2720" s="11"/>
      <c r="Q2720" s="348" t="str">
        <f t="shared" si="344"/>
        <v/>
      </c>
      <c r="R2720" s="348" t="str">
        <f t="shared" si="345"/>
        <v/>
      </c>
      <c r="S2720" s="348" t="str">
        <f t="shared" si="346"/>
        <v/>
      </c>
      <c r="T2720" s="348" t="str">
        <f t="shared" si="347"/>
        <v/>
      </c>
      <c r="U2720" s="348" t="str">
        <f t="shared" si="348"/>
        <v/>
      </c>
      <c r="V2720" s="348" t="str">
        <f t="shared" si="349"/>
        <v/>
      </c>
      <c r="W2720" s="348" t="str">
        <f t="shared" si="350"/>
        <v/>
      </c>
      <c r="X2720" s="348" t="str">
        <f t="shared" si="351"/>
        <v/>
      </c>
    </row>
    <row r="2721" spans="1:24" x14ac:dyDescent="0.2">
      <c r="A2721" s="407">
        <v>2713</v>
      </c>
      <c r="B2721" s="438"/>
      <c r="C2721" s="438"/>
      <c r="D2721" s="438"/>
      <c r="E2721" s="438"/>
      <c r="F2721" s="438"/>
      <c r="G2721" s="438"/>
      <c r="H2721" s="438"/>
      <c r="I2721" s="438"/>
      <c r="J2721" s="11"/>
      <c r="Q2721" s="348" t="str">
        <f t="shared" si="344"/>
        <v/>
      </c>
      <c r="R2721" s="348" t="str">
        <f t="shared" si="345"/>
        <v/>
      </c>
      <c r="S2721" s="348" t="str">
        <f t="shared" si="346"/>
        <v/>
      </c>
      <c r="T2721" s="348" t="str">
        <f t="shared" si="347"/>
        <v/>
      </c>
      <c r="U2721" s="348" t="str">
        <f t="shared" si="348"/>
        <v/>
      </c>
      <c r="V2721" s="348" t="str">
        <f t="shared" si="349"/>
        <v/>
      </c>
      <c r="W2721" s="348" t="str">
        <f t="shared" si="350"/>
        <v/>
      </c>
      <c r="X2721" s="348" t="str">
        <f t="shared" si="351"/>
        <v/>
      </c>
    </row>
    <row r="2722" spans="1:24" x14ac:dyDescent="0.2">
      <c r="A2722" s="407">
        <v>2714</v>
      </c>
      <c r="B2722" s="438"/>
      <c r="C2722" s="438"/>
      <c r="D2722" s="438"/>
      <c r="E2722" s="438"/>
      <c r="F2722" s="438"/>
      <c r="G2722" s="438"/>
      <c r="H2722" s="438"/>
      <c r="I2722" s="438"/>
      <c r="J2722" s="11"/>
      <c r="Q2722" s="348" t="str">
        <f t="shared" si="344"/>
        <v/>
      </c>
      <c r="R2722" s="348" t="str">
        <f t="shared" si="345"/>
        <v/>
      </c>
      <c r="S2722" s="348" t="str">
        <f t="shared" si="346"/>
        <v/>
      </c>
      <c r="T2722" s="348" t="str">
        <f t="shared" si="347"/>
        <v/>
      </c>
      <c r="U2722" s="348" t="str">
        <f t="shared" si="348"/>
        <v/>
      </c>
      <c r="V2722" s="348" t="str">
        <f t="shared" si="349"/>
        <v/>
      </c>
      <c r="W2722" s="348" t="str">
        <f t="shared" si="350"/>
        <v/>
      </c>
      <c r="X2722" s="348" t="str">
        <f t="shared" si="351"/>
        <v/>
      </c>
    </row>
    <row r="2723" spans="1:24" x14ac:dyDescent="0.2">
      <c r="A2723" s="407">
        <v>2715</v>
      </c>
      <c r="B2723" s="438"/>
      <c r="C2723" s="437"/>
      <c r="D2723" s="438"/>
      <c r="E2723" s="438"/>
      <c r="F2723" s="438"/>
      <c r="G2723" s="438"/>
      <c r="H2723" s="438"/>
      <c r="I2723" s="438"/>
      <c r="J2723" s="11"/>
      <c r="Q2723" s="348" t="str">
        <f t="shared" si="344"/>
        <v/>
      </c>
      <c r="R2723" s="348" t="str">
        <f t="shared" si="345"/>
        <v/>
      </c>
      <c r="S2723" s="348" t="str">
        <f t="shared" si="346"/>
        <v/>
      </c>
      <c r="T2723" s="348" t="str">
        <f t="shared" si="347"/>
        <v/>
      </c>
      <c r="U2723" s="348" t="str">
        <f t="shared" si="348"/>
        <v/>
      </c>
      <c r="V2723" s="348" t="str">
        <f t="shared" si="349"/>
        <v/>
      </c>
      <c r="W2723" s="348" t="str">
        <f t="shared" si="350"/>
        <v/>
      </c>
      <c r="X2723" s="348" t="str">
        <f t="shared" si="351"/>
        <v/>
      </c>
    </row>
    <row r="2724" spans="1:24" x14ac:dyDescent="0.2">
      <c r="A2724" s="407">
        <v>2716</v>
      </c>
      <c r="B2724" s="438"/>
      <c r="C2724" s="438"/>
      <c r="D2724" s="438"/>
      <c r="E2724" s="438"/>
      <c r="F2724" s="438"/>
      <c r="G2724" s="438"/>
      <c r="H2724" s="438"/>
      <c r="I2724" s="438"/>
      <c r="J2724" s="11"/>
      <c r="Q2724" s="348" t="str">
        <f t="shared" si="344"/>
        <v/>
      </c>
      <c r="R2724" s="348" t="str">
        <f t="shared" si="345"/>
        <v/>
      </c>
      <c r="S2724" s="348" t="str">
        <f t="shared" si="346"/>
        <v/>
      </c>
      <c r="T2724" s="348" t="str">
        <f t="shared" si="347"/>
        <v/>
      </c>
      <c r="U2724" s="348" t="str">
        <f t="shared" si="348"/>
        <v/>
      </c>
      <c r="V2724" s="348" t="str">
        <f t="shared" si="349"/>
        <v/>
      </c>
      <c r="W2724" s="348" t="str">
        <f t="shared" si="350"/>
        <v/>
      </c>
      <c r="X2724" s="348" t="str">
        <f t="shared" si="351"/>
        <v/>
      </c>
    </row>
    <row r="2725" spans="1:24" x14ac:dyDescent="0.2">
      <c r="A2725" s="407">
        <v>2717</v>
      </c>
      <c r="B2725" s="438"/>
      <c r="C2725" s="438"/>
      <c r="D2725" s="438"/>
      <c r="E2725" s="438"/>
      <c r="F2725" s="438"/>
      <c r="G2725" s="438"/>
      <c r="H2725" s="438"/>
      <c r="I2725" s="438"/>
      <c r="J2725" s="11"/>
      <c r="Q2725" s="348" t="str">
        <f t="shared" si="344"/>
        <v/>
      </c>
      <c r="R2725" s="348" t="str">
        <f t="shared" si="345"/>
        <v/>
      </c>
      <c r="S2725" s="348" t="str">
        <f t="shared" si="346"/>
        <v/>
      </c>
      <c r="T2725" s="348" t="str">
        <f t="shared" si="347"/>
        <v/>
      </c>
      <c r="U2725" s="348" t="str">
        <f t="shared" si="348"/>
        <v/>
      </c>
      <c r="V2725" s="348" t="str">
        <f t="shared" si="349"/>
        <v/>
      </c>
      <c r="W2725" s="348" t="str">
        <f t="shared" si="350"/>
        <v/>
      </c>
      <c r="X2725" s="348" t="str">
        <f t="shared" si="351"/>
        <v/>
      </c>
    </row>
    <row r="2726" spans="1:24" x14ac:dyDescent="0.2">
      <c r="A2726" s="407">
        <v>2718</v>
      </c>
      <c r="B2726" s="438"/>
      <c r="C2726" s="438"/>
      <c r="D2726" s="438"/>
      <c r="E2726" s="438"/>
      <c r="F2726" s="438"/>
      <c r="G2726" s="438"/>
      <c r="H2726" s="438"/>
      <c r="I2726" s="438"/>
      <c r="J2726" s="11"/>
      <c r="Q2726" s="348" t="str">
        <f t="shared" si="344"/>
        <v/>
      </c>
      <c r="R2726" s="348" t="str">
        <f t="shared" si="345"/>
        <v/>
      </c>
      <c r="S2726" s="348" t="str">
        <f t="shared" si="346"/>
        <v/>
      </c>
      <c r="T2726" s="348" t="str">
        <f t="shared" si="347"/>
        <v/>
      </c>
      <c r="U2726" s="348" t="str">
        <f t="shared" si="348"/>
        <v/>
      </c>
      <c r="V2726" s="348" t="str">
        <f t="shared" si="349"/>
        <v/>
      </c>
      <c r="W2726" s="348" t="str">
        <f t="shared" si="350"/>
        <v/>
      </c>
      <c r="X2726" s="348" t="str">
        <f t="shared" si="351"/>
        <v/>
      </c>
    </row>
    <row r="2727" spans="1:24" x14ac:dyDescent="0.2">
      <c r="A2727" s="407">
        <v>2719</v>
      </c>
      <c r="B2727" s="438"/>
      <c r="C2727" s="438"/>
      <c r="D2727" s="438"/>
      <c r="E2727" s="438"/>
      <c r="F2727" s="438"/>
      <c r="G2727" s="438"/>
      <c r="H2727" s="438"/>
      <c r="I2727" s="438"/>
      <c r="J2727" s="11"/>
      <c r="Q2727" s="348" t="str">
        <f t="shared" si="344"/>
        <v/>
      </c>
      <c r="R2727" s="348" t="str">
        <f t="shared" si="345"/>
        <v/>
      </c>
      <c r="S2727" s="348" t="str">
        <f t="shared" si="346"/>
        <v/>
      </c>
      <c r="T2727" s="348" t="str">
        <f t="shared" si="347"/>
        <v/>
      </c>
      <c r="U2727" s="348" t="str">
        <f t="shared" si="348"/>
        <v/>
      </c>
      <c r="V2727" s="348" t="str">
        <f t="shared" si="349"/>
        <v/>
      </c>
      <c r="W2727" s="348" t="str">
        <f t="shared" si="350"/>
        <v/>
      </c>
      <c r="X2727" s="348" t="str">
        <f t="shared" si="351"/>
        <v/>
      </c>
    </row>
    <row r="2728" spans="1:24" x14ac:dyDescent="0.2">
      <c r="A2728" s="407">
        <v>2720</v>
      </c>
      <c r="B2728" s="438"/>
      <c r="C2728" s="438"/>
      <c r="D2728" s="438"/>
      <c r="E2728" s="438"/>
      <c r="F2728" s="438"/>
      <c r="G2728" s="438"/>
      <c r="H2728" s="438"/>
      <c r="I2728" s="438"/>
      <c r="J2728" s="11"/>
      <c r="Q2728" s="348" t="str">
        <f t="shared" si="344"/>
        <v/>
      </c>
      <c r="R2728" s="348" t="str">
        <f t="shared" si="345"/>
        <v/>
      </c>
      <c r="S2728" s="348" t="str">
        <f t="shared" si="346"/>
        <v/>
      </c>
      <c r="T2728" s="348" t="str">
        <f t="shared" si="347"/>
        <v/>
      </c>
      <c r="U2728" s="348" t="str">
        <f t="shared" si="348"/>
        <v/>
      </c>
      <c r="V2728" s="348" t="str">
        <f t="shared" si="349"/>
        <v/>
      </c>
      <c r="W2728" s="348" t="str">
        <f t="shared" si="350"/>
        <v/>
      </c>
      <c r="X2728" s="348" t="str">
        <f t="shared" si="351"/>
        <v/>
      </c>
    </row>
    <row r="2729" spans="1:24" x14ac:dyDescent="0.2">
      <c r="A2729" s="407">
        <v>2721</v>
      </c>
      <c r="B2729" s="437"/>
      <c r="C2729" s="438"/>
      <c r="D2729" s="438"/>
      <c r="E2729" s="438"/>
      <c r="F2729" s="438"/>
      <c r="G2729" s="438"/>
      <c r="H2729" s="438"/>
      <c r="I2729" s="438"/>
      <c r="J2729" s="11"/>
      <c r="Q2729" s="348" t="str">
        <f t="shared" si="344"/>
        <v/>
      </c>
      <c r="R2729" s="348" t="str">
        <f t="shared" si="345"/>
        <v/>
      </c>
      <c r="S2729" s="348" t="str">
        <f t="shared" si="346"/>
        <v/>
      </c>
      <c r="T2729" s="348" t="str">
        <f t="shared" si="347"/>
        <v/>
      </c>
      <c r="U2729" s="348" t="str">
        <f t="shared" si="348"/>
        <v/>
      </c>
      <c r="V2729" s="348" t="str">
        <f t="shared" si="349"/>
        <v/>
      </c>
      <c r="W2729" s="348" t="str">
        <f t="shared" si="350"/>
        <v/>
      </c>
      <c r="X2729" s="348" t="str">
        <f t="shared" si="351"/>
        <v/>
      </c>
    </row>
    <row r="2730" spans="1:24" x14ac:dyDescent="0.2">
      <c r="A2730" s="407">
        <v>2722</v>
      </c>
      <c r="B2730" s="438"/>
      <c r="C2730" s="438"/>
      <c r="D2730" s="438"/>
      <c r="E2730" s="438"/>
      <c r="F2730" s="438"/>
      <c r="G2730" s="438"/>
      <c r="H2730" s="438"/>
      <c r="I2730" s="438"/>
      <c r="J2730" s="11"/>
      <c r="Q2730" s="348" t="str">
        <f t="shared" si="344"/>
        <v/>
      </c>
      <c r="R2730" s="348" t="str">
        <f t="shared" si="345"/>
        <v/>
      </c>
      <c r="S2730" s="348" t="str">
        <f t="shared" si="346"/>
        <v/>
      </c>
      <c r="T2730" s="348" t="str">
        <f t="shared" si="347"/>
        <v/>
      </c>
      <c r="U2730" s="348" t="str">
        <f t="shared" si="348"/>
        <v/>
      </c>
      <c r="V2730" s="348" t="str">
        <f t="shared" si="349"/>
        <v/>
      </c>
      <c r="W2730" s="348" t="str">
        <f t="shared" si="350"/>
        <v/>
      </c>
      <c r="X2730" s="348" t="str">
        <f t="shared" si="351"/>
        <v/>
      </c>
    </row>
    <row r="2731" spans="1:24" x14ac:dyDescent="0.2">
      <c r="A2731" s="407">
        <v>2723</v>
      </c>
      <c r="B2731" s="438"/>
      <c r="C2731" s="438"/>
      <c r="D2731" s="438"/>
      <c r="E2731" s="438"/>
      <c r="F2731" s="438"/>
      <c r="G2731" s="438"/>
      <c r="H2731" s="438"/>
      <c r="I2731" s="438"/>
      <c r="J2731" s="11"/>
      <c r="Q2731" s="348" t="str">
        <f t="shared" si="344"/>
        <v/>
      </c>
      <c r="R2731" s="348" t="str">
        <f t="shared" si="345"/>
        <v/>
      </c>
      <c r="S2731" s="348" t="str">
        <f t="shared" si="346"/>
        <v/>
      </c>
      <c r="T2731" s="348" t="str">
        <f t="shared" si="347"/>
        <v/>
      </c>
      <c r="U2731" s="348" t="str">
        <f t="shared" si="348"/>
        <v/>
      </c>
      <c r="V2731" s="348" t="str">
        <f t="shared" si="349"/>
        <v/>
      </c>
      <c r="W2731" s="348" t="str">
        <f t="shared" si="350"/>
        <v/>
      </c>
      <c r="X2731" s="348" t="str">
        <f t="shared" si="351"/>
        <v/>
      </c>
    </row>
    <row r="2732" spans="1:24" x14ac:dyDescent="0.2">
      <c r="A2732" s="407">
        <v>2724</v>
      </c>
      <c r="B2732" s="438"/>
      <c r="C2732" s="438"/>
      <c r="D2732" s="438"/>
      <c r="E2732" s="438"/>
      <c r="F2732" s="438"/>
      <c r="G2732" s="438"/>
      <c r="H2732" s="438"/>
      <c r="I2732" s="438"/>
      <c r="J2732" s="11"/>
      <c r="Q2732" s="348" t="str">
        <f t="shared" si="344"/>
        <v/>
      </c>
      <c r="R2732" s="348" t="str">
        <f t="shared" si="345"/>
        <v/>
      </c>
      <c r="S2732" s="348" t="str">
        <f t="shared" si="346"/>
        <v/>
      </c>
      <c r="T2732" s="348" t="str">
        <f t="shared" si="347"/>
        <v/>
      </c>
      <c r="U2732" s="348" t="str">
        <f t="shared" si="348"/>
        <v/>
      </c>
      <c r="V2732" s="348" t="str">
        <f t="shared" si="349"/>
        <v/>
      </c>
      <c r="W2732" s="348" t="str">
        <f t="shared" si="350"/>
        <v/>
      </c>
      <c r="X2732" s="348" t="str">
        <f t="shared" si="351"/>
        <v/>
      </c>
    </row>
    <row r="2733" spans="1:24" x14ac:dyDescent="0.2">
      <c r="A2733" s="407">
        <v>2725</v>
      </c>
      <c r="B2733" s="438"/>
      <c r="C2733" s="438"/>
      <c r="D2733" s="438"/>
      <c r="E2733" s="438"/>
      <c r="F2733" s="438"/>
      <c r="G2733" s="438"/>
      <c r="H2733" s="438"/>
      <c r="I2733" s="438"/>
      <c r="J2733" s="11"/>
      <c r="Q2733" s="348" t="str">
        <f t="shared" si="344"/>
        <v/>
      </c>
      <c r="R2733" s="348" t="str">
        <f t="shared" si="345"/>
        <v/>
      </c>
      <c r="S2733" s="348" t="str">
        <f t="shared" si="346"/>
        <v/>
      </c>
      <c r="T2733" s="348" t="str">
        <f t="shared" si="347"/>
        <v/>
      </c>
      <c r="U2733" s="348" t="str">
        <f t="shared" si="348"/>
        <v/>
      </c>
      <c r="V2733" s="348" t="str">
        <f t="shared" si="349"/>
        <v/>
      </c>
      <c r="W2733" s="348" t="str">
        <f t="shared" si="350"/>
        <v/>
      </c>
      <c r="X2733" s="348" t="str">
        <f t="shared" si="351"/>
        <v/>
      </c>
    </row>
    <row r="2734" spans="1:24" x14ac:dyDescent="0.2">
      <c r="A2734" s="407">
        <v>2726</v>
      </c>
      <c r="B2734" s="438"/>
      <c r="C2734" s="438"/>
      <c r="D2734" s="438"/>
      <c r="E2734" s="437"/>
      <c r="F2734" s="437"/>
      <c r="G2734" s="437"/>
      <c r="H2734" s="437"/>
      <c r="I2734" s="437"/>
      <c r="J2734" s="11"/>
      <c r="Q2734" s="348" t="str">
        <f t="shared" si="344"/>
        <v/>
      </c>
      <c r="R2734" s="348" t="str">
        <f t="shared" si="345"/>
        <v/>
      </c>
      <c r="S2734" s="348" t="str">
        <f t="shared" si="346"/>
        <v/>
      </c>
      <c r="T2734" s="348" t="str">
        <f t="shared" si="347"/>
        <v/>
      </c>
      <c r="U2734" s="348" t="str">
        <f t="shared" si="348"/>
        <v/>
      </c>
      <c r="V2734" s="348" t="str">
        <f t="shared" si="349"/>
        <v/>
      </c>
      <c r="W2734" s="348" t="str">
        <f t="shared" si="350"/>
        <v/>
      </c>
      <c r="X2734" s="348" t="str">
        <f t="shared" si="351"/>
        <v/>
      </c>
    </row>
    <row r="2735" spans="1:24" x14ac:dyDescent="0.2">
      <c r="A2735" s="407">
        <v>2727</v>
      </c>
      <c r="B2735" s="438"/>
      <c r="C2735" s="438"/>
      <c r="D2735" s="438"/>
      <c r="E2735" s="438"/>
      <c r="F2735" s="438"/>
      <c r="G2735" s="438"/>
      <c r="H2735" s="438"/>
      <c r="I2735" s="438"/>
      <c r="J2735" s="11"/>
      <c r="Q2735" s="348" t="str">
        <f t="shared" si="344"/>
        <v/>
      </c>
      <c r="R2735" s="348" t="str">
        <f t="shared" si="345"/>
        <v/>
      </c>
      <c r="S2735" s="348" t="str">
        <f t="shared" si="346"/>
        <v/>
      </c>
      <c r="T2735" s="348" t="str">
        <f t="shared" si="347"/>
        <v/>
      </c>
      <c r="U2735" s="348" t="str">
        <f t="shared" si="348"/>
        <v/>
      </c>
      <c r="V2735" s="348" t="str">
        <f t="shared" si="349"/>
        <v/>
      </c>
      <c r="W2735" s="348" t="str">
        <f t="shared" si="350"/>
        <v/>
      </c>
      <c r="X2735" s="348" t="str">
        <f t="shared" si="351"/>
        <v/>
      </c>
    </row>
    <row r="2736" spans="1:24" x14ac:dyDescent="0.2">
      <c r="A2736" s="407">
        <v>2728</v>
      </c>
      <c r="B2736" s="438"/>
      <c r="C2736" s="438"/>
      <c r="D2736" s="437"/>
      <c r="E2736" s="438"/>
      <c r="F2736" s="438"/>
      <c r="G2736" s="438"/>
      <c r="H2736" s="438"/>
      <c r="I2736" s="438"/>
      <c r="J2736" s="11"/>
      <c r="Q2736" s="348" t="str">
        <f t="shared" si="344"/>
        <v/>
      </c>
      <c r="R2736" s="348" t="str">
        <f t="shared" si="345"/>
        <v/>
      </c>
      <c r="S2736" s="348" t="str">
        <f t="shared" si="346"/>
        <v/>
      </c>
      <c r="T2736" s="348" t="str">
        <f t="shared" si="347"/>
        <v/>
      </c>
      <c r="U2736" s="348" t="str">
        <f t="shared" si="348"/>
        <v/>
      </c>
      <c r="V2736" s="348" t="str">
        <f t="shared" si="349"/>
        <v/>
      </c>
      <c r="W2736" s="348" t="str">
        <f t="shared" si="350"/>
        <v/>
      </c>
      <c r="X2736" s="348" t="str">
        <f t="shared" si="351"/>
        <v/>
      </c>
    </row>
    <row r="2737" spans="1:24" x14ac:dyDescent="0.2">
      <c r="A2737" s="407">
        <v>2729</v>
      </c>
      <c r="B2737" s="438"/>
      <c r="C2737" s="438"/>
      <c r="D2737" s="438"/>
      <c r="E2737" s="438"/>
      <c r="F2737" s="438"/>
      <c r="G2737" s="438"/>
      <c r="H2737" s="438"/>
      <c r="I2737" s="438"/>
      <c r="J2737" s="11"/>
      <c r="Q2737" s="348" t="str">
        <f t="shared" si="344"/>
        <v/>
      </c>
      <c r="R2737" s="348" t="str">
        <f t="shared" si="345"/>
        <v/>
      </c>
      <c r="S2737" s="348" t="str">
        <f t="shared" si="346"/>
        <v/>
      </c>
      <c r="T2737" s="348" t="str">
        <f t="shared" si="347"/>
        <v/>
      </c>
      <c r="U2737" s="348" t="str">
        <f t="shared" si="348"/>
        <v/>
      </c>
      <c r="V2737" s="348" t="str">
        <f t="shared" si="349"/>
        <v/>
      </c>
      <c r="W2737" s="348" t="str">
        <f t="shared" si="350"/>
        <v/>
      </c>
      <c r="X2737" s="348" t="str">
        <f t="shared" si="351"/>
        <v/>
      </c>
    </row>
    <row r="2738" spans="1:24" x14ac:dyDescent="0.2">
      <c r="A2738" s="407">
        <v>2730</v>
      </c>
      <c r="B2738" s="438"/>
      <c r="C2738" s="438"/>
      <c r="D2738" s="438"/>
      <c r="E2738" s="438"/>
      <c r="F2738" s="438"/>
      <c r="G2738" s="438"/>
      <c r="H2738" s="438"/>
      <c r="I2738" s="438"/>
      <c r="J2738" s="11"/>
      <c r="Q2738" s="348" t="str">
        <f t="shared" si="344"/>
        <v/>
      </c>
      <c r="R2738" s="348" t="str">
        <f t="shared" si="345"/>
        <v/>
      </c>
      <c r="S2738" s="348" t="str">
        <f t="shared" si="346"/>
        <v/>
      </c>
      <c r="T2738" s="348" t="str">
        <f t="shared" si="347"/>
        <v/>
      </c>
      <c r="U2738" s="348" t="str">
        <f t="shared" si="348"/>
        <v/>
      </c>
      <c r="V2738" s="348" t="str">
        <f t="shared" si="349"/>
        <v/>
      </c>
      <c r="W2738" s="348" t="str">
        <f t="shared" si="350"/>
        <v/>
      </c>
      <c r="X2738" s="348" t="str">
        <f t="shared" si="351"/>
        <v/>
      </c>
    </row>
    <row r="2739" spans="1:24" x14ac:dyDescent="0.2">
      <c r="A2739" s="407">
        <v>2731</v>
      </c>
      <c r="B2739" s="438"/>
      <c r="C2739" s="438"/>
      <c r="D2739" s="438"/>
      <c r="E2739" s="438"/>
      <c r="F2739" s="438"/>
      <c r="G2739" s="438"/>
      <c r="H2739" s="438"/>
      <c r="I2739" s="438"/>
      <c r="J2739" s="11"/>
      <c r="Q2739" s="348" t="str">
        <f t="shared" si="344"/>
        <v/>
      </c>
      <c r="R2739" s="348" t="str">
        <f t="shared" si="345"/>
        <v/>
      </c>
      <c r="S2739" s="348" t="str">
        <f t="shared" si="346"/>
        <v/>
      </c>
      <c r="T2739" s="348" t="str">
        <f t="shared" si="347"/>
        <v/>
      </c>
      <c r="U2739" s="348" t="str">
        <f t="shared" si="348"/>
        <v/>
      </c>
      <c r="V2739" s="348" t="str">
        <f t="shared" si="349"/>
        <v/>
      </c>
      <c r="W2739" s="348" t="str">
        <f t="shared" si="350"/>
        <v/>
      </c>
      <c r="X2739" s="348" t="str">
        <f t="shared" si="351"/>
        <v/>
      </c>
    </row>
    <row r="2740" spans="1:24" x14ac:dyDescent="0.2">
      <c r="A2740" s="407">
        <v>2732</v>
      </c>
      <c r="B2740" s="438"/>
      <c r="C2740" s="438"/>
      <c r="D2740" s="438"/>
      <c r="E2740" s="438"/>
      <c r="F2740" s="438"/>
      <c r="G2740" s="438"/>
      <c r="H2740" s="438"/>
      <c r="I2740" s="438"/>
      <c r="J2740" s="11"/>
      <c r="Q2740" s="348" t="str">
        <f t="shared" si="344"/>
        <v/>
      </c>
      <c r="R2740" s="348" t="str">
        <f t="shared" si="345"/>
        <v/>
      </c>
      <c r="S2740" s="348" t="str">
        <f t="shared" si="346"/>
        <v/>
      </c>
      <c r="T2740" s="348" t="str">
        <f t="shared" si="347"/>
        <v/>
      </c>
      <c r="U2740" s="348" t="str">
        <f t="shared" si="348"/>
        <v/>
      </c>
      <c r="V2740" s="348" t="str">
        <f t="shared" si="349"/>
        <v/>
      </c>
      <c r="W2740" s="348" t="str">
        <f t="shared" si="350"/>
        <v/>
      </c>
      <c r="X2740" s="348" t="str">
        <f t="shared" si="351"/>
        <v/>
      </c>
    </row>
    <row r="2741" spans="1:24" x14ac:dyDescent="0.2">
      <c r="A2741" s="407">
        <v>2733</v>
      </c>
      <c r="B2741" s="438"/>
      <c r="C2741" s="438"/>
      <c r="D2741" s="438"/>
      <c r="E2741" s="438"/>
      <c r="F2741" s="438"/>
      <c r="G2741" s="438"/>
      <c r="H2741" s="438"/>
      <c r="I2741" s="438"/>
      <c r="J2741" s="11"/>
      <c r="Q2741" s="348" t="str">
        <f t="shared" si="344"/>
        <v/>
      </c>
      <c r="R2741" s="348" t="str">
        <f t="shared" si="345"/>
        <v/>
      </c>
      <c r="S2741" s="348" t="str">
        <f t="shared" si="346"/>
        <v/>
      </c>
      <c r="T2741" s="348" t="str">
        <f t="shared" si="347"/>
        <v/>
      </c>
      <c r="U2741" s="348" t="str">
        <f t="shared" si="348"/>
        <v/>
      </c>
      <c r="V2741" s="348" t="str">
        <f t="shared" si="349"/>
        <v/>
      </c>
      <c r="W2741" s="348" t="str">
        <f t="shared" si="350"/>
        <v/>
      </c>
      <c r="X2741" s="348" t="str">
        <f t="shared" si="351"/>
        <v/>
      </c>
    </row>
    <row r="2742" spans="1:24" x14ac:dyDescent="0.2">
      <c r="A2742" s="407">
        <v>2734</v>
      </c>
      <c r="B2742" s="438"/>
      <c r="C2742" s="438"/>
      <c r="D2742" s="438"/>
      <c r="E2742" s="438"/>
      <c r="F2742" s="438"/>
      <c r="G2742" s="438"/>
      <c r="H2742" s="438"/>
      <c r="I2742" s="438"/>
      <c r="J2742" s="11"/>
      <c r="Q2742" s="348" t="str">
        <f t="shared" si="344"/>
        <v/>
      </c>
      <c r="R2742" s="348" t="str">
        <f t="shared" si="345"/>
        <v/>
      </c>
      <c r="S2742" s="348" t="str">
        <f t="shared" si="346"/>
        <v/>
      </c>
      <c r="T2742" s="348" t="str">
        <f t="shared" si="347"/>
        <v/>
      </c>
      <c r="U2742" s="348" t="str">
        <f t="shared" si="348"/>
        <v/>
      </c>
      <c r="V2742" s="348" t="str">
        <f t="shared" si="349"/>
        <v/>
      </c>
      <c r="W2742" s="348" t="str">
        <f t="shared" si="350"/>
        <v/>
      </c>
      <c r="X2742" s="348" t="str">
        <f t="shared" si="351"/>
        <v/>
      </c>
    </row>
    <row r="2743" spans="1:24" x14ac:dyDescent="0.2">
      <c r="A2743" s="407">
        <v>2735</v>
      </c>
      <c r="B2743" s="437"/>
      <c r="C2743" s="438"/>
      <c r="D2743" s="438"/>
      <c r="E2743" s="438"/>
      <c r="F2743" s="438"/>
      <c r="G2743" s="438"/>
      <c r="H2743" s="438"/>
      <c r="I2743" s="438"/>
      <c r="J2743" s="11"/>
      <c r="Q2743" s="348" t="str">
        <f t="shared" si="344"/>
        <v/>
      </c>
      <c r="R2743" s="348" t="str">
        <f t="shared" si="345"/>
        <v/>
      </c>
      <c r="S2743" s="348" t="str">
        <f t="shared" si="346"/>
        <v/>
      </c>
      <c r="T2743" s="348" t="str">
        <f t="shared" si="347"/>
        <v/>
      </c>
      <c r="U2743" s="348" t="str">
        <f t="shared" si="348"/>
        <v/>
      </c>
      <c r="V2743" s="348" t="str">
        <f t="shared" si="349"/>
        <v/>
      </c>
      <c r="W2743" s="348" t="str">
        <f t="shared" si="350"/>
        <v/>
      </c>
      <c r="X2743" s="348" t="str">
        <f t="shared" si="351"/>
        <v/>
      </c>
    </row>
    <row r="2744" spans="1:24" x14ac:dyDescent="0.2">
      <c r="A2744" s="407">
        <v>2736</v>
      </c>
      <c r="B2744" s="438"/>
      <c r="C2744" s="437"/>
      <c r="D2744" s="438"/>
      <c r="E2744" s="438"/>
      <c r="F2744" s="438"/>
      <c r="G2744" s="438"/>
      <c r="H2744" s="438"/>
      <c r="I2744" s="438"/>
      <c r="J2744" s="11"/>
      <c r="Q2744" s="348" t="str">
        <f t="shared" si="344"/>
        <v/>
      </c>
      <c r="R2744" s="348" t="str">
        <f t="shared" si="345"/>
        <v/>
      </c>
      <c r="S2744" s="348" t="str">
        <f t="shared" si="346"/>
        <v/>
      </c>
      <c r="T2744" s="348" t="str">
        <f t="shared" si="347"/>
        <v/>
      </c>
      <c r="U2744" s="348" t="str">
        <f t="shared" si="348"/>
        <v/>
      </c>
      <c r="V2744" s="348" t="str">
        <f t="shared" si="349"/>
        <v/>
      </c>
      <c r="W2744" s="348" t="str">
        <f t="shared" si="350"/>
        <v/>
      </c>
      <c r="X2744" s="348" t="str">
        <f t="shared" si="351"/>
        <v/>
      </c>
    </row>
    <row r="2745" spans="1:24" x14ac:dyDescent="0.2">
      <c r="A2745" s="407">
        <v>2737</v>
      </c>
      <c r="B2745" s="438"/>
      <c r="C2745" s="438"/>
      <c r="D2745" s="438"/>
      <c r="E2745" s="438"/>
      <c r="F2745" s="438"/>
      <c r="G2745" s="438"/>
      <c r="H2745" s="438"/>
      <c r="I2745" s="438"/>
      <c r="J2745" s="11"/>
      <c r="Q2745" s="348" t="str">
        <f t="shared" si="344"/>
        <v/>
      </c>
      <c r="R2745" s="348" t="str">
        <f t="shared" si="345"/>
        <v/>
      </c>
      <c r="S2745" s="348" t="str">
        <f t="shared" si="346"/>
        <v/>
      </c>
      <c r="T2745" s="348" t="str">
        <f t="shared" si="347"/>
        <v/>
      </c>
      <c r="U2745" s="348" t="str">
        <f t="shared" si="348"/>
        <v/>
      </c>
      <c r="V2745" s="348" t="str">
        <f t="shared" si="349"/>
        <v/>
      </c>
      <c r="W2745" s="348" t="str">
        <f t="shared" si="350"/>
        <v/>
      </c>
      <c r="X2745" s="348" t="str">
        <f t="shared" si="351"/>
        <v/>
      </c>
    </row>
    <row r="2746" spans="1:24" x14ac:dyDescent="0.2">
      <c r="A2746" s="407">
        <v>2738</v>
      </c>
      <c r="B2746" s="438"/>
      <c r="C2746" s="438"/>
      <c r="D2746" s="438"/>
      <c r="E2746" s="438"/>
      <c r="F2746" s="438"/>
      <c r="G2746" s="438"/>
      <c r="H2746" s="438"/>
      <c r="I2746" s="438"/>
      <c r="J2746" s="11"/>
      <c r="Q2746" s="348" t="str">
        <f t="shared" si="344"/>
        <v/>
      </c>
      <c r="R2746" s="348" t="str">
        <f t="shared" si="345"/>
        <v/>
      </c>
      <c r="S2746" s="348" t="str">
        <f t="shared" si="346"/>
        <v/>
      </c>
      <c r="T2746" s="348" t="str">
        <f t="shared" si="347"/>
        <v/>
      </c>
      <c r="U2746" s="348" t="str">
        <f t="shared" si="348"/>
        <v/>
      </c>
      <c r="V2746" s="348" t="str">
        <f t="shared" si="349"/>
        <v/>
      </c>
      <c r="W2746" s="348" t="str">
        <f t="shared" si="350"/>
        <v/>
      </c>
      <c r="X2746" s="348" t="str">
        <f t="shared" si="351"/>
        <v/>
      </c>
    </row>
    <row r="2747" spans="1:24" x14ac:dyDescent="0.2">
      <c r="A2747" s="407">
        <v>2739</v>
      </c>
      <c r="B2747" s="438"/>
      <c r="C2747" s="438"/>
      <c r="D2747" s="438"/>
      <c r="E2747" s="438"/>
      <c r="F2747" s="438"/>
      <c r="G2747" s="438"/>
      <c r="H2747" s="438"/>
      <c r="I2747" s="438"/>
      <c r="J2747" s="11"/>
      <c r="Q2747" s="348" t="str">
        <f t="shared" si="344"/>
        <v/>
      </c>
      <c r="R2747" s="348" t="str">
        <f t="shared" si="345"/>
        <v/>
      </c>
      <c r="S2747" s="348" t="str">
        <f t="shared" si="346"/>
        <v/>
      </c>
      <c r="T2747" s="348" t="str">
        <f t="shared" si="347"/>
        <v/>
      </c>
      <c r="U2747" s="348" t="str">
        <f t="shared" si="348"/>
        <v/>
      </c>
      <c r="V2747" s="348" t="str">
        <f t="shared" si="349"/>
        <v/>
      </c>
      <c r="W2747" s="348" t="str">
        <f t="shared" si="350"/>
        <v/>
      </c>
      <c r="X2747" s="348" t="str">
        <f t="shared" si="351"/>
        <v/>
      </c>
    </row>
    <row r="2748" spans="1:24" x14ac:dyDescent="0.2">
      <c r="A2748" s="407">
        <v>2740</v>
      </c>
      <c r="B2748" s="438"/>
      <c r="C2748" s="438"/>
      <c r="D2748" s="438"/>
      <c r="E2748" s="438"/>
      <c r="F2748" s="438"/>
      <c r="G2748" s="438"/>
      <c r="H2748" s="438"/>
      <c r="I2748" s="438"/>
      <c r="J2748" s="11"/>
      <c r="Q2748" s="348" t="str">
        <f t="shared" si="344"/>
        <v/>
      </c>
      <c r="R2748" s="348" t="str">
        <f t="shared" si="345"/>
        <v/>
      </c>
      <c r="S2748" s="348" t="str">
        <f t="shared" si="346"/>
        <v/>
      </c>
      <c r="T2748" s="348" t="str">
        <f t="shared" si="347"/>
        <v/>
      </c>
      <c r="U2748" s="348" t="str">
        <f t="shared" si="348"/>
        <v/>
      </c>
      <c r="V2748" s="348" t="str">
        <f t="shared" si="349"/>
        <v/>
      </c>
      <c r="W2748" s="348" t="str">
        <f t="shared" si="350"/>
        <v/>
      </c>
      <c r="X2748" s="348" t="str">
        <f t="shared" si="351"/>
        <v/>
      </c>
    </row>
    <row r="2749" spans="1:24" x14ac:dyDescent="0.2">
      <c r="A2749" s="407">
        <v>2741</v>
      </c>
      <c r="B2749" s="438"/>
      <c r="C2749" s="438"/>
      <c r="D2749" s="438"/>
      <c r="E2749" s="438"/>
      <c r="F2749" s="438"/>
      <c r="G2749" s="438"/>
      <c r="H2749" s="438"/>
      <c r="I2749" s="438"/>
      <c r="J2749" s="11"/>
      <c r="Q2749" s="348" t="str">
        <f t="shared" si="344"/>
        <v/>
      </c>
      <c r="R2749" s="348" t="str">
        <f t="shared" si="345"/>
        <v/>
      </c>
      <c r="S2749" s="348" t="str">
        <f t="shared" si="346"/>
        <v/>
      </c>
      <c r="T2749" s="348" t="str">
        <f t="shared" si="347"/>
        <v/>
      </c>
      <c r="U2749" s="348" t="str">
        <f t="shared" si="348"/>
        <v/>
      </c>
      <c r="V2749" s="348" t="str">
        <f t="shared" si="349"/>
        <v/>
      </c>
      <c r="W2749" s="348" t="str">
        <f t="shared" si="350"/>
        <v/>
      </c>
      <c r="X2749" s="348" t="str">
        <f t="shared" si="351"/>
        <v/>
      </c>
    </row>
    <row r="2750" spans="1:24" x14ac:dyDescent="0.2">
      <c r="A2750" s="407">
        <v>2742</v>
      </c>
      <c r="B2750" s="438"/>
      <c r="C2750" s="438"/>
      <c r="D2750" s="438"/>
      <c r="E2750" s="438"/>
      <c r="F2750" s="438"/>
      <c r="G2750" s="438"/>
      <c r="H2750" s="438"/>
      <c r="I2750" s="438"/>
      <c r="J2750" s="11"/>
      <c r="Q2750" s="348" t="str">
        <f t="shared" si="344"/>
        <v/>
      </c>
      <c r="R2750" s="348" t="str">
        <f t="shared" si="345"/>
        <v/>
      </c>
      <c r="S2750" s="348" t="str">
        <f t="shared" si="346"/>
        <v/>
      </c>
      <c r="T2750" s="348" t="str">
        <f t="shared" si="347"/>
        <v/>
      </c>
      <c r="U2750" s="348" t="str">
        <f t="shared" si="348"/>
        <v/>
      </c>
      <c r="V2750" s="348" t="str">
        <f t="shared" si="349"/>
        <v/>
      </c>
      <c r="W2750" s="348" t="str">
        <f t="shared" si="350"/>
        <v/>
      </c>
      <c r="X2750" s="348" t="str">
        <f t="shared" si="351"/>
        <v/>
      </c>
    </row>
    <row r="2751" spans="1:24" x14ac:dyDescent="0.2">
      <c r="A2751" s="407">
        <v>2743</v>
      </c>
      <c r="B2751" s="438"/>
      <c r="C2751" s="438"/>
      <c r="D2751" s="438"/>
      <c r="E2751" s="438"/>
      <c r="F2751" s="438"/>
      <c r="G2751" s="438"/>
      <c r="H2751" s="438"/>
      <c r="I2751" s="438"/>
      <c r="J2751" s="11"/>
      <c r="Q2751" s="348" t="str">
        <f t="shared" si="344"/>
        <v/>
      </c>
      <c r="R2751" s="348" t="str">
        <f t="shared" si="345"/>
        <v/>
      </c>
      <c r="S2751" s="348" t="str">
        <f t="shared" si="346"/>
        <v/>
      </c>
      <c r="T2751" s="348" t="str">
        <f t="shared" si="347"/>
        <v/>
      </c>
      <c r="U2751" s="348" t="str">
        <f t="shared" si="348"/>
        <v/>
      </c>
      <c r="V2751" s="348" t="str">
        <f t="shared" si="349"/>
        <v/>
      </c>
      <c r="W2751" s="348" t="str">
        <f t="shared" si="350"/>
        <v/>
      </c>
      <c r="X2751" s="348" t="str">
        <f t="shared" si="351"/>
        <v/>
      </c>
    </row>
    <row r="2752" spans="1:24" x14ac:dyDescent="0.2">
      <c r="A2752" s="407">
        <v>2744</v>
      </c>
      <c r="B2752" s="438"/>
      <c r="C2752" s="438"/>
      <c r="D2752" s="438"/>
      <c r="E2752" s="438"/>
      <c r="F2752" s="438"/>
      <c r="G2752" s="438"/>
      <c r="H2752" s="438"/>
      <c r="I2752" s="438"/>
      <c r="J2752" s="11"/>
      <c r="Q2752" s="348" t="str">
        <f t="shared" si="344"/>
        <v/>
      </c>
      <c r="R2752" s="348" t="str">
        <f t="shared" si="345"/>
        <v/>
      </c>
      <c r="S2752" s="348" t="str">
        <f t="shared" si="346"/>
        <v/>
      </c>
      <c r="T2752" s="348" t="str">
        <f t="shared" si="347"/>
        <v/>
      </c>
      <c r="U2752" s="348" t="str">
        <f t="shared" si="348"/>
        <v/>
      </c>
      <c r="V2752" s="348" t="str">
        <f t="shared" si="349"/>
        <v/>
      </c>
      <c r="W2752" s="348" t="str">
        <f t="shared" si="350"/>
        <v/>
      </c>
      <c r="X2752" s="348" t="str">
        <f t="shared" si="351"/>
        <v/>
      </c>
    </row>
    <row r="2753" spans="1:24" x14ac:dyDescent="0.2">
      <c r="A2753" s="407">
        <v>2745</v>
      </c>
      <c r="B2753" s="438"/>
      <c r="C2753" s="438"/>
      <c r="D2753" s="438"/>
      <c r="E2753" s="438"/>
      <c r="F2753" s="438"/>
      <c r="G2753" s="438"/>
      <c r="H2753" s="438"/>
      <c r="I2753" s="438"/>
      <c r="J2753" s="11"/>
      <c r="Q2753" s="348" t="str">
        <f t="shared" si="344"/>
        <v/>
      </c>
      <c r="R2753" s="348" t="str">
        <f t="shared" si="345"/>
        <v/>
      </c>
      <c r="S2753" s="348" t="str">
        <f t="shared" si="346"/>
        <v/>
      </c>
      <c r="T2753" s="348" t="str">
        <f t="shared" si="347"/>
        <v/>
      </c>
      <c r="U2753" s="348" t="str">
        <f t="shared" si="348"/>
        <v/>
      </c>
      <c r="V2753" s="348" t="str">
        <f t="shared" si="349"/>
        <v/>
      </c>
      <c r="W2753" s="348" t="str">
        <f t="shared" si="350"/>
        <v/>
      </c>
      <c r="X2753" s="348" t="str">
        <f t="shared" si="351"/>
        <v/>
      </c>
    </row>
    <row r="2754" spans="1:24" x14ac:dyDescent="0.2">
      <c r="A2754" s="407">
        <v>2746</v>
      </c>
      <c r="B2754" s="438"/>
      <c r="C2754" s="438"/>
      <c r="D2754" s="438"/>
      <c r="E2754" s="438"/>
      <c r="F2754" s="438"/>
      <c r="G2754" s="438"/>
      <c r="H2754" s="438"/>
      <c r="I2754" s="438"/>
      <c r="J2754" s="11"/>
      <c r="Q2754" s="348" t="str">
        <f t="shared" si="344"/>
        <v/>
      </c>
      <c r="R2754" s="348" t="str">
        <f t="shared" si="345"/>
        <v/>
      </c>
      <c r="S2754" s="348" t="str">
        <f t="shared" si="346"/>
        <v/>
      </c>
      <c r="T2754" s="348" t="str">
        <f t="shared" si="347"/>
        <v/>
      </c>
      <c r="U2754" s="348" t="str">
        <f t="shared" si="348"/>
        <v/>
      </c>
      <c r="V2754" s="348" t="str">
        <f t="shared" si="349"/>
        <v/>
      </c>
      <c r="W2754" s="348" t="str">
        <f t="shared" si="350"/>
        <v/>
      </c>
      <c r="X2754" s="348" t="str">
        <f t="shared" si="351"/>
        <v/>
      </c>
    </row>
    <row r="2755" spans="1:24" x14ac:dyDescent="0.2">
      <c r="A2755" s="407">
        <v>2747</v>
      </c>
      <c r="B2755" s="438"/>
      <c r="C2755" s="438"/>
      <c r="D2755" s="438"/>
      <c r="E2755" s="438"/>
      <c r="F2755" s="438"/>
      <c r="G2755" s="438"/>
      <c r="H2755" s="438"/>
      <c r="I2755" s="438"/>
      <c r="J2755" s="11"/>
      <c r="Q2755" s="348" t="str">
        <f t="shared" si="344"/>
        <v/>
      </c>
      <c r="R2755" s="348" t="str">
        <f t="shared" si="345"/>
        <v/>
      </c>
      <c r="S2755" s="348" t="str">
        <f t="shared" si="346"/>
        <v/>
      </c>
      <c r="T2755" s="348" t="str">
        <f t="shared" si="347"/>
        <v/>
      </c>
      <c r="U2755" s="348" t="str">
        <f t="shared" si="348"/>
        <v/>
      </c>
      <c r="V2755" s="348" t="str">
        <f t="shared" si="349"/>
        <v/>
      </c>
      <c r="W2755" s="348" t="str">
        <f t="shared" si="350"/>
        <v/>
      </c>
      <c r="X2755" s="348" t="str">
        <f t="shared" si="351"/>
        <v/>
      </c>
    </row>
    <row r="2756" spans="1:24" x14ac:dyDescent="0.2">
      <c r="A2756" s="407">
        <v>2748</v>
      </c>
      <c r="B2756" s="438"/>
      <c r="C2756" s="438"/>
      <c r="D2756" s="438"/>
      <c r="E2756" s="438"/>
      <c r="F2756" s="438"/>
      <c r="G2756" s="438"/>
      <c r="H2756" s="438"/>
      <c r="I2756" s="438"/>
      <c r="J2756" s="11"/>
      <c r="Q2756" s="348" t="str">
        <f t="shared" si="344"/>
        <v/>
      </c>
      <c r="R2756" s="348" t="str">
        <f t="shared" si="345"/>
        <v/>
      </c>
      <c r="S2756" s="348" t="str">
        <f t="shared" si="346"/>
        <v/>
      </c>
      <c r="T2756" s="348" t="str">
        <f t="shared" si="347"/>
        <v/>
      </c>
      <c r="U2756" s="348" t="str">
        <f t="shared" si="348"/>
        <v/>
      </c>
      <c r="V2756" s="348" t="str">
        <f t="shared" si="349"/>
        <v/>
      </c>
      <c r="W2756" s="348" t="str">
        <f t="shared" si="350"/>
        <v/>
      </c>
      <c r="X2756" s="348" t="str">
        <f t="shared" si="351"/>
        <v/>
      </c>
    </row>
    <row r="2757" spans="1:24" x14ac:dyDescent="0.2">
      <c r="A2757" s="407">
        <v>2749</v>
      </c>
      <c r="B2757" s="438"/>
      <c r="C2757" s="438"/>
      <c r="D2757" s="438"/>
      <c r="E2757" s="438"/>
      <c r="F2757" s="438"/>
      <c r="G2757" s="438"/>
      <c r="H2757" s="438"/>
      <c r="I2757" s="438"/>
      <c r="J2757" s="11"/>
      <c r="Q2757" s="348" t="str">
        <f t="shared" si="344"/>
        <v/>
      </c>
      <c r="R2757" s="348" t="str">
        <f t="shared" si="345"/>
        <v/>
      </c>
      <c r="S2757" s="348" t="str">
        <f t="shared" si="346"/>
        <v/>
      </c>
      <c r="T2757" s="348" t="str">
        <f t="shared" si="347"/>
        <v/>
      </c>
      <c r="U2757" s="348" t="str">
        <f t="shared" si="348"/>
        <v/>
      </c>
      <c r="V2757" s="348" t="str">
        <f t="shared" si="349"/>
        <v/>
      </c>
      <c r="W2757" s="348" t="str">
        <f t="shared" si="350"/>
        <v/>
      </c>
      <c r="X2757" s="348" t="str">
        <f t="shared" si="351"/>
        <v/>
      </c>
    </row>
    <row r="2758" spans="1:24" x14ac:dyDescent="0.2">
      <c r="A2758" s="407">
        <v>2750</v>
      </c>
      <c r="B2758" s="438"/>
      <c r="C2758" s="437"/>
      <c r="D2758" s="438"/>
      <c r="E2758" s="438"/>
      <c r="F2758" s="438"/>
      <c r="G2758" s="438"/>
      <c r="H2758" s="438"/>
      <c r="I2758" s="438"/>
      <c r="J2758" s="11"/>
      <c r="Q2758" s="348" t="str">
        <f t="shared" si="344"/>
        <v/>
      </c>
      <c r="R2758" s="348" t="str">
        <f t="shared" si="345"/>
        <v/>
      </c>
      <c r="S2758" s="348" t="str">
        <f t="shared" si="346"/>
        <v/>
      </c>
      <c r="T2758" s="348" t="str">
        <f t="shared" si="347"/>
        <v/>
      </c>
      <c r="U2758" s="348" t="str">
        <f t="shared" si="348"/>
        <v/>
      </c>
      <c r="V2758" s="348" t="str">
        <f t="shared" si="349"/>
        <v/>
      </c>
      <c r="W2758" s="348" t="str">
        <f t="shared" si="350"/>
        <v/>
      </c>
      <c r="X2758" s="348" t="str">
        <f t="shared" si="351"/>
        <v/>
      </c>
    </row>
    <row r="2759" spans="1:24" x14ac:dyDescent="0.2">
      <c r="A2759" s="407">
        <v>2751</v>
      </c>
      <c r="B2759" s="438"/>
      <c r="C2759" s="438"/>
      <c r="D2759" s="438"/>
      <c r="E2759" s="437"/>
      <c r="F2759" s="438"/>
      <c r="G2759" s="438"/>
      <c r="H2759" s="438"/>
      <c r="I2759" s="438"/>
      <c r="J2759" s="11"/>
      <c r="Q2759" s="348" t="str">
        <f t="shared" si="344"/>
        <v/>
      </c>
      <c r="R2759" s="348" t="str">
        <f t="shared" si="345"/>
        <v/>
      </c>
      <c r="S2759" s="348" t="str">
        <f t="shared" si="346"/>
        <v/>
      </c>
      <c r="T2759" s="348" t="str">
        <f t="shared" si="347"/>
        <v/>
      </c>
      <c r="U2759" s="348" t="str">
        <f t="shared" si="348"/>
        <v/>
      </c>
      <c r="V2759" s="348" t="str">
        <f t="shared" si="349"/>
        <v/>
      </c>
      <c r="W2759" s="348" t="str">
        <f t="shared" si="350"/>
        <v/>
      </c>
      <c r="X2759" s="348" t="str">
        <f t="shared" si="351"/>
        <v/>
      </c>
    </row>
    <row r="2760" spans="1:24" x14ac:dyDescent="0.2">
      <c r="A2760" s="407">
        <v>2752</v>
      </c>
      <c r="B2760" s="438"/>
      <c r="C2760" s="438"/>
      <c r="D2760" s="438"/>
      <c r="E2760" s="438"/>
      <c r="F2760" s="438"/>
      <c r="G2760" s="438"/>
      <c r="H2760" s="438"/>
      <c r="I2760" s="438"/>
      <c r="J2760" s="11"/>
      <c r="Q2760" s="348" t="str">
        <f t="shared" si="344"/>
        <v/>
      </c>
      <c r="R2760" s="348" t="str">
        <f t="shared" si="345"/>
        <v/>
      </c>
      <c r="S2760" s="348" t="str">
        <f t="shared" si="346"/>
        <v/>
      </c>
      <c r="T2760" s="348" t="str">
        <f t="shared" si="347"/>
        <v/>
      </c>
      <c r="U2760" s="348" t="str">
        <f t="shared" si="348"/>
        <v/>
      </c>
      <c r="V2760" s="348" t="str">
        <f t="shared" si="349"/>
        <v/>
      </c>
      <c r="W2760" s="348" t="str">
        <f t="shared" si="350"/>
        <v/>
      </c>
      <c r="X2760" s="348" t="str">
        <f t="shared" si="351"/>
        <v/>
      </c>
    </row>
    <row r="2761" spans="1:24" x14ac:dyDescent="0.2">
      <c r="A2761" s="407">
        <v>2753</v>
      </c>
      <c r="B2761" s="438"/>
      <c r="C2761" s="438"/>
      <c r="D2761" s="438"/>
      <c r="E2761" s="438"/>
      <c r="F2761" s="438"/>
      <c r="G2761" s="438"/>
      <c r="H2761" s="438"/>
      <c r="I2761" s="438"/>
      <c r="J2761" s="11"/>
      <c r="Q2761" s="348" t="str">
        <f t="shared" si="344"/>
        <v/>
      </c>
      <c r="R2761" s="348" t="str">
        <f t="shared" si="345"/>
        <v/>
      </c>
      <c r="S2761" s="348" t="str">
        <f t="shared" si="346"/>
        <v/>
      </c>
      <c r="T2761" s="348" t="str">
        <f t="shared" si="347"/>
        <v/>
      </c>
      <c r="U2761" s="348" t="str">
        <f t="shared" si="348"/>
        <v/>
      </c>
      <c r="V2761" s="348" t="str">
        <f t="shared" si="349"/>
        <v/>
      </c>
      <c r="W2761" s="348" t="str">
        <f t="shared" si="350"/>
        <v/>
      </c>
      <c r="X2761" s="348" t="str">
        <f t="shared" si="351"/>
        <v/>
      </c>
    </row>
    <row r="2762" spans="1:24" x14ac:dyDescent="0.2">
      <c r="A2762" s="407">
        <v>2754</v>
      </c>
      <c r="B2762" s="437"/>
      <c r="C2762" s="438"/>
      <c r="D2762" s="438"/>
      <c r="E2762" s="438"/>
      <c r="F2762" s="438"/>
      <c r="G2762" s="438"/>
      <c r="H2762" s="438"/>
      <c r="I2762" s="438"/>
      <c r="J2762" s="11"/>
      <c r="Q2762" s="348" t="str">
        <f t="shared" ref="Q2762:Q2825" si="352">IFERROR(B2762^4*$AB$9+B2762^3*$AC$9+B2762^2*$AD$9+B2762^1*$AE$9+B2762^0*$AF$9,"")</f>
        <v/>
      </c>
      <c r="R2762" s="348" t="str">
        <f t="shared" ref="R2762:R2825" si="353">IFERROR(C2762^4*$AB$10+C2762^3*$AC$10+C2762^2*$AD$10+C2762^1*$AE$10+C2762^0*$AF$10,"")</f>
        <v/>
      </c>
      <c r="S2762" s="348" t="str">
        <f t="shared" ref="S2762:S2825" si="354">IFERROR(D2762^4*$AB$11+D2762^3*$AC$11+D2762^2*$AD$11+D2762^1*$AE$11+D2762^0*$AF$11,"")</f>
        <v/>
      </c>
      <c r="T2762" s="348" t="str">
        <f t="shared" ref="T2762:T2825" si="355">IFERROR(E2762^4*$AB$12+E2762^3*$AC$12+E2762^2*$AD$12+E2762^1*$AE$12+E2762^0*$AF$12,"")</f>
        <v/>
      </c>
      <c r="U2762" s="348" t="str">
        <f t="shared" ref="U2762:U2825" si="356">IFERROR(F2762^4*$AB$13+F2762^3*$AC$13+F2762^2*$AD$13+F2762^1*$AE$13+F2762^0*$AF$13,"")</f>
        <v/>
      </c>
      <c r="V2762" s="348" t="str">
        <f t="shared" ref="V2762:V2825" si="357">IFERROR(G2762^4*$AB$14+G2762^3*$AC$14+G2762^2*$AD$14+G2762^1*$AE$14+G2762^0*$AF$14,"")</f>
        <v/>
      </c>
      <c r="W2762" s="348" t="str">
        <f t="shared" ref="W2762:W2825" si="358">IFERROR(H2762^4*$AB$15+H2762^3*$AC$15+H2762^2*$AD$15+H2762^1*$AE$15+H2762^0*$AF$15,"")</f>
        <v/>
      </c>
      <c r="X2762" s="348" t="str">
        <f t="shared" ref="X2762:X2825" si="359">IFERROR(I2762^4*$AB$16+I2762^3*$AC$16+I2762^2*$AD$16+I2762^1*$AE$16+I2762^0*$AF$16,"")</f>
        <v/>
      </c>
    </row>
    <row r="2763" spans="1:24" x14ac:dyDescent="0.2">
      <c r="A2763" s="407">
        <v>2755</v>
      </c>
      <c r="B2763" s="438"/>
      <c r="C2763" s="438"/>
      <c r="D2763" s="438"/>
      <c r="E2763" s="438"/>
      <c r="F2763" s="438"/>
      <c r="G2763" s="438"/>
      <c r="H2763" s="438"/>
      <c r="I2763" s="438"/>
      <c r="J2763" s="11"/>
      <c r="Q2763" s="348" t="str">
        <f t="shared" si="352"/>
        <v/>
      </c>
      <c r="R2763" s="348" t="str">
        <f t="shared" si="353"/>
        <v/>
      </c>
      <c r="S2763" s="348" t="str">
        <f t="shared" si="354"/>
        <v/>
      </c>
      <c r="T2763" s="348" t="str">
        <f t="shared" si="355"/>
        <v/>
      </c>
      <c r="U2763" s="348" t="str">
        <f t="shared" si="356"/>
        <v/>
      </c>
      <c r="V2763" s="348" t="str">
        <f t="shared" si="357"/>
        <v/>
      </c>
      <c r="W2763" s="348" t="str">
        <f t="shared" si="358"/>
        <v/>
      </c>
      <c r="X2763" s="348" t="str">
        <f t="shared" si="359"/>
        <v/>
      </c>
    </row>
    <row r="2764" spans="1:24" x14ac:dyDescent="0.2">
      <c r="A2764" s="407">
        <v>2756</v>
      </c>
      <c r="B2764" s="438"/>
      <c r="C2764" s="438"/>
      <c r="D2764" s="438"/>
      <c r="E2764" s="438"/>
      <c r="F2764" s="438"/>
      <c r="G2764" s="438"/>
      <c r="H2764" s="438"/>
      <c r="I2764" s="438"/>
      <c r="J2764" s="11"/>
      <c r="Q2764" s="348" t="str">
        <f t="shared" si="352"/>
        <v/>
      </c>
      <c r="R2764" s="348" t="str">
        <f t="shared" si="353"/>
        <v/>
      </c>
      <c r="S2764" s="348" t="str">
        <f t="shared" si="354"/>
        <v/>
      </c>
      <c r="T2764" s="348" t="str">
        <f t="shared" si="355"/>
        <v/>
      </c>
      <c r="U2764" s="348" t="str">
        <f t="shared" si="356"/>
        <v/>
      </c>
      <c r="V2764" s="348" t="str">
        <f t="shared" si="357"/>
        <v/>
      </c>
      <c r="W2764" s="348" t="str">
        <f t="shared" si="358"/>
        <v/>
      </c>
      <c r="X2764" s="348" t="str">
        <f t="shared" si="359"/>
        <v/>
      </c>
    </row>
    <row r="2765" spans="1:24" x14ac:dyDescent="0.2">
      <c r="A2765" s="407">
        <v>2757</v>
      </c>
      <c r="B2765" s="438"/>
      <c r="C2765" s="438"/>
      <c r="D2765" s="438"/>
      <c r="E2765" s="438"/>
      <c r="F2765" s="438"/>
      <c r="G2765" s="438"/>
      <c r="H2765" s="438"/>
      <c r="I2765" s="438"/>
      <c r="J2765" s="11"/>
      <c r="Q2765" s="348" t="str">
        <f t="shared" si="352"/>
        <v/>
      </c>
      <c r="R2765" s="348" t="str">
        <f t="shared" si="353"/>
        <v/>
      </c>
      <c r="S2765" s="348" t="str">
        <f t="shared" si="354"/>
        <v/>
      </c>
      <c r="T2765" s="348" t="str">
        <f t="shared" si="355"/>
        <v/>
      </c>
      <c r="U2765" s="348" t="str">
        <f t="shared" si="356"/>
        <v/>
      </c>
      <c r="V2765" s="348" t="str">
        <f t="shared" si="357"/>
        <v/>
      </c>
      <c r="W2765" s="348" t="str">
        <f t="shared" si="358"/>
        <v/>
      </c>
      <c r="X2765" s="348" t="str">
        <f t="shared" si="359"/>
        <v/>
      </c>
    </row>
    <row r="2766" spans="1:24" x14ac:dyDescent="0.2">
      <c r="A2766" s="407">
        <v>2758</v>
      </c>
      <c r="B2766" s="438"/>
      <c r="C2766" s="438"/>
      <c r="D2766" s="438"/>
      <c r="E2766" s="438"/>
      <c r="F2766" s="438"/>
      <c r="G2766" s="438"/>
      <c r="H2766" s="438"/>
      <c r="I2766" s="438"/>
      <c r="J2766" s="11"/>
      <c r="Q2766" s="348" t="str">
        <f t="shared" si="352"/>
        <v/>
      </c>
      <c r="R2766" s="348" t="str">
        <f t="shared" si="353"/>
        <v/>
      </c>
      <c r="S2766" s="348" t="str">
        <f t="shared" si="354"/>
        <v/>
      </c>
      <c r="T2766" s="348" t="str">
        <f t="shared" si="355"/>
        <v/>
      </c>
      <c r="U2766" s="348" t="str">
        <f t="shared" si="356"/>
        <v/>
      </c>
      <c r="V2766" s="348" t="str">
        <f t="shared" si="357"/>
        <v/>
      </c>
      <c r="W2766" s="348" t="str">
        <f t="shared" si="358"/>
        <v/>
      </c>
      <c r="X2766" s="348" t="str">
        <f t="shared" si="359"/>
        <v/>
      </c>
    </row>
    <row r="2767" spans="1:24" x14ac:dyDescent="0.2">
      <c r="A2767" s="407">
        <v>2759</v>
      </c>
      <c r="B2767" s="438"/>
      <c r="C2767" s="438"/>
      <c r="D2767" s="438"/>
      <c r="E2767" s="438"/>
      <c r="F2767" s="438"/>
      <c r="G2767" s="438"/>
      <c r="H2767" s="438"/>
      <c r="I2767" s="438"/>
      <c r="J2767" s="11"/>
      <c r="Q2767" s="348" t="str">
        <f t="shared" si="352"/>
        <v/>
      </c>
      <c r="R2767" s="348" t="str">
        <f t="shared" si="353"/>
        <v/>
      </c>
      <c r="S2767" s="348" t="str">
        <f t="shared" si="354"/>
        <v/>
      </c>
      <c r="T2767" s="348" t="str">
        <f t="shared" si="355"/>
        <v/>
      </c>
      <c r="U2767" s="348" t="str">
        <f t="shared" si="356"/>
        <v/>
      </c>
      <c r="V2767" s="348" t="str">
        <f t="shared" si="357"/>
        <v/>
      </c>
      <c r="W2767" s="348" t="str">
        <f t="shared" si="358"/>
        <v/>
      </c>
      <c r="X2767" s="348" t="str">
        <f t="shared" si="359"/>
        <v/>
      </c>
    </row>
    <row r="2768" spans="1:24" x14ac:dyDescent="0.2">
      <c r="A2768" s="407">
        <v>2760</v>
      </c>
      <c r="B2768" s="438"/>
      <c r="C2768" s="438"/>
      <c r="D2768" s="438"/>
      <c r="E2768" s="438"/>
      <c r="F2768" s="438"/>
      <c r="G2768" s="438"/>
      <c r="H2768" s="438"/>
      <c r="I2768" s="438"/>
      <c r="J2768" s="11"/>
      <c r="Q2768" s="348" t="str">
        <f t="shared" si="352"/>
        <v/>
      </c>
      <c r="R2768" s="348" t="str">
        <f t="shared" si="353"/>
        <v/>
      </c>
      <c r="S2768" s="348" t="str">
        <f t="shared" si="354"/>
        <v/>
      </c>
      <c r="T2768" s="348" t="str">
        <f t="shared" si="355"/>
        <v/>
      </c>
      <c r="U2768" s="348" t="str">
        <f t="shared" si="356"/>
        <v/>
      </c>
      <c r="V2768" s="348" t="str">
        <f t="shared" si="357"/>
        <v/>
      </c>
      <c r="W2768" s="348" t="str">
        <f t="shared" si="358"/>
        <v/>
      </c>
      <c r="X2768" s="348" t="str">
        <f t="shared" si="359"/>
        <v/>
      </c>
    </row>
    <row r="2769" spans="1:24" x14ac:dyDescent="0.2">
      <c r="A2769" s="407">
        <v>2761</v>
      </c>
      <c r="B2769" s="438"/>
      <c r="C2769" s="438"/>
      <c r="D2769" s="438"/>
      <c r="E2769" s="438"/>
      <c r="F2769" s="438"/>
      <c r="G2769" s="438"/>
      <c r="H2769" s="438"/>
      <c r="I2769" s="438"/>
      <c r="J2769" s="11"/>
      <c r="Q2769" s="348" t="str">
        <f t="shared" si="352"/>
        <v/>
      </c>
      <c r="R2769" s="348" t="str">
        <f t="shared" si="353"/>
        <v/>
      </c>
      <c r="S2769" s="348" t="str">
        <f t="shared" si="354"/>
        <v/>
      </c>
      <c r="T2769" s="348" t="str">
        <f t="shared" si="355"/>
        <v/>
      </c>
      <c r="U2769" s="348" t="str">
        <f t="shared" si="356"/>
        <v/>
      </c>
      <c r="V2769" s="348" t="str">
        <f t="shared" si="357"/>
        <v/>
      </c>
      <c r="W2769" s="348" t="str">
        <f t="shared" si="358"/>
        <v/>
      </c>
      <c r="X2769" s="348" t="str">
        <f t="shared" si="359"/>
        <v/>
      </c>
    </row>
    <row r="2770" spans="1:24" x14ac:dyDescent="0.2">
      <c r="A2770" s="407">
        <v>2762</v>
      </c>
      <c r="B2770" s="438"/>
      <c r="C2770" s="438"/>
      <c r="D2770" s="438"/>
      <c r="E2770" s="438"/>
      <c r="F2770" s="438"/>
      <c r="G2770" s="437"/>
      <c r="H2770" s="438"/>
      <c r="I2770" s="438"/>
      <c r="J2770" s="11"/>
      <c r="Q2770" s="348" t="str">
        <f t="shared" si="352"/>
        <v/>
      </c>
      <c r="R2770" s="348" t="str">
        <f t="shared" si="353"/>
        <v/>
      </c>
      <c r="S2770" s="348" t="str">
        <f t="shared" si="354"/>
        <v/>
      </c>
      <c r="T2770" s="348" t="str">
        <f t="shared" si="355"/>
        <v/>
      </c>
      <c r="U2770" s="348" t="str">
        <f t="shared" si="356"/>
        <v/>
      </c>
      <c r="V2770" s="348" t="str">
        <f t="shared" si="357"/>
        <v/>
      </c>
      <c r="W2770" s="348" t="str">
        <f t="shared" si="358"/>
        <v/>
      </c>
      <c r="X2770" s="348" t="str">
        <f t="shared" si="359"/>
        <v/>
      </c>
    </row>
    <row r="2771" spans="1:24" x14ac:dyDescent="0.2">
      <c r="A2771" s="407">
        <v>2763</v>
      </c>
      <c r="B2771" s="438"/>
      <c r="C2771" s="438"/>
      <c r="D2771" s="438"/>
      <c r="E2771" s="438"/>
      <c r="F2771" s="438"/>
      <c r="G2771" s="438"/>
      <c r="H2771" s="438"/>
      <c r="I2771" s="438"/>
      <c r="J2771" s="11"/>
      <c r="Q2771" s="348" t="str">
        <f t="shared" si="352"/>
        <v/>
      </c>
      <c r="R2771" s="348" t="str">
        <f t="shared" si="353"/>
        <v/>
      </c>
      <c r="S2771" s="348" t="str">
        <f t="shared" si="354"/>
        <v/>
      </c>
      <c r="T2771" s="348" t="str">
        <f t="shared" si="355"/>
        <v/>
      </c>
      <c r="U2771" s="348" t="str">
        <f t="shared" si="356"/>
        <v/>
      </c>
      <c r="V2771" s="348" t="str">
        <f t="shared" si="357"/>
        <v/>
      </c>
      <c r="W2771" s="348" t="str">
        <f t="shared" si="358"/>
        <v/>
      </c>
      <c r="X2771" s="348" t="str">
        <f t="shared" si="359"/>
        <v/>
      </c>
    </row>
    <row r="2772" spans="1:24" x14ac:dyDescent="0.2">
      <c r="A2772" s="407">
        <v>2764</v>
      </c>
      <c r="B2772" s="437"/>
      <c r="C2772" s="437"/>
      <c r="D2772" s="438"/>
      <c r="E2772" s="438"/>
      <c r="F2772" s="437"/>
      <c r="G2772" s="438"/>
      <c r="H2772" s="437"/>
      <c r="I2772" s="438"/>
      <c r="J2772" s="11"/>
      <c r="Q2772" s="348" t="str">
        <f t="shared" si="352"/>
        <v/>
      </c>
      <c r="R2772" s="348" t="str">
        <f t="shared" si="353"/>
        <v/>
      </c>
      <c r="S2772" s="348" t="str">
        <f t="shared" si="354"/>
        <v/>
      </c>
      <c r="T2772" s="348" t="str">
        <f t="shared" si="355"/>
        <v/>
      </c>
      <c r="U2772" s="348" t="str">
        <f t="shared" si="356"/>
        <v/>
      </c>
      <c r="V2772" s="348" t="str">
        <f t="shared" si="357"/>
        <v/>
      </c>
      <c r="W2772" s="348" t="str">
        <f t="shared" si="358"/>
        <v/>
      </c>
      <c r="X2772" s="348" t="str">
        <f t="shared" si="359"/>
        <v/>
      </c>
    </row>
    <row r="2773" spans="1:24" x14ac:dyDescent="0.2">
      <c r="A2773" s="407">
        <v>2765</v>
      </c>
      <c r="B2773" s="438"/>
      <c r="C2773" s="438"/>
      <c r="D2773" s="438"/>
      <c r="E2773" s="438"/>
      <c r="F2773" s="438"/>
      <c r="G2773" s="438"/>
      <c r="H2773" s="438"/>
      <c r="I2773" s="437"/>
      <c r="J2773" s="11"/>
      <c r="Q2773" s="348" t="str">
        <f t="shared" si="352"/>
        <v/>
      </c>
      <c r="R2773" s="348" t="str">
        <f t="shared" si="353"/>
        <v/>
      </c>
      <c r="S2773" s="348" t="str">
        <f t="shared" si="354"/>
        <v/>
      </c>
      <c r="T2773" s="348" t="str">
        <f t="shared" si="355"/>
        <v/>
      </c>
      <c r="U2773" s="348" t="str">
        <f t="shared" si="356"/>
        <v/>
      </c>
      <c r="V2773" s="348" t="str">
        <f t="shared" si="357"/>
        <v/>
      </c>
      <c r="W2773" s="348" t="str">
        <f t="shared" si="358"/>
        <v/>
      </c>
      <c r="X2773" s="348" t="str">
        <f t="shared" si="359"/>
        <v/>
      </c>
    </row>
    <row r="2774" spans="1:24" x14ac:dyDescent="0.2">
      <c r="A2774" s="407">
        <v>2766</v>
      </c>
      <c r="B2774" s="438"/>
      <c r="C2774" s="438"/>
      <c r="D2774" s="438"/>
      <c r="E2774" s="438"/>
      <c r="F2774" s="438"/>
      <c r="G2774" s="438"/>
      <c r="H2774" s="438"/>
      <c r="I2774" s="438"/>
      <c r="J2774" s="11"/>
      <c r="Q2774" s="348" t="str">
        <f t="shared" si="352"/>
        <v/>
      </c>
      <c r="R2774" s="348" t="str">
        <f t="shared" si="353"/>
        <v/>
      </c>
      <c r="S2774" s="348" t="str">
        <f t="shared" si="354"/>
        <v/>
      </c>
      <c r="T2774" s="348" t="str">
        <f t="shared" si="355"/>
        <v/>
      </c>
      <c r="U2774" s="348" t="str">
        <f t="shared" si="356"/>
        <v/>
      </c>
      <c r="V2774" s="348" t="str">
        <f t="shared" si="357"/>
        <v/>
      </c>
      <c r="W2774" s="348" t="str">
        <f t="shared" si="358"/>
        <v/>
      </c>
      <c r="X2774" s="348" t="str">
        <f t="shared" si="359"/>
        <v/>
      </c>
    </row>
    <row r="2775" spans="1:24" x14ac:dyDescent="0.2">
      <c r="A2775" s="407">
        <v>2767</v>
      </c>
      <c r="B2775" s="438"/>
      <c r="C2775" s="438"/>
      <c r="D2775" s="438"/>
      <c r="E2775" s="438"/>
      <c r="F2775" s="438"/>
      <c r="G2775" s="438"/>
      <c r="H2775" s="438"/>
      <c r="I2775" s="438"/>
      <c r="J2775" s="11"/>
      <c r="Q2775" s="348" t="str">
        <f t="shared" si="352"/>
        <v/>
      </c>
      <c r="R2775" s="348" t="str">
        <f t="shared" si="353"/>
        <v/>
      </c>
      <c r="S2775" s="348" t="str">
        <f t="shared" si="354"/>
        <v/>
      </c>
      <c r="T2775" s="348" t="str">
        <f t="shared" si="355"/>
        <v/>
      </c>
      <c r="U2775" s="348" t="str">
        <f t="shared" si="356"/>
        <v/>
      </c>
      <c r="V2775" s="348" t="str">
        <f t="shared" si="357"/>
        <v/>
      </c>
      <c r="W2775" s="348" t="str">
        <f t="shared" si="358"/>
        <v/>
      </c>
      <c r="X2775" s="348" t="str">
        <f t="shared" si="359"/>
        <v/>
      </c>
    </row>
    <row r="2776" spans="1:24" x14ac:dyDescent="0.2">
      <c r="A2776" s="407">
        <v>2768</v>
      </c>
      <c r="B2776" s="438"/>
      <c r="C2776" s="438"/>
      <c r="D2776" s="438"/>
      <c r="E2776" s="438"/>
      <c r="F2776" s="438"/>
      <c r="G2776" s="438"/>
      <c r="H2776" s="438"/>
      <c r="I2776" s="438"/>
      <c r="J2776" s="11"/>
      <c r="Q2776" s="348" t="str">
        <f t="shared" si="352"/>
        <v/>
      </c>
      <c r="R2776" s="348" t="str">
        <f t="shared" si="353"/>
        <v/>
      </c>
      <c r="S2776" s="348" t="str">
        <f t="shared" si="354"/>
        <v/>
      </c>
      <c r="T2776" s="348" t="str">
        <f t="shared" si="355"/>
        <v/>
      </c>
      <c r="U2776" s="348" t="str">
        <f t="shared" si="356"/>
        <v/>
      </c>
      <c r="V2776" s="348" t="str">
        <f t="shared" si="357"/>
        <v/>
      </c>
      <c r="W2776" s="348" t="str">
        <f t="shared" si="358"/>
        <v/>
      </c>
      <c r="X2776" s="348" t="str">
        <f t="shared" si="359"/>
        <v/>
      </c>
    </row>
    <row r="2777" spans="1:24" x14ac:dyDescent="0.2">
      <c r="A2777" s="407">
        <v>2769</v>
      </c>
      <c r="B2777" s="438"/>
      <c r="C2777" s="438"/>
      <c r="D2777" s="438"/>
      <c r="E2777" s="437"/>
      <c r="F2777" s="438"/>
      <c r="G2777" s="438"/>
      <c r="H2777" s="438"/>
      <c r="I2777" s="438"/>
      <c r="J2777" s="11"/>
      <c r="Q2777" s="348" t="str">
        <f t="shared" si="352"/>
        <v/>
      </c>
      <c r="R2777" s="348" t="str">
        <f t="shared" si="353"/>
        <v/>
      </c>
      <c r="S2777" s="348" t="str">
        <f t="shared" si="354"/>
        <v/>
      </c>
      <c r="T2777" s="348" t="str">
        <f t="shared" si="355"/>
        <v/>
      </c>
      <c r="U2777" s="348" t="str">
        <f t="shared" si="356"/>
        <v/>
      </c>
      <c r="V2777" s="348" t="str">
        <f t="shared" si="357"/>
        <v/>
      </c>
      <c r="W2777" s="348" t="str">
        <f t="shared" si="358"/>
        <v/>
      </c>
      <c r="X2777" s="348" t="str">
        <f t="shared" si="359"/>
        <v/>
      </c>
    </row>
    <row r="2778" spans="1:24" x14ac:dyDescent="0.2">
      <c r="A2778" s="407">
        <v>2770</v>
      </c>
      <c r="B2778" s="438"/>
      <c r="C2778" s="438"/>
      <c r="D2778" s="438"/>
      <c r="E2778" s="438"/>
      <c r="F2778" s="438"/>
      <c r="G2778" s="438"/>
      <c r="H2778" s="438"/>
      <c r="I2778" s="438"/>
      <c r="J2778" s="11"/>
      <c r="Q2778" s="348" t="str">
        <f t="shared" si="352"/>
        <v/>
      </c>
      <c r="R2778" s="348" t="str">
        <f t="shared" si="353"/>
        <v/>
      </c>
      <c r="S2778" s="348" t="str">
        <f t="shared" si="354"/>
        <v/>
      </c>
      <c r="T2778" s="348" t="str">
        <f t="shared" si="355"/>
        <v/>
      </c>
      <c r="U2778" s="348" t="str">
        <f t="shared" si="356"/>
        <v/>
      </c>
      <c r="V2778" s="348" t="str">
        <f t="shared" si="357"/>
        <v/>
      </c>
      <c r="W2778" s="348" t="str">
        <f t="shared" si="358"/>
        <v/>
      </c>
      <c r="X2778" s="348" t="str">
        <f t="shared" si="359"/>
        <v/>
      </c>
    </row>
    <row r="2779" spans="1:24" x14ac:dyDescent="0.2">
      <c r="A2779" s="407">
        <v>2771</v>
      </c>
      <c r="B2779" s="438"/>
      <c r="C2779" s="438"/>
      <c r="D2779" s="438"/>
      <c r="E2779" s="438"/>
      <c r="F2779" s="438"/>
      <c r="G2779" s="438"/>
      <c r="H2779" s="438"/>
      <c r="I2779" s="438"/>
      <c r="J2779" s="11"/>
      <c r="Q2779" s="348" t="str">
        <f t="shared" si="352"/>
        <v/>
      </c>
      <c r="R2779" s="348" t="str">
        <f t="shared" si="353"/>
        <v/>
      </c>
      <c r="S2779" s="348" t="str">
        <f t="shared" si="354"/>
        <v/>
      </c>
      <c r="T2779" s="348" t="str">
        <f t="shared" si="355"/>
        <v/>
      </c>
      <c r="U2779" s="348" t="str">
        <f t="shared" si="356"/>
        <v/>
      </c>
      <c r="V2779" s="348" t="str">
        <f t="shared" si="357"/>
        <v/>
      </c>
      <c r="W2779" s="348" t="str">
        <f t="shared" si="358"/>
        <v/>
      </c>
      <c r="X2779" s="348" t="str">
        <f t="shared" si="359"/>
        <v/>
      </c>
    </row>
    <row r="2780" spans="1:24" x14ac:dyDescent="0.2">
      <c r="A2780" s="407">
        <v>2772</v>
      </c>
      <c r="B2780" s="438"/>
      <c r="C2780" s="438"/>
      <c r="D2780" s="438"/>
      <c r="E2780" s="438"/>
      <c r="F2780" s="438"/>
      <c r="G2780" s="438"/>
      <c r="H2780" s="438"/>
      <c r="I2780" s="438"/>
      <c r="J2780" s="11"/>
      <c r="Q2780" s="348" t="str">
        <f t="shared" si="352"/>
        <v/>
      </c>
      <c r="R2780" s="348" t="str">
        <f t="shared" si="353"/>
        <v/>
      </c>
      <c r="S2780" s="348" t="str">
        <f t="shared" si="354"/>
        <v/>
      </c>
      <c r="T2780" s="348" t="str">
        <f t="shared" si="355"/>
        <v/>
      </c>
      <c r="U2780" s="348" t="str">
        <f t="shared" si="356"/>
        <v/>
      </c>
      <c r="V2780" s="348" t="str">
        <f t="shared" si="357"/>
        <v/>
      </c>
      <c r="W2780" s="348" t="str">
        <f t="shared" si="358"/>
        <v/>
      </c>
      <c r="X2780" s="348" t="str">
        <f t="shared" si="359"/>
        <v/>
      </c>
    </row>
    <row r="2781" spans="1:24" x14ac:dyDescent="0.2">
      <c r="A2781" s="407">
        <v>2773</v>
      </c>
      <c r="B2781" s="438"/>
      <c r="C2781" s="438"/>
      <c r="D2781" s="438"/>
      <c r="E2781" s="438"/>
      <c r="F2781" s="438"/>
      <c r="G2781" s="438"/>
      <c r="H2781" s="438"/>
      <c r="I2781" s="438"/>
      <c r="J2781" s="11"/>
      <c r="Q2781" s="348" t="str">
        <f t="shared" si="352"/>
        <v/>
      </c>
      <c r="R2781" s="348" t="str">
        <f t="shared" si="353"/>
        <v/>
      </c>
      <c r="S2781" s="348" t="str">
        <f t="shared" si="354"/>
        <v/>
      </c>
      <c r="T2781" s="348" t="str">
        <f t="shared" si="355"/>
        <v/>
      </c>
      <c r="U2781" s="348" t="str">
        <f t="shared" si="356"/>
        <v/>
      </c>
      <c r="V2781" s="348" t="str">
        <f t="shared" si="357"/>
        <v/>
      </c>
      <c r="W2781" s="348" t="str">
        <f t="shared" si="358"/>
        <v/>
      </c>
      <c r="X2781" s="348" t="str">
        <f t="shared" si="359"/>
        <v/>
      </c>
    </row>
    <row r="2782" spans="1:24" x14ac:dyDescent="0.2">
      <c r="A2782" s="407">
        <v>2774</v>
      </c>
      <c r="B2782" s="438"/>
      <c r="C2782" s="438"/>
      <c r="D2782" s="438"/>
      <c r="E2782" s="438"/>
      <c r="F2782" s="438"/>
      <c r="G2782" s="438"/>
      <c r="H2782" s="438"/>
      <c r="I2782" s="438"/>
      <c r="J2782" s="11"/>
      <c r="Q2782" s="348" t="str">
        <f t="shared" si="352"/>
        <v/>
      </c>
      <c r="R2782" s="348" t="str">
        <f t="shared" si="353"/>
        <v/>
      </c>
      <c r="S2782" s="348" t="str">
        <f t="shared" si="354"/>
        <v/>
      </c>
      <c r="T2782" s="348" t="str">
        <f t="shared" si="355"/>
        <v/>
      </c>
      <c r="U2782" s="348" t="str">
        <f t="shared" si="356"/>
        <v/>
      </c>
      <c r="V2782" s="348" t="str">
        <f t="shared" si="357"/>
        <v/>
      </c>
      <c r="W2782" s="348" t="str">
        <f t="shared" si="358"/>
        <v/>
      </c>
      <c r="X2782" s="348" t="str">
        <f t="shared" si="359"/>
        <v/>
      </c>
    </row>
    <row r="2783" spans="1:24" x14ac:dyDescent="0.2">
      <c r="A2783" s="407">
        <v>2775</v>
      </c>
      <c r="B2783" s="438"/>
      <c r="C2783" s="438"/>
      <c r="D2783" s="438"/>
      <c r="E2783" s="438"/>
      <c r="F2783" s="438"/>
      <c r="G2783" s="438"/>
      <c r="H2783" s="438"/>
      <c r="I2783" s="438"/>
      <c r="J2783" s="11"/>
      <c r="Q2783" s="348" t="str">
        <f t="shared" si="352"/>
        <v/>
      </c>
      <c r="R2783" s="348" t="str">
        <f t="shared" si="353"/>
        <v/>
      </c>
      <c r="S2783" s="348" t="str">
        <f t="shared" si="354"/>
        <v/>
      </c>
      <c r="T2783" s="348" t="str">
        <f t="shared" si="355"/>
        <v/>
      </c>
      <c r="U2783" s="348" t="str">
        <f t="shared" si="356"/>
        <v/>
      </c>
      <c r="V2783" s="348" t="str">
        <f t="shared" si="357"/>
        <v/>
      </c>
      <c r="W2783" s="348" t="str">
        <f t="shared" si="358"/>
        <v/>
      </c>
      <c r="X2783" s="348" t="str">
        <f t="shared" si="359"/>
        <v/>
      </c>
    </row>
    <row r="2784" spans="1:24" x14ac:dyDescent="0.2">
      <c r="A2784" s="407">
        <v>2776</v>
      </c>
      <c r="B2784" s="438"/>
      <c r="C2784" s="438"/>
      <c r="D2784" s="438"/>
      <c r="E2784" s="438"/>
      <c r="F2784" s="438"/>
      <c r="G2784" s="438"/>
      <c r="H2784" s="438"/>
      <c r="I2784" s="438"/>
      <c r="J2784" s="11"/>
      <c r="Q2784" s="348" t="str">
        <f t="shared" si="352"/>
        <v/>
      </c>
      <c r="R2784" s="348" t="str">
        <f t="shared" si="353"/>
        <v/>
      </c>
      <c r="S2784" s="348" t="str">
        <f t="shared" si="354"/>
        <v/>
      </c>
      <c r="T2784" s="348" t="str">
        <f t="shared" si="355"/>
        <v/>
      </c>
      <c r="U2784" s="348" t="str">
        <f t="shared" si="356"/>
        <v/>
      </c>
      <c r="V2784" s="348" t="str">
        <f t="shared" si="357"/>
        <v/>
      </c>
      <c r="W2784" s="348" t="str">
        <f t="shared" si="358"/>
        <v/>
      </c>
      <c r="X2784" s="348" t="str">
        <f t="shared" si="359"/>
        <v/>
      </c>
    </row>
    <row r="2785" spans="1:24" x14ac:dyDescent="0.2">
      <c r="A2785" s="407">
        <v>2777</v>
      </c>
      <c r="B2785" s="438"/>
      <c r="C2785" s="438"/>
      <c r="D2785" s="438"/>
      <c r="E2785" s="438"/>
      <c r="F2785" s="438"/>
      <c r="G2785" s="438"/>
      <c r="H2785" s="438"/>
      <c r="I2785" s="438"/>
      <c r="J2785" s="11"/>
      <c r="Q2785" s="348" t="str">
        <f t="shared" si="352"/>
        <v/>
      </c>
      <c r="R2785" s="348" t="str">
        <f t="shared" si="353"/>
        <v/>
      </c>
      <c r="S2785" s="348" t="str">
        <f t="shared" si="354"/>
        <v/>
      </c>
      <c r="T2785" s="348" t="str">
        <f t="shared" si="355"/>
        <v/>
      </c>
      <c r="U2785" s="348" t="str">
        <f t="shared" si="356"/>
        <v/>
      </c>
      <c r="V2785" s="348" t="str">
        <f t="shared" si="357"/>
        <v/>
      </c>
      <c r="W2785" s="348" t="str">
        <f t="shared" si="358"/>
        <v/>
      </c>
      <c r="X2785" s="348" t="str">
        <f t="shared" si="359"/>
        <v/>
      </c>
    </row>
    <row r="2786" spans="1:24" x14ac:dyDescent="0.2">
      <c r="A2786" s="407">
        <v>2778</v>
      </c>
      <c r="B2786" s="437"/>
      <c r="C2786" s="438"/>
      <c r="D2786" s="438"/>
      <c r="E2786" s="438"/>
      <c r="F2786" s="438"/>
      <c r="G2786" s="438"/>
      <c r="H2786" s="438"/>
      <c r="I2786" s="438"/>
      <c r="J2786" s="11"/>
      <c r="Q2786" s="348" t="str">
        <f t="shared" si="352"/>
        <v/>
      </c>
      <c r="R2786" s="348" t="str">
        <f t="shared" si="353"/>
        <v/>
      </c>
      <c r="S2786" s="348" t="str">
        <f t="shared" si="354"/>
        <v/>
      </c>
      <c r="T2786" s="348" t="str">
        <f t="shared" si="355"/>
        <v/>
      </c>
      <c r="U2786" s="348" t="str">
        <f t="shared" si="356"/>
        <v/>
      </c>
      <c r="V2786" s="348" t="str">
        <f t="shared" si="357"/>
        <v/>
      </c>
      <c r="W2786" s="348" t="str">
        <f t="shared" si="358"/>
        <v/>
      </c>
      <c r="X2786" s="348" t="str">
        <f t="shared" si="359"/>
        <v/>
      </c>
    </row>
    <row r="2787" spans="1:24" x14ac:dyDescent="0.2">
      <c r="A2787" s="407">
        <v>2779</v>
      </c>
      <c r="B2787" s="438"/>
      <c r="C2787" s="438"/>
      <c r="D2787" s="438"/>
      <c r="E2787" s="438"/>
      <c r="F2787" s="438"/>
      <c r="G2787" s="438"/>
      <c r="H2787" s="438"/>
      <c r="I2787" s="438"/>
      <c r="J2787" s="11"/>
      <c r="Q2787" s="348" t="str">
        <f t="shared" si="352"/>
        <v/>
      </c>
      <c r="R2787" s="348" t="str">
        <f t="shared" si="353"/>
        <v/>
      </c>
      <c r="S2787" s="348" t="str">
        <f t="shared" si="354"/>
        <v/>
      </c>
      <c r="T2787" s="348" t="str">
        <f t="shared" si="355"/>
        <v/>
      </c>
      <c r="U2787" s="348" t="str">
        <f t="shared" si="356"/>
        <v/>
      </c>
      <c r="V2787" s="348" t="str">
        <f t="shared" si="357"/>
        <v/>
      </c>
      <c r="W2787" s="348" t="str">
        <f t="shared" si="358"/>
        <v/>
      </c>
      <c r="X2787" s="348" t="str">
        <f t="shared" si="359"/>
        <v/>
      </c>
    </row>
    <row r="2788" spans="1:24" x14ac:dyDescent="0.2">
      <c r="A2788" s="407">
        <v>2780</v>
      </c>
      <c r="B2788" s="438"/>
      <c r="C2788" s="438"/>
      <c r="D2788" s="438"/>
      <c r="E2788" s="438"/>
      <c r="F2788" s="438"/>
      <c r="G2788" s="438"/>
      <c r="H2788" s="438"/>
      <c r="I2788" s="438"/>
      <c r="J2788" s="11"/>
      <c r="Q2788" s="348" t="str">
        <f t="shared" si="352"/>
        <v/>
      </c>
      <c r="R2788" s="348" t="str">
        <f t="shared" si="353"/>
        <v/>
      </c>
      <c r="S2788" s="348" t="str">
        <f t="shared" si="354"/>
        <v/>
      </c>
      <c r="T2788" s="348" t="str">
        <f t="shared" si="355"/>
        <v/>
      </c>
      <c r="U2788" s="348" t="str">
        <f t="shared" si="356"/>
        <v/>
      </c>
      <c r="V2788" s="348" t="str">
        <f t="shared" si="357"/>
        <v/>
      </c>
      <c r="W2788" s="348" t="str">
        <f t="shared" si="358"/>
        <v/>
      </c>
      <c r="X2788" s="348" t="str">
        <f t="shared" si="359"/>
        <v/>
      </c>
    </row>
    <row r="2789" spans="1:24" x14ac:dyDescent="0.2">
      <c r="A2789" s="407">
        <v>2781</v>
      </c>
      <c r="B2789" s="438"/>
      <c r="C2789" s="438"/>
      <c r="D2789" s="438"/>
      <c r="E2789" s="438"/>
      <c r="F2789" s="438"/>
      <c r="G2789" s="438"/>
      <c r="H2789" s="438"/>
      <c r="I2789" s="438"/>
      <c r="J2789" s="11"/>
      <c r="Q2789" s="348" t="str">
        <f t="shared" si="352"/>
        <v/>
      </c>
      <c r="R2789" s="348" t="str">
        <f t="shared" si="353"/>
        <v/>
      </c>
      <c r="S2789" s="348" t="str">
        <f t="shared" si="354"/>
        <v/>
      </c>
      <c r="T2789" s="348" t="str">
        <f t="shared" si="355"/>
        <v/>
      </c>
      <c r="U2789" s="348" t="str">
        <f t="shared" si="356"/>
        <v/>
      </c>
      <c r="V2789" s="348" t="str">
        <f t="shared" si="357"/>
        <v/>
      </c>
      <c r="W2789" s="348" t="str">
        <f t="shared" si="358"/>
        <v/>
      </c>
      <c r="X2789" s="348" t="str">
        <f t="shared" si="359"/>
        <v/>
      </c>
    </row>
    <row r="2790" spans="1:24" x14ac:dyDescent="0.2">
      <c r="A2790" s="407">
        <v>2782</v>
      </c>
      <c r="B2790" s="438"/>
      <c r="C2790" s="438"/>
      <c r="D2790" s="438"/>
      <c r="E2790" s="438"/>
      <c r="F2790" s="438"/>
      <c r="G2790" s="438"/>
      <c r="H2790" s="438"/>
      <c r="I2790" s="438"/>
      <c r="J2790" s="11"/>
      <c r="Q2790" s="348" t="str">
        <f t="shared" si="352"/>
        <v/>
      </c>
      <c r="R2790" s="348" t="str">
        <f t="shared" si="353"/>
        <v/>
      </c>
      <c r="S2790" s="348" t="str">
        <f t="shared" si="354"/>
        <v/>
      </c>
      <c r="T2790" s="348" t="str">
        <f t="shared" si="355"/>
        <v/>
      </c>
      <c r="U2790" s="348" t="str">
        <f t="shared" si="356"/>
        <v/>
      </c>
      <c r="V2790" s="348" t="str">
        <f t="shared" si="357"/>
        <v/>
      </c>
      <c r="W2790" s="348" t="str">
        <f t="shared" si="358"/>
        <v/>
      </c>
      <c r="X2790" s="348" t="str">
        <f t="shared" si="359"/>
        <v/>
      </c>
    </row>
    <row r="2791" spans="1:24" x14ac:dyDescent="0.2">
      <c r="A2791" s="407">
        <v>2783</v>
      </c>
      <c r="B2791" s="438"/>
      <c r="C2791" s="438"/>
      <c r="D2791" s="438"/>
      <c r="E2791" s="438"/>
      <c r="F2791" s="438"/>
      <c r="G2791" s="438"/>
      <c r="H2791" s="438"/>
      <c r="I2791" s="438"/>
      <c r="J2791" s="11"/>
      <c r="Q2791" s="348" t="str">
        <f t="shared" si="352"/>
        <v/>
      </c>
      <c r="R2791" s="348" t="str">
        <f t="shared" si="353"/>
        <v/>
      </c>
      <c r="S2791" s="348" t="str">
        <f t="shared" si="354"/>
        <v/>
      </c>
      <c r="T2791" s="348" t="str">
        <f t="shared" si="355"/>
        <v/>
      </c>
      <c r="U2791" s="348" t="str">
        <f t="shared" si="356"/>
        <v/>
      </c>
      <c r="V2791" s="348" t="str">
        <f t="shared" si="357"/>
        <v/>
      </c>
      <c r="W2791" s="348" t="str">
        <f t="shared" si="358"/>
        <v/>
      </c>
      <c r="X2791" s="348" t="str">
        <f t="shared" si="359"/>
        <v/>
      </c>
    </row>
    <row r="2792" spans="1:24" x14ac:dyDescent="0.2">
      <c r="A2792" s="407">
        <v>2784</v>
      </c>
      <c r="B2792" s="438"/>
      <c r="C2792" s="438"/>
      <c r="D2792" s="438"/>
      <c r="E2792" s="438"/>
      <c r="F2792" s="438"/>
      <c r="G2792" s="438"/>
      <c r="H2792" s="438"/>
      <c r="I2792" s="438"/>
      <c r="J2792" s="11"/>
      <c r="Q2792" s="348" t="str">
        <f t="shared" si="352"/>
        <v/>
      </c>
      <c r="R2792" s="348" t="str">
        <f t="shared" si="353"/>
        <v/>
      </c>
      <c r="S2792" s="348" t="str">
        <f t="shared" si="354"/>
        <v/>
      </c>
      <c r="T2792" s="348" t="str">
        <f t="shared" si="355"/>
        <v/>
      </c>
      <c r="U2792" s="348" t="str">
        <f t="shared" si="356"/>
        <v/>
      </c>
      <c r="V2792" s="348" t="str">
        <f t="shared" si="357"/>
        <v/>
      </c>
      <c r="W2792" s="348" t="str">
        <f t="shared" si="358"/>
        <v/>
      </c>
      <c r="X2792" s="348" t="str">
        <f t="shared" si="359"/>
        <v/>
      </c>
    </row>
    <row r="2793" spans="1:24" x14ac:dyDescent="0.2">
      <c r="A2793" s="407">
        <v>2785</v>
      </c>
      <c r="B2793" s="438"/>
      <c r="C2793" s="438"/>
      <c r="D2793" s="438"/>
      <c r="E2793" s="438"/>
      <c r="F2793" s="438"/>
      <c r="G2793" s="438"/>
      <c r="H2793" s="438"/>
      <c r="I2793" s="438"/>
      <c r="J2793" s="11"/>
      <c r="Q2793" s="348" t="str">
        <f t="shared" si="352"/>
        <v/>
      </c>
      <c r="R2793" s="348" t="str">
        <f t="shared" si="353"/>
        <v/>
      </c>
      <c r="S2793" s="348" t="str">
        <f t="shared" si="354"/>
        <v/>
      </c>
      <c r="T2793" s="348" t="str">
        <f t="shared" si="355"/>
        <v/>
      </c>
      <c r="U2793" s="348" t="str">
        <f t="shared" si="356"/>
        <v/>
      </c>
      <c r="V2793" s="348" t="str">
        <f t="shared" si="357"/>
        <v/>
      </c>
      <c r="W2793" s="348" t="str">
        <f t="shared" si="358"/>
        <v/>
      </c>
      <c r="X2793" s="348" t="str">
        <f t="shared" si="359"/>
        <v/>
      </c>
    </row>
    <row r="2794" spans="1:24" x14ac:dyDescent="0.2">
      <c r="A2794" s="407">
        <v>2786</v>
      </c>
      <c r="B2794" s="438"/>
      <c r="C2794" s="438"/>
      <c r="D2794" s="437"/>
      <c r="E2794" s="438"/>
      <c r="F2794" s="438"/>
      <c r="G2794" s="438"/>
      <c r="H2794" s="438"/>
      <c r="I2794" s="438"/>
      <c r="J2794" s="11"/>
      <c r="Q2794" s="348" t="str">
        <f t="shared" si="352"/>
        <v/>
      </c>
      <c r="R2794" s="348" t="str">
        <f t="shared" si="353"/>
        <v/>
      </c>
      <c r="S2794" s="348" t="str">
        <f t="shared" si="354"/>
        <v/>
      </c>
      <c r="T2794" s="348" t="str">
        <f t="shared" si="355"/>
        <v/>
      </c>
      <c r="U2794" s="348" t="str">
        <f t="shared" si="356"/>
        <v/>
      </c>
      <c r="V2794" s="348" t="str">
        <f t="shared" si="357"/>
        <v/>
      </c>
      <c r="W2794" s="348" t="str">
        <f t="shared" si="358"/>
        <v/>
      </c>
      <c r="X2794" s="348" t="str">
        <f t="shared" si="359"/>
        <v/>
      </c>
    </row>
    <row r="2795" spans="1:24" x14ac:dyDescent="0.2">
      <c r="A2795" s="407">
        <v>2787</v>
      </c>
      <c r="B2795" s="438"/>
      <c r="C2795" s="438"/>
      <c r="D2795" s="438"/>
      <c r="E2795" s="438"/>
      <c r="F2795" s="438"/>
      <c r="G2795" s="438"/>
      <c r="H2795" s="438"/>
      <c r="I2795" s="438"/>
      <c r="J2795" s="11"/>
      <c r="Q2795" s="348" t="str">
        <f t="shared" si="352"/>
        <v/>
      </c>
      <c r="R2795" s="348" t="str">
        <f t="shared" si="353"/>
        <v/>
      </c>
      <c r="S2795" s="348" t="str">
        <f t="shared" si="354"/>
        <v/>
      </c>
      <c r="T2795" s="348" t="str">
        <f t="shared" si="355"/>
        <v/>
      </c>
      <c r="U2795" s="348" t="str">
        <f t="shared" si="356"/>
        <v/>
      </c>
      <c r="V2795" s="348" t="str">
        <f t="shared" si="357"/>
        <v/>
      </c>
      <c r="W2795" s="348" t="str">
        <f t="shared" si="358"/>
        <v/>
      </c>
      <c r="X2795" s="348" t="str">
        <f t="shared" si="359"/>
        <v/>
      </c>
    </row>
    <row r="2796" spans="1:24" x14ac:dyDescent="0.2">
      <c r="A2796" s="407">
        <v>2788</v>
      </c>
      <c r="B2796" s="438"/>
      <c r="C2796" s="438"/>
      <c r="D2796" s="438"/>
      <c r="E2796" s="438"/>
      <c r="F2796" s="438"/>
      <c r="G2796" s="438"/>
      <c r="H2796" s="438"/>
      <c r="I2796" s="438"/>
      <c r="J2796" s="11"/>
      <c r="Q2796" s="348" t="str">
        <f t="shared" si="352"/>
        <v/>
      </c>
      <c r="R2796" s="348" t="str">
        <f t="shared" si="353"/>
        <v/>
      </c>
      <c r="S2796" s="348" t="str">
        <f t="shared" si="354"/>
        <v/>
      </c>
      <c r="T2796" s="348" t="str">
        <f t="shared" si="355"/>
        <v/>
      </c>
      <c r="U2796" s="348" t="str">
        <f t="shared" si="356"/>
        <v/>
      </c>
      <c r="V2796" s="348" t="str">
        <f t="shared" si="357"/>
        <v/>
      </c>
      <c r="W2796" s="348" t="str">
        <f t="shared" si="358"/>
        <v/>
      </c>
      <c r="X2796" s="348" t="str">
        <f t="shared" si="359"/>
        <v/>
      </c>
    </row>
    <row r="2797" spans="1:24" x14ac:dyDescent="0.2">
      <c r="A2797" s="407">
        <v>2789</v>
      </c>
      <c r="B2797" s="438"/>
      <c r="C2797" s="438"/>
      <c r="D2797" s="438"/>
      <c r="E2797" s="438"/>
      <c r="F2797" s="438"/>
      <c r="G2797" s="438"/>
      <c r="H2797" s="438"/>
      <c r="I2797" s="438"/>
      <c r="J2797" s="11"/>
      <c r="Q2797" s="348" t="str">
        <f t="shared" si="352"/>
        <v/>
      </c>
      <c r="R2797" s="348" t="str">
        <f t="shared" si="353"/>
        <v/>
      </c>
      <c r="S2797" s="348" t="str">
        <f t="shared" si="354"/>
        <v/>
      </c>
      <c r="T2797" s="348" t="str">
        <f t="shared" si="355"/>
        <v/>
      </c>
      <c r="U2797" s="348" t="str">
        <f t="shared" si="356"/>
        <v/>
      </c>
      <c r="V2797" s="348" t="str">
        <f t="shared" si="357"/>
        <v/>
      </c>
      <c r="W2797" s="348" t="str">
        <f t="shared" si="358"/>
        <v/>
      </c>
      <c r="X2797" s="348" t="str">
        <f t="shared" si="359"/>
        <v/>
      </c>
    </row>
    <row r="2798" spans="1:24" x14ac:dyDescent="0.2">
      <c r="A2798" s="407">
        <v>2790</v>
      </c>
      <c r="B2798" s="438"/>
      <c r="C2798" s="438"/>
      <c r="D2798" s="438"/>
      <c r="E2798" s="438"/>
      <c r="F2798" s="438"/>
      <c r="G2798" s="438"/>
      <c r="H2798" s="438"/>
      <c r="I2798" s="438"/>
      <c r="J2798" s="11"/>
      <c r="Q2798" s="348" t="str">
        <f t="shared" si="352"/>
        <v/>
      </c>
      <c r="R2798" s="348" t="str">
        <f t="shared" si="353"/>
        <v/>
      </c>
      <c r="S2798" s="348" t="str">
        <f t="shared" si="354"/>
        <v/>
      </c>
      <c r="T2798" s="348" t="str">
        <f t="shared" si="355"/>
        <v/>
      </c>
      <c r="U2798" s="348" t="str">
        <f t="shared" si="356"/>
        <v/>
      </c>
      <c r="V2798" s="348" t="str">
        <f t="shared" si="357"/>
        <v/>
      </c>
      <c r="W2798" s="348" t="str">
        <f t="shared" si="358"/>
        <v/>
      </c>
      <c r="X2798" s="348" t="str">
        <f t="shared" si="359"/>
        <v/>
      </c>
    </row>
    <row r="2799" spans="1:24" x14ac:dyDescent="0.2">
      <c r="A2799" s="407">
        <v>2791</v>
      </c>
      <c r="B2799" s="438"/>
      <c r="C2799" s="438"/>
      <c r="D2799" s="438"/>
      <c r="E2799" s="438"/>
      <c r="F2799" s="438"/>
      <c r="G2799" s="438"/>
      <c r="H2799" s="438"/>
      <c r="I2799" s="438"/>
      <c r="J2799" s="11"/>
      <c r="Q2799" s="348" t="str">
        <f t="shared" si="352"/>
        <v/>
      </c>
      <c r="R2799" s="348" t="str">
        <f t="shared" si="353"/>
        <v/>
      </c>
      <c r="S2799" s="348" t="str">
        <f t="shared" si="354"/>
        <v/>
      </c>
      <c r="T2799" s="348" t="str">
        <f t="shared" si="355"/>
        <v/>
      </c>
      <c r="U2799" s="348" t="str">
        <f t="shared" si="356"/>
        <v/>
      </c>
      <c r="V2799" s="348" t="str">
        <f t="shared" si="357"/>
        <v/>
      </c>
      <c r="W2799" s="348" t="str">
        <f t="shared" si="358"/>
        <v/>
      </c>
      <c r="X2799" s="348" t="str">
        <f t="shared" si="359"/>
        <v/>
      </c>
    </row>
    <row r="2800" spans="1:24" x14ac:dyDescent="0.2">
      <c r="A2800" s="407">
        <v>2792</v>
      </c>
      <c r="B2800" s="438"/>
      <c r="C2800" s="438"/>
      <c r="D2800" s="438"/>
      <c r="E2800" s="438"/>
      <c r="F2800" s="438"/>
      <c r="G2800" s="438"/>
      <c r="H2800" s="438"/>
      <c r="I2800" s="438"/>
      <c r="J2800" s="11"/>
      <c r="Q2800" s="348" t="str">
        <f t="shared" si="352"/>
        <v/>
      </c>
      <c r="R2800" s="348" t="str">
        <f t="shared" si="353"/>
        <v/>
      </c>
      <c r="S2800" s="348" t="str">
        <f t="shared" si="354"/>
        <v/>
      </c>
      <c r="T2800" s="348" t="str">
        <f t="shared" si="355"/>
        <v/>
      </c>
      <c r="U2800" s="348" t="str">
        <f t="shared" si="356"/>
        <v/>
      </c>
      <c r="V2800" s="348" t="str">
        <f t="shared" si="357"/>
        <v/>
      </c>
      <c r="W2800" s="348" t="str">
        <f t="shared" si="358"/>
        <v/>
      </c>
      <c r="X2800" s="348" t="str">
        <f t="shared" si="359"/>
        <v/>
      </c>
    </row>
    <row r="2801" spans="1:24" x14ac:dyDescent="0.2">
      <c r="A2801" s="407">
        <v>2793</v>
      </c>
      <c r="B2801" s="438"/>
      <c r="C2801" s="437"/>
      <c r="D2801" s="438"/>
      <c r="E2801" s="438"/>
      <c r="F2801" s="438"/>
      <c r="G2801" s="438"/>
      <c r="H2801" s="438"/>
      <c r="I2801" s="438"/>
      <c r="J2801" s="11"/>
      <c r="Q2801" s="348" t="str">
        <f t="shared" si="352"/>
        <v/>
      </c>
      <c r="R2801" s="348" t="str">
        <f t="shared" si="353"/>
        <v/>
      </c>
      <c r="S2801" s="348" t="str">
        <f t="shared" si="354"/>
        <v/>
      </c>
      <c r="T2801" s="348" t="str">
        <f t="shared" si="355"/>
        <v/>
      </c>
      <c r="U2801" s="348" t="str">
        <f t="shared" si="356"/>
        <v/>
      </c>
      <c r="V2801" s="348" t="str">
        <f t="shared" si="357"/>
        <v/>
      </c>
      <c r="W2801" s="348" t="str">
        <f t="shared" si="358"/>
        <v/>
      </c>
      <c r="X2801" s="348" t="str">
        <f t="shared" si="359"/>
        <v/>
      </c>
    </row>
    <row r="2802" spans="1:24" x14ac:dyDescent="0.2">
      <c r="A2802" s="407">
        <v>2794</v>
      </c>
      <c r="B2802" s="438"/>
      <c r="C2802" s="438"/>
      <c r="D2802" s="438"/>
      <c r="E2802" s="437"/>
      <c r="F2802" s="438"/>
      <c r="G2802" s="438"/>
      <c r="H2802" s="438"/>
      <c r="I2802" s="438"/>
      <c r="J2802" s="11"/>
      <c r="Q2802" s="348" t="str">
        <f t="shared" si="352"/>
        <v/>
      </c>
      <c r="R2802" s="348" t="str">
        <f t="shared" si="353"/>
        <v/>
      </c>
      <c r="S2802" s="348" t="str">
        <f t="shared" si="354"/>
        <v/>
      </c>
      <c r="T2802" s="348" t="str">
        <f t="shared" si="355"/>
        <v/>
      </c>
      <c r="U2802" s="348" t="str">
        <f t="shared" si="356"/>
        <v/>
      </c>
      <c r="V2802" s="348" t="str">
        <f t="shared" si="357"/>
        <v/>
      </c>
      <c r="W2802" s="348" t="str">
        <f t="shared" si="358"/>
        <v/>
      </c>
      <c r="X2802" s="348" t="str">
        <f t="shared" si="359"/>
        <v/>
      </c>
    </row>
    <row r="2803" spans="1:24" x14ac:dyDescent="0.2">
      <c r="A2803" s="407">
        <v>2795</v>
      </c>
      <c r="B2803" s="438"/>
      <c r="C2803" s="438"/>
      <c r="D2803" s="438"/>
      <c r="E2803" s="438"/>
      <c r="F2803" s="438"/>
      <c r="G2803" s="438"/>
      <c r="H2803" s="438"/>
      <c r="I2803" s="438"/>
      <c r="J2803" s="11"/>
      <c r="Q2803" s="348" t="str">
        <f t="shared" si="352"/>
        <v/>
      </c>
      <c r="R2803" s="348" t="str">
        <f t="shared" si="353"/>
        <v/>
      </c>
      <c r="S2803" s="348" t="str">
        <f t="shared" si="354"/>
        <v/>
      </c>
      <c r="T2803" s="348" t="str">
        <f t="shared" si="355"/>
        <v/>
      </c>
      <c r="U2803" s="348" t="str">
        <f t="shared" si="356"/>
        <v/>
      </c>
      <c r="V2803" s="348" t="str">
        <f t="shared" si="357"/>
        <v/>
      </c>
      <c r="W2803" s="348" t="str">
        <f t="shared" si="358"/>
        <v/>
      </c>
      <c r="X2803" s="348" t="str">
        <f t="shared" si="359"/>
        <v/>
      </c>
    </row>
    <row r="2804" spans="1:24" x14ac:dyDescent="0.2">
      <c r="A2804" s="407">
        <v>2796</v>
      </c>
      <c r="B2804" s="438"/>
      <c r="C2804" s="438"/>
      <c r="D2804" s="438"/>
      <c r="E2804" s="438"/>
      <c r="F2804" s="438"/>
      <c r="G2804" s="438"/>
      <c r="H2804" s="438"/>
      <c r="I2804" s="438"/>
      <c r="J2804" s="11"/>
      <c r="Q2804" s="348" t="str">
        <f t="shared" si="352"/>
        <v/>
      </c>
      <c r="R2804" s="348" t="str">
        <f t="shared" si="353"/>
        <v/>
      </c>
      <c r="S2804" s="348" t="str">
        <f t="shared" si="354"/>
        <v/>
      </c>
      <c r="T2804" s="348" t="str">
        <f t="shared" si="355"/>
        <v/>
      </c>
      <c r="U2804" s="348" t="str">
        <f t="shared" si="356"/>
        <v/>
      </c>
      <c r="V2804" s="348" t="str">
        <f t="shared" si="357"/>
        <v/>
      </c>
      <c r="W2804" s="348" t="str">
        <f t="shared" si="358"/>
        <v/>
      </c>
      <c r="X2804" s="348" t="str">
        <f t="shared" si="359"/>
        <v/>
      </c>
    </row>
    <row r="2805" spans="1:24" x14ac:dyDescent="0.2">
      <c r="A2805" s="407">
        <v>2797</v>
      </c>
      <c r="B2805" s="437"/>
      <c r="C2805" s="438"/>
      <c r="D2805" s="438"/>
      <c r="E2805" s="438"/>
      <c r="F2805" s="438"/>
      <c r="G2805" s="438"/>
      <c r="H2805" s="438"/>
      <c r="I2805" s="438"/>
      <c r="J2805" s="11"/>
      <c r="Q2805" s="348" t="str">
        <f t="shared" si="352"/>
        <v/>
      </c>
      <c r="R2805" s="348" t="str">
        <f t="shared" si="353"/>
        <v/>
      </c>
      <c r="S2805" s="348" t="str">
        <f t="shared" si="354"/>
        <v/>
      </c>
      <c r="T2805" s="348" t="str">
        <f t="shared" si="355"/>
        <v/>
      </c>
      <c r="U2805" s="348" t="str">
        <f t="shared" si="356"/>
        <v/>
      </c>
      <c r="V2805" s="348" t="str">
        <f t="shared" si="357"/>
        <v/>
      </c>
      <c r="W2805" s="348" t="str">
        <f t="shared" si="358"/>
        <v/>
      </c>
      <c r="X2805" s="348" t="str">
        <f t="shared" si="359"/>
        <v/>
      </c>
    </row>
    <row r="2806" spans="1:24" x14ac:dyDescent="0.2">
      <c r="A2806" s="407">
        <v>2798</v>
      </c>
      <c r="B2806" s="438"/>
      <c r="C2806" s="438"/>
      <c r="D2806" s="438"/>
      <c r="E2806" s="438"/>
      <c r="F2806" s="438"/>
      <c r="G2806" s="438"/>
      <c r="H2806" s="438"/>
      <c r="I2806" s="438"/>
      <c r="J2806" s="11"/>
      <c r="Q2806" s="348" t="str">
        <f t="shared" si="352"/>
        <v/>
      </c>
      <c r="R2806" s="348" t="str">
        <f t="shared" si="353"/>
        <v/>
      </c>
      <c r="S2806" s="348" t="str">
        <f t="shared" si="354"/>
        <v/>
      </c>
      <c r="T2806" s="348" t="str">
        <f t="shared" si="355"/>
        <v/>
      </c>
      <c r="U2806" s="348" t="str">
        <f t="shared" si="356"/>
        <v/>
      </c>
      <c r="V2806" s="348" t="str">
        <f t="shared" si="357"/>
        <v/>
      </c>
      <c r="W2806" s="348" t="str">
        <f t="shared" si="358"/>
        <v/>
      </c>
      <c r="X2806" s="348" t="str">
        <f t="shared" si="359"/>
        <v/>
      </c>
    </row>
    <row r="2807" spans="1:24" x14ac:dyDescent="0.2">
      <c r="A2807" s="407">
        <v>2799</v>
      </c>
      <c r="B2807" s="438"/>
      <c r="C2807" s="438"/>
      <c r="D2807" s="438"/>
      <c r="E2807" s="438"/>
      <c r="F2807" s="438"/>
      <c r="G2807" s="437"/>
      <c r="H2807" s="438"/>
      <c r="I2807" s="438"/>
      <c r="J2807" s="11"/>
      <c r="Q2807" s="348" t="str">
        <f t="shared" si="352"/>
        <v/>
      </c>
      <c r="R2807" s="348" t="str">
        <f t="shared" si="353"/>
        <v/>
      </c>
      <c r="S2807" s="348" t="str">
        <f t="shared" si="354"/>
        <v/>
      </c>
      <c r="T2807" s="348" t="str">
        <f t="shared" si="355"/>
        <v/>
      </c>
      <c r="U2807" s="348" t="str">
        <f t="shared" si="356"/>
        <v/>
      </c>
      <c r="V2807" s="348" t="str">
        <f t="shared" si="357"/>
        <v/>
      </c>
      <c r="W2807" s="348" t="str">
        <f t="shared" si="358"/>
        <v/>
      </c>
      <c r="X2807" s="348" t="str">
        <f t="shared" si="359"/>
        <v/>
      </c>
    </row>
    <row r="2808" spans="1:24" x14ac:dyDescent="0.2">
      <c r="A2808" s="407">
        <v>2800</v>
      </c>
      <c r="B2808" s="438"/>
      <c r="C2808" s="438"/>
      <c r="D2808" s="438"/>
      <c r="E2808" s="438"/>
      <c r="F2808" s="438"/>
      <c r="G2808" s="438"/>
      <c r="H2808" s="438"/>
      <c r="I2808" s="438"/>
      <c r="J2808" s="11"/>
      <c r="Q2808" s="348" t="str">
        <f t="shared" si="352"/>
        <v/>
      </c>
      <c r="R2808" s="348" t="str">
        <f t="shared" si="353"/>
        <v/>
      </c>
      <c r="S2808" s="348" t="str">
        <f t="shared" si="354"/>
        <v/>
      </c>
      <c r="T2808" s="348" t="str">
        <f t="shared" si="355"/>
        <v/>
      </c>
      <c r="U2808" s="348" t="str">
        <f t="shared" si="356"/>
        <v/>
      </c>
      <c r="V2808" s="348" t="str">
        <f t="shared" si="357"/>
        <v/>
      </c>
      <c r="W2808" s="348" t="str">
        <f t="shared" si="358"/>
        <v/>
      </c>
      <c r="X2808" s="348" t="str">
        <f t="shared" si="359"/>
        <v/>
      </c>
    </row>
    <row r="2809" spans="1:24" x14ac:dyDescent="0.2">
      <c r="A2809" s="407">
        <v>2801</v>
      </c>
      <c r="B2809" s="438"/>
      <c r="C2809" s="437"/>
      <c r="D2809" s="438"/>
      <c r="E2809" s="437"/>
      <c r="F2809" s="437"/>
      <c r="G2809" s="437"/>
      <c r="H2809" s="437"/>
      <c r="I2809" s="437"/>
      <c r="J2809" s="11"/>
      <c r="Q2809" s="348" t="str">
        <f t="shared" si="352"/>
        <v/>
      </c>
      <c r="R2809" s="348" t="str">
        <f t="shared" si="353"/>
        <v/>
      </c>
      <c r="S2809" s="348" t="str">
        <f t="shared" si="354"/>
        <v/>
      </c>
      <c r="T2809" s="348" t="str">
        <f t="shared" si="355"/>
        <v/>
      </c>
      <c r="U2809" s="348" t="str">
        <f t="shared" si="356"/>
        <v/>
      </c>
      <c r="V2809" s="348" t="str">
        <f t="shared" si="357"/>
        <v/>
      </c>
      <c r="W2809" s="348" t="str">
        <f t="shared" si="358"/>
        <v/>
      </c>
      <c r="X2809" s="348" t="str">
        <f t="shared" si="359"/>
        <v/>
      </c>
    </row>
    <row r="2810" spans="1:24" x14ac:dyDescent="0.2">
      <c r="A2810" s="407">
        <v>2802</v>
      </c>
      <c r="B2810" s="438"/>
      <c r="C2810" s="438"/>
      <c r="D2810" s="438"/>
      <c r="E2810" s="438"/>
      <c r="F2810" s="438"/>
      <c r="G2810" s="438"/>
      <c r="H2810" s="438"/>
      <c r="I2810" s="438"/>
      <c r="J2810" s="11"/>
      <c r="Q2810" s="348" t="str">
        <f t="shared" si="352"/>
        <v/>
      </c>
      <c r="R2810" s="348" t="str">
        <f t="shared" si="353"/>
        <v/>
      </c>
      <c r="S2810" s="348" t="str">
        <f t="shared" si="354"/>
        <v/>
      </c>
      <c r="T2810" s="348" t="str">
        <f t="shared" si="355"/>
        <v/>
      </c>
      <c r="U2810" s="348" t="str">
        <f t="shared" si="356"/>
        <v/>
      </c>
      <c r="V2810" s="348" t="str">
        <f t="shared" si="357"/>
        <v/>
      </c>
      <c r="W2810" s="348" t="str">
        <f t="shared" si="358"/>
        <v/>
      </c>
      <c r="X2810" s="348" t="str">
        <f t="shared" si="359"/>
        <v/>
      </c>
    </row>
    <row r="2811" spans="1:24" x14ac:dyDescent="0.2">
      <c r="A2811" s="407">
        <v>2803</v>
      </c>
      <c r="B2811" s="438"/>
      <c r="C2811" s="438"/>
      <c r="D2811" s="438"/>
      <c r="E2811" s="438"/>
      <c r="F2811" s="438"/>
      <c r="G2811" s="438"/>
      <c r="H2811" s="438"/>
      <c r="I2811" s="438"/>
      <c r="J2811" s="11"/>
      <c r="Q2811" s="348" t="str">
        <f t="shared" si="352"/>
        <v/>
      </c>
      <c r="R2811" s="348" t="str">
        <f t="shared" si="353"/>
        <v/>
      </c>
      <c r="S2811" s="348" t="str">
        <f t="shared" si="354"/>
        <v/>
      </c>
      <c r="T2811" s="348" t="str">
        <f t="shared" si="355"/>
        <v/>
      </c>
      <c r="U2811" s="348" t="str">
        <f t="shared" si="356"/>
        <v/>
      </c>
      <c r="V2811" s="348" t="str">
        <f t="shared" si="357"/>
        <v/>
      </c>
      <c r="W2811" s="348" t="str">
        <f t="shared" si="358"/>
        <v/>
      </c>
      <c r="X2811" s="348" t="str">
        <f t="shared" si="359"/>
        <v/>
      </c>
    </row>
    <row r="2812" spans="1:24" x14ac:dyDescent="0.2">
      <c r="A2812" s="407">
        <v>2804</v>
      </c>
      <c r="B2812" s="438"/>
      <c r="C2812" s="438"/>
      <c r="D2812" s="438"/>
      <c r="E2812" s="438"/>
      <c r="F2812" s="438"/>
      <c r="G2812" s="438"/>
      <c r="H2812" s="438"/>
      <c r="I2812" s="438"/>
      <c r="J2812" s="11"/>
      <c r="Q2812" s="348" t="str">
        <f t="shared" si="352"/>
        <v/>
      </c>
      <c r="R2812" s="348" t="str">
        <f t="shared" si="353"/>
        <v/>
      </c>
      <c r="S2812" s="348" t="str">
        <f t="shared" si="354"/>
        <v/>
      </c>
      <c r="T2812" s="348" t="str">
        <f t="shared" si="355"/>
        <v/>
      </c>
      <c r="U2812" s="348" t="str">
        <f t="shared" si="356"/>
        <v/>
      </c>
      <c r="V2812" s="348" t="str">
        <f t="shared" si="357"/>
        <v/>
      </c>
      <c r="W2812" s="348" t="str">
        <f t="shared" si="358"/>
        <v/>
      </c>
      <c r="X2812" s="348" t="str">
        <f t="shared" si="359"/>
        <v/>
      </c>
    </row>
    <row r="2813" spans="1:24" x14ac:dyDescent="0.2">
      <c r="A2813" s="407">
        <v>2805</v>
      </c>
      <c r="B2813" s="437"/>
      <c r="C2813" s="438"/>
      <c r="D2813" s="438"/>
      <c r="E2813" s="438"/>
      <c r="F2813" s="438"/>
      <c r="G2813" s="438"/>
      <c r="H2813" s="438"/>
      <c r="I2813" s="438"/>
      <c r="J2813" s="11"/>
      <c r="Q2813" s="348" t="str">
        <f t="shared" si="352"/>
        <v/>
      </c>
      <c r="R2813" s="348" t="str">
        <f t="shared" si="353"/>
        <v/>
      </c>
      <c r="S2813" s="348" t="str">
        <f t="shared" si="354"/>
        <v/>
      </c>
      <c r="T2813" s="348" t="str">
        <f t="shared" si="355"/>
        <v/>
      </c>
      <c r="U2813" s="348" t="str">
        <f t="shared" si="356"/>
        <v/>
      </c>
      <c r="V2813" s="348" t="str">
        <f t="shared" si="357"/>
        <v/>
      </c>
      <c r="W2813" s="348" t="str">
        <f t="shared" si="358"/>
        <v/>
      </c>
      <c r="X2813" s="348" t="str">
        <f t="shared" si="359"/>
        <v/>
      </c>
    </row>
    <row r="2814" spans="1:24" x14ac:dyDescent="0.2">
      <c r="A2814" s="407">
        <v>2806</v>
      </c>
      <c r="B2814" s="438"/>
      <c r="C2814" s="438"/>
      <c r="D2814" s="438"/>
      <c r="E2814" s="438"/>
      <c r="F2814" s="438"/>
      <c r="G2814" s="438"/>
      <c r="H2814" s="438"/>
      <c r="I2814" s="438"/>
      <c r="J2814" s="11"/>
      <c r="Q2814" s="348" t="str">
        <f t="shared" si="352"/>
        <v/>
      </c>
      <c r="R2814" s="348" t="str">
        <f t="shared" si="353"/>
        <v/>
      </c>
      <c r="S2814" s="348" t="str">
        <f t="shared" si="354"/>
        <v/>
      </c>
      <c r="T2814" s="348" t="str">
        <f t="shared" si="355"/>
        <v/>
      </c>
      <c r="U2814" s="348" t="str">
        <f t="shared" si="356"/>
        <v/>
      </c>
      <c r="V2814" s="348" t="str">
        <f t="shared" si="357"/>
        <v/>
      </c>
      <c r="W2814" s="348" t="str">
        <f t="shared" si="358"/>
        <v/>
      </c>
      <c r="X2814" s="348" t="str">
        <f t="shared" si="359"/>
        <v/>
      </c>
    </row>
    <row r="2815" spans="1:24" x14ac:dyDescent="0.2">
      <c r="A2815" s="407">
        <v>2807</v>
      </c>
      <c r="B2815" s="438"/>
      <c r="C2815" s="438"/>
      <c r="D2815" s="438"/>
      <c r="E2815" s="438"/>
      <c r="F2815" s="438"/>
      <c r="G2815" s="438"/>
      <c r="H2815" s="438"/>
      <c r="I2815" s="438"/>
      <c r="J2815" s="11"/>
      <c r="Q2815" s="348" t="str">
        <f t="shared" si="352"/>
        <v/>
      </c>
      <c r="R2815" s="348" t="str">
        <f t="shared" si="353"/>
        <v/>
      </c>
      <c r="S2815" s="348" t="str">
        <f t="shared" si="354"/>
        <v/>
      </c>
      <c r="T2815" s="348" t="str">
        <f t="shared" si="355"/>
        <v/>
      </c>
      <c r="U2815" s="348" t="str">
        <f t="shared" si="356"/>
        <v/>
      </c>
      <c r="V2815" s="348" t="str">
        <f t="shared" si="357"/>
        <v/>
      </c>
      <c r="W2815" s="348" t="str">
        <f t="shared" si="358"/>
        <v/>
      </c>
      <c r="X2815" s="348" t="str">
        <f t="shared" si="359"/>
        <v/>
      </c>
    </row>
    <row r="2816" spans="1:24" x14ac:dyDescent="0.2">
      <c r="A2816" s="407">
        <v>2808</v>
      </c>
      <c r="B2816" s="438"/>
      <c r="C2816" s="438"/>
      <c r="D2816" s="437"/>
      <c r="E2816" s="438"/>
      <c r="F2816" s="438"/>
      <c r="G2816" s="438"/>
      <c r="H2816" s="438"/>
      <c r="I2816" s="438"/>
      <c r="J2816" s="11"/>
      <c r="Q2816" s="348" t="str">
        <f t="shared" si="352"/>
        <v/>
      </c>
      <c r="R2816" s="348" t="str">
        <f t="shared" si="353"/>
        <v/>
      </c>
      <c r="S2816" s="348" t="str">
        <f t="shared" si="354"/>
        <v/>
      </c>
      <c r="T2816" s="348" t="str">
        <f t="shared" si="355"/>
        <v/>
      </c>
      <c r="U2816" s="348" t="str">
        <f t="shared" si="356"/>
        <v/>
      </c>
      <c r="V2816" s="348" t="str">
        <f t="shared" si="357"/>
        <v/>
      </c>
      <c r="W2816" s="348" t="str">
        <f t="shared" si="358"/>
        <v/>
      </c>
      <c r="X2816" s="348" t="str">
        <f t="shared" si="359"/>
        <v/>
      </c>
    </row>
    <row r="2817" spans="1:24" x14ac:dyDescent="0.2">
      <c r="A2817" s="407">
        <v>2809</v>
      </c>
      <c r="B2817" s="438"/>
      <c r="C2817" s="438"/>
      <c r="D2817" s="438"/>
      <c r="E2817" s="438"/>
      <c r="F2817" s="438"/>
      <c r="G2817" s="438"/>
      <c r="H2817" s="438"/>
      <c r="I2817" s="438"/>
      <c r="J2817" s="11"/>
      <c r="Q2817" s="348" t="str">
        <f t="shared" si="352"/>
        <v/>
      </c>
      <c r="R2817" s="348" t="str">
        <f t="shared" si="353"/>
        <v/>
      </c>
      <c r="S2817" s="348" t="str">
        <f t="shared" si="354"/>
        <v/>
      </c>
      <c r="T2817" s="348" t="str">
        <f t="shared" si="355"/>
        <v/>
      </c>
      <c r="U2817" s="348" t="str">
        <f t="shared" si="356"/>
        <v/>
      </c>
      <c r="V2817" s="348" t="str">
        <f t="shared" si="357"/>
        <v/>
      </c>
      <c r="W2817" s="348" t="str">
        <f t="shared" si="358"/>
        <v/>
      </c>
      <c r="X2817" s="348" t="str">
        <f t="shared" si="359"/>
        <v/>
      </c>
    </row>
    <row r="2818" spans="1:24" x14ac:dyDescent="0.2">
      <c r="A2818" s="407">
        <v>2810</v>
      </c>
      <c r="B2818" s="438"/>
      <c r="C2818" s="438"/>
      <c r="D2818" s="438"/>
      <c r="E2818" s="438"/>
      <c r="F2818" s="438"/>
      <c r="G2818" s="438"/>
      <c r="H2818" s="438"/>
      <c r="I2818" s="438"/>
      <c r="J2818" s="11"/>
      <c r="Q2818" s="348" t="str">
        <f t="shared" si="352"/>
        <v/>
      </c>
      <c r="R2818" s="348" t="str">
        <f t="shared" si="353"/>
        <v/>
      </c>
      <c r="S2818" s="348" t="str">
        <f t="shared" si="354"/>
        <v/>
      </c>
      <c r="T2818" s="348" t="str">
        <f t="shared" si="355"/>
        <v/>
      </c>
      <c r="U2818" s="348" t="str">
        <f t="shared" si="356"/>
        <v/>
      </c>
      <c r="V2818" s="348" t="str">
        <f t="shared" si="357"/>
        <v/>
      </c>
      <c r="W2818" s="348" t="str">
        <f t="shared" si="358"/>
        <v/>
      </c>
      <c r="X2818" s="348" t="str">
        <f t="shared" si="359"/>
        <v/>
      </c>
    </row>
    <row r="2819" spans="1:24" x14ac:dyDescent="0.2">
      <c r="A2819" s="407">
        <v>2811</v>
      </c>
      <c r="B2819" s="438"/>
      <c r="C2819" s="438"/>
      <c r="D2819" s="438"/>
      <c r="E2819" s="438"/>
      <c r="F2819" s="438"/>
      <c r="G2819" s="438"/>
      <c r="H2819" s="438"/>
      <c r="I2819" s="438"/>
      <c r="J2819" s="11"/>
      <c r="Q2819" s="348" t="str">
        <f t="shared" si="352"/>
        <v/>
      </c>
      <c r="R2819" s="348" t="str">
        <f t="shared" si="353"/>
        <v/>
      </c>
      <c r="S2819" s="348" t="str">
        <f t="shared" si="354"/>
        <v/>
      </c>
      <c r="T2819" s="348" t="str">
        <f t="shared" si="355"/>
        <v/>
      </c>
      <c r="U2819" s="348" t="str">
        <f t="shared" si="356"/>
        <v/>
      </c>
      <c r="V2819" s="348" t="str">
        <f t="shared" si="357"/>
        <v/>
      </c>
      <c r="W2819" s="348" t="str">
        <f t="shared" si="358"/>
        <v/>
      </c>
      <c r="X2819" s="348" t="str">
        <f t="shared" si="359"/>
        <v/>
      </c>
    </row>
    <row r="2820" spans="1:24" x14ac:dyDescent="0.2">
      <c r="A2820" s="407">
        <v>2812</v>
      </c>
      <c r="B2820" s="438"/>
      <c r="C2820" s="438"/>
      <c r="D2820" s="438"/>
      <c r="E2820" s="438"/>
      <c r="F2820" s="438"/>
      <c r="G2820" s="438"/>
      <c r="H2820" s="438"/>
      <c r="I2820" s="438"/>
      <c r="J2820" s="11"/>
      <c r="Q2820" s="348" t="str">
        <f t="shared" si="352"/>
        <v/>
      </c>
      <c r="R2820" s="348" t="str">
        <f t="shared" si="353"/>
        <v/>
      </c>
      <c r="S2820" s="348" t="str">
        <f t="shared" si="354"/>
        <v/>
      </c>
      <c r="T2820" s="348" t="str">
        <f t="shared" si="355"/>
        <v/>
      </c>
      <c r="U2820" s="348" t="str">
        <f t="shared" si="356"/>
        <v/>
      </c>
      <c r="V2820" s="348" t="str">
        <f t="shared" si="357"/>
        <v/>
      </c>
      <c r="W2820" s="348" t="str">
        <f t="shared" si="358"/>
        <v/>
      </c>
      <c r="X2820" s="348" t="str">
        <f t="shared" si="359"/>
        <v/>
      </c>
    </row>
    <row r="2821" spans="1:24" x14ac:dyDescent="0.2">
      <c r="A2821" s="407">
        <v>2813</v>
      </c>
      <c r="B2821" s="438"/>
      <c r="C2821" s="438"/>
      <c r="D2821" s="438"/>
      <c r="E2821" s="438"/>
      <c r="F2821" s="438"/>
      <c r="G2821" s="438"/>
      <c r="H2821" s="438"/>
      <c r="I2821" s="438"/>
      <c r="J2821" s="11"/>
      <c r="Q2821" s="348" t="str">
        <f t="shared" si="352"/>
        <v/>
      </c>
      <c r="R2821" s="348" t="str">
        <f t="shared" si="353"/>
        <v/>
      </c>
      <c r="S2821" s="348" t="str">
        <f t="shared" si="354"/>
        <v/>
      </c>
      <c r="T2821" s="348" t="str">
        <f t="shared" si="355"/>
        <v/>
      </c>
      <c r="U2821" s="348" t="str">
        <f t="shared" si="356"/>
        <v/>
      </c>
      <c r="V2821" s="348" t="str">
        <f t="shared" si="357"/>
        <v/>
      </c>
      <c r="W2821" s="348" t="str">
        <f t="shared" si="358"/>
        <v/>
      </c>
      <c r="X2821" s="348" t="str">
        <f t="shared" si="359"/>
        <v/>
      </c>
    </row>
    <row r="2822" spans="1:24" x14ac:dyDescent="0.2">
      <c r="A2822" s="407">
        <v>2814</v>
      </c>
      <c r="B2822" s="438"/>
      <c r="C2822" s="438"/>
      <c r="D2822" s="438"/>
      <c r="E2822" s="438"/>
      <c r="F2822" s="438"/>
      <c r="G2822" s="438"/>
      <c r="H2822" s="438"/>
      <c r="I2822" s="438"/>
      <c r="J2822" s="11"/>
      <c r="Q2822" s="348" t="str">
        <f t="shared" si="352"/>
        <v/>
      </c>
      <c r="R2822" s="348" t="str">
        <f t="shared" si="353"/>
        <v/>
      </c>
      <c r="S2822" s="348" t="str">
        <f t="shared" si="354"/>
        <v/>
      </c>
      <c r="T2822" s="348" t="str">
        <f t="shared" si="355"/>
        <v/>
      </c>
      <c r="U2822" s="348" t="str">
        <f t="shared" si="356"/>
        <v/>
      </c>
      <c r="V2822" s="348" t="str">
        <f t="shared" si="357"/>
        <v/>
      </c>
      <c r="W2822" s="348" t="str">
        <f t="shared" si="358"/>
        <v/>
      </c>
      <c r="X2822" s="348" t="str">
        <f t="shared" si="359"/>
        <v/>
      </c>
    </row>
    <row r="2823" spans="1:24" x14ac:dyDescent="0.2">
      <c r="A2823" s="407">
        <v>2815</v>
      </c>
      <c r="B2823" s="438"/>
      <c r="C2823" s="437"/>
      <c r="D2823" s="438"/>
      <c r="E2823" s="438"/>
      <c r="F2823" s="438"/>
      <c r="G2823" s="438"/>
      <c r="H2823" s="438"/>
      <c r="I2823" s="438"/>
      <c r="J2823" s="11"/>
      <c r="Q2823" s="348" t="str">
        <f t="shared" si="352"/>
        <v/>
      </c>
      <c r="R2823" s="348" t="str">
        <f t="shared" si="353"/>
        <v/>
      </c>
      <c r="S2823" s="348" t="str">
        <f t="shared" si="354"/>
        <v/>
      </c>
      <c r="T2823" s="348" t="str">
        <f t="shared" si="355"/>
        <v/>
      </c>
      <c r="U2823" s="348" t="str">
        <f t="shared" si="356"/>
        <v/>
      </c>
      <c r="V2823" s="348" t="str">
        <f t="shared" si="357"/>
        <v/>
      </c>
      <c r="W2823" s="348" t="str">
        <f t="shared" si="358"/>
        <v/>
      </c>
      <c r="X2823" s="348" t="str">
        <f t="shared" si="359"/>
        <v/>
      </c>
    </row>
    <row r="2824" spans="1:24" x14ac:dyDescent="0.2">
      <c r="A2824" s="407">
        <v>2816</v>
      </c>
      <c r="B2824" s="438"/>
      <c r="C2824" s="438"/>
      <c r="D2824" s="438"/>
      <c r="E2824" s="438"/>
      <c r="F2824" s="438"/>
      <c r="G2824" s="438"/>
      <c r="H2824" s="438"/>
      <c r="I2824" s="438"/>
      <c r="J2824" s="11"/>
      <c r="Q2824" s="348" t="str">
        <f t="shared" si="352"/>
        <v/>
      </c>
      <c r="R2824" s="348" t="str">
        <f t="shared" si="353"/>
        <v/>
      </c>
      <c r="S2824" s="348" t="str">
        <f t="shared" si="354"/>
        <v/>
      </c>
      <c r="T2824" s="348" t="str">
        <f t="shared" si="355"/>
        <v/>
      </c>
      <c r="U2824" s="348" t="str">
        <f t="shared" si="356"/>
        <v/>
      </c>
      <c r="V2824" s="348" t="str">
        <f t="shared" si="357"/>
        <v/>
      </c>
      <c r="W2824" s="348" t="str">
        <f t="shared" si="358"/>
        <v/>
      </c>
      <c r="X2824" s="348" t="str">
        <f t="shared" si="359"/>
        <v/>
      </c>
    </row>
    <row r="2825" spans="1:24" x14ac:dyDescent="0.2">
      <c r="A2825" s="407">
        <v>2817</v>
      </c>
      <c r="B2825" s="438"/>
      <c r="C2825" s="438"/>
      <c r="D2825" s="438"/>
      <c r="E2825" s="438"/>
      <c r="F2825" s="438"/>
      <c r="G2825" s="438"/>
      <c r="H2825" s="438"/>
      <c r="I2825" s="438"/>
      <c r="J2825" s="11"/>
      <c r="Q2825" s="348" t="str">
        <f t="shared" si="352"/>
        <v/>
      </c>
      <c r="R2825" s="348" t="str">
        <f t="shared" si="353"/>
        <v/>
      </c>
      <c r="S2825" s="348" t="str">
        <f t="shared" si="354"/>
        <v/>
      </c>
      <c r="T2825" s="348" t="str">
        <f t="shared" si="355"/>
        <v/>
      </c>
      <c r="U2825" s="348" t="str">
        <f t="shared" si="356"/>
        <v/>
      </c>
      <c r="V2825" s="348" t="str">
        <f t="shared" si="357"/>
        <v/>
      </c>
      <c r="W2825" s="348" t="str">
        <f t="shared" si="358"/>
        <v/>
      </c>
      <c r="X2825" s="348" t="str">
        <f t="shared" si="359"/>
        <v/>
      </c>
    </row>
    <row r="2826" spans="1:24" x14ac:dyDescent="0.2">
      <c r="A2826" s="407">
        <v>2818</v>
      </c>
      <c r="B2826" s="438"/>
      <c r="C2826" s="438"/>
      <c r="D2826" s="438"/>
      <c r="E2826" s="438"/>
      <c r="F2826" s="438"/>
      <c r="G2826" s="438"/>
      <c r="H2826" s="438"/>
      <c r="I2826" s="438"/>
      <c r="J2826" s="11"/>
      <c r="Q2826" s="348" t="str">
        <f t="shared" ref="Q2826:Q2889" si="360">IFERROR(B2826^4*$AB$9+B2826^3*$AC$9+B2826^2*$AD$9+B2826^1*$AE$9+B2826^0*$AF$9,"")</f>
        <v/>
      </c>
      <c r="R2826" s="348" t="str">
        <f t="shared" ref="R2826:R2889" si="361">IFERROR(C2826^4*$AB$10+C2826^3*$AC$10+C2826^2*$AD$10+C2826^1*$AE$10+C2826^0*$AF$10,"")</f>
        <v/>
      </c>
      <c r="S2826" s="348" t="str">
        <f t="shared" ref="S2826:S2889" si="362">IFERROR(D2826^4*$AB$11+D2826^3*$AC$11+D2826^2*$AD$11+D2826^1*$AE$11+D2826^0*$AF$11,"")</f>
        <v/>
      </c>
      <c r="T2826" s="348" t="str">
        <f t="shared" ref="T2826:T2889" si="363">IFERROR(E2826^4*$AB$12+E2826^3*$AC$12+E2826^2*$AD$12+E2826^1*$AE$12+E2826^0*$AF$12,"")</f>
        <v/>
      </c>
      <c r="U2826" s="348" t="str">
        <f t="shared" ref="U2826:U2889" si="364">IFERROR(F2826^4*$AB$13+F2826^3*$AC$13+F2826^2*$AD$13+F2826^1*$AE$13+F2826^0*$AF$13,"")</f>
        <v/>
      </c>
      <c r="V2826" s="348" t="str">
        <f t="shared" ref="V2826:V2889" si="365">IFERROR(G2826^4*$AB$14+G2826^3*$AC$14+G2826^2*$AD$14+G2826^1*$AE$14+G2826^0*$AF$14,"")</f>
        <v/>
      </c>
      <c r="W2826" s="348" t="str">
        <f t="shared" ref="W2826:W2889" si="366">IFERROR(H2826^4*$AB$15+H2826^3*$AC$15+H2826^2*$AD$15+H2826^1*$AE$15+H2826^0*$AF$15,"")</f>
        <v/>
      </c>
      <c r="X2826" s="348" t="str">
        <f t="shared" ref="X2826:X2889" si="367">IFERROR(I2826^4*$AB$16+I2826^3*$AC$16+I2826^2*$AD$16+I2826^1*$AE$16+I2826^0*$AF$16,"")</f>
        <v/>
      </c>
    </row>
    <row r="2827" spans="1:24" x14ac:dyDescent="0.2">
      <c r="A2827" s="407">
        <v>2819</v>
      </c>
      <c r="B2827" s="437"/>
      <c r="C2827" s="438"/>
      <c r="D2827" s="438"/>
      <c r="E2827" s="438"/>
      <c r="F2827" s="438"/>
      <c r="G2827" s="438"/>
      <c r="H2827" s="438"/>
      <c r="I2827" s="438"/>
      <c r="J2827" s="11"/>
      <c r="Q2827" s="348" t="str">
        <f t="shared" si="360"/>
        <v/>
      </c>
      <c r="R2827" s="348" t="str">
        <f t="shared" si="361"/>
        <v/>
      </c>
      <c r="S2827" s="348" t="str">
        <f t="shared" si="362"/>
        <v/>
      </c>
      <c r="T2827" s="348" t="str">
        <f t="shared" si="363"/>
        <v/>
      </c>
      <c r="U2827" s="348" t="str">
        <f t="shared" si="364"/>
        <v/>
      </c>
      <c r="V2827" s="348" t="str">
        <f t="shared" si="365"/>
        <v/>
      </c>
      <c r="W2827" s="348" t="str">
        <f t="shared" si="366"/>
        <v/>
      </c>
      <c r="X2827" s="348" t="str">
        <f t="shared" si="367"/>
        <v/>
      </c>
    </row>
    <row r="2828" spans="1:24" x14ac:dyDescent="0.2">
      <c r="A2828" s="407">
        <v>2820</v>
      </c>
      <c r="B2828" s="438"/>
      <c r="C2828" s="438"/>
      <c r="D2828" s="438"/>
      <c r="E2828" s="438"/>
      <c r="F2828" s="438"/>
      <c r="G2828" s="438"/>
      <c r="H2828" s="438"/>
      <c r="I2828" s="438"/>
      <c r="J2828" s="11"/>
      <c r="Q2828" s="348" t="str">
        <f t="shared" si="360"/>
        <v/>
      </c>
      <c r="R2828" s="348" t="str">
        <f t="shared" si="361"/>
        <v/>
      </c>
      <c r="S2828" s="348" t="str">
        <f t="shared" si="362"/>
        <v/>
      </c>
      <c r="T2828" s="348" t="str">
        <f t="shared" si="363"/>
        <v/>
      </c>
      <c r="U2828" s="348" t="str">
        <f t="shared" si="364"/>
        <v/>
      </c>
      <c r="V2828" s="348" t="str">
        <f t="shared" si="365"/>
        <v/>
      </c>
      <c r="W2828" s="348" t="str">
        <f t="shared" si="366"/>
        <v/>
      </c>
      <c r="X2828" s="348" t="str">
        <f t="shared" si="367"/>
        <v/>
      </c>
    </row>
    <row r="2829" spans="1:24" x14ac:dyDescent="0.2">
      <c r="A2829" s="407">
        <v>2821</v>
      </c>
      <c r="B2829" s="438"/>
      <c r="C2829" s="438"/>
      <c r="D2829" s="438"/>
      <c r="E2829" s="438"/>
      <c r="F2829" s="438"/>
      <c r="G2829" s="438"/>
      <c r="H2829" s="438"/>
      <c r="I2829" s="438"/>
      <c r="J2829" s="11"/>
      <c r="Q2829" s="348" t="str">
        <f t="shared" si="360"/>
        <v/>
      </c>
      <c r="R2829" s="348" t="str">
        <f t="shared" si="361"/>
        <v/>
      </c>
      <c r="S2829" s="348" t="str">
        <f t="shared" si="362"/>
        <v/>
      </c>
      <c r="T2829" s="348" t="str">
        <f t="shared" si="363"/>
        <v/>
      </c>
      <c r="U2829" s="348" t="str">
        <f t="shared" si="364"/>
        <v/>
      </c>
      <c r="V2829" s="348" t="str">
        <f t="shared" si="365"/>
        <v/>
      </c>
      <c r="W2829" s="348" t="str">
        <f t="shared" si="366"/>
        <v/>
      </c>
      <c r="X2829" s="348" t="str">
        <f t="shared" si="367"/>
        <v/>
      </c>
    </row>
    <row r="2830" spans="1:24" x14ac:dyDescent="0.2">
      <c r="A2830" s="407">
        <v>2822</v>
      </c>
      <c r="B2830" s="438"/>
      <c r="C2830" s="438"/>
      <c r="D2830" s="438"/>
      <c r="E2830" s="438"/>
      <c r="F2830" s="438"/>
      <c r="G2830" s="438"/>
      <c r="H2830" s="438"/>
      <c r="I2830" s="438"/>
      <c r="J2830" s="11"/>
      <c r="Q2830" s="348" t="str">
        <f t="shared" si="360"/>
        <v/>
      </c>
      <c r="R2830" s="348" t="str">
        <f t="shared" si="361"/>
        <v/>
      </c>
      <c r="S2830" s="348" t="str">
        <f t="shared" si="362"/>
        <v/>
      </c>
      <c r="T2830" s="348" t="str">
        <f t="shared" si="363"/>
        <v/>
      </c>
      <c r="U2830" s="348" t="str">
        <f t="shared" si="364"/>
        <v/>
      </c>
      <c r="V2830" s="348" t="str">
        <f t="shared" si="365"/>
        <v/>
      </c>
      <c r="W2830" s="348" t="str">
        <f t="shared" si="366"/>
        <v/>
      </c>
      <c r="X2830" s="348" t="str">
        <f t="shared" si="367"/>
        <v/>
      </c>
    </row>
    <row r="2831" spans="1:24" x14ac:dyDescent="0.2">
      <c r="A2831" s="407">
        <v>2823</v>
      </c>
      <c r="B2831" s="438"/>
      <c r="C2831" s="438"/>
      <c r="D2831" s="438"/>
      <c r="E2831" s="438"/>
      <c r="F2831" s="438"/>
      <c r="G2831" s="438"/>
      <c r="H2831" s="438"/>
      <c r="I2831" s="438"/>
      <c r="J2831" s="11"/>
      <c r="Q2831" s="348" t="str">
        <f t="shared" si="360"/>
        <v/>
      </c>
      <c r="R2831" s="348" t="str">
        <f t="shared" si="361"/>
        <v/>
      </c>
      <c r="S2831" s="348" t="str">
        <f t="shared" si="362"/>
        <v/>
      </c>
      <c r="T2831" s="348" t="str">
        <f t="shared" si="363"/>
        <v/>
      </c>
      <c r="U2831" s="348" t="str">
        <f t="shared" si="364"/>
        <v/>
      </c>
      <c r="V2831" s="348" t="str">
        <f t="shared" si="365"/>
        <v/>
      </c>
      <c r="W2831" s="348" t="str">
        <f t="shared" si="366"/>
        <v/>
      </c>
      <c r="X2831" s="348" t="str">
        <f t="shared" si="367"/>
        <v/>
      </c>
    </row>
    <row r="2832" spans="1:24" x14ac:dyDescent="0.2">
      <c r="A2832" s="407">
        <v>2824</v>
      </c>
      <c r="B2832" s="438"/>
      <c r="C2832" s="438"/>
      <c r="D2832" s="438"/>
      <c r="E2832" s="438"/>
      <c r="F2832" s="438"/>
      <c r="G2832" s="438"/>
      <c r="H2832" s="438"/>
      <c r="I2832" s="438"/>
      <c r="J2832" s="11"/>
      <c r="Q2832" s="348" t="str">
        <f t="shared" si="360"/>
        <v/>
      </c>
      <c r="R2832" s="348" t="str">
        <f t="shared" si="361"/>
        <v/>
      </c>
      <c r="S2832" s="348" t="str">
        <f t="shared" si="362"/>
        <v/>
      </c>
      <c r="T2832" s="348" t="str">
        <f t="shared" si="363"/>
        <v/>
      </c>
      <c r="U2832" s="348" t="str">
        <f t="shared" si="364"/>
        <v/>
      </c>
      <c r="V2832" s="348" t="str">
        <f t="shared" si="365"/>
        <v/>
      </c>
      <c r="W2832" s="348" t="str">
        <f t="shared" si="366"/>
        <v/>
      </c>
      <c r="X2832" s="348" t="str">
        <f t="shared" si="367"/>
        <v/>
      </c>
    </row>
    <row r="2833" spans="1:24" x14ac:dyDescent="0.2">
      <c r="A2833" s="407">
        <v>2825</v>
      </c>
      <c r="B2833" s="438"/>
      <c r="C2833" s="438"/>
      <c r="D2833" s="438"/>
      <c r="E2833" s="438"/>
      <c r="F2833" s="438"/>
      <c r="G2833" s="438"/>
      <c r="H2833" s="438"/>
      <c r="I2833" s="438"/>
      <c r="J2833" s="11"/>
      <c r="Q2833" s="348" t="str">
        <f t="shared" si="360"/>
        <v/>
      </c>
      <c r="R2833" s="348" t="str">
        <f t="shared" si="361"/>
        <v/>
      </c>
      <c r="S2833" s="348" t="str">
        <f t="shared" si="362"/>
        <v/>
      </c>
      <c r="T2833" s="348" t="str">
        <f t="shared" si="363"/>
        <v/>
      </c>
      <c r="U2833" s="348" t="str">
        <f t="shared" si="364"/>
        <v/>
      </c>
      <c r="V2833" s="348" t="str">
        <f t="shared" si="365"/>
        <v/>
      </c>
      <c r="W2833" s="348" t="str">
        <f t="shared" si="366"/>
        <v/>
      </c>
      <c r="X2833" s="348" t="str">
        <f t="shared" si="367"/>
        <v/>
      </c>
    </row>
    <row r="2834" spans="1:24" x14ac:dyDescent="0.2">
      <c r="A2834" s="407">
        <v>2826</v>
      </c>
      <c r="B2834" s="438"/>
      <c r="C2834" s="438"/>
      <c r="D2834" s="438"/>
      <c r="E2834" s="437"/>
      <c r="F2834" s="437"/>
      <c r="G2834" s="437"/>
      <c r="H2834" s="437"/>
      <c r="I2834" s="437"/>
      <c r="J2834" s="11"/>
      <c r="Q2834" s="348" t="str">
        <f t="shared" si="360"/>
        <v/>
      </c>
      <c r="R2834" s="348" t="str">
        <f t="shared" si="361"/>
        <v/>
      </c>
      <c r="S2834" s="348" t="str">
        <f t="shared" si="362"/>
        <v/>
      </c>
      <c r="T2834" s="348" t="str">
        <f t="shared" si="363"/>
        <v/>
      </c>
      <c r="U2834" s="348" t="str">
        <f t="shared" si="364"/>
        <v/>
      </c>
      <c r="V2834" s="348" t="str">
        <f t="shared" si="365"/>
        <v/>
      </c>
      <c r="W2834" s="348" t="str">
        <f t="shared" si="366"/>
        <v/>
      </c>
      <c r="X2834" s="348" t="str">
        <f t="shared" si="367"/>
        <v/>
      </c>
    </row>
    <row r="2835" spans="1:24" x14ac:dyDescent="0.2">
      <c r="A2835" s="407">
        <v>2827</v>
      </c>
      <c r="B2835" s="438"/>
      <c r="C2835" s="438"/>
      <c r="D2835" s="438"/>
      <c r="E2835" s="438"/>
      <c r="F2835" s="438"/>
      <c r="G2835" s="438"/>
      <c r="H2835" s="438"/>
      <c r="I2835" s="438"/>
      <c r="J2835" s="11"/>
      <c r="Q2835" s="348" t="str">
        <f t="shared" si="360"/>
        <v/>
      </c>
      <c r="R2835" s="348" t="str">
        <f t="shared" si="361"/>
        <v/>
      </c>
      <c r="S2835" s="348" t="str">
        <f t="shared" si="362"/>
        <v/>
      </c>
      <c r="T2835" s="348" t="str">
        <f t="shared" si="363"/>
        <v/>
      </c>
      <c r="U2835" s="348" t="str">
        <f t="shared" si="364"/>
        <v/>
      </c>
      <c r="V2835" s="348" t="str">
        <f t="shared" si="365"/>
        <v/>
      </c>
      <c r="W2835" s="348" t="str">
        <f t="shared" si="366"/>
        <v/>
      </c>
      <c r="X2835" s="348" t="str">
        <f t="shared" si="367"/>
        <v/>
      </c>
    </row>
    <row r="2836" spans="1:24" x14ac:dyDescent="0.2">
      <c r="A2836" s="407">
        <v>2828</v>
      </c>
      <c r="B2836" s="438"/>
      <c r="C2836" s="438"/>
      <c r="D2836" s="438"/>
      <c r="E2836" s="438"/>
      <c r="F2836" s="438"/>
      <c r="G2836" s="438"/>
      <c r="H2836" s="438"/>
      <c r="I2836" s="438"/>
      <c r="J2836" s="11"/>
      <c r="Q2836" s="348" t="str">
        <f t="shared" si="360"/>
        <v/>
      </c>
      <c r="R2836" s="348" t="str">
        <f t="shared" si="361"/>
        <v/>
      </c>
      <c r="S2836" s="348" t="str">
        <f t="shared" si="362"/>
        <v/>
      </c>
      <c r="T2836" s="348" t="str">
        <f t="shared" si="363"/>
        <v/>
      </c>
      <c r="U2836" s="348" t="str">
        <f t="shared" si="364"/>
        <v/>
      </c>
      <c r="V2836" s="348" t="str">
        <f t="shared" si="365"/>
        <v/>
      </c>
      <c r="W2836" s="348" t="str">
        <f t="shared" si="366"/>
        <v/>
      </c>
      <c r="X2836" s="348" t="str">
        <f t="shared" si="367"/>
        <v/>
      </c>
    </row>
    <row r="2837" spans="1:24" x14ac:dyDescent="0.2">
      <c r="A2837" s="407">
        <v>2829</v>
      </c>
      <c r="B2837" s="438"/>
      <c r="C2837" s="438"/>
      <c r="D2837" s="438"/>
      <c r="E2837" s="438"/>
      <c r="F2837" s="438"/>
      <c r="G2837" s="438"/>
      <c r="H2837" s="438"/>
      <c r="I2837" s="438"/>
      <c r="J2837" s="11"/>
      <c r="Q2837" s="348" t="str">
        <f t="shared" si="360"/>
        <v/>
      </c>
      <c r="R2837" s="348" t="str">
        <f t="shared" si="361"/>
        <v/>
      </c>
      <c r="S2837" s="348" t="str">
        <f t="shared" si="362"/>
        <v/>
      </c>
      <c r="T2837" s="348" t="str">
        <f t="shared" si="363"/>
        <v/>
      </c>
      <c r="U2837" s="348" t="str">
        <f t="shared" si="364"/>
        <v/>
      </c>
      <c r="V2837" s="348" t="str">
        <f t="shared" si="365"/>
        <v/>
      </c>
      <c r="W2837" s="348" t="str">
        <f t="shared" si="366"/>
        <v/>
      </c>
      <c r="X2837" s="348" t="str">
        <f t="shared" si="367"/>
        <v/>
      </c>
    </row>
    <row r="2838" spans="1:24" x14ac:dyDescent="0.2">
      <c r="A2838" s="407">
        <v>2830</v>
      </c>
      <c r="B2838" s="438"/>
      <c r="C2838" s="438"/>
      <c r="D2838" s="438"/>
      <c r="E2838" s="438"/>
      <c r="F2838" s="438"/>
      <c r="G2838" s="438"/>
      <c r="H2838" s="438"/>
      <c r="I2838" s="438"/>
      <c r="J2838" s="11"/>
      <c r="Q2838" s="348" t="str">
        <f t="shared" si="360"/>
        <v/>
      </c>
      <c r="R2838" s="348" t="str">
        <f t="shared" si="361"/>
        <v/>
      </c>
      <c r="S2838" s="348" t="str">
        <f t="shared" si="362"/>
        <v/>
      </c>
      <c r="T2838" s="348" t="str">
        <f t="shared" si="363"/>
        <v/>
      </c>
      <c r="U2838" s="348" t="str">
        <f t="shared" si="364"/>
        <v/>
      </c>
      <c r="V2838" s="348" t="str">
        <f t="shared" si="365"/>
        <v/>
      </c>
      <c r="W2838" s="348" t="str">
        <f t="shared" si="366"/>
        <v/>
      </c>
      <c r="X2838" s="348" t="str">
        <f t="shared" si="367"/>
        <v/>
      </c>
    </row>
    <row r="2839" spans="1:24" x14ac:dyDescent="0.2">
      <c r="A2839" s="407">
        <v>2831</v>
      </c>
      <c r="B2839" s="438"/>
      <c r="C2839" s="438"/>
      <c r="D2839" s="438"/>
      <c r="E2839" s="438"/>
      <c r="F2839" s="438"/>
      <c r="G2839" s="438"/>
      <c r="H2839" s="438"/>
      <c r="I2839" s="438"/>
      <c r="J2839" s="11"/>
      <c r="Q2839" s="348" t="str">
        <f t="shared" si="360"/>
        <v/>
      </c>
      <c r="R2839" s="348" t="str">
        <f t="shared" si="361"/>
        <v/>
      </c>
      <c r="S2839" s="348" t="str">
        <f t="shared" si="362"/>
        <v/>
      </c>
      <c r="T2839" s="348" t="str">
        <f t="shared" si="363"/>
        <v/>
      </c>
      <c r="U2839" s="348" t="str">
        <f t="shared" si="364"/>
        <v/>
      </c>
      <c r="V2839" s="348" t="str">
        <f t="shared" si="365"/>
        <v/>
      </c>
      <c r="W2839" s="348" t="str">
        <f t="shared" si="366"/>
        <v/>
      </c>
      <c r="X2839" s="348" t="str">
        <f t="shared" si="367"/>
        <v/>
      </c>
    </row>
    <row r="2840" spans="1:24" x14ac:dyDescent="0.2">
      <c r="A2840" s="407">
        <v>2832</v>
      </c>
      <c r="B2840" s="438"/>
      <c r="C2840" s="438"/>
      <c r="D2840" s="438"/>
      <c r="E2840" s="438"/>
      <c r="F2840" s="438"/>
      <c r="G2840" s="438"/>
      <c r="H2840" s="438"/>
      <c r="I2840" s="438"/>
      <c r="J2840" s="11"/>
      <c r="Q2840" s="348" t="str">
        <f t="shared" si="360"/>
        <v/>
      </c>
      <c r="R2840" s="348" t="str">
        <f t="shared" si="361"/>
        <v/>
      </c>
      <c r="S2840" s="348" t="str">
        <f t="shared" si="362"/>
        <v/>
      </c>
      <c r="T2840" s="348" t="str">
        <f t="shared" si="363"/>
        <v/>
      </c>
      <c r="U2840" s="348" t="str">
        <f t="shared" si="364"/>
        <v/>
      </c>
      <c r="V2840" s="348" t="str">
        <f t="shared" si="365"/>
        <v/>
      </c>
      <c r="W2840" s="348" t="str">
        <f t="shared" si="366"/>
        <v/>
      </c>
      <c r="X2840" s="348" t="str">
        <f t="shared" si="367"/>
        <v/>
      </c>
    </row>
    <row r="2841" spans="1:24" x14ac:dyDescent="0.2">
      <c r="A2841" s="407">
        <v>2833</v>
      </c>
      <c r="B2841" s="438"/>
      <c r="C2841" s="438"/>
      <c r="D2841" s="438"/>
      <c r="E2841" s="438"/>
      <c r="F2841" s="438"/>
      <c r="G2841" s="438"/>
      <c r="H2841" s="438"/>
      <c r="I2841" s="438"/>
      <c r="J2841" s="11"/>
      <c r="Q2841" s="348" t="str">
        <f t="shared" si="360"/>
        <v/>
      </c>
      <c r="R2841" s="348" t="str">
        <f t="shared" si="361"/>
        <v/>
      </c>
      <c r="S2841" s="348" t="str">
        <f t="shared" si="362"/>
        <v/>
      </c>
      <c r="T2841" s="348" t="str">
        <f t="shared" si="363"/>
        <v/>
      </c>
      <c r="U2841" s="348" t="str">
        <f t="shared" si="364"/>
        <v/>
      </c>
      <c r="V2841" s="348" t="str">
        <f t="shared" si="365"/>
        <v/>
      </c>
      <c r="W2841" s="348" t="str">
        <f t="shared" si="366"/>
        <v/>
      </c>
      <c r="X2841" s="348" t="str">
        <f t="shared" si="367"/>
        <v/>
      </c>
    </row>
    <row r="2842" spans="1:24" x14ac:dyDescent="0.2">
      <c r="A2842" s="407">
        <v>2834</v>
      </c>
      <c r="B2842" s="438"/>
      <c r="C2842" s="438"/>
      <c r="D2842" s="438"/>
      <c r="E2842" s="438"/>
      <c r="F2842" s="438"/>
      <c r="G2842" s="438"/>
      <c r="H2842" s="438"/>
      <c r="I2842" s="438"/>
      <c r="J2842" s="11"/>
      <c r="Q2842" s="348" t="str">
        <f t="shared" si="360"/>
        <v/>
      </c>
      <c r="R2842" s="348" t="str">
        <f t="shared" si="361"/>
        <v/>
      </c>
      <c r="S2842" s="348" t="str">
        <f t="shared" si="362"/>
        <v/>
      </c>
      <c r="T2842" s="348" t="str">
        <f t="shared" si="363"/>
        <v/>
      </c>
      <c r="U2842" s="348" t="str">
        <f t="shared" si="364"/>
        <v/>
      </c>
      <c r="V2842" s="348" t="str">
        <f t="shared" si="365"/>
        <v/>
      </c>
      <c r="W2842" s="348" t="str">
        <f t="shared" si="366"/>
        <v/>
      </c>
      <c r="X2842" s="348" t="str">
        <f t="shared" si="367"/>
        <v/>
      </c>
    </row>
    <row r="2843" spans="1:24" x14ac:dyDescent="0.2">
      <c r="A2843" s="407">
        <v>2835</v>
      </c>
      <c r="B2843" s="438"/>
      <c r="C2843" s="438"/>
      <c r="D2843" s="438"/>
      <c r="E2843" s="438"/>
      <c r="F2843" s="438"/>
      <c r="G2843" s="438"/>
      <c r="H2843" s="438"/>
      <c r="I2843" s="438"/>
      <c r="J2843" s="11"/>
      <c r="Q2843" s="348" t="str">
        <f t="shared" si="360"/>
        <v/>
      </c>
      <c r="R2843" s="348" t="str">
        <f t="shared" si="361"/>
        <v/>
      </c>
      <c r="S2843" s="348" t="str">
        <f t="shared" si="362"/>
        <v/>
      </c>
      <c r="T2843" s="348" t="str">
        <f t="shared" si="363"/>
        <v/>
      </c>
      <c r="U2843" s="348" t="str">
        <f t="shared" si="364"/>
        <v/>
      </c>
      <c r="V2843" s="348" t="str">
        <f t="shared" si="365"/>
        <v/>
      </c>
      <c r="W2843" s="348" t="str">
        <f t="shared" si="366"/>
        <v/>
      </c>
      <c r="X2843" s="348" t="str">
        <f t="shared" si="367"/>
        <v/>
      </c>
    </row>
    <row r="2844" spans="1:24" x14ac:dyDescent="0.2">
      <c r="A2844" s="407">
        <v>2836</v>
      </c>
      <c r="B2844" s="438"/>
      <c r="C2844" s="437"/>
      <c r="D2844" s="438"/>
      <c r="E2844" s="438"/>
      <c r="F2844" s="438"/>
      <c r="G2844" s="438"/>
      <c r="H2844" s="438"/>
      <c r="I2844" s="438"/>
      <c r="J2844" s="11"/>
      <c r="Q2844" s="348" t="str">
        <f t="shared" si="360"/>
        <v/>
      </c>
      <c r="R2844" s="348" t="str">
        <f t="shared" si="361"/>
        <v/>
      </c>
      <c r="S2844" s="348" t="str">
        <f t="shared" si="362"/>
        <v/>
      </c>
      <c r="T2844" s="348" t="str">
        <f t="shared" si="363"/>
        <v/>
      </c>
      <c r="U2844" s="348" t="str">
        <f t="shared" si="364"/>
        <v/>
      </c>
      <c r="V2844" s="348" t="str">
        <f t="shared" si="365"/>
        <v/>
      </c>
      <c r="W2844" s="348" t="str">
        <f t="shared" si="366"/>
        <v/>
      </c>
      <c r="X2844" s="348" t="str">
        <f t="shared" si="367"/>
        <v/>
      </c>
    </row>
    <row r="2845" spans="1:24" x14ac:dyDescent="0.2">
      <c r="A2845" s="407">
        <v>2837</v>
      </c>
      <c r="B2845" s="438"/>
      <c r="C2845" s="438"/>
      <c r="D2845" s="438"/>
      <c r="E2845" s="438"/>
      <c r="F2845" s="438"/>
      <c r="G2845" s="438"/>
      <c r="H2845" s="438"/>
      <c r="I2845" s="438"/>
      <c r="J2845" s="11"/>
      <c r="Q2845" s="348" t="str">
        <f t="shared" si="360"/>
        <v/>
      </c>
      <c r="R2845" s="348" t="str">
        <f t="shared" si="361"/>
        <v/>
      </c>
      <c r="S2845" s="348" t="str">
        <f t="shared" si="362"/>
        <v/>
      </c>
      <c r="T2845" s="348" t="str">
        <f t="shared" si="363"/>
        <v/>
      </c>
      <c r="U2845" s="348" t="str">
        <f t="shared" si="364"/>
        <v/>
      </c>
      <c r="V2845" s="348" t="str">
        <f t="shared" si="365"/>
        <v/>
      </c>
      <c r="W2845" s="348" t="str">
        <f t="shared" si="366"/>
        <v/>
      </c>
      <c r="X2845" s="348" t="str">
        <f t="shared" si="367"/>
        <v/>
      </c>
    </row>
    <row r="2846" spans="1:24" x14ac:dyDescent="0.2">
      <c r="A2846" s="407">
        <v>2838</v>
      </c>
      <c r="B2846" s="437"/>
      <c r="C2846" s="438"/>
      <c r="D2846" s="437"/>
      <c r="E2846" s="438"/>
      <c r="F2846" s="438"/>
      <c r="G2846" s="438"/>
      <c r="H2846" s="438"/>
      <c r="I2846" s="438"/>
      <c r="J2846" s="11"/>
      <c r="Q2846" s="348" t="str">
        <f t="shared" si="360"/>
        <v/>
      </c>
      <c r="R2846" s="348" t="str">
        <f t="shared" si="361"/>
        <v/>
      </c>
      <c r="S2846" s="348" t="str">
        <f t="shared" si="362"/>
        <v/>
      </c>
      <c r="T2846" s="348" t="str">
        <f t="shared" si="363"/>
        <v/>
      </c>
      <c r="U2846" s="348" t="str">
        <f t="shared" si="364"/>
        <v/>
      </c>
      <c r="V2846" s="348" t="str">
        <f t="shared" si="365"/>
        <v/>
      </c>
      <c r="W2846" s="348" t="str">
        <f t="shared" si="366"/>
        <v/>
      </c>
      <c r="X2846" s="348" t="str">
        <f t="shared" si="367"/>
        <v/>
      </c>
    </row>
    <row r="2847" spans="1:24" x14ac:dyDescent="0.2">
      <c r="A2847" s="407">
        <v>2839</v>
      </c>
      <c r="B2847" s="438"/>
      <c r="C2847" s="438"/>
      <c r="D2847" s="438"/>
      <c r="E2847" s="438"/>
      <c r="F2847" s="438"/>
      <c r="G2847" s="438"/>
      <c r="H2847" s="438"/>
      <c r="I2847" s="438"/>
      <c r="J2847" s="11"/>
      <c r="Q2847" s="348" t="str">
        <f t="shared" si="360"/>
        <v/>
      </c>
      <c r="R2847" s="348" t="str">
        <f t="shared" si="361"/>
        <v/>
      </c>
      <c r="S2847" s="348" t="str">
        <f t="shared" si="362"/>
        <v/>
      </c>
      <c r="T2847" s="348" t="str">
        <f t="shared" si="363"/>
        <v/>
      </c>
      <c r="U2847" s="348" t="str">
        <f t="shared" si="364"/>
        <v/>
      </c>
      <c r="V2847" s="348" t="str">
        <f t="shared" si="365"/>
        <v/>
      </c>
      <c r="W2847" s="348" t="str">
        <f t="shared" si="366"/>
        <v/>
      </c>
      <c r="X2847" s="348" t="str">
        <f t="shared" si="367"/>
        <v/>
      </c>
    </row>
    <row r="2848" spans="1:24" x14ac:dyDescent="0.2">
      <c r="A2848" s="407">
        <v>2840</v>
      </c>
      <c r="B2848" s="438"/>
      <c r="C2848" s="438"/>
      <c r="D2848" s="438"/>
      <c r="E2848" s="438"/>
      <c r="F2848" s="438"/>
      <c r="G2848" s="438"/>
      <c r="H2848" s="438"/>
      <c r="I2848" s="438"/>
      <c r="J2848" s="11"/>
      <c r="Q2848" s="348" t="str">
        <f t="shared" si="360"/>
        <v/>
      </c>
      <c r="R2848" s="348" t="str">
        <f t="shared" si="361"/>
        <v/>
      </c>
      <c r="S2848" s="348" t="str">
        <f t="shared" si="362"/>
        <v/>
      </c>
      <c r="T2848" s="348" t="str">
        <f t="shared" si="363"/>
        <v/>
      </c>
      <c r="U2848" s="348" t="str">
        <f t="shared" si="364"/>
        <v/>
      </c>
      <c r="V2848" s="348" t="str">
        <f t="shared" si="365"/>
        <v/>
      </c>
      <c r="W2848" s="348" t="str">
        <f t="shared" si="366"/>
        <v/>
      </c>
      <c r="X2848" s="348" t="str">
        <f t="shared" si="367"/>
        <v/>
      </c>
    </row>
    <row r="2849" spans="1:24" x14ac:dyDescent="0.2">
      <c r="A2849" s="407">
        <v>2841</v>
      </c>
      <c r="B2849" s="438"/>
      <c r="C2849" s="438"/>
      <c r="D2849" s="438"/>
      <c r="E2849" s="438"/>
      <c r="F2849" s="438"/>
      <c r="G2849" s="438"/>
      <c r="H2849" s="438"/>
      <c r="I2849" s="438"/>
      <c r="J2849" s="11"/>
      <c r="Q2849" s="348" t="str">
        <f t="shared" si="360"/>
        <v/>
      </c>
      <c r="R2849" s="348" t="str">
        <f t="shared" si="361"/>
        <v/>
      </c>
      <c r="S2849" s="348" t="str">
        <f t="shared" si="362"/>
        <v/>
      </c>
      <c r="T2849" s="348" t="str">
        <f t="shared" si="363"/>
        <v/>
      </c>
      <c r="U2849" s="348" t="str">
        <f t="shared" si="364"/>
        <v/>
      </c>
      <c r="V2849" s="348" t="str">
        <f t="shared" si="365"/>
        <v/>
      </c>
      <c r="W2849" s="348" t="str">
        <f t="shared" si="366"/>
        <v/>
      </c>
      <c r="X2849" s="348" t="str">
        <f t="shared" si="367"/>
        <v/>
      </c>
    </row>
    <row r="2850" spans="1:24" x14ac:dyDescent="0.2">
      <c r="A2850" s="407">
        <v>2842</v>
      </c>
      <c r="B2850" s="438"/>
      <c r="C2850" s="438"/>
      <c r="D2850" s="438"/>
      <c r="E2850" s="438"/>
      <c r="F2850" s="438"/>
      <c r="G2850" s="438"/>
      <c r="H2850" s="438"/>
      <c r="I2850" s="438"/>
      <c r="J2850" s="11"/>
      <c r="Q2850" s="348" t="str">
        <f t="shared" si="360"/>
        <v/>
      </c>
      <c r="R2850" s="348" t="str">
        <f t="shared" si="361"/>
        <v/>
      </c>
      <c r="S2850" s="348" t="str">
        <f t="shared" si="362"/>
        <v/>
      </c>
      <c r="T2850" s="348" t="str">
        <f t="shared" si="363"/>
        <v/>
      </c>
      <c r="U2850" s="348" t="str">
        <f t="shared" si="364"/>
        <v/>
      </c>
      <c r="V2850" s="348" t="str">
        <f t="shared" si="365"/>
        <v/>
      </c>
      <c r="W2850" s="348" t="str">
        <f t="shared" si="366"/>
        <v/>
      </c>
      <c r="X2850" s="348" t="str">
        <f t="shared" si="367"/>
        <v/>
      </c>
    </row>
    <row r="2851" spans="1:24" x14ac:dyDescent="0.2">
      <c r="A2851" s="407">
        <v>2843</v>
      </c>
      <c r="B2851" s="438"/>
      <c r="C2851" s="438"/>
      <c r="D2851" s="438"/>
      <c r="E2851" s="438"/>
      <c r="F2851" s="438"/>
      <c r="G2851" s="438"/>
      <c r="H2851" s="438"/>
      <c r="I2851" s="438"/>
      <c r="J2851" s="11"/>
      <c r="Q2851" s="348" t="str">
        <f t="shared" si="360"/>
        <v/>
      </c>
      <c r="R2851" s="348" t="str">
        <f t="shared" si="361"/>
        <v/>
      </c>
      <c r="S2851" s="348" t="str">
        <f t="shared" si="362"/>
        <v/>
      </c>
      <c r="T2851" s="348" t="str">
        <f t="shared" si="363"/>
        <v/>
      </c>
      <c r="U2851" s="348" t="str">
        <f t="shared" si="364"/>
        <v/>
      </c>
      <c r="V2851" s="348" t="str">
        <f t="shared" si="365"/>
        <v/>
      </c>
      <c r="W2851" s="348" t="str">
        <f t="shared" si="366"/>
        <v/>
      </c>
      <c r="X2851" s="348" t="str">
        <f t="shared" si="367"/>
        <v/>
      </c>
    </row>
    <row r="2852" spans="1:24" x14ac:dyDescent="0.2">
      <c r="A2852" s="407">
        <v>2844</v>
      </c>
      <c r="B2852" s="438"/>
      <c r="C2852" s="438"/>
      <c r="D2852" s="438"/>
      <c r="E2852" s="438"/>
      <c r="F2852" s="438"/>
      <c r="G2852" s="438"/>
      <c r="H2852" s="438"/>
      <c r="I2852" s="438"/>
      <c r="J2852" s="11"/>
      <c r="Q2852" s="348" t="str">
        <f t="shared" si="360"/>
        <v/>
      </c>
      <c r="R2852" s="348" t="str">
        <f t="shared" si="361"/>
        <v/>
      </c>
      <c r="S2852" s="348" t="str">
        <f t="shared" si="362"/>
        <v/>
      </c>
      <c r="T2852" s="348" t="str">
        <f t="shared" si="363"/>
        <v/>
      </c>
      <c r="U2852" s="348" t="str">
        <f t="shared" si="364"/>
        <v/>
      </c>
      <c r="V2852" s="348" t="str">
        <f t="shared" si="365"/>
        <v/>
      </c>
      <c r="W2852" s="348" t="str">
        <f t="shared" si="366"/>
        <v/>
      </c>
      <c r="X2852" s="348" t="str">
        <f t="shared" si="367"/>
        <v/>
      </c>
    </row>
    <row r="2853" spans="1:24" x14ac:dyDescent="0.2">
      <c r="A2853" s="407">
        <v>2845</v>
      </c>
      <c r="B2853" s="438"/>
      <c r="C2853" s="438"/>
      <c r="D2853" s="438"/>
      <c r="E2853" s="438"/>
      <c r="F2853" s="438"/>
      <c r="G2853" s="438"/>
      <c r="H2853" s="438"/>
      <c r="I2853" s="438"/>
      <c r="J2853" s="11"/>
      <c r="Q2853" s="348" t="str">
        <f t="shared" si="360"/>
        <v/>
      </c>
      <c r="R2853" s="348" t="str">
        <f t="shared" si="361"/>
        <v/>
      </c>
      <c r="S2853" s="348" t="str">
        <f t="shared" si="362"/>
        <v/>
      </c>
      <c r="T2853" s="348" t="str">
        <f t="shared" si="363"/>
        <v/>
      </c>
      <c r="U2853" s="348" t="str">
        <f t="shared" si="364"/>
        <v/>
      </c>
      <c r="V2853" s="348" t="str">
        <f t="shared" si="365"/>
        <v/>
      </c>
      <c r="W2853" s="348" t="str">
        <f t="shared" si="366"/>
        <v/>
      </c>
      <c r="X2853" s="348" t="str">
        <f t="shared" si="367"/>
        <v/>
      </c>
    </row>
    <row r="2854" spans="1:24" x14ac:dyDescent="0.2">
      <c r="A2854" s="407">
        <v>2846</v>
      </c>
      <c r="B2854" s="438"/>
      <c r="C2854" s="438"/>
      <c r="D2854" s="438"/>
      <c r="E2854" s="438"/>
      <c r="F2854" s="438"/>
      <c r="G2854" s="438"/>
      <c r="H2854" s="438"/>
      <c r="I2854" s="438"/>
      <c r="J2854" s="11"/>
      <c r="Q2854" s="348" t="str">
        <f t="shared" si="360"/>
        <v/>
      </c>
      <c r="R2854" s="348" t="str">
        <f t="shared" si="361"/>
        <v/>
      </c>
      <c r="S2854" s="348" t="str">
        <f t="shared" si="362"/>
        <v/>
      </c>
      <c r="T2854" s="348" t="str">
        <f t="shared" si="363"/>
        <v/>
      </c>
      <c r="U2854" s="348" t="str">
        <f t="shared" si="364"/>
        <v/>
      </c>
      <c r="V2854" s="348" t="str">
        <f t="shared" si="365"/>
        <v/>
      </c>
      <c r="W2854" s="348" t="str">
        <f t="shared" si="366"/>
        <v/>
      </c>
      <c r="X2854" s="348" t="str">
        <f t="shared" si="367"/>
        <v/>
      </c>
    </row>
    <row r="2855" spans="1:24" x14ac:dyDescent="0.2">
      <c r="A2855" s="407">
        <v>2847</v>
      </c>
      <c r="B2855" s="438"/>
      <c r="C2855" s="438"/>
      <c r="D2855" s="438"/>
      <c r="E2855" s="438"/>
      <c r="F2855" s="438"/>
      <c r="G2855" s="438"/>
      <c r="H2855" s="438"/>
      <c r="I2855" s="438"/>
      <c r="J2855" s="11"/>
      <c r="Q2855" s="348" t="str">
        <f t="shared" si="360"/>
        <v/>
      </c>
      <c r="R2855" s="348" t="str">
        <f t="shared" si="361"/>
        <v/>
      </c>
      <c r="S2855" s="348" t="str">
        <f t="shared" si="362"/>
        <v/>
      </c>
      <c r="T2855" s="348" t="str">
        <f t="shared" si="363"/>
        <v/>
      </c>
      <c r="U2855" s="348" t="str">
        <f t="shared" si="364"/>
        <v/>
      </c>
      <c r="V2855" s="348" t="str">
        <f t="shared" si="365"/>
        <v/>
      </c>
      <c r="W2855" s="348" t="str">
        <f t="shared" si="366"/>
        <v/>
      </c>
      <c r="X2855" s="348" t="str">
        <f t="shared" si="367"/>
        <v/>
      </c>
    </row>
    <row r="2856" spans="1:24" x14ac:dyDescent="0.2">
      <c r="A2856" s="407">
        <v>2848</v>
      </c>
      <c r="B2856" s="437"/>
      <c r="C2856" s="438"/>
      <c r="D2856" s="438"/>
      <c r="E2856" s="438"/>
      <c r="F2856" s="438"/>
      <c r="G2856" s="438"/>
      <c r="H2856" s="438"/>
      <c r="I2856" s="438"/>
      <c r="J2856" s="11"/>
      <c r="Q2856" s="348" t="str">
        <f t="shared" si="360"/>
        <v/>
      </c>
      <c r="R2856" s="348" t="str">
        <f t="shared" si="361"/>
        <v/>
      </c>
      <c r="S2856" s="348" t="str">
        <f t="shared" si="362"/>
        <v/>
      </c>
      <c r="T2856" s="348" t="str">
        <f t="shared" si="363"/>
        <v/>
      </c>
      <c r="U2856" s="348" t="str">
        <f t="shared" si="364"/>
        <v/>
      </c>
      <c r="V2856" s="348" t="str">
        <f t="shared" si="365"/>
        <v/>
      </c>
      <c r="W2856" s="348" t="str">
        <f t="shared" si="366"/>
        <v/>
      </c>
      <c r="X2856" s="348" t="str">
        <f t="shared" si="367"/>
        <v/>
      </c>
    </row>
    <row r="2857" spans="1:24" x14ac:dyDescent="0.2">
      <c r="A2857" s="407">
        <v>2849</v>
      </c>
      <c r="B2857" s="438"/>
      <c r="C2857" s="438"/>
      <c r="D2857" s="438"/>
      <c r="E2857" s="438"/>
      <c r="F2857" s="438"/>
      <c r="G2857" s="438"/>
      <c r="H2857" s="438"/>
      <c r="I2857" s="438"/>
      <c r="J2857" s="11"/>
      <c r="Q2857" s="348" t="str">
        <f t="shared" si="360"/>
        <v/>
      </c>
      <c r="R2857" s="348" t="str">
        <f t="shared" si="361"/>
        <v/>
      </c>
      <c r="S2857" s="348" t="str">
        <f t="shared" si="362"/>
        <v/>
      </c>
      <c r="T2857" s="348" t="str">
        <f t="shared" si="363"/>
        <v/>
      </c>
      <c r="U2857" s="348" t="str">
        <f t="shared" si="364"/>
        <v/>
      </c>
      <c r="V2857" s="348" t="str">
        <f t="shared" si="365"/>
        <v/>
      </c>
      <c r="W2857" s="348" t="str">
        <f t="shared" si="366"/>
        <v/>
      </c>
      <c r="X2857" s="348" t="str">
        <f t="shared" si="367"/>
        <v/>
      </c>
    </row>
    <row r="2858" spans="1:24" x14ac:dyDescent="0.2">
      <c r="A2858" s="407">
        <v>2850</v>
      </c>
      <c r="B2858" s="438"/>
      <c r="C2858" s="437"/>
      <c r="D2858" s="438"/>
      <c r="E2858" s="438"/>
      <c r="F2858" s="438"/>
      <c r="G2858" s="438"/>
      <c r="H2858" s="438"/>
      <c r="I2858" s="438"/>
      <c r="J2858" s="11"/>
      <c r="Q2858" s="348" t="str">
        <f t="shared" si="360"/>
        <v/>
      </c>
      <c r="R2858" s="348" t="str">
        <f t="shared" si="361"/>
        <v/>
      </c>
      <c r="S2858" s="348" t="str">
        <f t="shared" si="362"/>
        <v/>
      </c>
      <c r="T2858" s="348" t="str">
        <f t="shared" si="363"/>
        <v/>
      </c>
      <c r="U2858" s="348" t="str">
        <f t="shared" si="364"/>
        <v/>
      </c>
      <c r="V2858" s="348" t="str">
        <f t="shared" si="365"/>
        <v/>
      </c>
      <c r="W2858" s="348" t="str">
        <f t="shared" si="366"/>
        <v/>
      </c>
      <c r="X2858" s="348" t="str">
        <f t="shared" si="367"/>
        <v/>
      </c>
    </row>
    <row r="2859" spans="1:24" x14ac:dyDescent="0.2">
      <c r="A2859" s="407">
        <v>2851</v>
      </c>
      <c r="B2859" s="438"/>
      <c r="C2859" s="438"/>
      <c r="D2859" s="438"/>
      <c r="E2859" s="437"/>
      <c r="F2859" s="438"/>
      <c r="G2859" s="438"/>
      <c r="H2859" s="438"/>
      <c r="I2859" s="438"/>
      <c r="J2859" s="11"/>
      <c r="Q2859" s="348" t="str">
        <f t="shared" si="360"/>
        <v/>
      </c>
      <c r="R2859" s="348" t="str">
        <f t="shared" si="361"/>
        <v/>
      </c>
      <c r="S2859" s="348" t="str">
        <f t="shared" si="362"/>
        <v/>
      </c>
      <c r="T2859" s="348" t="str">
        <f t="shared" si="363"/>
        <v/>
      </c>
      <c r="U2859" s="348" t="str">
        <f t="shared" si="364"/>
        <v/>
      </c>
      <c r="V2859" s="348" t="str">
        <f t="shared" si="365"/>
        <v/>
      </c>
      <c r="W2859" s="348" t="str">
        <f t="shared" si="366"/>
        <v/>
      </c>
      <c r="X2859" s="348" t="str">
        <f t="shared" si="367"/>
        <v/>
      </c>
    </row>
    <row r="2860" spans="1:24" x14ac:dyDescent="0.2">
      <c r="A2860" s="407">
        <v>2852</v>
      </c>
      <c r="B2860" s="438"/>
      <c r="C2860" s="438"/>
      <c r="D2860" s="438"/>
      <c r="E2860" s="438"/>
      <c r="F2860" s="438"/>
      <c r="G2860" s="438"/>
      <c r="H2860" s="438"/>
      <c r="I2860" s="438"/>
      <c r="J2860" s="11"/>
      <c r="Q2860" s="348" t="str">
        <f t="shared" si="360"/>
        <v/>
      </c>
      <c r="R2860" s="348" t="str">
        <f t="shared" si="361"/>
        <v/>
      </c>
      <c r="S2860" s="348" t="str">
        <f t="shared" si="362"/>
        <v/>
      </c>
      <c r="T2860" s="348" t="str">
        <f t="shared" si="363"/>
        <v/>
      </c>
      <c r="U2860" s="348" t="str">
        <f t="shared" si="364"/>
        <v/>
      </c>
      <c r="V2860" s="348" t="str">
        <f t="shared" si="365"/>
        <v/>
      </c>
      <c r="W2860" s="348" t="str">
        <f t="shared" si="366"/>
        <v/>
      </c>
      <c r="X2860" s="348" t="str">
        <f t="shared" si="367"/>
        <v/>
      </c>
    </row>
    <row r="2861" spans="1:24" x14ac:dyDescent="0.2">
      <c r="A2861" s="407">
        <v>2853</v>
      </c>
      <c r="B2861" s="438"/>
      <c r="C2861" s="438"/>
      <c r="D2861" s="438"/>
      <c r="E2861" s="438"/>
      <c r="F2861" s="438"/>
      <c r="G2861" s="438"/>
      <c r="H2861" s="438"/>
      <c r="I2861" s="438"/>
      <c r="J2861" s="11"/>
      <c r="Q2861" s="348" t="str">
        <f t="shared" si="360"/>
        <v/>
      </c>
      <c r="R2861" s="348" t="str">
        <f t="shared" si="361"/>
        <v/>
      </c>
      <c r="S2861" s="348" t="str">
        <f t="shared" si="362"/>
        <v/>
      </c>
      <c r="T2861" s="348" t="str">
        <f t="shared" si="363"/>
        <v/>
      </c>
      <c r="U2861" s="348" t="str">
        <f t="shared" si="364"/>
        <v/>
      </c>
      <c r="V2861" s="348" t="str">
        <f t="shared" si="365"/>
        <v/>
      </c>
      <c r="W2861" s="348" t="str">
        <f t="shared" si="366"/>
        <v/>
      </c>
      <c r="X2861" s="348" t="str">
        <f t="shared" si="367"/>
        <v/>
      </c>
    </row>
    <row r="2862" spans="1:24" x14ac:dyDescent="0.2">
      <c r="A2862" s="407">
        <v>2854</v>
      </c>
      <c r="B2862" s="438"/>
      <c r="C2862" s="438"/>
      <c r="D2862" s="438"/>
      <c r="E2862" s="438"/>
      <c r="F2862" s="438"/>
      <c r="G2862" s="438"/>
      <c r="H2862" s="438"/>
      <c r="I2862" s="438"/>
      <c r="J2862" s="11"/>
      <c r="Q2862" s="348" t="str">
        <f t="shared" si="360"/>
        <v/>
      </c>
      <c r="R2862" s="348" t="str">
        <f t="shared" si="361"/>
        <v/>
      </c>
      <c r="S2862" s="348" t="str">
        <f t="shared" si="362"/>
        <v/>
      </c>
      <c r="T2862" s="348" t="str">
        <f t="shared" si="363"/>
        <v/>
      </c>
      <c r="U2862" s="348" t="str">
        <f t="shared" si="364"/>
        <v/>
      </c>
      <c r="V2862" s="348" t="str">
        <f t="shared" si="365"/>
        <v/>
      </c>
      <c r="W2862" s="348" t="str">
        <f t="shared" si="366"/>
        <v/>
      </c>
      <c r="X2862" s="348" t="str">
        <f t="shared" si="367"/>
        <v/>
      </c>
    </row>
    <row r="2863" spans="1:24" x14ac:dyDescent="0.2">
      <c r="A2863" s="407">
        <v>2855</v>
      </c>
      <c r="B2863" s="438"/>
      <c r="C2863" s="438"/>
      <c r="D2863" s="438"/>
      <c r="E2863" s="438"/>
      <c r="F2863" s="438"/>
      <c r="G2863" s="438"/>
      <c r="H2863" s="438"/>
      <c r="I2863" s="438"/>
      <c r="J2863" s="11"/>
      <c r="Q2863" s="348" t="str">
        <f t="shared" si="360"/>
        <v/>
      </c>
      <c r="R2863" s="348" t="str">
        <f t="shared" si="361"/>
        <v/>
      </c>
      <c r="S2863" s="348" t="str">
        <f t="shared" si="362"/>
        <v/>
      </c>
      <c r="T2863" s="348" t="str">
        <f t="shared" si="363"/>
        <v/>
      </c>
      <c r="U2863" s="348" t="str">
        <f t="shared" si="364"/>
        <v/>
      </c>
      <c r="V2863" s="348" t="str">
        <f t="shared" si="365"/>
        <v/>
      </c>
      <c r="W2863" s="348" t="str">
        <f t="shared" si="366"/>
        <v/>
      </c>
      <c r="X2863" s="348" t="str">
        <f t="shared" si="367"/>
        <v/>
      </c>
    </row>
    <row r="2864" spans="1:24" x14ac:dyDescent="0.2">
      <c r="A2864" s="407">
        <v>2856</v>
      </c>
      <c r="B2864" s="438"/>
      <c r="C2864" s="438"/>
      <c r="D2864" s="438"/>
      <c r="E2864" s="438"/>
      <c r="F2864" s="438"/>
      <c r="G2864" s="438"/>
      <c r="H2864" s="438"/>
      <c r="I2864" s="438"/>
      <c r="J2864" s="11"/>
      <c r="Q2864" s="348" t="str">
        <f t="shared" si="360"/>
        <v/>
      </c>
      <c r="R2864" s="348" t="str">
        <f t="shared" si="361"/>
        <v/>
      </c>
      <c r="S2864" s="348" t="str">
        <f t="shared" si="362"/>
        <v/>
      </c>
      <c r="T2864" s="348" t="str">
        <f t="shared" si="363"/>
        <v/>
      </c>
      <c r="U2864" s="348" t="str">
        <f t="shared" si="364"/>
        <v/>
      </c>
      <c r="V2864" s="348" t="str">
        <f t="shared" si="365"/>
        <v/>
      </c>
      <c r="W2864" s="348" t="str">
        <f t="shared" si="366"/>
        <v/>
      </c>
      <c r="X2864" s="348" t="str">
        <f t="shared" si="367"/>
        <v/>
      </c>
    </row>
    <row r="2865" spans="1:24" x14ac:dyDescent="0.2">
      <c r="A2865" s="407">
        <v>2857</v>
      </c>
      <c r="B2865" s="438"/>
      <c r="C2865" s="438"/>
      <c r="D2865" s="438"/>
      <c r="E2865" s="438"/>
      <c r="F2865" s="438"/>
      <c r="G2865" s="438"/>
      <c r="H2865" s="438"/>
      <c r="I2865" s="438"/>
      <c r="J2865" s="11"/>
      <c r="Q2865" s="348" t="str">
        <f t="shared" si="360"/>
        <v/>
      </c>
      <c r="R2865" s="348" t="str">
        <f t="shared" si="361"/>
        <v/>
      </c>
      <c r="S2865" s="348" t="str">
        <f t="shared" si="362"/>
        <v/>
      </c>
      <c r="T2865" s="348" t="str">
        <f t="shared" si="363"/>
        <v/>
      </c>
      <c r="U2865" s="348" t="str">
        <f t="shared" si="364"/>
        <v/>
      </c>
      <c r="V2865" s="348" t="str">
        <f t="shared" si="365"/>
        <v/>
      </c>
      <c r="W2865" s="348" t="str">
        <f t="shared" si="366"/>
        <v/>
      </c>
      <c r="X2865" s="348" t="str">
        <f t="shared" si="367"/>
        <v/>
      </c>
    </row>
    <row r="2866" spans="1:24" x14ac:dyDescent="0.2">
      <c r="A2866" s="407">
        <v>2858</v>
      </c>
      <c r="B2866" s="438"/>
      <c r="C2866" s="438"/>
      <c r="D2866" s="438"/>
      <c r="E2866" s="438"/>
      <c r="F2866" s="438"/>
      <c r="G2866" s="438"/>
      <c r="H2866" s="438"/>
      <c r="I2866" s="438"/>
      <c r="J2866" s="11"/>
      <c r="Q2866" s="348" t="str">
        <f t="shared" si="360"/>
        <v/>
      </c>
      <c r="R2866" s="348" t="str">
        <f t="shared" si="361"/>
        <v/>
      </c>
      <c r="S2866" s="348" t="str">
        <f t="shared" si="362"/>
        <v/>
      </c>
      <c r="T2866" s="348" t="str">
        <f t="shared" si="363"/>
        <v/>
      </c>
      <c r="U2866" s="348" t="str">
        <f t="shared" si="364"/>
        <v/>
      </c>
      <c r="V2866" s="348" t="str">
        <f t="shared" si="365"/>
        <v/>
      </c>
      <c r="W2866" s="348" t="str">
        <f t="shared" si="366"/>
        <v/>
      </c>
      <c r="X2866" s="348" t="str">
        <f t="shared" si="367"/>
        <v/>
      </c>
    </row>
    <row r="2867" spans="1:24" x14ac:dyDescent="0.2">
      <c r="A2867" s="407">
        <v>2859</v>
      </c>
      <c r="B2867" s="438"/>
      <c r="C2867" s="438"/>
      <c r="D2867" s="438"/>
      <c r="E2867" s="438"/>
      <c r="F2867" s="438"/>
      <c r="G2867" s="438"/>
      <c r="H2867" s="438"/>
      <c r="I2867" s="438"/>
      <c r="J2867" s="11"/>
      <c r="Q2867" s="348" t="str">
        <f t="shared" si="360"/>
        <v/>
      </c>
      <c r="R2867" s="348" t="str">
        <f t="shared" si="361"/>
        <v/>
      </c>
      <c r="S2867" s="348" t="str">
        <f t="shared" si="362"/>
        <v/>
      </c>
      <c r="T2867" s="348" t="str">
        <f t="shared" si="363"/>
        <v/>
      </c>
      <c r="U2867" s="348" t="str">
        <f t="shared" si="364"/>
        <v/>
      </c>
      <c r="V2867" s="348" t="str">
        <f t="shared" si="365"/>
        <v/>
      </c>
      <c r="W2867" s="348" t="str">
        <f t="shared" si="366"/>
        <v/>
      </c>
      <c r="X2867" s="348" t="str">
        <f t="shared" si="367"/>
        <v/>
      </c>
    </row>
    <row r="2868" spans="1:24" x14ac:dyDescent="0.2">
      <c r="A2868" s="407">
        <v>2860</v>
      </c>
      <c r="B2868" s="438"/>
      <c r="C2868" s="438"/>
      <c r="D2868" s="438"/>
      <c r="E2868" s="438"/>
      <c r="F2868" s="438"/>
      <c r="G2868" s="438"/>
      <c r="H2868" s="438"/>
      <c r="I2868" s="438"/>
      <c r="J2868" s="11"/>
      <c r="Q2868" s="348" t="str">
        <f t="shared" si="360"/>
        <v/>
      </c>
      <c r="R2868" s="348" t="str">
        <f t="shared" si="361"/>
        <v/>
      </c>
      <c r="S2868" s="348" t="str">
        <f t="shared" si="362"/>
        <v/>
      </c>
      <c r="T2868" s="348" t="str">
        <f t="shared" si="363"/>
        <v/>
      </c>
      <c r="U2868" s="348" t="str">
        <f t="shared" si="364"/>
        <v/>
      </c>
      <c r="V2868" s="348" t="str">
        <f t="shared" si="365"/>
        <v/>
      </c>
      <c r="W2868" s="348" t="str">
        <f t="shared" si="366"/>
        <v/>
      </c>
      <c r="X2868" s="348" t="str">
        <f t="shared" si="367"/>
        <v/>
      </c>
    </row>
    <row r="2869" spans="1:24" x14ac:dyDescent="0.2">
      <c r="A2869" s="407">
        <v>2861</v>
      </c>
      <c r="B2869" s="438"/>
      <c r="C2869" s="438"/>
      <c r="D2869" s="438"/>
      <c r="E2869" s="438"/>
      <c r="F2869" s="438"/>
      <c r="G2869" s="438"/>
      <c r="H2869" s="438"/>
      <c r="I2869" s="438"/>
      <c r="J2869" s="11"/>
      <c r="Q2869" s="348" t="str">
        <f t="shared" si="360"/>
        <v/>
      </c>
      <c r="R2869" s="348" t="str">
        <f t="shared" si="361"/>
        <v/>
      </c>
      <c r="S2869" s="348" t="str">
        <f t="shared" si="362"/>
        <v/>
      </c>
      <c r="T2869" s="348" t="str">
        <f t="shared" si="363"/>
        <v/>
      </c>
      <c r="U2869" s="348" t="str">
        <f t="shared" si="364"/>
        <v/>
      </c>
      <c r="V2869" s="348" t="str">
        <f t="shared" si="365"/>
        <v/>
      </c>
      <c r="W2869" s="348" t="str">
        <f t="shared" si="366"/>
        <v/>
      </c>
      <c r="X2869" s="348" t="str">
        <f t="shared" si="367"/>
        <v/>
      </c>
    </row>
    <row r="2870" spans="1:24" x14ac:dyDescent="0.2">
      <c r="A2870" s="407">
        <v>2862</v>
      </c>
      <c r="B2870" s="437"/>
      <c r="C2870" s="438"/>
      <c r="D2870" s="438"/>
      <c r="E2870" s="438"/>
      <c r="F2870" s="438"/>
      <c r="G2870" s="437"/>
      <c r="H2870" s="438"/>
      <c r="I2870" s="438"/>
      <c r="J2870" s="11"/>
      <c r="Q2870" s="348" t="str">
        <f t="shared" si="360"/>
        <v/>
      </c>
      <c r="R2870" s="348" t="str">
        <f t="shared" si="361"/>
        <v/>
      </c>
      <c r="S2870" s="348" t="str">
        <f t="shared" si="362"/>
        <v/>
      </c>
      <c r="T2870" s="348" t="str">
        <f t="shared" si="363"/>
        <v/>
      </c>
      <c r="U2870" s="348" t="str">
        <f t="shared" si="364"/>
        <v/>
      </c>
      <c r="V2870" s="348" t="str">
        <f t="shared" si="365"/>
        <v/>
      </c>
      <c r="W2870" s="348" t="str">
        <f t="shared" si="366"/>
        <v/>
      </c>
      <c r="X2870" s="348" t="str">
        <f t="shared" si="367"/>
        <v/>
      </c>
    </row>
    <row r="2871" spans="1:24" x14ac:dyDescent="0.2">
      <c r="A2871" s="407">
        <v>2863</v>
      </c>
      <c r="B2871" s="438"/>
      <c r="C2871" s="438"/>
      <c r="D2871" s="438"/>
      <c r="E2871" s="438"/>
      <c r="F2871" s="438"/>
      <c r="G2871" s="438"/>
      <c r="H2871" s="438"/>
      <c r="I2871" s="438"/>
      <c r="J2871" s="11"/>
      <c r="Q2871" s="348" t="str">
        <f t="shared" si="360"/>
        <v/>
      </c>
      <c r="R2871" s="348" t="str">
        <f t="shared" si="361"/>
        <v/>
      </c>
      <c r="S2871" s="348" t="str">
        <f t="shared" si="362"/>
        <v/>
      </c>
      <c r="T2871" s="348" t="str">
        <f t="shared" si="363"/>
        <v/>
      </c>
      <c r="U2871" s="348" t="str">
        <f t="shared" si="364"/>
        <v/>
      </c>
      <c r="V2871" s="348" t="str">
        <f t="shared" si="365"/>
        <v/>
      </c>
      <c r="W2871" s="348" t="str">
        <f t="shared" si="366"/>
        <v/>
      </c>
      <c r="X2871" s="348" t="str">
        <f t="shared" si="367"/>
        <v/>
      </c>
    </row>
    <row r="2872" spans="1:24" x14ac:dyDescent="0.2">
      <c r="A2872" s="407">
        <v>2864</v>
      </c>
      <c r="B2872" s="438"/>
      <c r="C2872" s="437"/>
      <c r="D2872" s="438"/>
      <c r="E2872" s="438"/>
      <c r="F2872" s="437"/>
      <c r="G2872" s="438"/>
      <c r="H2872" s="437"/>
      <c r="I2872" s="438"/>
      <c r="J2872" s="11"/>
      <c r="Q2872" s="348" t="str">
        <f t="shared" si="360"/>
        <v/>
      </c>
      <c r="R2872" s="348" t="str">
        <f t="shared" si="361"/>
        <v/>
      </c>
      <c r="S2872" s="348" t="str">
        <f t="shared" si="362"/>
        <v/>
      </c>
      <c r="T2872" s="348" t="str">
        <f t="shared" si="363"/>
        <v/>
      </c>
      <c r="U2872" s="348" t="str">
        <f t="shared" si="364"/>
        <v/>
      </c>
      <c r="V2872" s="348" t="str">
        <f t="shared" si="365"/>
        <v/>
      </c>
      <c r="W2872" s="348" t="str">
        <f t="shared" si="366"/>
        <v/>
      </c>
      <c r="X2872" s="348" t="str">
        <f t="shared" si="367"/>
        <v/>
      </c>
    </row>
    <row r="2873" spans="1:24" x14ac:dyDescent="0.2">
      <c r="A2873" s="407">
        <v>2865</v>
      </c>
      <c r="B2873" s="438"/>
      <c r="C2873" s="438"/>
      <c r="D2873" s="438"/>
      <c r="E2873" s="438"/>
      <c r="F2873" s="438"/>
      <c r="G2873" s="438"/>
      <c r="H2873" s="438"/>
      <c r="I2873" s="437"/>
      <c r="J2873" s="11"/>
      <c r="Q2873" s="348" t="str">
        <f t="shared" si="360"/>
        <v/>
      </c>
      <c r="R2873" s="348" t="str">
        <f t="shared" si="361"/>
        <v/>
      </c>
      <c r="S2873" s="348" t="str">
        <f t="shared" si="362"/>
        <v/>
      </c>
      <c r="T2873" s="348" t="str">
        <f t="shared" si="363"/>
        <v/>
      </c>
      <c r="U2873" s="348" t="str">
        <f t="shared" si="364"/>
        <v/>
      </c>
      <c r="V2873" s="348" t="str">
        <f t="shared" si="365"/>
        <v/>
      </c>
      <c r="W2873" s="348" t="str">
        <f t="shared" si="366"/>
        <v/>
      </c>
      <c r="X2873" s="348" t="str">
        <f t="shared" si="367"/>
        <v/>
      </c>
    </row>
    <row r="2874" spans="1:24" x14ac:dyDescent="0.2">
      <c r="A2874" s="407">
        <v>2866</v>
      </c>
      <c r="B2874" s="438"/>
      <c r="C2874" s="438"/>
      <c r="D2874" s="438"/>
      <c r="E2874" s="438"/>
      <c r="F2874" s="438"/>
      <c r="G2874" s="438"/>
      <c r="H2874" s="438"/>
      <c r="I2874" s="438"/>
      <c r="J2874" s="11"/>
      <c r="Q2874" s="348" t="str">
        <f t="shared" si="360"/>
        <v/>
      </c>
      <c r="R2874" s="348" t="str">
        <f t="shared" si="361"/>
        <v/>
      </c>
      <c r="S2874" s="348" t="str">
        <f t="shared" si="362"/>
        <v/>
      </c>
      <c r="T2874" s="348" t="str">
        <f t="shared" si="363"/>
        <v/>
      </c>
      <c r="U2874" s="348" t="str">
        <f t="shared" si="364"/>
        <v/>
      </c>
      <c r="V2874" s="348" t="str">
        <f t="shared" si="365"/>
        <v/>
      </c>
      <c r="W2874" s="348" t="str">
        <f t="shared" si="366"/>
        <v/>
      </c>
      <c r="X2874" s="348" t="str">
        <f t="shared" si="367"/>
        <v/>
      </c>
    </row>
    <row r="2875" spans="1:24" x14ac:dyDescent="0.2">
      <c r="A2875" s="407">
        <v>2867</v>
      </c>
      <c r="B2875" s="438"/>
      <c r="C2875" s="438"/>
      <c r="D2875" s="438"/>
      <c r="E2875" s="438"/>
      <c r="F2875" s="438"/>
      <c r="G2875" s="438"/>
      <c r="H2875" s="438"/>
      <c r="I2875" s="438"/>
      <c r="J2875" s="11"/>
      <c r="Q2875" s="348" t="str">
        <f t="shared" si="360"/>
        <v/>
      </c>
      <c r="R2875" s="348" t="str">
        <f t="shared" si="361"/>
        <v/>
      </c>
      <c r="S2875" s="348" t="str">
        <f t="shared" si="362"/>
        <v/>
      </c>
      <c r="T2875" s="348" t="str">
        <f t="shared" si="363"/>
        <v/>
      </c>
      <c r="U2875" s="348" t="str">
        <f t="shared" si="364"/>
        <v/>
      </c>
      <c r="V2875" s="348" t="str">
        <f t="shared" si="365"/>
        <v/>
      </c>
      <c r="W2875" s="348" t="str">
        <f t="shared" si="366"/>
        <v/>
      </c>
      <c r="X2875" s="348" t="str">
        <f t="shared" si="367"/>
        <v/>
      </c>
    </row>
    <row r="2876" spans="1:24" x14ac:dyDescent="0.2">
      <c r="A2876" s="407">
        <v>2868</v>
      </c>
      <c r="B2876" s="438"/>
      <c r="C2876" s="438"/>
      <c r="D2876" s="438"/>
      <c r="E2876" s="438"/>
      <c r="F2876" s="438"/>
      <c r="G2876" s="438"/>
      <c r="H2876" s="438"/>
      <c r="I2876" s="438"/>
      <c r="J2876" s="11"/>
      <c r="Q2876" s="348" t="str">
        <f t="shared" si="360"/>
        <v/>
      </c>
      <c r="R2876" s="348" t="str">
        <f t="shared" si="361"/>
        <v/>
      </c>
      <c r="S2876" s="348" t="str">
        <f t="shared" si="362"/>
        <v/>
      </c>
      <c r="T2876" s="348" t="str">
        <f t="shared" si="363"/>
        <v/>
      </c>
      <c r="U2876" s="348" t="str">
        <f t="shared" si="364"/>
        <v/>
      </c>
      <c r="V2876" s="348" t="str">
        <f t="shared" si="365"/>
        <v/>
      </c>
      <c r="W2876" s="348" t="str">
        <f t="shared" si="366"/>
        <v/>
      </c>
      <c r="X2876" s="348" t="str">
        <f t="shared" si="367"/>
        <v/>
      </c>
    </row>
    <row r="2877" spans="1:24" x14ac:dyDescent="0.2">
      <c r="A2877" s="407">
        <v>2869</v>
      </c>
      <c r="B2877" s="438"/>
      <c r="C2877" s="438"/>
      <c r="D2877" s="438"/>
      <c r="E2877" s="437"/>
      <c r="F2877" s="438"/>
      <c r="G2877" s="438"/>
      <c r="H2877" s="438"/>
      <c r="I2877" s="438"/>
      <c r="J2877" s="11"/>
      <c r="Q2877" s="348" t="str">
        <f t="shared" si="360"/>
        <v/>
      </c>
      <c r="R2877" s="348" t="str">
        <f t="shared" si="361"/>
        <v/>
      </c>
      <c r="S2877" s="348" t="str">
        <f t="shared" si="362"/>
        <v/>
      </c>
      <c r="T2877" s="348" t="str">
        <f t="shared" si="363"/>
        <v/>
      </c>
      <c r="U2877" s="348" t="str">
        <f t="shared" si="364"/>
        <v/>
      </c>
      <c r="V2877" s="348" t="str">
        <f t="shared" si="365"/>
        <v/>
      </c>
      <c r="W2877" s="348" t="str">
        <f t="shared" si="366"/>
        <v/>
      </c>
      <c r="X2877" s="348" t="str">
        <f t="shared" si="367"/>
        <v/>
      </c>
    </row>
    <row r="2878" spans="1:24" x14ac:dyDescent="0.2">
      <c r="A2878" s="407">
        <v>2870</v>
      </c>
      <c r="B2878" s="438"/>
      <c r="C2878" s="438"/>
      <c r="D2878" s="438"/>
      <c r="E2878" s="438"/>
      <c r="F2878" s="438"/>
      <c r="G2878" s="438"/>
      <c r="H2878" s="438"/>
      <c r="I2878" s="438"/>
      <c r="J2878" s="11"/>
      <c r="Q2878" s="348" t="str">
        <f t="shared" si="360"/>
        <v/>
      </c>
      <c r="R2878" s="348" t="str">
        <f t="shared" si="361"/>
        <v/>
      </c>
      <c r="S2878" s="348" t="str">
        <f t="shared" si="362"/>
        <v/>
      </c>
      <c r="T2878" s="348" t="str">
        <f t="shared" si="363"/>
        <v/>
      </c>
      <c r="U2878" s="348" t="str">
        <f t="shared" si="364"/>
        <v/>
      </c>
      <c r="V2878" s="348" t="str">
        <f t="shared" si="365"/>
        <v/>
      </c>
      <c r="W2878" s="348" t="str">
        <f t="shared" si="366"/>
        <v/>
      </c>
      <c r="X2878" s="348" t="str">
        <f t="shared" si="367"/>
        <v/>
      </c>
    </row>
    <row r="2879" spans="1:24" x14ac:dyDescent="0.2">
      <c r="A2879" s="407">
        <v>2871</v>
      </c>
      <c r="B2879" s="438"/>
      <c r="C2879" s="438"/>
      <c r="D2879" s="438"/>
      <c r="E2879" s="438"/>
      <c r="F2879" s="438"/>
      <c r="G2879" s="438"/>
      <c r="H2879" s="438"/>
      <c r="I2879" s="438"/>
      <c r="J2879" s="11"/>
      <c r="Q2879" s="348" t="str">
        <f t="shared" si="360"/>
        <v/>
      </c>
      <c r="R2879" s="348" t="str">
        <f t="shared" si="361"/>
        <v/>
      </c>
      <c r="S2879" s="348" t="str">
        <f t="shared" si="362"/>
        <v/>
      </c>
      <c r="T2879" s="348" t="str">
        <f t="shared" si="363"/>
        <v/>
      </c>
      <c r="U2879" s="348" t="str">
        <f t="shared" si="364"/>
        <v/>
      </c>
      <c r="V2879" s="348" t="str">
        <f t="shared" si="365"/>
        <v/>
      </c>
      <c r="W2879" s="348" t="str">
        <f t="shared" si="366"/>
        <v/>
      </c>
      <c r="X2879" s="348" t="str">
        <f t="shared" si="367"/>
        <v/>
      </c>
    </row>
    <row r="2880" spans="1:24" x14ac:dyDescent="0.2">
      <c r="A2880" s="407">
        <v>2872</v>
      </c>
      <c r="B2880" s="438"/>
      <c r="C2880" s="438"/>
      <c r="D2880" s="438"/>
      <c r="E2880" s="438"/>
      <c r="F2880" s="438"/>
      <c r="G2880" s="438"/>
      <c r="H2880" s="438"/>
      <c r="I2880" s="438"/>
      <c r="J2880" s="11"/>
      <c r="Q2880" s="348" t="str">
        <f t="shared" si="360"/>
        <v/>
      </c>
      <c r="R2880" s="348" t="str">
        <f t="shared" si="361"/>
        <v/>
      </c>
      <c r="S2880" s="348" t="str">
        <f t="shared" si="362"/>
        <v/>
      </c>
      <c r="T2880" s="348" t="str">
        <f t="shared" si="363"/>
        <v/>
      </c>
      <c r="U2880" s="348" t="str">
        <f t="shared" si="364"/>
        <v/>
      </c>
      <c r="V2880" s="348" t="str">
        <f t="shared" si="365"/>
        <v/>
      </c>
      <c r="W2880" s="348" t="str">
        <f t="shared" si="366"/>
        <v/>
      </c>
      <c r="X2880" s="348" t="str">
        <f t="shared" si="367"/>
        <v/>
      </c>
    </row>
    <row r="2881" spans="1:24" x14ac:dyDescent="0.2">
      <c r="A2881" s="407">
        <v>2873</v>
      </c>
      <c r="B2881" s="438"/>
      <c r="C2881" s="438"/>
      <c r="D2881" s="438"/>
      <c r="E2881" s="438"/>
      <c r="F2881" s="438"/>
      <c r="G2881" s="438"/>
      <c r="H2881" s="438"/>
      <c r="I2881" s="438"/>
      <c r="J2881" s="11"/>
      <c r="Q2881" s="348" t="str">
        <f t="shared" si="360"/>
        <v/>
      </c>
      <c r="R2881" s="348" t="str">
        <f t="shared" si="361"/>
        <v/>
      </c>
      <c r="S2881" s="348" t="str">
        <f t="shared" si="362"/>
        <v/>
      </c>
      <c r="T2881" s="348" t="str">
        <f t="shared" si="363"/>
        <v/>
      </c>
      <c r="U2881" s="348" t="str">
        <f t="shared" si="364"/>
        <v/>
      </c>
      <c r="V2881" s="348" t="str">
        <f t="shared" si="365"/>
        <v/>
      </c>
      <c r="W2881" s="348" t="str">
        <f t="shared" si="366"/>
        <v/>
      </c>
      <c r="X2881" s="348" t="str">
        <f t="shared" si="367"/>
        <v/>
      </c>
    </row>
    <row r="2882" spans="1:24" x14ac:dyDescent="0.2">
      <c r="A2882" s="407">
        <v>2874</v>
      </c>
      <c r="B2882" s="438"/>
      <c r="C2882" s="438"/>
      <c r="D2882" s="438"/>
      <c r="E2882" s="438"/>
      <c r="F2882" s="438"/>
      <c r="G2882" s="438"/>
      <c r="H2882" s="438"/>
      <c r="I2882" s="438"/>
      <c r="J2882" s="11"/>
      <c r="Q2882" s="348" t="str">
        <f t="shared" si="360"/>
        <v/>
      </c>
      <c r="R2882" s="348" t="str">
        <f t="shared" si="361"/>
        <v/>
      </c>
      <c r="S2882" s="348" t="str">
        <f t="shared" si="362"/>
        <v/>
      </c>
      <c r="T2882" s="348" t="str">
        <f t="shared" si="363"/>
        <v/>
      </c>
      <c r="U2882" s="348" t="str">
        <f t="shared" si="364"/>
        <v/>
      </c>
      <c r="V2882" s="348" t="str">
        <f t="shared" si="365"/>
        <v/>
      </c>
      <c r="W2882" s="348" t="str">
        <f t="shared" si="366"/>
        <v/>
      </c>
      <c r="X2882" s="348" t="str">
        <f t="shared" si="367"/>
        <v/>
      </c>
    </row>
    <row r="2883" spans="1:24" x14ac:dyDescent="0.2">
      <c r="A2883" s="407">
        <v>2875</v>
      </c>
      <c r="B2883" s="438"/>
      <c r="C2883" s="438"/>
      <c r="D2883" s="438"/>
      <c r="E2883" s="438"/>
      <c r="F2883" s="438"/>
      <c r="G2883" s="438"/>
      <c r="H2883" s="438"/>
      <c r="I2883" s="438"/>
      <c r="J2883" s="11"/>
      <c r="Q2883" s="348" t="str">
        <f t="shared" si="360"/>
        <v/>
      </c>
      <c r="R2883" s="348" t="str">
        <f t="shared" si="361"/>
        <v/>
      </c>
      <c r="S2883" s="348" t="str">
        <f t="shared" si="362"/>
        <v/>
      </c>
      <c r="T2883" s="348" t="str">
        <f t="shared" si="363"/>
        <v/>
      </c>
      <c r="U2883" s="348" t="str">
        <f t="shared" si="364"/>
        <v/>
      </c>
      <c r="V2883" s="348" t="str">
        <f t="shared" si="365"/>
        <v/>
      </c>
      <c r="W2883" s="348" t="str">
        <f t="shared" si="366"/>
        <v/>
      </c>
      <c r="X2883" s="348" t="str">
        <f t="shared" si="367"/>
        <v/>
      </c>
    </row>
    <row r="2884" spans="1:24" x14ac:dyDescent="0.2">
      <c r="A2884" s="407">
        <v>2876</v>
      </c>
      <c r="B2884" s="438"/>
      <c r="C2884" s="438"/>
      <c r="D2884" s="438"/>
      <c r="E2884" s="438"/>
      <c r="F2884" s="438"/>
      <c r="G2884" s="438"/>
      <c r="H2884" s="438"/>
      <c r="I2884" s="438"/>
      <c r="J2884" s="11"/>
      <c r="Q2884" s="348" t="str">
        <f t="shared" si="360"/>
        <v/>
      </c>
      <c r="R2884" s="348" t="str">
        <f t="shared" si="361"/>
        <v/>
      </c>
      <c r="S2884" s="348" t="str">
        <f t="shared" si="362"/>
        <v/>
      </c>
      <c r="T2884" s="348" t="str">
        <f t="shared" si="363"/>
        <v/>
      </c>
      <c r="U2884" s="348" t="str">
        <f t="shared" si="364"/>
        <v/>
      </c>
      <c r="V2884" s="348" t="str">
        <f t="shared" si="365"/>
        <v/>
      </c>
      <c r="W2884" s="348" t="str">
        <f t="shared" si="366"/>
        <v/>
      </c>
      <c r="X2884" s="348" t="str">
        <f t="shared" si="367"/>
        <v/>
      </c>
    </row>
    <row r="2885" spans="1:24" x14ac:dyDescent="0.2">
      <c r="A2885" s="407">
        <v>2877</v>
      </c>
      <c r="B2885" s="438"/>
      <c r="C2885" s="438"/>
      <c r="D2885" s="438"/>
      <c r="E2885" s="438"/>
      <c r="F2885" s="438"/>
      <c r="G2885" s="438"/>
      <c r="H2885" s="438"/>
      <c r="I2885" s="438"/>
      <c r="J2885" s="11"/>
      <c r="Q2885" s="348" t="str">
        <f t="shared" si="360"/>
        <v/>
      </c>
      <c r="R2885" s="348" t="str">
        <f t="shared" si="361"/>
        <v/>
      </c>
      <c r="S2885" s="348" t="str">
        <f t="shared" si="362"/>
        <v/>
      </c>
      <c r="T2885" s="348" t="str">
        <f t="shared" si="363"/>
        <v/>
      </c>
      <c r="U2885" s="348" t="str">
        <f t="shared" si="364"/>
        <v/>
      </c>
      <c r="V2885" s="348" t="str">
        <f t="shared" si="365"/>
        <v/>
      </c>
      <c r="W2885" s="348" t="str">
        <f t="shared" si="366"/>
        <v/>
      </c>
      <c r="X2885" s="348" t="str">
        <f t="shared" si="367"/>
        <v/>
      </c>
    </row>
    <row r="2886" spans="1:24" x14ac:dyDescent="0.2">
      <c r="A2886" s="407">
        <v>2878</v>
      </c>
      <c r="B2886" s="438"/>
      <c r="C2886" s="438"/>
      <c r="D2886" s="438"/>
      <c r="E2886" s="438"/>
      <c r="F2886" s="438"/>
      <c r="G2886" s="438"/>
      <c r="H2886" s="438"/>
      <c r="I2886" s="438"/>
      <c r="J2886" s="11"/>
      <c r="Q2886" s="348" t="str">
        <f t="shared" si="360"/>
        <v/>
      </c>
      <c r="R2886" s="348" t="str">
        <f t="shared" si="361"/>
        <v/>
      </c>
      <c r="S2886" s="348" t="str">
        <f t="shared" si="362"/>
        <v/>
      </c>
      <c r="T2886" s="348" t="str">
        <f t="shared" si="363"/>
        <v/>
      </c>
      <c r="U2886" s="348" t="str">
        <f t="shared" si="364"/>
        <v/>
      </c>
      <c r="V2886" s="348" t="str">
        <f t="shared" si="365"/>
        <v/>
      </c>
      <c r="W2886" s="348" t="str">
        <f t="shared" si="366"/>
        <v/>
      </c>
      <c r="X2886" s="348" t="str">
        <f t="shared" si="367"/>
        <v/>
      </c>
    </row>
    <row r="2887" spans="1:24" x14ac:dyDescent="0.2">
      <c r="A2887" s="407">
        <v>2879</v>
      </c>
      <c r="B2887" s="438"/>
      <c r="C2887" s="438"/>
      <c r="D2887" s="438"/>
      <c r="E2887" s="438"/>
      <c r="F2887" s="438"/>
      <c r="G2887" s="438"/>
      <c r="H2887" s="438"/>
      <c r="I2887" s="438"/>
      <c r="J2887" s="11"/>
      <c r="Q2887" s="348" t="str">
        <f t="shared" si="360"/>
        <v/>
      </c>
      <c r="R2887" s="348" t="str">
        <f t="shared" si="361"/>
        <v/>
      </c>
      <c r="S2887" s="348" t="str">
        <f t="shared" si="362"/>
        <v/>
      </c>
      <c r="T2887" s="348" t="str">
        <f t="shared" si="363"/>
        <v/>
      </c>
      <c r="U2887" s="348" t="str">
        <f t="shared" si="364"/>
        <v/>
      </c>
      <c r="V2887" s="348" t="str">
        <f t="shared" si="365"/>
        <v/>
      </c>
      <c r="W2887" s="348" t="str">
        <f t="shared" si="366"/>
        <v/>
      </c>
      <c r="X2887" s="348" t="str">
        <f t="shared" si="367"/>
        <v/>
      </c>
    </row>
    <row r="2888" spans="1:24" x14ac:dyDescent="0.2">
      <c r="A2888" s="407">
        <v>2880</v>
      </c>
      <c r="B2888" s="438"/>
      <c r="C2888" s="438"/>
      <c r="D2888" s="438"/>
      <c r="E2888" s="438"/>
      <c r="F2888" s="438"/>
      <c r="G2888" s="438"/>
      <c r="H2888" s="438"/>
      <c r="I2888" s="438"/>
      <c r="J2888" s="11"/>
      <c r="Q2888" s="348" t="str">
        <f t="shared" si="360"/>
        <v/>
      </c>
      <c r="R2888" s="348" t="str">
        <f t="shared" si="361"/>
        <v/>
      </c>
      <c r="S2888" s="348" t="str">
        <f t="shared" si="362"/>
        <v/>
      </c>
      <c r="T2888" s="348" t="str">
        <f t="shared" si="363"/>
        <v/>
      </c>
      <c r="U2888" s="348" t="str">
        <f t="shared" si="364"/>
        <v/>
      </c>
      <c r="V2888" s="348" t="str">
        <f t="shared" si="365"/>
        <v/>
      </c>
      <c r="W2888" s="348" t="str">
        <f t="shared" si="366"/>
        <v/>
      </c>
      <c r="X2888" s="348" t="str">
        <f t="shared" si="367"/>
        <v/>
      </c>
    </row>
    <row r="2889" spans="1:24" x14ac:dyDescent="0.2">
      <c r="A2889" s="407">
        <v>2881</v>
      </c>
      <c r="B2889" s="437"/>
      <c r="C2889" s="438"/>
      <c r="D2889" s="438"/>
      <c r="E2889" s="438"/>
      <c r="F2889" s="438"/>
      <c r="G2889" s="438"/>
      <c r="H2889" s="438"/>
      <c r="I2889" s="438"/>
      <c r="J2889" s="11"/>
      <c r="Q2889" s="348" t="str">
        <f t="shared" si="360"/>
        <v/>
      </c>
      <c r="R2889" s="348" t="str">
        <f t="shared" si="361"/>
        <v/>
      </c>
      <c r="S2889" s="348" t="str">
        <f t="shared" si="362"/>
        <v/>
      </c>
      <c r="T2889" s="348" t="str">
        <f t="shared" si="363"/>
        <v/>
      </c>
      <c r="U2889" s="348" t="str">
        <f t="shared" si="364"/>
        <v/>
      </c>
      <c r="V2889" s="348" t="str">
        <f t="shared" si="365"/>
        <v/>
      </c>
      <c r="W2889" s="348" t="str">
        <f t="shared" si="366"/>
        <v/>
      </c>
      <c r="X2889" s="348" t="str">
        <f t="shared" si="367"/>
        <v/>
      </c>
    </row>
    <row r="2890" spans="1:24" x14ac:dyDescent="0.2">
      <c r="A2890" s="407">
        <v>2882</v>
      </c>
      <c r="B2890" s="438"/>
      <c r="C2890" s="438"/>
      <c r="D2890" s="438"/>
      <c r="E2890" s="438"/>
      <c r="F2890" s="438"/>
      <c r="G2890" s="438"/>
      <c r="H2890" s="438"/>
      <c r="I2890" s="438"/>
      <c r="J2890" s="11"/>
      <c r="Q2890" s="348" t="str">
        <f t="shared" ref="Q2890:Q2953" si="368">IFERROR(B2890^4*$AB$9+B2890^3*$AC$9+B2890^2*$AD$9+B2890^1*$AE$9+B2890^0*$AF$9,"")</f>
        <v/>
      </c>
      <c r="R2890" s="348" t="str">
        <f t="shared" ref="R2890:R2953" si="369">IFERROR(C2890^4*$AB$10+C2890^3*$AC$10+C2890^2*$AD$10+C2890^1*$AE$10+C2890^0*$AF$10,"")</f>
        <v/>
      </c>
      <c r="S2890" s="348" t="str">
        <f t="shared" ref="S2890:S2953" si="370">IFERROR(D2890^4*$AB$11+D2890^3*$AC$11+D2890^2*$AD$11+D2890^1*$AE$11+D2890^0*$AF$11,"")</f>
        <v/>
      </c>
      <c r="T2890" s="348" t="str">
        <f t="shared" ref="T2890:T2953" si="371">IFERROR(E2890^4*$AB$12+E2890^3*$AC$12+E2890^2*$AD$12+E2890^1*$AE$12+E2890^0*$AF$12,"")</f>
        <v/>
      </c>
      <c r="U2890" s="348" t="str">
        <f t="shared" ref="U2890:U2953" si="372">IFERROR(F2890^4*$AB$13+F2890^3*$AC$13+F2890^2*$AD$13+F2890^1*$AE$13+F2890^0*$AF$13,"")</f>
        <v/>
      </c>
      <c r="V2890" s="348" t="str">
        <f t="shared" ref="V2890:V2953" si="373">IFERROR(G2890^4*$AB$14+G2890^3*$AC$14+G2890^2*$AD$14+G2890^1*$AE$14+G2890^0*$AF$14,"")</f>
        <v/>
      </c>
      <c r="W2890" s="348" t="str">
        <f t="shared" ref="W2890:W2953" si="374">IFERROR(H2890^4*$AB$15+H2890^3*$AC$15+H2890^2*$AD$15+H2890^1*$AE$15+H2890^0*$AF$15,"")</f>
        <v/>
      </c>
      <c r="X2890" s="348" t="str">
        <f t="shared" ref="X2890:X2953" si="375">IFERROR(I2890^4*$AB$16+I2890^3*$AC$16+I2890^2*$AD$16+I2890^1*$AE$16+I2890^0*$AF$16,"")</f>
        <v/>
      </c>
    </row>
    <row r="2891" spans="1:24" x14ac:dyDescent="0.2">
      <c r="A2891" s="407">
        <v>2883</v>
      </c>
      <c r="B2891" s="438"/>
      <c r="C2891" s="438"/>
      <c r="D2891" s="438"/>
      <c r="E2891" s="438"/>
      <c r="F2891" s="438"/>
      <c r="G2891" s="438"/>
      <c r="H2891" s="438"/>
      <c r="I2891" s="438"/>
      <c r="J2891" s="11"/>
      <c r="Q2891" s="348" t="str">
        <f t="shared" si="368"/>
        <v/>
      </c>
      <c r="R2891" s="348" t="str">
        <f t="shared" si="369"/>
        <v/>
      </c>
      <c r="S2891" s="348" t="str">
        <f t="shared" si="370"/>
        <v/>
      </c>
      <c r="T2891" s="348" t="str">
        <f t="shared" si="371"/>
        <v/>
      </c>
      <c r="U2891" s="348" t="str">
        <f t="shared" si="372"/>
        <v/>
      </c>
      <c r="V2891" s="348" t="str">
        <f t="shared" si="373"/>
        <v/>
      </c>
      <c r="W2891" s="348" t="str">
        <f t="shared" si="374"/>
        <v/>
      </c>
      <c r="X2891" s="348" t="str">
        <f t="shared" si="375"/>
        <v/>
      </c>
    </row>
    <row r="2892" spans="1:24" x14ac:dyDescent="0.2">
      <c r="A2892" s="407">
        <v>2884</v>
      </c>
      <c r="B2892" s="438"/>
      <c r="C2892" s="438"/>
      <c r="D2892" s="438"/>
      <c r="E2892" s="438"/>
      <c r="F2892" s="438"/>
      <c r="G2892" s="438"/>
      <c r="H2892" s="438"/>
      <c r="I2892" s="438"/>
      <c r="J2892" s="11"/>
      <c r="Q2892" s="348" t="str">
        <f t="shared" si="368"/>
        <v/>
      </c>
      <c r="R2892" s="348" t="str">
        <f t="shared" si="369"/>
        <v/>
      </c>
      <c r="S2892" s="348" t="str">
        <f t="shared" si="370"/>
        <v/>
      </c>
      <c r="T2892" s="348" t="str">
        <f t="shared" si="371"/>
        <v/>
      </c>
      <c r="U2892" s="348" t="str">
        <f t="shared" si="372"/>
        <v/>
      </c>
      <c r="V2892" s="348" t="str">
        <f t="shared" si="373"/>
        <v/>
      </c>
      <c r="W2892" s="348" t="str">
        <f t="shared" si="374"/>
        <v/>
      </c>
      <c r="X2892" s="348" t="str">
        <f t="shared" si="375"/>
        <v/>
      </c>
    </row>
    <row r="2893" spans="1:24" x14ac:dyDescent="0.2">
      <c r="A2893" s="407">
        <v>2885</v>
      </c>
      <c r="B2893" s="438"/>
      <c r="C2893" s="438"/>
      <c r="D2893" s="438"/>
      <c r="E2893" s="438"/>
      <c r="F2893" s="438"/>
      <c r="G2893" s="438"/>
      <c r="H2893" s="438"/>
      <c r="I2893" s="438"/>
      <c r="J2893" s="11"/>
      <c r="Q2893" s="348" t="str">
        <f t="shared" si="368"/>
        <v/>
      </c>
      <c r="R2893" s="348" t="str">
        <f t="shared" si="369"/>
        <v/>
      </c>
      <c r="S2893" s="348" t="str">
        <f t="shared" si="370"/>
        <v/>
      </c>
      <c r="T2893" s="348" t="str">
        <f t="shared" si="371"/>
        <v/>
      </c>
      <c r="U2893" s="348" t="str">
        <f t="shared" si="372"/>
        <v/>
      </c>
      <c r="V2893" s="348" t="str">
        <f t="shared" si="373"/>
        <v/>
      </c>
      <c r="W2893" s="348" t="str">
        <f t="shared" si="374"/>
        <v/>
      </c>
      <c r="X2893" s="348" t="str">
        <f t="shared" si="375"/>
        <v/>
      </c>
    </row>
    <row r="2894" spans="1:24" x14ac:dyDescent="0.2">
      <c r="A2894" s="407">
        <v>2886</v>
      </c>
      <c r="B2894" s="438"/>
      <c r="C2894" s="438"/>
      <c r="D2894" s="438"/>
      <c r="E2894" s="438"/>
      <c r="F2894" s="438"/>
      <c r="G2894" s="438"/>
      <c r="H2894" s="438"/>
      <c r="I2894" s="438"/>
      <c r="J2894" s="11"/>
      <c r="Q2894" s="348" t="str">
        <f t="shared" si="368"/>
        <v/>
      </c>
      <c r="R2894" s="348" t="str">
        <f t="shared" si="369"/>
        <v/>
      </c>
      <c r="S2894" s="348" t="str">
        <f t="shared" si="370"/>
        <v/>
      </c>
      <c r="T2894" s="348" t="str">
        <f t="shared" si="371"/>
        <v/>
      </c>
      <c r="U2894" s="348" t="str">
        <f t="shared" si="372"/>
        <v/>
      </c>
      <c r="V2894" s="348" t="str">
        <f t="shared" si="373"/>
        <v/>
      </c>
      <c r="W2894" s="348" t="str">
        <f t="shared" si="374"/>
        <v/>
      </c>
      <c r="X2894" s="348" t="str">
        <f t="shared" si="375"/>
        <v/>
      </c>
    </row>
    <row r="2895" spans="1:24" x14ac:dyDescent="0.2">
      <c r="A2895" s="407">
        <v>2887</v>
      </c>
      <c r="B2895" s="438"/>
      <c r="C2895" s="438"/>
      <c r="D2895" s="438"/>
      <c r="E2895" s="438"/>
      <c r="F2895" s="438"/>
      <c r="G2895" s="438"/>
      <c r="H2895" s="438"/>
      <c r="I2895" s="438"/>
      <c r="J2895" s="11"/>
      <c r="Q2895" s="348" t="str">
        <f t="shared" si="368"/>
        <v/>
      </c>
      <c r="R2895" s="348" t="str">
        <f t="shared" si="369"/>
        <v/>
      </c>
      <c r="S2895" s="348" t="str">
        <f t="shared" si="370"/>
        <v/>
      </c>
      <c r="T2895" s="348" t="str">
        <f t="shared" si="371"/>
        <v/>
      </c>
      <c r="U2895" s="348" t="str">
        <f t="shared" si="372"/>
        <v/>
      </c>
      <c r="V2895" s="348" t="str">
        <f t="shared" si="373"/>
        <v/>
      </c>
      <c r="W2895" s="348" t="str">
        <f t="shared" si="374"/>
        <v/>
      </c>
      <c r="X2895" s="348" t="str">
        <f t="shared" si="375"/>
        <v/>
      </c>
    </row>
    <row r="2896" spans="1:24" x14ac:dyDescent="0.2">
      <c r="A2896" s="407">
        <v>2888</v>
      </c>
      <c r="B2896" s="438"/>
      <c r="C2896" s="438"/>
      <c r="D2896" s="438"/>
      <c r="E2896" s="438"/>
      <c r="F2896" s="438"/>
      <c r="G2896" s="438"/>
      <c r="H2896" s="438"/>
      <c r="I2896" s="438"/>
      <c r="J2896" s="11"/>
      <c r="Q2896" s="348" t="str">
        <f t="shared" si="368"/>
        <v/>
      </c>
      <c r="R2896" s="348" t="str">
        <f t="shared" si="369"/>
        <v/>
      </c>
      <c r="S2896" s="348" t="str">
        <f t="shared" si="370"/>
        <v/>
      </c>
      <c r="T2896" s="348" t="str">
        <f t="shared" si="371"/>
        <v/>
      </c>
      <c r="U2896" s="348" t="str">
        <f t="shared" si="372"/>
        <v/>
      </c>
      <c r="V2896" s="348" t="str">
        <f t="shared" si="373"/>
        <v/>
      </c>
      <c r="W2896" s="348" t="str">
        <f t="shared" si="374"/>
        <v/>
      </c>
      <c r="X2896" s="348" t="str">
        <f t="shared" si="375"/>
        <v/>
      </c>
    </row>
    <row r="2897" spans="1:24" x14ac:dyDescent="0.2">
      <c r="A2897" s="407">
        <v>2889</v>
      </c>
      <c r="B2897" s="438"/>
      <c r="C2897" s="438"/>
      <c r="D2897" s="438"/>
      <c r="E2897" s="438"/>
      <c r="F2897" s="438"/>
      <c r="G2897" s="438"/>
      <c r="H2897" s="438"/>
      <c r="I2897" s="438"/>
      <c r="J2897" s="11"/>
      <c r="Q2897" s="348" t="str">
        <f t="shared" si="368"/>
        <v/>
      </c>
      <c r="R2897" s="348" t="str">
        <f t="shared" si="369"/>
        <v/>
      </c>
      <c r="S2897" s="348" t="str">
        <f t="shared" si="370"/>
        <v/>
      </c>
      <c r="T2897" s="348" t="str">
        <f t="shared" si="371"/>
        <v/>
      </c>
      <c r="U2897" s="348" t="str">
        <f t="shared" si="372"/>
        <v/>
      </c>
      <c r="V2897" s="348" t="str">
        <f t="shared" si="373"/>
        <v/>
      </c>
      <c r="W2897" s="348" t="str">
        <f t="shared" si="374"/>
        <v/>
      </c>
      <c r="X2897" s="348" t="str">
        <f t="shared" si="375"/>
        <v/>
      </c>
    </row>
    <row r="2898" spans="1:24" x14ac:dyDescent="0.2">
      <c r="A2898" s="407">
        <v>2890</v>
      </c>
      <c r="B2898" s="438"/>
      <c r="C2898" s="438"/>
      <c r="D2898" s="438"/>
      <c r="E2898" s="438"/>
      <c r="F2898" s="438"/>
      <c r="G2898" s="438"/>
      <c r="H2898" s="438"/>
      <c r="I2898" s="438"/>
      <c r="J2898" s="11"/>
      <c r="Q2898" s="348" t="str">
        <f t="shared" si="368"/>
        <v/>
      </c>
      <c r="R2898" s="348" t="str">
        <f t="shared" si="369"/>
        <v/>
      </c>
      <c r="S2898" s="348" t="str">
        <f t="shared" si="370"/>
        <v/>
      </c>
      <c r="T2898" s="348" t="str">
        <f t="shared" si="371"/>
        <v/>
      </c>
      <c r="U2898" s="348" t="str">
        <f t="shared" si="372"/>
        <v/>
      </c>
      <c r="V2898" s="348" t="str">
        <f t="shared" si="373"/>
        <v/>
      </c>
      <c r="W2898" s="348" t="str">
        <f t="shared" si="374"/>
        <v/>
      </c>
      <c r="X2898" s="348" t="str">
        <f t="shared" si="375"/>
        <v/>
      </c>
    </row>
    <row r="2899" spans="1:24" x14ac:dyDescent="0.2">
      <c r="A2899" s="407">
        <v>2891</v>
      </c>
      <c r="B2899" s="437"/>
      <c r="C2899" s="438"/>
      <c r="D2899" s="438"/>
      <c r="E2899" s="438"/>
      <c r="F2899" s="438"/>
      <c r="G2899" s="438"/>
      <c r="H2899" s="438"/>
      <c r="I2899" s="438"/>
      <c r="J2899" s="11"/>
      <c r="Q2899" s="348" t="str">
        <f t="shared" si="368"/>
        <v/>
      </c>
      <c r="R2899" s="348" t="str">
        <f t="shared" si="369"/>
        <v/>
      </c>
      <c r="S2899" s="348" t="str">
        <f t="shared" si="370"/>
        <v/>
      </c>
      <c r="T2899" s="348" t="str">
        <f t="shared" si="371"/>
        <v/>
      </c>
      <c r="U2899" s="348" t="str">
        <f t="shared" si="372"/>
        <v/>
      </c>
      <c r="V2899" s="348" t="str">
        <f t="shared" si="373"/>
        <v/>
      </c>
      <c r="W2899" s="348" t="str">
        <f t="shared" si="374"/>
        <v/>
      </c>
      <c r="X2899" s="348" t="str">
        <f t="shared" si="375"/>
        <v/>
      </c>
    </row>
    <row r="2900" spans="1:24" x14ac:dyDescent="0.2">
      <c r="A2900" s="407">
        <v>2892</v>
      </c>
      <c r="B2900" s="438"/>
      <c r="C2900" s="438"/>
      <c r="D2900" s="438"/>
      <c r="E2900" s="438"/>
      <c r="F2900" s="438"/>
      <c r="G2900" s="438"/>
      <c r="H2900" s="438"/>
      <c r="I2900" s="438"/>
      <c r="J2900" s="11"/>
      <c r="Q2900" s="348" t="str">
        <f t="shared" si="368"/>
        <v/>
      </c>
      <c r="R2900" s="348" t="str">
        <f t="shared" si="369"/>
        <v/>
      </c>
      <c r="S2900" s="348" t="str">
        <f t="shared" si="370"/>
        <v/>
      </c>
      <c r="T2900" s="348" t="str">
        <f t="shared" si="371"/>
        <v/>
      </c>
      <c r="U2900" s="348" t="str">
        <f t="shared" si="372"/>
        <v/>
      </c>
      <c r="V2900" s="348" t="str">
        <f t="shared" si="373"/>
        <v/>
      </c>
      <c r="W2900" s="348" t="str">
        <f t="shared" si="374"/>
        <v/>
      </c>
      <c r="X2900" s="348" t="str">
        <f t="shared" si="375"/>
        <v/>
      </c>
    </row>
    <row r="2901" spans="1:24" x14ac:dyDescent="0.2">
      <c r="A2901" s="407">
        <v>2893</v>
      </c>
      <c r="B2901" s="438"/>
      <c r="C2901" s="437"/>
      <c r="D2901" s="438"/>
      <c r="E2901" s="438"/>
      <c r="F2901" s="438"/>
      <c r="G2901" s="438"/>
      <c r="H2901" s="438"/>
      <c r="I2901" s="438"/>
      <c r="J2901" s="11"/>
      <c r="Q2901" s="348" t="str">
        <f t="shared" si="368"/>
        <v/>
      </c>
      <c r="R2901" s="348" t="str">
        <f t="shared" si="369"/>
        <v/>
      </c>
      <c r="S2901" s="348" t="str">
        <f t="shared" si="370"/>
        <v/>
      </c>
      <c r="T2901" s="348" t="str">
        <f t="shared" si="371"/>
        <v/>
      </c>
      <c r="U2901" s="348" t="str">
        <f t="shared" si="372"/>
        <v/>
      </c>
      <c r="V2901" s="348" t="str">
        <f t="shared" si="373"/>
        <v/>
      </c>
      <c r="W2901" s="348" t="str">
        <f t="shared" si="374"/>
        <v/>
      </c>
      <c r="X2901" s="348" t="str">
        <f t="shared" si="375"/>
        <v/>
      </c>
    </row>
    <row r="2902" spans="1:24" x14ac:dyDescent="0.2">
      <c r="A2902" s="407">
        <v>2894</v>
      </c>
      <c r="B2902" s="438"/>
      <c r="C2902" s="438"/>
      <c r="D2902" s="438"/>
      <c r="E2902" s="437"/>
      <c r="F2902" s="438"/>
      <c r="G2902" s="438"/>
      <c r="H2902" s="438"/>
      <c r="I2902" s="438"/>
      <c r="J2902" s="11"/>
      <c r="Q2902" s="348" t="str">
        <f t="shared" si="368"/>
        <v/>
      </c>
      <c r="R2902" s="348" t="str">
        <f t="shared" si="369"/>
        <v/>
      </c>
      <c r="S2902" s="348" t="str">
        <f t="shared" si="370"/>
        <v/>
      </c>
      <c r="T2902" s="348" t="str">
        <f t="shared" si="371"/>
        <v/>
      </c>
      <c r="U2902" s="348" t="str">
        <f t="shared" si="372"/>
        <v/>
      </c>
      <c r="V2902" s="348" t="str">
        <f t="shared" si="373"/>
        <v/>
      </c>
      <c r="W2902" s="348" t="str">
        <f t="shared" si="374"/>
        <v/>
      </c>
      <c r="X2902" s="348" t="str">
        <f t="shared" si="375"/>
        <v/>
      </c>
    </row>
    <row r="2903" spans="1:24" x14ac:dyDescent="0.2">
      <c r="A2903" s="407">
        <v>2895</v>
      </c>
      <c r="B2903" s="438"/>
      <c r="C2903" s="438"/>
      <c r="D2903" s="438"/>
      <c r="E2903" s="438"/>
      <c r="F2903" s="438"/>
      <c r="G2903" s="438"/>
      <c r="H2903" s="438"/>
      <c r="I2903" s="438"/>
      <c r="J2903" s="11"/>
      <c r="Q2903" s="348" t="str">
        <f t="shared" si="368"/>
        <v/>
      </c>
      <c r="R2903" s="348" t="str">
        <f t="shared" si="369"/>
        <v/>
      </c>
      <c r="S2903" s="348" t="str">
        <f t="shared" si="370"/>
        <v/>
      </c>
      <c r="T2903" s="348" t="str">
        <f t="shared" si="371"/>
        <v/>
      </c>
      <c r="U2903" s="348" t="str">
        <f t="shared" si="372"/>
        <v/>
      </c>
      <c r="V2903" s="348" t="str">
        <f t="shared" si="373"/>
        <v/>
      </c>
      <c r="W2903" s="348" t="str">
        <f t="shared" si="374"/>
        <v/>
      </c>
      <c r="X2903" s="348" t="str">
        <f t="shared" si="375"/>
        <v/>
      </c>
    </row>
    <row r="2904" spans="1:24" x14ac:dyDescent="0.2">
      <c r="A2904" s="407">
        <v>2896</v>
      </c>
      <c r="B2904" s="438"/>
      <c r="C2904" s="438"/>
      <c r="D2904" s="437"/>
      <c r="E2904" s="438"/>
      <c r="F2904" s="438"/>
      <c r="G2904" s="438"/>
      <c r="H2904" s="438"/>
      <c r="I2904" s="438"/>
      <c r="J2904" s="11"/>
      <c r="Q2904" s="348" t="str">
        <f t="shared" si="368"/>
        <v/>
      </c>
      <c r="R2904" s="348" t="str">
        <f t="shared" si="369"/>
        <v/>
      </c>
      <c r="S2904" s="348" t="str">
        <f t="shared" si="370"/>
        <v/>
      </c>
      <c r="T2904" s="348" t="str">
        <f t="shared" si="371"/>
        <v/>
      </c>
      <c r="U2904" s="348" t="str">
        <f t="shared" si="372"/>
        <v/>
      </c>
      <c r="V2904" s="348" t="str">
        <f t="shared" si="373"/>
        <v/>
      </c>
      <c r="W2904" s="348" t="str">
        <f t="shared" si="374"/>
        <v/>
      </c>
      <c r="X2904" s="348" t="str">
        <f t="shared" si="375"/>
        <v/>
      </c>
    </row>
    <row r="2905" spans="1:24" x14ac:dyDescent="0.2">
      <c r="A2905" s="407">
        <v>2897</v>
      </c>
      <c r="B2905" s="438"/>
      <c r="C2905" s="438"/>
      <c r="D2905" s="438"/>
      <c r="E2905" s="438"/>
      <c r="F2905" s="438"/>
      <c r="G2905" s="438"/>
      <c r="H2905" s="438"/>
      <c r="I2905" s="438"/>
      <c r="J2905" s="11"/>
      <c r="Q2905" s="348" t="str">
        <f t="shared" si="368"/>
        <v/>
      </c>
      <c r="R2905" s="348" t="str">
        <f t="shared" si="369"/>
        <v/>
      </c>
      <c r="S2905" s="348" t="str">
        <f t="shared" si="370"/>
        <v/>
      </c>
      <c r="T2905" s="348" t="str">
        <f t="shared" si="371"/>
        <v/>
      </c>
      <c r="U2905" s="348" t="str">
        <f t="shared" si="372"/>
        <v/>
      </c>
      <c r="V2905" s="348" t="str">
        <f t="shared" si="373"/>
        <v/>
      </c>
      <c r="W2905" s="348" t="str">
        <f t="shared" si="374"/>
        <v/>
      </c>
      <c r="X2905" s="348" t="str">
        <f t="shared" si="375"/>
        <v/>
      </c>
    </row>
    <row r="2906" spans="1:24" x14ac:dyDescent="0.2">
      <c r="A2906" s="407">
        <v>2898</v>
      </c>
      <c r="B2906" s="438"/>
      <c r="C2906" s="438"/>
      <c r="D2906" s="438"/>
      <c r="E2906" s="438"/>
      <c r="F2906" s="438"/>
      <c r="G2906" s="438"/>
      <c r="H2906" s="438"/>
      <c r="I2906" s="438"/>
      <c r="J2906" s="11"/>
      <c r="Q2906" s="348" t="str">
        <f t="shared" si="368"/>
        <v/>
      </c>
      <c r="R2906" s="348" t="str">
        <f t="shared" si="369"/>
        <v/>
      </c>
      <c r="S2906" s="348" t="str">
        <f t="shared" si="370"/>
        <v/>
      </c>
      <c r="T2906" s="348" t="str">
        <f t="shared" si="371"/>
        <v/>
      </c>
      <c r="U2906" s="348" t="str">
        <f t="shared" si="372"/>
        <v/>
      </c>
      <c r="V2906" s="348" t="str">
        <f t="shared" si="373"/>
        <v/>
      </c>
      <c r="W2906" s="348" t="str">
        <f t="shared" si="374"/>
        <v/>
      </c>
      <c r="X2906" s="348" t="str">
        <f t="shared" si="375"/>
        <v/>
      </c>
    </row>
    <row r="2907" spans="1:24" x14ac:dyDescent="0.2">
      <c r="A2907" s="407">
        <v>2899</v>
      </c>
      <c r="B2907" s="438"/>
      <c r="C2907" s="438"/>
      <c r="D2907" s="438"/>
      <c r="E2907" s="438"/>
      <c r="F2907" s="438"/>
      <c r="G2907" s="437"/>
      <c r="H2907" s="438"/>
      <c r="I2907" s="438"/>
      <c r="J2907" s="11"/>
      <c r="Q2907" s="348" t="str">
        <f t="shared" si="368"/>
        <v/>
      </c>
      <c r="R2907" s="348" t="str">
        <f t="shared" si="369"/>
        <v/>
      </c>
      <c r="S2907" s="348" t="str">
        <f t="shared" si="370"/>
        <v/>
      </c>
      <c r="T2907" s="348" t="str">
        <f t="shared" si="371"/>
        <v/>
      </c>
      <c r="U2907" s="348" t="str">
        <f t="shared" si="372"/>
        <v/>
      </c>
      <c r="V2907" s="348" t="str">
        <f t="shared" si="373"/>
        <v/>
      </c>
      <c r="W2907" s="348" t="str">
        <f t="shared" si="374"/>
        <v/>
      </c>
      <c r="X2907" s="348" t="str">
        <f t="shared" si="375"/>
        <v/>
      </c>
    </row>
    <row r="2908" spans="1:24" x14ac:dyDescent="0.2">
      <c r="A2908" s="407">
        <v>2900</v>
      </c>
      <c r="B2908" s="438"/>
      <c r="C2908" s="438"/>
      <c r="D2908" s="438"/>
      <c r="E2908" s="438"/>
      <c r="F2908" s="438"/>
      <c r="G2908" s="438"/>
      <c r="H2908" s="438"/>
      <c r="I2908" s="438"/>
      <c r="J2908" s="11"/>
      <c r="Q2908" s="348" t="str">
        <f t="shared" si="368"/>
        <v/>
      </c>
      <c r="R2908" s="348" t="str">
        <f t="shared" si="369"/>
        <v/>
      </c>
      <c r="S2908" s="348" t="str">
        <f t="shared" si="370"/>
        <v/>
      </c>
      <c r="T2908" s="348" t="str">
        <f t="shared" si="371"/>
        <v/>
      </c>
      <c r="U2908" s="348" t="str">
        <f t="shared" si="372"/>
        <v/>
      </c>
      <c r="V2908" s="348" t="str">
        <f t="shared" si="373"/>
        <v/>
      </c>
      <c r="W2908" s="348" t="str">
        <f t="shared" si="374"/>
        <v/>
      </c>
      <c r="X2908" s="348" t="str">
        <f t="shared" si="375"/>
        <v/>
      </c>
    </row>
    <row r="2909" spans="1:24" x14ac:dyDescent="0.2">
      <c r="A2909" s="407">
        <v>2901</v>
      </c>
      <c r="B2909" s="438"/>
      <c r="C2909" s="437"/>
      <c r="D2909" s="438"/>
      <c r="E2909" s="437"/>
      <c r="F2909" s="437"/>
      <c r="G2909" s="437"/>
      <c r="H2909" s="437"/>
      <c r="I2909" s="437"/>
      <c r="J2909" s="11"/>
      <c r="Q2909" s="348" t="str">
        <f t="shared" si="368"/>
        <v/>
      </c>
      <c r="R2909" s="348" t="str">
        <f t="shared" si="369"/>
        <v/>
      </c>
      <c r="S2909" s="348" t="str">
        <f t="shared" si="370"/>
        <v/>
      </c>
      <c r="T2909" s="348" t="str">
        <f t="shared" si="371"/>
        <v/>
      </c>
      <c r="U2909" s="348" t="str">
        <f t="shared" si="372"/>
        <v/>
      </c>
      <c r="V2909" s="348" t="str">
        <f t="shared" si="373"/>
        <v/>
      </c>
      <c r="W2909" s="348" t="str">
        <f t="shared" si="374"/>
        <v/>
      </c>
      <c r="X2909" s="348" t="str">
        <f t="shared" si="375"/>
        <v/>
      </c>
    </row>
    <row r="2910" spans="1:24" x14ac:dyDescent="0.2">
      <c r="A2910" s="407">
        <v>2902</v>
      </c>
      <c r="B2910" s="438"/>
      <c r="C2910" s="438"/>
      <c r="D2910" s="438"/>
      <c r="E2910" s="438"/>
      <c r="F2910" s="438"/>
      <c r="G2910" s="438"/>
      <c r="H2910" s="438"/>
      <c r="I2910" s="438"/>
      <c r="J2910" s="11"/>
      <c r="Q2910" s="348" t="str">
        <f t="shared" si="368"/>
        <v/>
      </c>
      <c r="R2910" s="348" t="str">
        <f t="shared" si="369"/>
        <v/>
      </c>
      <c r="S2910" s="348" t="str">
        <f t="shared" si="370"/>
        <v/>
      </c>
      <c r="T2910" s="348" t="str">
        <f t="shared" si="371"/>
        <v/>
      </c>
      <c r="U2910" s="348" t="str">
        <f t="shared" si="372"/>
        <v/>
      </c>
      <c r="V2910" s="348" t="str">
        <f t="shared" si="373"/>
        <v/>
      </c>
      <c r="W2910" s="348" t="str">
        <f t="shared" si="374"/>
        <v/>
      </c>
      <c r="X2910" s="348" t="str">
        <f t="shared" si="375"/>
        <v/>
      </c>
    </row>
    <row r="2911" spans="1:24" x14ac:dyDescent="0.2">
      <c r="A2911" s="407">
        <v>2903</v>
      </c>
      <c r="B2911" s="438"/>
      <c r="C2911" s="438"/>
      <c r="D2911" s="438"/>
      <c r="E2911" s="438"/>
      <c r="F2911" s="438"/>
      <c r="G2911" s="438"/>
      <c r="H2911" s="438"/>
      <c r="I2911" s="438"/>
      <c r="J2911" s="11"/>
      <c r="Q2911" s="348" t="str">
        <f t="shared" si="368"/>
        <v/>
      </c>
      <c r="R2911" s="348" t="str">
        <f t="shared" si="369"/>
        <v/>
      </c>
      <c r="S2911" s="348" t="str">
        <f t="shared" si="370"/>
        <v/>
      </c>
      <c r="T2911" s="348" t="str">
        <f t="shared" si="371"/>
        <v/>
      </c>
      <c r="U2911" s="348" t="str">
        <f t="shared" si="372"/>
        <v/>
      </c>
      <c r="V2911" s="348" t="str">
        <f t="shared" si="373"/>
        <v/>
      </c>
      <c r="W2911" s="348" t="str">
        <f t="shared" si="374"/>
        <v/>
      </c>
      <c r="X2911" s="348" t="str">
        <f t="shared" si="375"/>
        <v/>
      </c>
    </row>
    <row r="2912" spans="1:24" x14ac:dyDescent="0.2">
      <c r="A2912" s="407">
        <v>2904</v>
      </c>
      <c r="B2912" s="438"/>
      <c r="C2912" s="438"/>
      <c r="D2912" s="438"/>
      <c r="E2912" s="438"/>
      <c r="F2912" s="438"/>
      <c r="G2912" s="438"/>
      <c r="H2912" s="438"/>
      <c r="I2912" s="438"/>
      <c r="J2912" s="11"/>
      <c r="Q2912" s="348" t="str">
        <f t="shared" si="368"/>
        <v/>
      </c>
      <c r="R2912" s="348" t="str">
        <f t="shared" si="369"/>
        <v/>
      </c>
      <c r="S2912" s="348" t="str">
        <f t="shared" si="370"/>
        <v/>
      </c>
      <c r="T2912" s="348" t="str">
        <f t="shared" si="371"/>
        <v/>
      </c>
      <c r="U2912" s="348" t="str">
        <f t="shared" si="372"/>
        <v/>
      </c>
      <c r="V2912" s="348" t="str">
        <f t="shared" si="373"/>
        <v/>
      </c>
      <c r="W2912" s="348" t="str">
        <f t="shared" si="374"/>
        <v/>
      </c>
      <c r="X2912" s="348" t="str">
        <f t="shared" si="375"/>
        <v/>
      </c>
    </row>
    <row r="2913" spans="1:24" x14ac:dyDescent="0.2">
      <c r="A2913" s="407">
        <v>2905</v>
      </c>
      <c r="B2913" s="437"/>
      <c r="C2913" s="438"/>
      <c r="D2913" s="438"/>
      <c r="E2913" s="438"/>
      <c r="F2913" s="438"/>
      <c r="G2913" s="438"/>
      <c r="H2913" s="438"/>
      <c r="I2913" s="438"/>
      <c r="J2913" s="11"/>
      <c r="Q2913" s="348" t="str">
        <f t="shared" si="368"/>
        <v/>
      </c>
      <c r="R2913" s="348" t="str">
        <f t="shared" si="369"/>
        <v/>
      </c>
      <c r="S2913" s="348" t="str">
        <f t="shared" si="370"/>
        <v/>
      </c>
      <c r="T2913" s="348" t="str">
        <f t="shared" si="371"/>
        <v/>
      </c>
      <c r="U2913" s="348" t="str">
        <f t="shared" si="372"/>
        <v/>
      </c>
      <c r="V2913" s="348" t="str">
        <f t="shared" si="373"/>
        <v/>
      </c>
      <c r="W2913" s="348" t="str">
        <f t="shared" si="374"/>
        <v/>
      </c>
      <c r="X2913" s="348" t="str">
        <f t="shared" si="375"/>
        <v/>
      </c>
    </row>
    <row r="2914" spans="1:24" x14ac:dyDescent="0.2">
      <c r="A2914" s="407">
        <v>2906</v>
      </c>
      <c r="B2914" s="438"/>
      <c r="C2914" s="438"/>
      <c r="D2914" s="438"/>
      <c r="E2914" s="438"/>
      <c r="F2914" s="438"/>
      <c r="G2914" s="438"/>
      <c r="H2914" s="438"/>
      <c r="I2914" s="438"/>
      <c r="J2914" s="11"/>
      <c r="Q2914" s="348" t="str">
        <f t="shared" si="368"/>
        <v/>
      </c>
      <c r="R2914" s="348" t="str">
        <f t="shared" si="369"/>
        <v/>
      </c>
      <c r="S2914" s="348" t="str">
        <f t="shared" si="370"/>
        <v/>
      </c>
      <c r="T2914" s="348" t="str">
        <f t="shared" si="371"/>
        <v/>
      </c>
      <c r="U2914" s="348" t="str">
        <f t="shared" si="372"/>
        <v/>
      </c>
      <c r="V2914" s="348" t="str">
        <f t="shared" si="373"/>
        <v/>
      </c>
      <c r="W2914" s="348" t="str">
        <f t="shared" si="374"/>
        <v/>
      </c>
      <c r="X2914" s="348" t="str">
        <f t="shared" si="375"/>
        <v/>
      </c>
    </row>
    <row r="2915" spans="1:24" x14ac:dyDescent="0.2">
      <c r="A2915" s="407">
        <v>2907</v>
      </c>
      <c r="B2915" s="438"/>
      <c r="C2915" s="438"/>
      <c r="D2915" s="438"/>
      <c r="E2915" s="438"/>
      <c r="F2915" s="438"/>
      <c r="G2915" s="438"/>
      <c r="H2915" s="438"/>
      <c r="I2915" s="438"/>
      <c r="J2915" s="11"/>
      <c r="Q2915" s="348" t="str">
        <f t="shared" si="368"/>
        <v/>
      </c>
      <c r="R2915" s="348" t="str">
        <f t="shared" si="369"/>
        <v/>
      </c>
      <c r="S2915" s="348" t="str">
        <f t="shared" si="370"/>
        <v/>
      </c>
      <c r="T2915" s="348" t="str">
        <f t="shared" si="371"/>
        <v/>
      </c>
      <c r="U2915" s="348" t="str">
        <f t="shared" si="372"/>
        <v/>
      </c>
      <c r="V2915" s="348" t="str">
        <f t="shared" si="373"/>
        <v/>
      </c>
      <c r="W2915" s="348" t="str">
        <f t="shared" si="374"/>
        <v/>
      </c>
      <c r="X2915" s="348" t="str">
        <f t="shared" si="375"/>
        <v/>
      </c>
    </row>
    <row r="2916" spans="1:24" x14ac:dyDescent="0.2">
      <c r="A2916" s="407">
        <v>2908</v>
      </c>
      <c r="B2916" s="438"/>
      <c r="C2916" s="438"/>
      <c r="D2916" s="438"/>
      <c r="E2916" s="438"/>
      <c r="F2916" s="438"/>
      <c r="G2916" s="438"/>
      <c r="H2916" s="438"/>
      <c r="I2916" s="438"/>
      <c r="J2916" s="11"/>
      <c r="Q2916" s="348" t="str">
        <f t="shared" si="368"/>
        <v/>
      </c>
      <c r="R2916" s="348" t="str">
        <f t="shared" si="369"/>
        <v/>
      </c>
      <c r="S2916" s="348" t="str">
        <f t="shared" si="370"/>
        <v/>
      </c>
      <c r="T2916" s="348" t="str">
        <f t="shared" si="371"/>
        <v/>
      </c>
      <c r="U2916" s="348" t="str">
        <f t="shared" si="372"/>
        <v/>
      </c>
      <c r="V2916" s="348" t="str">
        <f t="shared" si="373"/>
        <v/>
      </c>
      <c r="W2916" s="348" t="str">
        <f t="shared" si="374"/>
        <v/>
      </c>
      <c r="X2916" s="348" t="str">
        <f t="shared" si="375"/>
        <v/>
      </c>
    </row>
    <row r="2917" spans="1:24" x14ac:dyDescent="0.2">
      <c r="A2917" s="407">
        <v>2909</v>
      </c>
      <c r="B2917" s="438"/>
      <c r="C2917" s="438"/>
      <c r="D2917" s="438"/>
      <c r="E2917" s="438"/>
      <c r="F2917" s="438"/>
      <c r="G2917" s="438"/>
      <c r="H2917" s="438"/>
      <c r="I2917" s="438"/>
      <c r="J2917" s="11"/>
      <c r="Q2917" s="348" t="str">
        <f t="shared" si="368"/>
        <v/>
      </c>
      <c r="R2917" s="348" t="str">
        <f t="shared" si="369"/>
        <v/>
      </c>
      <c r="S2917" s="348" t="str">
        <f t="shared" si="370"/>
        <v/>
      </c>
      <c r="T2917" s="348" t="str">
        <f t="shared" si="371"/>
        <v/>
      </c>
      <c r="U2917" s="348" t="str">
        <f t="shared" si="372"/>
        <v/>
      </c>
      <c r="V2917" s="348" t="str">
        <f t="shared" si="373"/>
        <v/>
      </c>
      <c r="W2917" s="348" t="str">
        <f t="shared" si="374"/>
        <v/>
      </c>
      <c r="X2917" s="348" t="str">
        <f t="shared" si="375"/>
        <v/>
      </c>
    </row>
    <row r="2918" spans="1:24" x14ac:dyDescent="0.2">
      <c r="A2918" s="407">
        <v>2910</v>
      </c>
      <c r="B2918" s="438"/>
      <c r="C2918" s="438"/>
      <c r="D2918" s="438"/>
      <c r="E2918" s="438"/>
      <c r="F2918" s="438"/>
      <c r="G2918" s="438"/>
      <c r="H2918" s="438"/>
      <c r="I2918" s="438"/>
      <c r="J2918" s="11"/>
      <c r="Q2918" s="348" t="str">
        <f t="shared" si="368"/>
        <v/>
      </c>
      <c r="R2918" s="348" t="str">
        <f t="shared" si="369"/>
        <v/>
      </c>
      <c r="S2918" s="348" t="str">
        <f t="shared" si="370"/>
        <v/>
      </c>
      <c r="T2918" s="348" t="str">
        <f t="shared" si="371"/>
        <v/>
      </c>
      <c r="U2918" s="348" t="str">
        <f t="shared" si="372"/>
        <v/>
      </c>
      <c r="V2918" s="348" t="str">
        <f t="shared" si="373"/>
        <v/>
      </c>
      <c r="W2918" s="348" t="str">
        <f t="shared" si="374"/>
        <v/>
      </c>
      <c r="X2918" s="348" t="str">
        <f t="shared" si="375"/>
        <v/>
      </c>
    </row>
    <row r="2919" spans="1:24" x14ac:dyDescent="0.2">
      <c r="A2919" s="407">
        <v>2911</v>
      </c>
      <c r="B2919" s="438"/>
      <c r="C2919" s="438"/>
      <c r="D2919" s="438"/>
      <c r="E2919" s="438"/>
      <c r="F2919" s="438"/>
      <c r="G2919" s="438"/>
      <c r="H2919" s="438"/>
      <c r="I2919" s="438"/>
      <c r="J2919" s="11"/>
      <c r="Q2919" s="348" t="str">
        <f t="shared" si="368"/>
        <v/>
      </c>
      <c r="R2919" s="348" t="str">
        <f t="shared" si="369"/>
        <v/>
      </c>
      <c r="S2919" s="348" t="str">
        <f t="shared" si="370"/>
        <v/>
      </c>
      <c r="T2919" s="348" t="str">
        <f t="shared" si="371"/>
        <v/>
      </c>
      <c r="U2919" s="348" t="str">
        <f t="shared" si="372"/>
        <v/>
      </c>
      <c r="V2919" s="348" t="str">
        <f t="shared" si="373"/>
        <v/>
      </c>
      <c r="W2919" s="348" t="str">
        <f t="shared" si="374"/>
        <v/>
      </c>
      <c r="X2919" s="348" t="str">
        <f t="shared" si="375"/>
        <v/>
      </c>
    </row>
    <row r="2920" spans="1:24" x14ac:dyDescent="0.2">
      <c r="A2920" s="407">
        <v>2912</v>
      </c>
      <c r="B2920" s="438"/>
      <c r="C2920" s="438"/>
      <c r="D2920" s="438"/>
      <c r="E2920" s="438"/>
      <c r="F2920" s="438"/>
      <c r="G2920" s="438"/>
      <c r="H2920" s="438"/>
      <c r="I2920" s="438"/>
      <c r="J2920" s="11"/>
      <c r="Q2920" s="348" t="str">
        <f t="shared" si="368"/>
        <v/>
      </c>
      <c r="R2920" s="348" t="str">
        <f t="shared" si="369"/>
        <v/>
      </c>
      <c r="S2920" s="348" t="str">
        <f t="shared" si="370"/>
        <v/>
      </c>
      <c r="T2920" s="348" t="str">
        <f t="shared" si="371"/>
        <v/>
      </c>
      <c r="U2920" s="348" t="str">
        <f t="shared" si="372"/>
        <v/>
      </c>
      <c r="V2920" s="348" t="str">
        <f t="shared" si="373"/>
        <v/>
      </c>
      <c r="W2920" s="348" t="str">
        <f t="shared" si="374"/>
        <v/>
      </c>
      <c r="X2920" s="348" t="str">
        <f t="shared" si="375"/>
        <v/>
      </c>
    </row>
    <row r="2921" spans="1:24" x14ac:dyDescent="0.2">
      <c r="A2921" s="407">
        <v>2913</v>
      </c>
      <c r="B2921" s="438"/>
      <c r="C2921" s="438"/>
      <c r="D2921" s="438"/>
      <c r="E2921" s="438"/>
      <c r="F2921" s="438"/>
      <c r="G2921" s="438"/>
      <c r="H2921" s="438"/>
      <c r="I2921" s="438"/>
      <c r="J2921" s="11"/>
      <c r="Q2921" s="348" t="str">
        <f t="shared" si="368"/>
        <v/>
      </c>
      <c r="R2921" s="348" t="str">
        <f t="shared" si="369"/>
        <v/>
      </c>
      <c r="S2921" s="348" t="str">
        <f t="shared" si="370"/>
        <v/>
      </c>
      <c r="T2921" s="348" t="str">
        <f t="shared" si="371"/>
        <v/>
      </c>
      <c r="U2921" s="348" t="str">
        <f t="shared" si="372"/>
        <v/>
      </c>
      <c r="V2921" s="348" t="str">
        <f t="shared" si="373"/>
        <v/>
      </c>
      <c r="W2921" s="348" t="str">
        <f t="shared" si="374"/>
        <v/>
      </c>
      <c r="X2921" s="348" t="str">
        <f t="shared" si="375"/>
        <v/>
      </c>
    </row>
    <row r="2922" spans="1:24" x14ac:dyDescent="0.2">
      <c r="A2922" s="407">
        <v>2914</v>
      </c>
      <c r="B2922" s="438"/>
      <c r="C2922" s="438"/>
      <c r="D2922" s="438"/>
      <c r="E2922" s="438"/>
      <c r="F2922" s="438"/>
      <c r="G2922" s="438"/>
      <c r="H2922" s="438"/>
      <c r="I2922" s="438"/>
      <c r="J2922" s="11"/>
      <c r="Q2922" s="348" t="str">
        <f t="shared" si="368"/>
        <v/>
      </c>
      <c r="R2922" s="348" t="str">
        <f t="shared" si="369"/>
        <v/>
      </c>
      <c r="S2922" s="348" t="str">
        <f t="shared" si="370"/>
        <v/>
      </c>
      <c r="T2922" s="348" t="str">
        <f t="shared" si="371"/>
        <v/>
      </c>
      <c r="U2922" s="348" t="str">
        <f t="shared" si="372"/>
        <v/>
      </c>
      <c r="V2922" s="348" t="str">
        <f t="shared" si="373"/>
        <v/>
      </c>
      <c r="W2922" s="348" t="str">
        <f t="shared" si="374"/>
        <v/>
      </c>
      <c r="X2922" s="348" t="str">
        <f t="shared" si="375"/>
        <v/>
      </c>
    </row>
    <row r="2923" spans="1:24" x14ac:dyDescent="0.2">
      <c r="A2923" s="407">
        <v>2915</v>
      </c>
      <c r="B2923" s="438"/>
      <c r="C2923" s="437"/>
      <c r="D2923" s="438"/>
      <c r="E2923" s="438"/>
      <c r="F2923" s="438"/>
      <c r="G2923" s="438"/>
      <c r="H2923" s="438"/>
      <c r="I2923" s="438"/>
      <c r="J2923" s="11"/>
      <c r="Q2923" s="348" t="str">
        <f t="shared" si="368"/>
        <v/>
      </c>
      <c r="R2923" s="348" t="str">
        <f t="shared" si="369"/>
        <v/>
      </c>
      <c r="S2923" s="348" t="str">
        <f t="shared" si="370"/>
        <v/>
      </c>
      <c r="T2923" s="348" t="str">
        <f t="shared" si="371"/>
        <v/>
      </c>
      <c r="U2923" s="348" t="str">
        <f t="shared" si="372"/>
        <v/>
      </c>
      <c r="V2923" s="348" t="str">
        <f t="shared" si="373"/>
        <v/>
      </c>
      <c r="W2923" s="348" t="str">
        <f t="shared" si="374"/>
        <v/>
      </c>
      <c r="X2923" s="348" t="str">
        <f t="shared" si="375"/>
        <v/>
      </c>
    </row>
    <row r="2924" spans="1:24" x14ac:dyDescent="0.2">
      <c r="A2924" s="407">
        <v>2916</v>
      </c>
      <c r="B2924" s="438"/>
      <c r="C2924" s="438"/>
      <c r="D2924" s="438"/>
      <c r="E2924" s="438"/>
      <c r="F2924" s="438"/>
      <c r="G2924" s="438"/>
      <c r="H2924" s="438"/>
      <c r="I2924" s="438"/>
      <c r="J2924" s="11"/>
      <c r="Q2924" s="348" t="str">
        <f t="shared" si="368"/>
        <v/>
      </c>
      <c r="R2924" s="348" t="str">
        <f t="shared" si="369"/>
        <v/>
      </c>
      <c r="S2924" s="348" t="str">
        <f t="shared" si="370"/>
        <v/>
      </c>
      <c r="T2924" s="348" t="str">
        <f t="shared" si="371"/>
        <v/>
      </c>
      <c r="U2924" s="348" t="str">
        <f t="shared" si="372"/>
        <v/>
      </c>
      <c r="V2924" s="348" t="str">
        <f t="shared" si="373"/>
        <v/>
      </c>
      <c r="W2924" s="348" t="str">
        <f t="shared" si="374"/>
        <v/>
      </c>
      <c r="X2924" s="348" t="str">
        <f t="shared" si="375"/>
        <v/>
      </c>
    </row>
    <row r="2925" spans="1:24" x14ac:dyDescent="0.2">
      <c r="A2925" s="407">
        <v>2917</v>
      </c>
      <c r="B2925" s="438"/>
      <c r="C2925" s="438"/>
      <c r="D2925" s="438"/>
      <c r="E2925" s="438"/>
      <c r="F2925" s="438"/>
      <c r="G2925" s="438"/>
      <c r="H2925" s="438"/>
      <c r="I2925" s="438"/>
      <c r="J2925" s="11"/>
      <c r="Q2925" s="348" t="str">
        <f t="shared" si="368"/>
        <v/>
      </c>
      <c r="R2925" s="348" t="str">
        <f t="shared" si="369"/>
        <v/>
      </c>
      <c r="S2925" s="348" t="str">
        <f t="shared" si="370"/>
        <v/>
      </c>
      <c r="T2925" s="348" t="str">
        <f t="shared" si="371"/>
        <v/>
      </c>
      <c r="U2925" s="348" t="str">
        <f t="shared" si="372"/>
        <v/>
      </c>
      <c r="V2925" s="348" t="str">
        <f t="shared" si="373"/>
        <v/>
      </c>
      <c r="W2925" s="348" t="str">
        <f t="shared" si="374"/>
        <v/>
      </c>
      <c r="X2925" s="348" t="str">
        <f t="shared" si="375"/>
        <v/>
      </c>
    </row>
    <row r="2926" spans="1:24" x14ac:dyDescent="0.2">
      <c r="A2926" s="407">
        <v>2918</v>
      </c>
      <c r="B2926" s="438"/>
      <c r="C2926" s="438"/>
      <c r="D2926" s="438"/>
      <c r="E2926" s="438"/>
      <c r="F2926" s="438"/>
      <c r="G2926" s="438"/>
      <c r="H2926" s="438"/>
      <c r="I2926" s="438"/>
      <c r="J2926" s="11"/>
      <c r="Q2926" s="348" t="str">
        <f t="shared" si="368"/>
        <v/>
      </c>
      <c r="R2926" s="348" t="str">
        <f t="shared" si="369"/>
        <v/>
      </c>
      <c r="S2926" s="348" t="str">
        <f t="shared" si="370"/>
        <v/>
      </c>
      <c r="T2926" s="348" t="str">
        <f t="shared" si="371"/>
        <v/>
      </c>
      <c r="U2926" s="348" t="str">
        <f t="shared" si="372"/>
        <v/>
      </c>
      <c r="V2926" s="348" t="str">
        <f t="shared" si="373"/>
        <v/>
      </c>
      <c r="W2926" s="348" t="str">
        <f t="shared" si="374"/>
        <v/>
      </c>
      <c r="X2926" s="348" t="str">
        <f t="shared" si="375"/>
        <v/>
      </c>
    </row>
    <row r="2927" spans="1:24" x14ac:dyDescent="0.2">
      <c r="A2927" s="407">
        <v>2919</v>
      </c>
      <c r="B2927" s="438"/>
      <c r="C2927" s="438"/>
      <c r="D2927" s="438"/>
      <c r="E2927" s="438"/>
      <c r="F2927" s="438"/>
      <c r="G2927" s="438"/>
      <c r="H2927" s="438"/>
      <c r="I2927" s="438"/>
      <c r="J2927" s="11"/>
      <c r="Q2927" s="348" t="str">
        <f t="shared" si="368"/>
        <v/>
      </c>
      <c r="R2927" s="348" t="str">
        <f t="shared" si="369"/>
        <v/>
      </c>
      <c r="S2927" s="348" t="str">
        <f t="shared" si="370"/>
        <v/>
      </c>
      <c r="T2927" s="348" t="str">
        <f t="shared" si="371"/>
        <v/>
      </c>
      <c r="U2927" s="348" t="str">
        <f t="shared" si="372"/>
        <v/>
      </c>
      <c r="V2927" s="348" t="str">
        <f t="shared" si="373"/>
        <v/>
      </c>
      <c r="W2927" s="348" t="str">
        <f t="shared" si="374"/>
        <v/>
      </c>
      <c r="X2927" s="348" t="str">
        <f t="shared" si="375"/>
        <v/>
      </c>
    </row>
    <row r="2928" spans="1:24" x14ac:dyDescent="0.2">
      <c r="A2928" s="407">
        <v>2920</v>
      </c>
      <c r="B2928" s="438"/>
      <c r="C2928" s="438"/>
      <c r="D2928" s="438"/>
      <c r="E2928" s="438"/>
      <c r="F2928" s="438"/>
      <c r="G2928" s="438"/>
      <c r="H2928" s="438"/>
      <c r="I2928" s="438"/>
      <c r="J2928" s="11"/>
      <c r="Q2928" s="348" t="str">
        <f t="shared" si="368"/>
        <v/>
      </c>
      <c r="R2928" s="348" t="str">
        <f t="shared" si="369"/>
        <v/>
      </c>
      <c r="S2928" s="348" t="str">
        <f t="shared" si="370"/>
        <v/>
      </c>
      <c r="T2928" s="348" t="str">
        <f t="shared" si="371"/>
        <v/>
      </c>
      <c r="U2928" s="348" t="str">
        <f t="shared" si="372"/>
        <v/>
      </c>
      <c r="V2928" s="348" t="str">
        <f t="shared" si="373"/>
        <v/>
      </c>
      <c r="W2928" s="348" t="str">
        <f t="shared" si="374"/>
        <v/>
      </c>
      <c r="X2928" s="348" t="str">
        <f t="shared" si="375"/>
        <v/>
      </c>
    </row>
    <row r="2929" spans="1:24" x14ac:dyDescent="0.2">
      <c r="A2929" s="407">
        <v>2921</v>
      </c>
      <c r="B2929" s="438"/>
      <c r="C2929" s="438"/>
      <c r="D2929" s="438"/>
      <c r="E2929" s="438"/>
      <c r="F2929" s="438"/>
      <c r="G2929" s="438"/>
      <c r="H2929" s="438"/>
      <c r="I2929" s="438"/>
      <c r="J2929" s="11"/>
      <c r="Q2929" s="348" t="str">
        <f t="shared" si="368"/>
        <v/>
      </c>
      <c r="R2929" s="348" t="str">
        <f t="shared" si="369"/>
        <v/>
      </c>
      <c r="S2929" s="348" t="str">
        <f t="shared" si="370"/>
        <v/>
      </c>
      <c r="T2929" s="348" t="str">
        <f t="shared" si="371"/>
        <v/>
      </c>
      <c r="U2929" s="348" t="str">
        <f t="shared" si="372"/>
        <v/>
      </c>
      <c r="V2929" s="348" t="str">
        <f t="shared" si="373"/>
        <v/>
      </c>
      <c r="W2929" s="348" t="str">
        <f t="shared" si="374"/>
        <v/>
      </c>
      <c r="X2929" s="348" t="str">
        <f t="shared" si="375"/>
        <v/>
      </c>
    </row>
    <row r="2930" spans="1:24" x14ac:dyDescent="0.2">
      <c r="A2930" s="407">
        <v>2922</v>
      </c>
      <c r="B2930" s="438"/>
      <c r="C2930" s="438"/>
      <c r="D2930" s="438"/>
      <c r="E2930" s="438"/>
      <c r="F2930" s="438"/>
      <c r="G2930" s="438"/>
      <c r="H2930" s="438"/>
      <c r="I2930" s="438"/>
      <c r="J2930" s="11"/>
      <c r="Q2930" s="348" t="str">
        <f t="shared" si="368"/>
        <v/>
      </c>
      <c r="R2930" s="348" t="str">
        <f t="shared" si="369"/>
        <v/>
      </c>
      <c r="S2930" s="348" t="str">
        <f t="shared" si="370"/>
        <v/>
      </c>
      <c r="T2930" s="348" t="str">
        <f t="shared" si="371"/>
        <v/>
      </c>
      <c r="U2930" s="348" t="str">
        <f t="shared" si="372"/>
        <v/>
      </c>
      <c r="V2930" s="348" t="str">
        <f t="shared" si="373"/>
        <v/>
      </c>
      <c r="W2930" s="348" t="str">
        <f t="shared" si="374"/>
        <v/>
      </c>
      <c r="X2930" s="348" t="str">
        <f t="shared" si="375"/>
        <v/>
      </c>
    </row>
    <row r="2931" spans="1:24" x14ac:dyDescent="0.2">
      <c r="A2931" s="407">
        <v>2923</v>
      </c>
      <c r="B2931" s="438"/>
      <c r="C2931" s="438"/>
      <c r="D2931" s="438"/>
      <c r="E2931" s="438"/>
      <c r="F2931" s="438"/>
      <c r="G2931" s="438"/>
      <c r="H2931" s="438"/>
      <c r="I2931" s="438"/>
      <c r="J2931" s="11"/>
      <c r="Q2931" s="348" t="str">
        <f t="shared" si="368"/>
        <v/>
      </c>
      <c r="R2931" s="348" t="str">
        <f t="shared" si="369"/>
        <v/>
      </c>
      <c r="S2931" s="348" t="str">
        <f t="shared" si="370"/>
        <v/>
      </c>
      <c r="T2931" s="348" t="str">
        <f t="shared" si="371"/>
        <v/>
      </c>
      <c r="U2931" s="348" t="str">
        <f t="shared" si="372"/>
        <v/>
      </c>
      <c r="V2931" s="348" t="str">
        <f t="shared" si="373"/>
        <v/>
      </c>
      <c r="W2931" s="348" t="str">
        <f t="shared" si="374"/>
        <v/>
      </c>
      <c r="X2931" s="348" t="str">
        <f t="shared" si="375"/>
        <v/>
      </c>
    </row>
    <row r="2932" spans="1:24" x14ac:dyDescent="0.2">
      <c r="A2932" s="407">
        <v>2924</v>
      </c>
      <c r="B2932" s="437"/>
      <c r="C2932" s="438"/>
      <c r="D2932" s="437"/>
      <c r="E2932" s="438"/>
      <c r="F2932" s="438"/>
      <c r="G2932" s="438"/>
      <c r="H2932" s="438"/>
      <c r="I2932" s="438"/>
      <c r="J2932" s="11"/>
      <c r="Q2932" s="348" t="str">
        <f t="shared" si="368"/>
        <v/>
      </c>
      <c r="R2932" s="348" t="str">
        <f t="shared" si="369"/>
        <v/>
      </c>
      <c r="S2932" s="348" t="str">
        <f t="shared" si="370"/>
        <v/>
      </c>
      <c r="T2932" s="348" t="str">
        <f t="shared" si="371"/>
        <v/>
      </c>
      <c r="U2932" s="348" t="str">
        <f t="shared" si="372"/>
        <v/>
      </c>
      <c r="V2932" s="348" t="str">
        <f t="shared" si="373"/>
        <v/>
      </c>
      <c r="W2932" s="348" t="str">
        <f t="shared" si="374"/>
        <v/>
      </c>
      <c r="X2932" s="348" t="str">
        <f t="shared" si="375"/>
        <v/>
      </c>
    </row>
    <row r="2933" spans="1:24" x14ac:dyDescent="0.2">
      <c r="A2933" s="407">
        <v>2925</v>
      </c>
      <c r="B2933" s="438"/>
      <c r="C2933" s="438"/>
      <c r="D2933" s="438"/>
      <c r="E2933" s="438"/>
      <c r="F2933" s="438"/>
      <c r="G2933" s="438"/>
      <c r="H2933" s="438"/>
      <c r="I2933" s="438"/>
      <c r="J2933" s="11"/>
      <c r="Q2933" s="348" t="str">
        <f t="shared" si="368"/>
        <v/>
      </c>
      <c r="R2933" s="348" t="str">
        <f t="shared" si="369"/>
        <v/>
      </c>
      <c r="S2933" s="348" t="str">
        <f t="shared" si="370"/>
        <v/>
      </c>
      <c r="T2933" s="348" t="str">
        <f t="shared" si="371"/>
        <v/>
      </c>
      <c r="U2933" s="348" t="str">
        <f t="shared" si="372"/>
        <v/>
      </c>
      <c r="V2933" s="348" t="str">
        <f t="shared" si="373"/>
        <v/>
      </c>
      <c r="W2933" s="348" t="str">
        <f t="shared" si="374"/>
        <v/>
      </c>
      <c r="X2933" s="348" t="str">
        <f t="shared" si="375"/>
        <v/>
      </c>
    </row>
    <row r="2934" spans="1:24" x14ac:dyDescent="0.2">
      <c r="A2934" s="407">
        <v>2926</v>
      </c>
      <c r="B2934" s="438"/>
      <c r="C2934" s="438"/>
      <c r="D2934" s="438"/>
      <c r="E2934" s="437"/>
      <c r="F2934" s="437"/>
      <c r="G2934" s="437"/>
      <c r="H2934" s="437"/>
      <c r="I2934" s="437"/>
      <c r="J2934" s="11"/>
      <c r="Q2934" s="348" t="str">
        <f t="shared" si="368"/>
        <v/>
      </c>
      <c r="R2934" s="348" t="str">
        <f t="shared" si="369"/>
        <v/>
      </c>
      <c r="S2934" s="348" t="str">
        <f t="shared" si="370"/>
        <v/>
      </c>
      <c r="T2934" s="348" t="str">
        <f t="shared" si="371"/>
        <v/>
      </c>
      <c r="U2934" s="348" t="str">
        <f t="shared" si="372"/>
        <v/>
      </c>
      <c r="V2934" s="348" t="str">
        <f t="shared" si="373"/>
        <v/>
      </c>
      <c r="W2934" s="348" t="str">
        <f t="shared" si="374"/>
        <v/>
      </c>
      <c r="X2934" s="348" t="str">
        <f t="shared" si="375"/>
        <v/>
      </c>
    </row>
    <row r="2935" spans="1:24" x14ac:dyDescent="0.2">
      <c r="A2935" s="407">
        <v>2927</v>
      </c>
      <c r="B2935" s="438"/>
      <c r="C2935" s="438"/>
      <c r="D2935" s="438"/>
      <c r="E2935" s="438"/>
      <c r="F2935" s="438"/>
      <c r="G2935" s="438"/>
      <c r="H2935" s="438"/>
      <c r="I2935" s="438"/>
      <c r="J2935" s="11"/>
      <c r="Q2935" s="348" t="str">
        <f t="shared" si="368"/>
        <v/>
      </c>
      <c r="R2935" s="348" t="str">
        <f t="shared" si="369"/>
        <v/>
      </c>
      <c r="S2935" s="348" t="str">
        <f t="shared" si="370"/>
        <v/>
      </c>
      <c r="T2935" s="348" t="str">
        <f t="shared" si="371"/>
        <v/>
      </c>
      <c r="U2935" s="348" t="str">
        <f t="shared" si="372"/>
        <v/>
      </c>
      <c r="V2935" s="348" t="str">
        <f t="shared" si="373"/>
        <v/>
      </c>
      <c r="W2935" s="348" t="str">
        <f t="shared" si="374"/>
        <v/>
      </c>
      <c r="X2935" s="348" t="str">
        <f t="shared" si="375"/>
        <v/>
      </c>
    </row>
    <row r="2936" spans="1:24" x14ac:dyDescent="0.2">
      <c r="A2936" s="407">
        <v>2928</v>
      </c>
      <c r="B2936" s="438"/>
      <c r="C2936" s="438"/>
      <c r="D2936" s="438"/>
      <c r="E2936" s="438"/>
      <c r="F2936" s="438"/>
      <c r="G2936" s="438"/>
      <c r="H2936" s="438"/>
      <c r="I2936" s="438"/>
      <c r="J2936" s="11"/>
      <c r="Q2936" s="348" t="str">
        <f t="shared" si="368"/>
        <v/>
      </c>
      <c r="R2936" s="348" t="str">
        <f t="shared" si="369"/>
        <v/>
      </c>
      <c r="S2936" s="348" t="str">
        <f t="shared" si="370"/>
        <v/>
      </c>
      <c r="T2936" s="348" t="str">
        <f t="shared" si="371"/>
        <v/>
      </c>
      <c r="U2936" s="348" t="str">
        <f t="shared" si="372"/>
        <v/>
      </c>
      <c r="V2936" s="348" t="str">
        <f t="shared" si="373"/>
        <v/>
      </c>
      <c r="W2936" s="348" t="str">
        <f t="shared" si="374"/>
        <v/>
      </c>
      <c r="X2936" s="348" t="str">
        <f t="shared" si="375"/>
        <v/>
      </c>
    </row>
    <row r="2937" spans="1:24" x14ac:dyDescent="0.2">
      <c r="A2937" s="407">
        <v>2929</v>
      </c>
      <c r="B2937" s="438"/>
      <c r="C2937" s="438"/>
      <c r="D2937" s="438"/>
      <c r="E2937" s="438"/>
      <c r="F2937" s="438"/>
      <c r="G2937" s="438"/>
      <c r="H2937" s="438"/>
      <c r="I2937" s="438"/>
      <c r="J2937" s="11"/>
      <c r="Q2937" s="348" t="str">
        <f t="shared" si="368"/>
        <v/>
      </c>
      <c r="R2937" s="348" t="str">
        <f t="shared" si="369"/>
        <v/>
      </c>
      <c r="S2937" s="348" t="str">
        <f t="shared" si="370"/>
        <v/>
      </c>
      <c r="T2937" s="348" t="str">
        <f t="shared" si="371"/>
        <v/>
      </c>
      <c r="U2937" s="348" t="str">
        <f t="shared" si="372"/>
        <v/>
      </c>
      <c r="V2937" s="348" t="str">
        <f t="shared" si="373"/>
        <v/>
      </c>
      <c r="W2937" s="348" t="str">
        <f t="shared" si="374"/>
        <v/>
      </c>
      <c r="X2937" s="348" t="str">
        <f t="shared" si="375"/>
        <v/>
      </c>
    </row>
    <row r="2938" spans="1:24" x14ac:dyDescent="0.2">
      <c r="A2938" s="407">
        <v>2930</v>
      </c>
      <c r="B2938" s="438"/>
      <c r="C2938" s="438"/>
      <c r="D2938" s="438"/>
      <c r="E2938" s="438"/>
      <c r="F2938" s="438"/>
      <c r="G2938" s="438"/>
      <c r="H2938" s="438"/>
      <c r="I2938" s="438"/>
      <c r="J2938" s="11"/>
      <c r="Q2938" s="348" t="str">
        <f t="shared" si="368"/>
        <v/>
      </c>
      <c r="R2938" s="348" t="str">
        <f t="shared" si="369"/>
        <v/>
      </c>
      <c r="S2938" s="348" t="str">
        <f t="shared" si="370"/>
        <v/>
      </c>
      <c r="T2938" s="348" t="str">
        <f t="shared" si="371"/>
        <v/>
      </c>
      <c r="U2938" s="348" t="str">
        <f t="shared" si="372"/>
        <v/>
      </c>
      <c r="V2938" s="348" t="str">
        <f t="shared" si="373"/>
        <v/>
      </c>
      <c r="W2938" s="348" t="str">
        <f t="shared" si="374"/>
        <v/>
      </c>
      <c r="X2938" s="348" t="str">
        <f t="shared" si="375"/>
        <v/>
      </c>
    </row>
    <row r="2939" spans="1:24" x14ac:dyDescent="0.2">
      <c r="A2939" s="407">
        <v>2931</v>
      </c>
      <c r="B2939" s="438"/>
      <c r="C2939" s="438"/>
      <c r="D2939" s="438"/>
      <c r="E2939" s="438"/>
      <c r="F2939" s="438"/>
      <c r="G2939" s="438"/>
      <c r="H2939" s="438"/>
      <c r="I2939" s="438"/>
      <c r="J2939" s="11"/>
      <c r="Q2939" s="348" t="str">
        <f t="shared" si="368"/>
        <v/>
      </c>
      <c r="R2939" s="348" t="str">
        <f t="shared" si="369"/>
        <v/>
      </c>
      <c r="S2939" s="348" t="str">
        <f t="shared" si="370"/>
        <v/>
      </c>
      <c r="T2939" s="348" t="str">
        <f t="shared" si="371"/>
        <v/>
      </c>
      <c r="U2939" s="348" t="str">
        <f t="shared" si="372"/>
        <v/>
      </c>
      <c r="V2939" s="348" t="str">
        <f t="shared" si="373"/>
        <v/>
      </c>
      <c r="W2939" s="348" t="str">
        <f t="shared" si="374"/>
        <v/>
      </c>
      <c r="X2939" s="348" t="str">
        <f t="shared" si="375"/>
        <v/>
      </c>
    </row>
    <row r="2940" spans="1:24" x14ac:dyDescent="0.2">
      <c r="A2940" s="407">
        <v>2932</v>
      </c>
      <c r="B2940" s="437"/>
      <c r="C2940" s="438"/>
      <c r="D2940" s="438"/>
      <c r="E2940" s="438"/>
      <c r="F2940" s="438"/>
      <c r="G2940" s="438"/>
      <c r="H2940" s="438"/>
      <c r="I2940" s="438"/>
      <c r="J2940" s="11"/>
      <c r="Q2940" s="348" t="str">
        <f t="shared" si="368"/>
        <v/>
      </c>
      <c r="R2940" s="348" t="str">
        <f t="shared" si="369"/>
        <v/>
      </c>
      <c r="S2940" s="348" t="str">
        <f t="shared" si="370"/>
        <v/>
      </c>
      <c r="T2940" s="348" t="str">
        <f t="shared" si="371"/>
        <v/>
      </c>
      <c r="U2940" s="348" t="str">
        <f t="shared" si="372"/>
        <v/>
      </c>
      <c r="V2940" s="348" t="str">
        <f t="shared" si="373"/>
        <v/>
      </c>
      <c r="W2940" s="348" t="str">
        <f t="shared" si="374"/>
        <v/>
      </c>
      <c r="X2940" s="348" t="str">
        <f t="shared" si="375"/>
        <v/>
      </c>
    </row>
    <row r="2941" spans="1:24" x14ac:dyDescent="0.2">
      <c r="A2941" s="407">
        <v>2933</v>
      </c>
      <c r="B2941" s="438"/>
      <c r="C2941" s="438"/>
      <c r="D2941" s="438"/>
      <c r="E2941" s="438"/>
      <c r="F2941" s="438"/>
      <c r="G2941" s="438"/>
      <c r="H2941" s="438"/>
      <c r="I2941" s="438"/>
      <c r="J2941" s="11"/>
      <c r="Q2941" s="348" t="str">
        <f t="shared" si="368"/>
        <v/>
      </c>
      <c r="R2941" s="348" t="str">
        <f t="shared" si="369"/>
        <v/>
      </c>
      <c r="S2941" s="348" t="str">
        <f t="shared" si="370"/>
        <v/>
      </c>
      <c r="T2941" s="348" t="str">
        <f t="shared" si="371"/>
        <v/>
      </c>
      <c r="U2941" s="348" t="str">
        <f t="shared" si="372"/>
        <v/>
      </c>
      <c r="V2941" s="348" t="str">
        <f t="shared" si="373"/>
        <v/>
      </c>
      <c r="W2941" s="348" t="str">
        <f t="shared" si="374"/>
        <v/>
      </c>
      <c r="X2941" s="348" t="str">
        <f t="shared" si="375"/>
        <v/>
      </c>
    </row>
    <row r="2942" spans="1:24" x14ac:dyDescent="0.2">
      <c r="A2942" s="407">
        <v>2934</v>
      </c>
      <c r="B2942" s="438"/>
      <c r="C2942" s="438"/>
      <c r="D2942" s="438"/>
      <c r="E2942" s="438"/>
      <c r="F2942" s="438"/>
      <c r="G2942" s="438"/>
      <c r="H2942" s="438"/>
      <c r="I2942" s="438"/>
      <c r="J2942" s="11"/>
      <c r="Q2942" s="348" t="str">
        <f t="shared" si="368"/>
        <v/>
      </c>
      <c r="R2942" s="348" t="str">
        <f t="shared" si="369"/>
        <v/>
      </c>
      <c r="S2942" s="348" t="str">
        <f t="shared" si="370"/>
        <v/>
      </c>
      <c r="T2942" s="348" t="str">
        <f t="shared" si="371"/>
        <v/>
      </c>
      <c r="U2942" s="348" t="str">
        <f t="shared" si="372"/>
        <v/>
      </c>
      <c r="V2942" s="348" t="str">
        <f t="shared" si="373"/>
        <v/>
      </c>
      <c r="W2942" s="348" t="str">
        <f t="shared" si="374"/>
        <v/>
      </c>
      <c r="X2942" s="348" t="str">
        <f t="shared" si="375"/>
        <v/>
      </c>
    </row>
    <row r="2943" spans="1:24" x14ac:dyDescent="0.2">
      <c r="A2943" s="407">
        <v>2935</v>
      </c>
      <c r="B2943" s="438"/>
      <c r="C2943" s="438"/>
      <c r="D2943" s="438"/>
      <c r="E2943" s="438"/>
      <c r="F2943" s="438"/>
      <c r="G2943" s="438"/>
      <c r="H2943" s="438"/>
      <c r="I2943" s="438"/>
      <c r="J2943" s="11"/>
      <c r="Q2943" s="348" t="str">
        <f t="shared" si="368"/>
        <v/>
      </c>
      <c r="R2943" s="348" t="str">
        <f t="shared" si="369"/>
        <v/>
      </c>
      <c r="S2943" s="348" t="str">
        <f t="shared" si="370"/>
        <v/>
      </c>
      <c r="T2943" s="348" t="str">
        <f t="shared" si="371"/>
        <v/>
      </c>
      <c r="U2943" s="348" t="str">
        <f t="shared" si="372"/>
        <v/>
      </c>
      <c r="V2943" s="348" t="str">
        <f t="shared" si="373"/>
        <v/>
      </c>
      <c r="W2943" s="348" t="str">
        <f t="shared" si="374"/>
        <v/>
      </c>
      <c r="X2943" s="348" t="str">
        <f t="shared" si="375"/>
        <v/>
      </c>
    </row>
    <row r="2944" spans="1:24" x14ac:dyDescent="0.2">
      <c r="A2944" s="407">
        <v>2936</v>
      </c>
      <c r="B2944" s="438"/>
      <c r="C2944" s="437"/>
      <c r="D2944" s="438"/>
      <c r="E2944" s="438"/>
      <c r="F2944" s="438"/>
      <c r="G2944" s="438"/>
      <c r="H2944" s="438"/>
      <c r="I2944" s="438"/>
      <c r="J2944" s="11"/>
      <c r="Q2944" s="348" t="str">
        <f t="shared" si="368"/>
        <v/>
      </c>
      <c r="R2944" s="348" t="str">
        <f t="shared" si="369"/>
        <v/>
      </c>
      <c r="S2944" s="348" t="str">
        <f t="shared" si="370"/>
        <v/>
      </c>
      <c r="T2944" s="348" t="str">
        <f t="shared" si="371"/>
        <v/>
      </c>
      <c r="U2944" s="348" t="str">
        <f t="shared" si="372"/>
        <v/>
      </c>
      <c r="V2944" s="348" t="str">
        <f t="shared" si="373"/>
        <v/>
      </c>
      <c r="W2944" s="348" t="str">
        <f t="shared" si="374"/>
        <v/>
      </c>
      <c r="X2944" s="348" t="str">
        <f t="shared" si="375"/>
        <v/>
      </c>
    </row>
    <row r="2945" spans="1:24" x14ac:dyDescent="0.2">
      <c r="A2945" s="407">
        <v>2937</v>
      </c>
      <c r="B2945" s="438"/>
      <c r="C2945" s="438"/>
      <c r="D2945" s="438"/>
      <c r="E2945" s="438"/>
      <c r="F2945" s="438"/>
      <c r="G2945" s="438"/>
      <c r="H2945" s="438"/>
      <c r="I2945" s="438"/>
      <c r="J2945" s="11"/>
      <c r="Q2945" s="348" t="str">
        <f t="shared" si="368"/>
        <v/>
      </c>
      <c r="R2945" s="348" t="str">
        <f t="shared" si="369"/>
        <v/>
      </c>
      <c r="S2945" s="348" t="str">
        <f t="shared" si="370"/>
        <v/>
      </c>
      <c r="T2945" s="348" t="str">
        <f t="shared" si="371"/>
        <v/>
      </c>
      <c r="U2945" s="348" t="str">
        <f t="shared" si="372"/>
        <v/>
      </c>
      <c r="V2945" s="348" t="str">
        <f t="shared" si="373"/>
        <v/>
      </c>
      <c r="W2945" s="348" t="str">
        <f t="shared" si="374"/>
        <v/>
      </c>
      <c r="X2945" s="348" t="str">
        <f t="shared" si="375"/>
        <v/>
      </c>
    </row>
    <row r="2946" spans="1:24" x14ac:dyDescent="0.2">
      <c r="A2946" s="407">
        <v>2938</v>
      </c>
      <c r="B2946" s="438"/>
      <c r="C2946" s="438"/>
      <c r="D2946" s="438"/>
      <c r="E2946" s="438"/>
      <c r="F2946" s="438"/>
      <c r="G2946" s="438"/>
      <c r="H2946" s="438"/>
      <c r="I2946" s="438"/>
      <c r="J2946" s="11"/>
      <c r="Q2946" s="348" t="str">
        <f t="shared" si="368"/>
        <v/>
      </c>
      <c r="R2946" s="348" t="str">
        <f t="shared" si="369"/>
        <v/>
      </c>
      <c r="S2946" s="348" t="str">
        <f t="shared" si="370"/>
        <v/>
      </c>
      <c r="T2946" s="348" t="str">
        <f t="shared" si="371"/>
        <v/>
      </c>
      <c r="U2946" s="348" t="str">
        <f t="shared" si="372"/>
        <v/>
      </c>
      <c r="V2946" s="348" t="str">
        <f t="shared" si="373"/>
        <v/>
      </c>
      <c r="W2946" s="348" t="str">
        <f t="shared" si="374"/>
        <v/>
      </c>
      <c r="X2946" s="348" t="str">
        <f t="shared" si="375"/>
        <v/>
      </c>
    </row>
    <row r="2947" spans="1:24" x14ac:dyDescent="0.2">
      <c r="A2947" s="407">
        <v>2939</v>
      </c>
      <c r="B2947" s="438"/>
      <c r="C2947" s="438"/>
      <c r="D2947" s="438"/>
      <c r="E2947" s="438"/>
      <c r="F2947" s="438"/>
      <c r="G2947" s="438"/>
      <c r="H2947" s="438"/>
      <c r="I2947" s="438"/>
      <c r="J2947" s="11"/>
      <c r="Q2947" s="348" t="str">
        <f t="shared" si="368"/>
        <v/>
      </c>
      <c r="R2947" s="348" t="str">
        <f t="shared" si="369"/>
        <v/>
      </c>
      <c r="S2947" s="348" t="str">
        <f t="shared" si="370"/>
        <v/>
      </c>
      <c r="T2947" s="348" t="str">
        <f t="shared" si="371"/>
        <v/>
      </c>
      <c r="U2947" s="348" t="str">
        <f t="shared" si="372"/>
        <v/>
      </c>
      <c r="V2947" s="348" t="str">
        <f t="shared" si="373"/>
        <v/>
      </c>
      <c r="W2947" s="348" t="str">
        <f t="shared" si="374"/>
        <v/>
      </c>
      <c r="X2947" s="348" t="str">
        <f t="shared" si="375"/>
        <v/>
      </c>
    </row>
    <row r="2948" spans="1:24" x14ac:dyDescent="0.2">
      <c r="A2948" s="407">
        <v>2940</v>
      </c>
      <c r="B2948" s="438"/>
      <c r="C2948" s="438"/>
      <c r="D2948" s="438"/>
      <c r="E2948" s="438"/>
      <c r="F2948" s="438"/>
      <c r="G2948" s="438"/>
      <c r="H2948" s="438"/>
      <c r="I2948" s="438"/>
      <c r="J2948" s="11"/>
      <c r="Q2948" s="348" t="str">
        <f t="shared" si="368"/>
        <v/>
      </c>
      <c r="R2948" s="348" t="str">
        <f t="shared" si="369"/>
        <v/>
      </c>
      <c r="S2948" s="348" t="str">
        <f t="shared" si="370"/>
        <v/>
      </c>
      <c r="T2948" s="348" t="str">
        <f t="shared" si="371"/>
        <v/>
      </c>
      <c r="U2948" s="348" t="str">
        <f t="shared" si="372"/>
        <v/>
      </c>
      <c r="V2948" s="348" t="str">
        <f t="shared" si="373"/>
        <v/>
      </c>
      <c r="W2948" s="348" t="str">
        <f t="shared" si="374"/>
        <v/>
      </c>
      <c r="X2948" s="348" t="str">
        <f t="shared" si="375"/>
        <v/>
      </c>
    </row>
    <row r="2949" spans="1:24" x14ac:dyDescent="0.2">
      <c r="A2949" s="407">
        <v>2941</v>
      </c>
      <c r="B2949" s="438"/>
      <c r="C2949" s="438"/>
      <c r="D2949" s="438"/>
      <c r="E2949" s="438"/>
      <c r="F2949" s="438"/>
      <c r="G2949" s="438"/>
      <c r="H2949" s="438"/>
      <c r="I2949" s="438"/>
      <c r="J2949" s="11"/>
      <c r="Q2949" s="348" t="str">
        <f t="shared" si="368"/>
        <v/>
      </c>
      <c r="R2949" s="348" t="str">
        <f t="shared" si="369"/>
        <v/>
      </c>
      <c r="S2949" s="348" t="str">
        <f t="shared" si="370"/>
        <v/>
      </c>
      <c r="T2949" s="348" t="str">
        <f t="shared" si="371"/>
        <v/>
      </c>
      <c r="U2949" s="348" t="str">
        <f t="shared" si="372"/>
        <v/>
      </c>
      <c r="V2949" s="348" t="str">
        <f t="shared" si="373"/>
        <v/>
      </c>
      <c r="W2949" s="348" t="str">
        <f t="shared" si="374"/>
        <v/>
      </c>
      <c r="X2949" s="348" t="str">
        <f t="shared" si="375"/>
        <v/>
      </c>
    </row>
    <row r="2950" spans="1:24" x14ac:dyDescent="0.2">
      <c r="A2950" s="407">
        <v>2942</v>
      </c>
      <c r="B2950" s="438"/>
      <c r="C2950" s="438"/>
      <c r="D2950" s="438"/>
      <c r="E2950" s="438"/>
      <c r="F2950" s="438"/>
      <c r="G2950" s="438"/>
      <c r="H2950" s="438"/>
      <c r="I2950" s="438"/>
      <c r="J2950" s="11"/>
      <c r="Q2950" s="348" t="str">
        <f t="shared" si="368"/>
        <v/>
      </c>
      <c r="R2950" s="348" t="str">
        <f t="shared" si="369"/>
        <v/>
      </c>
      <c r="S2950" s="348" t="str">
        <f t="shared" si="370"/>
        <v/>
      </c>
      <c r="T2950" s="348" t="str">
        <f t="shared" si="371"/>
        <v/>
      </c>
      <c r="U2950" s="348" t="str">
        <f t="shared" si="372"/>
        <v/>
      </c>
      <c r="V2950" s="348" t="str">
        <f t="shared" si="373"/>
        <v/>
      </c>
      <c r="W2950" s="348" t="str">
        <f t="shared" si="374"/>
        <v/>
      </c>
      <c r="X2950" s="348" t="str">
        <f t="shared" si="375"/>
        <v/>
      </c>
    </row>
    <row r="2951" spans="1:24" x14ac:dyDescent="0.2">
      <c r="A2951" s="407">
        <v>2943</v>
      </c>
      <c r="B2951" s="438"/>
      <c r="C2951" s="438"/>
      <c r="D2951" s="438"/>
      <c r="E2951" s="438"/>
      <c r="F2951" s="438"/>
      <c r="G2951" s="438"/>
      <c r="H2951" s="438"/>
      <c r="I2951" s="438"/>
      <c r="J2951" s="11"/>
      <c r="Q2951" s="348" t="str">
        <f t="shared" si="368"/>
        <v/>
      </c>
      <c r="R2951" s="348" t="str">
        <f t="shared" si="369"/>
        <v/>
      </c>
      <c r="S2951" s="348" t="str">
        <f t="shared" si="370"/>
        <v/>
      </c>
      <c r="T2951" s="348" t="str">
        <f t="shared" si="371"/>
        <v/>
      </c>
      <c r="U2951" s="348" t="str">
        <f t="shared" si="372"/>
        <v/>
      </c>
      <c r="V2951" s="348" t="str">
        <f t="shared" si="373"/>
        <v/>
      </c>
      <c r="W2951" s="348" t="str">
        <f t="shared" si="374"/>
        <v/>
      </c>
      <c r="X2951" s="348" t="str">
        <f t="shared" si="375"/>
        <v/>
      </c>
    </row>
    <row r="2952" spans="1:24" x14ac:dyDescent="0.2">
      <c r="A2952" s="407">
        <v>2944</v>
      </c>
      <c r="B2952" s="438"/>
      <c r="C2952" s="438"/>
      <c r="D2952" s="438"/>
      <c r="E2952" s="438"/>
      <c r="F2952" s="438"/>
      <c r="G2952" s="438"/>
      <c r="H2952" s="438"/>
      <c r="I2952" s="438"/>
      <c r="J2952" s="11"/>
      <c r="Q2952" s="348" t="str">
        <f t="shared" si="368"/>
        <v/>
      </c>
      <c r="R2952" s="348" t="str">
        <f t="shared" si="369"/>
        <v/>
      </c>
      <c r="S2952" s="348" t="str">
        <f t="shared" si="370"/>
        <v/>
      </c>
      <c r="T2952" s="348" t="str">
        <f t="shared" si="371"/>
        <v/>
      </c>
      <c r="U2952" s="348" t="str">
        <f t="shared" si="372"/>
        <v/>
      </c>
      <c r="V2952" s="348" t="str">
        <f t="shared" si="373"/>
        <v/>
      </c>
      <c r="W2952" s="348" t="str">
        <f t="shared" si="374"/>
        <v/>
      </c>
      <c r="X2952" s="348" t="str">
        <f t="shared" si="375"/>
        <v/>
      </c>
    </row>
    <row r="2953" spans="1:24" x14ac:dyDescent="0.2">
      <c r="A2953" s="407">
        <v>2945</v>
      </c>
      <c r="B2953" s="438"/>
      <c r="C2953" s="438"/>
      <c r="D2953" s="438"/>
      <c r="E2953" s="438"/>
      <c r="F2953" s="438"/>
      <c r="G2953" s="438"/>
      <c r="H2953" s="438"/>
      <c r="I2953" s="438"/>
      <c r="J2953" s="11"/>
      <c r="Q2953" s="348" t="str">
        <f t="shared" si="368"/>
        <v/>
      </c>
      <c r="R2953" s="348" t="str">
        <f t="shared" si="369"/>
        <v/>
      </c>
      <c r="S2953" s="348" t="str">
        <f t="shared" si="370"/>
        <v/>
      </c>
      <c r="T2953" s="348" t="str">
        <f t="shared" si="371"/>
        <v/>
      </c>
      <c r="U2953" s="348" t="str">
        <f t="shared" si="372"/>
        <v/>
      </c>
      <c r="V2953" s="348" t="str">
        <f t="shared" si="373"/>
        <v/>
      </c>
      <c r="W2953" s="348" t="str">
        <f t="shared" si="374"/>
        <v/>
      </c>
      <c r="X2953" s="348" t="str">
        <f t="shared" si="375"/>
        <v/>
      </c>
    </row>
    <row r="2954" spans="1:24" x14ac:dyDescent="0.2">
      <c r="A2954" s="407">
        <v>2946</v>
      </c>
      <c r="B2954" s="437"/>
      <c r="C2954" s="438"/>
      <c r="D2954" s="438"/>
      <c r="E2954" s="438"/>
      <c r="F2954" s="438"/>
      <c r="G2954" s="438"/>
      <c r="H2954" s="438"/>
      <c r="I2954" s="438"/>
      <c r="J2954" s="11"/>
      <c r="Q2954" s="348" t="str">
        <f t="shared" ref="Q2954:Q3017" si="376">IFERROR(B2954^4*$AB$9+B2954^3*$AC$9+B2954^2*$AD$9+B2954^1*$AE$9+B2954^0*$AF$9,"")</f>
        <v/>
      </c>
      <c r="R2954" s="348" t="str">
        <f t="shared" ref="R2954:R3017" si="377">IFERROR(C2954^4*$AB$10+C2954^3*$AC$10+C2954^2*$AD$10+C2954^1*$AE$10+C2954^0*$AF$10,"")</f>
        <v/>
      </c>
      <c r="S2954" s="348" t="str">
        <f t="shared" ref="S2954:S3017" si="378">IFERROR(D2954^4*$AB$11+D2954^3*$AC$11+D2954^2*$AD$11+D2954^1*$AE$11+D2954^0*$AF$11,"")</f>
        <v/>
      </c>
      <c r="T2954" s="348" t="str">
        <f t="shared" ref="T2954:T3017" si="379">IFERROR(E2954^4*$AB$12+E2954^3*$AC$12+E2954^2*$AD$12+E2954^1*$AE$12+E2954^0*$AF$12,"")</f>
        <v/>
      </c>
      <c r="U2954" s="348" t="str">
        <f t="shared" ref="U2954:U3017" si="380">IFERROR(F2954^4*$AB$13+F2954^3*$AC$13+F2954^2*$AD$13+F2954^1*$AE$13+F2954^0*$AF$13,"")</f>
        <v/>
      </c>
      <c r="V2954" s="348" t="str">
        <f t="shared" ref="V2954:V3017" si="381">IFERROR(G2954^4*$AB$14+G2954^3*$AC$14+G2954^2*$AD$14+G2954^1*$AE$14+G2954^0*$AF$14,"")</f>
        <v/>
      </c>
      <c r="W2954" s="348" t="str">
        <f t="shared" ref="W2954:W3017" si="382">IFERROR(H2954^4*$AB$15+H2954^3*$AC$15+H2954^2*$AD$15+H2954^1*$AE$15+H2954^0*$AF$15,"")</f>
        <v/>
      </c>
      <c r="X2954" s="348" t="str">
        <f t="shared" ref="X2954:X3017" si="383">IFERROR(I2954^4*$AB$16+I2954^3*$AC$16+I2954^2*$AD$16+I2954^1*$AE$16+I2954^0*$AF$16,"")</f>
        <v/>
      </c>
    </row>
    <row r="2955" spans="1:24" x14ac:dyDescent="0.2">
      <c r="A2955" s="407">
        <v>2947</v>
      </c>
      <c r="B2955" s="438"/>
      <c r="C2955" s="438"/>
      <c r="D2955" s="438"/>
      <c r="E2955" s="438"/>
      <c r="F2955" s="438"/>
      <c r="G2955" s="438"/>
      <c r="H2955" s="438"/>
      <c r="I2955" s="438"/>
      <c r="J2955" s="11"/>
      <c r="Q2955" s="348" t="str">
        <f t="shared" si="376"/>
        <v/>
      </c>
      <c r="R2955" s="348" t="str">
        <f t="shared" si="377"/>
        <v/>
      </c>
      <c r="S2955" s="348" t="str">
        <f t="shared" si="378"/>
        <v/>
      </c>
      <c r="T2955" s="348" t="str">
        <f t="shared" si="379"/>
        <v/>
      </c>
      <c r="U2955" s="348" t="str">
        <f t="shared" si="380"/>
        <v/>
      </c>
      <c r="V2955" s="348" t="str">
        <f t="shared" si="381"/>
        <v/>
      </c>
      <c r="W2955" s="348" t="str">
        <f t="shared" si="382"/>
        <v/>
      </c>
      <c r="X2955" s="348" t="str">
        <f t="shared" si="383"/>
        <v/>
      </c>
    </row>
    <row r="2956" spans="1:24" x14ac:dyDescent="0.2">
      <c r="A2956" s="407">
        <v>2948</v>
      </c>
      <c r="B2956" s="438"/>
      <c r="C2956" s="438"/>
      <c r="D2956" s="438"/>
      <c r="E2956" s="438"/>
      <c r="F2956" s="438"/>
      <c r="G2956" s="438"/>
      <c r="H2956" s="438"/>
      <c r="I2956" s="438"/>
      <c r="J2956" s="11"/>
      <c r="Q2956" s="348" t="str">
        <f t="shared" si="376"/>
        <v/>
      </c>
      <c r="R2956" s="348" t="str">
        <f t="shared" si="377"/>
        <v/>
      </c>
      <c r="S2956" s="348" t="str">
        <f t="shared" si="378"/>
        <v/>
      </c>
      <c r="T2956" s="348" t="str">
        <f t="shared" si="379"/>
        <v/>
      </c>
      <c r="U2956" s="348" t="str">
        <f t="shared" si="380"/>
        <v/>
      </c>
      <c r="V2956" s="348" t="str">
        <f t="shared" si="381"/>
        <v/>
      </c>
      <c r="W2956" s="348" t="str">
        <f t="shared" si="382"/>
        <v/>
      </c>
      <c r="X2956" s="348" t="str">
        <f t="shared" si="383"/>
        <v/>
      </c>
    </row>
    <row r="2957" spans="1:24" x14ac:dyDescent="0.2">
      <c r="A2957" s="407">
        <v>2949</v>
      </c>
      <c r="B2957" s="438"/>
      <c r="C2957" s="438"/>
      <c r="D2957" s="438"/>
      <c r="E2957" s="438"/>
      <c r="F2957" s="438"/>
      <c r="G2957" s="438"/>
      <c r="H2957" s="438"/>
      <c r="I2957" s="438"/>
      <c r="J2957" s="11"/>
      <c r="Q2957" s="348" t="str">
        <f t="shared" si="376"/>
        <v/>
      </c>
      <c r="R2957" s="348" t="str">
        <f t="shared" si="377"/>
        <v/>
      </c>
      <c r="S2957" s="348" t="str">
        <f t="shared" si="378"/>
        <v/>
      </c>
      <c r="T2957" s="348" t="str">
        <f t="shared" si="379"/>
        <v/>
      </c>
      <c r="U2957" s="348" t="str">
        <f t="shared" si="380"/>
        <v/>
      </c>
      <c r="V2957" s="348" t="str">
        <f t="shared" si="381"/>
        <v/>
      </c>
      <c r="W2957" s="348" t="str">
        <f t="shared" si="382"/>
        <v/>
      </c>
      <c r="X2957" s="348" t="str">
        <f t="shared" si="383"/>
        <v/>
      </c>
    </row>
    <row r="2958" spans="1:24" x14ac:dyDescent="0.2">
      <c r="A2958" s="407">
        <v>2950</v>
      </c>
      <c r="B2958" s="438"/>
      <c r="C2958" s="437"/>
      <c r="D2958" s="438"/>
      <c r="E2958" s="438"/>
      <c r="F2958" s="438"/>
      <c r="G2958" s="438"/>
      <c r="H2958" s="438"/>
      <c r="I2958" s="438"/>
      <c r="J2958" s="11"/>
      <c r="Q2958" s="348" t="str">
        <f t="shared" si="376"/>
        <v/>
      </c>
      <c r="R2958" s="348" t="str">
        <f t="shared" si="377"/>
        <v/>
      </c>
      <c r="S2958" s="348" t="str">
        <f t="shared" si="378"/>
        <v/>
      </c>
      <c r="T2958" s="348" t="str">
        <f t="shared" si="379"/>
        <v/>
      </c>
      <c r="U2958" s="348" t="str">
        <f t="shared" si="380"/>
        <v/>
      </c>
      <c r="V2958" s="348" t="str">
        <f t="shared" si="381"/>
        <v/>
      </c>
      <c r="W2958" s="348" t="str">
        <f t="shared" si="382"/>
        <v/>
      </c>
      <c r="X2958" s="348" t="str">
        <f t="shared" si="383"/>
        <v/>
      </c>
    </row>
    <row r="2959" spans="1:24" x14ac:dyDescent="0.2">
      <c r="A2959" s="407">
        <v>2951</v>
      </c>
      <c r="B2959" s="438"/>
      <c r="C2959" s="438"/>
      <c r="D2959" s="438"/>
      <c r="E2959" s="437"/>
      <c r="F2959" s="438"/>
      <c r="G2959" s="438"/>
      <c r="H2959" s="438"/>
      <c r="I2959" s="438"/>
      <c r="J2959" s="11"/>
      <c r="Q2959" s="348" t="str">
        <f t="shared" si="376"/>
        <v/>
      </c>
      <c r="R2959" s="348" t="str">
        <f t="shared" si="377"/>
        <v/>
      </c>
      <c r="S2959" s="348" t="str">
        <f t="shared" si="378"/>
        <v/>
      </c>
      <c r="T2959" s="348" t="str">
        <f t="shared" si="379"/>
        <v/>
      </c>
      <c r="U2959" s="348" t="str">
        <f t="shared" si="380"/>
        <v/>
      </c>
      <c r="V2959" s="348" t="str">
        <f t="shared" si="381"/>
        <v/>
      </c>
      <c r="W2959" s="348" t="str">
        <f t="shared" si="382"/>
        <v/>
      </c>
      <c r="X2959" s="348" t="str">
        <f t="shared" si="383"/>
        <v/>
      </c>
    </row>
    <row r="2960" spans="1:24" x14ac:dyDescent="0.2">
      <c r="A2960" s="407">
        <v>2952</v>
      </c>
      <c r="B2960" s="438"/>
      <c r="C2960" s="438"/>
      <c r="D2960" s="438"/>
      <c r="E2960" s="438"/>
      <c r="F2960" s="438"/>
      <c r="G2960" s="438"/>
      <c r="H2960" s="438"/>
      <c r="I2960" s="438"/>
      <c r="J2960" s="11"/>
      <c r="Q2960" s="348" t="str">
        <f t="shared" si="376"/>
        <v/>
      </c>
      <c r="R2960" s="348" t="str">
        <f t="shared" si="377"/>
        <v/>
      </c>
      <c r="S2960" s="348" t="str">
        <f t="shared" si="378"/>
        <v/>
      </c>
      <c r="T2960" s="348" t="str">
        <f t="shared" si="379"/>
        <v/>
      </c>
      <c r="U2960" s="348" t="str">
        <f t="shared" si="380"/>
        <v/>
      </c>
      <c r="V2960" s="348" t="str">
        <f t="shared" si="381"/>
        <v/>
      </c>
      <c r="W2960" s="348" t="str">
        <f t="shared" si="382"/>
        <v/>
      </c>
      <c r="X2960" s="348" t="str">
        <f t="shared" si="383"/>
        <v/>
      </c>
    </row>
    <row r="2961" spans="1:24" x14ac:dyDescent="0.2">
      <c r="A2961" s="407">
        <v>2953</v>
      </c>
      <c r="B2961" s="438"/>
      <c r="C2961" s="438"/>
      <c r="D2961" s="438"/>
      <c r="E2961" s="438"/>
      <c r="F2961" s="438"/>
      <c r="G2961" s="438"/>
      <c r="H2961" s="438"/>
      <c r="I2961" s="438"/>
      <c r="J2961" s="11"/>
      <c r="Q2961" s="348" t="str">
        <f t="shared" si="376"/>
        <v/>
      </c>
      <c r="R2961" s="348" t="str">
        <f t="shared" si="377"/>
        <v/>
      </c>
      <c r="S2961" s="348" t="str">
        <f t="shared" si="378"/>
        <v/>
      </c>
      <c r="T2961" s="348" t="str">
        <f t="shared" si="379"/>
        <v/>
      </c>
      <c r="U2961" s="348" t="str">
        <f t="shared" si="380"/>
        <v/>
      </c>
      <c r="V2961" s="348" t="str">
        <f t="shared" si="381"/>
        <v/>
      </c>
      <c r="W2961" s="348" t="str">
        <f t="shared" si="382"/>
        <v/>
      </c>
      <c r="X2961" s="348" t="str">
        <f t="shared" si="383"/>
        <v/>
      </c>
    </row>
    <row r="2962" spans="1:24" x14ac:dyDescent="0.2">
      <c r="A2962" s="407">
        <v>2954</v>
      </c>
      <c r="B2962" s="438"/>
      <c r="C2962" s="438"/>
      <c r="D2962" s="437"/>
      <c r="E2962" s="438"/>
      <c r="F2962" s="438"/>
      <c r="G2962" s="438"/>
      <c r="H2962" s="438"/>
      <c r="I2962" s="438"/>
      <c r="J2962" s="11"/>
      <c r="Q2962" s="348" t="str">
        <f t="shared" si="376"/>
        <v/>
      </c>
      <c r="R2962" s="348" t="str">
        <f t="shared" si="377"/>
        <v/>
      </c>
      <c r="S2962" s="348" t="str">
        <f t="shared" si="378"/>
        <v/>
      </c>
      <c r="T2962" s="348" t="str">
        <f t="shared" si="379"/>
        <v/>
      </c>
      <c r="U2962" s="348" t="str">
        <f t="shared" si="380"/>
        <v/>
      </c>
      <c r="V2962" s="348" t="str">
        <f t="shared" si="381"/>
        <v/>
      </c>
      <c r="W2962" s="348" t="str">
        <f t="shared" si="382"/>
        <v/>
      </c>
      <c r="X2962" s="348" t="str">
        <f t="shared" si="383"/>
        <v/>
      </c>
    </row>
    <row r="2963" spans="1:24" x14ac:dyDescent="0.2">
      <c r="A2963" s="407">
        <v>2955</v>
      </c>
      <c r="B2963" s="438"/>
      <c r="C2963" s="438"/>
      <c r="D2963" s="438"/>
      <c r="E2963" s="438"/>
      <c r="F2963" s="438"/>
      <c r="G2963" s="438"/>
      <c r="H2963" s="438"/>
      <c r="I2963" s="438"/>
      <c r="J2963" s="11"/>
      <c r="Q2963" s="348" t="str">
        <f t="shared" si="376"/>
        <v/>
      </c>
      <c r="R2963" s="348" t="str">
        <f t="shared" si="377"/>
        <v/>
      </c>
      <c r="S2963" s="348" t="str">
        <f t="shared" si="378"/>
        <v/>
      </c>
      <c r="T2963" s="348" t="str">
        <f t="shared" si="379"/>
        <v/>
      </c>
      <c r="U2963" s="348" t="str">
        <f t="shared" si="380"/>
        <v/>
      </c>
      <c r="V2963" s="348" t="str">
        <f t="shared" si="381"/>
        <v/>
      </c>
      <c r="W2963" s="348" t="str">
        <f t="shared" si="382"/>
        <v/>
      </c>
      <c r="X2963" s="348" t="str">
        <f t="shared" si="383"/>
        <v/>
      </c>
    </row>
    <row r="2964" spans="1:24" x14ac:dyDescent="0.2">
      <c r="A2964" s="407">
        <v>2956</v>
      </c>
      <c r="B2964" s="438"/>
      <c r="C2964" s="438"/>
      <c r="D2964" s="438"/>
      <c r="E2964" s="438"/>
      <c r="F2964" s="438"/>
      <c r="G2964" s="438"/>
      <c r="H2964" s="438"/>
      <c r="I2964" s="438"/>
      <c r="J2964" s="11"/>
      <c r="Q2964" s="348" t="str">
        <f t="shared" si="376"/>
        <v/>
      </c>
      <c r="R2964" s="348" t="str">
        <f t="shared" si="377"/>
        <v/>
      </c>
      <c r="S2964" s="348" t="str">
        <f t="shared" si="378"/>
        <v/>
      </c>
      <c r="T2964" s="348" t="str">
        <f t="shared" si="379"/>
        <v/>
      </c>
      <c r="U2964" s="348" t="str">
        <f t="shared" si="380"/>
        <v/>
      </c>
      <c r="V2964" s="348" t="str">
        <f t="shared" si="381"/>
        <v/>
      </c>
      <c r="W2964" s="348" t="str">
        <f t="shared" si="382"/>
        <v/>
      </c>
      <c r="X2964" s="348" t="str">
        <f t="shared" si="383"/>
        <v/>
      </c>
    </row>
    <row r="2965" spans="1:24" x14ac:dyDescent="0.2">
      <c r="A2965" s="407">
        <v>2957</v>
      </c>
      <c r="B2965" s="438"/>
      <c r="C2965" s="438"/>
      <c r="D2965" s="438"/>
      <c r="E2965" s="438"/>
      <c r="F2965" s="438"/>
      <c r="G2965" s="438"/>
      <c r="H2965" s="438"/>
      <c r="I2965" s="438"/>
      <c r="J2965" s="11"/>
      <c r="Q2965" s="348" t="str">
        <f t="shared" si="376"/>
        <v/>
      </c>
      <c r="R2965" s="348" t="str">
        <f t="shared" si="377"/>
        <v/>
      </c>
      <c r="S2965" s="348" t="str">
        <f t="shared" si="378"/>
        <v/>
      </c>
      <c r="T2965" s="348" t="str">
        <f t="shared" si="379"/>
        <v/>
      </c>
      <c r="U2965" s="348" t="str">
        <f t="shared" si="380"/>
        <v/>
      </c>
      <c r="V2965" s="348" t="str">
        <f t="shared" si="381"/>
        <v/>
      </c>
      <c r="W2965" s="348" t="str">
        <f t="shared" si="382"/>
        <v/>
      </c>
      <c r="X2965" s="348" t="str">
        <f t="shared" si="383"/>
        <v/>
      </c>
    </row>
    <row r="2966" spans="1:24" x14ac:dyDescent="0.2">
      <c r="A2966" s="407">
        <v>2958</v>
      </c>
      <c r="B2966" s="438"/>
      <c r="C2966" s="438"/>
      <c r="D2966" s="438"/>
      <c r="E2966" s="438"/>
      <c r="F2966" s="438"/>
      <c r="G2966" s="438"/>
      <c r="H2966" s="438"/>
      <c r="I2966" s="438"/>
      <c r="J2966" s="11"/>
      <c r="Q2966" s="348" t="str">
        <f t="shared" si="376"/>
        <v/>
      </c>
      <c r="R2966" s="348" t="str">
        <f t="shared" si="377"/>
        <v/>
      </c>
      <c r="S2966" s="348" t="str">
        <f t="shared" si="378"/>
        <v/>
      </c>
      <c r="T2966" s="348" t="str">
        <f t="shared" si="379"/>
        <v/>
      </c>
      <c r="U2966" s="348" t="str">
        <f t="shared" si="380"/>
        <v/>
      </c>
      <c r="V2966" s="348" t="str">
        <f t="shared" si="381"/>
        <v/>
      </c>
      <c r="W2966" s="348" t="str">
        <f t="shared" si="382"/>
        <v/>
      </c>
      <c r="X2966" s="348" t="str">
        <f t="shared" si="383"/>
        <v/>
      </c>
    </row>
    <row r="2967" spans="1:24" x14ac:dyDescent="0.2">
      <c r="A2967" s="407">
        <v>2959</v>
      </c>
      <c r="B2967" s="438"/>
      <c r="C2967" s="438"/>
      <c r="D2967" s="438"/>
      <c r="E2967" s="438"/>
      <c r="F2967" s="438"/>
      <c r="G2967" s="438"/>
      <c r="H2967" s="438"/>
      <c r="I2967" s="438"/>
      <c r="J2967" s="11"/>
      <c r="Q2967" s="348" t="str">
        <f t="shared" si="376"/>
        <v/>
      </c>
      <c r="R2967" s="348" t="str">
        <f t="shared" si="377"/>
        <v/>
      </c>
      <c r="S2967" s="348" t="str">
        <f t="shared" si="378"/>
        <v/>
      </c>
      <c r="T2967" s="348" t="str">
        <f t="shared" si="379"/>
        <v/>
      </c>
      <c r="U2967" s="348" t="str">
        <f t="shared" si="380"/>
        <v/>
      </c>
      <c r="V2967" s="348" t="str">
        <f t="shared" si="381"/>
        <v/>
      </c>
      <c r="W2967" s="348" t="str">
        <f t="shared" si="382"/>
        <v/>
      </c>
      <c r="X2967" s="348" t="str">
        <f t="shared" si="383"/>
        <v/>
      </c>
    </row>
    <row r="2968" spans="1:24" x14ac:dyDescent="0.2">
      <c r="A2968" s="407">
        <v>2960</v>
      </c>
      <c r="B2968" s="438"/>
      <c r="C2968" s="438"/>
      <c r="D2968" s="438"/>
      <c r="E2968" s="438"/>
      <c r="F2968" s="438"/>
      <c r="G2968" s="438"/>
      <c r="H2968" s="438"/>
      <c r="I2968" s="438"/>
      <c r="J2968" s="11"/>
      <c r="Q2968" s="348" t="str">
        <f t="shared" si="376"/>
        <v/>
      </c>
      <c r="R2968" s="348" t="str">
        <f t="shared" si="377"/>
        <v/>
      </c>
      <c r="S2968" s="348" t="str">
        <f t="shared" si="378"/>
        <v/>
      </c>
      <c r="T2968" s="348" t="str">
        <f t="shared" si="379"/>
        <v/>
      </c>
      <c r="U2968" s="348" t="str">
        <f t="shared" si="380"/>
        <v/>
      </c>
      <c r="V2968" s="348" t="str">
        <f t="shared" si="381"/>
        <v/>
      </c>
      <c r="W2968" s="348" t="str">
        <f t="shared" si="382"/>
        <v/>
      </c>
      <c r="X2968" s="348" t="str">
        <f t="shared" si="383"/>
        <v/>
      </c>
    </row>
    <row r="2969" spans="1:24" x14ac:dyDescent="0.2">
      <c r="A2969" s="407">
        <v>2961</v>
      </c>
      <c r="B2969" s="438"/>
      <c r="C2969" s="438"/>
      <c r="D2969" s="438"/>
      <c r="E2969" s="438"/>
      <c r="F2969" s="438"/>
      <c r="G2969" s="438"/>
      <c r="H2969" s="438"/>
      <c r="I2969" s="438"/>
      <c r="J2969" s="11"/>
      <c r="Q2969" s="348" t="str">
        <f t="shared" si="376"/>
        <v/>
      </c>
      <c r="R2969" s="348" t="str">
        <f t="shared" si="377"/>
        <v/>
      </c>
      <c r="S2969" s="348" t="str">
        <f t="shared" si="378"/>
        <v/>
      </c>
      <c r="T2969" s="348" t="str">
        <f t="shared" si="379"/>
        <v/>
      </c>
      <c r="U2969" s="348" t="str">
        <f t="shared" si="380"/>
        <v/>
      </c>
      <c r="V2969" s="348" t="str">
        <f t="shared" si="381"/>
        <v/>
      </c>
      <c r="W2969" s="348" t="str">
        <f t="shared" si="382"/>
        <v/>
      </c>
      <c r="X2969" s="348" t="str">
        <f t="shared" si="383"/>
        <v/>
      </c>
    </row>
    <row r="2970" spans="1:24" x14ac:dyDescent="0.2">
      <c r="A2970" s="407">
        <v>2962</v>
      </c>
      <c r="B2970" s="438"/>
      <c r="C2970" s="438"/>
      <c r="D2970" s="438"/>
      <c r="E2970" s="438"/>
      <c r="F2970" s="438"/>
      <c r="G2970" s="437"/>
      <c r="H2970" s="438"/>
      <c r="I2970" s="438"/>
      <c r="J2970" s="11"/>
      <c r="Q2970" s="348" t="str">
        <f t="shared" si="376"/>
        <v/>
      </c>
      <c r="R2970" s="348" t="str">
        <f t="shared" si="377"/>
        <v/>
      </c>
      <c r="S2970" s="348" t="str">
        <f t="shared" si="378"/>
        <v/>
      </c>
      <c r="T2970" s="348" t="str">
        <f t="shared" si="379"/>
        <v/>
      </c>
      <c r="U2970" s="348" t="str">
        <f t="shared" si="380"/>
        <v/>
      </c>
      <c r="V2970" s="348" t="str">
        <f t="shared" si="381"/>
        <v/>
      </c>
      <c r="W2970" s="348" t="str">
        <f t="shared" si="382"/>
        <v/>
      </c>
      <c r="X2970" s="348" t="str">
        <f t="shared" si="383"/>
        <v/>
      </c>
    </row>
    <row r="2971" spans="1:24" x14ac:dyDescent="0.2">
      <c r="A2971" s="407">
        <v>2963</v>
      </c>
      <c r="B2971" s="438"/>
      <c r="C2971" s="438"/>
      <c r="D2971" s="438"/>
      <c r="E2971" s="438"/>
      <c r="F2971" s="438"/>
      <c r="G2971" s="438"/>
      <c r="H2971" s="438"/>
      <c r="I2971" s="438"/>
      <c r="J2971" s="11"/>
      <c r="Q2971" s="348" t="str">
        <f t="shared" si="376"/>
        <v/>
      </c>
      <c r="R2971" s="348" t="str">
        <f t="shared" si="377"/>
        <v/>
      </c>
      <c r="S2971" s="348" t="str">
        <f t="shared" si="378"/>
        <v/>
      </c>
      <c r="T2971" s="348" t="str">
        <f t="shared" si="379"/>
        <v/>
      </c>
      <c r="U2971" s="348" t="str">
        <f t="shared" si="380"/>
        <v/>
      </c>
      <c r="V2971" s="348" t="str">
        <f t="shared" si="381"/>
        <v/>
      </c>
      <c r="W2971" s="348" t="str">
        <f t="shared" si="382"/>
        <v/>
      </c>
      <c r="X2971" s="348" t="str">
        <f t="shared" si="383"/>
        <v/>
      </c>
    </row>
    <row r="2972" spans="1:24" x14ac:dyDescent="0.2">
      <c r="A2972" s="407">
        <v>2964</v>
      </c>
      <c r="B2972" s="438"/>
      <c r="C2972" s="437"/>
      <c r="D2972" s="438"/>
      <c r="E2972" s="438"/>
      <c r="F2972" s="437"/>
      <c r="G2972" s="438"/>
      <c r="H2972" s="437"/>
      <c r="I2972" s="438"/>
      <c r="J2972" s="11"/>
      <c r="Q2972" s="348" t="str">
        <f t="shared" si="376"/>
        <v/>
      </c>
      <c r="R2972" s="348" t="str">
        <f t="shared" si="377"/>
        <v/>
      </c>
      <c r="S2972" s="348" t="str">
        <f t="shared" si="378"/>
        <v/>
      </c>
      <c r="T2972" s="348" t="str">
        <f t="shared" si="379"/>
        <v/>
      </c>
      <c r="U2972" s="348" t="str">
        <f t="shared" si="380"/>
        <v/>
      </c>
      <c r="V2972" s="348" t="str">
        <f t="shared" si="381"/>
        <v/>
      </c>
      <c r="W2972" s="348" t="str">
        <f t="shared" si="382"/>
        <v/>
      </c>
      <c r="X2972" s="348" t="str">
        <f t="shared" si="383"/>
        <v/>
      </c>
    </row>
    <row r="2973" spans="1:24" x14ac:dyDescent="0.2">
      <c r="A2973" s="407">
        <v>2965</v>
      </c>
      <c r="B2973" s="437"/>
      <c r="C2973" s="438"/>
      <c r="D2973" s="438"/>
      <c r="E2973" s="438"/>
      <c r="F2973" s="438"/>
      <c r="G2973" s="438"/>
      <c r="H2973" s="438"/>
      <c r="I2973" s="437"/>
      <c r="J2973" s="11"/>
      <c r="Q2973" s="348" t="str">
        <f t="shared" si="376"/>
        <v/>
      </c>
      <c r="R2973" s="348" t="str">
        <f t="shared" si="377"/>
        <v/>
      </c>
      <c r="S2973" s="348" t="str">
        <f t="shared" si="378"/>
        <v/>
      </c>
      <c r="T2973" s="348" t="str">
        <f t="shared" si="379"/>
        <v/>
      </c>
      <c r="U2973" s="348" t="str">
        <f t="shared" si="380"/>
        <v/>
      </c>
      <c r="V2973" s="348" t="str">
        <f t="shared" si="381"/>
        <v/>
      </c>
      <c r="W2973" s="348" t="str">
        <f t="shared" si="382"/>
        <v/>
      </c>
      <c r="X2973" s="348" t="str">
        <f t="shared" si="383"/>
        <v/>
      </c>
    </row>
    <row r="2974" spans="1:24" x14ac:dyDescent="0.2">
      <c r="A2974" s="407">
        <v>2966</v>
      </c>
      <c r="B2974" s="438"/>
      <c r="C2974" s="438"/>
      <c r="D2974" s="438"/>
      <c r="E2974" s="438"/>
      <c r="F2974" s="438"/>
      <c r="G2974" s="438"/>
      <c r="H2974" s="438"/>
      <c r="I2974" s="438"/>
      <c r="J2974" s="11"/>
      <c r="Q2974" s="348" t="str">
        <f t="shared" si="376"/>
        <v/>
      </c>
      <c r="R2974" s="348" t="str">
        <f t="shared" si="377"/>
        <v/>
      </c>
      <c r="S2974" s="348" t="str">
        <f t="shared" si="378"/>
        <v/>
      </c>
      <c r="T2974" s="348" t="str">
        <f t="shared" si="379"/>
        <v/>
      </c>
      <c r="U2974" s="348" t="str">
        <f t="shared" si="380"/>
        <v/>
      </c>
      <c r="V2974" s="348" t="str">
        <f t="shared" si="381"/>
        <v/>
      </c>
      <c r="W2974" s="348" t="str">
        <f t="shared" si="382"/>
        <v/>
      </c>
      <c r="X2974" s="348" t="str">
        <f t="shared" si="383"/>
        <v/>
      </c>
    </row>
    <row r="2975" spans="1:24" x14ac:dyDescent="0.2">
      <c r="A2975" s="407">
        <v>2967</v>
      </c>
      <c r="B2975" s="438"/>
      <c r="C2975" s="438"/>
      <c r="D2975" s="438"/>
      <c r="E2975" s="438"/>
      <c r="F2975" s="438"/>
      <c r="G2975" s="438"/>
      <c r="H2975" s="438"/>
      <c r="I2975" s="438"/>
      <c r="J2975" s="11"/>
      <c r="Q2975" s="348" t="str">
        <f t="shared" si="376"/>
        <v/>
      </c>
      <c r="R2975" s="348" t="str">
        <f t="shared" si="377"/>
        <v/>
      </c>
      <c r="S2975" s="348" t="str">
        <f t="shared" si="378"/>
        <v/>
      </c>
      <c r="T2975" s="348" t="str">
        <f t="shared" si="379"/>
        <v/>
      </c>
      <c r="U2975" s="348" t="str">
        <f t="shared" si="380"/>
        <v/>
      </c>
      <c r="V2975" s="348" t="str">
        <f t="shared" si="381"/>
        <v/>
      </c>
      <c r="W2975" s="348" t="str">
        <f t="shared" si="382"/>
        <v/>
      </c>
      <c r="X2975" s="348" t="str">
        <f t="shared" si="383"/>
        <v/>
      </c>
    </row>
    <row r="2976" spans="1:24" x14ac:dyDescent="0.2">
      <c r="A2976" s="407">
        <v>2968</v>
      </c>
      <c r="B2976" s="438"/>
      <c r="C2976" s="438"/>
      <c r="D2976" s="438"/>
      <c r="E2976" s="438"/>
      <c r="F2976" s="438"/>
      <c r="G2976" s="438"/>
      <c r="H2976" s="438"/>
      <c r="I2976" s="438"/>
      <c r="J2976" s="11"/>
      <c r="Q2976" s="348" t="str">
        <f t="shared" si="376"/>
        <v/>
      </c>
      <c r="R2976" s="348" t="str">
        <f t="shared" si="377"/>
        <v/>
      </c>
      <c r="S2976" s="348" t="str">
        <f t="shared" si="378"/>
        <v/>
      </c>
      <c r="T2976" s="348" t="str">
        <f t="shared" si="379"/>
        <v/>
      </c>
      <c r="U2976" s="348" t="str">
        <f t="shared" si="380"/>
        <v/>
      </c>
      <c r="V2976" s="348" t="str">
        <f t="shared" si="381"/>
        <v/>
      </c>
      <c r="W2976" s="348" t="str">
        <f t="shared" si="382"/>
        <v/>
      </c>
      <c r="X2976" s="348" t="str">
        <f t="shared" si="383"/>
        <v/>
      </c>
    </row>
    <row r="2977" spans="1:24" x14ac:dyDescent="0.2">
      <c r="A2977" s="407">
        <v>2969</v>
      </c>
      <c r="B2977" s="438"/>
      <c r="C2977" s="438"/>
      <c r="D2977" s="438"/>
      <c r="E2977" s="437"/>
      <c r="F2977" s="438"/>
      <c r="G2977" s="438"/>
      <c r="H2977" s="438"/>
      <c r="I2977" s="438"/>
      <c r="J2977" s="11"/>
      <c r="Q2977" s="348" t="str">
        <f t="shared" si="376"/>
        <v/>
      </c>
      <c r="R2977" s="348" t="str">
        <f t="shared" si="377"/>
        <v/>
      </c>
      <c r="S2977" s="348" t="str">
        <f t="shared" si="378"/>
        <v/>
      </c>
      <c r="T2977" s="348" t="str">
        <f t="shared" si="379"/>
        <v/>
      </c>
      <c r="U2977" s="348" t="str">
        <f t="shared" si="380"/>
        <v/>
      </c>
      <c r="V2977" s="348" t="str">
        <f t="shared" si="381"/>
        <v/>
      </c>
      <c r="W2977" s="348" t="str">
        <f t="shared" si="382"/>
        <v/>
      </c>
      <c r="X2977" s="348" t="str">
        <f t="shared" si="383"/>
        <v/>
      </c>
    </row>
    <row r="2978" spans="1:24" x14ac:dyDescent="0.2">
      <c r="A2978" s="407">
        <v>2970</v>
      </c>
      <c r="B2978" s="438"/>
      <c r="C2978" s="438"/>
      <c r="D2978" s="438"/>
      <c r="E2978" s="438"/>
      <c r="F2978" s="438"/>
      <c r="G2978" s="438"/>
      <c r="H2978" s="438"/>
      <c r="I2978" s="438"/>
      <c r="J2978" s="11"/>
      <c r="Q2978" s="348" t="str">
        <f t="shared" si="376"/>
        <v/>
      </c>
      <c r="R2978" s="348" t="str">
        <f t="shared" si="377"/>
        <v/>
      </c>
      <c r="S2978" s="348" t="str">
        <f t="shared" si="378"/>
        <v/>
      </c>
      <c r="T2978" s="348" t="str">
        <f t="shared" si="379"/>
        <v/>
      </c>
      <c r="U2978" s="348" t="str">
        <f t="shared" si="380"/>
        <v/>
      </c>
      <c r="V2978" s="348" t="str">
        <f t="shared" si="381"/>
        <v/>
      </c>
      <c r="W2978" s="348" t="str">
        <f t="shared" si="382"/>
        <v/>
      </c>
      <c r="X2978" s="348" t="str">
        <f t="shared" si="383"/>
        <v/>
      </c>
    </row>
    <row r="2979" spans="1:24" x14ac:dyDescent="0.2">
      <c r="A2979" s="407">
        <v>2971</v>
      </c>
      <c r="B2979" s="438"/>
      <c r="C2979" s="438"/>
      <c r="D2979" s="438"/>
      <c r="E2979" s="438"/>
      <c r="F2979" s="438"/>
      <c r="G2979" s="438"/>
      <c r="H2979" s="438"/>
      <c r="I2979" s="438"/>
      <c r="J2979" s="11"/>
      <c r="Q2979" s="348" t="str">
        <f t="shared" si="376"/>
        <v/>
      </c>
      <c r="R2979" s="348" t="str">
        <f t="shared" si="377"/>
        <v/>
      </c>
      <c r="S2979" s="348" t="str">
        <f t="shared" si="378"/>
        <v/>
      </c>
      <c r="T2979" s="348" t="str">
        <f t="shared" si="379"/>
        <v/>
      </c>
      <c r="U2979" s="348" t="str">
        <f t="shared" si="380"/>
        <v/>
      </c>
      <c r="V2979" s="348" t="str">
        <f t="shared" si="381"/>
        <v/>
      </c>
      <c r="W2979" s="348" t="str">
        <f t="shared" si="382"/>
        <v/>
      </c>
      <c r="X2979" s="348" t="str">
        <f t="shared" si="383"/>
        <v/>
      </c>
    </row>
    <row r="2980" spans="1:24" x14ac:dyDescent="0.2">
      <c r="A2980" s="407">
        <v>2972</v>
      </c>
      <c r="B2980" s="438"/>
      <c r="C2980" s="438"/>
      <c r="D2980" s="438"/>
      <c r="E2980" s="438"/>
      <c r="F2980" s="438"/>
      <c r="G2980" s="438"/>
      <c r="H2980" s="438"/>
      <c r="I2980" s="438"/>
      <c r="J2980" s="11"/>
      <c r="Q2980" s="348" t="str">
        <f t="shared" si="376"/>
        <v/>
      </c>
      <c r="R2980" s="348" t="str">
        <f t="shared" si="377"/>
        <v/>
      </c>
      <c r="S2980" s="348" t="str">
        <f t="shared" si="378"/>
        <v/>
      </c>
      <c r="T2980" s="348" t="str">
        <f t="shared" si="379"/>
        <v/>
      </c>
      <c r="U2980" s="348" t="str">
        <f t="shared" si="380"/>
        <v/>
      </c>
      <c r="V2980" s="348" t="str">
        <f t="shared" si="381"/>
        <v/>
      </c>
      <c r="W2980" s="348" t="str">
        <f t="shared" si="382"/>
        <v/>
      </c>
      <c r="X2980" s="348" t="str">
        <f t="shared" si="383"/>
        <v/>
      </c>
    </row>
    <row r="2981" spans="1:24" x14ac:dyDescent="0.2">
      <c r="A2981" s="407">
        <v>2973</v>
      </c>
      <c r="B2981" s="438"/>
      <c r="C2981" s="438"/>
      <c r="D2981" s="438"/>
      <c r="E2981" s="438"/>
      <c r="F2981" s="438"/>
      <c r="G2981" s="438"/>
      <c r="H2981" s="438"/>
      <c r="I2981" s="438"/>
      <c r="J2981" s="11"/>
      <c r="Q2981" s="348" t="str">
        <f t="shared" si="376"/>
        <v/>
      </c>
      <c r="R2981" s="348" t="str">
        <f t="shared" si="377"/>
        <v/>
      </c>
      <c r="S2981" s="348" t="str">
        <f t="shared" si="378"/>
        <v/>
      </c>
      <c r="T2981" s="348" t="str">
        <f t="shared" si="379"/>
        <v/>
      </c>
      <c r="U2981" s="348" t="str">
        <f t="shared" si="380"/>
        <v/>
      </c>
      <c r="V2981" s="348" t="str">
        <f t="shared" si="381"/>
        <v/>
      </c>
      <c r="W2981" s="348" t="str">
        <f t="shared" si="382"/>
        <v/>
      </c>
      <c r="X2981" s="348" t="str">
        <f t="shared" si="383"/>
        <v/>
      </c>
    </row>
    <row r="2982" spans="1:24" x14ac:dyDescent="0.2">
      <c r="A2982" s="407">
        <v>2974</v>
      </c>
      <c r="B2982" s="438"/>
      <c r="C2982" s="438"/>
      <c r="D2982" s="438"/>
      <c r="E2982" s="438"/>
      <c r="F2982" s="438"/>
      <c r="G2982" s="438"/>
      <c r="H2982" s="438"/>
      <c r="I2982" s="438"/>
      <c r="J2982" s="11"/>
      <c r="Q2982" s="348" t="str">
        <f t="shared" si="376"/>
        <v/>
      </c>
      <c r="R2982" s="348" t="str">
        <f t="shared" si="377"/>
        <v/>
      </c>
      <c r="S2982" s="348" t="str">
        <f t="shared" si="378"/>
        <v/>
      </c>
      <c r="T2982" s="348" t="str">
        <f t="shared" si="379"/>
        <v/>
      </c>
      <c r="U2982" s="348" t="str">
        <f t="shared" si="380"/>
        <v/>
      </c>
      <c r="V2982" s="348" t="str">
        <f t="shared" si="381"/>
        <v/>
      </c>
      <c r="W2982" s="348" t="str">
        <f t="shared" si="382"/>
        <v/>
      </c>
      <c r="X2982" s="348" t="str">
        <f t="shared" si="383"/>
        <v/>
      </c>
    </row>
    <row r="2983" spans="1:24" x14ac:dyDescent="0.2">
      <c r="A2983" s="407">
        <v>2975</v>
      </c>
      <c r="B2983" s="437"/>
      <c r="C2983" s="438"/>
      <c r="D2983" s="438"/>
      <c r="E2983" s="438"/>
      <c r="F2983" s="438"/>
      <c r="G2983" s="438"/>
      <c r="H2983" s="438"/>
      <c r="I2983" s="438"/>
      <c r="J2983" s="11"/>
      <c r="Q2983" s="348" t="str">
        <f t="shared" si="376"/>
        <v/>
      </c>
      <c r="R2983" s="348" t="str">
        <f t="shared" si="377"/>
        <v/>
      </c>
      <c r="S2983" s="348" t="str">
        <f t="shared" si="378"/>
        <v/>
      </c>
      <c r="T2983" s="348" t="str">
        <f t="shared" si="379"/>
        <v/>
      </c>
      <c r="U2983" s="348" t="str">
        <f t="shared" si="380"/>
        <v/>
      </c>
      <c r="V2983" s="348" t="str">
        <f t="shared" si="381"/>
        <v/>
      </c>
      <c r="W2983" s="348" t="str">
        <f t="shared" si="382"/>
        <v/>
      </c>
      <c r="X2983" s="348" t="str">
        <f t="shared" si="383"/>
        <v/>
      </c>
    </row>
    <row r="2984" spans="1:24" x14ac:dyDescent="0.2">
      <c r="A2984" s="407">
        <v>2976</v>
      </c>
      <c r="B2984" s="438"/>
      <c r="C2984" s="438"/>
      <c r="D2984" s="438"/>
      <c r="E2984" s="438"/>
      <c r="F2984" s="438"/>
      <c r="G2984" s="438"/>
      <c r="H2984" s="438"/>
      <c r="I2984" s="438"/>
      <c r="J2984" s="11"/>
      <c r="Q2984" s="348" t="str">
        <f t="shared" si="376"/>
        <v/>
      </c>
      <c r="R2984" s="348" t="str">
        <f t="shared" si="377"/>
        <v/>
      </c>
      <c r="S2984" s="348" t="str">
        <f t="shared" si="378"/>
        <v/>
      </c>
      <c r="T2984" s="348" t="str">
        <f t="shared" si="379"/>
        <v/>
      </c>
      <c r="U2984" s="348" t="str">
        <f t="shared" si="380"/>
        <v/>
      </c>
      <c r="V2984" s="348" t="str">
        <f t="shared" si="381"/>
        <v/>
      </c>
      <c r="W2984" s="348" t="str">
        <f t="shared" si="382"/>
        <v/>
      </c>
      <c r="X2984" s="348" t="str">
        <f t="shared" si="383"/>
        <v/>
      </c>
    </row>
    <row r="2985" spans="1:24" x14ac:dyDescent="0.2">
      <c r="A2985" s="407">
        <v>2977</v>
      </c>
      <c r="B2985" s="438"/>
      <c r="C2985" s="438"/>
      <c r="D2985" s="438"/>
      <c r="E2985" s="438"/>
      <c r="F2985" s="438"/>
      <c r="G2985" s="438"/>
      <c r="H2985" s="438"/>
      <c r="I2985" s="438"/>
      <c r="J2985" s="11"/>
      <c r="Q2985" s="348" t="str">
        <f t="shared" si="376"/>
        <v/>
      </c>
      <c r="R2985" s="348" t="str">
        <f t="shared" si="377"/>
        <v/>
      </c>
      <c r="S2985" s="348" t="str">
        <f t="shared" si="378"/>
        <v/>
      </c>
      <c r="T2985" s="348" t="str">
        <f t="shared" si="379"/>
        <v/>
      </c>
      <c r="U2985" s="348" t="str">
        <f t="shared" si="380"/>
        <v/>
      </c>
      <c r="V2985" s="348" t="str">
        <f t="shared" si="381"/>
        <v/>
      </c>
      <c r="W2985" s="348" t="str">
        <f t="shared" si="382"/>
        <v/>
      </c>
      <c r="X2985" s="348" t="str">
        <f t="shared" si="383"/>
        <v/>
      </c>
    </row>
    <row r="2986" spans="1:24" x14ac:dyDescent="0.2">
      <c r="A2986" s="407">
        <v>2978</v>
      </c>
      <c r="B2986" s="438"/>
      <c r="C2986" s="438"/>
      <c r="D2986" s="438"/>
      <c r="E2986" s="438"/>
      <c r="F2986" s="438"/>
      <c r="G2986" s="438"/>
      <c r="H2986" s="438"/>
      <c r="I2986" s="438"/>
      <c r="J2986" s="11"/>
      <c r="Q2986" s="348" t="str">
        <f t="shared" si="376"/>
        <v/>
      </c>
      <c r="R2986" s="348" t="str">
        <f t="shared" si="377"/>
        <v/>
      </c>
      <c r="S2986" s="348" t="str">
        <f t="shared" si="378"/>
        <v/>
      </c>
      <c r="T2986" s="348" t="str">
        <f t="shared" si="379"/>
        <v/>
      </c>
      <c r="U2986" s="348" t="str">
        <f t="shared" si="380"/>
        <v/>
      </c>
      <c r="V2986" s="348" t="str">
        <f t="shared" si="381"/>
        <v/>
      </c>
      <c r="W2986" s="348" t="str">
        <f t="shared" si="382"/>
        <v/>
      </c>
      <c r="X2986" s="348" t="str">
        <f t="shared" si="383"/>
        <v/>
      </c>
    </row>
    <row r="2987" spans="1:24" x14ac:dyDescent="0.2">
      <c r="A2987" s="407">
        <v>2979</v>
      </c>
      <c r="B2987" s="438"/>
      <c r="C2987" s="438"/>
      <c r="D2987" s="438"/>
      <c r="E2987" s="438"/>
      <c r="F2987" s="438"/>
      <c r="G2987" s="438"/>
      <c r="H2987" s="438"/>
      <c r="I2987" s="438"/>
      <c r="J2987" s="11"/>
      <c r="Q2987" s="348" t="str">
        <f t="shared" si="376"/>
        <v/>
      </c>
      <c r="R2987" s="348" t="str">
        <f t="shared" si="377"/>
        <v/>
      </c>
      <c r="S2987" s="348" t="str">
        <f t="shared" si="378"/>
        <v/>
      </c>
      <c r="T2987" s="348" t="str">
        <f t="shared" si="379"/>
        <v/>
      </c>
      <c r="U2987" s="348" t="str">
        <f t="shared" si="380"/>
        <v/>
      </c>
      <c r="V2987" s="348" t="str">
        <f t="shared" si="381"/>
        <v/>
      </c>
      <c r="W2987" s="348" t="str">
        <f t="shared" si="382"/>
        <v/>
      </c>
      <c r="X2987" s="348" t="str">
        <f t="shared" si="383"/>
        <v/>
      </c>
    </row>
    <row r="2988" spans="1:24" x14ac:dyDescent="0.2">
      <c r="A2988" s="407">
        <v>2980</v>
      </c>
      <c r="B2988" s="438"/>
      <c r="C2988" s="438"/>
      <c r="D2988" s="438"/>
      <c r="E2988" s="438"/>
      <c r="F2988" s="438"/>
      <c r="G2988" s="438"/>
      <c r="H2988" s="438"/>
      <c r="I2988" s="438"/>
      <c r="J2988" s="11"/>
      <c r="Q2988" s="348" t="str">
        <f t="shared" si="376"/>
        <v/>
      </c>
      <c r="R2988" s="348" t="str">
        <f t="shared" si="377"/>
        <v/>
      </c>
      <c r="S2988" s="348" t="str">
        <f t="shared" si="378"/>
        <v/>
      </c>
      <c r="T2988" s="348" t="str">
        <f t="shared" si="379"/>
        <v/>
      </c>
      <c r="U2988" s="348" t="str">
        <f t="shared" si="380"/>
        <v/>
      </c>
      <c r="V2988" s="348" t="str">
        <f t="shared" si="381"/>
        <v/>
      </c>
      <c r="W2988" s="348" t="str">
        <f t="shared" si="382"/>
        <v/>
      </c>
      <c r="X2988" s="348" t="str">
        <f t="shared" si="383"/>
        <v/>
      </c>
    </row>
    <row r="2989" spans="1:24" x14ac:dyDescent="0.2">
      <c r="A2989" s="407">
        <v>2981</v>
      </c>
      <c r="B2989" s="438"/>
      <c r="C2989" s="438"/>
      <c r="D2989" s="438"/>
      <c r="E2989" s="438"/>
      <c r="F2989" s="438"/>
      <c r="G2989" s="438"/>
      <c r="H2989" s="438"/>
      <c r="I2989" s="438"/>
      <c r="J2989" s="11"/>
      <c r="Q2989" s="348" t="str">
        <f t="shared" si="376"/>
        <v/>
      </c>
      <c r="R2989" s="348" t="str">
        <f t="shared" si="377"/>
        <v/>
      </c>
      <c r="S2989" s="348" t="str">
        <f t="shared" si="378"/>
        <v/>
      </c>
      <c r="T2989" s="348" t="str">
        <f t="shared" si="379"/>
        <v/>
      </c>
      <c r="U2989" s="348" t="str">
        <f t="shared" si="380"/>
        <v/>
      </c>
      <c r="V2989" s="348" t="str">
        <f t="shared" si="381"/>
        <v/>
      </c>
      <c r="W2989" s="348" t="str">
        <f t="shared" si="382"/>
        <v/>
      </c>
      <c r="X2989" s="348" t="str">
        <f t="shared" si="383"/>
        <v/>
      </c>
    </row>
    <row r="2990" spans="1:24" x14ac:dyDescent="0.2">
      <c r="A2990" s="407">
        <v>2982</v>
      </c>
      <c r="B2990" s="438"/>
      <c r="C2990" s="438"/>
      <c r="D2990" s="438"/>
      <c r="E2990" s="438"/>
      <c r="F2990" s="438"/>
      <c r="G2990" s="438"/>
      <c r="H2990" s="438"/>
      <c r="I2990" s="438"/>
      <c r="J2990" s="11"/>
      <c r="Q2990" s="348" t="str">
        <f t="shared" si="376"/>
        <v/>
      </c>
      <c r="R2990" s="348" t="str">
        <f t="shared" si="377"/>
        <v/>
      </c>
      <c r="S2990" s="348" t="str">
        <f t="shared" si="378"/>
        <v/>
      </c>
      <c r="T2990" s="348" t="str">
        <f t="shared" si="379"/>
        <v/>
      </c>
      <c r="U2990" s="348" t="str">
        <f t="shared" si="380"/>
        <v/>
      </c>
      <c r="V2990" s="348" t="str">
        <f t="shared" si="381"/>
        <v/>
      </c>
      <c r="W2990" s="348" t="str">
        <f t="shared" si="382"/>
        <v/>
      </c>
      <c r="X2990" s="348" t="str">
        <f t="shared" si="383"/>
        <v/>
      </c>
    </row>
    <row r="2991" spans="1:24" x14ac:dyDescent="0.2">
      <c r="A2991" s="407">
        <v>2983</v>
      </c>
      <c r="B2991" s="438"/>
      <c r="C2991" s="438"/>
      <c r="D2991" s="438"/>
      <c r="E2991" s="438"/>
      <c r="F2991" s="438"/>
      <c r="G2991" s="438"/>
      <c r="H2991" s="438"/>
      <c r="I2991" s="438"/>
      <c r="J2991" s="11"/>
      <c r="Q2991" s="348" t="str">
        <f t="shared" si="376"/>
        <v/>
      </c>
      <c r="R2991" s="348" t="str">
        <f t="shared" si="377"/>
        <v/>
      </c>
      <c r="S2991" s="348" t="str">
        <f t="shared" si="378"/>
        <v/>
      </c>
      <c r="T2991" s="348" t="str">
        <f t="shared" si="379"/>
        <v/>
      </c>
      <c r="U2991" s="348" t="str">
        <f t="shared" si="380"/>
        <v/>
      </c>
      <c r="V2991" s="348" t="str">
        <f t="shared" si="381"/>
        <v/>
      </c>
      <c r="W2991" s="348" t="str">
        <f t="shared" si="382"/>
        <v/>
      </c>
      <c r="X2991" s="348" t="str">
        <f t="shared" si="383"/>
        <v/>
      </c>
    </row>
    <row r="2992" spans="1:24" x14ac:dyDescent="0.2">
      <c r="A2992" s="407">
        <v>2984</v>
      </c>
      <c r="B2992" s="438"/>
      <c r="C2992" s="438"/>
      <c r="D2992" s="438"/>
      <c r="E2992" s="438"/>
      <c r="F2992" s="438"/>
      <c r="G2992" s="438"/>
      <c r="H2992" s="438"/>
      <c r="I2992" s="438"/>
      <c r="J2992" s="11"/>
      <c r="Q2992" s="348" t="str">
        <f t="shared" si="376"/>
        <v/>
      </c>
      <c r="R2992" s="348" t="str">
        <f t="shared" si="377"/>
        <v/>
      </c>
      <c r="S2992" s="348" t="str">
        <f t="shared" si="378"/>
        <v/>
      </c>
      <c r="T2992" s="348" t="str">
        <f t="shared" si="379"/>
        <v/>
      </c>
      <c r="U2992" s="348" t="str">
        <f t="shared" si="380"/>
        <v/>
      </c>
      <c r="V2992" s="348" t="str">
        <f t="shared" si="381"/>
        <v/>
      </c>
      <c r="W2992" s="348" t="str">
        <f t="shared" si="382"/>
        <v/>
      </c>
      <c r="X2992" s="348" t="str">
        <f t="shared" si="383"/>
        <v/>
      </c>
    </row>
    <row r="2993" spans="1:24" x14ac:dyDescent="0.2">
      <c r="A2993" s="407">
        <v>2985</v>
      </c>
      <c r="B2993" s="438"/>
      <c r="C2993" s="438"/>
      <c r="D2993" s="438"/>
      <c r="E2993" s="438"/>
      <c r="F2993" s="438"/>
      <c r="G2993" s="438"/>
      <c r="H2993" s="438"/>
      <c r="I2993" s="438"/>
      <c r="J2993" s="11"/>
      <c r="Q2993" s="348" t="str">
        <f t="shared" si="376"/>
        <v/>
      </c>
      <c r="R2993" s="348" t="str">
        <f t="shared" si="377"/>
        <v/>
      </c>
      <c r="S2993" s="348" t="str">
        <f t="shared" si="378"/>
        <v/>
      </c>
      <c r="T2993" s="348" t="str">
        <f t="shared" si="379"/>
        <v/>
      </c>
      <c r="U2993" s="348" t="str">
        <f t="shared" si="380"/>
        <v/>
      </c>
      <c r="V2993" s="348" t="str">
        <f t="shared" si="381"/>
        <v/>
      </c>
      <c r="W2993" s="348" t="str">
        <f t="shared" si="382"/>
        <v/>
      </c>
      <c r="X2993" s="348" t="str">
        <f t="shared" si="383"/>
        <v/>
      </c>
    </row>
    <row r="2994" spans="1:24" x14ac:dyDescent="0.2">
      <c r="A2994" s="407">
        <v>2986</v>
      </c>
      <c r="B2994" s="438"/>
      <c r="C2994" s="438"/>
      <c r="D2994" s="438"/>
      <c r="E2994" s="438"/>
      <c r="F2994" s="438"/>
      <c r="G2994" s="438"/>
      <c r="H2994" s="438"/>
      <c r="I2994" s="438"/>
      <c r="J2994" s="11"/>
      <c r="Q2994" s="348" t="str">
        <f t="shared" si="376"/>
        <v/>
      </c>
      <c r="R2994" s="348" t="str">
        <f t="shared" si="377"/>
        <v/>
      </c>
      <c r="S2994" s="348" t="str">
        <f t="shared" si="378"/>
        <v/>
      </c>
      <c r="T2994" s="348" t="str">
        <f t="shared" si="379"/>
        <v/>
      </c>
      <c r="U2994" s="348" t="str">
        <f t="shared" si="380"/>
        <v/>
      </c>
      <c r="V2994" s="348" t="str">
        <f t="shared" si="381"/>
        <v/>
      </c>
      <c r="W2994" s="348" t="str">
        <f t="shared" si="382"/>
        <v/>
      </c>
      <c r="X2994" s="348" t="str">
        <f t="shared" si="383"/>
        <v/>
      </c>
    </row>
    <row r="2995" spans="1:24" x14ac:dyDescent="0.2">
      <c r="A2995" s="407">
        <v>2987</v>
      </c>
      <c r="B2995" s="438"/>
      <c r="C2995" s="438"/>
      <c r="D2995" s="438"/>
      <c r="E2995" s="438"/>
      <c r="F2995" s="438"/>
      <c r="G2995" s="438"/>
      <c r="H2995" s="438"/>
      <c r="I2995" s="438"/>
      <c r="J2995" s="11"/>
      <c r="Q2995" s="348" t="str">
        <f t="shared" si="376"/>
        <v/>
      </c>
      <c r="R2995" s="348" t="str">
        <f t="shared" si="377"/>
        <v/>
      </c>
      <c r="S2995" s="348" t="str">
        <f t="shared" si="378"/>
        <v/>
      </c>
      <c r="T2995" s="348" t="str">
        <f t="shared" si="379"/>
        <v/>
      </c>
      <c r="U2995" s="348" t="str">
        <f t="shared" si="380"/>
        <v/>
      </c>
      <c r="V2995" s="348" t="str">
        <f t="shared" si="381"/>
        <v/>
      </c>
      <c r="W2995" s="348" t="str">
        <f t="shared" si="382"/>
        <v/>
      </c>
      <c r="X2995" s="348" t="str">
        <f t="shared" si="383"/>
        <v/>
      </c>
    </row>
    <row r="2996" spans="1:24" x14ac:dyDescent="0.2">
      <c r="A2996" s="407">
        <v>2988</v>
      </c>
      <c r="B2996" s="438"/>
      <c r="C2996" s="438"/>
      <c r="D2996" s="438"/>
      <c r="E2996" s="438"/>
      <c r="F2996" s="438"/>
      <c r="G2996" s="438"/>
      <c r="H2996" s="438"/>
      <c r="I2996" s="438"/>
      <c r="J2996" s="11"/>
      <c r="Q2996" s="348" t="str">
        <f t="shared" si="376"/>
        <v/>
      </c>
      <c r="R2996" s="348" t="str">
        <f t="shared" si="377"/>
        <v/>
      </c>
      <c r="S2996" s="348" t="str">
        <f t="shared" si="378"/>
        <v/>
      </c>
      <c r="T2996" s="348" t="str">
        <f t="shared" si="379"/>
        <v/>
      </c>
      <c r="U2996" s="348" t="str">
        <f t="shared" si="380"/>
        <v/>
      </c>
      <c r="V2996" s="348" t="str">
        <f t="shared" si="381"/>
        <v/>
      </c>
      <c r="W2996" s="348" t="str">
        <f t="shared" si="382"/>
        <v/>
      </c>
      <c r="X2996" s="348" t="str">
        <f t="shared" si="383"/>
        <v/>
      </c>
    </row>
    <row r="2997" spans="1:24" x14ac:dyDescent="0.2">
      <c r="A2997" s="407">
        <v>2989</v>
      </c>
      <c r="B2997" s="437"/>
      <c r="C2997" s="438"/>
      <c r="D2997" s="438"/>
      <c r="E2997" s="438"/>
      <c r="F2997" s="438"/>
      <c r="G2997" s="438"/>
      <c r="H2997" s="438"/>
      <c r="I2997" s="438"/>
      <c r="J2997" s="11"/>
      <c r="Q2997" s="348" t="str">
        <f t="shared" si="376"/>
        <v/>
      </c>
      <c r="R2997" s="348" t="str">
        <f t="shared" si="377"/>
        <v/>
      </c>
      <c r="S2997" s="348" t="str">
        <f t="shared" si="378"/>
        <v/>
      </c>
      <c r="T2997" s="348" t="str">
        <f t="shared" si="379"/>
        <v/>
      </c>
      <c r="U2997" s="348" t="str">
        <f t="shared" si="380"/>
        <v/>
      </c>
      <c r="V2997" s="348" t="str">
        <f t="shared" si="381"/>
        <v/>
      </c>
      <c r="W2997" s="348" t="str">
        <f t="shared" si="382"/>
        <v/>
      </c>
      <c r="X2997" s="348" t="str">
        <f t="shared" si="383"/>
        <v/>
      </c>
    </row>
    <row r="2998" spans="1:24" x14ac:dyDescent="0.2">
      <c r="A2998" s="407">
        <v>2990</v>
      </c>
      <c r="B2998" s="438"/>
      <c r="C2998" s="438"/>
      <c r="D2998" s="438"/>
      <c r="E2998" s="438"/>
      <c r="F2998" s="438"/>
      <c r="G2998" s="438"/>
      <c r="H2998" s="438"/>
      <c r="I2998" s="438"/>
      <c r="J2998" s="11"/>
      <c r="Q2998" s="348" t="str">
        <f t="shared" si="376"/>
        <v/>
      </c>
      <c r="R2998" s="348" t="str">
        <f t="shared" si="377"/>
        <v/>
      </c>
      <c r="S2998" s="348" t="str">
        <f t="shared" si="378"/>
        <v/>
      </c>
      <c r="T2998" s="348" t="str">
        <f t="shared" si="379"/>
        <v/>
      </c>
      <c r="U2998" s="348" t="str">
        <f t="shared" si="380"/>
        <v/>
      </c>
      <c r="V2998" s="348" t="str">
        <f t="shared" si="381"/>
        <v/>
      </c>
      <c r="W2998" s="348" t="str">
        <f t="shared" si="382"/>
        <v/>
      </c>
      <c r="X2998" s="348" t="str">
        <f t="shared" si="383"/>
        <v/>
      </c>
    </row>
    <row r="2999" spans="1:24" x14ac:dyDescent="0.2">
      <c r="A2999" s="407">
        <v>2991</v>
      </c>
      <c r="B2999" s="438"/>
      <c r="C2999" s="438"/>
      <c r="D2999" s="438"/>
      <c r="E2999" s="438"/>
      <c r="F2999" s="438"/>
      <c r="G2999" s="438"/>
      <c r="H2999" s="438"/>
      <c r="I2999" s="438"/>
      <c r="J2999" s="11"/>
      <c r="Q2999" s="348" t="str">
        <f t="shared" si="376"/>
        <v/>
      </c>
      <c r="R2999" s="348" t="str">
        <f t="shared" si="377"/>
        <v/>
      </c>
      <c r="S2999" s="348" t="str">
        <f t="shared" si="378"/>
        <v/>
      </c>
      <c r="T2999" s="348" t="str">
        <f t="shared" si="379"/>
        <v/>
      </c>
      <c r="U2999" s="348" t="str">
        <f t="shared" si="380"/>
        <v/>
      </c>
      <c r="V2999" s="348" t="str">
        <f t="shared" si="381"/>
        <v/>
      </c>
      <c r="W2999" s="348" t="str">
        <f t="shared" si="382"/>
        <v/>
      </c>
      <c r="X2999" s="348" t="str">
        <f t="shared" si="383"/>
        <v/>
      </c>
    </row>
    <row r="3000" spans="1:24" x14ac:dyDescent="0.2">
      <c r="A3000" s="407">
        <v>2992</v>
      </c>
      <c r="B3000" s="438"/>
      <c r="C3000" s="438"/>
      <c r="D3000" s="438"/>
      <c r="E3000" s="438"/>
      <c r="F3000" s="438"/>
      <c r="G3000" s="438"/>
      <c r="H3000" s="438"/>
      <c r="I3000" s="438"/>
      <c r="J3000" s="11"/>
      <c r="Q3000" s="348" t="str">
        <f t="shared" si="376"/>
        <v/>
      </c>
      <c r="R3000" s="348" t="str">
        <f t="shared" si="377"/>
        <v/>
      </c>
      <c r="S3000" s="348" t="str">
        <f t="shared" si="378"/>
        <v/>
      </c>
      <c r="T3000" s="348" t="str">
        <f t="shared" si="379"/>
        <v/>
      </c>
      <c r="U3000" s="348" t="str">
        <f t="shared" si="380"/>
        <v/>
      </c>
      <c r="V3000" s="348" t="str">
        <f t="shared" si="381"/>
        <v/>
      </c>
      <c r="W3000" s="348" t="str">
        <f t="shared" si="382"/>
        <v/>
      </c>
      <c r="X3000" s="348" t="str">
        <f t="shared" si="383"/>
        <v/>
      </c>
    </row>
    <row r="3001" spans="1:24" x14ac:dyDescent="0.2">
      <c r="A3001" s="407">
        <v>2993</v>
      </c>
      <c r="B3001" s="438"/>
      <c r="C3001" s="437"/>
      <c r="D3001" s="438"/>
      <c r="E3001" s="438"/>
      <c r="F3001" s="438"/>
      <c r="G3001" s="438"/>
      <c r="H3001" s="438"/>
      <c r="I3001" s="438"/>
      <c r="J3001" s="11"/>
      <c r="Q3001" s="348" t="str">
        <f t="shared" si="376"/>
        <v/>
      </c>
      <c r="R3001" s="348" t="str">
        <f t="shared" si="377"/>
        <v/>
      </c>
      <c r="S3001" s="348" t="str">
        <f t="shared" si="378"/>
        <v/>
      </c>
      <c r="T3001" s="348" t="str">
        <f t="shared" si="379"/>
        <v/>
      </c>
      <c r="U3001" s="348" t="str">
        <f t="shared" si="380"/>
        <v/>
      </c>
      <c r="V3001" s="348" t="str">
        <f t="shared" si="381"/>
        <v/>
      </c>
      <c r="W3001" s="348" t="str">
        <f t="shared" si="382"/>
        <v/>
      </c>
      <c r="X3001" s="348" t="str">
        <f t="shared" si="383"/>
        <v/>
      </c>
    </row>
    <row r="3002" spans="1:24" x14ac:dyDescent="0.2">
      <c r="A3002" s="407">
        <v>2994</v>
      </c>
      <c r="B3002" s="438"/>
      <c r="C3002" s="438"/>
      <c r="D3002" s="438"/>
      <c r="E3002" s="437"/>
      <c r="F3002" s="438"/>
      <c r="G3002" s="438"/>
      <c r="H3002" s="438"/>
      <c r="I3002" s="438"/>
      <c r="J3002" s="11"/>
      <c r="Q3002" s="348" t="str">
        <f t="shared" si="376"/>
        <v/>
      </c>
      <c r="R3002" s="348" t="str">
        <f t="shared" si="377"/>
        <v/>
      </c>
      <c r="S3002" s="348" t="str">
        <f t="shared" si="378"/>
        <v/>
      </c>
      <c r="T3002" s="348" t="str">
        <f t="shared" si="379"/>
        <v/>
      </c>
      <c r="U3002" s="348" t="str">
        <f t="shared" si="380"/>
        <v/>
      </c>
      <c r="V3002" s="348" t="str">
        <f t="shared" si="381"/>
        <v/>
      </c>
      <c r="W3002" s="348" t="str">
        <f t="shared" si="382"/>
        <v/>
      </c>
      <c r="X3002" s="348" t="str">
        <f t="shared" si="383"/>
        <v/>
      </c>
    </row>
    <row r="3003" spans="1:24" x14ac:dyDescent="0.2">
      <c r="A3003" s="407">
        <v>2995</v>
      </c>
      <c r="B3003" s="438"/>
      <c r="C3003" s="438"/>
      <c r="D3003" s="438"/>
      <c r="E3003" s="438"/>
      <c r="F3003" s="438"/>
      <c r="G3003" s="438"/>
      <c r="H3003" s="438"/>
      <c r="I3003" s="438"/>
      <c r="J3003" s="11"/>
      <c r="Q3003" s="348" t="str">
        <f t="shared" si="376"/>
        <v/>
      </c>
      <c r="R3003" s="348" t="str">
        <f t="shared" si="377"/>
        <v/>
      </c>
      <c r="S3003" s="348" t="str">
        <f t="shared" si="378"/>
        <v/>
      </c>
      <c r="T3003" s="348" t="str">
        <f t="shared" si="379"/>
        <v/>
      </c>
      <c r="U3003" s="348" t="str">
        <f t="shared" si="380"/>
        <v/>
      </c>
      <c r="V3003" s="348" t="str">
        <f t="shared" si="381"/>
        <v/>
      </c>
      <c r="W3003" s="348" t="str">
        <f t="shared" si="382"/>
        <v/>
      </c>
      <c r="X3003" s="348" t="str">
        <f t="shared" si="383"/>
        <v/>
      </c>
    </row>
    <row r="3004" spans="1:24" x14ac:dyDescent="0.2">
      <c r="A3004" s="407">
        <v>2996</v>
      </c>
      <c r="B3004" s="438"/>
      <c r="C3004" s="438"/>
      <c r="D3004" s="438"/>
      <c r="E3004" s="438"/>
      <c r="F3004" s="438"/>
      <c r="G3004" s="438"/>
      <c r="H3004" s="438"/>
      <c r="I3004" s="438"/>
      <c r="J3004" s="11"/>
      <c r="Q3004" s="348" t="str">
        <f t="shared" si="376"/>
        <v/>
      </c>
      <c r="R3004" s="348" t="str">
        <f t="shared" si="377"/>
        <v/>
      </c>
      <c r="S3004" s="348" t="str">
        <f t="shared" si="378"/>
        <v/>
      </c>
      <c r="T3004" s="348" t="str">
        <f t="shared" si="379"/>
        <v/>
      </c>
      <c r="U3004" s="348" t="str">
        <f t="shared" si="380"/>
        <v/>
      </c>
      <c r="V3004" s="348" t="str">
        <f t="shared" si="381"/>
        <v/>
      </c>
      <c r="W3004" s="348" t="str">
        <f t="shared" si="382"/>
        <v/>
      </c>
      <c r="X3004" s="348" t="str">
        <f t="shared" si="383"/>
        <v/>
      </c>
    </row>
    <row r="3005" spans="1:24" x14ac:dyDescent="0.2">
      <c r="A3005" s="407">
        <v>2997</v>
      </c>
      <c r="B3005" s="438"/>
      <c r="C3005" s="438"/>
      <c r="D3005" s="438"/>
      <c r="E3005" s="438"/>
      <c r="F3005" s="438"/>
      <c r="G3005" s="438"/>
      <c r="H3005" s="438"/>
      <c r="I3005" s="438"/>
      <c r="J3005" s="11"/>
      <c r="Q3005" s="348" t="str">
        <f t="shared" si="376"/>
        <v/>
      </c>
      <c r="R3005" s="348" t="str">
        <f t="shared" si="377"/>
        <v/>
      </c>
      <c r="S3005" s="348" t="str">
        <f t="shared" si="378"/>
        <v/>
      </c>
      <c r="T3005" s="348" t="str">
        <f t="shared" si="379"/>
        <v/>
      </c>
      <c r="U3005" s="348" t="str">
        <f t="shared" si="380"/>
        <v/>
      </c>
      <c r="V3005" s="348" t="str">
        <f t="shared" si="381"/>
        <v/>
      </c>
      <c r="W3005" s="348" t="str">
        <f t="shared" si="382"/>
        <v/>
      </c>
      <c r="X3005" s="348" t="str">
        <f t="shared" si="383"/>
        <v/>
      </c>
    </row>
    <row r="3006" spans="1:24" x14ac:dyDescent="0.2">
      <c r="A3006" s="407">
        <v>2998</v>
      </c>
      <c r="B3006" s="438"/>
      <c r="C3006" s="438"/>
      <c r="D3006" s="438"/>
      <c r="E3006" s="438"/>
      <c r="F3006" s="438"/>
      <c r="G3006" s="438"/>
      <c r="H3006" s="438"/>
      <c r="I3006" s="438"/>
      <c r="J3006" s="11"/>
      <c r="Q3006" s="348" t="str">
        <f t="shared" si="376"/>
        <v/>
      </c>
      <c r="R3006" s="348" t="str">
        <f t="shared" si="377"/>
        <v/>
      </c>
      <c r="S3006" s="348" t="str">
        <f t="shared" si="378"/>
        <v/>
      </c>
      <c r="T3006" s="348" t="str">
        <f t="shared" si="379"/>
        <v/>
      </c>
      <c r="U3006" s="348" t="str">
        <f t="shared" si="380"/>
        <v/>
      </c>
      <c r="V3006" s="348" t="str">
        <f t="shared" si="381"/>
        <v/>
      </c>
      <c r="W3006" s="348" t="str">
        <f t="shared" si="382"/>
        <v/>
      </c>
      <c r="X3006" s="348" t="str">
        <f t="shared" si="383"/>
        <v/>
      </c>
    </row>
    <row r="3007" spans="1:24" x14ac:dyDescent="0.2">
      <c r="A3007" s="407">
        <v>2999</v>
      </c>
      <c r="B3007" s="438"/>
      <c r="C3007" s="438"/>
      <c r="D3007" s="438"/>
      <c r="E3007" s="438"/>
      <c r="F3007" s="438"/>
      <c r="G3007" s="437"/>
      <c r="H3007" s="438"/>
      <c r="I3007" s="438"/>
      <c r="J3007" s="11"/>
      <c r="Q3007" s="348" t="str">
        <f t="shared" si="376"/>
        <v/>
      </c>
      <c r="R3007" s="348" t="str">
        <f t="shared" si="377"/>
        <v/>
      </c>
      <c r="S3007" s="348" t="str">
        <f t="shared" si="378"/>
        <v/>
      </c>
      <c r="T3007" s="348" t="str">
        <f t="shared" si="379"/>
        <v/>
      </c>
      <c r="U3007" s="348" t="str">
        <f t="shared" si="380"/>
        <v/>
      </c>
      <c r="V3007" s="348" t="str">
        <f t="shared" si="381"/>
        <v/>
      </c>
      <c r="W3007" s="348" t="str">
        <f t="shared" si="382"/>
        <v/>
      </c>
      <c r="X3007" s="348" t="str">
        <f t="shared" si="383"/>
        <v/>
      </c>
    </row>
    <row r="3008" spans="1:24" x14ac:dyDescent="0.2">
      <c r="A3008" s="407">
        <v>3000</v>
      </c>
      <c r="B3008" s="438"/>
      <c r="C3008" s="438"/>
      <c r="D3008" s="438"/>
      <c r="E3008" s="438"/>
      <c r="F3008" s="438"/>
      <c r="G3008" s="438"/>
      <c r="H3008" s="438"/>
      <c r="I3008" s="438"/>
      <c r="J3008" s="11"/>
      <c r="Q3008" s="348" t="str">
        <f t="shared" si="376"/>
        <v/>
      </c>
      <c r="R3008" s="348" t="str">
        <f t="shared" si="377"/>
        <v/>
      </c>
      <c r="S3008" s="348" t="str">
        <f t="shared" si="378"/>
        <v/>
      </c>
      <c r="T3008" s="348" t="str">
        <f t="shared" si="379"/>
        <v/>
      </c>
      <c r="U3008" s="348" t="str">
        <f t="shared" si="380"/>
        <v/>
      </c>
      <c r="V3008" s="348" t="str">
        <f t="shared" si="381"/>
        <v/>
      </c>
      <c r="W3008" s="348" t="str">
        <f t="shared" si="382"/>
        <v/>
      </c>
      <c r="X3008" s="348" t="str">
        <f t="shared" si="383"/>
        <v/>
      </c>
    </row>
    <row r="3009" spans="1:24" x14ac:dyDescent="0.2">
      <c r="A3009" s="407">
        <v>3001</v>
      </c>
      <c r="B3009" s="438"/>
      <c r="C3009" s="437"/>
      <c r="D3009" s="438"/>
      <c r="E3009" s="437"/>
      <c r="F3009" s="437"/>
      <c r="G3009" s="437"/>
      <c r="H3009" s="437"/>
      <c r="I3009" s="437"/>
      <c r="J3009" s="11"/>
      <c r="Q3009" s="348" t="str">
        <f t="shared" si="376"/>
        <v/>
      </c>
      <c r="R3009" s="348" t="str">
        <f t="shared" si="377"/>
        <v/>
      </c>
      <c r="S3009" s="348" t="str">
        <f t="shared" si="378"/>
        <v/>
      </c>
      <c r="T3009" s="348" t="str">
        <f t="shared" si="379"/>
        <v/>
      </c>
      <c r="U3009" s="348" t="str">
        <f t="shared" si="380"/>
        <v/>
      </c>
      <c r="V3009" s="348" t="str">
        <f t="shared" si="381"/>
        <v/>
      </c>
      <c r="W3009" s="348" t="str">
        <f t="shared" si="382"/>
        <v/>
      </c>
      <c r="X3009" s="348" t="str">
        <f t="shared" si="383"/>
        <v/>
      </c>
    </row>
    <row r="3010" spans="1:24" x14ac:dyDescent="0.2">
      <c r="A3010" s="407">
        <v>3002</v>
      </c>
      <c r="B3010" s="438"/>
      <c r="C3010" s="438"/>
      <c r="D3010" s="438"/>
      <c r="E3010" s="438"/>
      <c r="F3010" s="438"/>
      <c r="G3010" s="438"/>
      <c r="H3010" s="438"/>
      <c r="I3010" s="438"/>
      <c r="J3010" s="11"/>
      <c r="Q3010" s="348" t="str">
        <f t="shared" si="376"/>
        <v/>
      </c>
      <c r="R3010" s="348" t="str">
        <f t="shared" si="377"/>
        <v/>
      </c>
      <c r="S3010" s="348" t="str">
        <f t="shared" si="378"/>
        <v/>
      </c>
      <c r="T3010" s="348" t="str">
        <f t="shared" si="379"/>
        <v/>
      </c>
      <c r="U3010" s="348" t="str">
        <f t="shared" si="380"/>
        <v/>
      </c>
      <c r="V3010" s="348" t="str">
        <f t="shared" si="381"/>
        <v/>
      </c>
      <c r="W3010" s="348" t="str">
        <f t="shared" si="382"/>
        <v/>
      </c>
      <c r="X3010" s="348" t="str">
        <f t="shared" si="383"/>
        <v/>
      </c>
    </row>
    <row r="3011" spans="1:24" x14ac:dyDescent="0.2">
      <c r="A3011" s="407">
        <v>3003</v>
      </c>
      <c r="B3011" s="438"/>
      <c r="C3011" s="438"/>
      <c r="D3011" s="438"/>
      <c r="E3011" s="438"/>
      <c r="F3011" s="438"/>
      <c r="G3011" s="438"/>
      <c r="H3011" s="438"/>
      <c r="I3011" s="438"/>
      <c r="J3011" s="11"/>
      <c r="Q3011" s="348" t="str">
        <f t="shared" si="376"/>
        <v/>
      </c>
      <c r="R3011" s="348" t="str">
        <f t="shared" si="377"/>
        <v/>
      </c>
      <c r="S3011" s="348" t="str">
        <f t="shared" si="378"/>
        <v/>
      </c>
      <c r="T3011" s="348" t="str">
        <f t="shared" si="379"/>
        <v/>
      </c>
      <c r="U3011" s="348" t="str">
        <f t="shared" si="380"/>
        <v/>
      </c>
      <c r="V3011" s="348" t="str">
        <f t="shared" si="381"/>
        <v/>
      </c>
      <c r="W3011" s="348" t="str">
        <f t="shared" si="382"/>
        <v/>
      </c>
      <c r="X3011" s="348" t="str">
        <f t="shared" si="383"/>
        <v/>
      </c>
    </row>
    <row r="3012" spans="1:24" x14ac:dyDescent="0.2">
      <c r="A3012" s="407">
        <v>3004</v>
      </c>
      <c r="B3012" s="438"/>
      <c r="C3012" s="438"/>
      <c r="D3012" s="438"/>
      <c r="E3012" s="438"/>
      <c r="F3012" s="438"/>
      <c r="G3012" s="438"/>
      <c r="H3012" s="438"/>
      <c r="I3012" s="438"/>
      <c r="J3012" s="11"/>
      <c r="Q3012" s="348" t="str">
        <f t="shared" si="376"/>
        <v/>
      </c>
      <c r="R3012" s="348" t="str">
        <f t="shared" si="377"/>
        <v/>
      </c>
      <c r="S3012" s="348" t="str">
        <f t="shared" si="378"/>
        <v/>
      </c>
      <c r="T3012" s="348" t="str">
        <f t="shared" si="379"/>
        <v/>
      </c>
      <c r="U3012" s="348" t="str">
        <f t="shared" si="380"/>
        <v/>
      </c>
      <c r="V3012" s="348" t="str">
        <f t="shared" si="381"/>
        <v/>
      </c>
      <c r="W3012" s="348" t="str">
        <f t="shared" si="382"/>
        <v/>
      </c>
      <c r="X3012" s="348" t="str">
        <f t="shared" si="383"/>
        <v/>
      </c>
    </row>
    <row r="3013" spans="1:24" x14ac:dyDescent="0.2">
      <c r="A3013" s="407">
        <v>3005</v>
      </c>
      <c r="B3013" s="438"/>
      <c r="C3013" s="438"/>
      <c r="D3013" s="438"/>
      <c r="E3013" s="438"/>
      <c r="F3013" s="438"/>
      <c r="G3013" s="438"/>
      <c r="H3013" s="438"/>
      <c r="I3013" s="438"/>
      <c r="J3013" s="11"/>
      <c r="Q3013" s="348" t="str">
        <f t="shared" si="376"/>
        <v/>
      </c>
      <c r="R3013" s="348" t="str">
        <f t="shared" si="377"/>
        <v/>
      </c>
      <c r="S3013" s="348" t="str">
        <f t="shared" si="378"/>
        <v/>
      </c>
      <c r="T3013" s="348" t="str">
        <f t="shared" si="379"/>
        <v/>
      </c>
      <c r="U3013" s="348" t="str">
        <f t="shared" si="380"/>
        <v/>
      </c>
      <c r="V3013" s="348" t="str">
        <f t="shared" si="381"/>
        <v/>
      </c>
      <c r="W3013" s="348" t="str">
        <f t="shared" si="382"/>
        <v/>
      </c>
      <c r="X3013" s="348" t="str">
        <f t="shared" si="383"/>
        <v/>
      </c>
    </row>
    <row r="3014" spans="1:24" x14ac:dyDescent="0.2">
      <c r="A3014" s="407">
        <v>3006</v>
      </c>
      <c r="B3014" s="438"/>
      <c r="C3014" s="438"/>
      <c r="D3014" s="438"/>
      <c r="E3014" s="438"/>
      <c r="F3014" s="438"/>
      <c r="G3014" s="438"/>
      <c r="H3014" s="438"/>
      <c r="I3014" s="438"/>
      <c r="J3014" s="11"/>
      <c r="Q3014" s="348" t="str">
        <f t="shared" si="376"/>
        <v/>
      </c>
      <c r="R3014" s="348" t="str">
        <f t="shared" si="377"/>
        <v/>
      </c>
      <c r="S3014" s="348" t="str">
        <f t="shared" si="378"/>
        <v/>
      </c>
      <c r="T3014" s="348" t="str">
        <f t="shared" si="379"/>
        <v/>
      </c>
      <c r="U3014" s="348" t="str">
        <f t="shared" si="380"/>
        <v/>
      </c>
      <c r="V3014" s="348" t="str">
        <f t="shared" si="381"/>
        <v/>
      </c>
      <c r="W3014" s="348" t="str">
        <f t="shared" si="382"/>
        <v/>
      </c>
      <c r="X3014" s="348" t="str">
        <f t="shared" si="383"/>
        <v/>
      </c>
    </row>
    <row r="3015" spans="1:24" x14ac:dyDescent="0.2">
      <c r="A3015" s="407">
        <v>3007</v>
      </c>
      <c r="B3015" s="438"/>
      <c r="C3015" s="438"/>
      <c r="D3015" s="438"/>
      <c r="E3015" s="438"/>
      <c r="F3015" s="438"/>
      <c r="G3015" s="438"/>
      <c r="H3015" s="438"/>
      <c r="I3015" s="438"/>
      <c r="J3015" s="11"/>
      <c r="Q3015" s="348" t="str">
        <f t="shared" si="376"/>
        <v/>
      </c>
      <c r="R3015" s="348" t="str">
        <f t="shared" si="377"/>
        <v/>
      </c>
      <c r="S3015" s="348" t="str">
        <f t="shared" si="378"/>
        <v/>
      </c>
      <c r="T3015" s="348" t="str">
        <f t="shared" si="379"/>
        <v/>
      </c>
      <c r="U3015" s="348" t="str">
        <f t="shared" si="380"/>
        <v/>
      </c>
      <c r="V3015" s="348" t="str">
        <f t="shared" si="381"/>
        <v/>
      </c>
      <c r="W3015" s="348" t="str">
        <f t="shared" si="382"/>
        <v/>
      </c>
      <c r="X3015" s="348" t="str">
        <f t="shared" si="383"/>
        <v/>
      </c>
    </row>
    <row r="3016" spans="1:24" x14ac:dyDescent="0.2">
      <c r="A3016" s="407">
        <v>3008</v>
      </c>
      <c r="B3016" s="437"/>
      <c r="C3016" s="438"/>
      <c r="D3016" s="438"/>
      <c r="E3016" s="438"/>
      <c r="F3016" s="438"/>
      <c r="G3016" s="438"/>
      <c r="H3016" s="438"/>
      <c r="I3016" s="438"/>
      <c r="J3016" s="11"/>
      <c r="Q3016" s="348" t="str">
        <f t="shared" si="376"/>
        <v/>
      </c>
      <c r="R3016" s="348" t="str">
        <f t="shared" si="377"/>
        <v/>
      </c>
      <c r="S3016" s="348" t="str">
        <f t="shared" si="378"/>
        <v/>
      </c>
      <c r="T3016" s="348" t="str">
        <f t="shared" si="379"/>
        <v/>
      </c>
      <c r="U3016" s="348" t="str">
        <f t="shared" si="380"/>
        <v/>
      </c>
      <c r="V3016" s="348" t="str">
        <f t="shared" si="381"/>
        <v/>
      </c>
      <c r="W3016" s="348" t="str">
        <f t="shared" si="382"/>
        <v/>
      </c>
      <c r="X3016" s="348" t="str">
        <f t="shared" si="383"/>
        <v/>
      </c>
    </row>
    <row r="3017" spans="1:24" x14ac:dyDescent="0.2">
      <c r="A3017" s="407">
        <v>3009</v>
      </c>
      <c r="B3017" s="438"/>
      <c r="C3017" s="438"/>
      <c r="D3017" s="438"/>
      <c r="E3017" s="438"/>
      <c r="F3017" s="438"/>
      <c r="G3017" s="438"/>
      <c r="H3017" s="438"/>
      <c r="I3017" s="438"/>
      <c r="J3017" s="11"/>
      <c r="Q3017" s="348" t="str">
        <f t="shared" si="376"/>
        <v/>
      </c>
      <c r="R3017" s="348" t="str">
        <f t="shared" si="377"/>
        <v/>
      </c>
      <c r="S3017" s="348" t="str">
        <f t="shared" si="378"/>
        <v/>
      </c>
      <c r="T3017" s="348" t="str">
        <f t="shared" si="379"/>
        <v/>
      </c>
      <c r="U3017" s="348" t="str">
        <f t="shared" si="380"/>
        <v/>
      </c>
      <c r="V3017" s="348" t="str">
        <f t="shared" si="381"/>
        <v/>
      </c>
      <c r="W3017" s="348" t="str">
        <f t="shared" si="382"/>
        <v/>
      </c>
      <c r="X3017" s="348" t="str">
        <f t="shared" si="383"/>
        <v/>
      </c>
    </row>
    <row r="3018" spans="1:24" x14ac:dyDescent="0.2">
      <c r="A3018" s="407">
        <v>3010</v>
      </c>
      <c r="B3018" s="438"/>
      <c r="C3018" s="438"/>
      <c r="D3018" s="438"/>
      <c r="E3018" s="438"/>
      <c r="F3018" s="438"/>
      <c r="G3018" s="438"/>
      <c r="H3018" s="438"/>
      <c r="I3018" s="438"/>
      <c r="J3018" s="11"/>
      <c r="Q3018" s="348" t="str">
        <f t="shared" ref="Q3018:Q3081" si="384">IFERROR(B3018^4*$AB$9+B3018^3*$AC$9+B3018^2*$AD$9+B3018^1*$AE$9+B3018^0*$AF$9,"")</f>
        <v/>
      </c>
      <c r="R3018" s="348" t="str">
        <f t="shared" ref="R3018:R3081" si="385">IFERROR(C3018^4*$AB$10+C3018^3*$AC$10+C3018^2*$AD$10+C3018^1*$AE$10+C3018^0*$AF$10,"")</f>
        <v/>
      </c>
      <c r="S3018" s="348" t="str">
        <f t="shared" ref="S3018:S3081" si="386">IFERROR(D3018^4*$AB$11+D3018^3*$AC$11+D3018^2*$AD$11+D3018^1*$AE$11+D3018^0*$AF$11,"")</f>
        <v/>
      </c>
      <c r="T3018" s="348" t="str">
        <f t="shared" ref="T3018:T3081" si="387">IFERROR(E3018^4*$AB$12+E3018^3*$AC$12+E3018^2*$AD$12+E3018^1*$AE$12+E3018^0*$AF$12,"")</f>
        <v/>
      </c>
      <c r="U3018" s="348" t="str">
        <f t="shared" ref="U3018:U3081" si="388">IFERROR(F3018^4*$AB$13+F3018^3*$AC$13+F3018^2*$AD$13+F3018^1*$AE$13+F3018^0*$AF$13,"")</f>
        <v/>
      </c>
      <c r="V3018" s="348" t="str">
        <f t="shared" ref="V3018:V3081" si="389">IFERROR(G3018^4*$AB$14+G3018^3*$AC$14+G3018^2*$AD$14+G3018^1*$AE$14+G3018^0*$AF$14,"")</f>
        <v/>
      </c>
      <c r="W3018" s="348" t="str">
        <f t="shared" ref="W3018:W3081" si="390">IFERROR(H3018^4*$AB$15+H3018^3*$AC$15+H3018^2*$AD$15+H3018^1*$AE$15+H3018^0*$AF$15,"")</f>
        <v/>
      </c>
      <c r="X3018" s="348" t="str">
        <f t="shared" ref="X3018:X3081" si="391">IFERROR(I3018^4*$AB$16+I3018^3*$AC$16+I3018^2*$AD$16+I3018^1*$AE$16+I3018^0*$AF$16,"")</f>
        <v/>
      </c>
    </row>
    <row r="3019" spans="1:24" x14ac:dyDescent="0.2">
      <c r="A3019" s="407">
        <v>3011</v>
      </c>
      <c r="B3019" s="438"/>
      <c r="C3019" s="438"/>
      <c r="D3019" s="438"/>
      <c r="E3019" s="438"/>
      <c r="F3019" s="438"/>
      <c r="G3019" s="438"/>
      <c r="H3019" s="438"/>
      <c r="I3019" s="438"/>
      <c r="J3019" s="11"/>
      <c r="Q3019" s="348" t="str">
        <f t="shared" si="384"/>
        <v/>
      </c>
      <c r="R3019" s="348" t="str">
        <f t="shared" si="385"/>
        <v/>
      </c>
      <c r="S3019" s="348" t="str">
        <f t="shared" si="386"/>
        <v/>
      </c>
      <c r="T3019" s="348" t="str">
        <f t="shared" si="387"/>
        <v/>
      </c>
      <c r="U3019" s="348" t="str">
        <f t="shared" si="388"/>
        <v/>
      </c>
      <c r="V3019" s="348" t="str">
        <f t="shared" si="389"/>
        <v/>
      </c>
      <c r="W3019" s="348" t="str">
        <f t="shared" si="390"/>
        <v/>
      </c>
      <c r="X3019" s="348" t="str">
        <f t="shared" si="391"/>
        <v/>
      </c>
    </row>
    <row r="3020" spans="1:24" x14ac:dyDescent="0.2">
      <c r="A3020" s="407">
        <v>3012</v>
      </c>
      <c r="B3020" s="438"/>
      <c r="C3020" s="438"/>
      <c r="D3020" s="437"/>
      <c r="E3020" s="438"/>
      <c r="F3020" s="438"/>
      <c r="G3020" s="438"/>
      <c r="H3020" s="438"/>
      <c r="I3020" s="438"/>
      <c r="J3020" s="11"/>
      <c r="Q3020" s="348" t="str">
        <f t="shared" si="384"/>
        <v/>
      </c>
      <c r="R3020" s="348" t="str">
        <f t="shared" si="385"/>
        <v/>
      </c>
      <c r="S3020" s="348" t="str">
        <f t="shared" si="386"/>
        <v/>
      </c>
      <c r="T3020" s="348" t="str">
        <f t="shared" si="387"/>
        <v/>
      </c>
      <c r="U3020" s="348" t="str">
        <f t="shared" si="388"/>
        <v/>
      </c>
      <c r="V3020" s="348" t="str">
        <f t="shared" si="389"/>
        <v/>
      </c>
      <c r="W3020" s="348" t="str">
        <f t="shared" si="390"/>
        <v/>
      </c>
      <c r="X3020" s="348" t="str">
        <f t="shared" si="391"/>
        <v/>
      </c>
    </row>
    <row r="3021" spans="1:24" x14ac:dyDescent="0.2">
      <c r="A3021" s="407">
        <v>3013</v>
      </c>
      <c r="B3021" s="438"/>
      <c r="C3021" s="438"/>
      <c r="D3021" s="438"/>
      <c r="E3021" s="438"/>
      <c r="F3021" s="438"/>
      <c r="G3021" s="438"/>
      <c r="H3021" s="438"/>
      <c r="I3021" s="438"/>
      <c r="J3021" s="11"/>
      <c r="Q3021" s="348" t="str">
        <f t="shared" si="384"/>
        <v/>
      </c>
      <c r="R3021" s="348" t="str">
        <f t="shared" si="385"/>
        <v/>
      </c>
      <c r="S3021" s="348" t="str">
        <f t="shared" si="386"/>
        <v/>
      </c>
      <c r="T3021" s="348" t="str">
        <f t="shared" si="387"/>
        <v/>
      </c>
      <c r="U3021" s="348" t="str">
        <f t="shared" si="388"/>
        <v/>
      </c>
      <c r="V3021" s="348" t="str">
        <f t="shared" si="389"/>
        <v/>
      </c>
      <c r="W3021" s="348" t="str">
        <f t="shared" si="390"/>
        <v/>
      </c>
      <c r="X3021" s="348" t="str">
        <f t="shared" si="391"/>
        <v/>
      </c>
    </row>
    <row r="3022" spans="1:24" x14ac:dyDescent="0.2">
      <c r="A3022" s="407">
        <v>3014</v>
      </c>
      <c r="B3022" s="438"/>
      <c r="C3022" s="438"/>
      <c r="D3022" s="438"/>
      <c r="E3022" s="438"/>
      <c r="F3022" s="438"/>
      <c r="G3022" s="438"/>
      <c r="H3022" s="438"/>
      <c r="I3022" s="438"/>
      <c r="J3022" s="11"/>
      <c r="Q3022" s="348" t="str">
        <f t="shared" si="384"/>
        <v/>
      </c>
      <c r="R3022" s="348" t="str">
        <f t="shared" si="385"/>
        <v/>
      </c>
      <c r="S3022" s="348" t="str">
        <f t="shared" si="386"/>
        <v/>
      </c>
      <c r="T3022" s="348" t="str">
        <f t="shared" si="387"/>
        <v/>
      </c>
      <c r="U3022" s="348" t="str">
        <f t="shared" si="388"/>
        <v/>
      </c>
      <c r="V3022" s="348" t="str">
        <f t="shared" si="389"/>
        <v/>
      </c>
      <c r="W3022" s="348" t="str">
        <f t="shared" si="390"/>
        <v/>
      </c>
      <c r="X3022" s="348" t="str">
        <f t="shared" si="391"/>
        <v/>
      </c>
    </row>
    <row r="3023" spans="1:24" x14ac:dyDescent="0.2">
      <c r="A3023" s="407">
        <v>3015</v>
      </c>
      <c r="B3023" s="438"/>
      <c r="C3023" s="437"/>
      <c r="D3023" s="438"/>
      <c r="E3023" s="438"/>
      <c r="F3023" s="438"/>
      <c r="G3023" s="438"/>
      <c r="H3023" s="438"/>
      <c r="I3023" s="438"/>
      <c r="J3023" s="11"/>
      <c r="Q3023" s="348" t="str">
        <f t="shared" si="384"/>
        <v/>
      </c>
      <c r="R3023" s="348" t="str">
        <f t="shared" si="385"/>
        <v/>
      </c>
      <c r="S3023" s="348" t="str">
        <f t="shared" si="386"/>
        <v/>
      </c>
      <c r="T3023" s="348" t="str">
        <f t="shared" si="387"/>
        <v/>
      </c>
      <c r="U3023" s="348" t="str">
        <f t="shared" si="388"/>
        <v/>
      </c>
      <c r="V3023" s="348" t="str">
        <f t="shared" si="389"/>
        <v/>
      </c>
      <c r="W3023" s="348" t="str">
        <f t="shared" si="390"/>
        <v/>
      </c>
      <c r="X3023" s="348" t="str">
        <f t="shared" si="391"/>
        <v/>
      </c>
    </row>
    <row r="3024" spans="1:24" x14ac:dyDescent="0.2">
      <c r="A3024" s="407">
        <v>3016</v>
      </c>
      <c r="B3024" s="438"/>
      <c r="C3024" s="438"/>
      <c r="D3024" s="438"/>
      <c r="E3024" s="438"/>
      <c r="F3024" s="438"/>
      <c r="G3024" s="438"/>
      <c r="H3024" s="438"/>
      <c r="I3024" s="438"/>
      <c r="J3024" s="11"/>
      <c r="Q3024" s="348" t="str">
        <f t="shared" si="384"/>
        <v/>
      </c>
      <c r="R3024" s="348" t="str">
        <f t="shared" si="385"/>
        <v/>
      </c>
      <c r="S3024" s="348" t="str">
        <f t="shared" si="386"/>
        <v/>
      </c>
      <c r="T3024" s="348" t="str">
        <f t="shared" si="387"/>
        <v/>
      </c>
      <c r="U3024" s="348" t="str">
        <f t="shared" si="388"/>
        <v/>
      </c>
      <c r="V3024" s="348" t="str">
        <f t="shared" si="389"/>
        <v/>
      </c>
      <c r="W3024" s="348" t="str">
        <f t="shared" si="390"/>
        <v/>
      </c>
      <c r="X3024" s="348" t="str">
        <f t="shared" si="391"/>
        <v/>
      </c>
    </row>
    <row r="3025" spans="1:24" x14ac:dyDescent="0.2">
      <c r="A3025" s="407">
        <v>3017</v>
      </c>
      <c r="B3025" s="438"/>
      <c r="C3025" s="438"/>
      <c r="D3025" s="438"/>
      <c r="E3025" s="438"/>
      <c r="F3025" s="438"/>
      <c r="G3025" s="438"/>
      <c r="H3025" s="438"/>
      <c r="I3025" s="438"/>
      <c r="J3025" s="11"/>
      <c r="Q3025" s="348" t="str">
        <f t="shared" si="384"/>
        <v/>
      </c>
      <c r="R3025" s="348" t="str">
        <f t="shared" si="385"/>
        <v/>
      </c>
      <c r="S3025" s="348" t="str">
        <f t="shared" si="386"/>
        <v/>
      </c>
      <c r="T3025" s="348" t="str">
        <f t="shared" si="387"/>
        <v/>
      </c>
      <c r="U3025" s="348" t="str">
        <f t="shared" si="388"/>
        <v/>
      </c>
      <c r="V3025" s="348" t="str">
        <f t="shared" si="389"/>
        <v/>
      </c>
      <c r="W3025" s="348" t="str">
        <f t="shared" si="390"/>
        <v/>
      </c>
      <c r="X3025" s="348" t="str">
        <f t="shared" si="391"/>
        <v/>
      </c>
    </row>
    <row r="3026" spans="1:24" x14ac:dyDescent="0.2">
      <c r="A3026" s="407">
        <v>3018</v>
      </c>
      <c r="B3026" s="437"/>
      <c r="C3026" s="438"/>
      <c r="D3026" s="438"/>
      <c r="E3026" s="438"/>
      <c r="F3026" s="438"/>
      <c r="G3026" s="438"/>
      <c r="H3026" s="438"/>
      <c r="I3026" s="438"/>
      <c r="J3026" s="11"/>
      <c r="Q3026" s="348" t="str">
        <f t="shared" si="384"/>
        <v/>
      </c>
      <c r="R3026" s="348" t="str">
        <f t="shared" si="385"/>
        <v/>
      </c>
      <c r="S3026" s="348" t="str">
        <f t="shared" si="386"/>
        <v/>
      </c>
      <c r="T3026" s="348" t="str">
        <f t="shared" si="387"/>
        <v/>
      </c>
      <c r="U3026" s="348" t="str">
        <f t="shared" si="388"/>
        <v/>
      </c>
      <c r="V3026" s="348" t="str">
        <f t="shared" si="389"/>
        <v/>
      </c>
      <c r="W3026" s="348" t="str">
        <f t="shared" si="390"/>
        <v/>
      </c>
      <c r="X3026" s="348" t="str">
        <f t="shared" si="391"/>
        <v/>
      </c>
    </row>
    <row r="3027" spans="1:24" x14ac:dyDescent="0.2">
      <c r="A3027" s="407">
        <v>3019</v>
      </c>
      <c r="B3027" s="438"/>
      <c r="C3027" s="438"/>
      <c r="D3027" s="438"/>
      <c r="E3027" s="438"/>
      <c r="F3027" s="438"/>
      <c r="G3027" s="438"/>
      <c r="H3027" s="438"/>
      <c r="I3027" s="438"/>
      <c r="J3027" s="11"/>
      <c r="Q3027" s="348" t="str">
        <f t="shared" si="384"/>
        <v/>
      </c>
      <c r="R3027" s="348" t="str">
        <f t="shared" si="385"/>
        <v/>
      </c>
      <c r="S3027" s="348" t="str">
        <f t="shared" si="386"/>
        <v/>
      </c>
      <c r="T3027" s="348" t="str">
        <f t="shared" si="387"/>
        <v/>
      </c>
      <c r="U3027" s="348" t="str">
        <f t="shared" si="388"/>
        <v/>
      </c>
      <c r="V3027" s="348" t="str">
        <f t="shared" si="389"/>
        <v/>
      </c>
      <c r="W3027" s="348" t="str">
        <f t="shared" si="390"/>
        <v/>
      </c>
      <c r="X3027" s="348" t="str">
        <f t="shared" si="391"/>
        <v/>
      </c>
    </row>
    <row r="3028" spans="1:24" x14ac:dyDescent="0.2">
      <c r="A3028" s="407">
        <v>3020</v>
      </c>
      <c r="B3028" s="438"/>
      <c r="C3028" s="438"/>
      <c r="D3028" s="438"/>
      <c r="E3028" s="438"/>
      <c r="F3028" s="438"/>
      <c r="G3028" s="438"/>
      <c r="H3028" s="438"/>
      <c r="I3028" s="438"/>
      <c r="J3028" s="11"/>
      <c r="Q3028" s="348" t="str">
        <f t="shared" si="384"/>
        <v/>
      </c>
      <c r="R3028" s="348" t="str">
        <f t="shared" si="385"/>
        <v/>
      </c>
      <c r="S3028" s="348" t="str">
        <f t="shared" si="386"/>
        <v/>
      </c>
      <c r="T3028" s="348" t="str">
        <f t="shared" si="387"/>
        <v/>
      </c>
      <c r="U3028" s="348" t="str">
        <f t="shared" si="388"/>
        <v/>
      </c>
      <c r="V3028" s="348" t="str">
        <f t="shared" si="389"/>
        <v/>
      </c>
      <c r="W3028" s="348" t="str">
        <f t="shared" si="390"/>
        <v/>
      </c>
      <c r="X3028" s="348" t="str">
        <f t="shared" si="391"/>
        <v/>
      </c>
    </row>
    <row r="3029" spans="1:24" x14ac:dyDescent="0.2">
      <c r="A3029" s="407">
        <v>3021</v>
      </c>
      <c r="B3029" s="438"/>
      <c r="C3029" s="438"/>
      <c r="D3029" s="438"/>
      <c r="E3029" s="438"/>
      <c r="F3029" s="438"/>
      <c r="G3029" s="438"/>
      <c r="H3029" s="438"/>
      <c r="I3029" s="438"/>
      <c r="J3029" s="11"/>
      <c r="Q3029" s="348" t="str">
        <f t="shared" si="384"/>
        <v/>
      </c>
      <c r="R3029" s="348" t="str">
        <f t="shared" si="385"/>
        <v/>
      </c>
      <c r="S3029" s="348" t="str">
        <f t="shared" si="386"/>
        <v/>
      </c>
      <c r="T3029" s="348" t="str">
        <f t="shared" si="387"/>
        <v/>
      </c>
      <c r="U3029" s="348" t="str">
        <f t="shared" si="388"/>
        <v/>
      </c>
      <c r="V3029" s="348" t="str">
        <f t="shared" si="389"/>
        <v/>
      </c>
      <c r="W3029" s="348" t="str">
        <f t="shared" si="390"/>
        <v/>
      </c>
      <c r="X3029" s="348" t="str">
        <f t="shared" si="391"/>
        <v/>
      </c>
    </row>
    <row r="3030" spans="1:24" x14ac:dyDescent="0.2">
      <c r="A3030" s="407">
        <v>3022</v>
      </c>
      <c r="B3030" s="438"/>
      <c r="C3030" s="438"/>
      <c r="D3030" s="438"/>
      <c r="E3030" s="438"/>
      <c r="F3030" s="438"/>
      <c r="G3030" s="438"/>
      <c r="H3030" s="438"/>
      <c r="I3030" s="438"/>
      <c r="J3030" s="11"/>
      <c r="Q3030" s="348" t="str">
        <f t="shared" si="384"/>
        <v/>
      </c>
      <c r="R3030" s="348" t="str">
        <f t="shared" si="385"/>
        <v/>
      </c>
      <c r="S3030" s="348" t="str">
        <f t="shared" si="386"/>
        <v/>
      </c>
      <c r="T3030" s="348" t="str">
        <f t="shared" si="387"/>
        <v/>
      </c>
      <c r="U3030" s="348" t="str">
        <f t="shared" si="388"/>
        <v/>
      </c>
      <c r="V3030" s="348" t="str">
        <f t="shared" si="389"/>
        <v/>
      </c>
      <c r="W3030" s="348" t="str">
        <f t="shared" si="390"/>
        <v/>
      </c>
      <c r="X3030" s="348" t="str">
        <f t="shared" si="391"/>
        <v/>
      </c>
    </row>
    <row r="3031" spans="1:24" x14ac:dyDescent="0.2">
      <c r="A3031" s="407">
        <v>3023</v>
      </c>
      <c r="B3031" s="438"/>
      <c r="C3031" s="438"/>
      <c r="D3031" s="438"/>
      <c r="E3031" s="438"/>
      <c r="F3031" s="438"/>
      <c r="G3031" s="438"/>
      <c r="H3031" s="438"/>
      <c r="I3031" s="438"/>
      <c r="J3031" s="11"/>
      <c r="Q3031" s="348" t="str">
        <f t="shared" si="384"/>
        <v/>
      </c>
      <c r="R3031" s="348" t="str">
        <f t="shared" si="385"/>
        <v/>
      </c>
      <c r="S3031" s="348" t="str">
        <f t="shared" si="386"/>
        <v/>
      </c>
      <c r="T3031" s="348" t="str">
        <f t="shared" si="387"/>
        <v/>
      </c>
      <c r="U3031" s="348" t="str">
        <f t="shared" si="388"/>
        <v/>
      </c>
      <c r="V3031" s="348" t="str">
        <f t="shared" si="389"/>
        <v/>
      </c>
      <c r="W3031" s="348" t="str">
        <f t="shared" si="390"/>
        <v/>
      </c>
      <c r="X3031" s="348" t="str">
        <f t="shared" si="391"/>
        <v/>
      </c>
    </row>
    <row r="3032" spans="1:24" x14ac:dyDescent="0.2">
      <c r="A3032" s="407">
        <v>3024</v>
      </c>
      <c r="B3032" s="438"/>
      <c r="C3032" s="438"/>
      <c r="D3032" s="438"/>
      <c r="E3032" s="438"/>
      <c r="F3032" s="438"/>
      <c r="G3032" s="438"/>
      <c r="H3032" s="438"/>
      <c r="I3032" s="438"/>
      <c r="J3032" s="11"/>
      <c r="Q3032" s="348" t="str">
        <f t="shared" si="384"/>
        <v/>
      </c>
      <c r="R3032" s="348" t="str">
        <f t="shared" si="385"/>
        <v/>
      </c>
      <c r="S3032" s="348" t="str">
        <f t="shared" si="386"/>
        <v/>
      </c>
      <c r="T3032" s="348" t="str">
        <f t="shared" si="387"/>
        <v/>
      </c>
      <c r="U3032" s="348" t="str">
        <f t="shared" si="388"/>
        <v/>
      </c>
      <c r="V3032" s="348" t="str">
        <f t="shared" si="389"/>
        <v/>
      </c>
      <c r="W3032" s="348" t="str">
        <f t="shared" si="390"/>
        <v/>
      </c>
      <c r="X3032" s="348" t="str">
        <f t="shared" si="391"/>
        <v/>
      </c>
    </row>
    <row r="3033" spans="1:24" x14ac:dyDescent="0.2">
      <c r="A3033" s="407">
        <v>3025</v>
      </c>
      <c r="B3033" s="438"/>
      <c r="C3033" s="438"/>
      <c r="D3033" s="438"/>
      <c r="E3033" s="438"/>
      <c r="F3033" s="438"/>
      <c r="G3033" s="438"/>
      <c r="H3033" s="438"/>
      <c r="I3033" s="438"/>
      <c r="J3033" s="11"/>
      <c r="Q3033" s="348" t="str">
        <f t="shared" si="384"/>
        <v/>
      </c>
      <c r="R3033" s="348" t="str">
        <f t="shared" si="385"/>
        <v/>
      </c>
      <c r="S3033" s="348" t="str">
        <f t="shared" si="386"/>
        <v/>
      </c>
      <c r="T3033" s="348" t="str">
        <f t="shared" si="387"/>
        <v/>
      </c>
      <c r="U3033" s="348" t="str">
        <f t="shared" si="388"/>
        <v/>
      </c>
      <c r="V3033" s="348" t="str">
        <f t="shared" si="389"/>
        <v/>
      </c>
      <c r="W3033" s="348" t="str">
        <f t="shared" si="390"/>
        <v/>
      </c>
      <c r="X3033" s="348" t="str">
        <f t="shared" si="391"/>
        <v/>
      </c>
    </row>
    <row r="3034" spans="1:24" x14ac:dyDescent="0.2">
      <c r="A3034" s="407">
        <v>3026</v>
      </c>
      <c r="B3034" s="438"/>
      <c r="C3034" s="438"/>
      <c r="D3034" s="438"/>
      <c r="E3034" s="437"/>
      <c r="F3034" s="437"/>
      <c r="G3034" s="437"/>
      <c r="H3034" s="437"/>
      <c r="I3034" s="437"/>
      <c r="J3034" s="11"/>
      <c r="Q3034" s="348" t="str">
        <f t="shared" si="384"/>
        <v/>
      </c>
      <c r="R3034" s="348" t="str">
        <f t="shared" si="385"/>
        <v/>
      </c>
      <c r="S3034" s="348" t="str">
        <f t="shared" si="386"/>
        <v/>
      </c>
      <c r="T3034" s="348" t="str">
        <f t="shared" si="387"/>
        <v/>
      </c>
      <c r="U3034" s="348" t="str">
        <f t="shared" si="388"/>
        <v/>
      </c>
      <c r="V3034" s="348" t="str">
        <f t="shared" si="389"/>
        <v/>
      </c>
      <c r="W3034" s="348" t="str">
        <f t="shared" si="390"/>
        <v/>
      </c>
      <c r="X3034" s="348" t="str">
        <f t="shared" si="391"/>
        <v/>
      </c>
    </row>
    <row r="3035" spans="1:24" x14ac:dyDescent="0.2">
      <c r="A3035" s="407">
        <v>3027</v>
      </c>
      <c r="B3035" s="438"/>
      <c r="C3035" s="438"/>
      <c r="D3035" s="438"/>
      <c r="E3035" s="438"/>
      <c r="F3035" s="438"/>
      <c r="G3035" s="438"/>
      <c r="H3035" s="438"/>
      <c r="I3035" s="438"/>
      <c r="J3035" s="11"/>
      <c r="Q3035" s="348" t="str">
        <f t="shared" si="384"/>
        <v/>
      </c>
      <c r="R3035" s="348" t="str">
        <f t="shared" si="385"/>
        <v/>
      </c>
      <c r="S3035" s="348" t="str">
        <f t="shared" si="386"/>
        <v/>
      </c>
      <c r="T3035" s="348" t="str">
        <f t="shared" si="387"/>
        <v/>
      </c>
      <c r="U3035" s="348" t="str">
        <f t="shared" si="388"/>
        <v/>
      </c>
      <c r="V3035" s="348" t="str">
        <f t="shared" si="389"/>
        <v/>
      </c>
      <c r="W3035" s="348" t="str">
        <f t="shared" si="390"/>
        <v/>
      </c>
      <c r="X3035" s="348" t="str">
        <f t="shared" si="391"/>
        <v/>
      </c>
    </row>
    <row r="3036" spans="1:24" x14ac:dyDescent="0.2">
      <c r="A3036" s="407">
        <v>3028</v>
      </c>
      <c r="B3036" s="438"/>
      <c r="C3036" s="438"/>
      <c r="D3036" s="438"/>
      <c r="E3036" s="438"/>
      <c r="F3036" s="438"/>
      <c r="G3036" s="438"/>
      <c r="H3036" s="438"/>
      <c r="I3036" s="438"/>
      <c r="J3036" s="11"/>
      <c r="Q3036" s="348" t="str">
        <f t="shared" si="384"/>
        <v/>
      </c>
      <c r="R3036" s="348" t="str">
        <f t="shared" si="385"/>
        <v/>
      </c>
      <c r="S3036" s="348" t="str">
        <f t="shared" si="386"/>
        <v/>
      </c>
      <c r="T3036" s="348" t="str">
        <f t="shared" si="387"/>
        <v/>
      </c>
      <c r="U3036" s="348" t="str">
        <f t="shared" si="388"/>
        <v/>
      </c>
      <c r="V3036" s="348" t="str">
        <f t="shared" si="389"/>
        <v/>
      </c>
      <c r="W3036" s="348" t="str">
        <f t="shared" si="390"/>
        <v/>
      </c>
      <c r="X3036" s="348" t="str">
        <f t="shared" si="391"/>
        <v/>
      </c>
    </row>
    <row r="3037" spans="1:24" x14ac:dyDescent="0.2">
      <c r="A3037" s="407">
        <v>3029</v>
      </c>
      <c r="B3037" s="438"/>
      <c r="C3037" s="438"/>
      <c r="D3037" s="438"/>
      <c r="E3037" s="438"/>
      <c r="F3037" s="438"/>
      <c r="G3037" s="438"/>
      <c r="H3037" s="438"/>
      <c r="I3037" s="438"/>
      <c r="J3037" s="11"/>
      <c r="Q3037" s="348" t="str">
        <f t="shared" si="384"/>
        <v/>
      </c>
      <c r="R3037" s="348" t="str">
        <f t="shared" si="385"/>
        <v/>
      </c>
      <c r="S3037" s="348" t="str">
        <f t="shared" si="386"/>
        <v/>
      </c>
      <c r="T3037" s="348" t="str">
        <f t="shared" si="387"/>
        <v/>
      </c>
      <c r="U3037" s="348" t="str">
        <f t="shared" si="388"/>
        <v/>
      </c>
      <c r="V3037" s="348" t="str">
        <f t="shared" si="389"/>
        <v/>
      </c>
      <c r="W3037" s="348" t="str">
        <f t="shared" si="390"/>
        <v/>
      </c>
      <c r="X3037" s="348" t="str">
        <f t="shared" si="391"/>
        <v/>
      </c>
    </row>
    <row r="3038" spans="1:24" x14ac:dyDescent="0.2">
      <c r="A3038" s="407">
        <v>3030</v>
      </c>
      <c r="B3038" s="438"/>
      <c r="C3038" s="438"/>
      <c r="D3038" s="438"/>
      <c r="E3038" s="438"/>
      <c r="F3038" s="438"/>
      <c r="G3038" s="438"/>
      <c r="H3038" s="438"/>
      <c r="I3038" s="438"/>
      <c r="J3038" s="11"/>
      <c r="Q3038" s="348" t="str">
        <f t="shared" si="384"/>
        <v/>
      </c>
      <c r="R3038" s="348" t="str">
        <f t="shared" si="385"/>
        <v/>
      </c>
      <c r="S3038" s="348" t="str">
        <f t="shared" si="386"/>
        <v/>
      </c>
      <c r="T3038" s="348" t="str">
        <f t="shared" si="387"/>
        <v/>
      </c>
      <c r="U3038" s="348" t="str">
        <f t="shared" si="388"/>
        <v/>
      </c>
      <c r="V3038" s="348" t="str">
        <f t="shared" si="389"/>
        <v/>
      </c>
      <c r="W3038" s="348" t="str">
        <f t="shared" si="390"/>
        <v/>
      </c>
      <c r="X3038" s="348" t="str">
        <f t="shared" si="391"/>
        <v/>
      </c>
    </row>
    <row r="3039" spans="1:24" x14ac:dyDescent="0.2">
      <c r="A3039" s="407">
        <v>3031</v>
      </c>
      <c r="B3039" s="438"/>
      <c r="C3039" s="438"/>
      <c r="D3039" s="438"/>
      <c r="E3039" s="438"/>
      <c r="F3039" s="438"/>
      <c r="G3039" s="438"/>
      <c r="H3039" s="438"/>
      <c r="I3039" s="438"/>
      <c r="J3039" s="11"/>
      <c r="Q3039" s="348" t="str">
        <f t="shared" si="384"/>
        <v/>
      </c>
      <c r="R3039" s="348" t="str">
        <f t="shared" si="385"/>
        <v/>
      </c>
      <c r="S3039" s="348" t="str">
        <f t="shared" si="386"/>
        <v/>
      </c>
      <c r="T3039" s="348" t="str">
        <f t="shared" si="387"/>
        <v/>
      </c>
      <c r="U3039" s="348" t="str">
        <f t="shared" si="388"/>
        <v/>
      </c>
      <c r="V3039" s="348" t="str">
        <f t="shared" si="389"/>
        <v/>
      </c>
      <c r="W3039" s="348" t="str">
        <f t="shared" si="390"/>
        <v/>
      </c>
      <c r="X3039" s="348" t="str">
        <f t="shared" si="391"/>
        <v/>
      </c>
    </row>
    <row r="3040" spans="1:24" x14ac:dyDescent="0.2">
      <c r="A3040" s="407">
        <v>3032</v>
      </c>
      <c r="B3040" s="437"/>
      <c r="C3040" s="438"/>
      <c r="D3040" s="438"/>
      <c r="E3040" s="438"/>
      <c r="F3040" s="438"/>
      <c r="G3040" s="438"/>
      <c r="H3040" s="438"/>
      <c r="I3040" s="438"/>
      <c r="J3040" s="11"/>
      <c r="Q3040" s="348" t="str">
        <f t="shared" si="384"/>
        <v/>
      </c>
      <c r="R3040" s="348" t="str">
        <f t="shared" si="385"/>
        <v/>
      </c>
      <c r="S3040" s="348" t="str">
        <f t="shared" si="386"/>
        <v/>
      </c>
      <c r="T3040" s="348" t="str">
        <f t="shared" si="387"/>
        <v/>
      </c>
      <c r="U3040" s="348" t="str">
        <f t="shared" si="388"/>
        <v/>
      </c>
      <c r="V3040" s="348" t="str">
        <f t="shared" si="389"/>
        <v/>
      </c>
      <c r="W3040" s="348" t="str">
        <f t="shared" si="390"/>
        <v/>
      </c>
      <c r="X3040" s="348" t="str">
        <f t="shared" si="391"/>
        <v/>
      </c>
    </row>
    <row r="3041" spans="1:24" x14ac:dyDescent="0.2">
      <c r="A3041" s="407">
        <v>3033</v>
      </c>
      <c r="B3041" s="438"/>
      <c r="C3041" s="438"/>
      <c r="D3041" s="438"/>
      <c r="E3041" s="438"/>
      <c r="F3041" s="438"/>
      <c r="G3041" s="438"/>
      <c r="H3041" s="438"/>
      <c r="I3041" s="438"/>
      <c r="J3041" s="11"/>
      <c r="Q3041" s="348" t="str">
        <f t="shared" si="384"/>
        <v/>
      </c>
      <c r="R3041" s="348" t="str">
        <f t="shared" si="385"/>
        <v/>
      </c>
      <c r="S3041" s="348" t="str">
        <f t="shared" si="386"/>
        <v/>
      </c>
      <c r="T3041" s="348" t="str">
        <f t="shared" si="387"/>
        <v/>
      </c>
      <c r="U3041" s="348" t="str">
        <f t="shared" si="388"/>
        <v/>
      </c>
      <c r="V3041" s="348" t="str">
        <f t="shared" si="389"/>
        <v/>
      </c>
      <c r="W3041" s="348" t="str">
        <f t="shared" si="390"/>
        <v/>
      </c>
      <c r="X3041" s="348" t="str">
        <f t="shared" si="391"/>
        <v/>
      </c>
    </row>
    <row r="3042" spans="1:24" x14ac:dyDescent="0.2">
      <c r="A3042" s="407">
        <v>3034</v>
      </c>
      <c r="B3042" s="438"/>
      <c r="C3042" s="438"/>
      <c r="D3042" s="437"/>
      <c r="E3042" s="438"/>
      <c r="F3042" s="438"/>
      <c r="G3042" s="438"/>
      <c r="H3042" s="438"/>
      <c r="I3042" s="438"/>
      <c r="J3042" s="11"/>
      <c r="Q3042" s="348" t="str">
        <f t="shared" si="384"/>
        <v/>
      </c>
      <c r="R3042" s="348" t="str">
        <f t="shared" si="385"/>
        <v/>
      </c>
      <c r="S3042" s="348" t="str">
        <f t="shared" si="386"/>
        <v/>
      </c>
      <c r="T3042" s="348" t="str">
        <f t="shared" si="387"/>
        <v/>
      </c>
      <c r="U3042" s="348" t="str">
        <f t="shared" si="388"/>
        <v/>
      </c>
      <c r="V3042" s="348" t="str">
        <f t="shared" si="389"/>
        <v/>
      </c>
      <c r="W3042" s="348" t="str">
        <f t="shared" si="390"/>
        <v/>
      </c>
      <c r="X3042" s="348" t="str">
        <f t="shared" si="391"/>
        <v/>
      </c>
    </row>
    <row r="3043" spans="1:24" x14ac:dyDescent="0.2">
      <c r="A3043" s="407">
        <v>3035</v>
      </c>
      <c r="B3043" s="438"/>
      <c r="C3043" s="438"/>
      <c r="D3043" s="438"/>
      <c r="E3043" s="438"/>
      <c r="F3043" s="438"/>
      <c r="G3043" s="438"/>
      <c r="H3043" s="438"/>
      <c r="I3043" s="438"/>
      <c r="J3043" s="11"/>
      <c r="Q3043" s="348" t="str">
        <f t="shared" si="384"/>
        <v/>
      </c>
      <c r="R3043" s="348" t="str">
        <f t="shared" si="385"/>
        <v/>
      </c>
      <c r="S3043" s="348" t="str">
        <f t="shared" si="386"/>
        <v/>
      </c>
      <c r="T3043" s="348" t="str">
        <f t="shared" si="387"/>
        <v/>
      </c>
      <c r="U3043" s="348" t="str">
        <f t="shared" si="388"/>
        <v/>
      </c>
      <c r="V3043" s="348" t="str">
        <f t="shared" si="389"/>
        <v/>
      </c>
      <c r="W3043" s="348" t="str">
        <f t="shared" si="390"/>
        <v/>
      </c>
      <c r="X3043" s="348" t="str">
        <f t="shared" si="391"/>
        <v/>
      </c>
    </row>
    <row r="3044" spans="1:24" x14ac:dyDescent="0.2">
      <c r="A3044" s="407">
        <v>3036</v>
      </c>
      <c r="B3044" s="438"/>
      <c r="C3044" s="437"/>
      <c r="D3044" s="438"/>
      <c r="E3044" s="438"/>
      <c r="F3044" s="438"/>
      <c r="G3044" s="438"/>
      <c r="H3044" s="438"/>
      <c r="I3044" s="438"/>
      <c r="J3044" s="11"/>
      <c r="Q3044" s="348" t="str">
        <f t="shared" si="384"/>
        <v/>
      </c>
      <c r="R3044" s="348" t="str">
        <f t="shared" si="385"/>
        <v/>
      </c>
      <c r="S3044" s="348" t="str">
        <f t="shared" si="386"/>
        <v/>
      </c>
      <c r="T3044" s="348" t="str">
        <f t="shared" si="387"/>
        <v/>
      </c>
      <c r="U3044" s="348" t="str">
        <f t="shared" si="388"/>
        <v/>
      </c>
      <c r="V3044" s="348" t="str">
        <f t="shared" si="389"/>
        <v/>
      </c>
      <c r="W3044" s="348" t="str">
        <f t="shared" si="390"/>
        <v/>
      </c>
      <c r="X3044" s="348" t="str">
        <f t="shared" si="391"/>
        <v/>
      </c>
    </row>
    <row r="3045" spans="1:24" x14ac:dyDescent="0.2">
      <c r="A3045" s="407">
        <v>3037</v>
      </c>
      <c r="B3045" s="438"/>
      <c r="C3045" s="438"/>
      <c r="D3045" s="438"/>
      <c r="E3045" s="438"/>
      <c r="F3045" s="438"/>
      <c r="G3045" s="438"/>
      <c r="H3045" s="438"/>
      <c r="I3045" s="438"/>
      <c r="J3045" s="11"/>
      <c r="Q3045" s="348" t="str">
        <f t="shared" si="384"/>
        <v/>
      </c>
      <c r="R3045" s="348" t="str">
        <f t="shared" si="385"/>
        <v/>
      </c>
      <c r="S3045" s="348" t="str">
        <f t="shared" si="386"/>
        <v/>
      </c>
      <c r="T3045" s="348" t="str">
        <f t="shared" si="387"/>
        <v/>
      </c>
      <c r="U3045" s="348" t="str">
        <f t="shared" si="388"/>
        <v/>
      </c>
      <c r="V3045" s="348" t="str">
        <f t="shared" si="389"/>
        <v/>
      </c>
      <c r="W3045" s="348" t="str">
        <f t="shared" si="390"/>
        <v/>
      </c>
      <c r="X3045" s="348" t="str">
        <f t="shared" si="391"/>
        <v/>
      </c>
    </row>
    <row r="3046" spans="1:24" x14ac:dyDescent="0.2">
      <c r="A3046" s="407">
        <v>3038</v>
      </c>
      <c r="B3046" s="438"/>
      <c r="C3046" s="438"/>
      <c r="D3046" s="438"/>
      <c r="E3046" s="438"/>
      <c r="F3046" s="438"/>
      <c r="G3046" s="438"/>
      <c r="H3046" s="438"/>
      <c r="I3046" s="438"/>
      <c r="J3046" s="11"/>
      <c r="Q3046" s="348" t="str">
        <f t="shared" si="384"/>
        <v/>
      </c>
      <c r="R3046" s="348" t="str">
        <f t="shared" si="385"/>
        <v/>
      </c>
      <c r="S3046" s="348" t="str">
        <f t="shared" si="386"/>
        <v/>
      </c>
      <c r="T3046" s="348" t="str">
        <f t="shared" si="387"/>
        <v/>
      </c>
      <c r="U3046" s="348" t="str">
        <f t="shared" si="388"/>
        <v/>
      </c>
      <c r="V3046" s="348" t="str">
        <f t="shared" si="389"/>
        <v/>
      </c>
      <c r="W3046" s="348" t="str">
        <f t="shared" si="390"/>
        <v/>
      </c>
      <c r="X3046" s="348" t="str">
        <f t="shared" si="391"/>
        <v/>
      </c>
    </row>
    <row r="3047" spans="1:24" x14ac:dyDescent="0.2">
      <c r="A3047" s="407">
        <v>3039</v>
      </c>
      <c r="B3047" s="438"/>
      <c r="C3047" s="438"/>
      <c r="D3047" s="438"/>
      <c r="E3047" s="438"/>
      <c r="F3047" s="438"/>
      <c r="G3047" s="438"/>
      <c r="H3047" s="438"/>
      <c r="I3047" s="438"/>
      <c r="J3047" s="11"/>
      <c r="Q3047" s="348" t="str">
        <f t="shared" si="384"/>
        <v/>
      </c>
      <c r="R3047" s="348" t="str">
        <f t="shared" si="385"/>
        <v/>
      </c>
      <c r="S3047" s="348" t="str">
        <f t="shared" si="386"/>
        <v/>
      </c>
      <c r="T3047" s="348" t="str">
        <f t="shared" si="387"/>
        <v/>
      </c>
      <c r="U3047" s="348" t="str">
        <f t="shared" si="388"/>
        <v/>
      </c>
      <c r="V3047" s="348" t="str">
        <f t="shared" si="389"/>
        <v/>
      </c>
      <c r="W3047" s="348" t="str">
        <f t="shared" si="390"/>
        <v/>
      </c>
      <c r="X3047" s="348" t="str">
        <f t="shared" si="391"/>
        <v/>
      </c>
    </row>
    <row r="3048" spans="1:24" x14ac:dyDescent="0.2">
      <c r="A3048" s="407">
        <v>3040</v>
      </c>
      <c r="B3048" s="438"/>
      <c r="C3048" s="438"/>
      <c r="D3048" s="438"/>
      <c r="E3048" s="438"/>
      <c r="F3048" s="438"/>
      <c r="G3048" s="438"/>
      <c r="H3048" s="438"/>
      <c r="I3048" s="438"/>
      <c r="J3048" s="11"/>
      <c r="Q3048" s="348" t="str">
        <f t="shared" si="384"/>
        <v/>
      </c>
      <c r="R3048" s="348" t="str">
        <f t="shared" si="385"/>
        <v/>
      </c>
      <c r="S3048" s="348" t="str">
        <f t="shared" si="386"/>
        <v/>
      </c>
      <c r="T3048" s="348" t="str">
        <f t="shared" si="387"/>
        <v/>
      </c>
      <c r="U3048" s="348" t="str">
        <f t="shared" si="388"/>
        <v/>
      </c>
      <c r="V3048" s="348" t="str">
        <f t="shared" si="389"/>
        <v/>
      </c>
      <c r="W3048" s="348" t="str">
        <f t="shared" si="390"/>
        <v/>
      </c>
      <c r="X3048" s="348" t="str">
        <f t="shared" si="391"/>
        <v/>
      </c>
    </row>
    <row r="3049" spans="1:24" x14ac:dyDescent="0.2">
      <c r="A3049" s="407">
        <v>3041</v>
      </c>
      <c r="B3049" s="438"/>
      <c r="C3049" s="438"/>
      <c r="D3049" s="438"/>
      <c r="E3049" s="438"/>
      <c r="F3049" s="438"/>
      <c r="G3049" s="438"/>
      <c r="H3049" s="438"/>
      <c r="I3049" s="438"/>
      <c r="J3049" s="11"/>
      <c r="Q3049" s="348" t="str">
        <f t="shared" si="384"/>
        <v/>
      </c>
      <c r="R3049" s="348" t="str">
        <f t="shared" si="385"/>
        <v/>
      </c>
      <c r="S3049" s="348" t="str">
        <f t="shared" si="386"/>
        <v/>
      </c>
      <c r="T3049" s="348" t="str">
        <f t="shared" si="387"/>
        <v/>
      </c>
      <c r="U3049" s="348" t="str">
        <f t="shared" si="388"/>
        <v/>
      </c>
      <c r="V3049" s="348" t="str">
        <f t="shared" si="389"/>
        <v/>
      </c>
      <c r="W3049" s="348" t="str">
        <f t="shared" si="390"/>
        <v/>
      </c>
      <c r="X3049" s="348" t="str">
        <f t="shared" si="391"/>
        <v/>
      </c>
    </row>
    <row r="3050" spans="1:24" x14ac:dyDescent="0.2">
      <c r="A3050" s="407">
        <v>3042</v>
      </c>
      <c r="B3050" s="438"/>
      <c r="C3050" s="438"/>
      <c r="D3050" s="438"/>
      <c r="E3050" s="438"/>
      <c r="F3050" s="438"/>
      <c r="G3050" s="438"/>
      <c r="H3050" s="438"/>
      <c r="I3050" s="438"/>
      <c r="J3050" s="11"/>
      <c r="Q3050" s="348" t="str">
        <f t="shared" si="384"/>
        <v/>
      </c>
      <c r="R3050" s="348" t="str">
        <f t="shared" si="385"/>
        <v/>
      </c>
      <c r="S3050" s="348" t="str">
        <f t="shared" si="386"/>
        <v/>
      </c>
      <c r="T3050" s="348" t="str">
        <f t="shared" si="387"/>
        <v/>
      </c>
      <c r="U3050" s="348" t="str">
        <f t="shared" si="388"/>
        <v/>
      </c>
      <c r="V3050" s="348" t="str">
        <f t="shared" si="389"/>
        <v/>
      </c>
      <c r="W3050" s="348" t="str">
        <f t="shared" si="390"/>
        <v/>
      </c>
      <c r="X3050" s="348" t="str">
        <f t="shared" si="391"/>
        <v/>
      </c>
    </row>
    <row r="3051" spans="1:24" x14ac:dyDescent="0.2">
      <c r="A3051" s="407">
        <v>3043</v>
      </c>
      <c r="B3051" s="438"/>
      <c r="C3051" s="438"/>
      <c r="D3051" s="438"/>
      <c r="E3051" s="438"/>
      <c r="F3051" s="438"/>
      <c r="G3051" s="438"/>
      <c r="H3051" s="438"/>
      <c r="I3051" s="438"/>
      <c r="J3051" s="11"/>
      <c r="Q3051" s="348" t="str">
        <f t="shared" si="384"/>
        <v/>
      </c>
      <c r="R3051" s="348" t="str">
        <f t="shared" si="385"/>
        <v/>
      </c>
      <c r="S3051" s="348" t="str">
        <f t="shared" si="386"/>
        <v/>
      </c>
      <c r="T3051" s="348" t="str">
        <f t="shared" si="387"/>
        <v/>
      </c>
      <c r="U3051" s="348" t="str">
        <f t="shared" si="388"/>
        <v/>
      </c>
      <c r="V3051" s="348" t="str">
        <f t="shared" si="389"/>
        <v/>
      </c>
      <c r="W3051" s="348" t="str">
        <f t="shared" si="390"/>
        <v/>
      </c>
      <c r="X3051" s="348" t="str">
        <f t="shared" si="391"/>
        <v/>
      </c>
    </row>
    <row r="3052" spans="1:24" x14ac:dyDescent="0.2">
      <c r="A3052" s="407">
        <v>3044</v>
      </c>
      <c r="B3052" s="438"/>
      <c r="C3052" s="438"/>
      <c r="D3052" s="438"/>
      <c r="E3052" s="438"/>
      <c r="F3052" s="438"/>
      <c r="G3052" s="438"/>
      <c r="H3052" s="438"/>
      <c r="I3052" s="438"/>
      <c r="J3052" s="11"/>
      <c r="Q3052" s="348" t="str">
        <f t="shared" si="384"/>
        <v/>
      </c>
      <c r="R3052" s="348" t="str">
        <f t="shared" si="385"/>
        <v/>
      </c>
      <c r="S3052" s="348" t="str">
        <f t="shared" si="386"/>
        <v/>
      </c>
      <c r="T3052" s="348" t="str">
        <f t="shared" si="387"/>
        <v/>
      </c>
      <c r="U3052" s="348" t="str">
        <f t="shared" si="388"/>
        <v/>
      </c>
      <c r="V3052" s="348" t="str">
        <f t="shared" si="389"/>
        <v/>
      </c>
      <c r="W3052" s="348" t="str">
        <f t="shared" si="390"/>
        <v/>
      </c>
      <c r="X3052" s="348" t="str">
        <f t="shared" si="391"/>
        <v/>
      </c>
    </row>
    <row r="3053" spans="1:24" x14ac:dyDescent="0.2">
      <c r="A3053" s="407">
        <v>3045</v>
      </c>
      <c r="B3053" s="438"/>
      <c r="C3053" s="438"/>
      <c r="D3053" s="438"/>
      <c r="E3053" s="438"/>
      <c r="F3053" s="438"/>
      <c r="G3053" s="438"/>
      <c r="H3053" s="438"/>
      <c r="I3053" s="438"/>
      <c r="J3053" s="11"/>
      <c r="Q3053" s="348" t="str">
        <f t="shared" si="384"/>
        <v/>
      </c>
      <c r="R3053" s="348" t="str">
        <f t="shared" si="385"/>
        <v/>
      </c>
      <c r="S3053" s="348" t="str">
        <f t="shared" si="386"/>
        <v/>
      </c>
      <c r="T3053" s="348" t="str">
        <f t="shared" si="387"/>
        <v/>
      </c>
      <c r="U3053" s="348" t="str">
        <f t="shared" si="388"/>
        <v/>
      </c>
      <c r="V3053" s="348" t="str">
        <f t="shared" si="389"/>
        <v/>
      </c>
      <c r="W3053" s="348" t="str">
        <f t="shared" si="390"/>
        <v/>
      </c>
      <c r="X3053" s="348" t="str">
        <f t="shared" si="391"/>
        <v/>
      </c>
    </row>
    <row r="3054" spans="1:24" x14ac:dyDescent="0.2">
      <c r="A3054" s="407">
        <v>3046</v>
      </c>
      <c r="B3054" s="438"/>
      <c r="C3054" s="438"/>
      <c r="D3054" s="438"/>
      <c r="E3054" s="438"/>
      <c r="F3054" s="438"/>
      <c r="G3054" s="438"/>
      <c r="H3054" s="438"/>
      <c r="I3054" s="438"/>
      <c r="J3054" s="11"/>
      <c r="Q3054" s="348" t="str">
        <f t="shared" si="384"/>
        <v/>
      </c>
      <c r="R3054" s="348" t="str">
        <f t="shared" si="385"/>
        <v/>
      </c>
      <c r="S3054" s="348" t="str">
        <f t="shared" si="386"/>
        <v/>
      </c>
      <c r="T3054" s="348" t="str">
        <f t="shared" si="387"/>
        <v/>
      </c>
      <c r="U3054" s="348" t="str">
        <f t="shared" si="388"/>
        <v/>
      </c>
      <c r="V3054" s="348" t="str">
        <f t="shared" si="389"/>
        <v/>
      </c>
      <c r="W3054" s="348" t="str">
        <f t="shared" si="390"/>
        <v/>
      </c>
      <c r="X3054" s="348" t="str">
        <f t="shared" si="391"/>
        <v/>
      </c>
    </row>
    <row r="3055" spans="1:24" x14ac:dyDescent="0.2">
      <c r="A3055" s="407">
        <v>3047</v>
      </c>
      <c r="B3055" s="438"/>
      <c r="C3055" s="438"/>
      <c r="D3055" s="438"/>
      <c r="E3055" s="438"/>
      <c r="F3055" s="438"/>
      <c r="G3055" s="438"/>
      <c r="H3055" s="438"/>
      <c r="I3055" s="438"/>
      <c r="J3055" s="11"/>
      <c r="Q3055" s="348" t="str">
        <f t="shared" si="384"/>
        <v/>
      </c>
      <c r="R3055" s="348" t="str">
        <f t="shared" si="385"/>
        <v/>
      </c>
      <c r="S3055" s="348" t="str">
        <f t="shared" si="386"/>
        <v/>
      </c>
      <c r="T3055" s="348" t="str">
        <f t="shared" si="387"/>
        <v/>
      </c>
      <c r="U3055" s="348" t="str">
        <f t="shared" si="388"/>
        <v/>
      </c>
      <c r="V3055" s="348" t="str">
        <f t="shared" si="389"/>
        <v/>
      </c>
      <c r="W3055" s="348" t="str">
        <f t="shared" si="390"/>
        <v/>
      </c>
      <c r="X3055" s="348" t="str">
        <f t="shared" si="391"/>
        <v/>
      </c>
    </row>
    <row r="3056" spans="1:24" x14ac:dyDescent="0.2">
      <c r="A3056" s="407">
        <v>3048</v>
      </c>
      <c r="B3056" s="438"/>
      <c r="C3056" s="438"/>
      <c r="D3056" s="438"/>
      <c r="E3056" s="438"/>
      <c r="F3056" s="438"/>
      <c r="G3056" s="438"/>
      <c r="H3056" s="438"/>
      <c r="I3056" s="438"/>
      <c r="J3056" s="11"/>
      <c r="Q3056" s="348" t="str">
        <f t="shared" si="384"/>
        <v/>
      </c>
      <c r="R3056" s="348" t="str">
        <f t="shared" si="385"/>
        <v/>
      </c>
      <c r="S3056" s="348" t="str">
        <f t="shared" si="386"/>
        <v/>
      </c>
      <c r="T3056" s="348" t="str">
        <f t="shared" si="387"/>
        <v/>
      </c>
      <c r="U3056" s="348" t="str">
        <f t="shared" si="388"/>
        <v/>
      </c>
      <c r="V3056" s="348" t="str">
        <f t="shared" si="389"/>
        <v/>
      </c>
      <c r="W3056" s="348" t="str">
        <f t="shared" si="390"/>
        <v/>
      </c>
      <c r="X3056" s="348" t="str">
        <f t="shared" si="391"/>
        <v/>
      </c>
    </row>
    <row r="3057" spans="1:24" x14ac:dyDescent="0.2">
      <c r="A3057" s="407">
        <v>3049</v>
      </c>
      <c r="B3057" s="438"/>
      <c r="C3057" s="438"/>
      <c r="D3057" s="438"/>
      <c r="E3057" s="438"/>
      <c r="F3057" s="438"/>
      <c r="G3057" s="438"/>
      <c r="H3057" s="438"/>
      <c r="I3057" s="438"/>
      <c r="J3057" s="11"/>
      <c r="Q3057" s="348" t="str">
        <f t="shared" si="384"/>
        <v/>
      </c>
      <c r="R3057" s="348" t="str">
        <f t="shared" si="385"/>
        <v/>
      </c>
      <c r="S3057" s="348" t="str">
        <f t="shared" si="386"/>
        <v/>
      </c>
      <c r="T3057" s="348" t="str">
        <f t="shared" si="387"/>
        <v/>
      </c>
      <c r="U3057" s="348" t="str">
        <f t="shared" si="388"/>
        <v/>
      </c>
      <c r="V3057" s="348" t="str">
        <f t="shared" si="389"/>
        <v/>
      </c>
      <c r="W3057" s="348" t="str">
        <f t="shared" si="390"/>
        <v/>
      </c>
      <c r="X3057" s="348" t="str">
        <f t="shared" si="391"/>
        <v/>
      </c>
    </row>
    <row r="3058" spans="1:24" x14ac:dyDescent="0.2">
      <c r="A3058" s="407">
        <v>3050</v>
      </c>
      <c r="B3058" s="438"/>
      <c r="C3058" s="437"/>
      <c r="D3058" s="438"/>
      <c r="E3058" s="438"/>
      <c r="F3058" s="438"/>
      <c r="G3058" s="438"/>
      <c r="H3058" s="438"/>
      <c r="I3058" s="438"/>
      <c r="J3058" s="11"/>
      <c r="Q3058" s="348" t="str">
        <f t="shared" si="384"/>
        <v/>
      </c>
      <c r="R3058" s="348" t="str">
        <f t="shared" si="385"/>
        <v/>
      </c>
      <c r="S3058" s="348" t="str">
        <f t="shared" si="386"/>
        <v/>
      </c>
      <c r="T3058" s="348" t="str">
        <f t="shared" si="387"/>
        <v/>
      </c>
      <c r="U3058" s="348" t="str">
        <f t="shared" si="388"/>
        <v/>
      </c>
      <c r="V3058" s="348" t="str">
        <f t="shared" si="389"/>
        <v/>
      </c>
      <c r="W3058" s="348" t="str">
        <f t="shared" si="390"/>
        <v/>
      </c>
      <c r="X3058" s="348" t="str">
        <f t="shared" si="391"/>
        <v/>
      </c>
    </row>
    <row r="3059" spans="1:24" x14ac:dyDescent="0.2">
      <c r="A3059" s="407">
        <v>3051</v>
      </c>
      <c r="B3059" s="437"/>
      <c r="C3059" s="438"/>
      <c r="D3059" s="438"/>
      <c r="E3059" s="437"/>
      <c r="F3059" s="438"/>
      <c r="G3059" s="438"/>
      <c r="H3059" s="438"/>
      <c r="I3059" s="438"/>
      <c r="J3059" s="11"/>
      <c r="Q3059" s="348" t="str">
        <f t="shared" si="384"/>
        <v/>
      </c>
      <c r="R3059" s="348" t="str">
        <f t="shared" si="385"/>
        <v/>
      </c>
      <c r="S3059" s="348" t="str">
        <f t="shared" si="386"/>
        <v/>
      </c>
      <c r="T3059" s="348" t="str">
        <f t="shared" si="387"/>
        <v/>
      </c>
      <c r="U3059" s="348" t="str">
        <f t="shared" si="388"/>
        <v/>
      </c>
      <c r="V3059" s="348" t="str">
        <f t="shared" si="389"/>
        <v/>
      </c>
      <c r="W3059" s="348" t="str">
        <f t="shared" si="390"/>
        <v/>
      </c>
      <c r="X3059" s="348" t="str">
        <f t="shared" si="391"/>
        <v/>
      </c>
    </row>
    <row r="3060" spans="1:24" x14ac:dyDescent="0.2">
      <c r="A3060" s="407">
        <v>3052</v>
      </c>
      <c r="B3060" s="438"/>
      <c r="C3060" s="438"/>
      <c r="D3060" s="438"/>
      <c r="E3060" s="438"/>
      <c r="F3060" s="438"/>
      <c r="G3060" s="438"/>
      <c r="H3060" s="438"/>
      <c r="I3060" s="438"/>
      <c r="J3060" s="11"/>
      <c r="Q3060" s="348" t="str">
        <f t="shared" si="384"/>
        <v/>
      </c>
      <c r="R3060" s="348" t="str">
        <f t="shared" si="385"/>
        <v/>
      </c>
      <c r="S3060" s="348" t="str">
        <f t="shared" si="386"/>
        <v/>
      </c>
      <c r="T3060" s="348" t="str">
        <f t="shared" si="387"/>
        <v/>
      </c>
      <c r="U3060" s="348" t="str">
        <f t="shared" si="388"/>
        <v/>
      </c>
      <c r="V3060" s="348" t="str">
        <f t="shared" si="389"/>
        <v/>
      </c>
      <c r="W3060" s="348" t="str">
        <f t="shared" si="390"/>
        <v/>
      </c>
      <c r="X3060" s="348" t="str">
        <f t="shared" si="391"/>
        <v/>
      </c>
    </row>
    <row r="3061" spans="1:24" x14ac:dyDescent="0.2">
      <c r="A3061" s="407">
        <v>3053</v>
      </c>
      <c r="B3061" s="438"/>
      <c r="C3061" s="438"/>
      <c r="D3061" s="438"/>
      <c r="E3061" s="438"/>
      <c r="F3061" s="438"/>
      <c r="G3061" s="438"/>
      <c r="H3061" s="438"/>
      <c r="I3061" s="438"/>
      <c r="J3061" s="11"/>
      <c r="Q3061" s="348" t="str">
        <f t="shared" si="384"/>
        <v/>
      </c>
      <c r="R3061" s="348" t="str">
        <f t="shared" si="385"/>
        <v/>
      </c>
      <c r="S3061" s="348" t="str">
        <f t="shared" si="386"/>
        <v/>
      </c>
      <c r="T3061" s="348" t="str">
        <f t="shared" si="387"/>
        <v/>
      </c>
      <c r="U3061" s="348" t="str">
        <f t="shared" si="388"/>
        <v/>
      </c>
      <c r="V3061" s="348" t="str">
        <f t="shared" si="389"/>
        <v/>
      </c>
      <c r="W3061" s="348" t="str">
        <f t="shared" si="390"/>
        <v/>
      </c>
      <c r="X3061" s="348" t="str">
        <f t="shared" si="391"/>
        <v/>
      </c>
    </row>
    <row r="3062" spans="1:24" x14ac:dyDescent="0.2">
      <c r="A3062" s="407">
        <v>3054</v>
      </c>
      <c r="B3062" s="438"/>
      <c r="C3062" s="438"/>
      <c r="D3062" s="438"/>
      <c r="E3062" s="438"/>
      <c r="F3062" s="438"/>
      <c r="G3062" s="438"/>
      <c r="H3062" s="438"/>
      <c r="I3062" s="438"/>
      <c r="J3062" s="11"/>
      <c r="Q3062" s="348" t="str">
        <f t="shared" si="384"/>
        <v/>
      </c>
      <c r="R3062" s="348" t="str">
        <f t="shared" si="385"/>
        <v/>
      </c>
      <c r="S3062" s="348" t="str">
        <f t="shared" si="386"/>
        <v/>
      </c>
      <c r="T3062" s="348" t="str">
        <f t="shared" si="387"/>
        <v/>
      </c>
      <c r="U3062" s="348" t="str">
        <f t="shared" si="388"/>
        <v/>
      </c>
      <c r="V3062" s="348" t="str">
        <f t="shared" si="389"/>
        <v/>
      </c>
      <c r="W3062" s="348" t="str">
        <f t="shared" si="390"/>
        <v/>
      </c>
      <c r="X3062" s="348" t="str">
        <f t="shared" si="391"/>
        <v/>
      </c>
    </row>
    <row r="3063" spans="1:24" x14ac:dyDescent="0.2">
      <c r="A3063" s="407">
        <v>3055</v>
      </c>
      <c r="B3063" s="438"/>
      <c r="C3063" s="438"/>
      <c r="D3063" s="438"/>
      <c r="E3063" s="438"/>
      <c r="F3063" s="438"/>
      <c r="G3063" s="438"/>
      <c r="H3063" s="438"/>
      <c r="I3063" s="438"/>
      <c r="J3063" s="11"/>
      <c r="Q3063" s="348" t="str">
        <f t="shared" si="384"/>
        <v/>
      </c>
      <c r="R3063" s="348" t="str">
        <f t="shared" si="385"/>
        <v/>
      </c>
      <c r="S3063" s="348" t="str">
        <f t="shared" si="386"/>
        <v/>
      </c>
      <c r="T3063" s="348" t="str">
        <f t="shared" si="387"/>
        <v/>
      </c>
      <c r="U3063" s="348" t="str">
        <f t="shared" si="388"/>
        <v/>
      </c>
      <c r="V3063" s="348" t="str">
        <f t="shared" si="389"/>
        <v/>
      </c>
      <c r="W3063" s="348" t="str">
        <f t="shared" si="390"/>
        <v/>
      </c>
      <c r="X3063" s="348" t="str">
        <f t="shared" si="391"/>
        <v/>
      </c>
    </row>
    <row r="3064" spans="1:24" x14ac:dyDescent="0.2">
      <c r="A3064" s="407">
        <v>3056</v>
      </c>
      <c r="B3064" s="438"/>
      <c r="C3064" s="438"/>
      <c r="D3064" s="438"/>
      <c r="E3064" s="438"/>
      <c r="F3064" s="438"/>
      <c r="G3064" s="438"/>
      <c r="H3064" s="438"/>
      <c r="I3064" s="438"/>
      <c r="J3064" s="11"/>
      <c r="Q3064" s="348" t="str">
        <f t="shared" si="384"/>
        <v/>
      </c>
      <c r="R3064" s="348" t="str">
        <f t="shared" si="385"/>
        <v/>
      </c>
      <c r="S3064" s="348" t="str">
        <f t="shared" si="386"/>
        <v/>
      </c>
      <c r="T3064" s="348" t="str">
        <f t="shared" si="387"/>
        <v/>
      </c>
      <c r="U3064" s="348" t="str">
        <f t="shared" si="388"/>
        <v/>
      </c>
      <c r="V3064" s="348" t="str">
        <f t="shared" si="389"/>
        <v/>
      </c>
      <c r="W3064" s="348" t="str">
        <f t="shared" si="390"/>
        <v/>
      </c>
      <c r="X3064" s="348" t="str">
        <f t="shared" si="391"/>
        <v/>
      </c>
    </row>
    <row r="3065" spans="1:24" x14ac:dyDescent="0.2">
      <c r="A3065" s="407">
        <v>3057</v>
      </c>
      <c r="B3065" s="438"/>
      <c r="C3065" s="438"/>
      <c r="D3065" s="438"/>
      <c r="E3065" s="438"/>
      <c r="F3065" s="438"/>
      <c r="G3065" s="438"/>
      <c r="H3065" s="438"/>
      <c r="I3065" s="438"/>
      <c r="J3065" s="11"/>
      <c r="Q3065" s="348" t="str">
        <f t="shared" si="384"/>
        <v/>
      </c>
      <c r="R3065" s="348" t="str">
        <f t="shared" si="385"/>
        <v/>
      </c>
      <c r="S3065" s="348" t="str">
        <f t="shared" si="386"/>
        <v/>
      </c>
      <c r="T3065" s="348" t="str">
        <f t="shared" si="387"/>
        <v/>
      </c>
      <c r="U3065" s="348" t="str">
        <f t="shared" si="388"/>
        <v/>
      </c>
      <c r="V3065" s="348" t="str">
        <f t="shared" si="389"/>
        <v/>
      </c>
      <c r="W3065" s="348" t="str">
        <f t="shared" si="390"/>
        <v/>
      </c>
      <c r="X3065" s="348" t="str">
        <f t="shared" si="391"/>
        <v/>
      </c>
    </row>
    <row r="3066" spans="1:24" x14ac:dyDescent="0.2">
      <c r="A3066" s="407">
        <v>3058</v>
      </c>
      <c r="B3066" s="438"/>
      <c r="C3066" s="438"/>
      <c r="D3066" s="438"/>
      <c r="E3066" s="438"/>
      <c r="F3066" s="438"/>
      <c r="G3066" s="438"/>
      <c r="H3066" s="438"/>
      <c r="I3066" s="438"/>
      <c r="J3066" s="11"/>
      <c r="Q3066" s="348" t="str">
        <f t="shared" si="384"/>
        <v/>
      </c>
      <c r="R3066" s="348" t="str">
        <f t="shared" si="385"/>
        <v/>
      </c>
      <c r="S3066" s="348" t="str">
        <f t="shared" si="386"/>
        <v/>
      </c>
      <c r="T3066" s="348" t="str">
        <f t="shared" si="387"/>
        <v/>
      </c>
      <c r="U3066" s="348" t="str">
        <f t="shared" si="388"/>
        <v/>
      </c>
      <c r="V3066" s="348" t="str">
        <f t="shared" si="389"/>
        <v/>
      </c>
      <c r="W3066" s="348" t="str">
        <f t="shared" si="390"/>
        <v/>
      </c>
      <c r="X3066" s="348" t="str">
        <f t="shared" si="391"/>
        <v/>
      </c>
    </row>
    <row r="3067" spans="1:24" x14ac:dyDescent="0.2">
      <c r="A3067" s="407">
        <v>3059</v>
      </c>
      <c r="B3067" s="437"/>
      <c r="C3067" s="438"/>
      <c r="D3067" s="438"/>
      <c r="E3067" s="438"/>
      <c r="F3067" s="438"/>
      <c r="G3067" s="438"/>
      <c r="H3067" s="438"/>
      <c r="I3067" s="438"/>
      <c r="J3067" s="11"/>
      <c r="Q3067" s="348" t="str">
        <f t="shared" si="384"/>
        <v/>
      </c>
      <c r="R3067" s="348" t="str">
        <f t="shared" si="385"/>
        <v/>
      </c>
      <c r="S3067" s="348" t="str">
        <f t="shared" si="386"/>
        <v/>
      </c>
      <c r="T3067" s="348" t="str">
        <f t="shared" si="387"/>
        <v/>
      </c>
      <c r="U3067" s="348" t="str">
        <f t="shared" si="388"/>
        <v/>
      </c>
      <c r="V3067" s="348" t="str">
        <f t="shared" si="389"/>
        <v/>
      </c>
      <c r="W3067" s="348" t="str">
        <f t="shared" si="390"/>
        <v/>
      </c>
      <c r="X3067" s="348" t="str">
        <f t="shared" si="391"/>
        <v/>
      </c>
    </row>
    <row r="3068" spans="1:24" x14ac:dyDescent="0.2">
      <c r="A3068" s="407">
        <v>3060</v>
      </c>
      <c r="B3068" s="438"/>
      <c r="C3068" s="438"/>
      <c r="D3068" s="438"/>
      <c r="E3068" s="438"/>
      <c r="F3068" s="438"/>
      <c r="G3068" s="438"/>
      <c r="H3068" s="438"/>
      <c r="I3068" s="438"/>
      <c r="J3068" s="11"/>
      <c r="Q3068" s="348" t="str">
        <f t="shared" si="384"/>
        <v/>
      </c>
      <c r="R3068" s="348" t="str">
        <f t="shared" si="385"/>
        <v/>
      </c>
      <c r="S3068" s="348" t="str">
        <f t="shared" si="386"/>
        <v/>
      </c>
      <c r="T3068" s="348" t="str">
        <f t="shared" si="387"/>
        <v/>
      </c>
      <c r="U3068" s="348" t="str">
        <f t="shared" si="388"/>
        <v/>
      </c>
      <c r="V3068" s="348" t="str">
        <f t="shared" si="389"/>
        <v/>
      </c>
      <c r="W3068" s="348" t="str">
        <f t="shared" si="390"/>
        <v/>
      </c>
      <c r="X3068" s="348" t="str">
        <f t="shared" si="391"/>
        <v/>
      </c>
    </row>
    <row r="3069" spans="1:24" x14ac:dyDescent="0.2">
      <c r="A3069" s="407">
        <v>3061</v>
      </c>
      <c r="B3069" s="438"/>
      <c r="C3069" s="438"/>
      <c r="D3069" s="438"/>
      <c r="E3069" s="438"/>
      <c r="F3069" s="438"/>
      <c r="G3069" s="438"/>
      <c r="H3069" s="438"/>
      <c r="I3069" s="438"/>
      <c r="J3069" s="11"/>
      <c r="Q3069" s="348" t="str">
        <f t="shared" si="384"/>
        <v/>
      </c>
      <c r="R3069" s="348" t="str">
        <f t="shared" si="385"/>
        <v/>
      </c>
      <c r="S3069" s="348" t="str">
        <f t="shared" si="386"/>
        <v/>
      </c>
      <c r="T3069" s="348" t="str">
        <f t="shared" si="387"/>
        <v/>
      </c>
      <c r="U3069" s="348" t="str">
        <f t="shared" si="388"/>
        <v/>
      </c>
      <c r="V3069" s="348" t="str">
        <f t="shared" si="389"/>
        <v/>
      </c>
      <c r="W3069" s="348" t="str">
        <f t="shared" si="390"/>
        <v/>
      </c>
      <c r="X3069" s="348" t="str">
        <f t="shared" si="391"/>
        <v/>
      </c>
    </row>
    <row r="3070" spans="1:24" x14ac:dyDescent="0.2">
      <c r="A3070" s="407">
        <v>3062</v>
      </c>
      <c r="B3070" s="438"/>
      <c r="C3070" s="438"/>
      <c r="D3070" s="438"/>
      <c r="E3070" s="438"/>
      <c r="F3070" s="438"/>
      <c r="G3070" s="437"/>
      <c r="H3070" s="438"/>
      <c r="I3070" s="438"/>
      <c r="J3070" s="11"/>
      <c r="Q3070" s="348" t="str">
        <f t="shared" si="384"/>
        <v/>
      </c>
      <c r="R3070" s="348" t="str">
        <f t="shared" si="385"/>
        <v/>
      </c>
      <c r="S3070" s="348" t="str">
        <f t="shared" si="386"/>
        <v/>
      </c>
      <c r="T3070" s="348" t="str">
        <f t="shared" si="387"/>
        <v/>
      </c>
      <c r="U3070" s="348" t="str">
        <f t="shared" si="388"/>
        <v/>
      </c>
      <c r="V3070" s="348" t="str">
        <f t="shared" si="389"/>
        <v/>
      </c>
      <c r="W3070" s="348" t="str">
        <f t="shared" si="390"/>
        <v/>
      </c>
      <c r="X3070" s="348" t="str">
        <f t="shared" si="391"/>
        <v/>
      </c>
    </row>
    <row r="3071" spans="1:24" x14ac:dyDescent="0.2">
      <c r="A3071" s="407">
        <v>3063</v>
      </c>
      <c r="B3071" s="438"/>
      <c r="C3071" s="438"/>
      <c r="D3071" s="438"/>
      <c r="E3071" s="438"/>
      <c r="F3071" s="438"/>
      <c r="G3071" s="438"/>
      <c r="H3071" s="438"/>
      <c r="I3071" s="438"/>
      <c r="J3071" s="11"/>
      <c r="Q3071" s="348" t="str">
        <f t="shared" si="384"/>
        <v/>
      </c>
      <c r="R3071" s="348" t="str">
        <f t="shared" si="385"/>
        <v/>
      </c>
      <c r="S3071" s="348" t="str">
        <f t="shared" si="386"/>
        <v/>
      </c>
      <c r="T3071" s="348" t="str">
        <f t="shared" si="387"/>
        <v/>
      </c>
      <c r="U3071" s="348" t="str">
        <f t="shared" si="388"/>
        <v/>
      </c>
      <c r="V3071" s="348" t="str">
        <f t="shared" si="389"/>
        <v/>
      </c>
      <c r="W3071" s="348" t="str">
        <f t="shared" si="390"/>
        <v/>
      </c>
      <c r="X3071" s="348" t="str">
        <f t="shared" si="391"/>
        <v/>
      </c>
    </row>
    <row r="3072" spans="1:24" x14ac:dyDescent="0.2">
      <c r="A3072" s="407">
        <v>3064</v>
      </c>
      <c r="B3072" s="438"/>
      <c r="C3072" s="437"/>
      <c r="D3072" s="437"/>
      <c r="E3072" s="438"/>
      <c r="F3072" s="437"/>
      <c r="G3072" s="438"/>
      <c r="H3072" s="437"/>
      <c r="I3072" s="438"/>
      <c r="J3072" s="11"/>
      <c r="Q3072" s="348" t="str">
        <f t="shared" si="384"/>
        <v/>
      </c>
      <c r="R3072" s="348" t="str">
        <f t="shared" si="385"/>
        <v/>
      </c>
      <c r="S3072" s="348" t="str">
        <f t="shared" si="386"/>
        <v/>
      </c>
      <c r="T3072" s="348" t="str">
        <f t="shared" si="387"/>
        <v/>
      </c>
      <c r="U3072" s="348" t="str">
        <f t="shared" si="388"/>
        <v/>
      </c>
      <c r="V3072" s="348" t="str">
        <f t="shared" si="389"/>
        <v/>
      </c>
      <c r="W3072" s="348" t="str">
        <f t="shared" si="390"/>
        <v/>
      </c>
      <c r="X3072" s="348" t="str">
        <f t="shared" si="391"/>
        <v/>
      </c>
    </row>
    <row r="3073" spans="1:24" x14ac:dyDescent="0.2">
      <c r="A3073" s="407">
        <v>3065</v>
      </c>
      <c r="B3073" s="438"/>
      <c r="C3073" s="438"/>
      <c r="D3073" s="438"/>
      <c r="E3073" s="438"/>
      <c r="F3073" s="438"/>
      <c r="G3073" s="438"/>
      <c r="H3073" s="438"/>
      <c r="I3073" s="437"/>
      <c r="J3073" s="11"/>
      <c r="Q3073" s="348" t="str">
        <f t="shared" si="384"/>
        <v/>
      </c>
      <c r="R3073" s="348" t="str">
        <f t="shared" si="385"/>
        <v/>
      </c>
      <c r="S3073" s="348" t="str">
        <f t="shared" si="386"/>
        <v/>
      </c>
      <c r="T3073" s="348" t="str">
        <f t="shared" si="387"/>
        <v/>
      </c>
      <c r="U3073" s="348" t="str">
        <f t="shared" si="388"/>
        <v/>
      </c>
      <c r="V3073" s="348" t="str">
        <f t="shared" si="389"/>
        <v/>
      </c>
      <c r="W3073" s="348" t="str">
        <f t="shared" si="390"/>
        <v/>
      </c>
      <c r="X3073" s="348" t="str">
        <f t="shared" si="391"/>
        <v/>
      </c>
    </row>
    <row r="3074" spans="1:24" x14ac:dyDescent="0.2">
      <c r="A3074" s="407">
        <v>3066</v>
      </c>
      <c r="B3074" s="438"/>
      <c r="C3074" s="438"/>
      <c r="D3074" s="438"/>
      <c r="E3074" s="438"/>
      <c r="F3074" s="438"/>
      <c r="G3074" s="438"/>
      <c r="H3074" s="438"/>
      <c r="I3074" s="438"/>
      <c r="J3074" s="11"/>
      <c r="Q3074" s="348" t="str">
        <f t="shared" si="384"/>
        <v/>
      </c>
      <c r="R3074" s="348" t="str">
        <f t="shared" si="385"/>
        <v/>
      </c>
      <c r="S3074" s="348" t="str">
        <f t="shared" si="386"/>
        <v/>
      </c>
      <c r="T3074" s="348" t="str">
        <f t="shared" si="387"/>
        <v/>
      </c>
      <c r="U3074" s="348" t="str">
        <f t="shared" si="388"/>
        <v/>
      </c>
      <c r="V3074" s="348" t="str">
        <f t="shared" si="389"/>
        <v/>
      </c>
      <c r="W3074" s="348" t="str">
        <f t="shared" si="390"/>
        <v/>
      </c>
      <c r="X3074" s="348" t="str">
        <f t="shared" si="391"/>
        <v/>
      </c>
    </row>
    <row r="3075" spans="1:24" x14ac:dyDescent="0.2">
      <c r="A3075" s="407">
        <v>3067</v>
      </c>
      <c r="B3075" s="438"/>
      <c r="C3075" s="438"/>
      <c r="D3075" s="438"/>
      <c r="E3075" s="438"/>
      <c r="F3075" s="438"/>
      <c r="G3075" s="438"/>
      <c r="H3075" s="438"/>
      <c r="I3075" s="438"/>
      <c r="J3075" s="11"/>
      <c r="Q3075" s="348" t="str">
        <f t="shared" si="384"/>
        <v/>
      </c>
      <c r="R3075" s="348" t="str">
        <f t="shared" si="385"/>
        <v/>
      </c>
      <c r="S3075" s="348" t="str">
        <f t="shared" si="386"/>
        <v/>
      </c>
      <c r="T3075" s="348" t="str">
        <f t="shared" si="387"/>
        <v/>
      </c>
      <c r="U3075" s="348" t="str">
        <f t="shared" si="388"/>
        <v/>
      </c>
      <c r="V3075" s="348" t="str">
        <f t="shared" si="389"/>
        <v/>
      </c>
      <c r="W3075" s="348" t="str">
        <f t="shared" si="390"/>
        <v/>
      </c>
      <c r="X3075" s="348" t="str">
        <f t="shared" si="391"/>
        <v/>
      </c>
    </row>
    <row r="3076" spans="1:24" x14ac:dyDescent="0.2">
      <c r="A3076" s="407">
        <v>3068</v>
      </c>
      <c r="B3076" s="438"/>
      <c r="C3076" s="438"/>
      <c r="D3076" s="438"/>
      <c r="E3076" s="438"/>
      <c r="F3076" s="438"/>
      <c r="G3076" s="438"/>
      <c r="H3076" s="438"/>
      <c r="I3076" s="438"/>
      <c r="J3076" s="11"/>
      <c r="Q3076" s="348" t="str">
        <f t="shared" si="384"/>
        <v/>
      </c>
      <c r="R3076" s="348" t="str">
        <f t="shared" si="385"/>
        <v/>
      </c>
      <c r="S3076" s="348" t="str">
        <f t="shared" si="386"/>
        <v/>
      </c>
      <c r="T3076" s="348" t="str">
        <f t="shared" si="387"/>
        <v/>
      </c>
      <c r="U3076" s="348" t="str">
        <f t="shared" si="388"/>
        <v/>
      </c>
      <c r="V3076" s="348" t="str">
        <f t="shared" si="389"/>
        <v/>
      </c>
      <c r="W3076" s="348" t="str">
        <f t="shared" si="390"/>
        <v/>
      </c>
      <c r="X3076" s="348" t="str">
        <f t="shared" si="391"/>
        <v/>
      </c>
    </row>
    <row r="3077" spans="1:24" x14ac:dyDescent="0.2">
      <c r="A3077" s="407">
        <v>3069</v>
      </c>
      <c r="B3077" s="438"/>
      <c r="C3077" s="438"/>
      <c r="D3077" s="438"/>
      <c r="E3077" s="437"/>
      <c r="F3077" s="438"/>
      <c r="G3077" s="438"/>
      <c r="H3077" s="438"/>
      <c r="I3077" s="438"/>
      <c r="J3077" s="11"/>
      <c r="Q3077" s="348" t="str">
        <f t="shared" si="384"/>
        <v/>
      </c>
      <c r="R3077" s="348" t="str">
        <f t="shared" si="385"/>
        <v/>
      </c>
      <c r="S3077" s="348" t="str">
        <f t="shared" si="386"/>
        <v/>
      </c>
      <c r="T3077" s="348" t="str">
        <f t="shared" si="387"/>
        <v/>
      </c>
      <c r="U3077" s="348" t="str">
        <f t="shared" si="388"/>
        <v/>
      </c>
      <c r="V3077" s="348" t="str">
        <f t="shared" si="389"/>
        <v/>
      </c>
      <c r="W3077" s="348" t="str">
        <f t="shared" si="390"/>
        <v/>
      </c>
      <c r="X3077" s="348" t="str">
        <f t="shared" si="391"/>
        <v/>
      </c>
    </row>
    <row r="3078" spans="1:24" x14ac:dyDescent="0.2">
      <c r="A3078" s="407">
        <v>3070</v>
      </c>
      <c r="B3078" s="438"/>
      <c r="C3078" s="438"/>
      <c r="D3078" s="438"/>
      <c r="E3078" s="438"/>
      <c r="F3078" s="438"/>
      <c r="G3078" s="438"/>
      <c r="H3078" s="438"/>
      <c r="I3078" s="438"/>
      <c r="J3078" s="11"/>
      <c r="Q3078" s="348" t="str">
        <f t="shared" si="384"/>
        <v/>
      </c>
      <c r="R3078" s="348" t="str">
        <f t="shared" si="385"/>
        <v/>
      </c>
      <c r="S3078" s="348" t="str">
        <f t="shared" si="386"/>
        <v/>
      </c>
      <c r="T3078" s="348" t="str">
        <f t="shared" si="387"/>
        <v/>
      </c>
      <c r="U3078" s="348" t="str">
        <f t="shared" si="388"/>
        <v/>
      </c>
      <c r="V3078" s="348" t="str">
        <f t="shared" si="389"/>
        <v/>
      </c>
      <c r="W3078" s="348" t="str">
        <f t="shared" si="390"/>
        <v/>
      </c>
      <c r="X3078" s="348" t="str">
        <f t="shared" si="391"/>
        <v/>
      </c>
    </row>
    <row r="3079" spans="1:24" x14ac:dyDescent="0.2">
      <c r="A3079" s="407">
        <v>3071</v>
      </c>
      <c r="B3079" s="438"/>
      <c r="C3079" s="438"/>
      <c r="D3079" s="438"/>
      <c r="E3079" s="438"/>
      <c r="F3079" s="438"/>
      <c r="G3079" s="438"/>
      <c r="H3079" s="438"/>
      <c r="I3079" s="438"/>
      <c r="J3079" s="11"/>
      <c r="Q3079" s="348" t="str">
        <f t="shared" si="384"/>
        <v/>
      </c>
      <c r="R3079" s="348" t="str">
        <f t="shared" si="385"/>
        <v/>
      </c>
      <c r="S3079" s="348" t="str">
        <f t="shared" si="386"/>
        <v/>
      </c>
      <c r="T3079" s="348" t="str">
        <f t="shared" si="387"/>
        <v/>
      </c>
      <c r="U3079" s="348" t="str">
        <f t="shared" si="388"/>
        <v/>
      </c>
      <c r="V3079" s="348" t="str">
        <f t="shared" si="389"/>
        <v/>
      </c>
      <c r="W3079" s="348" t="str">
        <f t="shared" si="390"/>
        <v/>
      </c>
      <c r="X3079" s="348" t="str">
        <f t="shared" si="391"/>
        <v/>
      </c>
    </row>
    <row r="3080" spans="1:24" x14ac:dyDescent="0.2">
      <c r="A3080" s="407">
        <v>3072</v>
      </c>
      <c r="B3080" s="438"/>
      <c r="C3080" s="438"/>
      <c r="D3080" s="438"/>
      <c r="E3080" s="438"/>
      <c r="F3080" s="438"/>
      <c r="G3080" s="438"/>
      <c r="H3080" s="438"/>
      <c r="I3080" s="438"/>
      <c r="J3080" s="11"/>
      <c r="Q3080" s="348" t="str">
        <f t="shared" si="384"/>
        <v/>
      </c>
      <c r="R3080" s="348" t="str">
        <f t="shared" si="385"/>
        <v/>
      </c>
      <c r="S3080" s="348" t="str">
        <f t="shared" si="386"/>
        <v/>
      </c>
      <c r="T3080" s="348" t="str">
        <f t="shared" si="387"/>
        <v/>
      </c>
      <c r="U3080" s="348" t="str">
        <f t="shared" si="388"/>
        <v/>
      </c>
      <c r="V3080" s="348" t="str">
        <f t="shared" si="389"/>
        <v/>
      </c>
      <c r="W3080" s="348" t="str">
        <f t="shared" si="390"/>
        <v/>
      </c>
      <c r="X3080" s="348" t="str">
        <f t="shared" si="391"/>
        <v/>
      </c>
    </row>
    <row r="3081" spans="1:24" x14ac:dyDescent="0.2">
      <c r="A3081" s="407">
        <v>3073</v>
      </c>
      <c r="B3081" s="437"/>
      <c r="C3081" s="438"/>
      <c r="D3081" s="438"/>
      <c r="E3081" s="438"/>
      <c r="F3081" s="438"/>
      <c r="G3081" s="438"/>
      <c r="H3081" s="438"/>
      <c r="I3081" s="438"/>
      <c r="J3081" s="11"/>
      <c r="Q3081" s="348" t="str">
        <f t="shared" si="384"/>
        <v/>
      </c>
      <c r="R3081" s="348" t="str">
        <f t="shared" si="385"/>
        <v/>
      </c>
      <c r="S3081" s="348" t="str">
        <f t="shared" si="386"/>
        <v/>
      </c>
      <c r="T3081" s="348" t="str">
        <f t="shared" si="387"/>
        <v/>
      </c>
      <c r="U3081" s="348" t="str">
        <f t="shared" si="388"/>
        <v/>
      </c>
      <c r="V3081" s="348" t="str">
        <f t="shared" si="389"/>
        <v/>
      </c>
      <c r="W3081" s="348" t="str">
        <f t="shared" si="390"/>
        <v/>
      </c>
      <c r="X3081" s="348" t="str">
        <f t="shared" si="391"/>
        <v/>
      </c>
    </row>
    <row r="3082" spans="1:24" x14ac:dyDescent="0.2">
      <c r="A3082" s="407">
        <v>3074</v>
      </c>
      <c r="B3082" s="438"/>
      <c r="C3082" s="438"/>
      <c r="D3082" s="438"/>
      <c r="E3082" s="438"/>
      <c r="F3082" s="438"/>
      <c r="G3082" s="438"/>
      <c r="H3082" s="438"/>
      <c r="I3082" s="438"/>
      <c r="J3082" s="11"/>
      <c r="Q3082" s="348" t="str">
        <f t="shared" ref="Q3082:Q3145" si="392">IFERROR(B3082^4*$AB$9+B3082^3*$AC$9+B3082^2*$AD$9+B3082^1*$AE$9+B3082^0*$AF$9,"")</f>
        <v/>
      </c>
      <c r="R3082" s="348" t="str">
        <f t="shared" ref="R3082:R3145" si="393">IFERROR(C3082^4*$AB$10+C3082^3*$AC$10+C3082^2*$AD$10+C3082^1*$AE$10+C3082^0*$AF$10,"")</f>
        <v/>
      </c>
      <c r="S3082" s="348" t="str">
        <f t="shared" ref="S3082:S3145" si="394">IFERROR(D3082^4*$AB$11+D3082^3*$AC$11+D3082^2*$AD$11+D3082^1*$AE$11+D3082^0*$AF$11,"")</f>
        <v/>
      </c>
      <c r="T3082" s="348" t="str">
        <f t="shared" ref="T3082:T3145" si="395">IFERROR(E3082^4*$AB$12+E3082^3*$AC$12+E3082^2*$AD$12+E3082^1*$AE$12+E3082^0*$AF$12,"")</f>
        <v/>
      </c>
      <c r="U3082" s="348" t="str">
        <f t="shared" ref="U3082:U3145" si="396">IFERROR(F3082^4*$AB$13+F3082^3*$AC$13+F3082^2*$AD$13+F3082^1*$AE$13+F3082^0*$AF$13,"")</f>
        <v/>
      </c>
      <c r="V3082" s="348" t="str">
        <f t="shared" ref="V3082:V3145" si="397">IFERROR(G3082^4*$AB$14+G3082^3*$AC$14+G3082^2*$AD$14+G3082^1*$AE$14+G3082^0*$AF$14,"")</f>
        <v/>
      </c>
      <c r="W3082" s="348" t="str">
        <f t="shared" ref="W3082:W3145" si="398">IFERROR(H3082^4*$AB$15+H3082^3*$AC$15+H3082^2*$AD$15+H3082^1*$AE$15+H3082^0*$AF$15,"")</f>
        <v/>
      </c>
      <c r="X3082" s="348" t="str">
        <f t="shared" ref="X3082:X3145" si="399">IFERROR(I3082^4*$AB$16+I3082^3*$AC$16+I3082^2*$AD$16+I3082^1*$AE$16+I3082^0*$AF$16,"")</f>
        <v/>
      </c>
    </row>
    <row r="3083" spans="1:24" x14ac:dyDescent="0.2">
      <c r="A3083" s="407">
        <v>3075</v>
      </c>
      <c r="B3083" s="438"/>
      <c r="C3083" s="438"/>
      <c r="D3083" s="438"/>
      <c r="E3083" s="438"/>
      <c r="F3083" s="438"/>
      <c r="G3083" s="438"/>
      <c r="H3083" s="438"/>
      <c r="I3083" s="438"/>
      <c r="J3083" s="11"/>
      <c r="Q3083" s="348" t="str">
        <f t="shared" si="392"/>
        <v/>
      </c>
      <c r="R3083" s="348" t="str">
        <f t="shared" si="393"/>
        <v/>
      </c>
      <c r="S3083" s="348" t="str">
        <f t="shared" si="394"/>
        <v/>
      </c>
      <c r="T3083" s="348" t="str">
        <f t="shared" si="395"/>
        <v/>
      </c>
      <c r="U3083" s="348" t="str">
        <f t="shared" si="396"/>
        <v/>
      </c>
      <c r="V3083" s="348" t="str">
        <f t="shared" si="397"/>
        <v/>
      </c>
      <c r="W3083" s="348" t="str">
        <f t="shared" si="398"/>
        <v/>
      </c>
      <c r="X3083" s="348" t="str">
        <f t="shared" si="399"/>
        <v/>
      </c>
    </row>
    <row r="3084" spans="1:24" x14ac:dyDescent="0.2">
      <c r="A3084" s="407">
        <v>3076</v>
      </c>
      <c r="B3084" s="438"/>
      <c r="C3084" s="438"/>
      <c r="D3084" s="438"/>
      <c r="E3084" s="438"/>
      <c r="F3084" s="438"/>
      <c r="G3084" s="438"/>
      <c r="H3084" s="438"/>
      <c r="I3084" s="438"/>
      <c r="J3084" s="11"/>
      <c r="Q3084" s="348" t="str">
        <f t="shared" si="392"/>
        <v/>
      </c>
      <c r="R3084" s="348" t="str">
        <f t="shared" si="393"/>
        <v/>
      </c>
      <c r="S3084" s="348" t="str">
        <f t="shared" si="394"/>
        <v/>
      </c>
      <c r="T3084" s="348" t="str">
        <f t="shared" si="395"/>
        <v/>
      </c>
      <c r="U3084" s="348" t="str">
        <f t="shared" si="396"/>
        <v/>
      </c>
      <c r="V3084" s="348" t="str">
        <f t="shared" si="397"/>
        <v/>
      </c>
      <c r="W3084" s="348" t="str">
        <f t="shared" si="398"/>
        <v/>
      </c>
      <c r="X3084" s="348" t="str">
        <f t="shared" si="399"/>
        <v/>
      </c>
    </row>
    <row r="3085" spans="1:24" x14ac:dyDescent="0.2">
      <c r="A3085" s="407">
        <v>3077</v>
      </c>
      <c r="B3085" s="438"/>
      <c r="C3085" s="438"/>
      <c r="D3085" s="438"/>
      <c r="E3085" s="438"/>
      <c r="F3085" s="438"/>
      <c r="G3085" s="438"/>
      <c r="H3085" s="438"/>
      <c r="I3085" s="438"/>
      <c r="J3085" s="11"/>
      <c r="Q3085" s="348" t="str">
        <f t="shared" si="392"/>
        <v/>
      </c>
      <c r="R3085" s="348" t="str">
        <f t="shared" si="393"/>
        <v/>
      </c>
      <c r="S3085" s="348" t="str">
        <f t="shared" si="394"/>
        <v/>
      </c>
      <c r="T3085" s="348" t="str">
        <f t="shared" si="395"/>
        <v/>
      </c>
      <c r="U3085" s="348" t="str">
        <f t="shared" si="396"/>
        <v/>
      </c>
      <c r="V3085" s="348" t="str">
        <f t="shared" si="397"/>
        <v/>
      </c>
      <c r="W3085" s="348" t="str">
        <f t="shared" si="398"/>
        <v/>
      </c>
      <c r="X3085" s="348" t="str">
        <f t="shared" si="399"/>
        <v/>
      </c>
    </row>
    <row r="3086" spans="1:24" x14ac:dyDescent="0.2">
      <c r="A3086" s="407">
        <v>3078</v>
      </c>
      <c r="B3086" s="438"/>
      <c r="C3086" s="438"/>
      <c r="D3086" s="438"/>
      <c r="E3086" s="438"/>
      <c r="F3086" s="438"/>
      <c r="G3086" s="438"/>
      <c r="H3086" s="438"/>
      <c r="I3086" s="438"/>
      <c r="J3086" s="11"/>
      <c r="Q3086" s="348" t="str">
        <f t="shared" si="392"/>
        <v/>
      </c>
      <c r="R3086" s="348" t="str">
        <f t="shared" si="393"/>
        <v/>
      </c>
      <c r="S3086" s="348" t="str">
        <f t="shared" si="394"/>
        <v/>
      </c>
      <c r="T3086" s="348" t="str">
        <f t="shared" si="395"/>
        <v/>
      </c>
      <c r="U3086" s="348" t="str">
        <f t="shared" si="396"/>
        <v/>
      </c>
      <c r="V3086" s="348" t="str">
        <f t="shared" si="397"/>
        <v/>
      </c>
      <c r="W3086" s="348" t="str">
        <f t="shared" si="398"/>
        <v/>
      </c>
      <c r="X3086" s="348" t="str">
        <f t="shared" si="399"/>
        <v/>
      </c>
    </row>
    <row r="3087" spans="1:24" x14ac:dyDescent="0.2">
      <c r="A3087" s="407">
        <v>3079</v>
      </c>
      <c r="B3087" s="438"/>
      <c r="C3087" s="438"/>
      <c r="D3087" s="438"/>
      <c r="E3087" s="438"/>
      <c r="F3087" s="438"/>
      <c r="G3087" s="438"/>
      <c r="H3087" s="438"/>
      <c r="I3087" s="438"/>
      <c r="J3087" s="11"/>
      <c r="Q3087" s="348" t="str">
        <f t="shared" si="392"/>
        <v/>
      </c>
      <c r="R3087" s="348" t="str">
        <f t="shared" si="393"/>
        <v/>
      </c>
      <c r="S3087" s="348" t="str">
        <f t="shared" si="394"/>
        <v/>
      </c>
      <c r="T3087" s="348" t="str">
        <f t="shared" si="395"/>
        <v/>
      </c>
      <c r="U3087" s="348" t="str">
        <f t="shared" si="396"/>
        <v/>
      </c>
      <c r="V3087" s="348" t="str">
        <f t="shared" si="397"/>
        <v/>
      </c>
      <c r="W3087" s="348" t="str">
        <f t="shared" si="398"/>
        <v/>
      </c>
      <c r="X3087" s="348" t="str">
        <f t="shared" si="399"/>
        <v/>
      </c>
    </row>
    <row r="3088" spans="1:24" x14ac:dyDescent="0.2">
      <c r="A3088" s="407">
        <v>3080</v>
      </c>
      <c r="B3088" s="438"/>
      <c r="C3088" s="438"/>
      <c r="D3088" s="438"/>
      <c r="E3088" s="438"/>
      <c r="F3088" s="438"/>
      <c r="G3088" s="438"/>
      <c r="H3088" s="438"/>
      <c r="I3088" s="438"/>
      <c r="J3088" s="11"/>
      <c r="Q3088" s="348" t="str">
        <f t="shared" si="392"/>
        <v/>
      </c>
      <c r="R3088" s="348" t="str">
        <f t="shared" si="393"/>
        <v/>
      </c>
      <c r="S3088" s="348" t="str">
        <f t="shared" si="394"/>
        <v/>
      </c>
      <c r="T3088" s="348" t="str">
        <f t="shared" si="395"/>
        <v/>
      </c>
      <c r="U3088" s="348" t="str">
        <f t="shared" si="396"/>
        <v/>
      </c>
      <c r="V3088" s="348" t="str">
        <f t="shared" si="397"/>
        <v/>
      </c>
      <c r="W3088" s="348" t="str">
        <f t="shared" si="398"/>
        <v/>
      </c>
      <c r="X3088" s="348" t="str">
        <f t="shared" si="399"/>
        <v/>
      </c>
    </row>
    <row r="3089" spans="1:24" x14ac:dyDescent="0.2">
      <c r="A3089" s="407">
        <v>3081</v>
      </c>
      <c r="B3089" s="438"/>
      <c r="C3089" s="438"/>
      <c r="D3089" s="438"/>
      <c r="E3089" s="438"/>
      <c r="F3089" s="438"/>
      <c r="G3089" s="438"/>
      <c r="H3089" s="438"/>
      <c r="I3089" s="438"/>
      <c r="J3089" s="11"/>
      <c r="Q3089" s="348" t="str">
        <f t="shared" si="392"/>
        <v/>
      </c>
      <c r="R3089" s="348" t="str">
        <f t="shared" si="393"/>
        <v/>
      </c>
      <c r="S3089" s="348" t="str">
        <f t="shared" si="394"/>
        <v/>
      </c>
      <c r="T3089" s="348" t="str">
        <f t="shared" si="395"/>
        <v/>
      </c>
      <c r="U3089" s="348" t="str">
        <f t="shared" si="396"/>
        <v/>
      </c>
      <c r="V3089" s="348" t="str">
        <f t="shared" si="397"/>
        <v/>
      </c>
      <c r="W3089" s="348" t="str">
        <f t="shared" si="398"/>
        <v/>
      </c>
      <c r="X3089" s="348" t="str">
        <f t="shared" si="399"/>
        <v/>
      </c>
    </row>
    <row r="3090" spans="1:24" x14ac:dyDescent="0.2">
      <c r="A3090" s="407">
        <v>3082</v>
      </c>
      <c r="B3090" s="438"/>
      <c r="C3090" s="438"/>
      <c r="D3090" s="438"/>
      <c r="E3090" s="438"/>
      <c r="F3090" s="438"/>
      <c r="G3090" s="438"/>
      <c r="H3090" s="438"/>
      <c r="I3090" s="438"/>
      <c r="J3090" s="11"/>
      <c r="Q3090" s="348" t="str">
        <f t="shared" si="392"/>
        <v/>
      </c>
      <c r="R3090" s="348" t="str">
        <f t="shared" si="393"/>
        <v/>
      </c>
      <c r="S3090" s="348" t="str">
        <f t="shared" si="394"/>
        <v/>
      </c>
      <c r="T3090" s="348" t="str">
        <f t="shared" si="395"/>
        <v/>
      </c>
      <c r="U3090" s="348" t="str">
        <f t="shared" si="396"/>
        <v/>
      </c>
      <c r="V3090" s="348" t="str">
        <f t="shared" si="397"/>
        <v/>
      </c>
      <c r="W3090" s="348" t="str">
        <f t="shared" si="398"/>
        <v/>
      </c>
      <c r="X3090" s="348" t="str">
        <f t="shared" si="399"/>
        <v/>
      </c>
    </row>
    <row r="3091" spans="1:24" x14ac:dyDescent="0.2">
      <c r="A3091" s="407">
        <v>3083</v>
      </c>
      <c r="B3091" s="438"/>
      <c r="C3091" s="438"/>
      <c r="D3091" s="438"/>
      <c r="E3091" s="438"/>
      <c r="F3091" s="438"/>
      <c r="G3091" s="438"/>
      <c r="H3091" s="438"/>
      <c r="I3091" s="438"/>
      <c r="J3091" s="11"/>
      <c r="Q3091" s="348" t="str">
        <f t="shared" si="392"/>
        <v/>
      </c>
      <c r="R3091" s="348" t="str">
        <f t="shared" si="393"/>
        <v/>
      </c>
      <c r="S3091" s="348" t="str">
        <f t="shared" si="394"/>
        <v/>
      </c>
      <c r="T3091" s="348" t="str">
        <f t="shared" si="395"/>
        <v/>
      </c>
      <c r="U3091" s="348" t="str">
        <f t="shared" si="396"/>
        <v/>
      </c>
      <c r="V3091" s="348" t="str">
        <f t="shared" si="397"/>
        <v/>
      </c>
      <c r="W3091" s="348" t="str">
        <f t="shared" si="398"/>
        <v/>
      </c>
      <c r="X3091" s="348" t="str">
        <f t="shared" si="399"/>
        <v/>
      </c>
    </row>
    <row r="3092" spans="1:24" x14ac:dyDescent="0.2">
      <c r="A3092" s="407">
        <v>3084</v>
      </c>
      <c r="B3092" s="438"/>
      <c r="C3092" s="438"/>
      <c r="D3092" s="438"/>
      <c r="E3092" s="438"/>
      <c r="F3092" s="438"/>
      <c r="G3092" s="438"/>
      <c r="H3092" s="438"/>
      <c r="I3092" s="438"/>
      <c r="J3092" s="11"/>
      <c r="Q3092" s="348" t="str">
        <f t="shared" si="392"/>
        <v/>
      </c>
      <c r="R3092" s="348" t="str">
        <f t="shared" si="393"/>
        <v/>
      </c>
      <c r="S3092" s="348" t="str">
        <f t="shared" si="394"/>
        <v/>
      </c>
      <c r="T3092" s="348" t="str">
        <f t="shared" si="395"/>
        <v/>
      </c>
      <c r="U3092" s="348" t="str">
        <f t="shared" si="396"/>
        <v/>
      </c>
      <c r="V3092" s="348" t="str">
        <f t="shared" si="397"/>
        <v/>
      </c>
      <c r="W3092" s="348" t="str">
        <f t="shared" si="398"/>
        <v/>
      </c>
      <c r="X3092" s="348" t="str">
        <f t="shared" si="399"/>
        <v/>
      </c>
    </row>
    <row r="3093" spans="1:24" x14ac:dyDescent="0.2">
      <c r="A3093" s="407">
        <v>3085</v>
      </c>
      <c r="B3093" s="438"/>
      <c r="C3093" s="438"/>
      <c r="D3093" s="438"/>
      <c r="E3093" s="438"/>
      <c r="F3093" s="438"/>
      <c r="G3093" s="438"/>
      <c r="H3093" s="438"/>
      <c r="I3093" s="438"/>
      <c r="J3093" s="11"/>
      <c r="Q3093" s="348" t="str">
        <f t="shared" si="392"/>
        <v/>
      </c>
      <c r="R3093" s="348" t="str">
        <f t="shared" si="393"/>
        <v/>
      </c>
      <c r="S3093" s="348" t="str">
        <f t="shared" si="394"/>
        <v/>
      </c>
      <c r="T3093" s="348" t="str">
        <f t="shared" si="395"/>
        <v/>
      </c>
      <c r="U3093" s="348" t="str">
        <f t="shared" si="396"/>
        <v/>
      </c>
      <c r="V3093" s="348" t="str">
        <f t="shared" si="397"/>
        <v/>
      </c>
      <c r="W3093" s="348" t="str">
        <f t="shared" si="398"/>
        <v/>
      </c>
      <c r="X3093" s="348" t="str">
        <f t="shared" si="399"/>
        <v/>
      </c>
    </row>
    <row r="3094" spans="1:24" x14ac:dyDescent="0.2">
      <c r="A3094" s="407">
        <v>3086</v>
      </c>
      <c r="B3094" s="438"/>
      <c r="C3094" s="438"/>
      <c r="D3094" s="438"/>
      <c r="E3094" s="438"/>
      <c r="F3094" s="438"/>
      <c r="G3094" s="438"/>
      <c r="H3094" s="438"/>
      <c r="I3094" s="438"/>
      <c r="J3094" s="11"/>
      <c r="Q3094" s="348" t="str">
        <f t="shared" si="392"/>
        <v/>
      </c>
      <c r="R3094" s="348" t="str">
        <f t="shared" si="393"/>
        <v/>
      </c>
      <c r="S3094" s="348" t="str">
        <f t="shared" si="394"/>
        <v/>
      </c>
      <c r="T3094" s="348" t="str">
        <f t="shared" si="395"/>
        <v/>
      </c>
      <c r="U3094" s="348" t="str">
        <f t="shared" si="396"/>
        <v/>
      </c>
      <c r="V3094" s="348" t="str">
        <f t="shared" si="397"/>
        <v/>
      </c>
      <c r="W3094" s="348" t="str">
        <f t="shared" si="398"/>
        <v/>
      </c>
      <c r="X3094" s="348" t="str">
        <f t="shared" si="399"/>
        <v/>
      </c>
    </row>
    <row r="3095" spans="1:24" x14ac:dyDescent="0.2">
      <c r="A3095" s="407">
        <v>3087</v>
      </c>
      <c r="B3095" s="438"/>
      <c r="C3095" s="438"/>
      <c r="D3095" s="438"/>
      <c r="E3095" s="438"/>
      <c r="F3095" s="438"/>
      <c r="G3095" s="438"/>
      <c r="H3095" s="438"/>
      <c r="I3095" s="438"/>
      <c r="J3095" s="11"/>
      <c r="Q3095" s="348" t="str">
        <f t="shared" si="392"/>
        <v/>
      </c>
      <c r="R3095" s="348" t="str">
        <f t="shared" si="393"/>
        <v/>
      </c>
      <c r="S3095" s="348" t="str">
        <f t="shared" si="394"/>
        <v/>
      </c>
      <c r="T3095" s="348" t="str">
        <f t="shared" si="395"/>
        <v/>
      </c>
      <c r="U3095" s="348" t="str">
        <f t="shared" si="396"/>
        <v/>
      </c>
      <c r="V3095" s="348" t="str">
        <f t="shared" si="397"/>
        <v/>
      </c>
      <c r="W3095" s="348" t="str">
        <f t="shared" si="398"/>
        <v/>
      </c>
      <c r="X3095" s="348" t="str">
        <f t="shared" si="399"/>
        <v/>
      </c>
    </row>
    <row r="3096" spans="1:24" x14ac:dyDescent="0.2">
      <c r="A3096" s="407">
        <v>3088</v>
      </c>
      <c r="B3096" s="438"/>
      <c r="C3096" s="438"/>
      <c r="D3096" s="438"/>
      <c r="E3096" s="438"/>
      <c r="F3096" s="438"/>
      <c r="G3096" s="438"/>
      <c r="H3096" s="438"/>
      <c r="I3096" s="438"/>
      <c r="J3096" s="11"/>
      <c r="Q3096" s="348" t="str">
        <f t="shared" si="392"/>
        <v/>
      </c>
      <c r="R3096" s="348" t="str">
        <f t="shared" si="393"/>
        <v/>
      </c>
      <c r="S3096" s="348" t="str">
        <f t="shared" si="394"/>
        <v/>
      </c>
      <c r="T3096" s="348" t="str">
        <f t="shared" si="395"/>
        <v/>
      </c>
      <c r="U3096" s="348" t="str">
        <f t="shared" si="396"/>
        <v/>
      </c>
      <c r="V3096" s="348" t="str">
        <f t="shared" si="397"/>
        <v/>
      </c>
      <c r="W3096" s="348" t="str">
        <f t="shared" si="398"/>
        <v/>
      </c>
      <c r="X3096" s="348" t="str">
        <f t="shared" si="399"/>
        <v/>
      </c>
    </row>
    <row r="3097" spans="1:24" x14ac:dyDescent="0.2">
      <c r="A3097" s="407">
        <v>3089</v>
      </c>
      <c r="B3097" s="438"/>
      <c r="C3097" s="438"/>
      <c r="D3097" s="438"/>
      <c r="E3097" s="438"/>
      <c r="F3097" s="438"/>
      <c r="G3097" s="438"/>
      <c r="H3097" s="438"/>
      <c r="I3097" s="438"/>
      <c r="J3097" s="11"/>
      <c r="Q3097" s="348" t="str">
        <f t="shared" si="392"/>
        <v/>
      </c>
      <c r="R3097" s="348" t="str">
        <f t="shared" si="393"/>
        <v/>
      </c>
      <c r="S3097" s="348" t="str">
        <f t="shared" si="394"/>
        <v/>
      </c>
      <c r="T3097" s="348" t="str">
        <f t="shared" si="395"/>
        <v/>
      </c>
      <c r="U3097" s="348" t="str">
        <f t="shared" si="396"/>
        <v/>
      </c>
      <c r="V3097" s="348" t="str">
        <f t="shared" si="397"/>
        <v/>
      </c>
      <c r="W3097" s="348" t="str">
        <f t="shared" si="398"/>
        <v/>
      </c>
      <c r="X3097" s="348" t="str">
        <f t="shared" si="399"/>
        <v/>
      </c>
    </row>
    <row r="3098" spans="1:24" x14ac:dyDescent="0.2">
      <c r="A3098" s="407">
        <v>3090</v>
      </c>
      <c r="B3098" s="438"/>
      <c r="C3098" s="438"/>
      <c r="D3098" s="438"/>
      <c r="E3098" s="438"/>
      <c r="F3098" s="438"/>
      <c r="G3098" s="438"/>
      <c r="H3098" s="438"/>
      <c r="I3098" s="438"/>
      <c r="J3098" s="11"/>
      <c r="Q3098" s="348" t="str">
        <f t="shared" si="392"/>
        <v/>
      </c>
      <c r="R3098" s="348" t="str">
        <f t="shared" si="393"/>
        <v/>
      </c>
      <c r="S3098" s="348" t="str">
        <f t="shared" si="394"/>
        <v/>
      </c>
      <c r="T3098" s="348" t="str">
        <f t="shared" si="395"/>
        <v/>
      </c>
      <c r="U3098" s="348" t="str">
        <f t="shared" si="396"/>
        <v/>
      </c>
      <c r="V3098" s="348" t="str">
        <f t="shared" si="397"/>
        <v/>
      </c>
      <c r="W3098" s="348" t="str">
        <f t="shared" si="398"/>
        <v/>
      </c>
      <c r="X3098" s="348" t="str">
        <f t="shared" si="399"/>
        <v/>
      </c>
    </row>
    <row r="3099" spans="1:24" x14ac:dyDescent="0.2">
      <c r="A3099" s="407">
        <v>3091</v>
      </c>
      <c r="B3099" s="438"/>
      <c r="C3099" s="438"/>
      <c r="D3099" s="438"/>
      <c r="E3099" s="438"/>
      <c r="F3099" s="438"/>
      <c r="G3099" s="438"/>
      <c r="H3099" s="438"/>
      <c r="I3099" s="438"/>
      <c r="J3099" s="11"/>
      <c r="Q3099" s="348" t="str">
        <f t="shared" si="392"/>
        <v/>
      </c>
      <c r="R3099" s="348" t="str">
        <f t="shared" si="393"/>
        <v/>
      </c>
      <c r="S3099" s="348" t="str">
        <f t="shared" si="394"/>
        <v/>
      </c>
      <c r="T3099" s="348" t="str">
        <f t="shared" si="395"/>
        <v/>
      </c>
      <c r="U3099" s="348" t="str">
        <f t="shared" si="396"/>
        <v/>
      </c>
      <c r="V3099" s="348" t="str">
        <f t="shared" si="397"/>
        <v/>
      </c>
      <c r="W3099" s="348" t="str">
        <f t="shared" si="398"/>
        <v/>
      </c>
      <c r="X3099" s="348" t="str">
        <f t="shared" si="399"/>
        <v/>
      </c>
    </row>
    <row r="3100" spans="1:24" x14ac:dyDescent="0.2">
      <c r="A3100" s="407">
        <v>3092</v>
      </c>
      <c r="B3100" s="437"/>
      <c r="C3100" s="438"/>
      <c r="D3100" s="438"/>
      <c r="E3100" s="438"/>
      <c r="F3100" s="438"/>
      <c r="G3100" s="438"/>
      <c r="H3100" s="438"/>
      <c r="I3100" s="438"/>
      <c r="J3100" s="11"/>
      <c r="Q3100" s="348" t="str">
        <f t="shared" si="392"/>
        <v/>
      </c>
      <c r="R3100" s="348" t="str">
        <f t="shared" si="393"/>
        <v/>
      </c>
      <c r="S3100" s="348" t="str">
        <f t="shared" si="394"/>
        <v/>
      </c>
      <c r="T3100" s="348" t="str">
        <f t="shared" si="395"/>
        <v/>
      </c>
      <c r="U3100" s="348" t="str">
        <f t="shared" si="396"/>
        <v/>
      </c>
      <c r="V3100" s="348" t="str">
        <f t="shared" si="397"/>
        <v/>
      </c>
      <c r="W3100" s="348" t="str">
        <f t="shared" si="398"/>
        <v/>
      </c>
      <c r="X3100" s="348" t="str">
        <f t="shared" si="399"/>
        <v/>
      </c>
    </row>
    <row r="3101" spans="1:24" x14ac:dyDescent="0.2">
      <c r="A3101" s="407">
        <v>3093</v>
      </c>
      <c r="B3101" s="438"/>
      <c r="C3101" s="437"/>
      <c r="D3101" s="438"/>
      <c r="E3101" s="438"/>
      <c r="F3101" s="438"/>
      <c r="G3101" s="438"/>
      <c r="H3101" s="438"/>
      <c r="I3101" s="438"/>
      <c r="J3101" s="11"/>
      <c r="Q3101" s="348" t="str">
        <f t="shared" si="392"/>
        <v/>
      </c>
      <c r="R3101" s="348" t="str">
        <f t="shared" si="393"/>
        <v/>
      </c>
      <c r="S3101" s="348" t="str">
        <f t="shared" si="394"/>
        <v/>
      </c>
      <c r="T3101" s="348" t="str">
        <f t="shared" si="395"/>
        <v/>
      </c>
      <c r="U3101" s="348" t="str">
        <f t="shared" si="396"/>
        <v/>
      </c>
      <c r="V3101" s="348" t="str">
        <f t="shared" si="397"/>
        <v/>
      </c>
      <c r="W3101" s="348" t="str">
        <f t="shared" si="398"/>
        <v/>
      </c>
      <c r="X3101" s="348" t="str">
        <f t="shared" si="399"/>
        <v/>
      </c>
    </row>
    <row r="3102" spans="1:24" x14ac:dyDescent="0.2">
      <c r="A3102" s="407">
        <v>3094</v>
      </c>
      <c r="B3102" s="438"/>
      <c r="C3102" s="438"/>
      <c r="D3102" s="438"/>
      <c r="E3102" s="437"/>
      <c r="F3102" s="438"/>
      <c r="G3102" s="438"/>
      <c r="H3102" s="438"/>
      <c r="I3102" s="438"/>
      <c r="J3102" s="11"/>
      <c r="Q3102" s="348" t="str">
        <f t="shared" si="392"/>
        <v/>
      </c>
      <c r="R3102" s="348" t="str">
        <f t="shared" si="393"/>
        <v/>
      </c>
      <c r="S3102" s="348" t="str">
        <f t="shared" si="394"/>
        <v/>
      </c>
      <c r="T3102" s="348" t="str">
        <f t="shared" si="395"/>
        <v/>
      </c>
      <c r="U3102" s="348" t="str">
        <f t="shared" si="396"/>
        <v/>
      </c>
      <c r="V3102" s="348" t="str">
        <f t="shared" si="397"/>
        <v/>
      </c>
      <c r="W3102" s="348" t="str">
        <f t="shared" si="398"/>
        <v/>
      </c>
      <c r="X3102" s="348" t="str">
        <f t="shared" si="399"/>
        <v/>
      </c>
    </row>
    <row r="3103" spans="1:24" x14ac:dyDescent="0.2">
      <c r="A3103" s="407">
        <v>3095</v>
      </c>
      <c r="B3103" s="438"/>
      <c r="C3103" s="438"/>
      <c r="D3103" s="438"/>
      <c r="E3103" s="438"/>
      <c r="F3103" s="438"/>
      <c r="G3103" s="438"/>
      <c r="H3103" s="438"/>
      <c r="I3103" s="438"/>
      <c r="J3103" s="11"/>
      <c r="Q3103" s="348" t="str">
        <f t="shared" si="392"/>
        <v/>
      </c>
      <c r="R3103" s="348" t="str">
        <f t="shared" si="393"/>
        <v/>
      </c>
      <c r="S3103" s="348" t="str">
        <f t="shared" si="394"/>
        <v/>
      </c>
      <c r="T3103" s="348" t="str">
        <f t="shared" si="395"/>
        <v/>
      </c>
      <c r="U3103" s="348" t="str">
        <f t="shared" si="396"/>
        <v/>
      </c>
      <c r="V3103" s="348" t="str">
        <f t="shared" si="397"/>
        <v/>
      </c>
      <c r="W3103" s="348" t="str">
        <f t="shared" si="398"/>
        <v/>
      </c>
      <c r="X3103" s="348" t="str">
        <f t="shared" si="399"/>
        <v/>
      </c>
    </row>
    <row r="3104" spans="1:24" x14ac:dyDescent="0.2">
      <c r="A3104" s="407">
        <v>3096</v>
      </c>
      <c r="B3104" s="438"/>
      <c r="C3104" s="438"/>
      <c r="D3104" s="438"/>
      <c r="E3104" s="438"/>
      <c r="F3104" s="438"/>
      <c r="G3104" s="438"/>
      <c r="H3104" s="438"/>
      <c r="I3104" s="438"/>
      <c r="J3104" s="11"/>
      <c r="Q3104" s="348" t="str">
        <f t="shared" si="392"/>
        <v/>
      </c>
      <c r="R3104" s="348" t="str">
        <f t="shared" si="393"/>
        <v/>
      </c>
      <c r="S3104" s="348" t="str">
        <f t="shared" si="394"/>
        <v/>
      </c>
      <c r="T3104" s="348" t="str">
        <f t="shared" si="395"/>
        <v/>
      </c>
      <c r="U3104" s="348" t="str">
        <f t="shared" si="396"/>
        <v/>
      </c>
      <c r="V3104" s="348" t="str">
        <f t="shared" si="397"/>
        <v/>
      </c>
      <c r="W3104" s="348" t="str">
        <f t="shared" si="398"/>
        <v/>
      </c>
      <c r="X3104" s="348" t="str">
        <f t="shared" si="399"/>
        <v/>
      </c>
    </row>
    <row r="3105" spans="1:24" x14ac:dyDescent="0.2">
      <c r="A3105" s="407">
        <v>3097</v>
      </c>
      <c r="B3105" s="438"/>
      <c r="C3105" s="438"/>
      <c r="D3105" s="438"/>
      <c r="E3105" s="438"/>
      <c r="F3105" s="438"/>
      <c r="G3105" s="438"/>
      <c r="H3105" s="438"/>
      <c r="I3105" s="438"/>
      <c r="J3105" s="11"/>
      <c r="Q3105" s="348" t="str">
        <f t="shared" si="392"/>
        <v/>
      </c>
      <c r="R3105" s="348" t="str">
        <f t="shared" si="393"/>
        <v/>
      </c>
      <c r="S3105" s="348" t="str">
        <f t="shared" si="394"/>
        <v/>
      </c>
      <c r="T3105" s="348" t="str">
        <f t="shared" si="395"/>
        <v/>
      </c>
      <c r="U3105" s="348" t="str">
        <f t="shared" si="396"/>
        <v/>
      </c>
      <c r="V3105" s="348" t="str">
        <f t="shared" si="397"/>
        <v/>
      </c>
      <c r="W3105" s="348" t="str">
        <f t="shared" si="398"/>
        <v/>
      </c>
      <c r="X3105" s="348" t="str">
        <f t="shared" si="399"/>
        <v/>
      </c>
    </row>
    <row r="3106" spans="1:24" x14ac:dyDescent="0.2">
      <c r="A3106" s="407">
        <v>3098</v>
      </c>
      <c r="B3106" s="438"/>
      <c r="C3106" s="438"/>
      <c r="D3106" s="438"/>
      <c r="E3106" s="438"/>
      <c r="F3106" s="438"/>
      <c r="G3106" s="438"/>
      <c r="H3106" s="438"/>
      <c r="I3106" s="438"/>
      <c r="J3106" s="11"/>
      <c r="Q3106" s="348" t="str">
        <f t="shared" si="392"/>
        <v/>
      </c>
      <c r="R3106" s="348" t="str">
        <f t="shared" si="393"/>
        <v/>
      </c>
      <c r="S3106" s="348" t="str">
        <f t="shared" si="394"/>
        <v/>
      </c>
      <c r="T3106" s="348" t="str">
        <f t="shared" si="395"/>
        <v/>
      </c>
      <c r="U3106" s="348" t="str">
        <f t="shared" si="396"/>
        <v/>
      </c>
      <c r="V3106" s="348" t="str">
        <f t="shared" si="397"/>
        <v/>
      </c>
      <c r="W3106" s="348" t="str">
        <f t="shared" si="398"/>
        <v/>
      </c>
      <c r="X3106" s="348" t="str">
        <f t="shared" si="399"/>
        <v/>
      </c>
    </row>
    <row r="3107" spans="1:24" x14ac:dyDescent="0.2">
      <c r="A3107" s="407">
        <v>3099</v>
      </c>
      <c r="B3107" s="438"/>
      <c r="C3107" s="438"/>
      <c r="D3107" s="438"/>
      <c r="E3107" s="438"/>
      <c r="F3107" s="438"/>
      <c r="G3107" s="437"/>
      <c r="H3107" s="438"/>
      <c r="I3107" s="438"/>
      <c r="J3107" s="11"/>
      <c r="Q3107" s="348" t="str">
        <f t="shared" si="392"/>
        <v/>
      </c>
      <c r="R3107" s="348" t="str">
        <f t="shared" si="393"/>
        <v/>
      </c>
      <c r="S3107" s="348" t="str">
        <f t="shared" si="394"/>
        <v/>
      </c>
      <c r="T3107" s="348" t="str">
        <f t="shared" si="395"/>
        <v/>
      </c>
      <c r="U3107" s="348" t="str">
        <f t="shared" si="396"/>
        <v/>
      </c>
      <c r="V3107" s="348" t="str">
        <f t="shared" si="397"/>
        <v/>
      </c>
      <c r="W3107" s="348" t="str">
        <f t="shared" si="398"/>
        <v/>
      </c>
      <c r="X3107" s="348" t="str">
        <f t="shared" si="399"/>
        <v/>
      </c>
    </row>
    <row r="3108" spans="1:24" x14ac:dyDescent="0.2">
      <c r="A3108" s="407">
        <v>3100</v>
      </c>
      <c r="B3108" s="438"/>
      <c r="C3108" s="438"/>
      <c r="D3108" s="438"/>
      <c r="E3108" s="438"/>
      <c r="F3108" s="438"/>
      <c r="G3108" s="438"/>
      <c r="H3108" s="438"/>
      <c r="I3108" s="438"/>
      <c r="J3108" s="11"/>
      <c r="Q3108" s="348" t="str">
        <f t="shared" si="392"/>
        <v/>
      </c>
      <c r="R3108" s="348" t="str">
        <f t="shared" si="393"/>
        <v/>
      </c>
      <c r="S3108" s="348" t="str">
        <f t="shared" si="394"/>
        <v/>
      </c>
      <c r="T3108" s="348" t="str">
        <f t="shared" si="395"/>
        <v/>
      </c>
      <c r="U3108" s="348" t="str">
        <f t="shared" si="396"/>
        <v/>
      </c>
      <c r="V3108" s="348" t="str">
        <f t="shared" si="397"/>
        <v/>
      </c>
      <c r="W3108" s="348" t="str">
        <f t="shared" si="398"/>
        <v/>
      </c>
      <c r="X3108" s="348" t="str">
        <f t="shared" si="399"/>
        <v/>
      </c>
    </row>
    <row r="3109" spans="1:24" x14ac:dyDescent="0.2">
      <c r="A3109" s="407">
        <v>3101</v>
      </c>
      <c r="B3109" s="438"/>
      <c r="C3109" s="437"/>
      <c r="D3109" s="438"/>
      <c r="E3109" s="437"/>
      <c r="F3109" s="437"/>
      <c r="G3109" s="437"/>
      <c r="H3109" s="437"/>
      <c r="I3109" s="437"/>
      <c r="J3109" s="11"/>
      <c r="Q3109" s="348" t="str">
        <f t="shared" si="392"/>
        <v/>
      </c>
      <c r="R3109" s="348" t="str">
        <f t="shared" si="393"/>
        <v/>
      </c>
      <c r="S3109" s="348" t="str">
        <f t="shared" si="394"/>
        <v/>
      </c>
      <c r="T3109" s="348" t="str">
        <f t="shared" si="395"/>
        <v/>
      </c>
      <c r="U3109" s="348" t="str">
        <f t="shared" si="396"/>
        <v/>
      </c>
      <c r="V3109" s="348" t="str">
        <f t="shared" si="397"/>
        <v/>
      </c>
      <c r="W3109" s="348" t="str">
        <f t="shared" si="398"/>
        <v/>
      </c>
      <c r="X3109" s="348" t="str">
        <f t="shared" si="399"/>
        <v/>
      </c>
    </row>
    <row r="3110" spans="1:24" x14ac:dyDescent="0.2">
      <c r="A3110" s="407">
        <v>3102</v>
      </c>
      <c r="B3110" s="437"/>
      <c r="C3110" s="438"/>
      <c r="D3110" s="438"/>
      <c r="E3110" s="438"/>
      <c r="F3110" s="438"/>
      <c r="G3110" s="438"/>
      <c r="H3110" s="438"/>
      <c r="I3110" s="438"/>
      <c r="J3110" s="11"/>
      <c r="Q3110" s="348" t="str">
        <f t="shared" si="392"/>
        <v/>
      </c>
      <c r="R3110" s="348" t="str">
        <f t="shared" si="393"/>
        <v/>
      </c>
      <c r="S3110" s="348" t="str">
        <f t="shared" si="394"/>
        <v/>
      </c>
      <c r="T3110" s="348" t="str">
        <f t="shared" si="395"/>
        <v/>
      </c>
      <c r="U3110" s="348" t="str">
        <f t="shared" si="396"/>
        <v/>
      </c>
      <c r="V3110" s="348" t="str">
        <f t="shared" si="397"/>
        <v/>
      </c>
      <c r="W3110" s="348" t="str">
        <f t="shared" si="398"/>
        <v/>
      </c>
      <c r="X3110" s="348" t="str">
        <f t="shared" si="399"/>
        <v/>
      </c>
    </row>
    <row r="3111" spans="1:24" x14ac:dyDescent="0.2">
      <c r="A3111" s="407">
        <v>3103</v>
      </c>
      <c r="B3111" s="438"/>
      <c r="C3111" s="438"/>
      <c r="D3111" s="438"/>
      <c r="E3111" s="438"/>
      <c r="F3111" s="438"/>
      <c r="G3111" s="438"/>
      <c r="H3111" s="438"/>
      <c r="I3111" s="438"/>
      <c r="J3111" s="11"/>
      <c r="Q3111" s="348" t="str">
        <f t="shared" si="392"/>
        <v/>
      </c>
      <c r="R3111" s="348" t="str">
        <f t="shared" si="393"/>
        <v/>
      </c>
      <c r="S3111" s="348" t="str">
        <f t="shared" si="394"/>
        <v/>
      </c>
      <c r="T3111" s="348" t="str">
        <f t="shared" si="395"/>
        <v/>
      </c>
      <c r="U3111" s="348" t="str">
        <f t="shared" si="396"/>
        <v/>
      </c>
      <c r="V3111" s="348" t="str">
        <f t="shared" si="397"/>
        <v/>
      </c>
      <c r="W3111" s="348" t="str">
        <f t="shared" si="398"/>
        <v/>
      </c>
      <c r="X3111" s="348" t="str">
        <f t="shared" si="399"/>
        <v/>
      </c>
    </row>
    <row r="3112" spans="1:24" x14ac:dyDescent="0.2">
      <c r="A3112" s="407">
        <v>3104</v>
      </c>
      <c r="B3112" s="438"/>
      <c r="C3112" s="438"/>
      <c r="D3112" s="438"/>
      <c r="E3112" s="438"/>
      <c r="F3112" s="438"/>
      <c r="G3112" s="438"/>
      <c r="H3112" s="438"/>
      <c r="I3112" s="438"/>
      <c r="J3112" s="11"/>
      <c r="Q3112" s="348" t="str">
        <f t="shared" si="392"/>
        <v/>
      </c>
      <c r="R3112" s="348" t="str">
        <f t="shared" si="393"/>
        <v/>
      </c>
      <c r="S3112" s="348" t="str">
        <f t="shared" si="394"/>
        <v/>
      </c>
      <c r="T3112" s="348" t="str">
        <f t="shared" si="395"/>
        <v/>
      </c>
      <c r="U3112" s="348" t="str">
        <f t="shared" si="396"/>
        <v/>
      </c>
      <c r="V3112" s="348" t="str">
        <f t="shared" si="397"/>
        <v/>
      </c>
      <c r="W3112" s="348" t="str">
        <f t="shared" si="398"/>
        <v/>
      </c>
      <c r="X3112" s="348" t="str">
        <f t="shared" si="399"/>
        <v/>
      </c>
    </row>
    <row r="3113" spans="1:24" x14ac:dyDescent="0.2">
      <c r="A3113" s="407">
        <v>3105</v>
      </c>
      <c r="B3113" s="438"/>
      <c r="C3113" s="438"/>
      <c r="D3113" s="438"/>
      <c r="E3113" s="438"/>
      <c r="F3113" s="438"/>
      <c r="G3113" s="438"/>
      <c r="H3113" s="438"/>
      <c r="I3113" s="438"/>
      <c r="J3113" s="11"/>
      <c r="Q3113" s="348" t="str">
        <f t="shared" si="392"/>
        <v/>
      </c>
      <c r="R3113" s="348" t="str">
        <f t="shared" si="393"/>
        <v/>
      </c>
      <c r="S3113" s="348" t="str">
        <f t="shared" si="394"/>
        <v/>
      </c>
      <c r="T3113" s="348" t="str">
        <f t="shared" si="395"/>
        <v/>
      </c>
      <c r="U3113" s="348" t="str">
        <f t="shared" si="396"/>
        <v/>
      </c>
      <c r="V3113" s="348" t="str">
        <f t="shared" si="397"/>
        <v/>
      </c>
      <c r="W3113" s="348" t="str">
        <f t="shared" si="398"/>
        <v/>
      </c>
      <c r="X3113" s="348" t="str">
        <f t="shared" si="399"/>
        <v/>
      </c>
    </row>
    <row r="3114" spans="1:24" x14ac:dyDescent="0.2">
      <c r="A3114" s="407">
        <v>3106</v>
      </c>
      <c r="B3114" s="438"/>
      <c r="C3114" s="438"/>
      <c r="D3114" s="438"/>
      <c r="E3114" s="438"/>
      <c r="F3114" s="438"/>
      <c r="G3114" s="438"/>
      <c r="H3114" s="438"/>
      <c r="I3114" s="438"/>
      <c r="J3114" s="11"/>
      <c r="Q3114" s="348" t="str">
        <f t="shared" si="392"/>
        <v/>
      </c>
      <c r="R3114" s="348" t="str">
        <f t="shared" si="393"/>
        <v/>
      </c>
      <c r="S3114" s="348" t="str">
        <f t="shared" si="394"/>
        <v/>
      </c>
      <c r="T3114" s="348" t="str">
        <f t="shared" si="395"/>
        <v/>
      </c>
      <c r="U3114" s="348" t="str">
        <f t="shared" si="396"/>
        <v/>
      </c>
      <c r="V3114" s="348" t="str">
        <f t="shared" si="397"/>
        <v/>
      </c>
      <c r="W3114" s="348" t="str">
        <f t="shared" si="398"/>
        <v/>
      </c>
      <c r="X3114" s="348" t="str">
        <f t="shared" si="399"/>
        <v/>
      </c>
    </row>
    <row r="3115" spans="1:24" x14ac:dyDescent="0.2">
      <c r="A3115" s="407">
        <v>3107</v>
      </c>
      <c r="B3115" s="438"/>
      <c r="C3115" s="438"/>
      <c r="D3115" s="438"/>
      <c r="E3115" s="438"/>
      <c r="F3115" s="438"/>
      <c r="G3115" s="438"/>
      <c r="H3115" s="438"/>
      <c r="I3115" s="438"/>
      <c r="J3115" s="11"/>
      <c r="Q3115" s="348" t="str">
        <f t="shared" si="392"/>
        <v/>
      </c>
      <c r="R3115" s="348" t="str">
        <f t="shared" si="393"/>
        <v/>
      </c>
      <c r="S3115" s="348" t="str">
        <f t="shared" si="394"/>
        <v/>
      </c>
      <c r="T3115" s="348" t="str">
        <f t="shared" si="395"/>
        <v/>
      </c>
      <c r="U3115" s="348" t="str">
        <f t="shared" si="396"/>
        <v/>
      </c>
      <c r="V3115" s="348" t="str">
        <f t="shared" si="397"/>
        <v/>
      </c>
      <c r="W3115" s="348" t="str">
        <f t="shared" si="398"/>
        <v/>
      </c>
      <c r="X3115" s="348" t="str">
        <f t="shared" si="399"/>
        <v/>
      </c>
    </row>
    <row r="3116" spans="1:24" x14ac:dyDescent="0.2">
      <c r="A3116" s="407">
        <v>3108</v>
      </c>
      <c r="B3116" s="438"/>
      <c r="C3116" s="438"/>
      <c r="D3116" s="438"/>
      <c r="E3116" s="438"/>
      <c r="F3116" s="438"/>
      <c r="G3116" s="438"/>
      <c r="H3116" s="438"/>
      <c r="I3116" s="438"/>
      <c r="J3116" s="11"/>
      <c r="Q3116" s="348" t="str">
        <f t="shared" si="392"/>
        <v/>
      </c>
      <c r="R3116" s="348" t="str">
        <f t="shared" si="393"/>
        <v/>
      </c>
      <c r="S3116" s="348" t="str">
        <f t="shared" si="394"/>
        <v/>
      </c>
      <c r="T3116" s="348" t="str">
        <f t="shared" si="395"/>
        <v/>
      </c>
      <c r="U3116" s="348" t="str">
        <f t="shared" si="396"/>
        <v/>
      </c>
      <c r="V3116" s="348" t="str">
        <f t="shared" si="397"/>
        <v/>
      </c>
      <c r="W3116" s="348" t="str">
        <f t="shared" si="398"/>
        <v/>
      </c>
      <c r="X3116" s="348" t="str">
        <f t="shared" si="399"/>
        <v/>
      </c>
    </row>
    <row r="3117" spans="1:24" x14ac:dyDescent="0.2">
      <c r="A3117" s="407">
        <v>3109</v>
      </c>
      <c r="B3117" s="438"/>
      <c r="C3117" s="438"/>
      <c r="D3117" s="438"/>
      <c r="E3117" s="438"/>
      <c r="F3117" s="438"/>
      <c r="G3117" s="438"/>
      <c r="H3117" s="438"/>
      <c r="I3117" s="438"/>
      <c r="J3117" s="11"/>
      <c r="Q3117" s="348" t="str">
        <f t="shared" si="392"/>
        <v/>
      </c>
      <c r="R3117" s="348" t="str">
        <f t="shared" si="393"/>
        <v/>
      </c>
      <c r="S3117" s="348" t="str">
        <f t="shared" si="394"/>
        <v/>
      </c>
      <c r="T3117" s="348" t="str">
        <f t="shared" si="395"/>
        <v/>
      </c>
      <c r="U3117" s="348" t="str">
        <f t="shared" si="396"/>
        <v/>
      </c>
      <c r="V3117" s="348" t="str">
        <f t="shared" si="397"/>
        <v/>
      </c>
      <c r="W3117" s="348" t="str">
        <f t="shared" si="398"/>
        <v/>
      </c>
      <c r="X3117" s="348" t="str">
        <f t="shared" si="399"/>
        <v/>
      </c>
    </row>
    <row r="3118" spans="1:24" x14ac:dyDescent="0.2">
      <c r="A3118" s="407">
        <v>3110</v>
      </c>
      <c r="B3118" s="438"/>
      <c r="C3118" s="438"/>
      <c r="D3118" s="438"/>
      <c r="E3118" s="438"/>
      <c r="F3118" s="438"/>
      <c r="G3118" s="438"/>
      <c r="H3118" s="438"/>
      <c r="I3118" s="438"/>
      <c r="J3118" s="11"/>
      <c r="Q3118" s="348" t="str">
        <f t="shared" si="392"/>
        <v/>
      </c>
      <c r="R3118" s="348" t="str">
        <f t="shared" si="393"/>
        <v/>
      </c>
      <c r="S3118" s="348" t="str">
        <f t="shared" si="394"/>
        <v/>
      </c>
      <c r="T3118" s="348" t="str">
        <f t="shared" si="395"/>
        <v/>
      </c>
      <c r="U3118" s="348" t="str">
        <f t="shared" si="396"/>
        <v/>
      </c>
      <c r="V3118" s="348" t="str">
        <f t="shared" si="397"/>
        <v/>
      </c>
      <c r="W3118" s="348" t="str">
        <f t="shared" si="398"/>
        <v/>
      </c>
      <c r="X3118" s="348" t="str">
        <f t="shared" si="399"/>
        <v/>
      </c>
    </row>
    <row r="3119" spans="1:24" x14ac:dyDescent="0.2">
      <c r="A3119" s="407">
        <v>3111</v>
      </c>
      <c r="B3119" s="438"/>
      <c r="C3119" s="438"/>
      <c r="D3119" s="438"/>
      <c r="E3119" s="438"/>
      <c r="F3119" s="438"/>
      <c r="G3119" s="438"/>
      <c r="H3119" s="438"/>
      <c r="I3119" s="438"/>
      <c r="J3119" s="11"/>
      <c r="Q3119" s="348" t="str">
        <f t="shared" si="392"/>
        <v/>
      </c>
      <c r="R3119" s="348" t="str">
        <f t="shared" si="393"/>
        <v/>
      </c>
      <c r="S3119" s="348" t="str">
        <f t="shared" si="394"/>
        <v/>
      </c>
      <c r="T3119" s="348" t="str">
        <f t="shared" si="395"/>
        <v/>
      </c>
      <c r="U3119" s="348" t="str">
        <f t="shared" si="396"/>
        <v/>
      </c>
      <c r="V3119" s="348" t="str">
        <f t="shared" si="397"/>
        <v/>
      </c>
      <c r="W3119" s="348" t="str">
        <f t="shared" si="398"/>
        <v/>
      </c>
      <c r="X3119" s="348" t="str">
        <f t="shared" si="399"/>
        <v/>
      </c>
    </row>
    <row r="3120" spans="1:24" x14ac:dyDescent="0.2">
      <c r="A3120" s="407">
        <v>3112</v>
      </c>
      <c r="B3120" s="438"/>
      <c r="C3120" s="438"/>
      <c r="D3120" s="438"/>
      <c r="E3120" s="438"/>
      <c r="F3120" s="438"/>
      <c r="G3120" s="438"/>
      <c r="H3120" s="438"/>
      <c r="I3120" s="438"/>
      <c r="J3120" s="11"/>
      <c r="Q3120" s="348" t="str">
        <f t="shared" si="392"/>
        <v/>
      </c>
      <c r="R3120" s="348" t="str">
        <f t="shared" si="393"/>
        <v/>
      </c>
      <c r="S3120" s="348" t="str">
        <f t="shared" si="394"/>
        <v/>
      </c>
      <c r="T3120" s="348" t="str">
        <f t="shared" si="395"/>
        <v/>
      </c>
      <c r="U3120" s="348" t="str">
        <f t="shared" si="396"/>
        <v/>
      </c>
      <c r="V3120" s="348" t="str">
        <f t="shared" si="397"/>
        <v/>
      </c>
      <c r="W3120" s="348" t="str">
        <f t="shared" si="398"/>
        <v/>
      </c>
      <c r="X3120" s="348" t="str">
        <f t="shared" si="399"/>
        <v/>
      </c>
    </row>
    <row r="3121" spans="1:24" x14ac:dyDescent="0.2">
      <c r="A3121" s="407">
        <v>3113</v>
      </c>
      <c r="B3121" s="438"/>
      <c r="C3121" s="438"/>
      <c r="D3121" s="438"/>
      <c r="E3121" s="438"/>
      <c r="F3121" s="438"/>
      <c r="G3121" s="438"/>
      <c r="H3121" s="438"/>
      <c r="I3121" s="438"/>
      <c r="J3121" s="11"/>
      <c r="Q3121" s="348" t="str">
        <f t="shared" si="392"/>
        <v/>
      </c>
      <c r="R3121" s="348" t="str">
        <f t="shared" si="393"/>
        <v/>
      </c>
      <c r="S3121" s="348" t="str">
        <f t="shared" si="394"/>
        <v/>
      </c>
      <c r="T3121" s="348" t="str">
        <f t="shared" si="395"/>
        <v/>
      </c>
      <c r="U3121" s="348" t="str">
        <f t="shared" si="396"/>
        <v/>
      </c>
      <c r="V3121" s="348" t="str">
        <f t="shared" si="397"/>
        <v/>
      </c>
      <c r="W3121" s="348" t="str">
        <f t="shared" si="398"/>
        <v/>
      </c>
      <c r="X3121" s="348" t="str">
        <f t="shared" si="399"/>
        <v/>
      </c>
    </row>
    <row r="3122" spans="1:24" x14ac:dyDescent="0.2">
      <c r="A3122" s="407">
        <v>3114</v>
      </c>
      <c r="B3122" s="438"/>
      <c r="C3122" s="438"/>
      <c r="D3122" s="438"/>
      <c r="E3122" s="438"/>
      <c r="F3122" s="438"/>
      <c r="G3122" s="438"/>
      <c r="H3122" s="438"/>
      <c r="I3122" s="438"/>
      <c r="J3122" s="11"/>
      <c r="Q3122" s="348" t="str">
        <f t="shared" si="392"/>
        <v/>
      </c>
      <c r="R3122" s="348" t="str">
        <f t="shared" si="393"/>
        <v/>
      </c>
      <c r="S3122" s="348" t="str">
        <f t="shared" si="394"/>
        <v/>
      </c>
      <c r="T3122" s="348" t="str">
        <f t="shared" si="395"/>
        <v/>
      </c>
      <c r="U3122" s="348" t="str">
        <f t="shared" si="396"/>
        <v/>
      </c>
      <c r="V3122" s="348" t="str">
        <f t="shared" si="397"/>
        <v/>
      </c>
      <c r="W3122" s="348" t="str">
        <f t="shared" si="398"/>
        <v/>
      </c>
      <c r="X3122" s="348" t="str">
        <f t="shared" si="399"/>
        <v/>
      </c>
    </row>
    <row r="3123" spans="1:24" x14ac:dyDescent="0.2">
      <c r="A3123" s="407">
        <v>3115</v>
      </c>
      <c r="B3123" s="438"/>
      <c r="C3123" s="437"/>
      <c r="D3123" s="438"/>
      <c r="E3123" s="438"/>
      <c r="F3123" s="438"/>
      <c r="G3123" s="438"/>
      <c r="H3123" s="438"/>
      <c r="I3123" s="438"/>
      <c r="J3123" s="11"/>
      <c r="Q3123" s="348" t="str">
        <f t="shared" si="392"/>
        <v/>
      </c>
      <c r="R3123" s="348" t="str">
        <f t="shared" si="393"/>
        <v/>
      </c>
      <c r="S3123" s="348" t="str">
        <f t="shared" si="394"/>
        <v/>
      </c>
      <c r="T3123" s="348" t="str">
        <f t="shared" si="395"/>
        <v/>
      </c>
      <c r="U3123" s="348" t="str">
        <f t="shared" si="396"/>
        <v/>
      </c>
      <c r="V3123" s="348" t="str">
        <f t="shared" si="397"/>
        <v/>
      </c>
      <c r="W3123" s="348" t="str">
        <f t="shared" si="398"/>
        <v/>
      </c>
      <c r="X3123" s="348" t="str">
        <f t="shared" si="399"/>
        <v/>
      </c>
    </row>
    <row r="3124" spans="1:24" x14ac:dyDescent="0.2">
      <c r="A3124" s="407">
        <v>3116</v>
      </c>
      <c r="B3124" s="437"/>
      <c r="C3124" s="438"/>
      <c r="D3124" s="438"/>
      <c r="E3124" s="438"/>
      <c r="F3124" s="438"/>
      <c r="G3124" s="438"/>
      <c r="H3124" s="438"/>
      <c r="I3124" s="438"/>
      <c r="J3124" s="11"/>
      <c r="Q3124" s="348" t="str">
        <f t="shared" si="392"/>
        <v/>
      </c>
      <c r="R3124" s="348" t="str">
        <f t="shared" si="393"/>
        <v/>
      </c>
      <c r="S3124" s="348" t="str">
        <f t="shared" si="394"/>
        <v/>
      </c>
      <c r="T3124" s="348" t="str">
        <f t="shared" si="395"/>
        <v/>
      </c>
      <c r="U3124" s="348" t="str">
        <f t="shared" si="396"/>
        <v/>
      </c>
      <c r="V3124" s="348" t="str">
        <f t="shared" si="397"/>
        <v/>
      </c>
      <c r="W3124" s="348" t="str">
        <f t="shared" si="398"/>
        <v/>
      </c>
      <c r="X3124" s="348" t="str">
        <f t="shared" si="399"/>
        <v/>
      </c>
    </row>
    <row r="3125" spans="1:24" x14ac:dyDescent="0.2">
      <c r="A3125" s="407">
        <v>3117</v>
      </c>
      <c r="B3125" s="438"/>
      <c r="C3125" s="438"/>
      <c r="D3125" s="438"/>
      <c r="E3125" s="438"/>
      <c r="F3125" s="438"/>
      <c r="G3125" s="438"/>
      <c r="H3125" s="438"/>
      <c r="I3125" s="438"/>
      <c r="J3125" s="11"/>
      <c r="Q3125" s="348" t="str">
        <f t="shared" si="392"/>
        <v/>
      </c>
      <c r="R3125" s="348" t="str">
        <f t="shared" si="393"/>
        <v/>
      </c>
      <c r="S3125" s="348" t="str">
        <f t="shared" si="394"/>
        <v/>
      </c>
      <c r="T3125" s="348" t="str">
        <f t="shared" si="395"/>
        <v/>
      </c>
      <c r="U3125" s="348" t="str">
        <f t="shared" si="396"/>
        <v/>
      </c>
      <c r="V3125" s="348" t="str">
        <f t="shared" si="397"/>
        <v/>
      </c>
      <c r="W3125" s="348" t="str">
        <f t="shared" si="398"/>
        <v/>
      </c>
      <c r="X3125" s="348" t="str">
        <f t="shared" si="399"/>
        <v/>
      </c>
    </row>
    <row r="3126" spans="1:24" x14ac:dyDescent="0.2">
      <c r="A3126" s="407">
        <v>3118</v>
      </c>
      <c r="B3126" s="438"/>
      <c r="C3126" s="438"/>
      <c r="D3126" s="438"/>
      <c r="E3126" s="438"/>
      <c r="F3126" s="438"/>
      <c r="G3126" s="438"/>
      <c r="H3126" s="438"/>
      <c r="I3126" s="438"/>
      <c r="J3126" s="11"/>
      <c r="Q3126" s="348" t="str">
        <f t="shared" si="392"/>
        <v/>
      </c>
      <c r="R3126" s="348" t="str">
        <f t="shared" si="393"/>
        <v/>
      </c>
      <c r="S3126" s="348" t="str">
        <f t="shared" si="394"/>
        <v/>
      </c>
      <c r="T3126" s="348" t="str">
        <f t="shared" si="395"/>
        <v/>
      </c>
      <c r="U3126" s="348" t="str">
        <f t="shared" si="396"/>
        <v/>
      </c>
      <c r="V3126" s="348" t="str">
        <f t="shared" si="397"/>
        <v/>
      </c>
      <c r="W3126" s="348" t="str">
        <f t="shared" si="398"/>
        <v/>
      </c>
      <c r="X3126" s="348" t="str">
        <f t="shared" si="399"/>
        <v/>
      </c>
    </row>
    <row r="3127" spans="1:24" x14ac:dyDescent="0.2">
      <c r="A3127" s="407">
        <v>3119</v>
      </c>
      <c r="B3127" s="438"/>
      <c r="C3127" s="438"/>
      <c r="D3127" s="438"/>
      <c r="E3127" s="438"/>
      <c r="F3127" s="438"/>
      <c r="G3127" s="438"/>
      <c r="H3127" s="438"/>
      <c r="I3127" s="438"/>
      <c r="J3127" s="11"/>
      <c r="Q3127" s="348" t="str">
        <f t="shared" si="392"/>
        <v/>
      </c>
      <c r="R3127" s="348" t="str">
        <f t="shared" si="393"/>
        <v/>
      </c>
      <c r="S3127" s="348" t="str">
        <f t="shared" si="394"/>
        <v/>
      </c>
      <c r="T3127" s="348" t="str">
        <f t="shared" si="395"/>
        <v/>
      </c>
      <c r="U3127" s="348" t="str">
        <f t="shared" si="396"/>
        <v/>
      </c>
      <c r="V3127" s="348" t="str">
        <f t="shared" si="397"/>
        <v/>
      </c>
      <c r="W3127" s="348" t="str">
        <f t="shared" si="398"/>
        <v/>
      </c>
      <c r="X3127" s="348" t="str">
        <f t="shared" si="399"/>
        <v/>
      </c>
    </row>
    <row r="3128" spans="1:24" x14ac:dyDescent="0.2">
      <c r="A3128" s="407">
        <v>3120</v>
      </c>
      <c r="B3128" s="438"/>
      <c r="C3128" s="438"/>
      <c r="D3128" s="438"/>
      <c r="E3128" s="438"/>
      <c r="F3128" s="438"/>
      <c r="G3128" s="438"/>
      <c r="H3128" s="438"/>
      <c r="I3128" s="438"/>
      <c r="J3128" s="11"/>
      <c r="Q3128" s="348" t="str">
        <f t="shared" si="392"/>
        <v/>
      </c>
      <c r="R3128" s="348" t="str">
        <f t="shared" si="393"/>
        <v/>
      </c>
      <c r="S3128" s="348" t="str">
        <f t="shared" si="394"/>
        <v/>
      </c>
      <c r="T3128" s="348" t="str">
        <f t="shared" si="395"/>
        <v/>
      </c>
      <c r="U3128" s="348" t="str">
        <f t="shared" si="396"/>
        <v/>
      </c>
      <c r="V3128" s="348" t="str">
        <f t="shared" si="397"/>
        <v/>
      </c>
      <c r="W3128" s="348" t="str">
        <f t="shared" si="398"/>
        <v/>
      </c>
      <c r="X3128" s="348" t="str">
        <f t="shared" si="399"/>
        <v/>
      </c>
    </row>
    <row r="3129" spans="1:24" x14ac:dyDescent="0.2">
      <c r="A3129" s="407">
        <v>3121</v>
      </c>
      <c r="B3129" s="438"/>
      <c r="C3129" s="438"/>
      <c r="D3129" s="438"/>
      <c r="E3129" s="438"/>
      <c r="F3129" s="438"/>
      <c r="G3129" s="438"/>
      <c r="H3129" s="438"/>
      <c r="I3129" s="438"/>
      <c r="J3129" s="11"/>
      <c r="Q3129" s="348" t="str">
        <f t="shared" si="392"/>
        <v/>
      </c>
      <c r="R3129" s="348" t="str">
        <f t="shared" si="393"/>
        <v/>
      </c>
      <c r="S3129" s="348" t="str">
        <f t="shared" si="394"/>
        <v/>
      </c>
      <c r="T3129" s="348" t="str">
        <f t="shared" si="395"/>
        <v/>
      </c>
      <c r="U3129" s="348" t="str">
        <f t="shared" si="396"/>
        <v/>
      </c>
      <c r="V3129" s="348" t="str">
        <f t="shared" si="397"/>
        <v/>
      </c>
      <c r="W3129" s="348" t="str">
        <f t="shared" si="398"/>
        <v/>
      </c>
      <c r="X3129" s="348" t="str">
        <f t="shared" si="399"/>
        <v/>
      </c>
    </row>
    <row r="3130" spans="1:24" x14ac:dyDescent="0.2">
      <c r="A3130" s="407">
        <v>3122</v>
      </c>
      <c r="B3130" s="438"/>
      <c r="C3130" s="438"/>
      <c r="D3130" s="437"/>
      <c r="E3130" s="438"/>
      <c r="F3130" s="438"/>
      <c r="G3130" s="438"/>
      <c r="H3130" s="438"/>
      <c r="I3130" s="438"/>
      <c r="J3130" s="11"/>
      <c r="Q3130" s="348" t="str">
        <f t="shared" si="392"/>
        <v/>
      </c>
      <c r="R3130" s="348" t="str">
        <f t="shared" si="393"/>
        <v/>
      </c>
      <c r="S3130" s="348" t="str">
        <f t="shared" si="394"/>
        <v/>
      </c>
      <c r="T3130" s="348" t="str">
        <f t="shared" si="395"/>
        <v/>
      </c>
      <c r="U3130" s="348" t="str">
        <f t="shared" si="396"/>
        <v/>
      </c>
      <c r="V3130" s="348" t="str">
        <f t="shared" si="397"/>
        <v/>
      </c>
      <c r="W3130" s="348" t="str">
        <f t="shared" si="398"/>
        <v/>
      </c>
      <c r="X3130" s="348" t="str">
        <f t="shared" si="399"/>
        <v/>
      </c>
    </row>
    <row r="3131" spans="1:24" x14ac:dyDescent="0.2">
      <c r="A3131" s="407">
        <v>3123</v>
      </c>
      <c r="B3131" s="438"/>
      <c r="C3131" s="438"/>
      <c r="D3131" s="438"/>
      <c r="E3131" s="438"/>
      <c r="F3131" s="438"/>
      <c r="G3131" s="438"/>
      <c r="H3131" s="438"/>
      <c r="I3131" s="438"/>
      <c r="J3131" s="11"/>
      <c r="Q3131" s="348" t="str">
        <f t="shared" si="392"/>
        <v/>
      </c>
      <c r="R3131" s="348" t="str">
        <f t="shared" si="393"/>
        <v/>
      </c>
      <c r="S3131" s="348" t="str">
        <f t="shared" si="394"/>
        <v/>
      </c>
      <c r="T3131" s="348" t="str">
        <f t="shared" si="395"/>
        <v/>
      </c>
      <c r="U3131" s="348" t="str">
        <f t="shared" si="396"/>
        <v/>
      </c>
      <c r="V3131" s="348" t="str">
        <f t="shared" si="397"/>
        <v/>
      </c>
      <c r="W3131" s="348" t="str">
        <f t="shared" si="398"/>
        <v/>
      </c>
      <c r="X3131" s="348" t="str">
        <f t="shared" si="399"/>
        <v/>
      </c>
    </row>
    <row r="3132" spans="1:24" x14ac:dyDescent="0.2">
      <c r="A3132" s="407">
        <v>3124</v>
      </c>
      <c r="B3132" s="438"/>
      <c r="C3132" s="438"/>
      <c r="D3132" s="438"/>
      <c r="E3132" s="438"/>
      <c r="F3132" s="438"/>
      <c r="G3132" s="438"/>
      <c r="H3132" s="438"/>
      <c r="I3132" s="438"/>
      <c r="J3132" s="11"/>
      <c r="Q3132" s="348" t="str">
        <f t="shared" si="392"/>
        <v/>
      </c>
      <c r="R3132" s="348" t="str">
        <f t="shared" si="393"/>
        <v/>
      </c>
      <c r="S3132" s="348" t="str">
        <f t="shared" si="394"/>
        <v/>
      </c>
      <c r="T3132" s="348" t="str">
        <f t="shared" si="395"/>
        <v/>
      </c>
      <c r="U3132" s="348" t="str">
        <f t="shared" si="396"/>
        <v/>
      </c>
      <c r="V3132" s="348" t="str">
        <f t="shared" si="397"/>
        <v/>
      </c>
      <c r="W3132" s="348" t="str">
        <f t="shared" si="398"/>
        <v/>
      </c>
      <c r="X3132" s="348" t="str">
        <f t="shared" si="399"/>
        <v/>
      </c>
    </row>
    <row r="3133" spans="1:24" x14ac:dyDescent="0.2">
      <c r="A3133" s="407">
        <v>3125</v>
      </c>
      <c r="B3133" s="438"/>
      <c r="C3133" s="438"/>
      <c r="D3133" s="438"/>
      <c r="E3133" s="438"/>
      <c r="F3133" s="438"/>
      <c r="G3133" s="438"/>
      <c r="H3133" s="438"/>
      <c r="I3133" s="438"/>
      <c r="J3133" s="11"/>
      <c r="Q3133" s="348" t="str">
        <f t="shared" si="392"/>
        <v/>
      </c>
      <c r="R3133" s="348" t="str">
        <f t="shared" si="393"/>
        <v/>
      </c>
      <c r="S3133" s="348" t="str">
        <f t="shared" si="394"/>
        <v/>
      </c>
      <c r="T3133" s="348" t="str">
        <f t="shared" si="395"/>
        <v/>
      </c>
      <c r="U3133" s="348" t="str">
        <f t="shared" si="396"/>
        <v/>
      </c>
      <c r="V3133" s="348" t="str">
        <f t="shared" si="397"/>
        <v/>
      </c>
      <c r="W3133" s="348" t="str">
        <f t="shared" si="398"/>
        <v/>
      </c>
      <c r="X3133" s="348" t="str">
        <f t="shared" si="399"/>
        <v/>
      </c>
    </row>
    <row r="3134" spans="1:24" x14ac:dyDescent="0.2">
      <c r="A3134" s="407">
        <v>3126</v>
      </c>
      <c r="B3134" s="438"/>
      <c r="C3134" s="438"/>
      <c r="D3134" s="438"/>
      <c r="E3134" s="437"/>
      <c r="F3134" s="437"/>
      <c r="G3134" s="437"/>
      <c r="H3134" s="437"/>
      <c r="I3134" s="437"/>
      <c r="J3134" s="11"/>
      <c r="Q3134" s="348" t="str">
        <f t="shared" si="392"/>
        <v/>
      </c>
      <c r="R3134" s="348" t="str">
        <f t="shared" si="393"/>
        <v/>
      </c>
      <c r="S3134" s="348" t="str">
        <f t="shared" si="394"/>
        <v/>
      </c>
      <c r="T3134" s="348" t="str">
        <f t="shared" si="395"/>
        <v/>
      </c>
      <c r="U3134" s="348" t="str">
        <f t="shared" si="396"/>
        <v/>
      </c>
      <c r="V3134" s="348" t="str">
        <f t="shared" si="397"/>
        <v/>
      </c>
      <c r="W3134" s="348" t="str">
        <f t="shared" si="398"/>
        <v/>
      </c>
      <c r="X3134" s="348" t="str">
        <f t="shared" si="399"/>
        <v/>
      </c>
    </row>
    <row r="3135" spans="1:24" x14ac:dyDescent="0.2">
      <c r="A3135" s="407">
        <v>3127</v>
      </c>
      <c r="B3135" s="438"/>
      <c r="C3135" s="438"/>
      <c r="D3135" s="438"/>
      <c r="E3135" s="438"/>
      <c r="F3135" s="438"/>
      <c r="G3135" s="438"/>
      <c r="H3135" s="438"/>
      <c r="I3135" s="438"/>
      <c r="J3135" s="11"/>
      <c r="Q3135" s="348" t="str">
        <f t="shared" si="392"/>
        <v/>
      </c>
      <c r="R3135" s="348" t="str">
        <f t="shared" si="393"/>
        <v/>
      </c>
      <c r="S3135" s="348" t="str">
        <f t="shared" si="394"/>
        <v/>
      </c>
      <c r="T3135" s="348" t="str">
        <f t="shared" si="395"/>
        <v/>
      </c>
      <c r="U3135" s="348" t="str">
        <f t="shared" si="396"/>
        <v/>
      </c>
      <c r="V3135" s="348" t="str">
        <f t="shared" si="397"/>
        <v/>
      </c>
      <c r="W3135" s="348" t="str">
        <f t="shared" si="398"/>
        <v/>
      </c>
      <c r="X3135" s="348" t="str">
        <f t="shared" si="399"/>
        <v/>
      </c>
    </row>
    <row r="3136" spans="1:24" x14ac:dyDescent="0.2">
      <c r="A3136" s="407">
        <v>3128</v>
      </c>
      <c r="B3136" s="438"/>
      <c r="C3136" s="438"/>
      <c r="D3136" s="438"/>
      <c r="E3136" s="438"/>
      <c r="F3136" s="438"/>
      <c r="G3136" s="438"/>
      <c r="H3136" s="438"/>
      <c r="I3136" s="438"/>
      <c r="J3136" s="11"/>
      <c r="Q3136" s="348" t="str">
        <f t="shared" si="392"/>
        <v/>
      </c>
      <c r="R3136" s="348" t="str">
        <f t="shared" si="393"/>
        <v/>
      </c>
      <c r="S3136" s="348" t="str">
        <f t="shared" si="394"/>
        <v/>
      </c>
      <c r="T3136" s="348" t="str">
        <f t="shared" si="395"/>
        <v/>
      </c>
      <c r="U3136" s="348" t="str">
        <f t="shared" si="396"/>
        <v/>
      </c>
      <c r="V3136" s="348" t="str">
        <f t="shared" si="397"/>
        <v/>
      </c>
      <c r="W3136" s="348" t="str">
        <f t="shared" si="398"/>
        <v/>
      </c>
      <c r="X3136" s="348" t="str">
        <f t="shared" si="399"/>
        <v/>
      </c>
    </row>
    <row r="3137" spans="1:24" x14ac:dyDescent="0.2">
      <c r="A3137" s="407">
        <v>3129</v>
      </c>
      <c r="B3137" s="438"/>
      <c r="C3137" s="438"/>
      <c r="D3137" s="438"/>
      <c r="E3137" s="438"/>
      <c r="F3137" s="438"/>
      <c r="G3137" s="438"/>
      <c r="H3137" s="438"/>
      <c r="I3137" s="438"/>
      <c r="J3137" s="11"/>
      <c r="Q3137" s="348" t="str">
        <f t="shared" si="392"/>
        <v/>
      </c>
      <c r="R3137" s="348" t="str">
        <f t="shared" si="393"/>
        <v/>
      </c>
      <c r="S3137" s="348" t="str">
        <f t="shared" si="394"/>
        <v/>
      </c>
      <c r="T3137" s="348" t="str">
        <f t="shared" si="395"/>
        <v/>
      </c>
      <c r="U3137" s="348" t="str">
        <f t="shared" si="396"/>
        <v/>
      </c>
      <c r="V3137" s="348" t="str">
        <f t="shared" si="397"/>
        <v/>
      </c>
      <c r="W3137" s="348" t="str">
        <f t="shared" si="398"/>
        <v/>
      </c>
      <c r="X3137" s="348" t="str">
        <f t="shared" si="399"/>
        <v/>
      </c>
    </row>
    <row r="3138" spans="1:24" x14ac:dyDescent="0.2">
      <c r="A3138" s="407">
        <v>3130</v>
      </c>
      <c r="B3138" s="438"/>
      <c r="C3138" s="438"/>
      <c r="D3138" s="438"/>
      <c r="E3138" s="438"/>
      <c r="F3138" s="438"/>
      <c r="G3138" s="438"/>
      <c r="H3138" s="438"/>
      <c r="I3138" s="438"/>
      <c r="J3138" s="11"/>
      <c r="Q3138" s="348" t="str">
        <f t="shared" si="392"/>
        <v/>
      </c>
      <c r="R3138" s="348" t="str">
        <f t="shared" si="393"/>
        <v/>
      </c>
      <c r="S3138" s="348" t="str">
        <f t="shared" si="394"/>
        <v/>
      </c>
      <c r="T3138" s="348" t="str">
        <f t="shared" si="395"/>
        <v/>
      </c>
      <c r="U3138" s="348" t="str">
        <f t="shared" si="396"/>
        <v/>
      </c>
      <c r="V3138" s="348" t="str">
        <f t="shared" si="397"/>
        <v/>
      </c>
      <c r="W3138" s="348" t="str">
        <f t="shared" si="398"/>
        <v/>
      </c>
      <c r="X3138" s="348" t="str">
        <f t="shared" si="399"/>
        <v/>
      </c>
    </row>
    <row r="3139" spans="1:24" x14ac:dyDescent="0.2">
      <c r="A3139" s="407">
        <v>3131</v>
      </c>
      <c r="B3139" s="438"/>
      <c r="C3139" s="438"/>
      <c r="D3139" s="438"/>
      <c r="E3139" s="438"/>
      <c r="F3139" s="438"/>
      <c r="G3139" s="438"/>
      <c r="H3139" s="438"/>
      <c r="I3139" s="438"/>
      <c r="J3139" s="11"/>
      <c r="Q3139" s="348" t="str">
        <f t="shared" si="392"/>
        <v/>
      </c>
      <c r="R3139" s="348" t="str">
        <f t="shared" si="393"/>
        <v/>
      </c>
      <c r="S3139" s="348" t="str">
        <f t="shared" si="394"/>
        <v/>
      </c>
      <c r="T3139" s="348" t="str">
        <f t="shared" si="395"/>
        <v/>
      </c>
      <c r="U3139" s="348" t="str">
        <f t="shared" si="396"/>
        <v/>
      </c>
      <c r="V3139" s="348" t="str">
        <f t="shared" si="397"/>
        <v/>
      </c>
      <c r="W3139" s="348" t="str">
        <f t="shared" si="398"/>
        <v/>
      </c>
      <c r="X3139" s="348" t="str">
        <f t="shared" si="399"/>
        <v/>
      </c>
    </row>
    <row r="3140" spans="1:24" x14ac:dyDescent="0.2">
      <c r="A3140" s="407">
        <v>3132</v>
      </c>
      <c r="B3140" s="438"/>
      <c r="C3140" s="438"/>
      <c r="D3140" s="438"/>
      <c r="E3140" s="438"/>
      <c r="F3140" s="438"/>
      <c r="G3140" s="438"/>
      <c r="H3140" s="438"/>
      <c r="I3140" s="438"/>
      <c r="J3140" s="11"/>
      <c r="Q3140" s="348" t="str">
        <f t="shared" si="392"/>
        <v/>
      </c>
      <c r="R3140" s="348" t="str">
        <f t="shared" si="393"/>
        <v/>
      </c>
      <c r="S3140" s="348" t="str">
        <f t="shared" si="394"/>
        <v/>
      </c>
      <c r="T3140" s="348" t="str">
        <f t="shared" si="395"/>
        <v/>
      </c>
      <c r="U3140" s="348" t="str">
        <f t="shared" si="396"/>
        <v/>
      </c>
      <c r="V3140" s="348" t="str">
        <f t="shared" si="397"/>
        <v/>
      </c>
      <c r="W3140" s="348" t="str">
        <f t="shared" si="398"/>
        <v/>
      </c>
      <c r="X3140" s="348" t="str">
        <f t="shared" si="399"/>
        <v/>
      </c>
    </row>
    <row r="3141" spans="1:24" x14ac:dyDescent="0.2">
      <c r="A3141" s="407">
        <v>3133</v>
      </c>
      <c r="B3141" s="438"/>
      <c r="C3141" s="438"/>
      <c r="D3141" s="438"/>
      <c r="E3141" s="438"/>
      <c r="F3141" s="438"/>
      <c r="G3141" s="438"/>
      <c r="H3141" s="438"/>
      <c r="I3141" s="438"/>
      <c r="J3141" s="11"/>
      <c r="Q3141" s="348" t="str">
        <f t="shared" si="392"/>
        <v/>
      </c>
      <c r="R3141" s="348" t="str">
        <f t="shared" si="393"/>
        <v/>
      </c>
      <c r="S3141" s="348" t="str">
        <f t="shared" si="394"/>
        <v/>
      </c>
      <c r="T3141" s="348" t="str">
        <f t="shared" si="395"/>
        <v/>
      </c>
      <c r="U3141" s="348" t="str">
        <f t="shared" si="396"/>
        <v/>
      </c>
      <c r="V3141" s="348" t="str">
        <f t="shared" si="397"/>
        <v/>
      </c>
      <c r="W3141" s="348" t="str">
        <f t="shared" si="398"/>
        <v/>
      </c>
      <c r="X3141" s="348" t="str">
        <f t="shared" si="399"/>
        <v/>
      </c>
    </row>
    <row r="3142" spans="1:24" x14ac:dyDescent="0.2">
      <c r="A3142" s="407">
        <v>3134</v>
      </c>
      <c r="B3142" s="438"/>
      <c r="C3142" s="438"/>
      <c r="D3142" s="438"/>
      <c r="E3142" s="438"/>
      <c r="F3142" s="438"/>
      <c r="G3142" s="438"/>
      <c r="H3142" s="438"/>
      <c r="I3142" s="438"/>
      <c r="J3142" s="11"/>
      <c r="Q3142" s="348" t="str">
        <f t="shared" si="392"/>
        <v/>
      </c>
      <c r="R3142" s="348" t="str">
        <f t="shared" si="393"/>
        <v/>
      </c>
      <c r="S3142" s="348" t="str">
        <f t="shared" si="394"/>
        <v/>
      </c>
      <c r="T3142" s="348" t="str">
        <f t="shared" si="395"/>
        <v/>
      </c>
      <c r="U3142" s="348" t="str">
        <f t="shared" si="396"/>
        <v/>
      </c>
      <c r="V3142" s="348" t="str">
        <f t="shared" si="397"/>
        <v/>
      </c>
      <c r="W3142" s="348" t="str">
        <f t="shared" si="398"/>
        <v/>
      </c>
      <c r="X3142" s="348" t="str">
        <f t="shared" si="399"/>
        <v/>
      </c>
    </row>
    <row r="3143" spans="1:24" x14ac:dyDescent="0.2">
      <c r="A3143" s="407">
        <v>3135</v>
      </c>
      <c r="B3143" s="437"/>
      <c r="C3143" s="438"/>
      <c r="D3143" s="438"/>
      <c r="E3143" s="438"/>
      <c r="F3143" s="438"/>
      <c r="G3143" s="438"/>
      <c r="H3143" s="438"/>
      <c r="I3143" s="438"/>
      <c r="J3143" s="11"/>
      <c r="Q3143" s="348" t="str">
        <f t="shared" si="392"/>
        <v/>
      </c>
      <c r="R3143" s="348" t="str">
        <f t="shared" si="393"/>
        <v/>
      </c>
      <c r="S3143" s="348" t="str">
        <f t="shared" si="394"/>
        <v/>
      </c>
      <c r="T3143" s="348" t="str">
        <f t="shared" si="395"/>
        <v/>
      </c>
      <c r="U3143" s="348" t="str">
        <f t="shared" si="396"/>
        <v/>
      </c>
      <c r="V3143" s="348" t="str">
        <f t="shared" si="397"/>
        <v/>
      </c>
      <c r="W3143" s="348" t="str">
        <f t="shared" si="398"/>
        <v/>
      </c>
      <c r="X3143" s="348" t="str">
        <f t="shared" si="399"/>
        <v/>
      </c>
    </row>
    <row r="3144" spans="1:24" x14ac:dyDescent="0.2">
      <c r="A3144" s="407">
        <v>3136</v>
      </c>
      <c r="B3144" s="438"/>
      <c r="C3144" s="437"/>
      <c r="D3144" s="438"/>
      <c r="E3144" s="438"/>
      <c r="F3144" s="438"/>
      <c r="G3144" s="438"/>
      <c r="H3144" s="438"/>
      <c r="I3144" s="438"/>
      <c r="J3144" s="11"/>
      <c r="Q3144" s="348" t="str">
        <f t="shared" si="392"/>
        <v/>
      </c>
      <c r="R3144" s="348" t="str">
        <f t="shared" si="393"/>
        <v/>
      </c>
      <c r="S3144" s="348" t="str">
        <f t="shared" si="394"/>
        <v/>
      </c>
      <c r="T3144" s="348" t="str">
        <f t="shared" si="395"/>
        <v/>
      </c>
      <c r="U3144" s="348" t="str">
        <f t="shared" si="396"/>
        <v/>
      </c>
      <c r="V3144" s="348" t="str">
        <f t="shared" si="397"/>
        <v/>
      </c>
      <c r="W3144" s="348" t="str">
        <f t="shared" si="398"/>
        <v/>
      </c>
      <c r="X3144" s="348" t="str">
        <f t="shared" si="399"/>
        <v/>
      </c>
    </row>
    <row r="3145" spans="1:24" x14ac:dyDescent="0.2">
      <c r="A3145" s="407">
        <v>3137</v>
      </c>
      <c r="B3145" s="438"/>
      <c r="C3145" s="438"/>
      <c r="D3145" s="438"/>
      <c r="E3145" s="438"/>
      <c r="F3145" s="438"/>
      <c r="G3145" s="438"/>
      <c r="H3145" s="438"/>
      <c r="I3145" s="438"/>
      <c r="J3145" s="11"/>
      <c r="Q3145" s="348" t="str">
        <f t="shared" si="392"/>
        <v/>
      </c>
      <c r="R3145" s="348" t="str">
        <f t="shared" si="393"/>
        <v/>
      </c>
      <c r="S3145" s="348" t="str">
        <f t="shared" si="394"/>
        <v/>
      </c>
      <c r="T3145" s="348" t="str">
        <f t="shared" si="395"/>
        <v/>
      </c>
      <c r="U3145" s="348" t="str">
        <f t="shared" si="396"/>
        <v/>
      </c>
      <c r="V3145" s="348" t="str">
        <f t="shared" si="397"/>
        <v/>
      </c>
      <c r="W3145" s="348" t="str">
        <f t="shared" si="398"/>
        <v/>
      </c>
      <c r="X3145" s="348" t="str">
        <f t="shared" si="399"/>
        <v/>
      </c>
    </row>
    <row r="3146" spans="1:24" x14ac:dyDescent="0.2">
      <c r="A3146" s="407">
        <v>3138</v>
      </c>
      <c r="B3146" s="438"/>
      <c r="C3146" s="438"/>
      <c r="D3146" s="438"/>
      <c r="E3146" s="438"/>
      <c r="F3146" s="438"/>
      <c r="G3146" s="438"/>
      <c r="H3146" s="438"/>
      <c r="I3146" s="438"/>
      <c r="J3146" s="11"/>
      <c r="Q3146" s="348" t="str">
        <f t="shared" ref="Q3146:Q3209" si="400">IFERROR(B3146^4*$AB$9+B3146^3*$AC$9+B3146^2*$AD$9+B3146^1*$AE$9+B3146^0*$AF$9,"")</f>
        <v/>
      </c>
      <c r="R3146" s="348" t="str">
        <f t="shared" ref="R3146:R3209" si="401">IFERROR(C3146^4*$AB$10+C3146^3*$AC$10+C3146^2*$AD$10+C3146^1*$AE$10+C3146^0*$AF$10,"")</f>
        <v/>
      </c>
      <c r="S3146" s="348" t="str">
        <f t="shared" ref="S3146:S3209" si="402">IFERROR(D3146^4*$AB$11+D3146^3*$AC$11+D3146^2*$AD$11+D3146^1*$AE$11+D3146^0*$AF$11,"")</f>
        <v/>
      </c>
      <c r="T3146" s="348" t="str">
        <f t="shared" ref="T3146:T3209" si="403">IFERROR(E3146^4*$AB$12+E3146^3*$AC$12+E3146^2*$AD$12+E3146^1*$AE$12+E3146^0*$AF$12,"")</f>
        <v/>
      </c>
      <c r="U3146" s="348" t="str">
        <f t="shared" ref="U3146:U3209" si="404">IFERROR(F3146^4*$AB$13+F3146^3*$AC$13+F3146^2*$AD$13+F3146^1*$AE$13+F3146^0*$AF$13,"")</f>
        <v/>
      </c>
      <c r="V3146" s="348" t="str">
        <f t="shared" ref="V3146:V3209" si="405">IFERROR(G3146^4*$AB$14+G3146^3*$AC$14+G3146^2*$AD$14+G3146^1*$AE$14+G3146^0*$AF$14,"")</f>
        <v/>
      </c>
      <c r="W3146" s="348" t="str">
        <f t="shared" ref="W3146:W3209" si="406">IFERROR(H3146^4*$AB$15+H3146^3*$AC$15+H3146^2*$AD$15+H3146^1*$AE$15+H3146^0*$AF$15,"")</f>
        <v/>
      </c>
      <c r="X3146" s="348" t="str">
        <f t="shared" ref="X3146:X3209" si="407">IFERROR(I3146^4*$AB$16+I3146^3*$AC$16+I3146^2*$AD$16+I3146^1*$AE$16+I3146^0*$AF$16,"")</f>
        <v/>
      </c>
    </row>
    <row r="3147" spans="1:24" x14ac:dyDescent="0.2">
      <c r="A3147" s="407">
        <v>3139</v>
      </c>
      <c r="B3147" s="438"/>
      <c r="C3147" s="438"/>
      <c r="D3147" s="438"/>
      <c r="E3147" s="438"/>
      <c r="F3147" s="438"/>
      <c r="G3147" s="438"/>
      <c r="H3147" s="438"/>
      <c r="I3147" s="438"/>
      <c r="J3147" s="11"/>
      <c r="Q3147" s="348" t="str">
        <f t="shared" si="400"/>
        <v/>
      </c>
      <c r="R3147" s="348" t="str">
        <f t="shared" si="401"/>
        <v/>
      </c>
      <c r="S3147" s="348" t="str">
        <f t="shared" si="402"/>
        <v/>
      </c>
      <c r="T3147" s="348" t="str">
        <f t="shared" si="403"/>
        <v/>
      </c>
      <c r="U3147" s="348" t="str">
        <f t="shared" si="404"/>
        <v/>
      </c>
      <c r="V3147" s="348" t="str">
        <f t="shared" si="405"/>
        <v/>
      </c>
      <c r="W3147" s="348" t="str">
        <f t="shared" si="406"/>
        <v/>
      </c>
      <c r="X3147" s="348" t="str">
        <f t="shared" si="407"/>
        <v/>
      </c>
    </row>
    <row r="3148" spans="1:24" x14ac:dyDescent="0.2">
      <c r="A3148" s="407">
        <v>3140</v>
      </c>
      <c r="B3148" s="438"/>
      <c r="C3148" s="438"/>
      <c r="D3148" s="438"/>
      <c r="E3148" s="438"/>
      <c r="F3148" s="438"/>
      <c r="G3148" s="438"/>
      <c r="H3148" s="438"/>
      <c r="I3148" s="438"/>
      <c r="J3148" s="11"/>
      <c r="Q3148" s="348" t="str">
        <f t="shared" si="400"/>
        <v/>
      </c>
      <c r="R3148" s="348" t="str">
        <f t="shared" si="401"/>
        <v/>
      </c>
      <c r="S3148" s="348" t="str">
        <f t="shared" si="402"/>
        <v/>
      </c>
      <c r="T3148" s="348" t="str">
        <f t="shared" si="403"/>
        <v/>
      </c>
      <c r="U3148" s="348" t="str">
        <f t="shared" si="404"/>
        <v/>
      </c>
      <c r="V3148" s="348" t="str">
        <f t="shared" si="405"/>
        <v/>
      </c>
      <c r="W3148" s="348" t="str">
        <f t="shared" si="406"/>
        <v/>
      </c>
      <c r="X3148" s="348" t="str">
        <f t="shared" si="407"/>
        <v/>
      </c>
    </row>
    <row r="3149" spans="1:24" x14ac:dyDescent="0.2">
      <c r="A3149" s="407">
        <v>3141</v>
      </c>
      <c r="B3149" s="438"/>
      <c r="C3149" s="438"/>
      <c r="D3149" s="438"/>
      <c r="E3149" s="438"/>
      <c r="F3149" s="438"/>
      <c r="G3149" s="438"/>
      <c r="H3149" s="438"/>
      <c r="I3149" s="438"/>
      <c r="J3149" s="11"/>
      <c r="Q3149" s="348" t="str">
        <f t="shared" si="400"/>
        <v/>
      </c>
      <c r="R3149" s="348" t="str">
        <f t="shared" si="401"/>
        <v/>
      </c>
      <c r="S3149" s="348" t="str">
        <f t="shared" si="402"/>
        <v/>
      </c>
      <c r="T3149" s="348" t="str">
        <f t="shared" si="403"/>
        <v/>
      </c>
      <c r="U3149" s="348" t="str">
        <f t="shared" si="404"/>
        <v/>
      </c>
      <c r="V3149" s="348" t="str">
        <f t="shared" si="405"/>
        <v/>
      </c>
      <c r="W3149" s="348" t="str">
        <f t="shared" si="406"/>
        <v/>
      </c>
      <c r="X3149" s="348" t="str">
        <f t="shared" si="407"/>
        <v/>
      </c>
    </row>
    <row r="3150" spans="1:24" x14ac:dyDescent="0.2">
      <c r="A3150" s="407">
        <v>3142</v>
      </c>
      <c r="B3150" s="438"/>
      <c r="C3150" s="438"/>
      <c r="D3150" s="438"/>
      <c r="E3150" s="438"/>
      <c r="F3150" s="438"/>
      <c r="G3150" s="438"/>
      <c r="H3150" s="438"/>
      <c r="I3150" s="438"/>
      <c r="J3150" s="11"/>
      <c r="Q3150" s="348" t="str">
        <f t="shared" si="400"/>
        <v/>
      </c>
      <c r="R3150" s="348" t="str">
        <f t="shared" si="401"/>
        <v/>
      </c>
      <c r="S3150" s="348" t="str">
        <f t="shared" si="402"/>
        <v/>
      </c>
      <c r="T3150" s="348" t="str">
        <f t="shared" si="403"/>
        <v/>
      </c>
      <c r="U3150" s="348" t="str">
        <f t="shared" si="404"/>
        <v/>
      </c>
      <c r="V3150" s="348" t="str">
        <f t="shared" si="405"/>
        <v/>
      </c>
      <c r="W3150" s="348" t="str">
        <f t="shared" si="406"/>
        <v/>
      </c>
      <c r="X3150" s="348" t="str">
        <f t="shared" si="407"/>
        <v/>
      </c>
    </row>
    <row r="3151" spans="1:24" x14ac:dyDescent="0.2">
      <c r="A3151" s="407">
        <v>3143</v>
      </c>
      <c r="B3151" s="438"/>
      <c r="C3151" s="438"/>
      <c r="D3151" s="438"/>
      <c r="E3151" s="438"/>
      <c r="F3151" s="438"/>
      <c r="G3151" s="438"/>
      <c r="H3151" s="438"/>
      <c r="I3151" s="438"/>
      <c r="J3151" s="11"/>
      <c r="Q3151" s="348" t="str">
        <f t="shared" si="400"/>
        <v/>
      </c>
      <c r="R3151" s="348" t="str">
        <f t="shared" si="401"/>
        <v/>
      </c>
      <c r="S3151" s="348" t="str">
        <f t="shared" si="402"/>
        <v/>
      </c>
      <c r="T3151" s="348" t="str">
        <f t="shared" si="403"/>
        <v/>
      </c>
      <c r="U3151" s="348" t="str">
        <f t="shared" si="404"/>
        <v/>
      </c>
      <c r="V3151" s="348" t="str">
        <f t="shared" si="405"/>
        <v/>
      </c>
      <c r="W3151" s="348" t="str">
        <f t="shared" si="406"/>
        <v/>
      </c>
      <c r="X3151" s="348" t="str">
        <f t="shared" si="407"/>
        <v/>
      </c>
    </row>
    <row r="3152" spans="1:24" x14ac:dyDescent="0.2">
      <c r="A3152" s="407">
        <v>3144</v>
      </c>
      <c r="B3152" s="438"/>
      <c r="C3152" s="438"/>
      <c r="D3152" s="437"/>
      <c r="E3152" s="438"/>
      <c r="F3152" s="438"/>
      <c r="G3152" s="438"/>
      <c r="H3152" s="438"/>
      <c r="I3152" s="438"/>
      <c r="J3152" s="11"/>
      <c r="Q3152" s="348" t="str">
        <f t="shared" si="400"/>
        <v/>
      </c>
      <c r="R3152" s="348" t="str">
        <f t="shared" si="401"/>
        <v/>
      </c>
      <c r="S3152" s="348" t="str">
        <f t="shared" si="402"/>
        <v/>
      </c>
      <c r="T3152" s="348" t="str">
        <f t="shared" si="403"/>
        <v/>
      </c>
      <c r="U3152" s="348" t="str">
        <f t="shared" si="404"/>
        <v/>
      </c>
      <c r="V3152" s="348" t="str">
        <f t="shared" si="405"/>
        <v/>
      </c>
      <c r="W3152" s="348" t="str">
        <f t="shared" si="406"/>
        <v/>
      </c>
      <c r="X3152" s="348" t="str">
        <f t="shared" si="407"/>
        <v/>
      </c>
    </row>
    <row r="3153" spans="1:24" x14ac:dyDescent="0.2">
      <c r="A3153" s="407">
        <v>3145</v>
      </c>
      <c r="B3153" s="437"/>
      <c r="C3153" s="438"/>
      <c r="D3153" s="438"/>
      <c r="E3153" s="438"/>
      <c r="F3153" s="438"/>
      <c r="G3153" s="438"/>
      <c r="H3153" s="438"/>
      <c r="I3153" s="438"/>
      <c r="J3153" s="11"/>
      <c r="Q3153" s="348" t="str">
        <f t="shared" si="400"/>
        <v/>
      </c>
      <c r="R3153" s="348" t="str">
        <f t="shared" si="401"/>
        <v/>
      </c>
      <c r="S3153" s="348" t="str">
        <f t="shared" si="402"/>
        <v/>
      </c>
      <c r="T3153" s="348" t="str">
        <f t="shared" si="403"/>
        <v/>
      </c>
      <c r="U3153" s="348" t="str">
        <f t="shared" si="404"/>
        <v/>
      </c>
      <c r="V3153" s="348" t="str">
        <f t="shared" si="405"/>
        <v/>
      </c>
      <c r="W3153" s="348" t="str">
        <f t="shared" si="406"/>
        <v/>
      </c>
      <c r="X3153" s="348" t="str">
        <f t="shared" si="407"/>
        <v/>
      </c>
    </row>
    <row r="3154" spans="1:24" x14ac:dyDescent="0.2">
      <c r="A3154" s="407">
        <v>3146</v>
      </c>
      <c r="B3154" s="438"/>
      <c r="C3154" s="438"/>
      <c r="D3154" s="438"/>
      <c r="E3154" s="438"/>
      <c r="F3154" s="438"/>
      <c r="G3154" s="438"/>
      <c r="H3154" s="438"/>
      <c r="I3154" s="438"/>
      <c r="J3154" s="11"/>
      <c r="Q3154" s="348" t="str">
        <f t="shared" si="400"/>
        <v/>
      </c>
      <c r="R3154" s="348" t="str">
        <f t="shared" si="401"/>
        <v/>
      </c>
      <c r="S3154" s="348" t="str">
        <f t="shared" si="402"/>
        <v/>
      </c>
      <c r="T3154" s="348" t="str">
        <f t="shared" si="403"/>
        <v/>
      </c>
      <c r="U3154" s="348" t="str">
        <f t="shared" si="404"/>
        <v/>
      </c>
      <c r="V3154" s="348" t="str">
        <f t="shared" si="405"/>
        <v/>
      </c>
      <c r="W3154" s="348" t="str">
        <f t="shared" si="406"/>
        <v/>
      </c>
      <c r="X3154" s="348" t="str">
        <f t="shared" si="407"/>
        <v/>
      </c>
    </row>
    <row r="3155" spans="1:24" x14ac:dyDescent="0.2">
      <c r="A3155" s="407">
        <v>3147</v>
      </c>
      <c r="B3155" s="438"/>
      <c r="C3155" s="438"/>
      <c r="D3155" s="438"/>
      <c r="E3155" s="438"/>
      <c r="F3155" s="438"/>
      <c r="G3155" s="438"/>
      <c r="H3155" s="438"/>
      <c r="I3155" s="438"/>
      <c r="J3155" s="11"/>
      <c r="Q3155" s="348" t="str">
        <f t="shared" si="400"/>
        <v/>
      </c>
      <c r="R3155" s="348" t="str">
        <f t="shared" si="401"/>
        <v/>
      </c>
      <c r="S3155" s="348" t="str">
        <f t="shared" si="402"/>
        <v/>
      </c>
      <c r="T3155" s="348" t="str">
        <f t="shared" si="403"/>
        <v/>
      </c>
      <c r="U3155" s="348" t="str">
        <f t="shared" si="404"/>
        <v/>
      </c>
      <c r="V3155" s="348" t="str">
        <f t="shared" si="405"/>
        <v/>
      </c>
      <c r="W3155" s="348" t="str">
        <f t="shared" si="406"/>
        <v/>
      </c>
      <c r="X3155" s="348" t="str">
        <f t="shared" si="407"/>
        <v/>
      </c>
    </row>
    <row r="3156" spans="1:24" x14ac:dyDescent="0.2">
      <c r="A3156" s="407">
        <v>3148</v>
      </c>
      <c r="B3156" s="438"/>
      <c r="C3156" s="438"/>
      <c r="D3156" s="438"/>
      <c r="E3156" s="438"/>
      <c r="F3156" s="438"/>
      <c r="G3156" s="438"/>
      <c r="H3156" s="438"/>
      <c r="I3156" s="438"/>
      <c r="J3156" s="11"/>
      <c r="Q3156" s="348" t="str">
        <f t="shared" si="400"/>
        <v/>
      </c>
      <c r="R3156" s="348" t="str">
        <f t="shared" si="401"/>
        <v/>
      </c>
      <c r="S3156" s="348" t="str">
        <f t="shared" si="402"/>
        <v/>
      </c>
      <c r="T3156" s="348" t="str">
        <f t="shared" si="403"/>
        <v/>
      </c>
      <c r="U3156" s="348" t="str">
        <f t="shared" si="404"/>
        <v/>
      </c>
      <c r="V3156" s="348" t="str">
        <f t="shared" si="405"/>
        <v/>
      </c>
      <c r="W3156" s="348" t="str">
        <f t="shared" si="406"/>
        <v/>
      </c>
      <c r="X3156" s="348" t="str">
        <f t="shared" si="407"/>
        <v/>
      </c>
    </row>
    <row r="3157" spans="1:24" x14ac:dyDescent="0.2">
      <c r="A3157" s="407">
        <v>3149</v>
      </c>
      <c r="B3157" s="438"/>
      <c r="C3157" s="438"/>
      <c r="D3157" s="438"/>
      <c r="E3157" s="438"/>
      <c r="F3157" s="438"/>
      <c r="G3157" s="438"/>
      <c r="H3157" s="438"/>
      <c r="I3157" s="438"/>
      <c r="J3157" s="11"/>
      <c r="Q3157" s="348" t="str">
        <f t="shared" si="400"/>
        <v/>
      </c>
      <c r="R3157" s="348" t="str">
        <f t="shared" si="401"/>
        <v/>
      </c>
      <c r="S3157" s="348" t="str">
        <f t="shared" si="402"/>
        <v/>
      </c>
      <c r="T3157" s="348" t="str">
        <f t="shared" si="403"/>
        <v/>
      </c>
      <c r="U3157" s="348" t="str">
        <f t="shared" si="404"/>
        <v/>
      </c>
      <c r="V3157" s="348" t="str">
        <f t="shared" si="405"/>
        <v/>
      </c>
      <c r="W3157" s="348" t="str">
        <f t="shared" si="406"/>
        <v/>
      </c>
      <c r="X3157" s="348" t="str">
        <f t="shared" si="407"/>
        <v/>
      </c>
    </row>
    <row r="3158" spans="1:24" x14ac:dyDescent="0.2">
      <c r="A3158" s="407">
        <v>3150</v>
      </c>
      <c r="B3158" s="438"/>
      <c r="C3158" s="437"/>
      <c r="D3158" s="438"/>
      <c r="E3158" s="438"/>
      <c r="F3158" s="438"/>
      <c r="G3158" s="438"/>
      <c r="H3158" s="438"/>
      <c r="I3158" s="438"/>
      <c r="J3158" s="11"/>
      <c r="Q3158" s="348" t="str">
        <f t="shared" si="400"/>
        <v/>
      </c>
      <c r="R3158" s="348" t="str">
        <f t="shared" si="401"/>
        <v/>
      </c>
      <c r="S3158" s="348" t="str">
        <f t="shared" si="402"/>
        <v/>
      </c>
      <c r="T3158" s="348" t="str">
        <f t="shared" si="403"/>
        <v/>
      </c>
      <c r="U3158" s="348" t="str">
        <f t="shared" si="404"/>
        <v/>
      </c>
      <c r="V3158" s="348" t="str">
        <f t="shared" si="405"/>
        <v/>
      </c>
      <c r="W3158" s="348" t="str">
        <f t="shared" si="406"/>
        <v/>
      </c>
      <c r="X3158" s="348" t="str">
        <f t="shared" si="407"/>
        <v/>
      </c>
    </row>
    <row r="3159" spans="1:24" x14ac:dyDescent="0.2">
      <c r="A3159" s="407">
        <v>3151</v>
      </c>
      <c r="B3159" s="438"/>
      <c r="C3159" s="438"/>
      <c r="D3159" s="438"/>
      <c r="E3159" s="437"/>
      <c r="F3159" s="438"/>
      <c r="G3159" s="438"/>
      <c r="H3159" s="438"/>
      <c r="I3159" s="438"/>
      <c r="J3159" s="11"/>
      <c r="Q3159" s="348" t="str">
        <f t="shared" si="400"/>
        <v/>
      </c>
      <c r="R3159" s="348" t="str">
        <f t="shared" si="401"/>
        <v/>
      </c>
      <c r="S3159" s="348" t="str">
        <f t="shared" si="402"/>
        <v/>
      </c>
      <c r="T3159" s="348" t="str">
        <f t="shared" si="403"/>
        <v/>
      </c>
      <c r="U3159" s="348" t="str">
        <f t="shared" si="404"/>
        <v/>
      </c>
      <c r="V3159" s="348" t="str">
        <f t="shared" si="405"/>
        <v/>
      </c>
      <c r="W3159" s="348" t="str">
        <f t="shared" si="406"/>
        <v/>
      </c>
      <c r="X3159" s="348" t="str">
        <f t="shared" si="407"/>
        <v/>
      </c>
    </row>
    <row r="3160" spans="1:24" x14ac:dyDescent="0.2">
      <c r="A3160" s="407">
        <v>3152</v>
      </c>
      <c r="B3160" s="438"/>
      <c r="C3160" s="438"/>
      <c r="D3160" s="438"/>
      <c r="E3160" s="438"/>
      <c r="F3160" s="438"/>
      <c r="G3160" s="438"/>
      <c r="H3160" s="438"/>
      <c r="I3160" s="438"/>
      <c r="J3160" s="11"/>
      <c r="Q3160" s="348" t="str">
        <f t="shared" si="400"/>
        <v/>
      </c>
      <c r="R3160" s="348" t="str">
        <f t="shared" si="401"/>
        <v/>
      </c>
      <c r="S3160" s="348" t="str">
        <f t="shared" si="402"/>
        <v/>
      </c>
      <c r="T3160" s="348" t="str">
        <f t="shared" si="403"/>
        <v/>
      </c>
      <c r="U3160" s="348" t="str">
        <f t="shared" si="404"/>
        <v/>
      </c>
      <c r="V3160" s="348" t="str">
        <f t="shared" si="405"/>
        <v/>
      </c>
      <c r="W3160" s="348" t="str">
        <f t="shared" si="406"/>
        <v/>
      </c>
      <c r="X3160" s="348" t="str">
        <f t="shared" si="407"/>
        <v/>
      </c>
    </row>
    <row r="3161" spans="1:24" x14ac:dyDescent="0.2">
      <c r="A3161" s="407">
        <v>3153</v>
      </c>
      <c r="B3161" s="438"/>
      <c r="C3161" s="438"/>
      <c r="D3161" s="438"/>
      <c r="E3161" s="438"/>
      <c r="F3161" s="438"/>
      <c r="G3161" s="438"/>
      <c r="H3161" s="438"/>
      <c r="I3161" s="438"/>
      <c r="J3161" s="11"/>
      <c r="Q3161" s="348" t="str">
        <f t="shared" si="400"/>
        <v/>
      </c>
      <c r="R3161" s="348" t="str">
        <f t="shared" si="401"/>
        <v/>
      </c>
      <c r="S3161" s="348" t="str">
        <f t="shared" si="402"/>
        <v/>
      </c>
      <c r="T3161" s="348" t="str">
        <f t="shared" si="403"/>
        <v/>
      </c>
      <c r="U3161" s="348" t="str">
        <f t="shared" si="404"/>
        <v/>
      </c>
      <c r="V3161" s="348" t="str">
        <f t="shared" si="405"/>
        <v/>
      </c>
      <c r="W3161" s="348" t="str">
        <f t="shared" si="406"/>
        <v/>
      </c>
      <c r="X3161" s="348" t="str">
        <f t="shared" si="407"/>
        <v/>
      </c>
    </row>
    <row r="3162" spans="1:24" x14ac:dyDescent="0.2">
      <c r="A3162" s="407">
        <v>3154</v>
      </c>
      <c r="B3162" s="438"/>
      <c r="C3162" s="438"/>
      <c r="D3162" s="438"/>
      <c r="E3162" s="438"/>
      <c r="F3162" s="438"/>
      <c r="G3162" s="438"/>
      <c r="H3162" s="438"/>
      <c r="I3162" s="438"/>
      <c r="J3162" s="11"/>
      <c r="Q3162" s="348" t="str">
        <f t="shared" si="400"/>
        <v/>
      </c>
      <c r="R3162" s="348" t="str">
        <f t="shared" si="401"/>
        <v/>
      </c>
      <c r="S3162" s="348" t="str">
        <f t="shared" si="402"/>
        <v/>
      </c>
      <c r="T3162" s="348" t="str">
        <f t="shared" si="403"/>
        <v/>
      </c>
      <c r="U3162" s="348" t="str">
        <f t="shared" si="404"/>
        <v/>
      </c>
      <c r="V3162" s="348" t="str">
        <f t="shared" si="405"/>
        <v/>
      </c>
      <c r="W3162" s="348" t="str">
        <f t="shared" si="406"/>
        <v/>
      </c>
      <c r="X3162" s="348" t="str">
        <f t="shared" si="407"/>
        <v/>
      </c>
    </row>
    <row r="3163" spans="1:24" x14ac:dyDescent="0.2">
      <c r="A3163" s="407">
        <v>3155</v>
      </c>
      <c r="B3163" s="438"/>
      <c r="C3163" s="438"/>
      <c r="D3163" s="438"/>
      <c r="E3163" s="438"/>
      <c r="F3163" s="438"/>
      <c r="G3163" s="438"/>
      <c r="H3163" s="438"/>
      <c r="I3163" s="438"/>
      <c r="J3163" s="11"/>
      <c r="Q3163" s="348" t="str">
        <f t="shared" si="400"/>
        <v/>
      </c>
      <c r="R3163" s="348" t="str">
        <f t="shared" si="401"/>
        <v/>
      </c>
      <c r="S3163" s="348" t="str">
        <f t="shared" si="402"/>
        <v/>
      </c>
      <c r="T3163" s="348" t="str">
        <f t="shared" si="403"/>
        <v/>
      </c>
      <c r="U3163" s="348" t="str">
        <f t="shared" si="404"/>
        <v/>
      </c>
      <c r="V3163" s="348" t="str">
        <f t="shared" si="405"/>
        <v/>
      </c>
      <c r="W3163" s="348" t="str">
        <f t="shared" si="406"/>
        <v/>
      </c>
      <c r="X3163" s="348" t="str">
        <f t="shared" si="407"/>
        <v/>
      </c>
    </row>
    <row r="3164" spans="1:24" x14ac:dyDescent="0.2">
      <c r="A3164" s="407">
        <v>3156</v>
      </c>
      <c r="B3164" s="438"/>
      <c r="C3164" s="438"/>
      <c r="D3164" s="438"/>
      <c r="E3164" s="438"/>
      <c r="F3164" s="438"/>
      <c r="G3164" s="438"/>
      <c r="H3164" s="438"/>
      <c r="I3164" s="438"/>
      <c r="J3164" s="11"/>
      <c r="Q3164" s="348" t="str">
        <f t="shared" si="400"/>
        <v/>
      </c>
      <c r="R3164" s="348" t="str">
        <f t="shared" si="401"/>
        <v/>
      </c>
      <c r="S3164" s="348" t="str">
        <f t="shared" si="402"/>
        <v/>
      </c>
      <c r="T3164" s="348" t="str">
        <f t="shared" si="403"/>
        <v/>
      </c>
      <c r="U3164" s="348" t="str">
        <f t="shared" si="404"/>
        <v/>
      </c>
      <c r="V3164" s="348" t="str">
        <f t="shared" si="405"/>
        <v/>
      </c>
      <c r="W3164" s="348" t="str">
        <f t="shared" si="406"/>
        <v/>
      </c>
      <c r="X3164" s="348" t="str">
        <f t="shared" si="407"/>
        <v/>
      </c>
    </row>
    <row r="3165" spans="1:24" x14ac:dyDescent="0.2">
      <c r="A3165" s="407">
        <v>3157</v>
      </c>
      <c r="B3165" s="438"/>
      <c r="C3165" s="438"/>
      <c r="D3165" s="438"/>
      <c r="E3165" s="438"/>
      <c r="F3165" s="438"/>
      <c r="G3165" s="438"/>
      <c r="H3165" s="438"/>
      <c r="I3165" s="438"/>
      <c r="J3165" s="11"/>
      <c r="Q3165" s="348" t="str">
        <f t="shared" si="400"/>
        <v/>
      </c>
      <c r="R3165" s="348" t="str">
        <f t="shared" si="401"/>
        <v/>
      </c>
      <c r="S3165" s="348" t="str">
        <f t="shared" si="402"/>
        <v/>
      </c>
      <c r="T3165" s="348" t="str">
        <f t="shared" si="403"/>
        <v/>
      </c>
      <c r="U3165" s="348" t="str">
        <f t="shared" si="404"/>
        <v/>
      </c>
      <c r="V3165" s="348" t="str">
        <f t="shared" si="405"/>
        <v/>
      </c>
      <c r="W3165" s="348" t="str">
        <f t="shared" si="406"/>
        <v/>
      </c>
      <c r="X3165" s="348" t="str">
        <f t="shared" si="407"/>
        <v/>
      </c>
    </row>
    <row r="3166" spans="1:24" x14ac:dyDescent="0.2">
      <c r="A3166" s="407">
        <v>3158</v>
      </c>
      <c r="B3166" s="438"/>
      <c r="C3166" s="438"/>
      <c r="D3166" s="438"/>
      <c r="E3166" s="438"/>
      <c r="F3166" s="438"/>
      <c r="G3166" s="438"/>
      <c r="H3166" s="438"/>
      <c r="I3166" s="438"/>
      <c r="J3166" s="11"/>
      <c r="Q3166" s="348" t="str">
        <f t="shared" si="400"/>
        <v/>
      </c>
      <c r="R3166" s="348" t="str">
        <f t="shared" si="401"/>
        <v/>
      </c>
      <c r="S3166" s="348" t="str">
        <f t="shared" si="402"/>
        <v/>
      </c>
      <c r="T3166" s="348" t="str">
        <f t="shared" si="403"/>
        <v/>
      </c>
      <c r="U3166" s="348" t="str">
        <f t="shared" si="404"/>
        <v/>
      </c>
      <c r="V3166" s="348" t="str">
        <f t="shared" si="405"/>
        <v/>
      </c>
      <c r="W3166" s="348" t="str">
        <f t="shared" si="406"/>
        <v/>
      </c>
      <c r="X3166" s="348" t="str">
        <f t="shared" si="407"/>
        <v/>
      </c>
    </row>
    <row r="3167" spans="1:24" x14ac:dyDescent="0.2">
      <c r="A3167" s="407">
        <v>3159</v>
      </c>
      <c r="B3167" s="437"/>
      <c r="C3167" s="438"/>
      <c r="D3167" s="438"/>
      <c r="E3167" s="438"/>
      <c r="F3167" s="438"/>
      <c r="G3167" s="438"/>
      <c r="H3167" s="438"/>
      <c r="I3167" s="438"/>
      <c r="J3167" s="11"/>
      <c r="Q3167" s="348" t="str">
        <f t="shared" si="400"/>
        <v/>
      </c>
      <c r="R3167" s="348" t="str">
        <f t="shared" si="401"/>
        <v/>
      </c>
      <c r="S3167" s="348" t="str">
        <f t="shared" si="402"/>
        <v/>
      </c>
      <c r="T3167" s="348" t="str">
        <f t="shared" si="403"/>
        <v/>
      </c>
      <c r="U3167" s="348" t="str">
        <f t="shared" si="404"/>
        <v/>
      </c>
      <c r="V3167" s="348" t="str">
        <f t="shared" si="405"/>
        <v/>
      </c>
      <c r="W3167" s="348" t="str">
        <f t="shared" si="406"/>
        <v/>
      </c>
      <c r="X3167" s="348" t="str">
        <f t="shared" si="407"/>
        <v/>
      </c>
    </row>
    <row r="3168" spans="1:24" x14ac:dyDescent="0.2">
      <c r="A3168" s="407">
        <v>3160</v>
      </c>
      <c r="B3168" s="438"/>
      <c r="C3168" s="438"/>
      <c r="D3168" s="438"/>
      <c r="E3168" s="438"/>
      <c r="F3168" s="438"/>
      <c r="G3168" s="438"/>
      <c r="H3168" s="438"/>
      <c r="I3168" s="438"/>
      <c r="J3168" s="11"/>
      <c r="Q3168" s="348" t="str">
        <f t="shared" si="400"/>
        <v/>
      </c>
      <c r="R3168" s="348" t="str">
        <f t="shared" si="401"/>
        <v/>
      </c>
      <c r="S3168" s="348" t="str">
        <f t="shared" si="402"/>
        <v/>
      </c>
      <c r="T3168" s="348" t="str">
        <f t="shared" si="403"/>
        <v/>
      </c>
      <c r="U3168" s="348" t="str">
        <f t="shared" si="404"/>
        <v/>
      </c>
      <c r="V3168" s="348" t="str">
        <f t="shared" si="405"/>
        <v/>
      </c>
      <c r="W3168" s="348" t="str">
        <f t="shared" si="406"/>
        <v/>
      </c>
      <c r="X3168" s="348" t="str">
        <f t="shared" si="407"/>
        <v/>
      </c>
    </row>
    <row r="3169" spans="1:24" x14ac:dyDescent="0.2">
      <c r="A3169" s="407">
        <v>3161</v>
      </c>
      <c r="B3169" s="438"/>
      <c r="C3169" s="438"/>
      <c r="D3169" s="438"/>
      <c r="E3169" s="438"/>
      <c r="F3169" s="438"/>
      <c r="G3169" s="438"/>
      <c r="H3169" s="438"/>
      <c r="I3169" s="438"/>
      <c r="J3169" s="11"/>
      <c r="Q3169" s="348" t="str">
        <f t="shared" si="400"/>
        <v/>
      </c>
      <c r="R3169" s="348" t="str">
        <f t="shared" si="401"/>
        <v/>
      </c>
      <c r="S3169" s="348" t="str">
        <f t="shared" si="402"/>
        <v/>
      </c>
      <c r="T3169" s="348" t="str">
        <f t="shared" si="403"/>
        <v/>
      </c>
      <c r="U3169" s="348" t="str">
        <f t="shared" si="404"/>
        <v/>
      </c>
      <c r="V3169" s="348" t="str">
        <f t="shared" si="405"/>
        <v/>
      </c>
      <c r="W3169" s="348" t="str">
        <f t="shared" si="406"/>
        <v/>
      </c>
      <c r="X3169" s="348" t="str">
        <f t="shared" si="407"/>
        <v/>
      </c>
    </row>
    <row r="3170" spans="1:24" x14ac:dyDescent="0.2">
      <c r="A3170" s="407">
        <v>3162</v>
      </c>
      <c r="B3170" s="438"/>
      <c r="C3170" s="438"/>
      <c r="D3170" s="438"/>
      <c r="E3170" s="438"/>
      <c r="F3170" s="438"/>
      <c r="G3170" s="437"/>
      <c r="H3170" s="438"/>
      <c r="I3170" s="438"/>
      <c r="J3170" s="11"/>
      <c r="Q3170" s="348" t="str">
        <f t="shared" si="400"/>
        <v/>
      </c>
      <c r="R3170" s="348" t="str">
        <f t="shared" si="401"/>
        <v/>
      </c>
      <c r="S3170" s="348" t="str">
        <f t="shared" si="402"/>
        <v/>
      </c>
      <c r="T3170" s="348" t="str">
        <f t="shared" si="403"/>
        <v/>
      </c>
      <c r="U3170" s="348" t="str">
        <f t="shared" si="404"/>
        <v/>
      </c>
      <c r="V3170" s="348" t="str">
        <f t="shared" si="405"/>
        <v/>
      </c>
      <c r="W3170" s="348" t="str">
        <f t="shared" si="406"/>
        <v/>
      </c>
      <c r="X3170" s="348" t="str">
        <f t="shared" si="407"/>
        <v/>
      </c>
    </row>
    <row r="3171" spans="1:24" x14ac:dyDescent="0.2">
      <c r="A3171" s="407">
        <v>3163</v>
      </c>
      <c r="B3171" s="438"/>
      <c r="C3171" s="438"/>
      <c r="D3171" s="438"/>
      <c r="E3171" s="438"/>
      <c r="F3171" s="438"/>
      <c r="G3171" s="438"/>
      <c r="H3171" s="438"/>
      <c r="I3171" s="438"/>
      <c r="J3171" s="11"/>
      <c r="Q3171" s="348" t="str">
        <f t="shared" si="400"/>
        <v/>
      </c>
      <c r="R3171" s="348" t="str">
        <f t="shared" si="401"/>
        <v/>
      </c>
      <c r="S3171" s="348" t="str">
        <f t="shared" si="402"/>
        <v/>
      </c>
      <c r="T3171" s="348" t="str">
        <f t="shared" si="403"/>
        <v/>
      </c>
      <c r="U3171" s="348" t="str">
        <f t="shared" si="404"/>
        <v/>
      </c>
      <c r="V3171" s="348" t="str">
        <f t="shared" si="405"/>
        <v/>
      </c>
      <c r="W3171" s="348" t="str">
        <f t="shared" si="406"/>
        <v/>
      </c>
      <c r="X3171" s="348" t="str">
        <f t="shared" si="407"/>
        <v/>
      </c>
    </row>
    <row r="3172" spans="1:24" x14ac:dyDescent="0.2">
      <c r="A3172" s="407">
        <v>3164</v>
      </c>
      <c r="B3172" s="438"/>
      <c r="C3172" s="437"/>
      <c r="D3172" s="438"/>
      <c r="E3172" s="438"/>
      <c r="F3172" s="437"/>
      <c r="G3172" s="438"/>
      <c r="H3172" s="437"/>
      <c r="I3172" s="438"/>
      <c r="J3172" s="11"/>
      <c r="Q3172" s="348" t="str">
        <f t="shared" si="400"/>
        <v/>
      </c>
      <c r="R3172" s="348" t="str">
        <f t="shared" si="401"/>
        <v/>
      </c>
      <c r="S3172" s="348" t="str">
        <f t="shared" si="402"/>
        <v/>
      </c>
      <c r="T3172" s="348" t="str">
        <f t="shared" si="403"/>
        <v/>
      </c>
      <c r="U3172" s="348" t="str">
        <f t="shared" si="404"/>
        <v/>
      </c>
      <c r="V3172" s="348" t="str">
        <f t="shared" si="405"/>
        <v/>
      </c>
      <c r="W3172" s="348" t="str">
        <f t="shared" si="406"/>
        <v/>
      </c>
      <c r="X3172" s="348" t="str">
        <f t="shared" si="407"/>
        <v/>
      </c>
    </row>
    <row r="3173" spans="1:24" x14ac:dyDescent="0.2">
      <c r="A3173" s="407">
        <v>3165</v>
      </c>
      <c r="B3173" s="438"/>
      <c r="C3173" s="438"/>
      <c r="D3173" s="438"/>
      <c r="E3173" s="438"/>
      <c r="F3173" s="438"/>
      <c r="G3173" s="438"/>
      <c r="H3173" s="438"/>
      <c r="I3173" s="437"/>
      <c r="J3173" s="11"/>
      <c r="Q3173" s="348" t="str">
        <f t="shared" si="400"/>
        <v/>
      </c>
      <c r="R3173" s="348" t="str">
        <f t="shared" si="401"/>
        <v/>
      </c>
      <c r="S3173" s="348" t="str">
        <f t="shared" si="402"/>
        <v/>
      </c>
      <c r="T3173" s="348" t="str">
        <f t="shared" si="403"/>
        <v/>
      </c>
      <c r="U3173" s="348" t="str">
        <f t="shared" si="404"/>
        <v/>
      </c>
      <c r="V3173" s="348" t="str">
        <f t="shared" si="405"/>
        <v/>
      </c>
      <c r="W3173" s="348" t="str">
        <f t="shared" si="406"/>
        <v/>
      </c>
      <c r="X3173" s="348" t="str">
        <f t="shared" si="407"/>
        <v/>
      </c>
    </row>
    <row r="3174" spans="1:24" x14ac:dyDescent="0.2">
      <c r="A3174" s="407">
        <v>3166</v>
      </c>
      <c r="B3174" s="438"/>
      <c r="C3174" s="438"/>
      <c r="D3174" s="438"/>
      <c r="E3174" s="438"/>
      <c r="F3174" s="438"/>
      <c r="G3174" s="438"/>
      <c r="H3174" s="438"/>
      <c r="I3174" s="438"/>
      <c r="J3174" s="11"/>
      <c r="Q3174" s="348" t="str">
        <f t="shared" si="400"/>
        <v/>
      </c>
      <c r="R3174" s="348" t="str">
        <f t="shared" si="401"/>
        <v/>
      </c>
      <c r="S3174" s="348" t="str">
        <f t="shared" si="402"/>
        <v/>
      </c>
      <c r="T3174" s="348" t="str">
        <f t="shared" si="403"/>
        <v/>
      </c>
      <c r="U3174" s="348" t="str">
        <f t="shared" si="404"/>
        <v/>
      </c>
      <c r="V3174" s="348" t="str">
        <f t="shared" si="405"/>
        <v/>
      </c>
      <c r="W3174" s="348" t="str">
        <f t="shared" si="406"/>
        <v/>
      </c>
      <c r="X3174" s="348" t="str">
        <f t="shared" si="407"/>
        <v/>
      </c>
    </row>
    <row r="3175" spans="1:24" x14ac:dyDescent="0.2">
      <c r="A3175" s="407">
        <v>3167</v>
      </c>
      <c r="B3175" s="438"/>
      <c r="C3175" s="438"/>
      <c r="D3175" s="438"/>
      <c r="E3175" s="438"/>
      <c r="F3175" s="438"/>
      <c r="G3175" s="438"/>
      <c r="H3175" s="438"/>
      <c r="I3175" s="438"/>
      <c r="J3175" s="11"/>
      <c r="Q3175" s="348" t="str">
        <f t="shared" si="400"/>
        <v/>
      </c>
      <c r="R3175" s="348" t="str">
        <f t="shared" si="401"/>
        <v/>
      </c>
      <c r="S3175" s="348" t="str">
        <f t="shared" si="402"/>
        <v/>
      </c>
      <c r="T3175" s="348" t="str">
        <f t="shared" si="403"/>
        <v/>
      </c>
      <c r="U3175" s="348" t="str">
        <f t="shared" si="404"/>
        <v/>
      </c>
      <c r="V3175" s="348" t="str">
        <f t="shared" si="405"/>
        <v/>
      </c>
      <c r="W3175" s="348" t="str">
        <f t="shared" si="406"/>
        <v/>
      </c>
      <c r="X3175" s="348" t="str">
        <f t="shared" si="407"/>
        <v/>
      </c>
    </row>
    <row r="3176" spans="1:24" x14ac:dyDescent="0.2">
      <c r="A3176" s="407">
        <v>3168</v>
      </c>
      <c r="B3176" s="438"/>
      <c r="C3176" s="438"/>
      <c r="D3176" s="438"/>
      <c r="E3176" s="438"/>
      <c r="F3176" s="438"/>
      <c r="G3176" s="438"/>
      <c r="H3176" s="438"/>
      <c r="I3176" s="438"/>
      <c r="J3176" s="11"/>
      <c r="Q3176" s="348" t="str">
        <f t="shared" si="400"/>
        <v/>
      </c>
      <c r="R3176" s="348" t="str">
        <f t="shared" si="401"/>
        <v/>
      </c>
      <c r="S3176" s="348" t="str">
        <f t="shared" si="402"/>
        <v/>
      </c>
      <c r="T3176" s="348" t="str">
        <f t="shared" si="403"/>
        <v/>
      </c>
      <c r="U3176" s="348" t="str">
        <f t="shared" si="404"/>
        <v/>
      </c>
      <c r="V3176" s="348" t="str">
        <f t="shared" si="405"/>
        <v/>
      </c>
      <c r="W3176" s="348" t="str">
        <f t="shared" si="406"/>
        <v/>
      </c>
      <c r="X3176" s="348" t="str">
        <f t="shared" si="407"/>
        <v/>
      </c>
    </row>
    <row r="3177" spans="1:24" x14ac:dyDescent="0.2">
      <c r="A3177" s="407">
        <v>3169</v>
      </c>
      <c r="B3177" s="438"/>
      <c r="C3177" s="438"/>
      <c r="D3177" s="438"/>
      <c r="E3177" s="437"/>
      <c r="F3177" s="438"/>
      <c r="G3177" s="438"/>
      <c r="H3177" s="438"/>
      <c r="I3177" s="438"/>
      <c r="J3177" s="11"/>
      <c r="Q3177" s="348" t="str">
        <f t="shared" si="400"/>
        <v/>
      </c>
      <c r="R3177" s="348" t="str">
        <f t="shared" si="401"/>
        <v/>
      </c>
      <c r="S3177" s="348" t="str">
        <f t="shared" si="402"/>
        <v/>
      </c>
      <c r="T3177" s="348" t="str">
        <f t="shared" si="403"/>
        <v/>
      </c>
      <c r="U3177" s="348" t="str">
        <f t="shared" si="404"/>
        <v/>
      </c>
      <c r="V3177" s="348" t="str">
        <f t="shared" si="405"/>
        <v/>
      </c>
      <c r="W3177" s="348" t="str">
        <f t="shared" si="406"/>
        <v/>
      </c>
      <c r="X3177" s="348" t="str">
        <f t="shared" si="407"/>
        <v/>
      </c>
    </row>
    <row r="3178" spans="1:24" x14ac:dyDescent="0.2">
      <c r="A3178" s="407">
        <v>3170</v>
      </c>
      <c r="B3178" s="438"/>
      <c r="C3178" s="438"/>
      <c r="D3178" s="438"/>
      <c r="E3178" s="438"/>
      <c r="F3178" s="438"/>
      <c r="G3178" s="438"/>
      <c r="H3178" s="438"/>
      <c r="I3178" s="438"/>
      <c r="J3178" s="11"/>
      <c r="Q3178" s="348" t="str">
        <f t="shared" si="400"/>
        <v/>
      </c>
      <c r="R3178" s="348" t="str">
        <f t="shared" si="401"/>
        <v/>
      </c>
      <c r="S3178" s="348" t="str">
        <f t="shared" si="402"/>
        <v/>
      </c>
      <c r="T3178" s="348" t="str">
        <f t="shared" si="403"/>
        <v/>
      </c>
      <c r="U3178" s="348" t="str">
        <f t="shared" si="404"/>
        <v/>
      </c>
      <c r="V3178" s="348" t="str">
        <f t="shared" si="405"/>
        <v/>
      </c>
      <c r="W3178" s="348" t="str">
        <f t="shared" si="406"/>
        <v/>
      </c>
      <c r="X3178" s="348" t="str">
        <f t="shared" si="407"/>
        <v/>
      </c>
    </row>
    <row r="3179" spans="1:24" x14ac:dyDescent="0.2">
      <c r="A3179" s="407">
        <v>3171</v>
      </c>
      <c r="B3179" s="438"/>
      <c r="C3179" s="438"/>
      <c r="D3179" s="438"/>
      <c r="E3179" s="438"/>
      <c r="F3179" s="438"/>
      <c r="G3179" s="438"/>
      <c r="H3179" s="438"/>
      <c r="I3179" s="438"/>
      <c r="J3179" s="11"/>
      <c r="Q3179" s="348" t="str">
        <f t="shared" si="400"/>
        <v/>
      </c>
      <c r="R3179" s="348" t="str">
        <f t="shared" si="401"/>
        <v/>
      </c>
      <c r="S3179" s="348" t="str">
        <f t="shared" si="402"/>
        <v/>
      </c>
      <c r="T3179" s="348" t="str">
        <f t="shared" si="403"/>
        <v/>
      </c>
      <c r="U3179" s="348" t="str">
        <f t="shared" si="404"/>
        <v/>
      </c>
      <c r="V3179" s="348" t="str">
        <f t="shared" si="405"/>
        <v/>
      </c>
      <c r="W3179" s="348" t="str">
        <f t="shared" si="406"/>
        <v/>
      </c>
      <c r="X3179" s="348" t="str">
        <f t="shared" si="407"/>
        <v/>
      </c>
    </row>
    <row r="3180" spans="1:24" x14ac:dyDescent="0.2">
      <c r="A3180" s="407">
        <v>3172</v>
      </c>
      <c r="B3180" s="438"/>
      <c r="C3180" s="438"/>
      <c r="D3180" s="438"/>
      <c r="E3180" s="438"/>
      <c r="F3180" s="438"/>
      <c r="G3180" s="438"/>
      <c r="H3180" s="438"/>
      <c r="I3180" s="438"/>
      <c r="J3180" s="11"/>
      <c r="Q3180" s="348" t="str">
        <f t="shared" si="400"/>
        <v/>
      </c>
      <c r="R3180" s="348" t="str">
        <f t="shared" si="401"/>
        <v/>
      </c>
      <c r="S3180" s="348" t="str">
        <f t="shared" si="402"/>
        <v/>
      </c>
      <c r="T3180" s="348" t="str">
        <f t="shared" si="403"/>
        <v/>
      </c>
      <c r="U3180" s="348" t="str">
        <f t="shared" si="404"/>
        <v/>
      </c>
      <c r="V3180" s="348" t="str">
        <f t="shared" si="405"/>
        <v/>
      </c>
      <c r="W3180" s="348" t="str">
        <f t="shared" si="406"/>
        <v/>
      </c>
      <c r="X3180" s="348" t="str">
        <f t="shared" si="407"/>
        <v/>
      </c>
    </row>
    <row r="3181" spans="1:24" x14ac:dyDescent="0.2">
      <c r="A3181" s="407">
        <v>3173</v>
      </c>
      <c r="B3181" s="438"/>
      <c r="C3181" s="438"/>
      <c r="D3181" s="438"/>
      <c r="E3181" s="438"/>
      <c r="F3181" s="438"/>
      <c r="G3181" s="438"/>
      <c r="H3181" s="438"/>
      <c r="I3181" s="438"/>
      <c r="J3181" s="11"/>
      <c r="Q3181" s="348" t="str">
        <f t="shared" si="400"/>
        <v/>
      </c>
      <c r="R3181" s="348" t="str">
        <f t="shared" si="401"/>
        <v/>
      </c>
      <c r="S3181" s="348" t="str">
        <f t="shared" si="402"/>
        <v/>
      </c>
      <c r="T3181" s="348" t="str">
        <f t="shared" si="403"/>
        <v/>
      </c>
      <c r="U3181" s="348" t="str">
        <f t="shared" si="404"/>
        <v/>
      </c>
      <c r="V3181" s="348" t="str">
        <f t="shared" si="405"/>
        <v/>
      </c>
      <c r="W3181" s="348" t="str">
        <f t="shared" si="406"/>
        <v/>
      </c>
      <c r="X3181" s="348" t="str">
        <f t="shared" si="407"/>
        <v/>
      </c>
    </row>
    <row r="3182" spans="1:24" x14ac:dyDescent="0.2">
      <c r="A3182" s="407">
        <v>3174</v>
      </c>
      <c r="B3182" s="438"/>
      <c r="C3182" s="438"/>
      <c r="D3182" s="437"/>
      <c r="E3182" s="438"/>
      <c r="F3182" s="438"/>
      <c r="G3182" s="438"/>
      <c r="H3182" s="438"/>
      <c r="I3182" s="438"/>
      <c r="J3182" s="11"/>
      <c r="Q3182" s="348" t="str">
        <f t="shared" si="400"/>
        <v/>
      </c>
      <c r="R3182" s="348" t="str">
        <f t="shared" si="401"/>
        <v/>
      </c>
      <c r="S3182" s="348" t="str">
        <f t="shared" si="402"/>
        <v/>
      </c>
      <c r="T3182" s="348" t="str">
        <f t="shared" si="403"/>
        <v/>
      </c>
      <c r="U3182" s="348" t="str">
        <f t="shared" si="404"/>
        <v/>
      </c>
      <c r="V3182" s="348" t="str">
        <f t="shared" si="405"/>
        <v/>
      </c>
      <c r="W3182" s="348" t="str">
        <f t="shared" si="406"/>
        <v/>
      </c>
      <c r="X3182" s="348" t="str">
        <f t="shared" si="407"/>
        <v/>
      </c>
    </row>
    <row r="3183" spans="1:24" x14ac:dyDescent="0.2">
      <c r="A3183" s="407">
        <v>3175</v>
      </c>
      <c r="B3183" s="438"/>
      <c r="C3183" s="438"/>
      <c r="D3183" s="438"/>
      <c r="E3183" s="438"/>
      <c r="F3183" s="438"/>
      <c r="G3183" s="438"/>
      <c r="H3183" s="438"/>
      <c r="I3183" s="438"/>
      <c r="J3183" s="11"/>
      <c r="Q3183" s="348" t="str">
        <f t="shared" si="400"/>
        <v/>
      </c>
      <c r="R3183" s="348" t="str">
        <f t="shared" si="401"/>
        <v/>
      </c>
      <c r="S3183" s="348" t="str">
        <f t="shared" si="402"/>
        <v/>
      </c>
      <c r="T3183" s="348" t="str">
        <f t="shared" si="403"/>
        <v/>
      </c>
      <c r="U3183" s="348" t="str">
        <f t="shared" si="404"/>
        <v/>
      </c>
      <c r="V3183" s="348" t="str">
        <f t="shared" si="405"/>
        <v/>
      </c>
      <c r="W3183" s="348" t="str">
        <f t="shared" si="406"/>
        <v/>
      </c>
      <c r="X3183" s="348" t="str">
        <f t="shared" si="407"/>
        <v/>
      </c>
    </row>
    <row r="3184" spans="1:24" x14ac:dyDescent="0.2">
      <c r="A3184" s="407">
        <v>3176</v>
      </c>
      <c r="B3184" s="438"/>
      <c r="C3184" s="438"/>
      <c r="D3184" s="438"/>
      <c r="E3184" s="438"/>
      <c r="F3184" s="438"/>
      <c r="G3184" s="438"/>
      <c r="H3184" s="438"/>
      <c r="I3184" s="438"/>
      <c r="J3184" s="11"/>
      <c r="Q3184" s="348" t="str">
        <f t="shared" si="400"/>
        <v/>
      </c>
      <c r="R3184" s="348" t="str">
        <f t="shared" si="401"/>
        <v/>
      </c>
      <c r="S3184" s="348" t="str">
        <f t="shared" si="402"/>
        <v/>
      </c>
      <c r="T3184" s="348" t="str">
        <f t="shared" si="403"/>
        <v/>
      </c>
      <c r="U3184" s="348" t="str">
        <f t="shared" si="404"/>
        <v/>
      </c>
      <c r="V3184" s="348" t="str">
        <f t="shared" si="405"/>
        <v/>
      </c>
      <c r="W3184" s="348" t="str">
        <f t="shared" si="406"/>
        <v/>
      </c>
      <c r="X3184" s="348" t="str">
        <f t="shared" si="407"/>
        <v/>
      </c>
    </row>
    <row r="3185" spans="1:24" x14ac:dyDescent="0.2">
      <c r="A3185" s="407">
        <v>3177</v>
      </c>
      <c r="B3185" s="438"/>
      <c r="C3185" s="438"/>
      <c r="D3185" s="438"/>
      <c r="E3185" s="438"/>
      <c r="F3185" s="438"/>
      <c r="G3185" s="438"/>
      <c r="H3185" s="438"/>
      <c r="I3185" s="438"/>
      <c r="J3185" s="11"/>
      <c r="Q3185" s="348" t="str">
        <f t="shared" si="400"/>
        <v/>
      </c>
      <c r="R3185" s="348" t="str">
        <f t="shared" si="401"/>
        <v/>
      </c>
      <c r="S3185" s="348" t="str">
        <f t="shared" si="402"/>
        <v/>
      </c>
      <c r="T3185" s="348" t="str">
        <f t="shared" si="403"/>
        <v/>
      </c>
      <c r="U3185" s="348" t="str">
        <f t="shared" si="404"/>
        <v/>
      </c>
      <c r="V3185" s="348" t="str">
        <f t="shared" si="405"/>
        <v/>
      </c>
      <c r="W3185" s="348" t="str">
        <f t="shared" si="406"/>
        <v/>
      </c>
      <c r="X3185" s="348" t="str">
        <f t="shared" si="407"/>
        <v/>
      </c>
    </row>
    <row r="3186" spans="1:24" x14ac:dyDescent="0.2">
      <c r="A3186" s="407">
        <v>3178</v>
      </c>
      <c r="B3186" s="437"/>
      <c r="C3186" s="438"/>
      <c r="D3186" s="438"/>
      <c r="E3186" s="438"/>
      <c r="F3186" s="438"/>
      <c r="G3186" s="438"/>
      <c r="H3186" s="438"/>
      <c r="I3186" s="438"/>
      <c r="J3186" s="11"/>
      <c r="Q3186" s="348" t="str">
        <f t="shared" si="400"/>
        <v/>
      </c>
      <c r="R3186" s="348" t="str">
        <f t="shared" si="401"/>
        <v/>
      </c>
      <c r="S3186" s="348" t="str">
        <f t="shared" si="402"/>
        <v/>
      </c>
      <c r="T3186" s="348" t="str">
        <f t="shared" si="403"/>
        <v/>
      </c>
      <c r="U3186" s="348" t="str">
        <f t="shared" si="404"/>
        <v/>
      </c>
      <c r="V3186" s="348" t="str">
        <f t="shared" si="405"/>
        <v/>
      </c>
      <c r="W3186" s="348" t="str">
        <f t="shared" si="406"/>
        <v/>
      </c>
      <c r="X3186" s="348" t="str">
        <f t="shared" si="407"/>
        <v/>
      </c>
    </row>
    <row r="3187" spans="1:24" x14ac:dyDescent="0.2">
      <c r="A3187" s="407">
        <v>3179</v>
      </c>
      <c r="B3187" s="438"/>
      <c r="C3187" s="438"/>
      <c r="D3187" s="438"/>
      <c r="E3187" s="438"/>
      <c r="F3187" s="438"/>
      <c r="G3187" s="438"/>
      <c r="H3187" s="438"/>
      <c r="I3187" s="438"/>
      <c r="J3187" s="11"/>
      <c r="Q3187" s="348" t="str">
        <f t="shared" si="400"/>
        <v/>
      </c>
      <c r="R3187" s="348" t="str">
        <f t="shared" si="401"/>
        <v/>
      </c>
      <c r="S3187" s="348" t="str">
        <f t="shared" si="402"/>
        <v/>
      </c>
      <c r="T3187" s="348" t="str">
        <f t="shared" si="403"/>
        <v/>
      </c>
      <c r="U3187" s="348" t="str">
        <f t="shared" si="404"/>
        <v/>
      </c>
      <c r="V3187" s="348" t="str">
        <f t="shared" si="405"/>
        <v/>
      </c>
      <c r="W3187" s="348" t="str">
        <f t="shared" si="406"/>
        <v/>
      </c>
      <c r="X3187" s="348" t="str">
        <f t="shared" si="407"/>
        <v/>
      </c>
    </row>
    <row r="3188" spans="1:24" x14ac:dyDescent="0.2">
      <c r="A3188" s="407">
        <v>3180</v>
      </c>
      <c r="B3188" s="438"/>
      <c r="C3188" s="438"/>
      <c r="D3188" s="438"/>
      <c r="E3188" s="438"/>
      <c r="F3188" s="438"/>
      <c r="G3188" s="438"/>
      <c r="H3188" s="438"/>
      <c r="I3188" s="438"/>
      <c r="J3188" s="11"/>
      <c r="Q3188" s="348" t="str">
        <f t="shared" si="400"/>
        <v/>
      </c>
      <c r="R3188" s="348" t="str">
        <f t="shared" si="401"/>
        <v/>
      </c>
      <c r="S3188" s="348" t="str">
        <f t="shared" si="402"/>
        <v/>
      </c>
      <c r="T3188" s="348" t="str">
        <f t="shared" si="403"/>
        <v/>
      </c>
      <c r="U3188" s="348" t="str">
        <f t="shared" si="404"/>
        <v/>
      </c>
      <c r="V3188" s="348" t="str">
        <f t="shared" si="405"/>
        <v/>
      </c>
      <c r="W3188" s="348" t="str">
        <f t="shared" si="406"/>
        <v/>
      </c>
      <c r="X3188" s="348" t="str">
        <f t="shared" si="407"/>
        <v/>
      </c>
    </row>
    <row r="3189" spans="1:24" x14ac:dyDescent="0.2">
      <c r="A3189" s="407">
        <v>3181</v>
      </c>
      <c r="B3189" s="438"/>
      <c r="C3189" s="438"/>
      <c r="D3189" s="438"/>
      <c r="E3189" s="438"/>
      <c r="F3189" s="438"/>
      <c r="G3189" s="438"/>
      <c r="H3189" s="438"/>
      <c r="I3189" s="438"/>
      <c r="J3189" s="11"/>
      <c r="Q3189" s="348" t="str">
        <f t="shared" si="400"/>
        <v/>
      </c>
      <c r="R3189" s="348" t="str">
        <f t="shared" si="401"/>
        <v/>
      </c>
      <c r="S3189" s="348" t="str">
        <f t="shared" si="402"/>
        <v/>
      </c>
      <c r="T3189" s="348" t="str">
        <f t="shared" si="403"/>
        <v/>
      </c>
      <c r="U3189" s="348" t="str">
        <f t="shared" si="404"/>
        <v/>
      </c>
      <c r="V3189" s="348" t="str">
        <f t="shared" si="405"/>
        <v/>
      </c>
      <c r="W3189" s="348" t="str">
        <f t="shared" si="406"/>
        <v/>
      </c>
      <c r="X3189" s="348" t="str">
        <f t="shared" si="407"/>
        <v/>
      </c>
    </row>
    <row r="3190" spans="1:24" x14ac:dyDescent="0.2">
      <c r="A3190" s="407">
        <v>3182</v>
      </c>
      <c r="B3190" s="438"/>
      <c r="C3190" s="438"/>
      <c r="D3190" s="438"/>
      <c r="E3190" s="438"/>
      <c r="F3190" s="438"/>
      <c r="G3190" s="438"/>
      <c r="H3190" s="438"/>
      <c r="I3190" s="438"/>
      <c r="J3190" s="11"/>
      <c r="Q3190" s="348" t="str">
        <f t="shared" si="400"/>
        <v/>
      </c>
      <c r="R3190" s="348" t="str">
        <f t="shared" si="401"/>
        <v/>
      </c>
      <c r="S3190" s="348" t="str">
        <f t="shared" si="402"/>
        <v/>
      </c>
      <c r="T3190" s="348" t="str">
        <f t="shared" si="403"/>
        <v/>
      </c>
      <c r="U3190" s="348" t="str">
        <f t="shared" si="404"/>
        <v/>
      </c>
      <c r="V3190" s="348" t="str">
        <f t="shared" si="405"/>
        <v/>
      </c>
      <c r="W3190" s="348" t="str">
        <f t="shared" si="406"/>
        <v/>
      </c>
      <c r="X3190" s="348" t="str">
        <f t="shared" si="407"/>
        <v/>
      </c>
    </row>
    <row r="3191" spans="1:24" x14ac:dyDescent="0.2">
      <c r="A3191" s="407">
        <v>3183</v>
      </c>
      <c r="B3191" s="438"/>
      <c r="C3191" s="438"/>
      <c r="D3191" s="438"/>
      <c r="E3191" s="438"/>
      <c r="F3191" s="438"/>
      <c r="G3191" s="438"/>
      <c r="H3191" s="438"/>
      <c r="I3191" s="438"/>
      <c r="J3191" s="11"/>
      <c r="Q3191" s="348" t="str">
        <f t="shared" si="400"/>
        <v/>
      </c>
      <c r="R3191" s="348" t="str">
        <f t="shared" si="401"/>
        <v/>
      </c>
      <c r="S3191" s="348" t="str">
        <f t="shared" si="402"/>
        <v/>
      </c>
      <c r="T3191" s="348" t="str">
        <f t="shared" si="403"/>
        <v/>
      </c>
      <c r="U3191" s="348" t="str">
        <f t="shared" si="404"/>
        <v/>
      </c>
      <c r="V3191" s="348" t="str">
        <f t="shared" si="405"/>
        <v/>
      </c>
      <c r="W3191" s="348" t="str">
        <f t="shared" si="406"/>
        <v/>
      </c>
      <c r="X3191" s="348" t="str">
        <f t="shared" si="407"/>
        <v/>
      </c>
    </row>
    <row r="3192" spans="1:24" x14ac:dyDescent="0.2">
      <c r="A3192" s="407">
        <v>3184</v>
      </c>
      <c r="B3192" s="438"/>
      <c r="C3192" s="438"/>
      <c r="D3192" s="438"/>
      <c r="E3192" s="438"/>
      <c r="F3192" s="438"/>
      <c r="G3192" s="438"/>
      <c r="H3192" s="438"/>
      <c r="I3192" s="438"/>
      <c r="J3192" s="11"/>
      <c r="Q3192" s="348" t="str">
        <f t="shared" si="400"/>
        <v/>
      </c>
      <c r="R3192" s="348" t="str">
        <f t="shared" si="401"/>
        <v/>
      </c>
      <c r="S3192" s="348" t="str">
        <f t="shared" si="402"/>
        <v/>
      </c>
      <c r="T3192" s="348" t="str">
        <f t="shared" si="403"/>
        <v/>
      </c>
      <c r="U3192" s="348" t="str">
        <f t="shared" si="404"/>
        <v/>
      </c>
      <c r="V3192" s="348" t="str">
        <f t="shared" si="405"/>
        <v/>
      </c>
      <c r="W3192" s="348" t="str">
        <f t="shared" si="406"/>
        <v/>
      </c>
      <c r="X3192" s="348" t="str">
        <f t="shared" si="407"/>
        <v/>
      </c>
    </row>
    <row r="3193" spans="1:24" x14ac:dyDescent="0.2">
      <c r="A3193" s="407">
        <v>3185</v>
      </c>
      <c r="B3193" s="438"/>
      <c r="C3193" s="438"/>
      <c r="D3193" s="438"/>
      <c r="E3193" s="438"/>
      <c r="F3193" s="438"/>
      <c r="G3193" s="438"/>
      <c r="H3193" s="438"/>
      <c r="I3193" s="438"/>
      <c r="J3193" s="11"/>
      <c r="Q3193" s="348" t="str">
        <f t="shared" si="400"/>
        <v/>
      </c>
      <c r="R3193" s="348" t="str">
        <f t="shared" si="401"/>
        <v/>
      </c>
      <c r="S3193" s="348" t="str">
        <f t="shared" si="402"/>
        <v/>
      </c>
      <c r="T3193" s="348" t="str">
        <f t="shared" si="403"/>
        <v/>
      </c>
      <c r="U3193" s="348" t="str">
        <f t="shared" si="404"/>
        <v/>
      </c>
      <c r="V3193" s="348" t="str">
        <f t="shared" si="405"/>
        <v/>
      </c>
      <c r="W3193" s="348" t="str">
        <f t="shared" si="406"/>
        <v/>
      </c>
      <c r="X3193" s="348" t="str">
        <f t="shared" si="407"/>
        <v/>
      </c>
    </row>
    <row r="3194" spans="1:24" x14ac:dyDescent="0.2">
      <c r="A3194" s="407">
        <v>3186</v>
      </c>
      <c r="B3194" s="437"/>
      <c r="C3194" s="438"/>
      <c r="D3194" s="438"/>
      <c r="E3194" s="438"/>
      <c r="F3194" s="438"/>
      <c r="G3194" s="438"/>
      <c r="H3194" s="438"/>
      <c r="I3194" s="438"/>
      <c r="J3194" s="11"/>
      <c r="Q3194" s="348" t="str">
        <f t="shared" si="400"/>
        <v/>
      </c>
      <c r="R3194" s="348" t="str">
        <f t="shared" si="401"/>
        <v/>
      </c>
      <c r="S3194" s="348" t="str">
        <f t="shared" si="402"/>
        <v/>
      </c>
      <c r="T3194" s="348" t="str">
        <f t="shared" si="403"/>
        <v/>
      </c>
      <c r="U3194" s="348" t="str">
        <f t="shared" si="404"/>
        <v/>
      </c>
      <c r="V3194" s="348" t="str">
        <f t="shared" si="405"/>
        <v/>
      </c>
      <c r="W3194" s="348" t="str">
        <f t="shared" si="406"/>
        <v/>
      </c>
      <c r="X3194" s="348" t="str">
        <f t="shared" si="407"/>
        <v/>
      </c>
    </row>
    <row r="3195" spans="1:24" x14ac:dyDescent="0.2">
      <c r="A3195" s="407">
        <v>3187</v>
      </c>
      <c r="B3195" s="438"/>
      <c r="C3195" s="438"/>
      <c r="D3195" s="438"/>
      <c r="E3195" s="438"/>
      <c r="F3195" s="438"/>
      <c r="G3195" s="438"/>
      <c r="H3195" s="438"/>
      <c r="I3195" s="438"/>
      <c r="J3195" s="11"/>
      <c r="Q3195" s="348" t="str">
        <f t="shared" si="400"/>
        <v/>
      </c>
      <c r="R3195" s="348" t="str">
        <f t="shared" si="401"/>
        <v/>
      </c>
      <c r="S3195" s="348" t="str">
        <f t="shared" si="402"/>
        <v/>
      </c>
      <c r="T3195" s="348" t="str">
        <f t="shared" si="403"/>
        <v/>
      </c>
      <c r="U3195" s="348" t="str">
        <f t="shared" si="404"/>
        <v/>
      </c>
      <c r="V3195" s="348" t="str">
        <f t="shared" si="405"/>
        <v/>
      </c>
      <c r="W3195" s="348" t="str">
        <f t="shared" si="406"/>
        <v/>
      </c>
      <c r="X3195" s="348" t="str">
        <f t="shared" si="407"/>
        <v/>
      </c>
    </row>
    <row r="3196" spans="1:24" x14ac:dyDescent="0.2">
      <c r="A3196" s="407">
        <v>3188</v>
      </c>
      <c r="B3196" s="438"/>
      <c r="C3196" s="438"/>
      <c r="D3196" s="438"/>
      <c r="E3196" s="438"/>
      <c r="F3196" s="438"/>
      <c r="G3196" s="438"/>
      <c r="H3196" s="438"/>
      <c r="I3196" s="438"/>
      <c r="J3196" s="11"/>
      <c r="Q3196" s="348" t="str">
        <f t="shared" si="400"/>
        <v/>
      </c>
      <c r="R3196" s="348" t="str">
        <f t="shared" si="401"/>
        <v/>
      </c>
      <c r="S3196" s="348" t="str">
        <f t="shared" si="402"/>
        <v/>
      </c>
      <c r="T3196" s="348" t="str">
        <f t="shared" si="403"/>
        <v/>
      </c>
      <c r="U3196" s="348" t="str">
        <f t="shared" si="404"/>
        <v/>
      </c>
      <c r="V3196" s="348" t="str">
        <f t="shared" si="405"/>
        <v/>
      </c>
      <c r="W3196" s="348" t="str">
        <f t="shared" si="406"/>
        <v/>
      </c>
      <c r="X3196" s="348" t="str">
        <f t="shared" si="407"/>
        <v/>
      </c>
    </row>
    <row r="3197" spans="1:24" x14ac:dyDescent="0.2">
      <c r="A3197" s="407">
        <v>3189</v>
      </c>
      <c r="B3197" s="438"/>
      <c r="C3197" s="438"/>
      <c r="D3197" s="438"/>
      <c r="E3197" s="438"/>
      <c r="F3197" s="438"/>
      <c r="G3197" s="438"/>
      <c r="H3197" s="438"/>
      <c r="I3197" s="438"/>
      <c r="J3197" s="11"/>
      <c r="Q3197" s="348" t="str">
        <f t="shared" si="400"/>
        <v/>
      </c>
      <c r="R3197" s="348" t="str">
        <f t="shared" si="401"/>
        <v/>
      </c>
      <c r="S3197" s="348" t="str">
        <f t="shared" si="402"/>
        <v/>
      </c>
      <c r="T3197" s="348" t="str">
        <f t="shared" si="403"/>
        <v/>
      </c>
      <c r="U3197" s="348" t="str">
        <f t="shared" si="404"/>
        <v/>
      </c>
      <c r="V3197" s="348" t="str">
        <f t="shared" si="405"/>
        <v/>
      </c>
      <c r="W3197" s="348" t="str">
        <f t="shared" si="406"/>
        <v/>
      </c>
      <c r="X3197" s="348" t="str">
        <f t="shared" si="407"/>
        <v/>
      </c>
    </row>
    <row r="3198" spans="1:24" x14ac:dyDescent="0.2">
      <c r="A3198" s="407">
        <v>3190</v>
      </c>
      <c r="B3198" s="438"/>
      <c r="C3198" s="438"/>
      <c r="D3198" s="438"/>
      <c r="E3198" s="438"/>
      <c r="F3198" s="438"/>
      <c r="G3198" s="438"/>
      <c r="H3198" s="438"/>
      <c r="I3198" s="438"/>
      <c r="J3198" s="11"/>
      <c r="Q3198" s="348" t="str">
        <f t="shared" si="400"/>
        <v/>
      </c>
      <c r="R3198" s="348" t="str">
        <f t="shared" si="401"/>
        <v/>
      </c>
      <c r="S3198" s="348" t="str">
        <f t="shared" si="402"/>
        <v/>
      </c>
      <c r="T3198" s="348" t="str">
        <f t="shared" si="403"/>
        <v/>
      </c>
      <c r="U3198" s="348" t="str">
        <f t="shared" si="404"/>
        <v/>
      </c>
      <c r="V3198" s="348" t="str">
        <f t="shared" si="405"/>
        <v/>
      </c>
      <c r="W3198" s="348" t="str">
        <f t="shared" si="406"/>
        <v/>
      </c>
      <c r="X3198" s="348" t="str">
        <f t="shared" si="407"/>
        <v/>
      </c>
    </row>
    <row r="3199" spans="1:24" x14ac:dyDescent="0.2">
      <c r="A3199" s="407">
        <v>3191</v>
      </c>
      <c r="B3199" s="438"/>
      <c r="C3199" s="438"/>
      <c r="D3199" s="438"/>
      <c r="E3199" s="438"/>
      <c r="F3199" s="438"/>
      <c r="G3199" s="438"/>
      <c r="H3199" s="438"/>
      <c r="I3199" s="438"/>
      <c r="J3199" s="11"/>
      <c r="Q3199" s="348" t="str">
        <f t="shared" si="400"/>
        <v/>
      </c>
      <c r="R3199" s="348" t="str">
        <f t="shared" si="401"/>
        <v/>
      </c>
      <c r="S3199" s="348" t="str">
        <f t="shared" si="402"/>
        <v/>
      </c>
      <c r="T3199" s="348" t="str">
        <f t="shared" si="403"/>
        <v/>
      </c>
      <c r="U3199" s="348" t="str">
        <f t="shared" si="404"/>
        <v/>
      </c>
      <c r="V3199" s="348" t="str">
        <f t="shared" si="405"/>
        <v/>
      </c>
      <c r="W3199" s="348" t="str">
        <f t="shared" si="406"/>
        <v/>
      </c>
      <c r="X3199" s="348" t="str">
        <f t="shared" si="407"/>
        <v/>
      </c>
    </row>
    <row r="3200" spans="1:24" x14ac:dyDescent="0.2">
      <c r="A3200" s="407">
        <v>3192</v>
      </c>
      <c r="B3200" s="438"/>
      <c r="C3200" s="438"/>
      <c r="D3200" s="438"/>
      <c r="E3200" s="438"/>
      <c r="F3200" s="438"/>
      <c r="G3200" s="438"/>
      <c r="H3200" s="438"/>
      <c r="I3200" s="438"/>
      <c r="J3200" s="11"/>
      <c r="Q3200" s="348" t="str">
        <f t="shared" si="400"/>
        <v/>
      </c>
      <c r="R3200" s="348" t="str">
        <f t="shared" si="401"/>
        <v/>
      </c>
      <c r="S3200" s="348" t="str">
        <f t="shared" si="402"/>
        <v/>
      </c>
      <c r="T3200" s="348" t="str">
        <f t="shared" si="403"/>
        <v/>
      </c>
      <c r="U3200" s="348" t="str">
        <f t="shared" si="404"/>
        <v/>
      </c>
      <c r="V3200" s="348" t="str">
        <f t="shared" si="405"/>
        <v/>
      </c>
      <c r="W3200" s="348" t="str">
        <f t="shared" si="406"/>
        <v/>
      </c>
      <c r="X3200" s="348" t="str">
        <f t="shared" si="407"/>
        <v/>
      </c>
    </row>
    <row r="3201" spans="1:24" x14ac:dyDescent="0.2">
      <c r="A3201" s="407">
        <v>3193</v>
      </c>
      <c r="B3201" s="438"/>
      <c r="C3201" s="437"/>
      <c r="D3201" s="438"/>
      <c r="E3201" s="438"/>
      <c r="F3201" s="438"/>
      <c r="G3201" s="438"/>
      <c r="H3201" s="438"/>
      <c r="I3201" s="438"/>
      <c r="J3201" s="11"/>
      <c r="Q3201" s="348" t="str">
        <f t="shared" si="400"/>
        <v/>
      </c>
      <c r="R3201" s="348" t="str">
        <f t="shared" si="401"/>
        <v/>
      </c>
      <c r="S3201" s="348" t="str">
        <f t="shared" si="402"/>
        <v/>
      </c>
      <c r="T3201" s="348" t="str">
        <f t="shared" si="403"/>
        <v/>
      </c>
      <c r="U3201" s="348" t="str">
        <f t="shared" si="404"/>
        <v/>
      </c>
      <c r="V3201" s="348" t="str">
        <f t="shared" si="405"/>
        <v/>
      </c>
      <c r="W3201" s="348" t="str">
        <f t="shared" si="406"/>
        <v/>
      </c>
      <c r="X3201" s="348" t="str">
        <f t="shared" si="407"/>
        <v/>
      </c>
    </row>
    <row r="3202" spans="1:24" x14ac:dyDescent="0.2">
      <c r="A3202" s="407">
        <v>3194</v>
      </c>
      <c r="B3202" s="438"/>
      <c r="C3202" s="438"/>
      <c r="D3202" s="438"/>
      <c r="E3202" s="437"/>
      <c r="F3202" s="438"/>
      <c r="G3202" s="438"/>
      <c r="H3202" s="438"/>
      <c r="I3202" s="438"/>
      <c r="J3202" s="11"/>
      <c r="Q3202" s="348" t="str">
        <f t="shared" si="400"/>
        <v/>
      </c>
      <c r="R3202" s="348" t="str">
        <f t="shared" si="401"/>
        <v/>
      </c>
      <c r="S3202" s="348" t="str">
        <f t="shared" si="402"/>
        <v/>
      </c>
      <c r="T3202" s="348" t="str">
        <f t="shared" si="403"/>
        <v/>
      </c>
      <c r="U3202" s="348" t="str">
        <f t="shared" si="404"/>
        <v/>
      </c>
      <c r="V3202" s="348" t="str">
        <f t="shared" si="405"/>
        <v/>
      </c>
      <c r="W3202" s="348" t="str">
        <f t="shared" si="406"/>
        <v/>
      </c>
      <c r="X3202" s="348" t="str">
        <f t="shared" si="407"/>
        <v/>
      </c>
    </row>
    <row r="3203" spans="1:24" x14ac:dyDescent="0.2">
      <c r="A3203" s="407">
        <v>3195</v>
      </c>
      <c r="B3203" s="438"/>
      <c r="C3203" s="438"/>
      <c r="D3203" s="438"/>
      <c r="E3203" s="438"/>
      <c r="F3203" s="438"/>
      <c r="G3203" s="438"/>
      <c r="H3203" s="438"/>
      <c r="I3203" s="438"/>
      <c r="J3203" s="11"/>
      <c r="Q3203" s="348" t="str">
        <f t="shared" si="400"/>
        <v/>
      </c>
      <c r="R3203" s="348" t="str">
        <f t="shared" si="401"/>
        <v/>
      </c>
      <c r="S3203" s="348" t="str">
        <f t="shared" si="402"/>
        <v/>
      </c>
      <c r="T3203" s="348" t="str">
        <f t="shared" si="403"/>
        <v/>
      </c>
      <c r="U3203" s="348" t="str">
        <f t="shared" si="404"/>
        <v/>
      </c>
      <c r="V3203" s="348" t="str">
        <f t="shared" si="405"/>
        <v/>
      </c>
      <c r="W3203" s="348" t="str">
        <f t="shared" si="406"/>
        <v/>
      </c>
      <c r="X3203" s="348" t="str">
        <f t="shared" si="407"/>
        <v/>
      </c>
    </row>
    <row r="3204" spans="1:24" x14ac:dyDescent="0.2">
      <c r="A3204" s="407">
        <v>3196</v>
      </c>
      <c r="B3204" s="438"/>
      <c r="C3204" s="438"/>
      <c r="D3204" s="438"/>
      <c r="E3204" s="438"/>
      <c r="F3204" s="438"/>
      <c r="G3204" s="438"/>
      <c r="H3204" s="438"/>
      <c r="I3204" s="438"/>
      <c r="J3204" s="11"/>
      <c r="Q3204" s="348" t="str">
        <f t="shared" si="400"/>
        <v/>
      </c>
      <c r="R3204" s="348" t="str">
        <f t="shared" si="401"/>
        <v/>
      </c>
      <c r="S3204" s="348" t="str">
        <f t="shared" si="402"/>
        <v/>
      </c>
      <c r="T3204" s="348" t="str">
        <f t="shared" si="403"/>
        <v/>
      </c>
      <c r="U3204" s="348" t="str">
        <f t="shared" si="404"/>
        <v/>
      </c>
      <c r="V3204" s="348" t="str">
        <f t="shared" si="405"/>
        <v/>
      </c>
      <c r="W3204" s="348" t="str">
        <f t="shared" si="406"/>
        <v/>
      </c>
      <c r="X3204" s="348" t="str">
        <f t="shared" si="407"/>
        <v/>
      </c>
    </row>
    <row r="3205" spans="1:24" x14ac:dyDescent="0.2">
      <c r="A3205" s="407">
        <v>3197</v>
      </c>
      <c r="B3205" s="438"/>
      <c r="C3205" s="438"/>
      <c r="D3205" s="438"/>
      <c r="E3205" s="438"/>
      <c r="F3205" s="438"/>
      <c r="G3205" s="438"/>
      <c r="H3205" s="438"/>
      <c r="I3205" s="438"/>
      <c r="J3205" s="11"/>
      <c r="Q3205" s="348" t="str">
        <f t="shared" si="400"/>
        <v/>
      </c>
      <c r="R3205" s="348" t="str">
        <f t="shared" si="401"/>
        <v/>
      </c>
      <c r="S3205" s="348" t="str">
        <f t="shared" si="402"/>
        <v/>
      </c>
      <c r="T3205" s="348" t="str">
        <f t="shared" si="403"/>
        <v/>
      </c>
      <c r="U3205" s="348" t="str">
        <f t="shared" si="404"/>
        <v/>
      </c>
      <c r="V3205" s="348" t="str">
        <f t="shared" si="405"/>
        <v/>
      </c>
      <c r="W3205" s="348" t="str">
        <f t="shared" si="406"/>
        <v/>
      </c>
      <c r="X3205" s="348" t="str">
        <f t="shared" si="407"/>
        <v/>
      </c>
    </row>
    <row r="3206" spans="1:24" x14ac:dyDescent="0.2">
      <c r="A3206" s="407">
        <v>3198</v>
      </c>
      <c r="B3206" s="438"/>
      <c r="C3206" s="438"/>
      <c r="D3206" s="438"/>
      <c r="E3206" s="438"/>
      <c r="F3206" s="438"/>
      <c r="G3206" s="438"/>
      <c r="H3206" s="438"/>
      <c r="I3206" s="438"/>
      <c r="J3206" s="11"/>
      <c r="Q3206" s="348" t="str">
        <f t="shared" si="400"/>
        <v/>
      </c>
      <c r="R3206" s="348" t="str">
        <f t="shared" si="401"/>
        <v/>
      </c>
      <c r="S3206" s="348" t="str">
        <f t="shared" si="402"/>
        <v/>
      </c>
      <c r="T3206" s="348" t="str">
        <f t="shared" si="403"/>
        <v/>
      </c>
      <c r="U3206" s="348" t="str">
        <f t="shared" si="404"/>
        <v/>
      </c>
      <c r="V3206" s="348" t="str">
        <f t="shared" si="405"/>
        <v/>
      </c>
      <c r="W3206" s="348" t="str">
        <f t="shared" si="406"/>
        <v/>
      </c>
      <c r="X3206" s="348" t="str">
        <f t="shared" si="407"/>
        <v/>
      </c>
    </row>
    <row r="3207" spans="1:24" x14ac:dyDescent="0.2">
      <c r="A3207" s="407">
        <v>3199</v>
      </c>
      <c r="B3207" s="438"/>
      <c r="C3207" s="438"/>
      <c r="D3207" s="438"/>
      <c r="E3207" s="438"/>
      <c r="F3207" s="438"/>
      <c r="G3207" s="437"/>
      <c r="H3207" s="438"/>
      <c r="I3207" s="438"/>
      <c r="J3207" s="11"/>
      <c r="Q3207" s="348" t="str">
        <f t="shared" si="400"/>
        <v/>
      </c>
      <c r="R3207" s="348" t="str">
        <f t="shared" si="401"/>
        <v/>
      </c>
      <c r="S3207" s="348" t="str">
        <f t="shared" si="402"/>
        <v/>
      </c>
      <c r="T3207" s="348" t="str">
        <f t="shared" si="403"/>
        <v/>
      </c>
      <c r="U3207" s="348" t="str">
        <f t="shared" si="404"/>
        <v/>
      </c>
      <c r="V3207" s="348" t="str">
        <f t="shared" si="405"/>
        <v/>
      </c>
      <c r="W3207" s="348" t="str">
        <f t="shared" si="406"/>
        <v/>
      </c>
      <c r="X3207" s="348" t="str">
        <f t="shared" si="407"/>
        <v/>
      </c>
    </row>
    <row r="3208" spans="1:24" x14ac:dyDescent="0.2">
      <c r="A3208" s="407">
        <v>3200</v>
      </c>
      <c r="B3208" s="437"/>
      <c r="C3208" s="438"/>
      <c r="D3208" s="438"/>
      <c r="E3208" s="438"/>
      <c r="F3208" s="438"/>
      <c r="G3208" s="438"/>
      <c r="H3208" s="438"/>
      <c r="I3208" s="438"/>
      <c r="J3208" s="11"/>
      <c r="Q3208" s="348" t="str">
        <f t="shared" si="400"/>
        <v/>
      </c>
      <c r="R3208" s="348" t="str">
        <f t="shared" si="401"/>
        <v/>
      </c>
      <c r="S3208" s="348" t="str">
        <f t="shared" si="402"/>
        <v/>
      </c>
      <c r="T3208" s="348" t="str">
        <f t="shared" si="403"/>
        <v/>
      </c>
      <c r="U3208" s="348" t="str">
        <f t="shared" si="404"/>
        <v/>
      </c>
      <c r="V3208" s="348" t="str">
        <f t="shared" si="405"/>
        <v/>
      </c>
      <c r="W3208" s="348" t="str">
        <f t="shared" si="406"/>
        <v/>
      </c>
      <c r="X3208" s="348" t="str">
        <f t="shared" si="407"/>
        <v/>
      </c>
    </row>
    <row r="3209" spans="1:24" x14ac:dyDescent="0.2">
      <c r="A3209" s="407">
        <v>3201</v>
      </c>
      <c r="B3209" s="438"/>
      <c r="C3209" s="437"/>
      <c r="D3209" s="438"/>
      <c r="E3209" s="437"/>
      <c r="F3209" s="437"/>
      <c r="G3209" s="437"/>
      <c r="H3209" s="437"/>
      <c r="I3209" s="437"/>
      <c r="J3209" s="11"/>
      <c r="Q3209" s="348" t="str">
        <f t="shared" si="400"/>
        <v/>
      </c>
      <c r="R3209" s="348" t="str">
        <f t="shared" si="401"/>
        <v/>
      </c>
      <c r="S3209" s="348" t="str">
        <f t="shared" si="402"/>
        <v/>
      </c>
      <c r="T3209" s="348" t="str">
        <f t="shared" si="403"/>
        <v/>
      </c>
      <c r="U3209" s="348" t="str">
        <f t="shared" si="404"/>
        <v/>
      </c>
      <c r="V3209" s="348" t="str">
        <f t="shared" si="405"/>
        <v/>
      </c>
      <c r="W3209" s="348" t="str">
        <f t="shared" si="406"/>
        <v/>
      </c>
      <c r="X3209" s="348" t="str">
        <f t="shared" si="407"/>
        <v/>
      </c>
    </row>
    <row r="3210" spans="1:24" x14ac:dyDescent="0.2">
      <c r="A3210" s="407">
        <v>3202</v>
      </c>
      <c r="B3210" s="438"/>
      <c r="C3210" s="438"/>
      <c r="D3210" s="438"/>
      <c r="E3210" s="438"/>
      <c r="F3210" s="438"/>
      <c r="G3210" s="438"/>
      <c r="H3210" s="438"/>
      <c r="I3210" s="438"/>
      <c r="J3210" s="11"/>
      <c r="Q3210" s="348" t="str">
        <f t="shared" ref="Q3210:Q3273" si="408">IFERROR(B3210^4*$AB$9+B3210^3*$AC$9+B3210^2*$AD$9+B3210^1*$AE$9+B3210^0*$AF$9,"")</f>
        <v/>
      </c>
      <c r="R3210" s="348" t="str">
        <f t="shared" ref="R3210:R3273" si="409">IFERROR(C3210^4*$AB$10+C3210^3*$AC$10+C3210^2*$AD$10+C3210^1*$AE$10+C3210^0*$AF$10,"")</f>
        <v/>
      </c>
      <c r="S3210" s="348" t="str">
        <f t="shared" ref="S3210:S3273" si="410">IFERROR(D3210^4*$AB$11+D3210^3*$AC$11+D3210^2*$AD$11+D3210^1*$AE$11+D3210^0*$AF$11,"")</f>
        <v/>
      </c>
      <c r="T3210" s="348" t="str">
        <f t="shared" ref="T3210:T3273" si="411">IFERROR(E3210^4*$AB$12+E3210^3*$AC$12+E3210^2*$AD$12+E3210^1*$AE$12+E3210^0*$AF$12,"")</f>
        <v/>
      </c>
      <c r="U3210" s="348" t="str">
        <f t="shared" ref="U3210:U3273" si="412">IFERROR(F3210^4*$AB$13+F3210^3*$AC$13+F3210^2*$AD$13+F3210^1*$AE$13+F3210^0*$AF$13,"")</f>
        <v/>
      </c>
      <c r="V3210" s="348" t="str">
        <f t="shared" ref="V3210:V3273" si="413">IFERROR(G3210^4*$AB$14+G3210^3*$AC$14+G3210^2*$AD$14+G3210^1*$AE$14+G3210^0*$AF$14,"")</f>
        <v/>
      </c>
      <c r="W3210" s="348" t="str">
        <f t="shared" ref="W3210:W3273" si="414">IFERROR(H3210^4*$AB$15+H3210^3*$AC$15+H3210^2*$AD$15+H3210^1*$AE$15+H3210^0*$AF$15,"")</f>
        <v/>
      </c>
      <c r="X3210" s="348" t="str">
        <f t="shared" ref="X3210:X3273" si="415">IFERROR(I3210^4*$AB$16+I3210^3*$AC$16+I3210^2*$AD$16+I3210^1*$AE$16+I3210^0*$AF$16,"")</f>
        <v/>
      </c>
    </row>
    <row r="3211" spans="1:24" x14ac:dyDescent="0.2">
      <c r="A3211" s="407">
        <v>3203</v>
      </c>
      <c r="B3211" s="438"/>
      <c r="C3211" s="438"/>
      <c r="D3211" s="438"/>
      <c r="E3211" s="438"/>
      <c r="F3211" s="438"/>
      <c r="G3211" s="438"/>
      <c r="H3211" s="438"/>
      <c r="I3211" s="438"/>
      <c r="J3211" s="11"/>
      <c r="Q3211" s="348" t="str">
        <f t="shared" si="408"/>
        <v/>
      </c>
      <c r="R3211" s="348" t="str">
        <f t="shared" si="409"/>
        <v/>
      </c>
      <c r="S3211" s="348" t="str">
        <f t="shared" si="410"/>
        <v/>
      </c>
      <c r="T3211" s="348" t="str">
        <f t="shared" si="411"/>
        <v/>
      </c>
      <c r="U3211" s="348" t="str">
        <f t="shared" si="412"/>
        <v/>
      </c>
      <c r="V3211" s="348" t="str">
        <f t="shared" si="413"/>
        <v/>
      </c>
      <c r="W3211" s="348" t="str">
        <f t="shared" si="414"/>
        <v/>
      </c>
      <c r="X3211" s="348" t="str">
        <f t="shared" si="415"/>
        <v/>
      </c>
    </row>
    <row r="3212" spans="1:24" x14ac:dyDescent="0.2">
      <c r="A3212" s="407">
        <v>3204</v>
      </c>
      <c r="B3212" s="438"/>
      <c r="C3212" s="438"/>
      <c r="D3212" s="438"/>
      <c r="E3212" s="438"/>
      <c r="F3212" s="438"/>
      <c r="G3212" s="438"/>
      <c r="H3212" s="438"/>
      <c r="I3212" s="438"/>
      <c r="J3212" s="11"/>
      <c r="Q3212" s="348" t="str">
        <f t="shared" si="408"/>
        <v/>
      </c>
      <c r="R3212" s="348" t="str">
        <f t="shared" si="409"/>
        <v/>
      </c>
      <c r="S3212" s="348" t="str">
        <f t="shared" si="410"/>
        <v/>
      </c>
      <c r="T3212" s="348" t="str">
        <f t="shared" si="411"/>
        <v/>
      </c>
      <c r="U3212" s="348" t="str">
        <f t="shared" si="412"/>
        <v/>
      </c>
      <c r="V3212" s="348" t="str">
        <f t="shared" si="413"/>
        <v/>
      </c>
      <c r="W3212" s="348" t="str">
        <f t="shared" si="414"/>
        <v/>
      </c>
      <c r="X3212" s="348" t="str">
        <f t="shared" si="415"/>
        <v/>
      </c>
    </row>
    <row r="3213" spans="1:24" x14ac:dyDescent="0.2">
      <c r="A3213" s="407">
        <v>3205</v>
      </c>
      <c r="B3213" s="438"/>
      <c r="C3213" s="438"/>
      <c r="D3213" s="438"/>
      <c r="E3213" s="438"/>
      <c r="F3213" s="438"/>
      <c r="G3213" s="438"/>
      <c r="H3213" s="438"/>
      <c r="I3213" s="438"/>
      <c r="J3213" s="11"/>
      <c r="Q3213" s="348" t="str">
        <f t="shared" si="408"/>
        <v/>
      </c>
      <c r="R3213" s="348" t="str">
        <f t="shared" si="409"/>
        <v/>
      </c>
      <c r="S3213" s="348" t="str">
        <f t="shared" si="410"/>
        <v/>
      </c>
      <c r="T3213" s="348" t="str">
        <f t="shared" si="411"/>
        <v/>
      </c>
      <c r="U3213" s="348" t="str">
        <f t="shared" si="412"/>
        <v/>
      </c>
      <c r="V3213" s="348" t="str">
        <f t="shared" si="413"/>
        <v/>
      </c>
      <c r="W3213" s="348" t="str">
        <f t="shared" si="414"/>
        <v/>
      </c>
      <c r="X3213" s="348" t="str">
        <f t="shared" si="415"/>
        <v/>
      </c>
    </row>
    <row r="3214" spans="1:24" x14ac:dyDescent="0.2">
      <c r="A3214" s="407">
        <v>3206</v>
      </c>
      <c r="B3214" s="438"/>
      <c r="C3214" s="438"/>
      <c r="D3214" s="438"/>
      <c r="E3214" s="438"/>
      <c r="F3214" s="438"/>
      <c r="G3214" s="438"/>
      <c r="H3214" s="438"/>
      <c r="I3214" s="438"/>
      <c r="J3214" s="11"/>
      <c r="Q3214" s="348" t="str">
        <f t="shared" si="408"/>
        <v/>
      </c>
      <c r="R3214" s="348" t="str">
        <f t="shared" si="409"/>
        <v/>
      </c>
      <c r="S3214" s="348" t="str">
        <f t="shared" si="410"/>
        <v/>
      </c>
      <c r="T3214" s="348" t="str">
        <f t="shared" si="411"/>
        <v/>
      </c>
      <c r="U3214" s="348" t="str">
        <f t="shared" si="412"/>
        <v/>
      </c>
      <c r="V3214" s="348" t="str">
        <f t="shared" si="413"/>
        <v/>
      </c>
      <c r="W3214" s="348" t="str">
        <f t="shared" si="414"/>
        <v/>
      </c>
      <c r="X3214" s="348" t="str">
        <f t="shared" si="415"/>
        <v/>
      </c>
    </row>
    <row r="3215" spans="1:24" x14ac:dyDescent="0.2">
      <c r="A3215" s="407">
        <v>3207</v>
      </c>
      <c r="B3215" s="438"/>
      <c r="C3215" s="438"/>
      <c r="D3215" s="438"/>
      <c r="E3215" s="438"/>
      <c r="F3215" s="438"/>
      <c r="G3215" s="438"/>
      <c r="H3215" s="438"/>
      <c r="I3215" s="438"/>
      <c r="J3215" s="11"/>
      <c r="Q3215" s="348" t="str">
        <f t="shared" si="408"/>
        <v/>
      </c>
      <c r="R3215" s="348" t="str">
        <f t="shared" si="409"/>
        <v/>
      </c>
      <c r="S3215" s="348" t="str">
        <f t="shared" si="410"/>
        <v/>
      </c>
      <c r="T3215" s="348" t="str">
        <f t="shared" si="411"/>
        <v/>
      </c>
      <c r="U3215" s="348" t="str">
        <f t="shared" si="412"/>
        <v/>
      </c>
      <c r="V3215" s="348" t="str">
        <f t="shared" si="413"/>
        <v/>
      </c>
      <c r="W3215" s="348" t="str">
        <f t="shared" si="414"/>
        <v/>
      </c>
      <c r="X3215" s="348" t="str">
        <f t="shared" si="415"/>
        <v/>
      </c>
    </row>
    <row r="3216" spans="1:24" x14ac:dyDescent="0.2">
      <c r="A3216" s="407">
        <v>3208</v>
      </c>
      <c r="B3216" s="438"/>
      <c r="C3216" s="438"/>
      <c r="D3216" s="438"/>
      <c r="E3216" s="438"/>
      <c r="F3216" s="438"/>
      <c r="G3216" s="438"/>
      <c r="H3216" s="438"/>
      <c r="I3216" s="438"/>
      <c r="J3216" s="11"/>
      <c r="Q3216" s="348" t="str">
        <f t="shared" si="408"/>
        <v/>
      </c>
      <c r="R3216" s="348" t="str">
        <f t="shared" si="409"/>
        <v/>
      </c>
      <c r="S3216" s="348" t="str">
        <f t="shared" si="410"/>
        <v/>
      </c>
      <c r="T3216" s="348" t="str">
        <f t="shared" si="411"/>
        <v/>
      </c>
      <c r="U3216" s="348" t="str">
        <f t="shared" si="412"/>
        <v/>
      </c>
      <c r="V3216" s="348" t="str">
        <f t="shared" si="413"/>
        <v/>
      </c>
      <c r="W3216" s="348" t="str">
        <f t="shared" si="414"/>
        <v/>
      </c>
      <c r="X3216" s="348" t="str">
        <f t="shared" si="415"/>
        <v/>
      </c>
    </row>
    <row r="3217" spans="1:24" x14ac:dyDescent="0.2">
      <c r="A3217" s="407">
        <v>3209</v>
      </c>
      <c r="B3217" s="438"/>
      <c r="C3217" s="438"/>
      <c r="D3217" s="438"/>
      <c r="E3217" s="438"/>
      <c r="F3217" s="438"/>
      <c r="G3217" s="438"/>
      <c r="H3217" s="438"/>
      <c r="I3217" s="438"/>
      <c r="J3217" s="11"/>
      <c r="Q3217" s="348" t="str">
        <f t="shared" si="408"/>
        <v/>
      </c>
      <c r="R3217" s="348" t="str">
        <f t="shared" si="409"/>
        <v/>
      </c>
      <c r="S3217" s="348" t="str">
        <f t="shared" si="410"/>
        <v/>
      </c>
      <c r="T3217" s="348" t="str">
        <f t="shared" si="411"/>
        <v/>
      </c>
      <c r="U3217" s="348" t="str">
        <f t="shared" si="412"/>
        <v/>
      </c>
      <c r="V3217" s="348" t="str">
        <f t="shared" si="413"/>
        <v/>
      </c>
      <c r="W3217" s="348" t="str">
        <f t="shared" si="414"/>
        <v/>
      </c>
      <c r="X3217" s="348" t="str">
        <f t="shared" si="415"/>
        <v/>
      </c>
    </row>
    <row r="3218" spans="1:24" x14ac:dyDescent="0.2">
      <c r="A3218" s="407">
        <v>3210</v>
      </c>
      <c r="B3218" s="438"/>
      <c r="C3218" s="438"/>
      <c r="D3218" s="438"/>
      <c r="E3218" s="438"/>
      <c r="F3218" s="438"/>
      <c r="G3218" s="438"/>
      <c r="H3218" s="438"/>
      <c r="I3218" s="438"/>
      <c r="J3218" s="11"/>
      <c r="Q3218" s="348" t="str">
        <f t="shared" si="408"/>
        <v/>
      </c>
      <c r="R3218" s="348" t="str">
        <f t="shared" si="409"/>
        <v/>
      </c>
      <c r="S3218" s="348" t="str">
        <f t="shared" si="410"/>
        <v/>
      </c>
      <c r="T3218" s="348" t="str">
        <f t="shared" si="411"/>
        <v/>
      </c>
      <c r="U3218" s="348" t="str">
        <f t="shared" si="412"/>
        <v/>
      </c>
      <c r="V3218" s="348" t="str">
        <f t="shared" si="413"/>
        <v/>
      </c>
      <c r="W3218" s="348" t="str">
        <f t="shared" si="414"/>
        <v/>
      </c>
      <c r="X3218" s="348" t="str">
        <f t="shared" si="415"/>
        <v/>
      </c>
    </row>
    <row r="3219" spans="1:24" x14ac:dyDescent="0.2">
      <c r="A3219" s="407">
        <v>3211</v>
      </c>
      <c r="B3219" s="438"/>
      <c r="C3219" s="438"/>
      <c r="D3219" s="438"/>
      <c r="E3219" s="438"/>
      <c r="F3219" s="438"/>
      <c r="G3219" s="438"/>
      <c r="H3219" s="438"/>
      <c r="I3219" s="438"/>
      <c r="J3219" s="11"/>
      <c r="Q3219" s="348" t="str">
        <f t="shared" si="408"/>
        <v/>
      </c>
      <c r="R3219" s="348" t="str">
        <f t="shared" si="409"/>
        <v/>
      </c>
      <c r="S3219" s="348" t="str">
        <f t="shared" si="410"/>
        <v/>
      </c>
      <c r="T3219" s="348" t="str">
        <f t="shared" si="411"/>
        <v/>
      </c>
      <c r="U3219" s="348" t="str">
        <f t="shared" si="412"/>
        <v/>
      </c>
      <c r="V3219" s="348" t="str">
        <f t="shared" si="413"/>
        <v/>
      </c>
      <c r="W3219" s="348" t="str">
        <f t="shared" si="414"/>
        <v/>
      </c>
      <c r="X3219" s="348" t="str">
        <f t="shared" si="415"/>
        <v/>
      </c>
    </row>
    <row r="3220" spans="1:24" x14ac:dyDescent="0.2">
      <c r="A3220" s="407">
        <v>3212</v>
      </c>
      <c r="B3220" s="438"/>
      <c r="C3220" s="438"/>
      <c r="D3220" s="438"/>
      <c r="E3220" s="438"/>
      <c r="F3220" s="438"/>
      <c r="G3220" s="438"/>
      <c r="H3220" s="438"/>
      <c r="I3220" s="438"/>
      <c r="J3220" s="11"/>
      <c r="Q3220" s="348" t="str">
        <f t="shared" si="408"/>
        <v/>
      </c>
      <c r="R3220" s="348" t="str">
        <f t="shared" si="409"/>
        <v/>
      </c>
      <c r="S3220" s="348" t="str">
        <f t="shared" si="410"/>
        <v/>
      </c>
      <c r="T3220" s="348" t="str">
        <f t="shared" si="411"/>
        <v/>
      </c>
      <c r="U3220" s="348" t="str">
        <f t="shared" si="412"/>
        <v/>
      </c>
      <c r="V3220" s="348" t="str">
        <f t="shared" si="413"/>
        <v/>
      </c>
      <c r="W3220" s="348" t="str">
        <f t="shared" si="414"/>
        <v/>
      </c>
      <c r="X3220" s="348" t="str">
        <f t="shared" si="415"/>
        <v/>
      </c>
    </row>
    <row r="3221" spans="1:24" x14ac:dyDescent="0.2">
      <c r="A3221" s="407">
        <v>3213</v>
      </c>
      <c r="B3221" s="438"/>
      <c r="C3221" s="438"/>
      <c r="D3221" s="438"/>
      <c r="E3221" s="438"/>
      <c r="F3221" s="438"/>
      <c r="G3221" s="438"/>
      <c r="H3221" s="438"/>
      <c r="I3221" s="438"/>
      <c r="J3221" s="11"/>
      <c r="Q3221" s="348" t="str">
        <f t="shared" si="408"/>
        <v/>
      </c>
      <c r="R3221" s="348" t="str">
        <f t="shared" si="409"/>
        <v/>
      </c>
      <c r="S3221" s="348" t="str">
        <f t="shared" si="410"/>
        <v/>
      </c>
      <c r="T3221" s="348" t="str">
        <f t="shared" si="411"/>
        <v/>
      </c>
      <c r="U3221" s="348" t="str">
        <f t="shared" si="412"/>
        <v/>
      </c>
      <c r="V3221" s="348" t="str">
        <f t="shared" si="413"/>
        <v/>
      </c>
      <c r="W3221" s="348" t="str">
        <f t="shared" si="414"/>
        <v/>
      </c>
      <c r="X3221" s="348" t="str">
        <f t="shared" si="415"/>
        <v/>
      </c>
    </row>
    <row r="3222" spans="1:24" x14ac:dyDescent="0.2">
      <c r="A3222" s="407">
        <v>3214</v>
      </c>
      <c r="B3222" s="438"/>
      <c r="C3222" s="438"/>
      <c r="D3222" s="438"/>
      <c r="E3222" s="438"/>
      <c r="F3222" s="438"/>
      <c r="G3222" s="438"/>
      <c r="H3222" s="438"/>
      <c r="I3222" s="438"/>
      <c r="J3222" s="11"/>
      <c r="Q3222" s="348" t="str">
        <f t="shared" si="408"/>
        <v/>
      </c>
      <c r="R3222" s="348" t="str">
        <f t="shared" si="409"/>
        <v/>
      </c>
      <c r="S3222" s="348" t="str">
        <f t="shared" si="410"/>
        <v/>
      </c>
      <c r="T3222" s="348" t="str">
        <f t="shared" si="411"/>
        <v/>
      </c>
      <c r="U3222" s="348" t="str">
        <f t="shared" si="412"/>
        <v/>
      </c>
      <c r="V3222" s="348" t="str">
        <f t="shared" si="413"/>
        <v/>
      </c>
      <c r="W3222" s="348" t="str">
        <f t="shared" si="414"/>
        <v/>
      </c>
      <c r="X3222" s="348" t="str">
        <f t="shared" si="415"/>
        <v/>
      </c>
    </row>
    <row r="3223" spans="1:24" x14ac:dyDescent="0.2">
      <c r="A3223" s="407">
        <v>3215</v>
      </c>
      <c r="B3223" s="438"/>
      <c r="C3223" s="437"/>
      <c r="D3223" s="438"/>
      <c r="E3223" s="438"/>
      <c r="F3223" s="438"/>
      <c r="G3223" s="438"/>
      <c r="H3223" s="438"/>
      <c r="I3223" s="438"/>
      <c r="J3223" s="11"/>
      <c r="Q3223" s="348" t="str">
        <f t="shared" si="408"/>
        <v/>
      </c>
      <c r="R3223" s="348" t="str">
        <f t="shared" si="409"/>
        <v/>
      </c>
      <c r="S3223" s="348" t="str">
        <f t="shared" si="410"/>
        <v/>
      </c>
      <c r="T3223" s="348" t="str">
        <f t="shared" si="411"/>
        <v/>
      </c>
      <c r="U3223" s="348" t="str">
        <f t="shared" si="412"/>
        <v/>
      </c>
      <c r="V3223" s="348" t="str">
        <f t="shared" si="413"/>
        <v/>
      </c>
      <c r="W3223" s="348" t="str">
        <f t="shared" si="414"/>
        <v/>
      </c>
      <c r="X3223" s="348" t="str">
        <f t="shared" si="415"/>
        <v/>
      </c>
    </row>
    <row r="3224" spans="1:24" x14ac:dyDescent="0.2">
      <c r="A3224" s="407">
        <v>3216</v>
      </c>
      <c r="B3224" s="438"/>
      <c r="C3224" s="438"/>
      <c r="D3224" s="438"/>
      <c r="E3224" s="438"/>
      <c r="F3224" s="438"/>
      <c r="G3224" s="438"/>
      <c r="H3224" s="438"/>
      <c r="I3224" s="438"/>
      <c r="J3224" s="11"/>
      <c r="Q3224" s="348" t="str">
        <f t="shared" si="408"/>
        <v/>
      </c>
      <c r="R3224" s="348" t="str">
        <f t="shared" si="409"/>
        <v/>
      </c>
      <c r="S3224" s="348" t="str">
        <f t="shared" si="410"/>
        <v/>
      </c>
      <c r="T3224" s="348" t="str">
        <f t="shared" si="411"/>
        <v/>
      </c>
      <c r="U3224" s="348" t="str">
        <f t="shared" si="412"/>
        <v/>
      </c>
      <c r="V3224" s="348" t="str">
        <f t="shared" si="413"/>
        <v/>
      </c>
      <c r="W3224" s="348" t="str">
        <f t="shared" si="414"/>
        <v/>
      </c>
      <c r="X3224" s="348" t="str">
        <f t="shared" si="415"/>
        <v/>
      </c>
    </row>
    <row r="3225" spans="1:24" x14ac:dyDescent="0.2">
      <c r="A3225" s="407">
        <v>3217</v>
      </c>
      <c r="B3225" s="438"/>
      <c r="C3225" s="438"/>
      <c r="D3225" s="438"/>
      <c r="E3225" s="438"/>
      <c r="F3225" s="438"/>
      <c r="G3225" s="438"/>
      <c r="H3225" s="438"/>
      <c r="I3225" s="438"/>
      <c r="J3225" s="11"/>
      <c r="Q3225" s="348" t="str">
        <f t="shared" si="408"/>
        <v/>
      </c>
      <c r="R3225" s="348" t="str">
        <f t="shared" si="409"/>
        <v/>
      </c>
      <c r="S3225" s="348" t="str">
        <f t="shared" si="410"/>
        <v/>
      </c>
      <c r="T3225" s="348" t="str">
        <f t="shared" si="411"/>
        <v/>
      </c>
      <c r="U3225" s="348" t="str">
        <f t="shared" si="412"/>
        <v/>
      </c>
      <c r="V3225" s="348" t="str">
        <f t="shared" si="413"/>
        <v/>
      </c>
      <c r="W3225" s="348" t="str">
        <f t="shared" si="414"/>
        <v/>
      </c>
      <c r="X3225" s="348" t="str">
        <f t="shared" si="415"/>
        <v/>
      </c>
    </row>
    <row r="3226" spans="1:24" x14ac:dyDescent="0.2">
      <c r="A3226" s="407">
        <v>3218</v>
      </c>
      <c r="B3226" s="438"/>
      <c r="C3226" s="438"/>
      <c r="D3226" s="438"/>
      <c r="E3226" s="438"/>
      <c r="F3226" s="438"/>
      <c r="G3226" s="438"/>
      <c r="H3226" s="438"/>
      <c r="I3226" s="438"/>
      <c r="J3226" s="11"/>
      <c r="Q3226" s="348" t="str">
        <f t="shared" si="408"/>
        <v/>
      </c>
      <c r="R3226" s="348" t="str">
        <f t="shared" si="409"/>
        <v/>
      </c>
      <c r="S3226" s="348" t="str">
        <f t="shared" si="410"/>
        <v/>
      </c>
      <c r="T3226" s="348" t="str">
        <f t="shared" si="411"/>
        <v/>
      </c>
      <c r="U3226" s="348" t="str">
        <f t="shared" si="412"/>
        <v/>
      </c>
      <c r="V3226" s="348" t="str">
        <f t="shared" si="413"/>
        <v/>
      </c>
      <c r="W3226" s="348" t="str">
        <f t="shared" si="414"/>
        <v/>
      </c>
      <c r="X3226" s="348" t="str">
        <f t="shared" si="415"/>
        <v/>
      </c>
    </row>
    <row r="3227" spans="1:24" x14ac:dyDescent="0.2">
      <c r="A3227" s="407">
        <v>3219</v>
      </c>
      <c r="B3227" s="437"/>
      <c r="C3227" s="438"/>
      <c r="D3227" s="438"/>
      <c r="E3227" s="438"/>
      <c r="F3227" s="438"/>
      <c r="G3227" s="438"/>
      <c r="H3227" s="438"/>
      <c r="I3227" s="438"/>
      <c r="J3227" s="11"/>
      <c r="Q3227" s="348" t="str">
        <f t="shared" si="408"/>
        <v/>
      </c>
      <c r="R3227" s="348" t="str">
        <f t="shared" si="409"/>
        <v/>
      </c>
      <c r="S3227" s="348" t="str">
        <f t="shared" si="410"/>
        <v/>
      </c>
      <c r="T3227" s="348" t="str">
        <f t="shared" si="411"/>
        <v/>
      </c>
      <c r="U3227" s="348" t="str">
        <f t="shared" si="412"/>
        <v/>
      </c>
      <c r="V3227" s="348" t="str">
        <f t="shared" si="413"/>
        <v/>
      </c>
      <c r="W3227" s="348" t="str">
        <f t="shared" si="414"/>
        <v/>
      </c>
      <c r="X3227" s="348" t="str">
        <f t="shared" si="415"/>
        <v/>
      </c>
    </row>
    <row r="3228" spans="1:24" x14ac:dyDescent="0.2">
      <c r="A3228" s="407">
        <v>3220</v>
      </c>
      <c r="B3228" s="438"/>
      <c r="C3228" s="438"/>
      <c r="D3228" s="438"/>
      <c r="E3228" s="438"/>
      <c r="F3228" s="438"/>
      <c r="G3228" s="438"/>
      <c r="H3228" s="438"/>
      <c r="I3228" s="438"/>
      <c r="J3228" s="11"/>
      <c r="Q3228" s="348" t="str">
        <f t="shared" si="408"/>
        <v/>
      </c>
      <c r="R3228" s="348" t="str">
        <f t="shared" si="409"/>
        <v/>
      </c>
      <c r="S3228" s="348" t="str">
        <f t="shared" si="410"/>
        <v/>
      </c>
      <c r="T3228" s="348" t="str">
        <f t="shared" si="411"/>
        <v/>
      </c>
      <c r="U3228" s="348" t="str">
        <f t="shared" si="412"/>
        <v/>
      </c>
      <c r="V3228" s="348" t="str">
        <f t="shared" si="413"/>
        <v/>
      </c>
      <c r="W3228" s="348" t="str">
        <f t="shared" si="414"/>
        <v/>
      </c>
      <c r="X3228" s="348" t="str">
        <f t="shared" si="415"/>
        <v/>
      </c>
    </row>
    <row r="3229" spans="1:24" x14ac:dyDescent="0.2">
      <c r="A3229" s="407">
        <v>3221</v>
      </c>
      <c r="B3229" s="438"/>
      <c r="C3229" s="438"/>
      <c r="D3229" s="438"/>
      <c r="E3229" s="438"/>
      <c r="F3229" s="438"/>
      <c r="G3229" s="438"/>
      <c r="H3229" s="438"/>
      <c r="I3229" s="438"/>
      <c r="J3229" s="11"/>
      <c r="Q3229" s="348" t="str">
        <f t="shared" si="408"/>
        <v/>
      </c>
      <c r="R3229" s="348" t="str">
        <f t="shared" si="409"/>
        <v/>
      </c>
      <c r="S3229" s="348" t="str">
        <f t="shared" si="410"/>
        <v/>
      </c>
      <c r="T3229" s="348" t="str">
        <f t="shared" si="411"/>
        <v/>
      </c>
      <c r="U3229" s="348" t="str">
        <f t="shared" si="412"/>
        <v/>
      </c>
      <c r="V3229" s="348" t="str">
        <f t="shared" si="413"/>
        <v/>
      </c>
      <c r="W3229" s="348" t="str">
        <f t="shared" si="414"/>
        <v/>
      </c>
      <c r="X3229" s="348" t="str">
        <f t="shared" si="415"/>
        <v/>
      </c>
    </row>
    <row r="3230" spans="1:24" x14ac:dyDescent="0.2">
      <c r="A3230" s="407">
        <v>3222</v>
      </c>
      <c r="B3230" s="438"/>
      <c r="C3230" s="438"/>
      <c r="D3230" s="438"/>
      <c r="E3230" s="438"/>
      <c r="F3230" s="438"/>
      <c r="G3230" s="438"/>
      <c r="H3230" s="438"/>
      <c r="I3230" s="438"/>
      <c r="J3230" s="11"/>
      <c r="Q3230" s="348" t="str">
        <f t="shared" si="408"/>
        <v/>
      </c>
      <c r="R3230" s="348" t="str">
        <f t="shared" si="409"/>
        <v/>
      </c>
      <c r="S3230" s="348" t="str">
        <f t="shared" si="410"/>
        <v/>
      </c>
      <c r="T3230" s="348" t="str">
        <f t="shared" si="411"/>
        <v/>
      </c>
      <c r="U3230" s="348" t="str">
        <f t="shared" si="412"/>
        <v/>
      </c>
      <c r="V3230" s="348" t="str">
        <f t="shared" si="413"/>
        <v/>
      </c>
      <c r="W3230" s="348" t="str">
        <f t="shared" si="414"/>
        <v/>
      </c>
      <c r="X3230" s="348" t="str">
        <f t="shared" si="415"/>
        <v/>
      </c>
    </row>
    <row r="3231" spans="1:24" x14ac:dyDescent="0.2">
      <c r="A3231" s="407">
        <v>3223</v>
      </c>
      <c r="B3231" s="438"/>
      <c r="C3231" s="438"/>
      <c r="D3231" s="438"/>
      <c r="E3231" s="438"/>
      <c r="F3231" s="438"/>
      <c r="G3231" s="438"/>
      <c r="H3231" s="438"/>
      <c r="I3231" s="438"/>
      <c r="J3231" s="11"/>
      <c r="Q3231" s="348" t="str">
        <f t="shared" si="408"/>
        <v/>
      </c>
      <c r="R3231" s="348" t="str">
        <f t="shared" si="409"/>
        <v/>
      </c>
      <c r="S3231" s="348" t="str">
        <f t="shared" si="410"/>
        <v/>
      </c>
      <c r="T3231" s="348" t="str">
        <f t="shared" si="411"/>
        <v/>
      </c>
      <c r="U3231" s="348" t="str">
        <f t="shared" si="412"/>
        <v/>
      </c>
      <c r="V3231" s="348" t="str">
        <f t="shared" si="413"/>
        <v/>
      </c>
      <c r="W3231" s="348" t="str">
        <f t="shared" si="414"/>
        <v/>
      </c>
      <c r="X3231" s="348" t="str">
        <f t="shared" si="415"/>
        <v/>
      </c>
    </row>
    <row r="3232" spans="1:24" x14ac:dyDescent="0.2">
      <c r="A3232" s="407">
        <v>3224</v>
      </c>
      <c r="B3232" s="438"/>
      <c r="C3232" s="438"/>
      <c r="D3232" s="438"/>
      <c r="E3232" s="438"/>
      <c r="F3232" s="438"/>
      <c r="G3232" s="438"/>
      <c r="H3232" s="438"/>
      <c r="I3232" s="438"/>
      <c r="J3232" s="11"/>
      <c r="Q3232" s="348" t="str">
        <f t="shared" si="408"/>
        <v/>
      </c>
      <c r="R3232" s="348" t="str">
        <f t="shared" si="409"/>
        <v/>
      </c>
      <c r="S3232" s="348" t="str">
        <f t="shared" si="410"/>
        <v/>
      </c>
      <c r="T3232" s="348" t="str">
        <f t="shared" si="411"/>
        <v/>
      </c>
      <c r="U3232" s="348" t="str">
        <f t="shared" si="412"/>
        <v/>
      </c>
      <c r="V3232" s="348" t="str">
        <f t="shared" si="413"/>
        <v/>
      </c>
      <c r="W3232" s="348" t="str">
        <f t="shared" si="414"/>
        <v/>
      </c>
      <c r="X3232" s="348" t="str">
        <f t="shared" si="415"/>
        <v/>
      </c>
    </row>
    <row r="3233" spans="1:24" x14ac:dyDescent="0.2">
      <c r="A3233" s="407">
        <v>3225</v>
      </c>
      <c r="B3233" s="438"/>
      <c r="C3233" s="438"/>
      <c r="D3233" s="438"/>
      <c r="E3233" s="438"/>
      <c r="F3233" s="438"/>
      <c r="G3233" s="438"/>
      <c r="H3233" s="438"/>
      <c r="I3233" s="438"/>
      <c r="J3233" s="11"/>
      <c r="Q3233" s="348" t="str">
        <f t="shared" si="408"/>
        <v/>
      </c>
      <c r="R3233" s="348" t="str">
        <f t="shared" si="409"/>
        <v/>
      </c>
      <c r="S3233" s="348" t="str">
        <f t="shared" si="410"/>
        <v/>
      </c>
      <c r="T3233" s="348" t="str">
        <f t="shared" si="411"/>
        <v/>
      </c>
      <c r="U3233" s="348" t="str">
        <f t="shared" si="412"/>
        <v/>
      </c>
      <c r="V3233" s="348" t="str">
        <f t="shared" si="413"/>
        <v/>
      </c>
      <c r="W3233" s="348" t="str">
        <f t="shared" si="414"/>
        <v/>
      </c>
      <c r="X3233" s="348" t="str">
        <f t="shared" si="415"/>
        <v/>
      </c>
    </row>
    <row r="3234" spans="1:24" x14ac:dyDescent="0.2">
      <c r="A3234" s="407">
        <v>3226</v>
      </c>
      <c r="B3234" s="438"/>
      <c r="C3234" s="438"/>
      <c r="D3234" s="438"/>
      <c r="E3234" s="437"/>
      <c r="F3234" s="437"/>
      <c r="G3234" s="437"/>
      <c r="H3234" s="437"/>
      <c r="I3234" s="437"/>
      <c r="J3234" s="11"/>
      <c r="Q3234" s="348" t="str">
        <f t="shared" si="408"/>
        <v/>
      </c>
      <c r="R3234" s="348" t="str">
        <f t="shared" si="409"/>
        <v/>
      </c>
      <c r="S3234" s="348" t="str">
        <f t="shared" si="410"/>
        <v/>
      </c>
      <c r="T3234" s="348" t="str">
        <f t="shared" si="411"/>
        <v/>
      </c>
      <c r="U3234" s="348" t="str">
        <f t="shared" si="412"/>
        <v/>
      </c>
      <c r="V3234" s="348" t="str">
        <f t="shared" si="413"/>
        <v/>
      </c>
      <c r="W3234" s="348" t="str">
        <f t="shared" si="414"/>
        <v/>
      </c>
      <c r="X3234" s="348" t="str">
        <f t="shared" si="415"/>
        <v/>
      </c>
    </row>
    <row r="3235" spans="1:24" x14ac:dyDescent="0.2">
      <c r="A3235" s="407">
        <v>3227</v>
      </c>
      <c r="B3235" s="438"/>
      <c r="C3235" s="438"/>
      <c r="D3235" s="438"/>
      <c r="E3235" s="438"/>
      <c r="F3235" s="438"/>
      <c r="G3235" s="438"/>
      <c r="H3235" s="438"/>
      <c r="I3235" s="438"/>
      <c r="J3235" s="11"/>
      <c r="Q3235" s="348" t="str">
        <f t="shared" si="408"/>
        <v/>
      </c>
      <c r="R3235" s="348" t="str">
        <f t="shared" si="409"/>
        <v/>
      </c>
      <c r="S3235" s="348" t="str">
        <f t="shared" si="410"/>
        <v/>
      </c>
      <c r="T3235" s="348" t="str">
        <f t="shared" si="411"/>
        <v/>
      </c>
      <c r="U3235" s="348" t="str">
        <f t="shared" si="412"/>
        <v/>
      </c>
      <c r="V3235" s="348" t="str">
        <f t="shared" si="413"/>
        <v/>
      </c>
      <c r="W3235" s="348" t="str">
        <f t="shared" si="414"/>
        <v/>
      </c>
      <c r="X3235" s="348" t="str">
        <f t="shared" si="415"/>
        <v/>
      </c>
    </row>
    <row r="3236" spans="1:24" x14ac:dyDescent="0.2">
      <c r="A3236" s="407">
        <v>3228</v>
      </c>
      <c r="B3236" s="438"/>
      <c r="C3236" s="438"/>
      <c r="D3236" s="438"/>
      <c r="E3236" s="438"/>
      <c r="F3236" s="438"/>
      <c r="G3236" s="438"/>
      <c r="H3236" s="438"/>
      <c r="I3236" s="438"/>
      <c r="J3236" s="11"/>
      <c r="Q3236" s="348" t="str">
        <f t="shared" si="408"/>
        <v/>
      </c>
      <c r="R3236" s="348" t="str">
        <f t="shared" si="409"/>
        <v/>
      </c>
      <c r="S3236" s="348" t="str">
        <f t="shared" si="410"/>
        <v/>
      </c>
      <c r="T3236" s="348" t="str">
        <f t="shared" si="411"/>
        <v/>
      </c>
      <c r="U3236" s="348" t="str">
        <f t="shared" si="412"/>
        <v/>
      </c>
      <c r="V3236" s="348" t="str">
        <f t="shared" si="413"/>
        <v/>
      </c>
      <c r="W3236" s="348" t="str">
        <f t="shared" si="414"/>
        <v/>
      </c>
      <c r="X3236" s="348" t="str">
        <f t="shared" si="415"/>
        <v/>
      </c>
    </row>
    <row r="3237" spans="1:24" x14ac:dyDescent="0.2">
      <c r="A3237" s="407">
        <v>3229</v>
      </c>
      <c r="B3237" s="437"/>
      <c r="C3237" s="438"/>
      <c r="D3237" s="438"/>
      <c r="E3237" s="438"/>
      <c r="F3237" s="438"/>
      <c r="G3237" s="438"/>
      <c r="H3237" s="438"/>
      <c r="I3237" s="438"/>
      <c r="J3237" s="11"/>
      <c r="Q3237" s="348" t="str">
        <f t="shared" si="408"/>
        <v/>
      </c>
      <c r="R3237" s="348" t="str">
        <f t="shared" si="409"/>
        <v/>
      </c>
      <c r="S3237" s="348" t="str">
        <f t="shared" si="410"/>
        <v/>
      </c>
      <c r="T3237" s="348" t="str">
        <f t="shared" si="411"/>
        <v/>
      </c>
      <c r="U3237" s="348" t="str">
        <f t="shared" si="412"/>
        <v/>
      </c>
      <c r="V3237" s="348" t="str">
        <f t="shared" si="413"/>
        <v/>
      </c>
      <c r="W3237" s="348" t="str">
        <f t="shared" si="414"/>
        <v/>
      </c>
      <c r="X3237" s="348" t="str">
        <f t="shared" si="415"/>
        <v/>
      </c>
    </row>
    <row r="3238" spans="1:24" x14ac:dyDescent="0.2">
      <c r="A3238" s="407">
        <v>3230</v>
      </c>
      <c r="B3238" s="438"/>
      <c r="C3238" s="438"/>
      <c r="D3238" s="438"/>
      <c r="E3238" s="438"/>
      <c r="F3238" s="438"/>
      <c r="G3238" s="438"/>
      <c r="H3238" s="438"/>
      <c r="I3238" s="438"/>
      <c r="J3238" s="11"/>
      <c r="Q3238" s="348" t="str">
        <f t="shared" si="408"/>
        <v/>
      </c>
      <c r="R3238" s="348" t="str">
        <f t="shared" si="409"/>
        <v/>
      </c>
      <c r="S3238" s="348" t="str">
        <f t="shared" si="410"/>
        <v/>
      </c>
      <c r="T3238" s="348" t="str">
        <f t="shared" si="411"/>
        <v/>
      </c>
      <c r="U3238" s="348" t="str">
        <f t="shared" si="412"/>
        <v/>
      </c>
      <c r="V3238" s="348" t="str">
        <f t="shared" si="413"/>
        <v/>
      </c>
      <c r="W3238" s="348" t="str">
        <f t="shared" si="414"/>
        <v/>
      </c>
      <c r="X3238" s="348" t="str">
        <f t="shared" si="415"/>
        <v/>
      </c>
    </row>
    <row r="3239" spans="1:24" x14ac:dyDescent="0.2">
      <c r="A3239" s="407">
        <v>3231</v>
      </c>
      <c r="B3239" s="438"/>
      <c r="C3239" s="438"/>
      <c r="D3239" s="438"/>
      <c r="E3239" s="438"/>
      <c r="F3239" s="438"/>
      <c r="G3239" s="438"/>
      <c r="H3239" s="438"/>
      <c r="I3239" s="438"/>
      <c r="J3239" s="11"/>
      <c r="Q3239" s="348" t="str">
        <f t="shared" si="408"/>
        <v/>
      </c>
      <c r="R3239" s="348" t="str">
        <f t="shared" si="409"/>
        <v/>
      </c>
      <c r="S3239" s="348" t="str">
        <f t="shared" si="410"/>
        <v/>
      </c>
      <c r="T3239" s="348" t="str">
        <f t="shared" si="411"/>
        <v/>
      </c>
      <c r="U3239" s="348" t="str">
        <f t="shared" si="412"/>
        <v/>
      </c>
      <c r="V3239" s="348" t="str">
        <f t="shared" si="413"/>
        <v/>
      </c>
      <c r="W3239" s="348" t="str">
        <f t="shared" si="414"/>
        <v/>
      </c>
      <c r="X3239" s="348" t="str">
        <f t="shared" si="415"/>
        <v/>
      </c>
    </row>
    <row r="3240" spans="1:24" x14ac:dyDescent="0.2">
      <c r="A3240" s="407">
        <v>3232</v>
      </c>
      <c r="B3240" s="438"/>
      <c r="C3240" s="438"/>
      <c r="D3240" s="437"/>
      <c r="E3240" s="438"/>
      <c r="F3240" s="438"/>
      <c r="G3240" s="438"/>
      <c r="H3240" s="438"/>
      <c r="I3240" s="438"/>
      <c r="J3240" s="11"/>
      <c r="Q3240" s="348" t="str">
        <f t="shared" si="408"/>
        <v/>
      </c>
      <c r="R3240" s="348" t="str">
        <f t="shared" si="409"/>
        <v/>
      </c>
      <c r="S3240" s="348" t="str">
        <f t="shared" si="410"/>
        <v/>
      </c>
      <c r="T3240" s="348" t="str">
        <f t="shared" si="411"/>
        <v/>
      </c>
      <c r="U3240" s="348" t="str">
        <f t="shared" si="412"/>
        <v/>
      </c>
      <c r="V3240" s="348" t="str">
        <f t="shared" si="413"/>
        <v/>
      </c>
      <c r="W3240" s="348" t="str">
        <f t="shared" si="414"/>
        <v/>
      </c>
      <c r="X3240" s="348" t="str">
        <f t="shared" si="415"/>
        <v/>
      </c>
    </row>
    <row r="3241" spans="1:24" x14ac:dyDescent="0.2">
      <c r="A3241" s="407">
        <v>3233</v>
      </c>
      <c r="B3241" s="438"/>
      <c r="C3241" s="438"/>
      <c r="D3241" s="438"/>
      <c r="E3241" s="438"/>
      <c r="F3241" s="438"/>
      <c r="G3241" s="438"/>
      <c r="H3241" s="438"/>
      <c r="I3241" s="438"/>
      <c r="J3241" s="11"/>
      <c r="Q3241" s="348" t="str">
        <f t="shared" si="408"/>
        <v/>
      </c>
      <c r="R3241" s="348" t="str">
        <f t="shared" si="409"/>
        <v/>
      </c>
      <c r="S3241" s="348" t="str">
        <f t="shared" si="410"/>
        <v/>
      </c>
      <c r="T3241" s="348" t="str">
        <f t="shared" si="411"/>
        <v/>
      </c>
      <c r="U3241" s="348" t="str">
        <f t="shared" si="412"/>
        <v/>
      </c>
      <c r="V3241" s="348" t="str">
        <f t="shared" si="413"/>
        <v/>
      </c>
      <c r="W3241" s="348" t="str">
        <f t="shared" si="414"/>
        <v/>
      </c>
      <c r="X3241" s="348" t="str">
        <f t="shared" si="415"/>
        <v/>
      </c>
    </row>
    <row r="3242" spans="1:24" x14ac:dyDescent="0.2">
      <c r="A3242" s="407">
        <v>3234</v>
      </c>
      <c r="B3242" s="438"/>
      <c r="C3242" s="438"/>
      <c r="D3242" s="438"/>
      <c r="E3242" s="438"/>
      <c r="F3242" s="438"/>
      <c r="G3242" s="438"/>
      <c r="H3242" s="438"/>
      <c r="I3242" s="438"/>
      <c r="J3242" s="11"/>
      <c r="Q3242" s="348" t="str">
        <f t="shared" si="408"/>
        <v/>
      </c>
      <c r="R3242" s="348" t="str">
        <f t="shared" si="409"/>
        <v/>
      </c>
      <c r="S3242" s="348" t="str">
        <f t="shared" si="410"/>
        <v/>
      </c>
      <c r="T3242" s="348" t="str">
        <f t="shared" si="411"/>
        <v/>
      </c>
      <c r="U3242" s="348" t="str">
        <f t="shared" si="412"/>
        <v/>
      </c>
      <c r="V3242" s="348" t="str">
        <f t="shared" si="413"/>
        <v/>
      </c>
      <c r="W3242" s="348" t="str">
        <f t="shared" si="414"/>
        <v/>
      </c>
      <c r="X3242" s="348" t="str">
        <f t="shared" si="415"/>
        <v/>
      </c>
    </row>
    <row r="3243" spans="1:24" x14ac:dyDescent="0.2">
      <c r="A3243" s="407">
        <v>3235</v>
      </c>
      <c r="B3243" s="438"/>
      <c r="C3243" s="438"/>
      <c r="D3243" s="438"/>
      <c r="E3243" s="438"/>
      <c r="F3243" s="438"/>
      <c r="G3243" s="438"/>
      <c r="H3243" s="438"/>
      <c r="I3243" s="438"/>
      <c r="J3243" s="11"/>
      <c r="Q3243" s="348" t="str">
        <f t="shared" si="408"/>
        <v/>
      </c>
      <c r="R3243" s="348" t="str">
        <f t="shared" si="409"/>
        <v/>
      </c>
      <c r="S3243" s="348" t="str">
        <f t="shared" si="410"/>
        <v/>
      </c>
      <c r="T3243" s="348" t="str">
        <f t="shared" si="411"/>
        <v/>
      </c>
      <c r="U3243" s="348" t="str">
        <f t="shared" si="412"/>
        <v/>
      </c>
      <c r="V3243" s="348" t="str">
        <f t="shared" si="413"/>
        <v/>
      </c>
      <c r="W3243" s="348" t="str">
        <f t="shared" si="414"/>
        <v/>
      </c>
      <c r="X3243" s="348" t="str">
        <f t="shared" si="415"/>
        <v/>
      </c>
    </row>
    <row r="3244" spans="1:24" x14ac:dyDescent="0.2">
      <c r="A3244" s="407">
        <v>3236</v>
      </c>
      <c r="B3244" s="438"/>
      <c r="C3244" s="437"/>
      <c r="D3244" s="438"/>
      <c r="E3244" s="438"/>
      <c r="F3244" s="438"/>
      <c r="G3244" s="438"/>
      <c r="H3244" s="438"/>
      <c r="I3244" s="438"/>
      <c r="J3244" s="11"/>
      <c r="Q3244" s="348" t="str">
        <f t="shared" si="408"/>
        <v/>
      </c>
      <c r="R3244" s="348" t="str">
        <f t="shared" si="409"/>
        <v/>
      </c>
      <c r="S3244" s="348" t="str">
        <f t="shared" si="410"/>
        <v/>
      </c>
      <c r="T3244" s="348" t="str">
        <f t="shared" si="411"/>
        <v/>
      </c>
      <c r="U3244" s="348" t="str">
        <f t="shared" si="412"/>
        <v/>
      </c>
      <c r="V3244" s="348" t="str">
        <f t="shared" si="413"/>
        <v/>
      </c>
      <c r="W3244" s="348" t="str">
        <f t="shared" si="414"/>
        <v/>
      </c>
      <c r="X3244" s="348" t="str">
        <f t="shared" si="415"/>
        <v/>
      </c>
    </row>
    <row r="3245" spans="1:24" x14ac:dyDescent="0.2">
      <c r="A3245" s="407">
        <v>3237</v>
      </c>
      <c r="B3245" s="438"/>
      <c r="C3245" s="438"/>
      <c r="D3245" s="438"/>
      <c r="E3245" s="438"/>
      <c r="F3245" s="438"/>
      <c r="G3245" s="438"/>
      <c r="H3245" s="438"/>
      <c r="I3245" s="438"/>
      <c r="J3245" s="11"/>
      <c r="Q3245" s="348" t="str">
        <f t="shared" si="408"/>
        <v/>
      </c>
      <c r="R3245" s="348" t="str">
        <f t="shared" si="409"/>
        <v/>
      </c>
      <c r="S3245" s="348" t="str">
        <f t="shared" si="410"/>
        <v/>
      </c>
      <c r="T3245" s="348" t="str">
        <f t="shared" si="411"/>
        <v/>
      </c>
      <c r="U3245" s="348" t="str">
        <f t="shared" si="412"/>
        <v/>
      </c>
      <c r="V3245" s="348" t="str">
        <f t="shared" si="413"/>
        <v/>
      </c>
      <c r="W3245" s="348" t="str">
        <f t="shared" si="414"/>
        <v/>
      </c>
      <c r="X3245" s="348" t="str">
        <f t="shared" si="415"/>
        <v/>
      </c>
    </row>
    <row r="3246" spans="1:24" x14ac:dyDescent="0.2">
      <c r="A3246" s="407">
        <v>3238</v>
      </c>
      <c r="B3246" s="438"/>
      <c r="C3246" s="438"/>
      <c r="D3246" s="438"/>
      <c r="E3246" s="438"/>
      <c r="F3246" s="438"/>
      <c r="G3246" s="438"/>
      <c r="H3246" s="438"/>
      <c r="I3246" s="438"/>
      <c r="J3246" s="11"/>
      <c r="Q3246" s="348" t="str">
        <f t="shared" si="408"/>
        <v/>
      </c>
      <c r="R3246" s="348" t="str">
        <f t="shared" si="409"/>
        <v/>
      </c>
      <c r="S3246" s="348" t="str">
        <f t="shared" si="410"/>
        <v/>
      </c>
      <c r="T3246" s="348" t="str">
        <f t="shared" si="411"/>
        <v/>
      </c>
      <c r="U3246" s="348" t="str">
        <f t="shared" si="412"/>
        <v/>
      </c>
      <c r="V3246" s="348" t="str">
        <f t="shared" si="413"/>
        <v/>
      </c>
      <c r="W3246" s="348" t="str">
        <f t="shared" si="414"/>
        <v/>
      </c>
      <c r="X3246" s="348" t="str">
        <f t="shared" si="415"/>
        <v/>
      </c>
    </row>
    <row r="3247" spans="1:24" x14ac:dyDescent="0.2">
      <c r="A3247" s="407">
        <v>3239</v>
      </c>
      <c r="B3247" s="438"/>
      <c r="C3247" s="438"/>
      <c r="D3247" s="438"/>
      <c r="E3247" s="438"/>
      <c r="F3247" s="438"/>
      <c r="G3247" s="438"/>
      <c r="H3247" s="438"/>
      <c r="I3247" s="438"/>
      <c r="J3247" s="11"/>
      <c r="Q3247" s="348" t="str">
        <f t="shared" si="408"/>
        <v/>
      </c>
      <c r="R3247" s="348" t="str">
        <f t="shared" si="409"/>
        <v/>
      </c>
      <c r="S3247" s="348" t="str">
        <f t="shared" si="410"/>
        <v/>
      </c>
      <c r="T3247" s="348" t="str">
        <f t="shared" si="411"/>
        <v/>
      </c>
      <c r="U3247" s="348" t="str">
        <f t="shared" si="412"/>
        <v/>
      </c>
      <c r="V3247" s="348" t="str">
        <f t="shared" si="413"/>
        <v/>
      </c>
      <c r="W3247" s="348" t="str">
        <f t="shared" si="414"/>
        <v/>
      </c>
      <c r="X3247" s="348" t="str">
        <f t="shared" si="415"/>
        <v/>
      </c>
    </row>
    <row r="3248" spans="1:24" x14ac:dyDescent="0.2">
      <c r="A3248" s="407">
        <v>3240</v>
      </c>
      <c r="B3248" s="438"/>
      <c r="C3248" s="438"/>
      <c r="D3248" s="438"/>
      <c r="E3248" s="438"/>
      <c r="F3248" s="438"/>
      <c r="G3248" s="438"/>
      <c r="H3248" s="438"/>
      <c r="I3248" s="438"/>
      <c r="J3248" s="11"/>
      <c r="Q3248" s="348" t="str">
        <f t="shared" si="408"/>
        <v/>
      </c>
      <c r="R3248" s="348" t="str">
        <f t="shared" si="409"/>
        <v/>
      </c>
      <c r="S3248" s="348" t="str">
        <f t="shared" si="410"/>
        <v/>
      </c>
      <c r="T3248" s="348" t="str">
        <f t="shared" si="411"/>
        <v/>
      </c>
      <c r="U3248" s="348" t="str">
        <f t="shared" si="412"/>
        <v/>
      </c>
      <c r="V3248" s="348" t="str">
        <f t="shared" si="413"/>
        <v/>
      </c>
      <c r="W3248" s="348" t="str">
        <f t="shared" si="414"/>
        <v/>
      </c>
      <c r="X3248" s="348" t="str">
        <f t="shared" si="415"/>
        <v/>
      </c>
    </row>
    <row r="3249" spans="1:24" x14ac:dyDescent="0.2">
      <c r="A3249" s="407">
        <v>3241</v>
      </c>
      <c r="B3249" s="438"/>
      <c r="C3249" s="438"/>
      <c r="D3249" s="438"/>
      <c r="E3249" s="438"/>
      <c r="F3249" s="438"/>
      <c r="G3249" s="438"/>
      <c r="H3249" s="438"/>
      <c r="I3249" s="438"/>
      <c r="J3249" s="11"/>
      <c r="Q3249" s="348" t="str">
        <f t="shared" si="408"/>
        <v/>
      </c>
      <c r="R3249" s="348" t="str">
        <f t="shared" si="409"/>
        <v/>
      </c>
      <c r="S3249" s="348" t="str">
        <f t="shared" si="410"/>
        <v/>
      </c>
      <c r="T3249" s="348" t="str">
        <f t="shared" si="411"/>
        <v/>
      </c>
      <c r="U3249" s="348" t="str">
        <f t="shared" si="412"/>
        <v/>
      </c>
      <c r="V3249" s="348" t="str">
        <f t="shared" si="413"/>
        <v/>
      </c>
      <c r="W3249" s="348" t="str">
        <f t="shared" si="414"/>
        <v/>
      </c>
      <c r="X3249" s="348" t="str">
        <f t="shared" si="415"/>
        <v/>
      </c>
    </row>
    <row r="3250" spans="1:24" x14ac:dyDescent="0.2">
      <c r="A3250" s="407">
        <v>3242</v>
      </c>
      <c r="B3250" s="438"/>
      <c r="C3250" s="438"/>
      <c r="D3250" s="438"/>
      <c r="E3250" s="438"/>
      <c r="F3250" s="438"/>
      <c r="G3250" s="438"/>
      <c r="H3250" s="438"/>
      <c r="I3250" s="438"/>
      <c r="J3250" s="11"/>
      <c r="Q3250" s="348" t="str">
        <f t="shared" si="408"/>
        <v/>
      </c>
      <c r="R3250" s="348" t="str">
        <f t="shared" si="409"/>
        <v/>
      </c>
      <c r="S3250" s="348" t="str">
        <f t="shared" si="410"/>
        <v/>
      </c>
      <c r="T3250" s="348" t="str">
        <f t="shared" si="411"/>
        <v/>
      </c>
      <c r="U3250" s="348" t="str">
        <f t="shared" si="412"/>
        <v/>
      </c>
      <c r="V3250" s="348" t="str">
        <f t="shared" si="413"/>
        <v/>
      </c>
      <c r="W3250" s="348" t="str">
        <f t="shared" si="414"/>
        <v/>
      </c>
      <c r="X3250" s="348" t="str">
        <f t="shared" si="415"/>
        <v/>
      </c>
    </row>
    <row r="3251" spans="1:24" x14ac:dyDescent="0.2">
      <c r="A3251" s="407">
        <v>3243</v>
      </c>
      <c r="B3251" s="437"/>
      <c r="C3251" s="438"/>
      <c r="D3251" s="438"/>
      <c r="E3251" s="438"/>
      <c r="F3251" s="438"/>
      <c r="G3251" s="438"/>
      <c r="H3251" s="438"/>
      <c r="I3251" s="438"/>
      <c r="J3251" s="11"/>
      <c r="Q3251" s="348" t="str">
        <f t="shared" si="408"/>
        <v/>
      </c>
      <c r="R3251" s="348" t="str">
        <f t="shared" si="409"/>
        <v/>
      </c>
      <c r="S3251" s="348" t="str">
        <f t="shared" si="410"/>
        <v/>
      </c>
      <c r="T3251" s="348" t="str">
        <f t="shared" si="411"/>
        <v/>
      </c>
      <c r="U3251" s="348" t="str">
        <f t="shared" si="412"/>
        <v/>
      </c>
      <c r="V3251" s="348" t="str">
        <f t="shared" si="413"/>
        <v/>
      </c>
      <c r="W3251" s="348" t="str">
        <f t="shared" si="414"/>
        <v/>
      </c>
      <c r="X3251" s="348" t="str">
        <f t="shared" si="415"/>
        <v/>
      </c>
    </row>
    <row r="3252" spans="1:24" x14ac:dyDescent="0.2">
      <c r="A3252" s="407">
        <v>3244</v>
      </c>
      <c r="B3252" s="438"/>
      <c r="C3252" s="438"/>
      <c r="D3252" s="438"/>
      <c r="E3252" s="438"/>
      <c r="F3252" s="438"/>
      <c r="G3252" s="438"/>
      <c r="H3252" s="438"/>
      <c r="I3252" s="438"/>
      <c r="J3252" s="11"/>
      <c r="Q3252" s="348" t="str">
        <f t="shared" si="408"/>
        <v/>
      </c>
      <c r="R3252" s="348" t="str">
        <f t="shared" si="409"/>
        <v/>
      </c>
      <c r="S3252" s="348" t="str">
        <f t="shared" si="410"/>
        <v/>
      </c>
      <c r="T3252" s="348" t="str">
        <f t="shared" si="411"/>
        <v/>
      </c>
      <c r="U3252" s="348" t="str">
        <f t="shared" si="412"/>
        <v/>
      </c>
      <c r="V3252" s="348" t="str">
        <f t="shared" si="413"/>
        <v/>
      </c>
      <c r="W3252" s="348" t="str">
        <f t="shared" si="414"/>
        <v/>
      </c>
      <c r="X3252" s="348" t="str">
        <f t="shared" si="415"/>
        <v/>
      </c>
    </row>
    <row r="3253" spans="1:24" x14ac:dyDescent="0.2">
      <c r="A3253" s="407">
        <v>3245</v>
      </c>
      <c r="B3253" s="438"/>
      <c r="C3253" s="438"/>
      <c r="D3253" s="438"/>
      <c r="E3253" s="438"/>
      <c r="F3253" s="438"/>
      <c r="G3253" s="438"/>
      <c r="H3253" s="438"/>
      <c r="I3253" s="438"/>
      <c r="J3253" s="11"/>
      <c r="Q3253" s="348" t="str">
        <f t="shared" si="408"/>
        <v/>
      </c>
      <c r="R3253" s="348" t="str">
        <f t="shared" si="409"/>
        <v/>
      </c>
      <c r="S3253" s="348" t="str">
        <f t="shared" si="410"/>
        <v/>
      </c>
      <c r="T3253" s="348" t="str">
        <f t="shared" si="411"/>
        <v/>
      </c>
      <c r="U3253" s="348" t="str">
        <f t="shared" si="412"/>
        <v/>
      </c>
      <c r="V3253" s="348" t="str">
        <f t="shared" si="413"/>
        <v/>
      </c>
      <c r="W3253" s="348" t="str">
        <f t="shared" si="414"/>
        <v/>
      </c>
      <c r="X3253" s="348" t="str">
        <f t="shared" si="415"/>
        <v/>
      </c>
    </row>
    <row r="3254" spans="1:24" x14ac:dyDescent="0.2">
      <c r="A3254" s="407">
        <v>3246</v>
      </c>
      <c r="B3254" s="438"/>
      <c r="C3254" s="438"/>
      <c r="D3254" s="438"/>
      <c r="E3254" s="438"/>
      <c r="F3254" s="438"/>
      <c r="G3254" s="438"/>
      <c r="H3254" s="438"/>
      <c r="I3254" s="438"/>
      <c r="J3254" s="11"/>
      <c r="Q3254" s="348" t="str">
        <f t="shared" si="408"/>
        <v/>
      </c>
      <c r="R3254" s="348" t="str">
        <f t="shared" si="409"/>
        <v/>
      </c>
      <c r="S3254" s="348" t="str">
        <f t="shared" si="410"/>
        <v/>
      </c>
      <c r="T3254" s="348" t="str">
        <f t="shared" si="411"/>
        <v/>
      </c>
      <c r="U3254" s="348" t="str">
        <f t="shared" si="412"/>
        <v/>
      </c>
      <c r="V3254" s="348" t="str">
        <f t="shared" si="413"/>
        <v/>
      </c>
      <c r="W3254" s="348" t="str">
        <f t="shared" si="414"/>
        <v/>
      </c>
      <c r="X3254" s="348" t="str">
        <f t="shared" si="415"/>
        <v/>
      </c>
    </row>
    <row r="3255" spans="1:24" x14ac:dyDescent="0.2">
      <c r="A3255" s="407">
        <v>3247</v>
      </c>
      <c r="B3255" s="438"/>
      <c r="C3255" s="438"/>
      <c r="D3255" s="438"/>
      <c r="E3255" s="438"/>
      <c r="F3255" s="438"/>
      <c r="G3255" s="438"/>
      <c r="H3255" s="438"/>
      <c r="I3255" s="438"/>
      <c r="J3255" s="11"/>
      <c r="Q3255" s="348" t="str">
        <f t="shared" si="408"/>
        <v/>
      </c>
      <c r="R3255" s="348" t="str">
        <f t="shared" si="409"/>
        <v/>
      </c>
      <c r="S3255" s="348" t="str">
        <f t="shared" si="410"/>
        <v/>
      </c>
      <c r="T3255" s="348" t="str">
        <f t="shared" si="411"/>
        <v/>
      </c>
      <c r="U3255" s="348" t="str">
        <f t="shared" si="412"/>
        <v/>
      </c>
      <c r="V3255" s="348" t="str">
        <f t="shared" si="413"/>
        <v/>
      </c>
      <c r="W3255" s="348" t="str">
        <f t="shared" si="414"/>
        <v/>
      </c>
      <c r="X3255" s="348" t="str">
        <f t="shared" si="415"/>
        <v/>
      </c>
    </row>
    <row r="3256" spans="1:24" x14ac:dyDescent="0.2">
      <c r="A3256" s="407">
        <v>3248</v>
      </c>
      <c r="B3256" s="438"/>
      <c r="C3256" s="438"/>
      <c r="D3256" s="438"/>
      <c r="E3256" s="438"/>
      <c r="F3256" s="438"/>
      <c r="G3256" s="438"/>
      <c r="H3256" s="438"/>
      <c r="I3256" s="438"/>
      <c r="J3256" s="11"/>
      <c r="Q3256" s="348" t="str">
        <f t="shared" si="408"/>
        <v/>
      </c>
      <c r="R3256" s="348" t="str">
        <f t="shared" si="409"/>
        <v/>
      </c>
      <c r="S3256" s="348" t="str">
        <f t="shared" si="410"/>
        <v/>
      </c>
      <c r="T3256" s="348" t="str">
        <f t="shared" si="411"/>
        <v/>
      </c>
      <c r="U3256" s="348" t="str">
        <f t="shared" si="412"/>
        <v/>
      </c>
      <c r="V3256" s="348" t="str">
        <f t="shared" si="413"/>
        <v/>
      </c>
      <c r="W3256" s="348" t="str">
        <f t="shared" si="414"/>
        <v/>
      </c>
      <c r="X3256" s="348" t="str">
        <f t="shared" si="415"/>
        <v/>
      </c>
    </row>
    <row r="3257" spans="1:24" x14ac:dyDescent="0.2">
      <c r="A3257" s="407">
        <v>3249</v>
      </c>
      <c r="B3257" s="438"/>
      <c r="C3257" s="438"/>
      <c r="D3257" s="438"/>
      <c r="E3257" s="438"/>
      <c r="F3257" s="438"/>
      <c r="G3257" s="438"/>
      <c r="H3257" s="438"/>
      <c r="I3257" s="438"/>
      <c r="J3257" s="11"/>
      <c r="Q3257" s="348" t="str">
        <f t="shared" si="408"/>
        <v/>
      </c>
      <c r="R3257" s="348" t="str">
        <f t="shared" si="409"/>
        <v/>
      </c>
      <c r="S3257" s="348" t="str">
        <f t="shared" si="410"/>
        <v/>
      </c>
      <c r="T3257" s="348" t="str">
        <f t="shared" si="411"/>
        <v/>
      </c>
      <c r="U3257" s="348" t="str">
        <f t="shared" si="412"/>
        <v/>
      </c>
      <c r="V3257" s="348" t="str">
        <f t="shared" si="413"/>
        <v/>
      </c>
      <c r="W3257" s="348" t="str">
        <f t="shared" si="414"/>
        <v/>
      </c>
      <c r="X3257" s="348" t="str">
        <f t="shared" si="415"/>
        <v/>
      </c>
    </row>
    <row r="3258" spans="1:24" x14ac:dyDescent="0.2">
      <c r="A3258" s="407">
        <v>3250</v>
      </c>
      <c r="B3258" s="438"/>
      <c r="C3258" s="437"/>
      <c r="D3258" s="438"/>
      <c r="E3258" s="438"/>
      <c r="F3258" s="438"/>
      <c r="G3258" s="438"/>
      <c r="H3258" s="438"/>
      <c r="I3258" s="438"/>
      <c r="J3258" s="11"/>
      <c r="Q3258" s="348" t="str">
        <f t="shared" si="408"/>
        <v/>
      </c>
      <c r="R3258" s="348" t="str">
        <f t="shared" si="409"/>
        <v/>
      </c>
      <c r="S3258" s="348" t="str">
        <f t="shared" si="410"/>
        <v/>
      </c>
      <c r="T3258" s="348" t="str">
        <f t="shared" si="411"/>
        <v/>
      </c>
      <c r="U3258" s="348" t="str">
        <f t="shared" si="412"/>
        <v/>
      </c>
      <c r="V3258" s="348" t="str">
        <f t="shared" si="413"/>
        <v/>
      </c>
      <c r="W3258" s="348" t="str">
        <f t="shared" si="414"/>
        <v/>
      </c>
      <c r="X3258" s="348" t="str">
        <f t="shared" si="415"/>
        <v/>
      </c>
    </row>
    <row r="3259" spans="1:24" x14ac:dyDescent="0.2">
      <c r="A3259" s="407">
        <v>3251</v>
      </c>
      <c r="B3259" s="438"/>
      <c r="C3259" s="438"/>
      <c r="D3259" s="438"/>
      <c r="E3259" s="437"/>
      <c r="F3259" s="438"/>
      <c r="G3259" s="438"/>
      <c r="H3259" s="438"/>
      <c r="I3259" s="438"/>
      <c r="J3259" s="11"/>
      <c r="Q3259" s="348" t="str">
        <f t="shared" si="408"/>
        <v/>
      </c>
      <c r="R3259" s="348" t="str">
        <f t="shared" si="409"/>
        <v/>
      </c>
      <c r="S3259" s="348" t="str">
        <f t="shared" si="410"/>
        <v/>
      </c>
      <c r="T3259" s="348" t="str">
        <f t="shared" si="411"/>
        <v/>
      </c>
      <c r="U3259" s="348" t="str">
        <f t="shared" si="412"/>
        <v/>
      </c>
      <c r="V3259" s="348" t="str">
        <f t="shared" si="413"/>
        <v/>
      </c>
      <c r="W3259" s="348" t="str">
        <f t="shared" si="414"/>
        <v/>
      </c>
      <c r="X3259" s="348" t="str">
        <f t="shared" si="415"/>
        <v/>
      </c>
    </row>
    <row r="3260" spans="1:24" x14ac:dyDescent="0.2">
      <c r="A3260" s="407">
        <v>3252</v>
      </c>
      <c r="B3260" s="438"/>
      <c r="C3260" s="438"/>
      <c r="D3260" s="438"/>
      <c r="E3260" s="438"/>
      <c r="F3260" s="438"/>
      <c r="G3260" s="438"/>
      <c r="H3260" s="438"/>
      <c r="I3260" s="438"/>
      <c r="J3260" s="11"/>
      <c r="Q3260" s="348" t="str">
        <f t="shared" si="408"/>
        <v/>
      </c>
      <c r="R3260" s="348" t="str">
        <f t="shared" si="409"/>
        <v/>
      </c>
      <c r="S3260" s="348" t="str">
        <f t="shared" si="410"/>
        <v/>
      </c>
      <c r="T3260" s="348" t="str">
        <f t="shared" si="411"/>
        <v/>
      </c>
      <c r="U3260" s="348" t="str">
        <f t="shared" si="412"/>
        <v/>
      </c>
      <c r="V3260" s="348" t="str">
        <f t="shared" si="413"/>
        <v/>
      </c>
      <c r="W3260" s="348" t="str">
        <f t="shared" si="414"/>
        <v/>
      </c>
      <c r="X3260" s="348" t="str">
        <f t="shared" si="415"/>
        <v/>
      </c>
    </row>
    <row r="3261" spans="1:24" x14ac:dyDescent="0.2">
      <c r="A3261" s="407">
        <v>3253</v>
      </c>
      <c r="B3261" s="438"/>
      <c r="C3261" s="438"/>
      <c r="D3261" s="438"/>
      <c r="E3261" s="438"/>
      <c r="F3261" s="438"/>
      <c r="G3261" s="438"/>
      <c r="H3261" s="438"/>
      <c r="I3261" s="438"/>
      <c r="J3261" s="11"/>
      <c r="Q3261" s="348" t="str">
        <f t="shared" si="408"/>
        <v/>
      </c>
      <c r="R3261" s="348" t="str">
        <f t="shared" si="409"/>
        <v/>
      </c>
      <c r="S3261" s="348" t="str">
        <f t="shared" si="410"/>
        <v/>
      </c>
      <c r="T3261" s="348" t="str">
        <f t="shared" si="411"/>
        <v/>
      </c>
      <c r="U3261" s="348" t="str">
        <f t="shared" si="412"/>
        <v/>
      </c>
      <c r="V3261" s="348" t="str">
        <f t="shared" si="413"/>
        <v/>
      </c>
      <c r="W3261" s="348" t="str">
        <f t="shared" si="414"/>
        <v/>
      </c>
      <c r="X3261" s="348" t="str">
        <f t="shared" si="415"/>
        <v/>
      </c>
    </row>
    <row r="3262" spans="1:24" x14ac:dyDescent="0.2">
      <c r="A3262" s="407">
        <v>3254</v>
      </c>
      <c r="B3262" s="438"/>
      <c r="C3262" s="438"/>
      <c r="D3262" s="438"/>
      <c r="E3262" s="438"/>
      <c r="F3262" s="438"/>
      <c r="G3262" s="438"/>
      <c r="H3262" s="438"/>
      <c r="I3262" s="438"/>
      <c r="J3262" s="11"/>
      <c r="Q3262" s="348" t="str">
        <f t="shared" si="408"/>
        <v/>
      </c>
      <c r="R3262" s="348" t="str">
        <f t="shared" si="409"/>
        <v/>
      </c>
      <c r="S3262" s="348" t="str">
        <f t="shared" si="410"/>
        <v/>
      </c>
      <c r="T3262" s="348" t="str">
        <f t="shared" si="411"/>
        <v/>
      </c>
      <c r="U3262" s="348" t="str">
        <f t="shared" si="412"/>
        <v/>
      </c>
      <c r="V3262" s="348" t="str">
        <f t="shared" si="413"/>
        <v/>
      </c>
      <c r="W3262" s="348" t="str">
        <f t="shared" si="414"/>
        <v/>
      </c>
      <c r="X3262" s="348" t="str">
        <f t="shared" si="415"/>
        <v/>
      </c>
    </row>
    <row r="3263" spans="1:24" x14ac:dyDescent="0.2">
      <c r="A3263" s="407">
        <v>3255</v>
      </c>
      <c r="B3263" s="438"/>
      <c r="C3263" s="438"/>
      <c r="D3263" s="438"/>
      <c r="E3263" s="438"/>
      <c r="F3263" s="438"/>
      <c r="G3263" s="438"/>
      <c r="H3263" s="438"/>
      <c r="I3263" s="438"/>
      <c r="J3263" s="11"/>
      <c r="Q3263" s="348" t="str">
        <f t="shared" si="408"/>
        <v/>
      </c>
      <c r="R3263" s="348" t="str">
        <f t="shared" si="409"/>
        <v/>
      </c>
      <c r="S3263" s="348" t="str">
        <f t="shared" si="410"/>
        <v/>
      </c>
      <c r="T3263" s="348" t="str">
        <f t="shared" si="411"/>
        <v/>
      </c>
      <c r="U3263" s="348" t="str">
        <f t="shared" si="412"/>
        <v/>
      </c>
      <c r="V3263" s="348" t="str">
        <f t="shared" si="413"/>
        <v/>
      </c>
      <c r="W3263" s="348" t="str">
        <f t="shared" si="414"/>
        <v/>
      </c>
      <c r="X3263" s="348" t="str">
        <f t="shared" si="415"/>
        <v/>
      </c>
    </row>
    <row r="3264" spans="1:24" x14ac:dyDescent="0.2">
      <c r="A3264" s="407">
        <v>3256</v>
      </c>
      <c r="B3264" s="438"/>
      <c r="C3264" s="438"/>
      <c r="D3264" s="438"/>
      <c r="E3264" s="438"/>
      <c r="F3264" s="438"/>
      <c r="G3264" s="438"/>
      <c r="H3264" s="438"/>
      <c r="I3264" s="438"/>
      <c r="J3264" s="11"/>
      <c r="Q3264" s="348" t="str">
        <f t="shared" si="408"/>
        <v/>
      </c>
      <c r="R3264" s="348" t="str">
        <f t="shared" si="409"/>
        <v/>
      </c>
      <c r="S3264" s="348" t="str">
        <f t="shared" si="410"/>
        <v/>
      </c>
      <c r="T3264" s="348" t="str">
        <f t="shared" si="411"/>
        <v/>
      </c>
      <c r="U3264" s="348" t="str">
        <f t="shared" si="412"/>
        <v/>
      </c>
      <c r="V3264" s="348" t="str">
        <f t="shared" si="413"/>
        <v/>
      </c>
      <c r="W3264" s="348" t="str">
        <f t="shared" si="414"/>
        <v/>
      </c>
      <c r="X3264" s="348" t="str">
        <f t="shared" si="415"/>
        <v/>
      </c>
    </row>
    <row r="3265" spans="1:24" x14ac:dyDescent="0.2">
      <c r="A3265" s="407">
        <v>3257</v>
      </c>
      <c r="B3265" s="438"/>
      <c r="C3265" s="438"/>
      <c r="D3265" s="438"/>
      <c r="E3265" s="438"/>
      <c r="F3265" s="438"/>
      <c r="G3265" s="438"/>
      <c r="H3265" s="438"/>
      <c r="I3265" s="438"/>
      <c r="J3265" s="11"/>
      <c r="Q3265" s="348" t="str">
        <f t="shared" si="408"/>
        <v/>
      </c>
      <c r="R3265" s="348" t="str">
        <f t="shared" si="409"/>
        <v/>
      </c>
      <c r="S3265" s="348" t="str">
        <f t="shared" si="410"/>
        <v/>
      </c>
      <c r="T3265" s="348" t="str">
        <f t="shared" si="411"/>
        <v/>
      </c>
      <c r="U3265" s="348" t="str">
        <f t="shared" si="412"/>
        <v/>
      </c>
      <c r="V3265" s="348" t="str">
        <f t="shared" si="413"/>
        <v/>
      </c>
      <c r="W3265" s="348" t="str">
        <f t="shared" si="414"/>
        <v/>
      </c>
      <c r="X3265" s="348" t="str">
        <f t="shared" si="415"/>
        <v/>
      </c>
    </row>
    <row r="3266" spans="1:24" x14ac:dyDescent="0.2">
      <c r="A3266" s="407">
        <v>3258</v>
      </c>
      <c r="B3266" s="438"/>
      <c r="C3266" s="438"/>
      <c r="D3266" s="438"/>
      <c r="E3266" s="438"/>
      <c r="F3266" s="438"/>
      <c r="G3266" s="438"/>
      <c r="H3266" s="438"/>
      <c r="I3266" s="438"/>
      <c r="J3266" s="11"/>
      <c r="Q3266" s="348" t="str">
        <f t="shared" si="408"/>
        <v/>
      </c>
      <c r="R3266" s="348" t="str">
        <f t="shared" si="409"/>
        <v/>
      </c>
      <c r="S3266" s="348" t="str">
        <f t="shared" si="410"/>
        <v/>
      </c>
      <c r="T3266" s="348" t="str">
        <f t="shared" si="411"/>
        <v/>
      </c>
      <c r="U3266" s="348" t="str">
        <f t="shared" si="412"/>
        <v/>
      </c>
      <c r="V3266" s="348" t="str">
        <f t="shared" si="413"/>
        <v/>
      </c>
      <c r="W3266" s="348" t="str">
        <f t="shared" si="414"/>
        <v/>
      </c>
      <c r="X3266" s="348" t="str">
        <f t="shared" si="415"/>
        <v/>
      </c>
    </row>
    <row r="3267" spans="1:24" x14ac:dyDescent="0.2">
      <c r="A3267" s="407">
        <v>3259</v>
      </c>
      <c r="B3267" s="438"/>
      <c r="C3267" s="438"/>
      <c r="D3267" s="438"/>
      <c r="E3267" s="438"/>
      <c r="F3267" s="438"/>
      <c r="G3267" s="438"/>
      <c r="H3267" s="438"/>
      <c r="I3267" s="438"/>
      <c r="J3267" s="11"/>
      <c r="Q3267" s="348" t="str">
        <f t="shared" si="408"/>
        <v/>
      </c>
      <c r="R3267" s="348" t="str">
        <f t="shared" si="409"/>
        <v/>
      </c>
      <c r="S3267" s="348" t="str">
        <f t="shared" si="410"/>
        <v/>
      </c>
      <c r="T3267" s="348" t="str">
        <f t="shared" si="411"/>
        <v/>
      </c>
      <c r="U3267" s="348" t="str">
        <f t="shared" si="412"/>
        <v/>
      </c>
      <c r="V3267" s="348" t="str">
        <f t="shared" si="413"/>
        <v/>
      </c>
      <c r="W3267" s="348" t="str">
        <f t="shared" si="414"/>
        <v/>
      </c>
      <c r="X3267" s="348" t="str">
        <f t="shared" si="415"/>
        <v/>
      </c>
    </row>
    <row r="3268" spans="1:24" x14ac:dyDescent="0.2">
      <c r="A3268" s="407">
        <v>3260</v>
      </c>
      <c r="B3268" s="438"/>
      <c r="C3268" s="438"/>
      <c r="D3268" s="437"/>
      <c r="E3268" s="438"/>
      <c r="F3268" s="438"/>
      <c r="G3268" s="438"/>
      <c r="H3268" s="438"/>
      <c r="I3268" s="438"/>
      <c r="J3268" s="11"/>
      <c r="Q3268" s="348" t="str">
        <f t="shared" si="408"/>
        <v/>
      </c>
      <c r="R3268" s="348" t="str">
        <f t="shared" si="409"/>
        <v/>
      </c>
      <c r="S3268" s="348" t="str">
        <f t="shared" si="410"/>
        <v/>
      </c>
      <c r="T3268" s="348" t="str">
        <f t="shared" si="411"/>
        <v/>
      </c>
      <c r="U3268" s="348" t="str">
        <f t="shared" si="412"/>
        <v/>
      </c>
      <c r="V3268" s="348" t="str">
        <f t="shared" si="413"/>
        <v/>
      </c>
      <c r="W3268" s="348" t="str">
        <f t="shared" si="414"/>
        <v/>
      </c>
      <c r="X3268" s="348" t="str">
        <f t="shared" si="415"/>
        <v/>
      </c>
    </row>
    <row r="3269" spans="1:24" x14ac:dyDescent="0.2">
      <c r="A3269" s="407">
        <v>3261</v>
      </c>
      <c r="B3269" s="438"/>
      <c r="C3269" s="438"/>
      <c r="D3269" s="438"/>
      <c r="E3269" s="438"/>
      <c r="F3269" s="438"/>
      <c r="G3269" s="438"/>
      <c r="H3269" s="438"/>
      <c r="I3269" s="438"/>
      <c r="J3269" s="11"/>
      <c r="Q3269" s="348" t="str">
        <f t="shared" si="408"/>
        <v/>
      </c>
      <c r="R3269" s="348" t="str">
        <f t="shared" si="409"/>
        <v/>
      </c>
      <c r="S3269" s="348" t="str">
        <f t="shared" si="410"/>
        <v/>
      </c>
      <c r="T3269" s="348" t="str">
        <f t="shared" si="411"/>
        <v/>
      </c>
      <c r="U3269" s="348" t="str">
        <f t="shared" si="412"/>
        <v/>
      </c>
      <c r="V3269" s="348" t="str">
        <f t="shared" si="413"/>
        <v/>
      </c>
      <c r="W3269" s="348" t="str">
        <f t="shared" si="414"/>
        <v/>
      </c>
      <c r="X3269" s="348" t="str">
        <f t="shared" si="415"/>
        <v/>
      </c>
    </row>
    <row r="3270" spans="1:24" x14ac:dyDescent="0.2">
      <c r="A3270" s="407">
        <v>3262</v>
      </c>
      <c r="B3270" s="437"/>
      <c r="C3270" s="438"/>
      <c r="D3270" s="438"/>
      <c r="E3270" s="438"/>
      <c r="F3270" s="438"/>
      <c r="G3270" s="437"/>
      <c r="H3270" s="438"/>
      <c r="I3270" s="438"/>
      <c r="J3270" s="11"/>
      <c r="Q3270" s="348" t="str">
        <f t="shared" si="408"/>
        <v/>
      </c>
      <c r="R3270" s="348" t="str">
        <f t="shared" si="409"/>
        <v/>
      </c>
      <c r="S3270" s="348" t="str">
        <f t="shared" si="410"/>
        <v/>
      </c>
      <c r="T3270" s="348" t="str">
        <f t="shared" si="411"/>
        <v/>
      </c>
      <c r="U3270" s="348" t="str">
        <f t="shared" si="412"/>
        <v/>
      </c>
      <c r="V3270" s="348" t="str">
        <f t="shared" si="413"/>
        <v/>
      </c>
      <c r="W3270" s="348" t="str">
        <f t="shared" si="414"/>
        <v/>
      </c>
      <c r="X3270" s="348" t="str">
        <f t="shared" si="415"/>
        <v/>
      </c>
    </row>
    <row r="3271" spans="1:24" x14ac:dyDescent="0.2">
      <c r="A3271" s="407">
        <v>3263</v>
      </c>
      <c r="B3271" s="438"/>
      <c r="C3271" s="438"/>
      <c r="D3271" s="438"/>
      <c r="E3271" s="438"/>
      <c r="F3271" s="438"/>
      <c r="G3271" s="438"/>
      <c r="H3271" s="438"/>
      <c r="I3271" s="438"/>
      <c r="J3271" s="11"/>
      <c r="Q3271" s="348" t="str">
        <f t="shared" si="408"/>
        <v/>
      </c>
      <c r="R3271" s="348" t="str">
        <f t="shared" si="409"/>
        <v/>
      </c>
      <c r="S3271" s="348" t="str">
        <f t="shared" si="410"/>
        <v/>
      </c>
      <c r="T3271" s="348" t="str">
        <f t="shared" si="411"/>
        <v/>
      </c>
      <c r="U3271" s="348" t="str">
        <f t="shared" si="412"/>
        <v/>
      </c>
      <c r="V3271" s="348" t="str">
        <f t="shared" si="413"/>
        <v/>
      </c>
      <c r="W3271" s="348" t="str">
        <f t="shared" si="414"/>
        <v/>
      </c>
      <c r="X3271" s="348" t="str">
        <f t="shared" si="415"/>
        <v/>
      </c>
    </row>
    <row r="3272" spans="1:24" x14ac:dyDescent="0.2">
      <c r="A3272" s="407">
        <v>3264</v>
      </c>
      <c r="B3272" s="438"/>
      <c r="C3272" s="437"/>
      <c r="D3272" s="438"/>
      <c r="E3272" s="438"/>
      <c r="F3272" s="437"/>
      <c r="G3272" s="438"/>
      <c r="H3272" s="437"/>
      <c r="I3272" s="438"/>
      <c r="J3272" s="11"/>
      <c r="Q3272" s="348" t="str">
        <f t="shared" si="408"/>
        <v/>
      </c>
      <c r="R3272" s="348" t="str">
        <f t="shared" si="409"/>
        <v/>
      </c>
      <c r="S3272" s="348" t="str">
        <f t="shared" si="410"/>
        <v/>
      </c>
      <c r="T3272" s="348" t="str">
        <f t="shared" si="411"/>
        <v/>
      </c>
      <c r="U3272" s="348" t="str">
        <f t="shared" si="412"/>
        <v/>
      </c>
      <c r="V3272" s="348" t="str">
        <f t="shared" si="413"/>
        <v/>
      </c>
      <c r="W3272" s="348" t="str">
        <f t="shared" si="414"/>
        <v/>
      </c>
      <c r="X3272" s="348" t="str">
        <f t="shared" si="415"/>
        <v/>
      </c>
    </row>
    <row r="3273" spans="1:24" x14ac:dyDescent="0.2">
      <c r="A3273" s="407">
        <v>3265</v>
      </c>
      <c r="B3273" s="438"/>
      <c r="C3273" s="438"/>
      <c r="D3273" s="438"/>
      <c r="E3273" s="438"/>
      <c r="F3273" s="438"/>
      <c r="G3273" s="438"/>
      <c r="H3273" s="438"/>
      <c r="I3273" s="437"/>
      <c r="J3273" s="11"/>
      <c r="Q3273" s="348" t="str">
        <f t="shared" si="408"/>
        <v/>
      </c>
      <c r="R3273" s="348" t="str">
        <f t="shared" si="409"/>
        <v/>
      </c>
      <c r="S3273" s="348" t="str">
        <f t="shared" si="410"/>
        <v/>
      </c>
      <c r="T3273" s="348" t="str">
        <f t="shared" si="411"/>
        <v/>
      </c>
      <c r="U3273" s="348" t="str">
        <f t="shared" si="412"/>
        <v/>
      </c>
      <c r="V3273" s="348" t="str">
        <f t="shared" si="413"/>
        <v/>
      </c>
      <c r="W3273" s="348" t="str">
        <f t="shared" si="414"/>
        <v/>
      </c>
      <c r="X3273" s="348" t="str">
        <f t="shared" si="415"/>
        <v/>
      </c>
    </row>
    <row r="3274" spans="1:24" x14ac:dyDescent="0.2">
      <c r="A3274" s="407">
        <v>3266</v>
      </c>
      <c r="B3274" s="438"/>
      <c r="C3274" s="438"/>
      <c r="D3274" s="438"/>
      <c r="E3274" s="438"/>
      <c r="F3274" s="438"/>
      <c r="G3274" s="438"/>
      <c r="H3274" s="438"/>
      <c r="I3274" s="438"/>
      <c r="J3274" s="11"/>
      <c r="Q3274" s="348" t="str">
        <f t="shared" ref="Q3274:Q3337" si="416">IFERROR(B3274^4*$AB$9+B3274^3*$AC$9+B3274^2*$AD$9+B3274^1*$AE$9+B3274^0*$AF$9,"")</f>
        <v/>
      </c>
      <c r="R3274" s="348" t="str">
        <f t="shared" ref="R3274:R3337" si="417">IFERROR(C3274^4*$AB$10+C3274^3*$AC$10+C3274^2*$AD$10+C3274^1*$AE$10+C3274^0*$AF$10,"")</f>
        <v/>
      </c>
      <c r="S3274" s="348" t="str">
        <f t="shared" ref="S3274:S3337" si="418">IFERROR(D3274^4*$AB$11+D3274^3*$AC$11+D3274^2*$AD$11+D3274^1*$AE$11+D3274^0*$AF$11,"")</f>
        <v/>
      </c>
      <c r="T3274" s="348" t="str">
        <f t="shared" ref="T3274:T3337" si="419">IFERROR(E3274^4*$AB$12+E3274^3*$AC$12+E3274^2*$AD$12+E3274^1*$AE$12+E3274^0*$AF$12,"")</f>
        <v/>
      </c>
      <c r="U3274" s="348" t="str">
        <f t="shared" ref="U3274:U3337" si="420">IFERROR(F3274^4*$AB$13+F3274^3*$AC$13+F3274^2*$AD$13+F3274^1*$AE$13+F3274^0*$AF$13,"")</f>
        <v/>
      </c>
      <c r="V3274" s="348" t="str">
        <f t="shared" ref="V3274:V3337" si="421">IFERROR(G3274^4*$AB$14+G3274^3*$AC$14+G3274^2*$AD$14+G3274^1*$AE$14+G3274^0*$AF$14,"")</f>
        <v/>
      </c>
      <c r="W3274" s="348" t="str">
        <f t="shared" ref="W3274:W3337" si="422">IFERROR(H3274^4*$AB$15+H3274^3*$AC$15+H3274^2*$AD$15+H3274^1*$AE$15+H3274^0*$AF$15,"")</f>
        <v/>
      </c>
      <c r="X3274" s="348" t="str">
        <f t="shared" ref="X3274:X3337" si="423">IFERROR(I3274^4*$AB$16+I3274^3*$AC$16+I3274^2*$AD$16+I3274^1*$AE$16+I3274^0*$AF$16,"")</f>
        <v/>
      </c>
    </row>
    <row r="3275" spans="1:24" x14ac:dyDescent="0.2">
      <c r="A3275" s="407">
        <v>3267</v>
      </c>
      <c r="B3275" s="438"/>
      <c r="C3275" s="438"/>
      <c r="D3275" s="438"/>
      <c r="E3275" s="438"/>
      <c r="F3275" s="438"/>
      <c r="G3275" s="438"/>
      <c r="H3275" s="438"/>
      <c r="I3275" s="438"/>
      <c r="J3275" s="11"/>
      <c r="Q3275" s="348" t="str">
        <f t="shared" si="416"/>
        <v/>
      </c>
      <c r="R3275" s="348" t="str">
        <f t="shared" si="417"/>
        <v/>
      </c>
      <c r="S3275" s="348" t="str">
        <f t="shared" si="418"/>
        <v/>
      </c>
      <c r="T3275" s="348" t="str">
        <f t="shared" si="419"/>
        <v/>
      </c>
      <c r="U3275" s="348" t="str">
        <f t="shared" si="420"/>
        <v/>
      </c>
      <c r="V3275" s="348" t="str">
        <f t="shared" si="421"/>
        <v/>
      </c>
      <c r="W3275" s="348" t="str">
        <f t="shared" si="422"/>
        <v/>
      </c>
      <c r="X3275" s="348" t="str">
        <f t="shared" si="423"/>
        <v/>
      </c>
    </row>
    <row r="3276" spans="1:24" x14ac:dyDescent="0.2">
      <c r="A3276" s="407">
        <v>3268</v>
      </c>
      <c r="B3276" s="438"/>
      <c r="C3276" s="438"/>
      <c r="D3276" s="438"/>
      <c r="E3276" s="438"/>
      <c r="F3276" s="438"/>
      <c r="G3276" s="438"/>
      <c r="H3276" s="438"/>
      <c r="I3276" s="438"/>
      <c r="J3276" s="11"/>
      <c r="Q3276" s="348" t="str">
        <f t="shared" si="416"/>
        <v/>
      </c>
      <c r="R3276" s="348" t="str">
        <f t="shared" si="417"/>
        <v/>
      </c>
      <c r="S3276" s="348" t="str">
        <f t="shared" si="418"/>
        <v/>
      </c>
      <c r="T3276" s="348" t="str">
        <f t="shared" si="419"/>
        <v/>
      </c>
      <c r="U3276" s="348" t="str">
        <f t="shared" si="420"/>
        <v/>
      </c>
      <c r="V3276" s="348" t="str">
        <f t="shared" si="421"/>
        <v/>
      </c>
      <c r="W3276" s="348" t="str">
        <f t="shared" si="422"/>
        <v/>
      </c>
      <c r="X3276" s="348" t="str">
        <f t="shared" si="423"/>
        <v/>
      </c>
    </row>
    <row r="3277" spans="1:24" x14ac:dyDescent="0.2">
      <c r="A3277" s="407">
        <v>3269</v>
      </c>
      <c r="B3277" s="438"/>
      <c r="C3277" s="438"/>
      <c r="D3277" s="438"/>
      <c r="E3277" s="437"/>
      <c r="F3277" s="438"/>
      <c r="G3277" s="438"/>
      <c r="H3277" s="438"/>
      <c r="I3277" s="438"/>
      <c r="J3277" s="11"/>
      <c r="Q3277" s="348" t="str">
        <f t="shared" si="416"/>
        <v/>
      </c>
      <c r="R3277" s="348" t="str">
        <f t="shared" si="417"/>
        <v/>
      </c>
      <c r="S3277" s="348" t="str">
        <f t="shared" si="418"/>
        <v/>
      </c>
      <c r="T3277" s="348" t="str">
        <f t="shared" si="419"/>
        <v/>
      </c>
      <c r="U3277" s="348" t="str">
        <f t="shared" si="420"/>
        <v/>
      </c>
      <c r="V3277" s="348" t="str">
        <f t="shared" si="421"/>
        <v/>
      </c>
      <c r="W3277" s="348" t="str">
        <f t="shared" si="422"/>
        <v/>
      </c>
      <c r="X3277" s="348" t="str">
        <f t="shared" si="423"/>
        <v/>
      </c>
    </row>
    <row r="3278" spans="1:24" x14ac:dyDescent="0.2">
      <c r="A3278" s="407">
        <v>3270</v>
      </c>
      <c r="B3278" s="438"/>
      <c r="C3278" s="438"/>
      <c r="D3278" s="438"/>
      <c r="E3278" s="438"/>
      <c r="F3278" s="438"/>
      <c r="G3278" s="438"/>
      <c r="H3278" s="438"/>
      <c r="I3278" s="438"/>
      <c r="J3278" s="11"/>
      <c r="Q3278" s="348" t="str">
        <f t="shared" si="416"/>
        <v/>
      </c>
      <c r="R3278" s="348" t="str">
        <f t="shared" si="417"/>
        <v/>
      </c>
      <c r="S3278" s="348" t="str">
        <f t="shared" si="418"/>
        <v/>
      </c>
      <c r="T3278" s="348" t="str">
        <f t="shared" si="419"/>
        <v/>
      </c>
      <c r="U3278" s="348" t="str">
        <f t="shared" si="420"/>
        <v/>
      </c>
      <c r="V3278" s="348" t="str">
        <f t="shared" si="421"/>
        <v/>
      </c>
      <c r="W3278" s="348" t="str">
        <f t="shared" si="422"/>
        <v/>
      </c>
      <c r="X3278" s="348" t="str">
        <f t="shared" si="423"/>
        <v/>
      </c>
    </row>
    <row r="3279" spans="1:24" x14ac:dyDescent="0.2">
      <c r="A3279" s="407">
        <v>3271</v>
      </c>
      <c r="B3279" s="438"/>
      <c r="C3279" s="438"/>
      <c r="D3279" s="438"/>
      <c r="E3279" s="438"/>
      <c r="F3279" s="438"/>
      <c r="G3279" s="438"/>
      <c r="H3279" s="438"/>
      <c r="I3279" s="438"/>
      <c r="J3279" s="11"/>
      <c r="Q3279" s="348" t="str">
        <f t="shared" si="416"/>
        <v/>
      </c>
      <c r="R3279" s="348" t="str">
        <f t="shared" si="417"/>
        <v/>
      </c>
      <c r="S3279" s="348" t="str">
        <f t="shared" si="418"/>
        <v/>
      </c>
      <c r="T3279" s="348" t="str">
        <f t="shared" si="419"/>
        <v/>
      </c>
      <c r="U3279" s="348" t="str">
        <f t="shared" si="420"/>
        <v/>
      </c>
      <c r="V3279" s="348" t="str">
        <f t="shared" si="421"/>
        <v/>
      </c>
      <c r="W3279" s="348" t="str">
        <f t="shared" si="422"/>
        <v/>
      </c>
      <c r="X3279" s="348" t="str">
        <f t="shared" si="423"/>
        <v/>
      </c>
    </row>
    <row r="3280" spans="1:24" x14ac:dyDescent="0.2">
      <c r="A3280" s="407">
        <v>3272</v>
      </c>
      <c r="B3280" s="437"/>
      <c r="C3280" s="438"/>
      <c r="D3280" s="438"/>
      <c r="E3280" s="438"/>
      <c r="F3280" s="438"/>
      <c r="G3280" s="438"/>
      <c r="H3280" s="438"/>
      <c r="I3280" s="438"/>
      <c r="J3280" s="11"/>
      <c r="Q3280" s="348" t="str">
        <f t="shared" si="416"/>
        <v/>
      </c>
      <c r="R3280" s="348" t="str">
        <f t="shared" si="417"/>
        <v/>
      </c>
      <c r="S3280" s="348" t="str">
        <f t="shared" si="418"/>
        <v/>
      </c>
      <c r="T3280" s="348" t="str">
        <f t="shared" si="419"/>
        <v/>
      </c>
      <c r="U3280" s="348" t="str">
        <f t="shared" si="420"/>
        <v/>
      </c>
      <c r="V3280" s="348" t="str">
        <f t="shared" si="421"/>
        <v/>
      </c>
      <c r="W3280" s="348" t="str">
        <f t="shared" si="422"/>
        <v/>
      </c>
      <c r="X3280" s="348" t="str">
        <f t="shared" si="423"/>
        <v/>
      </c>
    </row>
    <row r="3281" spans="1:24" x14ac:dyDescent="0.2">
      <c r="A3281" s="407">
        <v>3273</v>
      </c>
      <c r="B3281" s="438"/>
      <c r="C3281" s="438"/>
      <c r="D3281" s="438"/>
      <c r="E3281" s="438"/>
      <c r="F3281" s="438"/>
      <c r="G3281" s="438"/>
      <c r="H3281" s="438"/>
      <c r="I3281" s="438"/>
      <c r="J3281" s="11"/>
      <c r="Q3281" s="348" t="str">
        <f t="shared" si="416"/>
        <v/>
      </c>
      <c r="R3281" s="348" t="str">
        <f t="shared" si="417"/>
        <v/>
      </c>
      <c r="S3281" s="348" t="str">
        <f t="shared" si="418"/>
        <v/>
      </c>
      <c r="T3281" s="348" t="str">
        <f t="shared" si="419"/>
        <v/>
      </c>
      <c r="U3281" s="348" t="str">
        <f t="shared" si="420"/>
        <v/>
      </c>
      <c r="V3281" s="348" t="str">
        <f t="shared" si="421"/>
        <v/>
      </c>
      <c r="W3281" s="348" t="str">
        <f t="shared" si="422"/>
        <v/>
      </c>
      <c r="X3281" s="348" t="str">
        <f t="shared" si="423"/>
        <v/>
      </c>
    </row>
    <row r="3282" spans="1:24" x14ac:dyDescent="0.2">
      <c r="A3282" s="407">
        <v>3274</v>
      </c>
      <c r="B3282" s="438"/>
      <c r="C3282" s="438"/>
      <c r="D3282" s="438"/>
      <c r="E3282" s="438"/>
      <c r="F3282" s="438"/>
      <c r="G3282" s="438"/>
      <c r="H3282" s="438"/>
      <c r="I3282" s="438"/>
      <c r="J3282" s="11"/>
      <c r="Q3282" s="348" t="str">
        <f t="shared" si="416"/>
        <v/>
      </c>
      <c r="R3282" s="348" t="str">
        <f t="shared" si="417"/>
        <v/>
      </c>
      <c r="S3282" s="348" t="str">
        <f t="shared" si="418"/>
        <v/>
      </c>
      <c r="T3282" s="348" t="str">
        <f t="shared" si="419"/>
        <v/>
      </c>
      <c r="U3282" s="348" t="str">
        <f t="shared" si="420"/>
        <v/>
      </c>
      <c r="V3282" s="348" t="str">
        <f t="shared" si="421"/>
        <v/>
      </c>
      <c r="W3282" s="348" t="str">
        <f t="shared" si="422"/>
        <v/>
      </c>
      <c r="X3282" s="348" t="str">
        <f t="shared" si="423"/>
        <v/>
      </c>
    </row>
    <row r="3283" spans="1:24" x14ac:dyDescent="0.2">
      <c r="A3283" s="407">
        <v>3275</v>
      </c>
      <c r="B3283" s="438"/>
      <c r="C3283" s="438"/>
      <c r="D3283" s="438"/>
      <c r="E3283" s="438"/>
      <c r="F3283" s="438"/>
      <c r="G3283" s="438"/>
      <c r="H3283" s="438"/>
      <c r="I3283" s="438"/>
      <c r="J3283" s="11"/>
      <c r="Q3283" s="348" t="str">
        <f t="shared" si="416"/>
        <v/>
      </c>
      <c r="R3283" s="348" t="str">
        <f t="shared" si="417"/>
        <v/>
      </c>
      <c r="S3283" s="348" t="str">
        <f t="shared" si="418"/>
        <v/>
      </c>
      <c r="T3283" s="348" t="str">
        <f t="shared" si="419"/>
        <v/>
      </c>
      <c r="U3283" s="348" t="str">
        <f t="shared" si="420"/>
        <v/>
      </c>
      <c r="V3283" s="348" t="str">
        <f t="shared" si="421"/>
        <v/>
      </c>
      <c r="W3283" s="348" t="str">
        <f t="shared" si="422"/>
        <v/>
      </c>
      <c r="X3283" s="348" t="str">
        <f t="shared" si="423"/>
        <v/>
      </c>
    </row>
    <row r="3284" spans="1:24" x14ac:dyDescent="0.2">
      <c r="A3284" s="407">
        <v>3276</v>
      </c>
      <c r="B3284" s="438"/>
      <c r="C3284" s="438"/>
      <c r="D3284" s="438"/>
      <c r="E3284" s="438"/>
      <c r="F3284" s="438"/>
      <c r="G3284" s="438"/>
      <c r="H3284" s="438"/>
      <c r="I3284" s="438"/>
      <c r="J3284" s="11"/>
      <c r="Q3284" s="348" t="str">
        <f t="shared" si="416"/>
        <v/>
      </c>
      <c r="R3284" s="348" t="str">
        <f t="shared" si="417"/>
        <v/>
      </c>
      <c r="S3284" s="348" t="str">
        <f t="shared" si="418"/>
        <v/>
      </c>
      <c r="T3284" s="348" t="str">
        <f t="shared" si="419"/>
        <v/>
      </c>
      <c r="U3284" s="348" t="str">
        <f t="shared" si="420"/>
        <v/>
      </c>
      <c r="V3284" s="348" t="str">
        <f t="shared" si="421"/>
        <v/>
      </c>
      <c r="W3284" s="348" t="str">
        <f t="shared" si="422"/>
        <v/>
      </c>
      <c r="X3284" s="348" t="str">
        <f t="shared" si="423"/>
        <v/>
      </c>
    </row>
    <row r="3285" spans="1:24" x14ac:dyDescent="0.2">
      <c r="A3285" s="407">
        <v>3277</v>
      </c>
      <c r="B3285" s="438"/>
      <c r="C3285" s="438"/>
      <c r="D3285" s="438"/>
      <c r="E3285" s="438"/>
      <c r="F3285" s="438"/>
      <c r="G3285" s="438"/>
      <c r="H3285" s="438"/>
      <c r="I3285" s="438"/>
      <c r="J3285" s="11"/>
      <c r="Q3285" s="348" t="str">
        <f t="shared" si="416"/>
        <v/>
      </c>
      <c r="R3285" s="348" t="str">
        <f t="shared" si="417"/>
        <v/>
      </c>
      <c r="S3285" s="348" t="str">
        <f t="shared" si="418"/>
        <v/>
      </c>
      <c r="T3285" s="348" t="str">
        <f t="shared" si="419"/>
        <v/>
      </c>
      <c r="U3285" s="348" t="str">
        <f t="shared" si="420"/>
        <v/>
      </c>
      <c r="V3285" s="348" t="str">
        <f t="shared" si="421"/>
        <v/>
      </c>
      <c r="W3285" s="348" t="str">
        <f t="shared" si="422"/>
        <v/>
      </c>
      <c r="X3285" s="348" t="str">
        <f t="shared" si="423"/>
        <v/>
      </c>
    </row>
    <row r="3286" spans="1:24" x14ac:dyDescent="0.2">
      <c r="A3286" s="407">
        <v>3278</v>
      </c>
      <c r="B3286" s="438"/>
      <c r="C3286" s="438"/>
      <c r="D3286" s="438"/>
      <c r="E3286" s="438"/>
      <c r="F3286" s="438"/>
      <c r="G3286" s="438"/>
      <c r="H3286" s="438"/>
      <c r="I3286" s="438"/>
      <c r="J3286" s="11"/>
      <c r="Q3286" s="348" t="str">
        <f t="shared" si="416"/>
        <v/>
      </c>
      <c r="R3286" s="348" t="str">
        <f t="shared" si="417"/>
        <v/>
      </c>
      <c r="S3286" s="348" t="str">
        <f t="shared" si="418"/>
        <v/>
      </c>
      <c r="T3286" s="348" t="str">
        <f t="shared" si="419"/>
        <v/>
      </c>
      <c r="U3286" s="348" t="str">
        <f t="shared" si="420"/>
        <v/>
      </c>
      <c r="V3286" s="348" t="str">
        <f t="shared" si="421"/>
        <v/>
      </c>
      <c r="W3286" s="348" t="str">
        <f t="shared" si="422"/>
        <v/>
      </c>
      <c r="X3286" s="348" t="str">
        <f t="shared" si="423"/>
        <v/>
      </c>
    </row>
    <row r="3287" spans="1:24" x14ac:dyDescent="0.2">
      <c r="A3287" s="407">
        <v>3279</v>
      </c>
      <c r="B3287" s="438"/>
      <c r="C3287" s="438"/>
      <c r="D3287" s="438"/>
      <c r="E3287" s="438"/>
      <c r="F3287" s="438"/>
      <c r="G3287" s="438"/>
      <c r="H3287" s="438"/>
      <c r="I3287" s="438"/>
      <c r="J3287" s="11"/>
      <c r="Q3287" s="348" t="str">
        <f t="shared" si="416"/>
        <v/>
      </c>
      <c r="R3287" s="348" t="str">
        <f t="shared" si="417"/>
        <v/>
      </c>
      <c r="S3287" s="348" t="str">
        <f t="shared" si="418"/>
        <v/>
      </c>
      <c r="T3287" s="348" t="str">
        <f t="shared" si="419"/>
        <v/>
      </c>
      <c r="U3287" s="348" t="str">
        <f t="shared" si="420"/>
        <v/>
      </c>
      <c r="V3287" s="348" t="str">
        <f t="shared" si="421"/>
        <v/>
      </c>
      <c r="W3287" s="348" t="str">
        <f t="shared" si="422"/>
        <v/>
      </c>
      <c r="X3287" s="348" t="str">
        <f t="shared" si="423"/>
        <v/>
      </c>
    </row>
    <row r="3288" spans="1:24" x14ac:dyDescent="0.2">
      <c r="A3288" s="407">
        <v>3280</v>
      </c>
      <c r="B3288" s="438"/>
      <c r="C3288" s="438"/>
      <c r="D3288" s="438"/>
      <c r="E3288" s="438"/>
      <c r="F3288" s="438"/>
      <c r="G3288" s="438"/>
      <c r="H3288" s="438"/>
      <c r="I3288" s="438"/>
      <c r="J3288" s="11"/>
      <c r="Q3288" s="348" t="str">
        <f t="shared" si="416"/>
        <v/>
      </c>
      <c r="R3288" s="348" t="str">
        <f t="shared" si="417"/>
        <v/>
      </c>
      <c r="S3288" s="348" t="str">
        <f t="shared" si="418"/>
        <v/>
      </c>
      <c r="T3288" s="348" t="str">
        <f t="shared" si="419"/>
        <v/>
      </c>
      <c r="U3288" s="348" t="str">
        <f t="shared" si="420"/>
        <v/>
      </c>
      <c r="V3288" s="348" t="str">
        <f t="shared" si="421"/>
        <v/>
      </c>
      <c r="W3288" s="348" t="str">
        <f t="shared" si="422"/>
        <v/>
      </c>
      <c r="X3288" s="348" t="str">
        <f t="shared" si="423"/>
        <v/>
      </c>
    </row>
    <row r="3289" spans="1:24" x14ac:dyDescent="0.2">
      <c r="A3289" s="407">
        <v>3281</v>
      </c>
      <c r="B3289" s="438"/>
      <c r="C3289" s="438"/>
      <c r="D3289" s="438"/>
      <c r="E3289" s="438"/>
      <c r="F3289" s="438"/>
      <c r="G3289" s="438"/>
      <c r="H3289" s="438"/>
      <c r="I3289" s="438"/>
      <c r="J3289" s="11"/>
      <c r="Q3289" s="348" t="str">
        <f t="shared" si="416"/>
        <v/>
      </c>
      <c r="R3289" s="348" t="str">
        <f t="shared" si="417"/>
        <v/>
      </c>
      <c r="S3289" s="348" t="str">
        <f t="shared" si="418"/>
        <v/>
      </c>
      <c r="T3289" s="348" t="str">
        <f t="shared" si="419"/>
        <v/>
      </c>
      <c r="U3289" s="348" t="str">
        <f t="shared" si="420"/>
        <v/>
      </c>
      <c r="V3289" s="348" t="str">
        <f t="shared" si="421"/>
        <v/>
      </c>
      <c r="W3289" s="348" t="str">
        <f t="shared" si="422"/>
        <v/>
      </c>
      <c r="X3289" s="348" t="str">
        <f t="shared" si="423"/>
        <v/>
      </c>
    </row>
    <row r="3290" spans="1:24" x14ac:dyDescent="0.2">
      <c r="A3290" s="407">
        <v>3282</v>
      </c>
      <c r="B3290" s="438"/>
      <c r="C3290" s="438"/>
      <c r="D3290" s="438"/>
      <c r="E3290" s="438"/>
      <c r="F3290" s="438"/>
      <c r="G3290" s="438"/>
      <c r="H3290" s="438"/>
      <c r="I3290" s="438"/>
      <c r="J3290" s="11"/>
      <c r="Q3290" s="348" t="str">
        <f t="shared" si="416"/>
        <v/>
      </c>
      <c r="R3290" s="348" t="str">
        <f t="shared" si="417"/>
        <v/>
      </c>
      <c r="S3290" s="348" t="str">
        <f t="shared" si="418"/>
        <v/>
      </c>
      <c r="T3290" s="348" t="str">
        <f t="shared" si="419"/>
        <v/>
      </c>
      <c r="U3290" s="348" t="str">
        <f t="shared" si="420"/>
        <v/>
      </c>
      <c r="V3290" s="348" t="str">
        <f t="shared" si="421"/>
        <v/>
      </c>
      <c r="W3290" s="348" t="str">
        <f t="shared" si="422"/>
        <v/>
      </c>
      <c r="X3290" s="348" t="str">
        <f t="shared" si="423"/>
        <v/>
      </c>
    </row>
    <row r="3291" spans="1:24" x14ac:dyDescent="0.2">
      <c r="A3291" s="407">
        <v>3283</v>
      </c>
      <c r="B3291" s="438"/>
      <c r="C3291" s="438"/>
      <c r="D3291" s="438"/>
      <c r="E3291" s="438"/>
      <c r="F3291" s="438"/>
      <c r="G3291" s="438"/>
      <c r="H3291" s="438"/>
      <c r="I3291" s="438"/>
      <c r="J3291" s="11"/>
      <c r="Q3291" s="348" t="str">
        <f t="shared" si="416"/>
        <v/>
      </c>
      <c r="R3291" s="348" t="str">
        <f t="shared" si="417"/>
        <v/>
      </c>
      <c r="S3291" s="348" t="str">
        <f t="shared" si="418"/>
        <v/>
      </c>
      <c r="T3291" s="348" t="str">
        <f t="shared" si="419"/>
        <v/>
      </c>
      <c r="U3291" s="348" t="str">
        <f t="shared" si="420"/>
        <v/>
      </c>
      <c r="V3291" s="348" t="str">
        <f t="shared" si="421"/>
        <v/>
      </c>
      <c r="W3291" s="348" t="str">
        <f t="shared" si="422"/>
        <v/>
      </c>
      <c r="X3291" s="348" t="str">
        <f t="shared" si="423"/>
        <v/>
      </c>
    </row>
    <row r="3292" spans="1:24" x14ac:dyDescent="0.2">
      <c r="A3292" s="407">
        <v>3284</v>
      </c>
      <c r="B3292" s="438"/>
      <c r="C3292" s="438"/>
      <c r="D3292" s="438"/>
      <c r="E3292" s="438"/>
      <c r="F3292" s="438"/>
      <c r="G3292" s="438"/>
      <c r="H3292" s="438"/>
      <c r="I3292" s="438"/>
      <c r="J3292" s="11"/>
      <c r="Q3292" s="348" t="str">
        <f t="shared" si="416"/>
        <v/>
      </c>
      <c r="R3292" s="348" t="str">
        <f t="shared" si="417"/>
        <v/>
      </c>
      <c r="S3292" s="348" t="str">
        <f t="shared" si="418"/>
        <v/>
      </c>
      <c r="T3292" s="348" t="str">
        <f t="shared" si="419"/>
        <v/>
      </c>
      <c r="U3292" s="348" t="str">
        <f t="shared" si="420"/>
        <v/>
      </c>
      <c r="V3292" s="348" t="str">
        <f t="shared" si="421"/>
        <v/>
      </c>
      <c r="W3292" s="348" t="str">
        <f t="shared" si="422"/>
        <v/>
      </c>
      <c r="X3292" s="348" t="str">
        <f t="shared" si="423"/>
        <v/>
      </c>
    </row>
    <row r="3293" spans="1:24" x14ac:dyDescent="0.2">
      <c r="A3293" s="407">
        <v>3285</v>
      </c>
      <c r="B3293" s="438"/>
      <c r="C3293" s="438"/>
      <c r="D3293" s="438"/>
      <c r="E3293" s="438"/>
      <c r="F3293" s="438"/>
      <c r="G3293" s="438"/>
      <c r="H3293" s="438"/>
      <c r="I3293" s="438"/>
      <c r="J3293" s="11"/>
      <c r="Q3293" s="348" t="str">
        <f t="shared" si="416"/>
        <v/>
      </c>
      <c r="R3293" s="348" t="str">
        <f t="shared" si="417"/>
        <v/>
      </c>
      <c r="S3293" s="348" t="str">
        <f t="shared" si="418"/>
        <v/>
      </c>
      <c r="T3293" s="348" t="str">
        <f t="shared" si="419"/>
        <v/>
      </c>
      <c r="U3293" s="348" t="str">
        <f t="shared" si="420"/>
        <v/>
      </c>
      <c r="V3293" s="348" t="str">
        <f t="shared" si="421"/>
        <v/>
      </c>
      <c r="W3293" s="348" t="str">
        <f t="shared" si="422"/>
        <v/>
      </c>
      <c r="X3293" s="348" t="str">
        <f t="shared" si="423"/>
        <v/>
      </c>
    </row>
    <row r="3294" spans="1:24" x14ac:dyDescent="0.2">
      <c r="A3294" s="407">
        <v>3286</v>
      </c>
      <c r="B3294" s="437"/>
      <c r="C3294" s="438"/>
      <c r="D3294" s="438"/>
      <c r="E3294" s="438"/>
      <c r="F3294" s="438"/>
      <c r="G3294" s="438"/>
      <c r="H3294" s="438"/>
      <c r="I3294" s="438"/>
      <c r="J3294" s="11"/>
      <c r="Q3294" s="348" t="str">
        <f t="shared" si="416"/>
        <v/>
      </c>
      <c r="R3294" s="348" t="str">
        <f t="shared" si="417"/>
        <v/>
      </c>
      <c r="S3294" s="348" t="str">
        <f t="shared" si="418"/>
        <v/>
      </c>
      <c r="T3294" s="348" t="str">
        <f t="shared" si="419"/>
        <v/>
      </c>
      <c r="U3294" s="348" t="str">
        <f t="shared" si="420"/>
        <v/>
      </c>
      <c r="V3294" s="348" t="str">
        <f t="shared" si="421"/>
        <v/>
      </c>
      <c r="W3294" s="348" t="str">
        <f t="shared" si="422"/>
        <v/>
      </c>
      <c r="X3294" s="348" t="str">
        <f t="shared" si="423"/>
        <v/>
      </c>
    </row>
    <row r="3295" spans="1:24" x14ac:dyDescent="0.2">
      <c r="A3295" s="407">
        <v>3287</v>
      </c>
      <c r="B3295" s="438"/>
      <c r="C3295" s="438"/>
      <c r="D3295" s="438"/>
      <c r="E3295" s="438"/>
      <c r="F3295" s="438"/>
      <c r="G3295" s="438"/>
      <c r="H3295" s="438"/>
      <c r="I3295" s="438"/>
      <c r="J3295" s="11"/>
      <c r="Q3295" s="348" t="str">
        <f t="shared" si="416"/>
        <v/>
      </c>
      <c r="R3295" s="348" t="str">
        <f t="shared" si="417"/>
        <v/>
      </c>
      <c r="S3295" s="348" t="str">
        <f t="shared" si="418"/>
        <v/>
      </c>
      <c r="T3295" s="348" t="str">
        <f t="shared" si="419"/>
        <v/>
      </c>
      <c r="U3295" s="348" t="str">
        <f t="shared" si="420"/>
        <v/>
      </c>
      <c r="V3295" s="348" t="str">
        <f t="shared" si="421"/>
        <v/>
      </c>
      <c r="W3295" s="348" t="str">
        <f t="shared" si="422"/>
        <v/>
      </c>
      <c r="X3295" s="348" t="str">
        <f t="shared" si="423"/>
        <v/>
      </c>
    </row>
    <row r="3296" spans="1:24" x14ac:dyDescent="0.2">
      <c r="A3296" s="407">
        <v>3288</v>
      </c>
      <c r="B3296" s="438"/>
      <c r="C3296" s="438"/>
      <c r="D3296" s="438"/>
      <c r="E3296" s="438"/>
      <c r="F3296" s="438"/>
      <c r="G3296" s="438"/>
      <c r="H3296" s="438"/>
      <c r="I3296" s="438"/>
      <c r="J3296" s="11"/>
      <c r="Q3296" s="348" t="str">
        <f t="shared" si="416"/>
        <v/>
      </c>
      <c r="R3296" s="348" t="str">
        <f t="shared" si="417"/>
        <v/>
      </c>
      <c r="S3296" s="348" t="str">
        <f t="shared" si="418"/>
        <v/>
      </c>
      <c r="T3296" s="348" t="str">
        <f t="shared" si="419"/>
        <v/>
      </c>
      <c r="U3296" s="348" t="str">
        <f t="shared" si="420"/>
        <v/>
      </c>
      <c r="V3296" s="348" t="str">
        <f t="shared" si="421"/>
        <v/>
      </c>
      <c r="W3296" s="348" t="str">
        <f t="shared" si="422"/>
        <v/>
      </c>
      <c r="X3296" s="348" t="str">
        <f t="shared" si="423"/>
        <v/>
      </c>
    </row>
    <row r="3297" spans="1:24" x14ac:dyDescent="0.2">
      <c r="A3297" s="407">
        <v>3289</v>
      </c>
      <c r="B3297" s="438"/>
      <c r="C3297" s="438"/>
      <c r="D3297" s="438"/>
      <c r="E3297" s="438"/>
      <c r="F3297" s="438"/>
      <c r="G3297" s="438"/>
      <c r="H3297" s="438"/>
      <c r="I3297" s="438"/>
      <c r="J3297" s="11"/>
      <c r="Q3297" s="348" t="str">
        <f t="shared" si="416"/>
        <v/>
      </c>
      <c r="R3297" s="348" t="str">
        <f t="shared" si="417"/>
        <v/>
      </c>
      <c r="S3297" s="348" t="str">
        <f t="shared" si="418"/>
        <v/>
      </c>
      <c r="T3297" s="348" t="str">
        <f t="shared" si="419"/>
        <v/>
      </c>
      <c r="U3297" s="348" t="str">
        <f t="shared" si="420"/>
        <v/>
      </c>
      <c r="V3297" s="348" t="str">
        <f t="shared" si="421"/>
        <v/>
      </c>
      <c r="W3297" s="348" t="str">
        <f t="shared" si="422"/>
        <v/>
      </c>
      <c r="X3297" s="348" t="str">
        <f t="shared" si="423"/>
        <v/>
      </c>
    </row>
    <row r="3298" spans="1:24" x14ac:dyDescent="0.2">
      <c r="A3298" s="407">
        <v>3290</v>
      </c>
      <c r="B3298" s="438"/>
      <c r="C3298" s="438"/>
      <c r="D3298" s="437"/>
      <c r="E3298" s="438"/>
      <c r="F3298" s="438"/>
      <c r="G3298" s="438"/>
      <c r="H3298" s="438"/>
      <c r="I3298" s="438"/>
      <c r="J3298" s="11"/>
      <c r="Q3298" s="348" t="str">
        <f t="shared" si="416"/>
        <v/>
      </c>
      <c r="R3298" s="348" t="str">
        <f t="shared" si="417"/>
        <v/>
      </c>
      <c r="S3298" s="348" t="str">
        <f t="shared" si="418"/>
        <v/>
      </c>
      <c r="T3298" s="348" t="str">
        <f t="shared" si="419"/>
        <v/>
      </c>
      <c r="U3298" s="348" t="str">
        <f t="shared" si="420"/>
        <v/>
      </c>
      <c r="V3298" s="348" t="str">
        <f t="shared" si="421"/>
        <v/>
      </c>
      <c r="W3298" s="348" t="str">
        <f t="shared" si="422"/>
        <v/>
      </c>
      <c r="X3298" s="348" t="str">
        <f t="shared" si="423"/>
        <v/>
      </c>
    </row>
    <row r="3299" spans="1:24" x14ac:dyDescent="0.2">
      <c r="A3299" s="407">
        <v>3291</v>
      </c>
      <c r="B3299" s="438"/>
      <c r="C3299" s="438"/>
      <c r="D3299" s="438"/>
      <c r="E3299" s="438"/>
      <c r="F3299" s="438"/>
      <c r="G3299" s="438"/>
      <c r="H3299" s="438"/>
      <c r="I3299" s="438"/>
      <c r="J3299" s="11"/>
      <c r="Q3299" s="348" t="str">
        <f t="shared" si="416"/>
        <v/>
      </c>
      <c r="R3299" s="348" t="str">
        <f t="shared" si="417"/>
        <v/>
      </c>
      <c r="S3299" s="348" t="str">
        <f t="shared" si="418"/>
        <v/>
      </c>
      <c r="T3299" s="348" t="str">
        <f t="shared" si="419"/>
        <v/>
      </c>
      <c r="U3299" s="348" t="str">
        <f t="shared" si="420"/>
        <v/>
      </c>
      <c r="V3299" s="348" t="str">
        <f t="shared" si="421"/>
        <v/>
      </c>
      <c r="W3299" s="348" t="str">
        <f t="shared" si="422"/>
        <v/>
      </c>
      <c r="X3299" s="348" t="str">
        <f t="shared" si="423"/>
        <v/>
      </c>
    </row>
    <row r="3300" spans="1:24" x14ac:dyDescent="0.2">
      <c r="A3300" s="407">
        <v>3292</v>
      </c>
      <c r="B3300" s="438"/>
      <c r="C3300" s="438"/>
      <c r="D3300" s="438"/>
      <c r="E3300" s="438"/>
      <c r="F3300" s="438"/>
      <c r="G3300" s="438"/>
      <c r="H3300" s="438"/>
      <c r="I3300" s="438"/>
      <c r="J3300" s="11"/>
      <c r="Q3300" s="348" t="str">
        <f t="shared" si="416"/>
        <v/>
      </c>
      <c r="R3300" s="348" t="str">
        <f t="shared" si="417"/>
        <v/>
      </c>
      <c r="S3300" s="348" t="str">
        <f t="shared" si="418"/>
        <v/>
      </c>
      <c r="T3300" s="348" t="str">
        <f t="shared" si="419"/>
        <v/>
      </c>
      <c r="U3300" s="348" t="str">
        <f t="shared" si="420"/>
        <v/>
      </c>
      <c r="V3300" s="348" t="str">
        <f t="shared" si="421"/>
        <v/>
      </c>
      <c r="W3300" s="348" t="str">
        <f t="shared" si="422"/>
        <v/>
      </c>
      <c r="X3300" s="348" t="str">
        <f t="shared" si="423"/>
        <v/>
      </c>
    </row>
    <row r="3301" spans="1:24" x14ac:dyDescent="0.2">
      <c r="A3301" s="407">
        <v>3293</v>
      </c>
      <c r="B3301" s="438"/>
      <c r="C3301" s="437"/>
      <c r="D3301" s="438"/>
      <c r="E3301" s="438"/>
      <c r="F3301" s="438"/>
      <c r="G3301" s="438"/>
      <c r="H3301" s="438"/>
      <c r="I3301" s="438"/>
      <c r="J3301" s="11"/>
      <c r="Q3301" s="348" t="str">
        <f t="shared" si="416"/>
        <v/>
      </c>
      <c r="R3301" s="348" t="str">
        <f t="shared" si="417"/>
        <v/>
      </c>
      <c r="S3301" s="348" t="str">
        <f t="shared" si="418"/>
        <v/>
      </c>
      <c r="T3301" s="348" t="str">
        <f t="shared" si="419"/>
        <v/>
      </c>
      <c r="U3301" s="348" t="str">
        <f t="shared" si="420"/>
        <v/>
      </c>
      <c r="V3301" s="348" t="str">
        <f t="shared" si="421"/>
        <v/>
      </c>
      <c r="W3301" s="348" t="str">
        <f t="shared" si="422"/>
        <v/>
      </c>
      <c r="X3301" s="348" t="str">
        <f t="shared" si="423"/>
        <v/>
      </c>
    </row>
    <row r="3302" spans="1:24" x14ac:dyDescent="0.2">
      <c r="A3302" s="407">
        <v>3294</v>
      </c>
      <c r="B3302" s="438"/>
      <c r="C3302" s="438"/>
      <c r="D3302" s="438"/>
      <c r="E3302" s="437"/>
      <c r="F3302" s="438"/>
      <c r="G3302" s="438"/>
      <c r="H3302" s="438"/>
      <c r="I3302" s="438"/>
      <c r="J3302" s="11"/>
      <c r="Q3302" s="348" t="str">
        <f t="shared" si="416"/>
        <v/>
      </c>
      <c r="R3302" s="348" t="str">
        <f t="shared" si="417"/>
        <v/>
      </c>
      <c r="S3302" s="348" t="str">
        <f t="shared" si="418"/>
        <v/>
      </c>
      <c r="T3302" s="348" t="str">
        <f t="shared" si="419"/>
        <v/>
      </c>
      <c r="U3302" s="348" t="str">
        <f t="shared" si="420"/>
        <v/>
      </c>
      <c r="V3302" s="348" t="str">
        <f t="shared" si="421"/>
        <v/>
      </c>
      <c r="W3302" s="348" t="str">
        <f t="shared" si="422"/>
        <v/>
      </c>
      <c r="X3302" s="348" t="str">
        <f t="shared" si="423"/>
        <v/>
      </c>
    </row>
    <row r="3303" spans="1:24" x14ac:dyDescent="0.2">
      <c r="A3303" s="407">
        <v>3295</v>
      </c>
      <c r="B3303" s="438"/>
      <c r="C3303" s="438"/>
      <c r="D3303" s="438"/>
      <c r="E3303" s="438"/>
      <c r="F3303" s="438"/>
      <c r="G3303" s="438"/>
      <c r="H3303" s="438"/>
      <c r="I3303" s="438"/>
      <c r="J3303" s="11"/>
      <c r="Q3303" s="348" t="str">
        <f t="shared" si="416"/>
        <v/>
      </c>
      <c r="R3303" s="348" t="str">
        <f t="shared" si="417"/>
        <v/>
      </c>
      <c r="S3303" s="348" t="str">
        <f t="shared" si="418"/>
        <v/>
      </c>
      <c r="T3303" s="348" t="str">
        <f t="shared" si="419"/>
        <v/>
      </c>
      <c r="U3303" s="348" t="str">
        <f t="shared" si="420"/>
        <v/>
      </c>
      <c r="V3303" s="348" t="str">
        <f t="shared" si="421"/>
        <v/>
      </c>
      <c r="W3303" s="348" t="str">
        <f t="shared" si="422"/>
        <v/>
      </c>
      <c r="X3303" s="348" t="str">
        <f t="shared" si="423"/>
        <v/>
      </c>
    </row>
    <row r="3304" spans="1:24" x14ac:dyDescent="0.2">
      <c r="A3304" s="407">
        <v>3296</v>
      </c>
      <c r="B3304" s="438"/>
      <c r="C3304" s="438"/>
      <c r="D3304" s="438"/>
      <c r="E3304" s="438"/>
      <c r="F3304" s="438"/>
      <c r="G3304" s="438"/>
      <c r="H3304" s="438"/>
      <c r="I3304" s="438"/>
      <c r="J3304" s="11"/>
      <c r="Q3304" s="348" t="str">
        <f t="shared" si="416"/>
        <v/>
      </c>
      <c r="R3304" s="348" t="str">
        <f t="shared" si="417"/>
        <v/>
      </c>
      <c r="S3304" s="348" t="str">
        <f t="shared" si="418"/>
        <v/>
      </c>
      <c r="T3304" s="348" t="str">
        <f t="shared" si="419"/>
        <v/>
      </c>
      <c r="U3304" s="348" t="str">
        <f t="shared" si="420"/>
        <v/>
      </c>
      <c r="V3304" s="348" t="str">
        <f t="shared" si="421"/>
        <v/>
      </c>
      <c r="W3304" s="348" t="str">
        <f t="shared" si="422"/>
        <v/>
      </c>
      <c r="X3304" s="348" t="str">
        <f t="shared" si="423"/>
        <v/>
      </c>
    </row>
    <row r="3305" spans="1:24" x14ac:dyDescent="0.2">
      <c r="A3305" s="407">
        <v>3297</v>
      </c>
      <c r="B3305" s="438"/>
      <c r="C3305" s="438"/>
      <c r="D3305" s="438"/>
      <c r="E3305" s="438"/>
      <c r="F3305" s="438"/>
      <c r="G3305" s="438"/>
      <c r="H3305" s="438"/>
      <c r="I3305" s="438"/>
      <c r="J3305" s="11"/>
      <c r="Q3305" s="348" t="str">
        <f t="shared" si="416"/>
        <v/>
      </c>
      <c r="R3305" s="348" t="str">
        <f t="shared" si="417"/>
        <v/>
      </c>
      <c r="S3305" s="348" t="str">
        <f t="shared" si="418"/>
        <v/>
      </c>
      <c r="T3305" s="348" t="str">
        <f t="shared" si="419"/>
        <v/>
      </c>
      <c r="U3305" s="348" t="str">
        <f t="shared" si="420"/>
        <v/>
      </c>
      <c r="V3305" s="348" t="str">
        <f t="shared" si="421"/>
        <v/>
      </c>
      <c r="W3305" s="348" t="str">
        <f t="shared" si="422"/>
        <v/>
      </c>
      <c r="X3305" s="348" t="str">
        <f t="shared" si="423"/>
        <v/>
      </c>
    </row>
    <row r="3306" spans="1:24" x14ac:dyDescent="0.2">
      <c r="A3306" s="407">
        <v>3298</v>
      </c>
      <c r="B3306" s="438"/>
      <c r="C3306" s="438"/>
      <c r="D3306" s="438"/>
      <c r="E3306" s="438"/>
      <c r="F3306" s="438"/>
      <c r="G3306" s="438"/>
      <c r="H3306" s="438"/>
      <c r="I3306" s="438"/>
      <c r="J3306" s="11"/>
      <c r="Q3306" s="348" t="str">
        <f t="shared" si="416"/>
        <v/>
      </c>
      <c r="R3306" s="348" t="str">
        <f t="shared" si="417"/>
        <v/>
      </c>
      <c r="S3306" s="348" t="str">
        <f t="shared" si="418"/>
        <v/>
      </c>
      <c r="T3306" s="348" t="str">
        <f t="shared" si="419"/>
        <v/>
      </c>
      <c r="U3306" s="348" t="str">
        <f t="shared" si="420"/>
        <v/>
      </c>
      <c r="V3306" s="348" t="str">
        <f t="shared" si="421"/>
        <v/>
      </c>
      <c r="W3306" s="348" t="str">
        <f t="shared" si="422"/>
        <v/>
      </c>
      <c r="X3306" s="348" t="str">
        <f t="shared" si="423"/>
        <v/>
      </c>
    </row>
    <row r="3307" spans="1:24" x14ac:dyDescent="0.2">
      <c r="A3307" s="407">
        <v>3299</v>
      </c>
      <c r="B3307" s="438"/>
      <c r="C3307" s="438"/>
      <c r="D3307" s="438"/>
      <c r="E3307" s="438"/>
      <c r="F3307" s="438"/>
      <c r="G3307" s="437"/>
      <c r="H3307" s="438"/>
      <c r="I3307" s="438"/>
      <c r="J3307" s="11"/>
      <c r="Q3307" s="348" t="str">
        <f t="shared" si="416"/>
        <v/>
      </c>
      <c r="R3307" s="348" t="str">
        <f t="shared" si="417"/>
        <v/>
      </c>
      <c r="S3307" s="348" t="str">
        <f t="shared" si="418"/>
        <v/>
      </c>
      <c r="T3307" s="348" t="str">
        <f t="shared" si="419"/>
        <v/>
      </c>
      <c r="U3307" s="348" t="str">
        <f t="shared" si="420"/>
        <v/>
      </c>
      <c r="V3307" s="348" t="str">
        <f t="shared" si="421"/>
        <v/>
      </c>
      <c r="W3307" s="348" t="str">
        <f t="shared" si="422"/>
        <v/>
      </c>
      <c r="X3307" s="348" t="str">
        <f t="shared" si="423"/>
        <v/>
      </c>
    </row>
    <row r="3308" spans="1:24" x14ac:dyDescent="0.2">
      <c r="A3308" s="407">
        <v>3300</v>
      </c>
      <c r="B3308" s="438"/>
      <c r="C3308" s="438"/>
      <c r="D3308" s="438"/>
      <c r="E3308" s="438"/>
      <c r="F3308" s="438"/>
      <c r="G3308" s="438"/>
      <c r="H3308" s="438"/>
      <c r="I3308" s="438"/>
      <c r="J3308" s="11"/>
      <c r="Q3308" s="348" t="str">
        <f t="shared" si="416"/>
        <v/>
      </c>
      <c r="R3308" s="348" t="str">
        <f t="shared" si="417"/>
        <v/>
      </c>
      <c r="S3308" s="348" t="str">
        <f t="shared" si="418"/>
        <v/>
      </c>
      <c r="T3308" s="348" t="str">
        <f t="shared" si="419"/>
        <v/>
      </c>
      <c r="U3308" s="348" t="str">
        <f t="shared" si="420"/>
        <v/>
      </c>
      <c r="V3308" s="348" t="str">
        <f t="shared" si="421"/>
        <v/>
      </c>
      <c r="W3308" s="348" t="str">
        <f t="shared" si="422"/>
        <v/>
      </c>
      <c r="X3308" s="348" t="str">
        <f t="shared" si="423"/>
        <v/>
      </c>
    </row>
    <row r="3309" spans="1:24" x14ac:dyDescent="0.2">
      <c r="A3309" s="407">
        <v>3301</v>
      </c>
      <c r="B3309" s="438"/>
      <c r="C3309" s="437"/>
      <c r="D3309" s="438"/>
      <c r="E3309" s="437"/>
      <c r="F3309" s="437"/>
      <c r="G3309" s="437"/>
      <c r="H3309" s="437"/>
      <c r="I3309" s="437"/>
      <c r="J3309" s="11"/>
      <c r="Q3309" s="348" t="str">
        <f t="shared" si="416"/>
        <v/>
      </c>
      <c r="R3309" s="348" t="str">
        <f t="shared" si="417"/>
        <v/>
      </c>
      <c r="S3309" s="348" t="str">
        <f t="shared" si="418"/>
        <v/>
      </c>
      <c r="T3309" s="348" t="str">
        <f t="shared" si="419"/>
        <v/>
      </c>
      <c r="U3309" s="348" t="str">
        <f t="shared" si="420"/>
        <v/>
      </c>
      <c r="V3309" s="348" t="str">
        <f t="shared" si="421"/>
        <v/>
      </c>
      <c r="W3309" s="348" t="str">
        <f t="shared" si="422"/>
        <v/>
      </c>
      <c r="X3309" s="348" t="str">
        <f t="shared" si="423"/>
        <v/>
      </c>
    </row>
    <row r="3310" spans="1:24" x14ac:dyDescent="0.2">
      <c r="A3310" s="407">
        <v>3302</v>
      </c>
      <c r="B3310" s="438"/>
      <c r="C3310" s="438"/>
      <c r="D3310" s="438"/>
      <c r="E3310" s="438"/>
      <c r="F3310" s="438"/>
      <c r="G3310" s="438"/>
      <c r="H3310" s="438"/>
      <c r="I3310" s="438"/>
      <c r="J3310" s="11"/>
      <c r="Q3310" s="348" t="str">
        <f t="shared" si="416"/>
        <v/>
      </c>
      <c r="R3310" s="348" t="str">
        <f t="shared" si="417"/>
        <v/>
      </c>
      <c r="S3310" s="348" t="str">
        <f t="shared" si="418"/>
        <v/>
      </c>
      <c r="T3310" s="348" t="str">
        <f t="shared" si="419"/>
        <v/>
      </c>
      <c r="U3310" s="348" t="str">
        <f t="shared" si="420"/>
        <v/>
      </c>
      <c r="V3310" s="348" t="str">
        <f t="shared" si="421"/>
        <v/>
      </c>
      <c r="W3310" s="348" t="str">
        <f t="shared" si="422"/>
        <v/>
      </c>
      <c r="X3310" s="348" t="str">
        <f t="shared" si="423"/>
        <v/>
      </c>
    </row>
    <row r="3311" spans="1:24" x14ac:dyDescent="0.2">
      <c r="A3311" s="407">
        <v>3303</v>
      </c>
      <c r="B3311" s="438"/>
      <c r="C3311" s="438"/>
      <c r="D3311" s="438"/>
      <c r="E3311" s="438"/>
      <c r="F3311" s="438"/>
      <c r="G3311" s="438"/>
      <c r="H3311" s="438"/>
      <c r="I3311" s="438"/>
      <c r="J3311" s="11"/>
      <c r="Q3311" s="348" t="str">
        <f t="shared" si="416"/>
        <v/>
      </c>
      <c r="R3311" s="348" t="str">
        <f t="shared" si="417"/>
        <v/>
      </c>
      <c r="S3311" s="348" t="str">
        <f t="shared" si="418"/>
        <v/>
      </c>
      <c r="T3311" s="348" t="str">
        <f t="shared" si="419"/>
        <v/>
      </c>
      <c r="U3311" s="348" t="str">
        <f t="shared" si="420"/>
        <v/>
      </c>
      <c r="V3311" s="348" t="str">
        <f t="shared" si="421"/>
        <v/>
      </c>
      <c r="W3311" s="348" t="str">
        <f t="shared" si="422"/>
        <v/>
      </c>
      <c r="X3311" s="348" t="str">
        <f t="shared" si="423"/>
        <v/>
      </c>
    </row>
    <row r="3312" spans="1:24" x14ac:dyDescent="0.2">
      <c r="A3312" s="407">
        <v>3304</v>
      </c>
      <c r="B3312" s="438"/>
      <c r="C3312" s="438"/>
      <c r="D3312" s="438"/>
      <c r="E3312" s="438"/>
      <c r="F3312" s="438"/>
      <c r="G3312" s="438"/>
      <c r="H3312" s="438"/>
      <c r="I3312" s="438"/>
      <c r="J3312" s="11"/>
      <c r="Q3312" s="348" t="str">
        <f t="shared" si="416"/>
        <v/>
      </c>
      <c r="R3312" s="348" t="str">
        <f t="shared" si="417"/>
        <v/>
      </c>
      <c r="S3312" s="348" t="str">
        <f t="shared" si="418"/>
        <v/>
      </c>
      <c r="T3312" s="348" t="str">
        <f t="shared" si="419"/>
        <v/>
      </c>
      <c r="U3312" s="348" t="str">
        <f t="shared" si="420"/>
        <v/>
      </c>
      <c r="V3312" s="348" t="str">
        <f t="shared" si="421"/>
        <v/>
      </c>
      <c r="W3312" s="348" t="str">
        <f t="shared" si="422"/>
        <v/>
      </c>
      <c r="X3312" s="348" t="str">
        <f t="shared" si="423"/>
        <v/>
      </c>
    </row>
    <row r="3313" spans="1:24" x14ac:dyDescent="0.2">
      <c r="A3313" s="407">
        <v>3305</v>
      </c>
      <c r="B3313" s="437"/>
      <c r="C3313" s="438"/>
      <c r="D3313" s="438"/>
      <c r="E3313" s="438"/>
      <c r="F3313" s="438"/>
      <c r="G3313" s="438"/>
      <c r="H3313" s="438"/>
      <c r="I3313" s="438"/>
      <c r="J3313" s="11"/>
      <c r="Q3313" s="348" t="str">
        <f t="shared" si="416"/>
        <v/>
      </c>
      <c r="R3313" s="348" t="str">
        <f t="shared" si="417"/>
        <v/>
      </c>
      <c r="S3313" s="348" t="str">
        <f t="shared" si="418"/>
        <v/>
      </c>
      <c r="T3313" s="348" t="str">
        <f t="shared" si="419"/>
        <v/>
      </c>
      <c r="U3313" s="348" t="str">
        <f t="shared" si="420"/>
        <v/>
      </c>
      <c r="V3313" s="348" t="str">
        <f t="shared" si="421"/>
        <v/>
      </c>
      <c r="W3313" s="348" t="str">
        <f t="shared" si="422"/>
        <v/>
      </c>
      <c r="X3313" s="348" t="str">
        <f t="shared" si="423"/>
        <v/>
      </c>
    </row>
    <row r="3314" spans="1:24" x14ac:dyDescent="0.2">
      <c r="A3314" s="407">
        <v>3306</v>
      </c>
      <c r="B3314" s="438"/>
      <c r="C3314" s="438"/>
      <c r="D3314" s="438"/>
      <c r="E3314" s="438"/>
      <c r="F3314" s="438"/>
      <c r="G3314" s="438"/>
      <c r="H3314" s="438"/>
      <c r="I3314" s="438"/>
      <c r="J3314" s="11"/>
      <c r="Q3314" s="348" t="str">
        <f t="shared" si="416"/>
        <v/>
      </c>
      <c r="R3314" s="348" t="str">
        <f t="shared" si="417"/>
        <v/>
      </c>
      <c r="S3314" s="348" t="str">
        <f t="shared" si="418"/>
        <v/>
      </c>
      <c r="T3314" s="348" t="str">
        <f t="shared" si="419"/>
        <v/>
      </c>
      <c r="U3314" s="348" t="str">
        <f t="shared" si="420"/>
        <v/>
      </c>
      <c r="V3314" s="348" t="str">
        <f t="shared" si="421"/>
        <v/>
      </c>
      <c r="W3314" s="348" t="str">
        <f t="shared" si="422"/>
        <v/>
      </c>
      <c r="X3314" s="348" t="str">
        <f t="shared" si="423"/>
        <v/>
      </c>
    </row>
    <row r="3315" spans="1:24" x14ac:dyDescent="0.2">
      <c r="A3315" s="407">
        <v>3307</v>
      </c>
      <c r="B3315" s="438"/>
      <c r="C3315" s="438"/>
      <c r="D3315" s="438"/>
      <c r="E3315" s="438"/>
      <c r="F3315" s="438"/>
      <c r="G3315" s="438"/>
      <c r="H3315" s="438"/>
      <c r="I3315" s="438"/>
      <c r="J3315" s="11"/>
      <c r="Q3315" s="348" t="str">
        <f t="shared" si="416"/>
        <v/>
      </c>
      <c r="R3315" s="348" t="str">
        <f t="shared" si="417"/>
        <v/>
      </c>
      <c r="S3315" s="348" t="str">
        <f t="shared" si="418"/>
        <v/>
      </c>
      <c r="T3315" s="348" t="str">
        <f t="shared" si="419"/>
        <v/>
      </c>
      <c r="U3315" s="348" t="str">
        <f t="shared" si="420"/>
        <v/>
      </c>
      <c r="V3315" s="348" t="str">
        <f t="shared" si="421"/>
        <v/>
      </c>
      <c r="W3315" s="348" t="str">
        <f t="shared" si="422"/>
        <v/>
      </c>
      <c r="X3315" s="348" t="str">
        <f t="shared" si="423"/>
        <v/>
      </c>
    </row>
    <row r="3316" spans="1:24" x14ac:dyDescent="0.2">
      <c r="A3316" s="407">
        <v>3308</v>
      </c>
      <c r="B3316" s="438"/>
      <c r="C3316" s="438"/>
      <c r="D3316" s="438"/>
      <c r="E3316" s="438"/>
      <c r="F3316" s="438"/>
      <c r="G3316" s="438"/>
      <c r="H3316" s="438"/>
      <c r="I3316" s="438"/>
      <c r="J3316" s="11"/>
      <c r="Q3316" s="348" t="str">
        <f t="shared" si="416"/>
        <v/>
      </c>
      <c r="R3316" s="348" t="str">
        <f t="shared" si="417"/>
        <v/>
      </c>
      <c r="S3316" s="348" t="str">
        <f t="shared" si="418"/>
        <v/>
      </c>
      <c r="T3316" s="348" t="str">
        <f t="shared" si="419"/>
        <v/>
      </c>
      <c r="U3316" s="348" t="str">
        <f t="shared" si="420"/>
        <v/>
      </c>
      <c r="V3316" s="348" t="str">
        <f t="shared" si="421"/>
        <v/>
      </c>
      <c r="W3316" s="348" t="str">
        <f t="shared" si="422"/>
        <v/>
      </c>
      <c r="X3316" s="348" t="str">
        <f t="shared" si="423"/>
        <v/>
      </c>
    </row>
    <row r="3317" spans="1:24" x14ac:dyDescent="0.2">
      <c r="A3317" s="407">
        <v>3309</v>
      </c>
      <c r="B3317" s="438"/>
      <c r="C3317" s="438"/>
      <c r="D3317" s="438"/>
      <c r="E3317" s="438"/>
      <c r="F3317" s="438"/>
      <c r="G3317" s="438"/>
      <c r="H3317" s="438"/>
      <c r="I3317" s="438"/>
      <c r="J3317" s="11"/>
      <c r="Q3317" s="348" t="str">
        <f t="shared" si="416"/>
        <v/>
      </c>
      <c r="R3317" s="348" t="str">
        <f t="shared" si="417"/>
        <v/>
      </c>
      <c r="S3317" s="348" t="str">
        <f t="shared" si="418"/>
        <v/>
      </c>
      <c r="T3317" s="348" t="str">
        <f t="shared" si="419"/>
        <v/>
      </c>
      <c r="U3317" s="348" t="str">
        <f t="shared" si="420"/>
        <v/>
      </c>
      <c r="V3317" s="348" t="str">
        <f t="shared" si="421"/>
        <v/>
      </c>
      <c r="W3317" s="348" t="str">
        <f t="shared" si="422"/>
        <v/>
      </c>
      <c r="X3317" s="348" t="str">
        <f t="shared" si="423"/>
        <v/>
      </c>
    </row>
    <row r="3318" spans="1:24" x14ac:dyDescent="0.2">
      <c r="A3318" s="407">
        <v>3310</v>
      </c>
      <c r="B3318" s="438"/>
      <c r="C3318" s="438"/>
      <c r="D3318" s="438"/>
      <c r="E3318" s="438"/>
      <c r="F3318" s="438"/>
      <c r="G3318" s="438"/>
      <c r="H3318" s="438"/>
      <c r="I3318" s="438"/>
      <c r="J3318" s="11"/>
      <c r="Q3318" s="348" t="str">
        <f t="shared" si="416"/>
        <v/>
      </c>
      <c r="R3318" s="348" t="str">
        <f t="shared" si="417"/>
        <v/>
      </c>
      <c r="S3318" s="348" t="str">
        <f t="shared" si="418"/>
        <v/>
      </c>
      <c r="T3318" s="348" t="str">
        <f t="shared" si="419"/>
        <v/>
      </c>
      <c r="U3318" s="348" t="str">
        <f t="shared" si="420"/>
        <v/>
      </c>
      <c r="V3318" s="348" t="str">
        <f t="shared" si="421"/>
        <v/>
      </c>
      <c r="W3318" s="348" t="str">
        <f t="shared" si="422"/>
        <v/>
      </c>
      <c r="X3318" s="348" t="str">
        <f t="shared" si="423"/>
        <v/>
      </c>
    </row>
    <row r="3319" spans="1:24" x14ac:dyDescent="0.2">
      <c r="A3319" s="407">
        <v>3311</v>
      </c>
      <c r="B3319" s="438"/>
      <c r="C3319" s="438"/>
      <c r="D3319" s="438"/>
      <c r="E3319" s="438"/>
      <c r="F3319" s="438"/>
      <c r="G3319" s="438"/>
      <c r="H3319" s="438"/>
      <c r="I3319" s="438"/>
      <c r="J3319" s="11"/>
      <c r="Q3319" s="348" t="str">
        <f t="shared" si="416"/>
        <v/>
      </c>
      <c r="R3319" s="348" t="str">
        <f t="shared" si="417"/>
        <v/>
      </c>
      <c r="S3319" s="348" t="str">
        <f t="shared" si="418"/>
        <v/>
      </c>
      <c r="T3319" s="348" t="str">
        <f t="shared" si="419"/>
        <v/>
      </c>
      <c r="U3319" s="348" t="str">
        <f t="shared" si="420"/>
        <v/>
      </c>
      <c r="V3319" s="348" t="str">
        <f t="shared" si="421"/>
        <v/>
      </c>
      <c r="W3319" s="348" t="str">
        <f t="shared" si="422"/>
        <v/>
      </c>
      <c r="X3319" s="348" t="str">
        <f t="shared" si="423"/>
        <v/>
      </c>
    </row>
    <row r="3320" spans="1:24" x14ac:dyDescent="0.2">
      <c r="A3320" s="407">
        <v>3312</v>
      </c>
      <c r="B3320" s="438"/>
      <c r="C3320" s="438"/>
      <c r="D3320" s="438"/>
      <c r="E3320" s="438"/>
      <c r="F3320" s="438"/>
      <c r="G3320" s="438"/>
      <c r="H3320" s="438"/>
      <c r="I3320" s="438"/>
      <c r="J3320" s="11"/>
      <c r="Q3320" s="348" t="str">
        <f t="shared" si="416"/>
        <v/>
      </c>
      <c r="R3320" s="348" t="str">
        <f t="shared" si="417"/>
        <v/>
      </c>
      <c r="S3320" s="348" t="str">
        <f t="shared" si="418"/>
        <v/>
      </c>
      <c r="T3320" s="348" t="str">
        <f t="shared" si="419"/>
        <v/>
      </c>
      <c r="U3320" s="348" t="str">
        <f t="shared" si="420"/>
        <v/>
      </c>
      <c r="V3320" s="348" t="str">
        <f t="shared" si="421"/>
        <v/>
      </c>
      <c r="W3320" s="348" t="str">
        <f t="shared" si="422"/>
        <v/>
      </c>
      <c r="X3320" s="348" t="str">
        <f t="shared" si="423"/>
        <v/>
      </c>
    </row>
    <row r="3321" spans="1:24" x14ac:dyDescent="0.2">
      <c r="A3321" s="407">
        <v>3313</v>
      </c>
      <c r="B3321" s="438"/>
      <c r="C3321" s="438"/>
      <c r="D3321" s="438"/>
      <c r="E3321" s="438"/>
      <c r="F3321" s="438"/>
      <c r="G3321" s="438"/>
      <c r="H3321" s="438"/>
      <c r="I3321" s="438"/>
      <c r="J3321" s="11"/>
      <c r="Q3321" s="348" t="str">
        <f t="shared" si="416"/>
        <v/>
      </c>
      <c r="R3321" s="348" t="str">
        <f t="shared" si="417"/>
        <v/>
      </c>
      <c r="S3321" s="348" t="str">
        <f t="shared" si="418"/>
        <v/>
      </c>
      <c r="T3321" s="348" t="str">
        <f t="shared" si="419"/>
        <v/>
      </c>
      <c r="U3321" s="348" t="str">
        <f t="shared" si="420"/>
        <v/>
      </c>
      <c r="V3321" s="348" t="str">
        <f t="shared" si="421"/>
        <v/>
      </c>
      <c r="W3321" s="348" t="str">
        <f t="shared" si="422"/>
        <v/>
      </c>
      <c r="X3321" s="348" t="str">
        <f t="shared" si="423"/>
        <v/>
      </c>
    </row>
    <row r="3322" spans="1:24" x14ac:dyDescent="0.2">
      <c r="A3322" s="407">
        <v>3314</v>
      </c>
      <c r="B3322" s="438"/>
      <c r="C3322" s="438"/>
      <c r="D3322" s="438"/>
      <c r="E3322" s="438"/>
      <c r="F3322" s="438"/>
      <c r="G3322" s="438"/>
      <c r="H3322" s="438"/>
      <c r="I3322" s="438"/>
      <c r="J3322" s="11"/>
      <c r="Q3322" s="348" t="str">
        <f t="shared" si="416"/>
        <v/>
      </c>
      <c r="R3322" s="348" t="str">
        <f t="shared" si="417"/>
        <v/>
      </c>
      <c r="S3322" s="348" t="str">
        <f t="shared" si="418"/>
        <v/>
      </c>
      <c r="T3322" s="348" t="str">
        <f t="shared" si="419"/>
        <v/>
      </c>
      <c r="U3322" s="348" t="str">
        <f t="shared" si="420"/>
        <v/>
      </c>
      <c r="V3322" s="348" t="str">
        <f t="shared" si="421"/>
        <v/>
      </c>
      <c r="W3322" s="348" t="str">
        <f t="shared" si="422"/>
        <v/>
      </c>
      <c r="X3322" s="348" t="str">
        <f t="shared" si="423"/>
        <v/>
      </c>
    </row>
    <row r="3323" spans="1:24" x14ac:dyDescent="0.2">
      <c r="A3323" s="407">
        <v>3315</v>
      </c>
      <c r="B3323" s="437"/>
      <c r="C3323" s="437"/>
      <c r="D3323" s="438"/>
      <c r="E3323" s="438"/>
      <c r="F3323" s="438"/>
      <c r="G3323" s="438"/>
      <c r="H3323" s="438"/>
      <c r="I3323" s="438"/>
      <c r="J3323" s="11"/>
      <c r="Q3323" s="348" t="str">
        <f t="shared" si="416"/>
        <v/>
      </c>
      <c r="R3323" s="348" t="str">
        <f t="shared" si="417"/>
        <v/>
      </c>
      <c r="S3323" s="348" t="str">
        <f t="shared" si="418"/>
        <v/>
      </c>
      <c r="T3323" s="348" t="str">
        <f t="shared" si="419"/>
        <v/>
      </c>
      <c r="U3323" s="348" t="str">
        <f t="shared" si="420"/>
        <v/>
      </c>
      <c r="V3323" s="348" t="str">
        <f t="shared" si="421"/>
        <v/>
      </c>
      <c r="W3323" s="348" t="str">
        <f t="shared" si="422"/>
        <v/>
      </c>
      <c r="X3323" s="348" t="str">
        <f t="shared" si="423"/>
        <v/>
      </c>
    </row>
    <row r="3324" spans="1:24" x14ac:dyDescent="0.2">
      <c r="A3324" s="407">
        <v>3316</v>
      </c>
      <c r="B3324" s="438"/>
      <c r="C3324" s="438"/>
      <c r="D3324" s="438"/>
      <c r="E3324" s="438"/>
      <c r="F3324" s="438"/>
      <c r="G3324" s="438"/>
      <c r="H3324" s="438"/>
      <c r="I3324" s="438"/>
      <c r="J3324" s="11"/>
      <c r="Q3324" s="348" t="str">
        <f t="shared" si="416"/>
        <v/>
      </c>
      <c r="R3324" s="348" t="str">
        <f t="shared" si="417"/>
        <v/>
      </c>
      <c r="S3324" s="348" t="str">
        <f t="shared" si="418"/>
        <v/>
      </c>
      <c r="T3324" s="348" t="str">
        <f t="shared" si="419"/>
        <v/>
      </c>
      <c r="U3324" s="348" t="str">
        <f t="shared" si="420"/>
        <v/>
      </c>
      <c r="V3324" s="348" t="str">
        <f t="shared" si="421"/>
        <v/>
      </c>
      <c r="W3324" s="348" t="str">
        <f t="shared" si="422"/>
        <v/>
      </c>
      <c r="X3324" s="348" t="str">
        <f t="shared" si="423"/>
        <v/>
      </c>
    </row>
    <row r="3325" spans="1:24" x14ac:dyDescent="0.2">
      <c r="A3325" s="407">
        <v>3317</v>
      </c>
      <c r="B3325" s="438"/>
      <c r="C3325" s="438"/>
      <c r="D3325" s="438"/>
      <c r="E3325" s="438"/>
      <c r="F3325" s="438"/>
      <c r="G3325" s="438"/>
      <c r="H3325" s="438"/>
      <c r="I3325" s="438"/>
      <c r="J3325" s="11"/>
      <c r="Q3325" s="348" t="str">
        <f t="shared" si="416"/>
        <v/>
      </c>
      <c r="R3325" s="348" t="str">
        <f t="shared" si="417"/>
        <v/>
      </c>
      <c r="S3325" s="348" t="str">
        <f t="shared" si="418"/>
        <v/>
      </c>
      <c r="T3325" s="348" t="str">
        <f t="shared" si="419"/>
        <v/>
      </c>
      <c r="U3325" s="348" t="str">
        <f t="shared" si="420"/>
        <v/>
      </c>
      <c r="V3325" s="348" t="str">
        <f t="shared" si="421"/>
        <v/>
      </c>
      <c r="W3325" s="348" t="str">
        <f t="shared" si="422"/>
        <v/>
      </c>
      <c r="X3325" s="348" t="str">
        <f t="shared" si="423"/>
        <v/>
      </c>
    </row>
    <row r="3326" spans="1:24" x14ac:dyDescent="0.2">
      <c r="A3326" s="407">
        <v>3318</v>
      </c>
      <c r="B3326" s="438"/>
      <c r="C3326" s="438"/>
      <c r="D3326" s="438"/>
      <c r="E3326" s="438"/>
      <c r="F3326" s="438"/>
      <c r="G3326" s="438"/>
      <c r="H3326" s="438"/>
      <c r="I3326" s="438"/>
      <c r="J3326" s="11"/>
      <c r="Q3326" s="348" t="str">
        <f t="shared" si="416"/>
        <v/>
      </c>
      <c r="R3326" s="348" t="str">
        <f t="shared" si="417"/>
        <v/>
      </c>
      <c r="S3326" s="348" t="str">
        <f t="shared" si="418"/>
        <v/>
      </c>
      <c r="T3326" s="348" t="str">
        <f t="shared" si="419"/>
        <v/>
      </c>
      <c r="U3326" s="348" t="str">
        <f t="shared" si="420"/>
        <v/>
      </c>
      <c r="V3326" s="348" t="str">
        <f t="shared" si="421"/>
        <v/>
      </c>
      <c r="W3326" s="348" t="str">
        <f t="shared" si="422"/>
        <v/>
      </c>
      <c r="X3326" s="348" t="str">
        <f t="shared" si="423"/>
        <v/>
      </c>
    </row>
    <row r="3327" spans="1:24" x14ac:dyDescent="0.2">
      <c r="A3327" s="407">
        <v>3319</v>
      </c>
      <c r="B3327" s="438"/>
      <c r="C3327" s="438"/>
      <c r="D3327" s="438"/>
      <c r="E3327" s="438"/>
      <c r="F3327" s="438"/>
      <c r="G3327" s="438"/>
      <c r="H3327" s="438"/>
      <c r="I3327" s="438"/>
      <c r="J3327" s="11"/>
      <c r="Q3327" s="348" t="str">
        <f t="shared" si="416"/>
        <v/>
      </c>
      <c r="R3327" s="348" t="str">
        <f t="shared" si="417"/>
        <v/>
      </c>
      <c r="S3327" s="348" t="str">
        <f t="shared" si="418"/>
        <v/>
      </c>
      <c r="T3327" s="348" t="str">
        <f t="shared" si="419"/>
        <v/>
      </c>
      <c r="U3327" s="348" t="str">
        <f t="shared" si="420"/>
        <v/>
      </c>
      <c r="V3327" s="348" t="str">
        <f t="shared" si="421"/>
        <v/>
      </c>
      <c r="W3327" s="348" t="str">
        <f t="shared" si="422"/>
        <v/>
      </c>
      <c r="X3327" s="348" t="str">
        <f t="shared" si="423"/>
        <v/>
      </c>
    </row>
    <row r="3328" spans="1:24" x14ac:dyDescent="0.2">
      <c r="A3328" s="407">
        <v>3320</v>
      </c>
      <c r="B3328" s="438"/>
      <c r="C3328" s="438"/>
      <c r="D3328" s="438"/>
      <c r="E3328" s="438"/>
      <c r="F3328" s="438"/>
      <c r="G3328" s="438"/>
      <c r="H3328" s="438"/>
      <c r="I3328" s="438"/>
      <c r="J3328" s="11"/>
      <c r="Q3328" s="348" t="str">
        <f t="shared" si="416"/>
        <v/>
      </c>
      <c r="R3328" s="348" t="str">
        <f t="shared" si="417"/>
        <v/>
      </c>
      <c r="S3328" s="348" t="str">
        <f t="shared" si="418"/>
        <v/>
      </c>
      <c r="T3328" s="348" t="str">
        <f t="shared" si="419"/>
        <v/>
      </c>
      <c r="U3328" s="348" t="str">
        <f t="shared" si="420"/>
        <v/>
      </c>
      <c r="V3328" s="348" t="str">
        <f t="shared" si="421"/>
        <v/>
      </c>
      <c r="W3328" s="348" t="str">
        <f t="shared" si="422"/>
        <v/>
      </c>
      <c r="X3328" s="348" t="str">
        <f t="shared" si="423"/>
        <v/>
      </c>
    </row>
    <row r="3329" spans="1:24" x14ac:dyDescent="0.2">
      <c r="A3329" s="407">
        <v>3321</v>
      </c>
      <c r="B3329" s="438"/>
      <c r="C3329" s="438"/>
      <c r="D3329" s="438"/>
      <c r="E3329" s="438"/>
      <c r="F3329" s="438"/>
      <c r="G3329" s="438"/>
      <c r="H3329" s="438"/>
      <c r="I3329" s="438"/>
      <c r="J3329" s="11"/>
      <c r="Q3329" s="348" t="str">
        <f t="shared" si="416"/>
        <v/>
      </c>
      <c r="R3329" s="348" t="str">
        <f t="shared" si="417"/>
        <v/>
      </c>
      <c r="S3329" s="348" t="str">
        <f t="shared" si="418"/>
        <v/>
      </c>
      <c r="T3329" s="348" t="str">
        <f t="shared" si="419"/>
        <v/>
      </c>
      <c r="U3329" s="348" t="str">
        <f t="shared" si="420"/>
        <v/>
      </c>
      <c r="V3329" s="348" t="str">
        <f t="shared" si="421"/>
        <v/>
      </c>
      <c r="W3329" s="348" t="str">
        <f t="shared" si="422"/>
        <v/>
      </c>
      <c r="X3329" s="348" t="str">
        <f t="shared" si="423"/>
        <v/>
      </c>
    </row>
    <row r="3330" spans="1:24" x14ac:dyDescent="0.2">
      <c r="A3330" s="407">
        <v>3322</v>
      </c>
      <c r="B3330" s="438"/>
      <c r="C3330" s="438"/>
      <c r="D3330" s="438"/>
      <c r="E3330" s="438"/>
      <c r="F3330" s="438"/>
      <c r="G3330" s="438"/>
      <c r="H3330" s="438"/>
      <c r="I3330" s="438"/>
      <c r="J3330" s="11"/>
      <c r="Q3330" s="348" t="str">
        <f t="shared" si="416"/>
        <v/>
      </c>
      <c r="R3330" s="348" t="str">
        <f t="shared" si="417"/>
        <v/>
      </c>
      <c r="S3330" s="348" t="str">
        <f t="shared" si="418"/>
        <v/>
      </c>
      <c r="T3330" s="348" t="str">
        <f t="shared" si="419"/>
        <v/>
      </c>
      <c r="U3330" s="348" t="str">
        <f t="shared" si="420"/>
        <v/>
      </c>
      <c r="V3330" s="348" t="str">
        <f t="shared" si="421"/>
        <v/>
      </c>
      <c r="W3330" s="348" t="str">
        <f t="shared" si="422"/>
        <v/>
      </c>
      <c r="X3330" s="348" t="str">
        <f t="shared" si="423"/>
        <v/>
      </c>
    </row>
    <row r="3331" spans="1:24" x14ac:dyDescent="0.2">
      <c r="A3331" s="407">
        <v>3323</v>
      </c>
      <c r="B3331" s="438"/>
      <c r="C3331" s="438"/>
      <c r="D3331" s="438"/>
      <c r="E3331" s="438"/>
      <c r="F3331" s="438"/>
      <c r="G3331" s="438"/>
      <c r="H3331" s="438"/>
      <c r="I3331" s="438"/>
      <c r="J3331" s="11"/>
      <c r="Q3331" s="348" t="str">
        <f t="shared" si="416"/>
        <v/>
      </c>
      <c r="R3331" s="348" t="str">
        <f t="shared" si="417"/>
        <v/>
      </c>
      <c r="S3331" s="348" t="str">
        <f t="shared" si="418"/>
        <v/>
      </c>
      <c r="T3331" s="348" t="str">
        <f t="shared" si="419"/>
        <v/>
      </c>
      <c r="U3331" s="348" t="str">
        <f t="shared" si="420"/>
        <v/>
      </c>
      <c r="V3331" s="348" t="str">
        <f t="shared" si="421"/>
        <v/>
      </c>
      <c r="W3331" s="348" t="str">
        <f t="shared" si="422"/>
        <v/>
      </c>
      <c r="X3331" s="348" t="str">
        <f t="shared" si="423"/>
        <v/>
      </c>
    </row>
    <row r="3332" spans="1:24" x14ac:dyDescent="0.2">
      <c r="A3332" s="407">
        <v>3324</v>
      </c>
      <c r="B3332" s="438"/>
      <c r="C3332" s="438"/>
      <c r="D3332" s="438"/>
      <c r="E3332" s="438"/>
      <c r="F3332" s="438"/>
      <c r="G3332" s="438"/>
      <c r="H3332" s="438"/>
      <c r="I3332" s="438"/>
      <c r="J3332" s="11"/>
      <c r="Q3332" s="348" t="str">
        <f t="shared" si="416"/>
        <v/>
      </c>
      <c r="R3332" s="348" t="str">
        <f t="shared" si="417"/>
        <v/>
      </c>
      <c r="S3332" s="348" t="str">
        <f t="shared" si="418"/>
        <v/>
      </c>
      <c r="T3332" s="348" t="str">
        <f t="shared" si="419"/>
        <v/>
      </c>
      <c r="U3332" s="348" t="str">
        <f t="shared" si="420"/>
        <v/>
      </c>
      <c r="V3332" s="348" t="str">
        <f t="shared" si="421"/>
        <v/>
      </c>
      <c r="W3332" s="348" t="str">
        <f t="shared" si="422"/>
        <v/>
      </c>
      <c r="X3332" s="348" t="str">
        <f t="shared" si="423"/>
        <v/>
      </c>
    </row>
    <row r="3333" spans="1:24" x14ac:dyDescent="0.2">
      <c r="A3333" s="407">
        <v>3325</v>
      </c>
      <c r="B3333" s="438"/>
      <c r="C3333" s="438"/>
      <c r="D3333" s="438"/>
      <c r="E3333" s="438"/>
      <c r="F3333" s="438"/>
      <c r="G3333" s="438"/>
      <c r="H3333" s="438"/>
      <c r="I3333" s="438"/>
      <c r="J3333" s="11"/>
      <c r="Q3333" s="348" t="str">
        <f t="shared" si="416"/>
        <v/>
      </c>
      <c r="R3333" s="348" t="str">
        <f t="shared" si="417"/>
        <v/>
      </c>
      <c r="S3333" s="348" t="str">
        <f t="shared" si="418"/>
        <v/>
      </c>
      <c r="T3333" s="348" t="str">
        <f t="shared" si="419"/>
        <v/>
      </c>
      <c r="U3333" s="348" t="str">
        <f t="shared" si="420"/>
        <v/>
      </c>
      <c r="V3333" s="348" t="str">
        <f t="shared" si="421"/>
        <v/>
      </c>
      <c r="W3333" s="348" t="str">
        <f t="shared" si="422"/>
        <v/>
      </c>
      <c r="X3333" s="348" t="str">
        <f t="shared" si="423"/>
        <v/>
      </c>
    </row>
    <row r="3334" spans="1:24" x14ac:dyDescent="0.2">
      <c r="A3334" s="407">
        <v>3326</v>
      </c>
      <c r="B3334" s="438"/>
      <c r="C3334" s="438"/>
      <c r="D3334" s="438"/>
      <c r="E3334" s="437"/>
      <c r="F3334" s="437"/>
      <c r="G3334" s="437"/>
      <c r="H3334" s="437"/>
      <c r="I3334" s="437"/>
      <c r="J3334" s="11"/>
      <c r="Q3334" s="348" t="str">
        <f t="shared" si="416"/>
        <v/>
      </c>
      <c r="R3334" s="348" t="str">
        <f t="shared" si="417"/>
        <v/>
      </c>
      <c r="S3334" s="348" t="str">
        <f t="shared" si="418"/>
        <v/>
      </c>
      <c r="T3334" s="348" t="str">
        <f t="shared" si="419"/>
        <v/>
      </c>
      <c r="U3334" s="348" t="str">
        <f t="shared" si="420"/>
        <v/>
      </c>
      <c r="V3334" s="348" t="str">
        <f t="shared" si="421"/>
        <v/>
      </c>
      <c r="W3334" s="348" t="str">
        <f t="shared" si="422"/>
        <v/>
      </c>
      <c r="X3334" s="348" t="str">
        <f t="shared" si="423"/>
        <v/>
      </c>
    </row>
    <row r="3335" spans="1:24" x14ac:dyDescent="0.2">
      <c r="A3335" s="407">
        <v>3327</v>
      </c>
      <c r="B3335" s="438"/>
      <c r="C3335" s="438"/>
      <c r="D3335" s="438"/>
      <c r="E3335" s="438"/>
      <c r="F3335" s="438"/>
      <c r="G3335" s="438"/>
      <c r="H3335" s="438"/>
      <c r="I3335" s="438"/>
      <c r="J3335" s="11"/>
      <c r="Q3335" s="348" t="str">
        <f t="shared" si="416"/>
        <v/>
      </c>
      <c r="R3335" s="348" t="str">
        <f t="shared" si="417"/>
        <v/>
      </c>
      <c r="S3335" s="348" t="str">
        <f t="shared" si="418"/>
        <v/>
      </c>
      <c r="T3335" s="348" t="str">
        <f t="shared" si="419"/>
        <v/>
      </c>
      <c r="U3335" s="348" t="str">
        <f t="shared" si="420"/>
        <v/>
      </c>
      <c r="V3335" s="348" t="str">
        <f t="shared" si="421"/>
        <v/>
      </c>
      <c r="W3335" s="348" t="str">
        <f t="shared" si="422"/>
        <v/>
      </c>
      <c r="X3335" s="348" t="str">
        <f t="shared" si="423"/>
        <v/>
      </c>
    </row>
    <row r="3336" spans="1:24" x14ac:dyDescent="0.2">
      <c r="A3336" s="407">
        <v>3328</v>
      </c>
      <c r="B3336" s="438"/>
      <c r="C3336" s="438"/>
      <c r="D3336" s="438"/>
      <c r="E3336" s="438"/>
      <c r="F3336" s="438"/>
      <c r="G3336" s="438"/>
      <c r="H3336" s="438"/>
      <c r="I3336" s="438"/>
      <c r="J3336" s="11"/>
      <c r="Q3336" s="348" t="str">
        <f t="shared" si="416"/>
        <v/>
      </c>
      <c r="R3336" s="348" t="str">
        <f t="shared" si="417"/>
        <v/>
      </c>
      <c r="S3336" s="348" t="str">
        <f t="shared" si="418"/>
        <v/>
      </c>
      <c r="T3336" s="348" t="str">
        <f t="shared" si="419"/>
        <v/>
      </c>
      <c r="U3336" s="348" t="str">
        <f t="shared" si="420"/>
        <v/>
      </c>
      <c r="V3336" s="348" t="str">
        <f t="shared" si="421"/>
        <v/>
      </c>
      <c r="W3336" s="348" t="str">
        <f t="shared" si="422"/>
        <v/>
      </c>
      <c r="X3336" s="348" t="str">
        <f t="shared" si="423"/>
        <v/>
      </c>
    </row>
    <row r="3337" spans="1:24" x14ac:dyDescent="0.2">
      <c r="A3337" s="407">
        <v>3329</v>
      </c>
      <c r="B3337" s="437"/>
      <c r="C3337" s="438"/>
      <c r="D3337" s="438"/>
      <c r="E3337" s="438"/>
      <c r="F3337" s="438"/>
      <c r="G3337" s="438"/>
      <c r="H3337" s="438"/>
      <c r="I3337" s="438"/>
      <c r="J3337" s="11"/>
      <c r="Q3337" s="348" t="str">
        <f t="shared" si="416"/>
        <v/>
      </c>
      <c r="R3337" s="348" t="str">
        <f t="shared" si="417"/>
        <v/>
      </c>
      <c r="S3337" s="348" t="str">
        <f t="shared" si="418"/>
        <v/>
      </c>
      <c r="T3337" s="348" t="str">
        <f t="shared" si="419"/>
        <v/>
      </c>
      <c r="U3337" s="348" t="str">
        <f t="shared" si="420"/>
        <v/>
      </c>
      <c r="V3337" s="348" t="str">
        <f t="shared" si="421"/>
        <v/>
      </c>
      <c r="W3337" s="348" t="str">
        <f t="shared" si="422"/>
        <v/>
      </c>
      <c r="X3337" s="348" t="str">
        <f t="shared" si="423"/>
        <v/>
      </c>
    </row>
    <row r="3338" spans="1:24" x14ac:dyDescent="0.2">
      <c r="A3338" s="407">
        <v>3330</v>
      </c>
      <c r="B3338" s="438"/>
      <c r="C3338" s="438"/>
      <c r="D3338" s="438"/>
      <c r="E3338" s="438"/>
      <c r="F3338" s="438"/>
      <c r="G3338" s="438"/>
      <c r="H3338" s="438"/>
      <c r="I3338" s="438"/>
      <c r="J3338" s="11"/>
      <c r="Q3338" s="348" t="str">
        <f t="shared" ref="Q3338:Q3401" si="424">IFERROR(B3338^4*$AB$9+B3338^3*$AC$9+B3338^2*$AD$9+B3338^1*$AE$9+B3338^0*$AF$9,"")</f>
        <v/>
      </c>
      <c r="R3338" s="348" t="str">
        <f t="shared" ref="R3338:R3401" si="425">IFERROR(C3338^4*$AB$10+C3338^3*$AC$10+C3338^2*$AD$10+C3338^1*$AE$10+C3338^0*$AF$10,"")</f>
        <v/>
      </c>
      <c r="S3338" s="348" t="str">
        <f t="shared" ref="S3338:S3401" si="426">IFERROR(D3338^4*$AB$11+D3338^3*$AC$11+D3338^2*$AD$11+D3338^1*$AE$11+D3338^0*$AF$11,"")</f>
        <v/>
      </c>
      <c r="T3338" s="348" t="str">
        <f t="shared" ref="T3338:T3401" si="427">IFERROR(E3338^4*$AB$12+E3338^3*$AC$12+E3338^2*$AD$12+E3338^1*$AE$12+E3338^0*$AF$12,"")</f>
        <v/>
      </c>
      <c r="U3338" s="348" t="str">
        <f t="shared" ref="U3338:U3401" si="428">IFERROR(F3338^4*$AB$13+F3338^3*$AC$13+F3338^2*$AD$13+F3338^1*$AE$13+F3338^0*$AF$13,"")</f>
        <v/>
      </c>
      <c r="V3338" s="348" t="str">
        <f t="shared" ref="V3338:V3401" si="429">IFERROR(G3338^4*$AB$14+G3338^3*$AC$14+G3338^2*$AD$14+G3338^1*$AE$14+G3338^0*$AF$14,"")</f>
        <v/>
      </c>
      <c r="W3338" s="348" t="str">
        <f t="shared" ref="W3338:W3401" si="430">IFERROR(H3338^4*$AB$15+H3338^3*$AC$15+H3338^2*$AD$15+H3338^1*$AE$15+H3338^0*$AF$15,"")</f>
        <v/>
      </c>
      <c r="X3338" s="348" t="str">
        <f t="shared" ref="X3338:X3401" si="431">IFERROR(I3338^4*$AB$16+I3338^3*$AC$16+I3338^2*$AD$16+I3338^1*$AE$16+I3338^0*$AF$16,"")</f>
        <v/>
      </c>
    </row>
    <row r="3339" spans="1:24" x14ac:dyDescent="0.2">
      <c r="A3339" s="407">
        <v>3331</v>
      </c>
      <c r="B3339" s="438"/>
      <c r="C3339" s="438"/>
      <c r="D3339" s="438"/>
      <c r="E3339" s="438"/>
      <c r="F3339" s="438"/>
      <c r="G3339" s="438"/>
      <c r="H3339" s="438"/>
      <c r="I3339" s="438"/>
      <c r="J3339" s="11"/>
      <c r="Q3339" s="348" t="str">
        <f t="shared" si="424"/>
        <v/>
      </c>
      <c r="R3339" s="348" t="str">
        <f t="shared" si="425"/>
        <v/>
      </c>
      <c r="S3339" s="348" t="str">
        <f t="shared" si="426"/>
        <v/>
      </c>
      <c r="T3339" s="348" t="str">
        <f t="shared" si="427"/>
        <v/>
      </c>
      <c r="U3339" s="348" t="str">
        <f t="shared" si="428"/>
        <v/>
      </c>
      <c r="V3339" s="348" t="str">
        <f t="shared" si="429"/>
        <v/>
      </c>
      <c r="W3339" s="348" t="str">
        <f t="shared" si="430"/>
        <v/>
      </c>
      <c r="X3339" s="348" t="str">
        <f t="shared" si="431"/>
        <v/>
      </c>
    </row>
    <row r="3340" spans="1:24" x14ac:dyDescent="0.2">
      <c r="A3340" s="407">
        <v>3332</v>
      </c>
      <c r="B3340" s="438"/>
      <c r="C3340" s="438"/>
      <c r="D3340" s="438"/>
      <c r="E3340" s="438"/>
      <c r="F3340" s="438"/>
      <c r="G3340" s="438"/>
      <c r="H3340" s="438"/>
      <c r="I3340" s="438"/>
      <c r="J3340" s="11"/>
      <c r="Q3340" s="348" t="str">
        <f t="shared" si="424"/>
        <v/>
      </c>
      <c r="R3340" s="348" t="str">
        <f t="shared" si="425"/>
        <v/>
      </c>
      <c r="S3340" s="348" t="str">
        <f t="shared" si="426"/>
        <v/>
      </c>
      <c r="T3340" s="348" t="str">
        <f t="shared" si="427"/>
        <v/>
      </c>
      <c r="U3340" s="348" t="str">
        <f t="shared" si="428"/>
        <v/>
      </c>
      <c r="V3340" s="348" t="str">
        <f t="shared" si="429"/>
        <v/>
      </c>
      <c r="W3340" s="348" t="str">
        <f t="shared" si="430"/>
        <v/>
      </c>
      <c r="X3340" s="348" t="str">
        <f t="shared" si="431"/>
        <v/>
      </c>
    </row>
    <row r="3341" spans="1:24" x14ac:dyDescent="0.2">
      <c r="A3341" s="407">
        <v>3333</v>
      </c>
      <c r="B3341" s="438"/>
      <c r="C3341" s="438"/>
      <c r="D3341" s="438"/>
      <c r="E3341" s="438"/>
      <c r="F3341" s="438"/>
      <c r="G3341" s="438"/>
      <c r="H3341" s="438"/>
      <c r="I3341" s="438"/>
      <c r="J3341" s="11"/>
      <c r="Q3341" s="348" t="str">
        <f t="shared" si="424"/>
        <v/>
      </c>
      <c r="R3341" s="348" t="str">
        <f t="shared" si="425"/>
        <v/>
      </c>
      <c r="S3341" s="348" t="str">
        <f t="shared" si="426"/>
        <v/>
      </c>
      <c r="T3341" s="348" t="str">
        <f t="shared" si="427"/>
        <v/>
      </c>
      <c r="U3341" s="348" t="str">
        <f t="shared" si="428"/>
        <v/>
      </c>
      <c r="V3341" s="348" t="str">
        <f t="shared" si="429"/>
        <v/>
      </c>
      <c r="W3341" s="348" t="str">
        <f t="shared" si="430"/>
        <v/>
      </c>
      <c r="X3341" s="348" t="str">
        <f t="shared" si="431"/>
        <v/>
      </c>
    </row>
    <row r="3342" spans="1:24" x14ac:dyDescent="0.2">
      <c r="A3342" s="407">
        <v>3334</v>
      </c>
      <c r="B3342" s="438"/>
      <c r="C3342" s="438"/>
      <c r="D3342" s="438"/>
      <c r="E3342" s="438"/>
      <c r="F3342" s="438"/>
      <c r="G3342" s="438"/>
      <c r="H3342" s="438"/>
      <c r="I3342" s="438"/>
      <c r="J3342" s="11"/>
      <c r="Q3342" s="348" t="str">
        <f t="shared" si="424"/>
        <v/>
      </c>
      <c r="R3342" s="348" t="str">
        <f t="shared" si="425"/>
        <v/>
      </c>
      <c r="S3342" s="348" t="str">
        <f t="shared" si="426"/>
        <v/>
      </c>
      <c r="T3342" s="348" t="str">
        <f t="shared" si="427"/>
        <v/>
      </c>
      <c r="U3342" s="348" t="str">
        <f t="shared" si="428"/>
        <v/>
      </c>
      <c r="V3342" s="348" t="str">
        <f t="shared" si="429"/>
        <v/>
      </c>
      <c r="W3342" s="348" t="str">
        <f t="shared" si="430"/>
        <v/>
      </c>
      <c r="X3342" s="348" t="str">
        <f t="shared" si="431"/>
        <v/>
      </c>
    </row>
    <row r="3343" spans="1:24" x14ac:dyDescent="0.2">
      <c r="A3343" s="407">
        <v>3335</v>
      </c>
      <c r="B3343" s="438"/>
      <c r="C3343" s="438"/>
      <c r="D3343" s="438"/>
      <c r="E3343" s="438"/>
      <c r="F3343" s="438"/>
      <c r="G3343" s="438"/>
      <c r="H3343" s="438"/>
      <c r="I3343" s="438"/>
      <c r="J3343" s="11"/>
      <c r="Q3343" s="348" t="str">
        <f t="shared" si="424"/>
        <v/>
      </c>
      <c r="R3343" s="348" t="str">
        <f t="shared" si="425"/>
        <v/>
      </c>
      <c r="S3343" s="348" t="str">
        <f t="shared" si="426"/>
        <v/>
      </c>
      <c r="T3343" s="348" t="str">
        <f t="shared" si="427"/>
        <v/>
      </c>
      <c r="U3343" s="348" t="str">
        <f t="shared" si="428"/>
        <v/>
      </c>
      <c r="V3343" s="348" t="str">
        <f t="shared" si="429"/>
        <v/>
      </c>
      <c r="W3343" s="348" t="str">
        <f t="shared" si="430"/>
        <v/>
      </c>
      <c r="X3343" s="348" t="str">
        <f t="shared" si="431"/>
        <v/>
      </c>
    </row>
    <row r="3344" spans="1:24" x14ac:dyDescent="0.2">
      <c r="A3344" s="407">
        <v>3336</v>
      </c>
      <c r="B3344" s="438"/>
      <c r="C3344" s="437"/>
      <c r="D3344" s="438"/>
      <c r="E3344" s="438"/>
      <c r="F3344" s="438"/>
      <c r="G3344" s="438"/>
      <c r="H3344" s="438"/>
      <c r="I3344" s="438"/>
      <c r="J3344" s="11"/>
      <c r="Q3344" s="348" t="str">
        <f t="shared" si="424"/>
        <v/>
      </c>
      <c r="R3344" s="348" t="str">
        <f t="shared" si="425"/>
        <v/>
      </c>
      <c r="S3344" s="348" t="str">
        <f t="shared" si="426"/>
        <v/>
      </c>
      <c r="T3344" s="348" t="str">
        <f t="shared" si="427"/>
        <v/>
      </c>
      <c r="U3344" s="348" t="str">
        <f t="shared" si="428"/>
        <v/>
      </c>
      <c r="V3344" s="348" t="str">
        <f t="shared" si="429"/>
        <v/>
      </c>
      <c r="W3344" s="348" t="str">
        <f t="shared" si="430"/>
        <v/>
      </c>
      <c r="X3344" s="348" t="str">
        <f t="shared" si="431"/>
        <v/>
      </c>
    </row>
    <row r="3345" spans="1:24" x14ac:dyDescent="0.2">
      <c r="A3345" s="407">
        <v>3337</v>
      </c>
      <c r="B3345" s="438"/>
      <c r="C3345" s="438"/>
      <c r="D3345" s="438"/>
      <c r="E3345" s="438"/>
      <c r="F3345" s="438"/>
      <c r="G3345" s="438"/>
      <c r="H3345" s="438"/>
      <c r="I3345" s="438"/>
      <c r="J3345" s="11"/>
      <c r="Q3345" s="348" t="str">
        <f t="shared" si="424"/>
        <v/>
      </c>
      <c r="R3345" s="348" t="str">
        <f t="shared" si="425"/>
        <v/>
      </c>
      <c r="S3345" s="348" t="str">
        <f t="shared" si="426"/>
        <v/>
      </c>
      <c r="T3345" s="348" t="str">
        <f t="shared" si="427"/>
        <v/>
      </c>
      <c r="U3345" s="348" t="str">
        <f t="shared" si="428"/>
        <v/>
      </c>
      <c r="V3345" s="348" t="str">
        <f t="shared" si="429"/>
        <v/>
      </c>
      <c r="W3345" s="348" t="str">
        <f t="shared" si="430"/>
        <v/>
      </c>
      <c r="X3345" s="348" t="str">
        <f t="shared" si="431"/>
        <v/>
      </c>
    </row>
    <row r="3346" spans="1:24" x14ac:dyDescent="0.2">
      <c r="A3346" s="407">
        <v>3338</v>
      </c>
      <c r="B3346" s="438"/>
      <c r="C3346" s="438"/>
      <c r="D3346" s="438"/>
      <c r="E3346" s="438"/>
      <c r="F3346" s="438"/>
      <c r="G3346" s="438"/>
      <c r="H3346" s="438"/>
      <c r="I3346" s="438"/>
      <c r="J3346" s="11"/>
      <c r="Q3346" s="348" t="str">
        <f t="shared" si="424"/>
        <v/>
      </c>
      <c r="R3346" s="348" t="str">
        <f t="shared" si="425"/>
        <v/>
      </c>
      <c r="S3346" s="348" t="str">
        <f t="shared" si="426"/>
        <v/>
      </c>
      <c r="T3346" s="348" t="str">
        <f t="shared" si="427"/>
        <v/>
      </c>
      <c r="U3346" s="348" t="str">
        <f t="shared" si="428"/>
        <v/>
      </c>
      <c r="V3346" s="348" t="str">
        <f t="shared" si="429"/>
        <v/>
      </c>
      <c r="W3346" s="348" t="str">
        <f t="shared" si="430"/>
        <v/>
      </c>
      <c r="X3346" s="348" t="str">
        <f t="shared" si="431"/>
        <v/>
      </c>
    </row>
    <row r="3347" spans="1:24" x14ac:dyDescent="0.2">
      <c r="A3347" s="407">
        <v>3339</v>
      </c>
      <c r="B3347" s="438"/>
      <c r="C3347" s="438"/>
      <c r="D3347" s="438"/>
      <c r="E3347" s="438"/>
      <c r="F3347" s="438"/>
      <c r="G3347" s="438"/>
      <c r="H3347" s="438"/>
      <c r="I3347" s="438"/>
      <c r="J3347" s="11"/>
      <c r="Q3347" s="348" t="str">
        <f t="shared" si="424"/>
        <v/>
      </c>
      <c r="R3347" s="348" t="str">
        <f t="shared" si="425"/>
        <v/>
      </c>
      <c r="S3347" s="348" t="str">
        <f t="shared" si="426"/>
        <v/>
      </c>
      <c r="T3347" s="348" t="str">
        <f t="shared" si="427"/>
        <v/>
      </c>
      <c r="U3347" s="348" t="str">
        <f t="shared" si="428"/>
        <v/>
      </c>
      <c r="V3347" s="348" t="str">
        <f t="shared" si="429"/>
        <v/>
      </c>
      <c r="W3347" s="348" t="str">
        <f t="shared" si="430"/>
        <v/>
      </c>
      <c r="X3347" s="348" t="str">
        <f t="shared" si="431"/>
        <v/>
      </c>
    </row>
    <row r="3348" spans="1:24" x14ac:dyDescent="0.2">
      <c r="A3348" s="407">
        <v>3340</v>
      </c>
      <c r="B3348" s="438"/>
      <c r="C3348" s="438"/>
      <c r="D3348" s="438"/>
      <c r="E3348" s="438"/>
      <c r="F3348" s="438"/>
      <c r="G3348" s="438"/>
      <c r="H3348" s="438"/>
      <c r="I3348" s="438"/>
      <c r="J3348" s="11"/>
      <c r="Q3348" s="348" t="str">
        <f t="shared" si="424"/>
        <v/>
      </c>
      <c r="R3348" s="348" t="str">
        <f t="shared" si="425"/>
        <v/>
      </c>
      <c r="S3348" s="348" t="str">
        <f t="shared" si="426"/>
        <v/>
      </c>
      <c r="T3348" s="348" t="str">
        <f t="shared" si="427"/>
        <v/>
      </c>
      <c r="U3348" s="348" t="str">
        <f t="shared" si="428"/>
        <v/>
      </c>
      <c r="V3348" s="348" t="str">
        <f t="shared" si="429"/>
        <v/>
      </c>
      <c r="W3348" s="348" t="str">
        <f t="shared" si="430"/>
        <v/>
      </c>
      <c r="X3348" s="348" t="str">
        <f t="shared" si="431"/>
        <v/>
      </c>
    </row>
    <row r="3349" spans="1:24" x14ac:dyDescent="0.2">
      <c r="A3349" s="407">
        <v>3341</v>
      </c>
      <c r="B3349" s="438"/>
      <c r="C3349" s="438"/>
      <c r="D3349" s="438"/>
      <c r="E3349" s="438"/>
      <c r="F3349" s="438"/>
      <c r="G3349" s="438"/>
      <c r="H3349" s="438"/>
      <c r="I3349" s="438"/>
      <c r="J3349" s="11"/>
      <c r="Q3349" s="348" t="str">
        <f t="shared" si="424"/>
        <v/>
      </c>
      <c r="R3349" s="348" t="str">
        <f t="shared" si="425"/>
        <v/>
      </c>
      <c r="S3349" s="348" t="str">
        <f t="shared" si="426"/>
        <v/>
      </c>
      <c r="T3349" s="348" t="str">
        <f t="shared" si="427"/>
        <v/>
      </c>
      <c r="U3349" s="348" t="str">
        <f t="shared" si="428"/>
        <v/>
      </c>
      <c r="V3349" s="348" t="str">
        <f t="shared" si="429"/>
        <v/>
      </c>
      <c r="W3349" s="348" t="str">
        <f t="shared" si="430"/>
        <v/>
      </c>
      <c r="X3349" s="348" t="str">
        <f t="shared" si="431"/>
        <v/>
      </c>
    </row>
    <row r="3350" spans="1:24" x14ac:dyDescent="0.2">
      <c r="A3350" s="407">
        <v>3342</v>
      </c>
      <c r="B3350" s="438"/>
      <c r="C3350" s="438"/>
      <c r="D3350" s="438"/>
      <c r="E3350" s="438"/>
      <c r="F3350" s="438"/>
      <c r="G3350" s="438"/>
      <c r="H3350" s="438"/>
      <c r="I3350" s="438"/>
      <c r="J3350" s="11"/>
      <c r="Q3350" s="348" t="str">
        <f t="shared" si="424"/>
        <v/>
      </c>
      <c r="R3350" s="348" t="str">
        <f t="shared" si="425"/>
        <v/>
      </c>
      <c r="S3350" s="348" t="str">
        <f t="shared" si="426"/>
        <v/>
      </c>
      <c r="T3350" s="348" t="str">
        <f t="shared" si="427"/>
        <v/>
      </c>
      <c r="U3350" s="348" t="str">
        <f t="shared" si="428"/>
        <v/>
      </c>
      <c r="V3350" s="348" t="str">
        <f t="shared" si="429"/>
        <v/>
      </c>
      <c r="W3350" s="348" t="str">
        <f t="shared" si="430"/>
        <v/>
      </c>
      <c r="X3350" s="348" t="str">
        <f t="shared" si="431"/>
        <v/>
      </c>
    </row>
    <row r="3351" spans="1:24" x14ac:dyDescent="0.2">
      <c r="A3351" s="407">
        <v>3343</v>
      </c>
      <c r="B3351" s="438"/>
      <c r="C3351" s="438"/>
      <c r="D3351" s="438"/>
      <c r="E3351" s="438"/>
      <c r="F3351" s="438"/>
      <c r="G3351" s="438"/>
      <c r="H3351" s="438"/>
      <c r="I3351" s="438"/>
      <c r="J3351" s="11"/>
      <c r="Q3351" s="348" t="str">
        <f t="shared" si="424"/>
        <v/>
      </c>
      <c r="R3351" s="348" t="str">
        <f t="shared" si="425"/>
        <v/>
      </c>
      <c r="S3351" s="348" t="str">
        <f t="shared" si="426"/>
        <v/>
      </c>
      <c r="T3351" s="348" t="str">
        <f t="shared" si="427"/>
        <v/>
      </c>
      <c r="U3351" s="348" t="str">
        <f t="shared" si="428"/>
        <v/>
      </c>
      <c r="V3351" s="348" t="str">
        <f t="shared" si="429"/>
        <v/>
      </c>
      <c r="W3351" s="348" t="str">
        <f t="shared" si="430"/>
        <v/>
      </c>
      <c r="X3351" s="348" t="str">
        <f t="shared" si="431"/>
        <v/>
      </c>
    </row>
    <row r="3352" spans="1:24" x14ac:dyDescent="0.2">
      <c r="A3352" s="407">
        <v>3344</v>
      </c>
      <c r="B3352" s="438"/>
      <c r="C3352" s="438"/>
      <c r="D3352" s="438"/>
      <c r="E3352" s="438"/>
      <c r="F3352" s="438"/>
      <c r="G3352" s="438"/>
      <c r="H3352" s="438"/>
      <c r="I3352" s="438"/>
      <c r="J3352" s="11"/>
      <c r="Q3352" s="348" t="str">
        <f t="shared" si="424"/>
        <v/>
      </c>
      <c r="R3352" s="348" t="str">
        <f t="shared" si="425"/>
        <v/>
      </c>
      <c r="S3352" s="348" t="str">
        <f t="shared" si="426"/>
        <v/>
      </c>
      <c r="T3352" s="348" t="str">
        <f t="shared" si="427"/>
        <v/>
      </c>
      <c r="U3352" s="348" t="str">
        <f t="shared" si="428"/>
        <v/>
      </c>
      <c r="V3352" s="348" t="str">
        <f t="shared" si="429"/>
        <v/>
      </c>
      <c r="W3352" s="348" t="str">
        <f t="shared" si="430"/>
        <v/>
      </c>
      <c r="X3352" s="348" t="str">
        <f t="shared" si="431"/>
        <v/>
      </c>
    </row>
    <row r="3353" spans="1:24" x14ac:dyDescent="0.2">
      <c r="A3353" s="407">
        <v>3345</v>
      </c>
      <c r="B3353" s="438"/>
      <c r="C3353" s="438"/>
      <c r="D3353" s="438"/>
      <c r="E3353" s="438"/>
      <c r="F3353" s="438"/>
      <c r="G3353" s="438"/>
      <c r="H3353" s="438"/>
      <c r="I3353" s="438"/>
      <c r="J3353" s="11"/>
      <c r="Q3353" s="348" t="str">
        <f t="shared" si="424"/>
        <v/>
      </c>
      <c r="R3353" s="348" t="str">
        <f t="shared" si="425"/>
        <v/>
      </c>
      <c r="S3353" s="348" t="str">
        <f t="shared" si="426"/>
        <v/>
      </c>
      <c r="T3353" s="348" t="str">
        <f t="shared" si="427"/>
        <v/>
      </c>
      <c r="U3353" s="348" t="str">
        <f t="shared" si="428"/>
        <v/>
      </c>
      <c r="V3353" s="348" t="str">
        <f t="shared" si="429"/>
        <v/>
      </c>
      <c r="W3353" s="348" t="str">
        <f t="shared" si="430"/>
        <v/>
      </c>
      <c r="X3353" s="348" t="str">
        <f t="shared" si="431"/>
        <v/>
      </c>
    </row>
    <row r="3354" spans="1:24" x14ac:dyDescent="0.2">
      <c r="A3354" s="407">
        <v>3346</v>
      </c>
      <c r="B3354" s="438"/>
      <c r="C3354" s="438"/>
      <c r="D3354" s="438"/>
      <c r="E3354" s="438"/>
      <c r="F3354" s="438"/>
      <c r="G3354" s="438"/>
      <c r="H3354" s="438"/>
      <c r="I3354" s="438"/>
      <c r="J3354" s="11"/>
      <c r="Q3354" s="348" t="str">
        <f t="shared" si="424"/>
        <v/>
      </c>
      <c r="R3354" s="348" t="str">
        <f t="shared" si="425"/>
        <v/>
      </c>
      <c r="S3354" s="348" t="str">
        <f t="shared" si="426"/>
        <v/>
      </c>
      <c r="T3354" s="348" t="str">
        <f t="shared" si="427"/>
        <v/>
      </c>
      <c r="U3354" s="348" t="str">
        <f t="shared" si="428"/>
        <v/>
      </c>
      <c r="V3354" s="348" t="str">
        <f t="shared" si="429"/>
        <v/>
      </c>
      <c r="W3354" s="348" t="str">
        <f t="shared" si="430"/>
        <v/>
      </c>
      <c r="X3354" s="348" t="str">
        <f t="shared" si="431"/>
        <v/>
      </c>
    </row>
    <row r="3355" spans="1:24" x14ac:dyDescent="0.2">
      <c r="A3355" s="407">
        <v>3347</v>
      </c>
      <c r="B3355" s="438"/>
      <c r="C3355" s="438"/>
      <c r="D3355" s="438"/>
      <c r="E3355" s="438"/>
      <c r="F3355" s="438"/>
      <c r="G3355" s="438"/>
      <c r="H3355" s="438"/>
      <c r="I3355" s="438"/>
      <c r="J3355" s="11"/>
      <c r="Q3355" s="348" t="str">
        <f t="shared" si="424"/>
        <v/>
      </c>
      <c r="R3355" s="348" t="str">
        <f t="shared" si="425"/>
        <v/>
      </c>
      <c r="S3355" s="348" t="str">
        <f t="shared" si="426"/>
        <v/>
      </c>
      <c r="T3355" s="348" t="str">
        <f t="shared" si="427"/>
        <v/>
      </c>
      <c r="U3355" s="348" t="str">
        <f t="shared" si="428"/>
        <v/>
      </c>
      <c r="V3355" s="348" t="str">
        <f t="shared" si="429"/>
        <v/>
      </c>
      <c r="W3355" s="348" t="str">
        <f t="shared" si="430"/>
        <v/>
      </c>
      <c r="X3355" s="348" t="str">
        <f t="shared" si="431"/>
        <v/>
      </c>
    </row>
    <row r="3356" spans="1:24" x14ac:dyDescent="0.2">
      <c r="A3356" s="407">
        <v>3348</v>
      </c>
      <c r="B3356" s="437"/>
      <c r="C3356" s="438"/>
      <c r="D3356" s="437"/>
      <c r="E3356" s="438"/>
      <c r="F3356" s="438"/>
      <c r="G3356" s="438"/>
      <c r="H3356" s="438"/>
      <c r="I3356" s="438"/>
      <c r="J3356" s="11"/>
      <c r="Q3356" s="348" t="str">
        <f t="shared" si="424"/>
        <v/>
      </c>
      <c r="R3356" s="348" t="str">
        <f t="shared" si="425"/>
        <v/>
      </c>
      <c r="S3356" s="348" t="str">
        <f t="shared" si="426"/>
        <v/>
      </c>
      <c r="T3356" s="348" t="str">
        <f t="shared" si="427"/>
        <v/>
      </c>
      <c r="U3356" s="348" t="str">
        <f t="shared" si="428"/>
        <v/>
      </c>
      <c r="V3356" s="348" t="str">
        <f t="shared" si="429"/>
        <v/>
      </c>
      <c r="W3356" s="348" t="str">
        <f t="shared" si="430"/>
        <v/>
      </c>
      <c r="X3356" s="348" t="str">
        <f t="shared" si="431"/>
        <v/>
      </c>
    </row>
    <row r="3357" spans="1:24" x14ac:dyDescent="0.2">
      <c r="A3357" s="407">
        <v>3349</v>
      </c>
      <c r="B3357" s="438"/>
      <c r="C3357" s="438"/>
      <c r="D3357" s="438"/>
      <c r="E3357" s="438"/>
      <c r="F3357" s="438"/>
      <c r="G3357" s="438"/>
      <c r="H3357" s="438"/>
      <c r="I3357" s="438"/>
      <c r="J3357" s="11"/>
      <c r="Q3357" s="348" t="str">
        <f t="shared" si="424"/>
        <v/>
      </c>
      <c r="R3357" s="348" t="str">
        <f t="shared" si="425"/>
        <v/>
      </c>
      <c r="S3357" s="348" t="str">
        <f t="shared" si="426"/>
        <v/>
      </c>
      <c r="T3357" s="348" t="str">
        <f t="shared" si="427"/>
        <v/>
      </c>
      <c r="U3357" s="348" t="str">
        <f t="shared" si="428"/>
        <v/>
      </c>
      <c r="V3357" s="348" t="str">
        <f t="shared" si="429"/>
        <v/>
      </c>
      <c r="W3357" s="348" t="str">
        <f t="shared" si="430"/>
        <v/>
      </c>
      <c r="X3357" s="348" t="str">
        <f t="shared" si="431"/>
        <v/>
      </c>
    </row>
    <row r="3358" spans="1:24" x14ac:dyDescent="0.2">
      <c r="A3358" s="407">
        <v>3350</v>
      </c>
      <c r="B3358" s="438"/>
      <c r="C3358" s="437"/>
      <c r="D3358" s="438"/>
      <c r="E3358" s="438"/>
      <c r="F3358" s="438"/>
      <c r="G3358" s="438"/>
      <c r="H3358" s="438"/>
      <c r="I3358" s="438"/>
      <c r="J3358" s="11"/>
      <c r="Q3358" s="348" t="str">
        <f t="shared" si="424"/>
        <v/>
      </c>
      <c r="R3358" s="348" t="str">
        <f t="shared" si="425"/>
        <v/>
      </c>
      <c r="S3358" s="348" t="str">
        <f t="shared" si="426"/>
        <v/>
      </c>
      <c r="T3358" s="348" t="str">
        <f t="shared" si="427"/>
        <v/>
      </c>
      <c r="U3358" s="348" t="str">
        <f t="shared" si="428"/>
        <v/>
      </c>
      <c r="V3358" s="348" t="str">
        <f t="shared" si="429"/>
        <v/>
      </c>
      <c r="W3358" s="348" t="str">
        <f t="shared" si="430"/>
        <v/>
      </c>
      <c r="X3358" s="348" t="str">
        <f t="shared" si="431"/>
        <v/>
      </c>
    </row>
    <row r="3359" spans="1:24" x14ac:dyDescent="0.2">
      <c r="A3359" s="407">
        <v>3351</v>
      </c>
      <c r="B3359" s="438"/>
      <c r="C3359" s="438"/>
      <c r="D3359" s="438"/>
      <c r="E3359" s="437"/>
      <c r="F3359" s="438"/>
      <c r="G3359" s="438"/>
      <c r="H3359" s="438"/>
      <c r="I3359" s="438"/>
      <c r="J3359" s="11"/>
      <c r="Q3359" s="348" t="str">
        <f t="shared" si="424"/>
        <v/>
      </c>
      <c r="R3359" s="348" t="str">
        <f t="shared" si="425"/>
        <v/>
      </c>
      <c r="S3359" s="348" t="str">
        <f t="shared" si="426"/>
        <v/>
      </c>
      <c r="T3359" s="348" t="str">
        <f t="shared" si="427"/>
        <v/>
      </c>
      <c r="U3359" s="348" t="str">
        <f t="shared" si="428"/>
        <v/>
      </c>
      <c r="V3359" s="348" t="str">
        <f t="shared" si="429"/>
        <v/>
      </c>
      <c r="W3359" s="348" t="str">
        <f t="shared" si="430"/>
        <v/>
      </c>
      <c r="X3359" s="348" t="str">
        <f t="shared" si="431"/>
        <v/>
      </c>
    </row>
    <row r="3360" spans="1:24" x14ac:dyDescent="0.2">
      <c r="A3360" s="407">
        <v>3352</v>
      </c>
      <c r="B3360" s="438"/>
      <c r="C3360" s="438"/>
      <c r="D3360" s="438"/>
      <c r="E3360" s="438"/>
      <c r="F3360" s="438"/>
      <c r="G3360" s="438"/>
      <c r="H3360" s="438"/>
      <c r="I3360" s="438"/>
      <c r="J3360" s="11"/>
      <c r="Q3360" s="348" t="str">
        <f t="shared" si="424"/>
        <v/>
      </c>
      <c r="R3360" s="348" t="str">
        <f t="shared" si="425"/>
        <v/>
      </c>
      <c r="S3360" s="348" t="str">
        <f t="shared" si="426"/>
        <v/>
      </c>
      <c r="T3360" s="348" t="str">
        <f t="shared" si="427"/>
        <v/>
      </c>
      <c r="U3360" s="348" t="str">
        <f t="shared" si="428"/>
        <v/>
      </c>
      <c r="V3360" s="348" t="str">
        <f t="shared" si="429"/>
        <v/>
      </c>
      <c r="W3360" s="348" t="str">
        <f t="shared" si="430"/>
        <v/>
      </c>
      <c r="X3360" s="348" t="str">
        <f t="shared" si="431"/>
        <v/>
      </c>
    </row>
    <row r="3361" spans="1:24" x14ac:dyDescent="0.2">
      <c r="A3361" s="407">
        <v>3353</v>
      </c>
      <c r="B3361" s="438"/>
      <c r="C3361" s="438"/>
      <c r="D3361" s="438"/>
      <c r="E3361" s="438"/>
      <c r="F3361" s="438"/>
      <c r="G3361" s="438"/>
      <c r="H3361" s="438"/>
      <c r="I3361" s="438"/>
      <c r="J3361" s="11"/>
      <c r="Q3361" s="348" t="str">
        <f t="shared" si="424"/>
        <v/>
      </c>
      <c r="R3361" s="348" t="str">
        <f t="shared" si="425"/>
        <v/>
      </c>
      <c r="S3361" s="348" t="str">
        <f t="shared" si="426"/>
        <v/>
      </c>
      <c r="T3361" s="348" t="str">
        <f t="shared" si="427"/>
        <v/>
      </c>
      <c r="U3361" s="348" t="str">
        <f t="shared" si="428"/>
        <v/>
      </c>
      <c r="V3361" s="348" t="str">
        <f t="shared" si="429"/>
        <v/>
      </c>
      <c r="W3361" s="348" t="str">
        <f t="shared" si="430"/>
        <v/>
      </c>
      <c r="X3361" s="348" t="str">
        <f t="shared" si="431"/>
        <v/>
      </c>
    </row>
    <row r="3362" spans="1:24" x14ac:dyDescent="0.2">
      <c r="A3362" s="407">
        <v>3354</v>
      </c>
      <c r="B3362" s="438"/>
      <c r="C3362" s="438"/>
      <c r="D3362" s="438"/>
      <c r="E3362" s="438"/>
      <c r="F3362" s="438"/>
      <c r="G3362" s="438"/>
      <c r="H3362" s="438"/>
      <c r="I3362" s="438"/>
      <c r="J3362" s="11"/>
      <c r="Q3362" s="348" t="str">
        <f t="shared" si="424"/>
        <v/>
      </c>
      <c r="R3362" s="348" t="str">
        <f t="shared" si="425"/>
        <v/>
      </c>
      <c r="S3362" s="348" t="str">
        <f t="shared" si="426"/>
        <v/>
      </c>
      <c r="T3362" s="348" t="str">
        <f t="shared" si="427"/>
        <v/>
      </c>
      <c r="U3362" s="348" t="str">
        <f t="shared" si="428"/>
        <v/>
      </c>
      <c r="V3362" s="348" t="str">
        <f t="shared" si="429"/>
        <v/>
      </c>
      <c r="W3362" s="348" t="str">
        <f t="shared" si="430"/>
        <v/>
      </c>
      <c r="X3362" s="348" t="str">
        <f t="shared" si="431"/>
        <v/>
      </c>
    </row>
    <row r="3363" spans="1:24" x14ac:dyDescent="0.2">
      <c r="A3363" s="407">
        <v>3355</v>
      </c>
      <c r="B3363" s="438"/>
      <c r="C3363" s="438"/>
      <c r="D3363" s="438"/>
      <c r="E3363" s="438"/>
      <c r="F3363" s="438"/>
      <c r="G3363" s="438"/>
      <c r="H3363" s="438"/>
      <c r="I3363" s="438"/>
      <c r="J3363" s="11"/>
      <c r="Q3363" s="348" t="str">
        <f t="shared" si="424"/>
        <v/>
      </c>
      <c r="R3363" s="348" t="str">
        <f t="shared" si="425"/>
        <v/>
      </c>
      <c r="S3363" s="348" t="str">
        <f t="shared" si="426"/>
        <v/>
      </c>
      <c r="T3363" s="348" t="str">
        <f t="shared" si="427"/>
        <v/>
      </c>
      <c r="U3363" s="348" t="str">
        <f t="shared" si="428"/>
        <v/>
      </c>
      <c r="V3363" s="348" t="str">
        <f t="shared" si="429"/>
        <v/>
      </c>
      <c r="W3363" s="348" t="str">
        <f t="shared" si="430"/>
        <v/>
      </c>
      <c r="X3363" s="348" t="str">
        <f t="shared" si="431"/>
        <v/>
      </c>
    </row>
    <row r="3364" spans="1:24" x14ac:dyDescent="0.2">
      <c r="A3364" s="407">
        <v>3356</v>
      </c>
      <c r="B3364" s="438"/>
      <c r="C3364" s="438"/>
      <c r="D3364" s="438"/>
      <c r="E3364" s="438"/>
      <c r="F3364" s="438"/>
      <c r="G3364" s="438"/>
      <c r="H3364" s="438"/>
      <c r="I3364" s="438"/>
      <c r="J3364" s="11"/>
      <c r="Q3364" s="348" t="str">
        <f t="shared" si="424"/>
        <v/>
      </c>
      <c r="R3364" s="348" t="str">
        <f t="shared" si="425"/>
        <v/>
      </c>
      <c r="S3364" s="348" t="str">
        <f t="shared" si="426"/>
        <v/>
      </c>
      <c r="T3364" s="348" t="str">
        <f t="shared" si="427"/>
        <v/>
      </c>
      <c r="U3364" s="348" t="str">
        <f t="shared" si="428"/>
        <v/>
      </c>
      <c r="V3364" s="348" t="str">
        <f t="shared" si="429"/>
        <v/>
      </c>
      <c r="W3364" s="348" t="str">
        <f t="shared" si="430"/>
        <v/>
      </c>
      <c r="X3364" s="348" t="str">
        <f t="shared" si="431"/>
        <v/>
      </c>
    </row>
    <row r="3365" spans="1:24" x14ac:dyDescent="0.2">
      <c r="A3365" s="407">
        <v>3357</v>
      </c>
      <c r="B3365" s="438"/>
      <c r="C3365" s="438"/>
      <c r="D3365" s="438"/>
      <c r="E3365" s="438"/>
      <c r="F3365" s="438"/>
      <c r="G3365" s="438"/>
      <c r="H3365" s="438"/>
      <c r="I3365" s="438"/>
      <c r="J3365" s="11"/>
      <c r="Q3365" s="348" t="str">
        <f t="shared" si="424"/>
        <v/>
      </c>
      <c r="R3365" s="348" t="str">
        <f t="shared" si="425"/>
        <v/>
      </c>
      <c r="S3365" s="348" t="str">
        <f t="shared" si="426"/>
        <v/>
      </c>
      <c r="T3365" s="348" t="str">
        <f t="shared" si="427"/>
        <v/>
      </c>
      <c r="U3365" s="348" t="str">
        <f t="shared" si="428"/>
        <v/>
      </c>
      <c r="V3365" s="348" t="str">
        <f t="shared" si="429"/>
        <v/>
      </c>
      <c r="W3365" s="348" t="str">
        <f t="shared" si="430"/>
        <v/>
      </c>
      <c r="X3365" s="348" t="str">
        <f t="shared" si="431"/>
        <v/>
      </c>
    </row>
    <row r="3366" spans="1:24" x14ac:dyDescent="0.2">
      <c r="A3366" s="407">
        <v>3358</v>
      </c>
      <c r="B3366" s="437"/>
      <c r="C3366" s="438"/>
      <c r="D3366" s="438"/>
      <c r="E3366" s="438"/>
      <c r="F3366" s="438"/>
      <c r="G3366" s="438"/>
      <c r="H3366" s="438"/>
      <c r="I3366" s="438"/>
      <c r="J3366" s="11"/>
      <c r="Q3366" s="348" t="str">
        <f t="shared" si="424"/>
        <v/>
      </c>
      <c r="R3366" s="348" t="str">
        <f t="shared" si="425"/>
        <v/>
      </c>
      <c r="S3366" s="348" t="str">
        <f t="shared" si="426"/>
        <v/>
      </c>
      <c r="T3366" s="348" t="str">
        <f t="shared" si="427"/>
        <v/>
      </c>
      <c r="U3366" s="348" t="str">
        <f t="shared" si="428"/>
        <v/>
      </c>
      <c r="V3366" s="348" t="str">
        <f t="shared" si="429"/>
        <v/>
      </c>
      <c r="W3366" s="348" t="str">
        <f t="shared" si="430"/>
        <v/>
      </c>
      <c r="X3366" s="348" t="str">
        <f t="shared" si="431"/>
        <v/>
      </c>
    </row>
    <row r="3367" spans="1:24" x14ac:dyDescent="0.2">
      <c r="A3367" s="407">
        <v>3359</v>
      </c>
      <c r="B3367" s="438"/>
      <c r="C3367" s="438"/>
      <c r="D3367" s="438"/>
      <c r="E3367" s="438"/>
      <c r="F3367" s="438"/>
      <c r="G3367" s="438"/>
      <c r="H3367" s="438"/>
      <c r="I3367" s="438"/>
      <c r="J3367" s="11"/>
      <c r="Q3367" s="348" t="str">
        <f t="shared" si="424"/>
        <v/>
      </c>
      <c r="R3367" s="348" t="str">
        <f t="shared" si="425"/>
        <v/>
      </c>
      <c r="S3367" s="348" t="str">
        <f t="shared" si="426"/>
        <v/>
      </c>
      <c r="T3367" s="348" t="str">
        <f t="shared" si="427"/>
        <v/>
      </c>
      <c r="U3367" s="348" t="str">
        <f t="shared" si="428"/>
        <v/>
      </c>
      <c r="V3367" s="348" t="str">
        <f t="shared" si="429"/>
        <v/>
      </c>
      <c r="W3367" s="348" t="str">
        <f t="shared" si="430"/>
        <v/>
      </c>
      <c r="X3367" s="348" t="str">
        <f t="shared" si="431"/>
        <v/>
      </c>
    </row>
    <row r="3368" spans="1:24" x14ac:dyDescent="0.2">
      <c r="A3368" s="407">
        <v>3360</v>
      </c>
      <c r="B3368" s="438"/>
      <c r="C3368" s="438"/>
      <c r="D3368" s="438"/>
      <c r="E3368" s="438"/>
      <c r="F3368" s="438"/>
      <c r="G3368" s="438"/>
      <c r="H3368" s="438"/>
      <c r="I3368" s="438"/>
      <c r="J3368" s="11"/>
      <c r="Q3368" s="348" t="str">
        <f t="shared" si="424"/>
        <v/>
      </c>
      <c r="R3368" s="348" t="str">
        <f t="shared" si="425"/>
        <v/>
      </c>
      <c r="S3368" s="348" t="str">
        <f t="shared" si="426"/>
        <v/>
      </c>
      <c r="T3368" s="348" t="str">
        <f t="shared" si="427"/>
        <v/>
      </c>
      <c r="U3368" s="348" t="str">
        <f t="shared" si="428"/>
        <v/>
      </c>
      <c r="V3368" s="348" t="str">
        <f t="shared" si="429"/>
        <v/>
      </c>
      <c r="W3368" s="348" t="str">
        <f t="shared" si="430"/>
        <v/>
      </c>
      <c r="X3368" s="348" t="str">
        <f t="shared" si="431"/>
        <v/>
      </c>
    </row>
    <row r="3369" spans="1:24" x14ac:dyDescent="0.2">
      <c r="A3369" s="407">
        <v>3361</v>
      </c>
      <c r="B3369" s="438"/>
      <c r="C3369" s="438"/>
      <c r="D3369" s="438"/>
      <c r="E3369" s="438"/>
      <c r="F3369" s="438"/>
      <c r="G3369" s="438"/>
      <c r="H3369" s="438"/>
      <c r="I3369" s="438"/>
      <c r="J3369" s="11"/>
      <c r="Q3369" s="348" t="str">
        <f t="shared" si="424"/>
        <v/>
      </c>
      <c r="R3369" s="348" t="str">
        <f t="shared" si="425"/>
        <v/>
      </c>
      <c r="S3369" s="348" t="str">
        <f t="shared" si="426"/>
        <v/>
      </c>
      <c r="T3369" s="348" t="str">
        <f t="shared" si="427"/>
        <v/>
      </c>
      <c r="U3369" s="348" t="str">
        <f t="shared" si="428"/>
        <v/>
      </c>
      <c r="V3369" s="348" t="str">
        <f t="shared" si="429"/>
        <v/>
      </c>
      <c r="W3369" s="348" t="str">
        <f t="shared" si="430"/>
        <v/>
      </c>
      <c r="X3369" s="348" t="str">
        <f t="shared" si="431"/>
        <v/>
      </c>
    </row>
    <row r="3370" spans="1:24" x14ac:dyDescent="0.2">
      <c r="A3370" s="407">
        <v>3362</v>
      </c>
      <c r="B3370" s="438"/>
      <c r="C3370" s="438"/>
      <c r="D3370" s="438"/>
      <c r="E3370" s="438"/>
      <c r="F3370" s="438"/>
      <c r="G3370" s="437"/>
      <c r="H3370" s="438"/>
      <c r="I3370" s="438"/>
      <c r="J3370" s="11"/>
      <c r="Q3370" s="348" t="str">
        <f t="shared" si="424"/>
        <v/>
      </c>
      <c r="R3370" s="348" t="str">
        <f t="shared" si="425"/>
        <v/>
      </c>
      <c r="S3370" s="348" t="str">
        <f t="shared" si="426"/>
        <v/>
      </c>
      <c r="T3370" s="348" t="str">
        <f t="shared" si="427"/>
        <v/>
      </c>
      <c r="U3370" s="348" t="str">
        <f t="shared" si="428"/>
        <v/>
      </c>
      <c r="V3370" s="348" t="str">
        <f t="shared" si="429"/>
        <v/>
      </c>
      <c r="W3370" s="348" t="str">
        <f t="shared" si="430"/>
        <v/>
      </c>
      <c r="X3370" s="348" t="str">
        <f t="shared" si="431"/>
        <v/>
      </c>
    </row>
    <row r="3371" spans="1:24" x14ac:dyDescent="0.2">
      <c r="A3371" s="407">
        <v>3363</v>
      </c>
      <c r="B3371" s="438"/>
      <c r="C3371" s="438"/>
      <c r="D3371" s="438"/>
      <c r="E3371" s="438"/>
      <c r="F3371" s="438"/>
      <c r="G3371" s="438"/>
      <c r="H3371" s="438"/>
      <c r="I3371" s="438"/>
      <c r="J3371" s="11"/>
      <c r="Q3371" s="348" t="str">
        <f t="shared" si="424"/>
        <v/>
      </c>
      <c r="R3371" s="348" t="str">
        <f t="shared" si="425"/>
        <v/>
      </c>
      <c r="S3371" s="348" t="str">
        <f t="shared" si="426"/>
        <v/>
      </c>
      <c r="T3371" s="348" t="str">
        <f t="shared" si="427"/>
        <v/>
      </c>
      <c r="U3371" s="348" t="str">
        <f t="shared" si="428"/>
        <v/>
      </c>
      <c r="V3371" s="348" t="str">
        <f t="shared" si="429"/>
        <v/>
      </c>
      <c r="W3371" s="348" t="str">
        <f t="shared" si="430"/>
        <v/>
      </c>
      <c r="X3371" s="348" t="str">
        <f t="shared" si="431"/>
        <v/>
      </c>
    </row>
    <row r="3372" spans="1:24" x14ac:dyDescent="0.2">
      <c r="A3372" s="407">
        <v>3364</v>
      </c>
      <c r="B3372" s="438"/>
      <c r="C3372" s="437"/>
      <c r="D3372" s="438"/>
      <c r="E3372" s="438"/>
      <c r="F3372" s="437"/>
      <c r="G3372" s="438"/>
      <c r="H3372" s="437"/>
      <c r="I3372" s="438"/>
      <c r="J3372" s="11"/>
      <c r="Q3372" s="348" t="str">
        <f t="shared" si="424"/>
        <v/>
      </c>
      <c r="R3372" s="348" t="str">
        <f t="shared" si="425"/>
        <v/>
      </c>
      <c r="S3372" s="348" t="str">
        <f t="shared" si="426"/>
        <v/>
      </c>
      <c r="T3372" s="348" t="str">
        <f t="shared" si="427"/>
        <v/>
      </c>
      <c r="U3372" s="348" t="str">
        <f t="shared" si="428"/>
        <v/>
      </c>
      <c r="V3372" s="348" t="str">
        <f t="shared" si="429"/>
        <v/>
      </c>
      <c r="W3372" s="348" t="str">
        <f t="shared" si="430"/>
        <v/>
      </c>
      <c r="X3372" s="348" t="str">
        <f t="shared" si="431"/>
        <v/>
      </c>
    </row>
    <row r="3373" spans="1:24" x14ac:dyDescent="0.2">
      <c r="A3373" s="407">
        <v>3365</v>
      </c>
      <c r="B3373" s="438"/>
      <c r="C3373" s="438"/>
      <c r="D3373" s="438"/>
      <c r="E3373" s="438"/>
      <c r="F3373" s="438"/>
      <c r="G3373" s="438"/>
      <c r="H3373" s="438"/>
      <c r="I3373" s="437"/>
      <c r="J3373" s="11"/>
      <c r="Q3373" s="348" t="str">
        <f t="shared" si="424"/>
        <v/>
      </c>
      <c r="R3373" s="348" t="str">
        <f t="shared" si="425"/>
        <v/>
      </c>
      <c r="S3373" s="348" t="str">
        <f t="shared" si="426"/>
        <v/>
      </c>
      <c r="T3373" s="348" t="str">
        <f t="shared" si="427"/>
        <v/>
      </c>
      <c r="U3373" s="348" t="str">
        <f t="shared" si="428"/>
        <v/>
      </c>
      <c r="V3373" s="348" t="str">
        <f t="shared" si="429"/>
        <v/>
      </c>
      <c r="W3373" s="348" t="str">
        <f t="shared" si="430"/>
        <v/>
      </c>
      <c r="X3373" s="348" t="str">
        <f t="shared" si="431"/>
        <v/>
      </c>
    </row>
    <row r="3374" spans="1:24" x14ac:dyDescent="0.2">
      <c r="A3374" s="407">
        <v>3366</v>
      </c>
      <c r="B3374" s="438"/>
      <c r="C3374" s="438"/>
      <c r="D3374" s="438"/>
      <c r="E3374" s="438"/>
      <c r="F3374" s="438"/>
      <c r="G3374" s="438"/>
      <c r="H3374" s="438"/>
      <c r="I3374" s="438"/>
      <c r="J3374" s="11"/>
      <c r="Q3374" s="348" t="str">
        <f t="shared" si="424"/>
        <v/>
      </c>
      <c r="R3374" s="348" t="str">
        <f t="shared" si="425"/>
        <v/>
      </c>
      <c r="S3374" s="348" t="str">
        <f t="shared" si="426"/>
        <v/>
      </c>
      <c r="T3374" s="348" t="str">
        <f t="shared" si="427"/>
        <v/>
      </c>
      <c r="U3374" s="348" t="str">
        <f t="shared" si="428"/>
        <v/>
      </c>
      <c r="V3374" s="348" t="str">
        <f t="shared" si="429"/>
        <v/>
      </c>
      <c r="W3374" s="348" t="str">
        <f t="shared" si="430"/>
        <v/>
      </c>
      <c r="X3374" s="348" t="str">
        <f t="shared" si="431"/>
        <v/>
      </c>
    </row>
    <row r="3375" spans="1:24" x14ac:dyDescent="0.2">
      <c r="A3375" s="407">
        <v>3367</v>
      </c>
      <c r="B3375" s="438"/>
      <c r="C3375" s="438"/>
      <c r="D3375" s="438"/>
      <c r="E3375" s="438"/>
      <c r="F3375" s="438"/>
      <c r="G3375" s="438"/>
      <c r="H3375" s="438"/>
      <c r="I3375" s="438"/>
      <c r="J3375" s="11"/>
      <c r="Q3375" s="348" t="str">
        <f t="shared" si="424"/>
        <v/>
      </c>
      <c r="R3375" s="348" t="str">
        <f t="shared" si="425"/>
        <v/>
      </c>
      <c r="S3375" s="348" t="str">
        <f t="shared" si="426"/>
        <v/>
      </c>
      <c r="T3375" s="348" t="str">
        <f t="shared" si="427"/>
        <v/>
      </c>
      <c r="U3375" s="348" t="str">
        <f t="shared" si="428"/>
        <v/>
      </c>
      <c r="V3375" s="348" t="str">
        <f t="shared" si="429"/>
        <v/>
      </c>
      <c r="W3375" s="348" t="str">
        <f t="shared" si="430"/>
        <v/>
      </c>
      <c r="X3375" s="348" t="str">
        <f t="shared" si="431"/>
        <v/>
      </c>
    </row>
    <row r="3376" spans="1:24" x14ac:dyDescent="0.2">
      <c r="A3376" s="407">
        <v>3368</v>
      </c>
      <c r="B3376" s="438"/>
      <c r="C3376" s="438"/>
      <c r="D3376" s="438"/>
      <c r="E3376" s="438"/>
      <c r="F3376" s="438"/>
      <c r="G3376" s="438"/>
      <c r="H3376" s="438"/>
      <c r="I3376" s="438"/>
      <c r="J3376" s="11"/>
      <c r="Q3376" s="348" t="str">
        <f t="shared" si="424"/>
        <v/>
      </c>
      <c r="R3376" s="348" t="str">
        <f t="shared" si="425"/>
        <v/>
      </c>
      <c r="S3376" s="348" t="str">
        <f t="shared" si="426"/>
        <v/>
      </c>
      <c r="T3376" s="348" t="str">
        <f t="shared" si="427"/>
        <v/>
      </c>
      <c r="U3376" s="348" t="str">
        <f t="shared" si="428"/>
        <v/>
      </c>
      <c r="V3376" s="348" t="str">
        <f t="shared" si="429"/>
        <v/>
      </c>
      <c r="W3376" s="348" t="str">
        <f t="shared" si="430"/>
        <v/>
      </c>
      <c r="X3376" s="348" t="str">
        <f t="shared" si="431"/>
        <v/>
      </c>
    </row>
    <row r="3377" spans="1:24" x14ac:dyDescent="0.2">
      <c r="A3377" s="407">
        <v>3369</v>
      </c>
      <c r="B3377" s="438"/>
      <c r="C3377" s="438"/>
      <c r="D3377" s="438"/>
      <c r="E3377" s="437"/>
      <c r="F3377" s="438"/>
      <c r="G3377" s="438"/>
      <c r="H3377" s="438"/>
      <c r="I3377" s="438"/>
      <c r="J3377" s="11"/>
      <c r="Q3377" s="348" t="str">
        <f t="shared" si="424"/>
        <v/>
      </c>
      <c r="R3377" s="348" t="str">
        <f t="shared" si="425"/>
        <v/>
      </c>
      <c r="S3377" s="348" t="str">
        <f t="shared" si="426"/>
        <v/>
      </c>
      <c r="T3377" s="348" t="str">
        <f t="shared" si="427"/>
        <v/>
      </c>
      <c r="U3377" s="348" t="str">
        <f t="shared" si="428"/>
        <v/>
      </c>
      <c r="V3377" s="348" t="str">
        <f t="shared" si="429"/>
        <v/>
      </c>
      <c r="W3377" s="348" t="str">
        <f t="shared" si="430"/>
        <v/>
      </c>
      <c r="X3377" s="348" t="str">
        <f t="shared" si="431"/>
        <v/>
      </c>
    </row>
    <row r="3378" spans="1:24" x14ac:dyDescent="0.2">
      <c r="A3378" s="407">
        <v>3370</v>
      </c>
      <c r="B3378" s="438"/>
      <c r="C3378" s="438"/>
      <c r="D3378" s="437"/>
      <c r="E3378" s="438"/>
      <c r="F3378" s="438"/>
      <c r="G3378" s="438"/>
      <c r="H3378" s="438"/>
      <c r="I3378" s="438"/>
      <c r="J3378" s="11"/>
      <c r="Q3378" s="348" t="str">
        <f t="shared" si="424"/>
        <v/>
      </c>
      <c r="R3378" s="348" t="str">
        <f t="shared" si="425"/>
        <v/>
      </c>
      <c r="S3378" s="348" t="str">
        <f t="shared" si="426"/>
        <v/>
      </c>
      <c r="T3378" s="348" t="str">
        <f t="shared" si="427"/>
        <v/>
      </c>
      <c r="U3378" s="348" t="str">
        <f t="shared" si="428"/>
        <v/>
      </c>
      <c r="V3378" s="348" t="str">
        <f t="shared" si="429"/>
        <v/>
      </c>
      <c r="W3378" s="348" t="str">
        <f t="shared" si="430"/>
        <v/>
      </c>
      <c r="X3378" s="348" t="str">
        <f t="shared" si="431"/>
        <v/>
      </c>
    </row>
    <row r="3379" spans="1:24" x14ac:dyDescent="0.2">
      <c r="A3379" s="407">
        <v>3371</v>
      </c>
      <c r="B3379" s="438"/>
      <c r="C3379" s="438"/>
      <c r="D3379" s="438"/>
      <c r="E3379" s="438"/>
      <c r="F3379" s="438"/>
      <c r="G3379" s="438"/>
      <c r="H3379" s="438"/>
      <c r="I3379" s="438"/>
      <c r="J3379" s="11"/>
      <c r="Q3379" s="348" t="str">
        <f t="shared" si="424"/>
        <v/>
      </c>
      <c r="R3379" s="348" t="str">
        <f t="shared" si="425"/>
        <v/>
      </c>
      <c r="S3379" s="348" t="str">
        <f t="shared" si="426"/>
        <v/>
      </c>
      <c r="T3379" s="348" t="str">
        <f t="shared" si="427"/>
        <v/>
      </c>
      <c r="U3379" s="348" t="str">
        <f t="shared" si="428"/>
        <v/>
      </c>
      <c r="V3379" s="348" t="str">
        <f t="shared" si="429"/>
        <v/>
      </c>
      <c r="W3379" s="348" t="str">
        <f t="shared" si="430"/>
        <v/>
      </c>
      <c r="X3379" s="348" t="str">
        <f t="shared" si="431"/>
        <v/>
      </c>
    </row>
    <row r="3380" spans="1:24" x14ac:dyDescent="0.2">
      <c r="A3380" s="407">
        <v>3372</v>
      </c>
      <c r="B3380" s="437"/>
      <c r="C3380" s="438"/>
      <c r="D3380" s="438"/>
      <c r="E3380" s="438"/>
      <c r="F3380" s="438"/>
      <c r="G3380" s="438"/>
      <c r="H3380" s="438"/>
      <c r="I3380" s="438"/>
      <c r="J3380" s="11"/>
      <c r="Q3380" s="348" t="str">
        <f t="shared" si="424"/>
        <v/>
      </c>
      <c r="R3380" s="348" t="str">
        <f t="shared" si="425"/>
        <v/>
      </c>
      <c r="S3380" s="348" t="str">
        <f t="shared" si="426"/>
        <v/>
      </c>
      <c r="T3380" s="348" t="str">
        <f t="shared" si="427"/>
        <v/>
      </c>
      <c r="U3380" s="348" t="str">
        <f t="shared" si="428"/>
        <v/>
      </c>
      <c r="V3380" s="348" t="str">
        <f t="shared" si="429"/>
        <v/>
      </c>
      <c r="W3380" s="348" t="str">
        <f t="shared" si="430"/>
        <v/>
      </c>
      <c r="X3380" s="348" t="str">
        <f t="shared" si="431"/>
        <v/>
      </c>
    </row>
    <row r="3381" spans="1:24" x14ac:dyDescent="0.2">
      <c r="A3381" s="407">
        <v>3373</v>
      </c>
      <c r="B3381" s="438"/>
      <c r="C3381" s="438"/>
      <c r="D3381" s="438"/>
      <c r="E3381" s="438"/>
      <c r="F3381" s="438"/>
      <c r="G3381" s="438"/>
      <c r="H3381" s="438"/>
      <c r="I3381" s="438"/>
      <c r="J3381" s="11"/>
      <c r="Q3381" s="348" t="str">
        <f t="shared" si="424"/>
        <v/>
      </c>
      <c r="R3381" s="348" t="str">
        <f t="shared" si="425"/>
        <v/>
      </c>
      <c r="S3381" s="348" t="str">
        <f t="shared" si="426"/>
        <v/>
      </c>
      <c r="T3381" s="348" t="str">
        <f t="shared" si="427"/>
        <v/>
      </c>
      <c r="U3381" s="348" t="str">
        <f t="shared" si="428"/>
        <v/>
      </c>
      <c r="V3381" s="348" t="str">
        <f t="shared" si="429"/>
        <v/>
      </c>
      <c r="W3381" s="348" t="str">
        <f t="shared" si="430"/>
        <v/>
      </c>
      <c r="X3381" s="348" t="str">
        <f t="shared" si="431"/>
        <v/>
      </c>
    </row>
    <row r="3382" spans="1:24" x14ac:dyDescent="0.2">
      <c r="A3382" s="407">
        <v>3374</v>
      </c>
      <c r="B3382" s="438"/>
      <c r="C3382" s="438"/>
      <c r="D3382" s="438"/>
      <c r="E3382" s="438"/>
      <c r="F3382" s="438"/>
      <c r="G3382" s="438"/>
      <c r="H3382" s="438"/>
      <c r="I3382" s="438"/>
      <c r="J3382" s="11"/>
      <c r="Q3382" s="348" t="str">
        <f t="shared" si="424"/>
        <v/>
      </c>
      <c r="R3382" s="348" t="str">
        <f t="shared" si="425"/>
        <v/>
      </c>
      <c r="S3382" s="348" t="str">
        <f t="shared" si="426"/>
        <v/>
      </c>
      <c r="T3382" s="348" t="str">
        <f t="shared" si="427"/>
        <v/>
      </c>
      <c r="U3382" s="348" t="str">
        <f t="shared" si="428"/>
        <v/>
      </c>
      <c r="V3382" s="348" t="str">
        <f t="shared" si="429"/>
        <v/>
      </c>
      <c r="W3382" s="348" t="str">
        <f t="shared" si="430"/>
        <v/>
      </c>
      <c r="X3382" s="348" t="str">
        <f t="shared" si="431"/>
        <v/>
      </c>
    </row>
    <row r="3383" spans="1:24" x14ac:dyDescent="0.2">
      <c r="A3383" s="407">
        <v>3375</v>
      </c>
      <c r="B3383" s="438"/>
      <c r="C3383" s="438"/>
      <c r="D3383" s="438"/>
      <c r="E3383" s="438"/>
      <c r="F3383" s="438"/>
      <c r="G3383" s="438"/>
      <c r="H3383" s="438"/>
      <c r="I3383" s="438"/>
      <c r="J3383" s="11"/>
      <c r="Q3383" s="348" t="str">
        <f t="shared" si="424"/>
        <v/>
      </c>
      <c r="R3383" s="348" t="str">
        <f t="shared" si="425"/>
        <v/>
      </c>
      <c r="S3383" s="348" t="str">
        <f t="shared" si="426"/>
        <v/>
      </c>
      <c r="T3383" s="348" t="str">
        <f t="shared" si="427"/>
        <v/>
      </c>
      <c r="U3383" s="348" t="str">
        <f t="shared" si="428"/>
        <v/>
      </c>
      <c r="V3383" s="348" t="str">
        <f t="shared" si="429"/>
        <v/>
      </c>
      <c r="W3383" s="348" t="str">
        <f t="shared" si="430"/>
        <v/>
      </c>
      <c r="X3383" s="348" t="str">
        <f t="shared" si="431"/>
        <v/>
      </c>
    </row>
    <row r="3384" spans="1:24" x14ac:dyDescent="0.2">
      <c r="A3384" s="407">
        <v>3376</v>
      </c>
      <c r="B3384" s="438"/>
      <c r="C3384" s="438"/>
      <c r="D3384" s="438"/>
      <c r="E3384" s="438"/>
      <c r="F3384" s="438"/>
      <c r="G3384" s="438"/>
      <c r="H3384" s="438"/>
      <c r="I3384" s="438"/>
      <c r="J3384" s="11"/>
      <c r="Q3384" s="348" t="str">
        <f t="shared" si="424"/>
        <v/>
      </c>
      <c r="R3384" s="348" t="str">
        <f t="shared" si="425"/>
        <v/>
      </c>
      <c r="S3384" s="348" t="str">
        <f t="shared" si="426"/>
        <v/>
      </c>
      <c r="T3384" s="348" t="str">
        <f t="shared" si="427"/>
        <v/>
      </c>
      <c r="U3384" s="348" t="str">
        <f t="shared" si="428"/>
        <v/>
      </c>
      <c r="V3384" s="348" t="str">
        <f t="shared" si="429"/>
        <v/>
      </c>
      <c r="W3384" s="348" t="str">
        <f t="shared" si="430"/>
        <v/>
      </c>
      <c r="X3384" s="348" t="str">
        <f t="shared" si="431"/>
        <v/>
      </c>
    </row>
    <row r="3385" spans="1:24" x14ac:dyDescent="0.2">
      <c r="A3385" s="407">
        <v>3377</v>
      </c>
      <c r="B3385" s="438"/>
      <c r="C3385" s="438"/>
      <c r="D3385" s="438"/>
      <c r="E3385" s="438"/>
      <c r="F3385" s="438"/>
      <c r="G3385" s="438"/>
      <c r="H3385" s="438"/>
      <c r="I3385" s="438"/>
      <c r="J3385" s="11"/>
      <c r="Q3385" s="348" t="str">
        <f t="shared" si="424"/>
        <v/>
      </c>
      <c r="R3385" s="348" t="str">
        <f t="shared" si="425"/>
        <v/>
      </c>
      <c r="S3385" s="348" t="str">
        <f t="shared" si="426"/>
        <v/>
      </c>
      <c r="T3385" s="348" t="str">
        <f t="shared" si="427"/>
        <v/>
      </c>
      <c r="U3385" s="348" t="str">
        <f t="shared" si="428"/>
        <v/>
      </c>
      <c r="V3385" s="348" t="str">
        <f t="shared" si="429"/>
        <v/>
      </c>
      <c r="W3385" s="348" t="str">
        <f t="shared" si="430"/>
        <v/>
      </c>
      <c r="X3385" s="348" t="str">
        <f t="shared" si="431"/>
        <v/>
      </c>
    </row>
    <row r="3386" spans="1:24" x14ac:dyDescent="0.2">
      <c r="A3386" s="407">
        <v>3378</v>
      </c>
      <c r="B3386" s="438"/>
      <c r="C3386" s="438"/>
      <c r="D3386" s="438"/>
      <c r="E3386" s="438"/>
      <c r="F3386" s="438"/>
      <c r="G3386" s="438"/>
      <c r="H3386" s="438"/>
      <c r="I3386" s="438"/>
      <c r="J3386" s="11"/>
      <c r="Q3386" s="348" t="str">
        <f t="shared" si="424"/>
        <v/>
      </c>
      <c r="R3386" s="348" t="str">
        <f t="shared" si="425"/>
        <v/>
      </c>
      <c r="S3386" s="348" t="str">
        <f t="shared" si="426"/>
        <v/>
      </c>
      <c r="T3386" s="348" t="str">
        <f t="shared" si="427"/>
        <v/>
      </c>
      <c r="U3386" s="348" t="str">
        <f t="shared" si="428"/>
        <v/>
      </c>
      <c r="V3386" s="348" t="str">
        <f t="shared" si="429"/>
        <v/>
      </c>
      <c r="W3386" s="348" t="str">
        <f t="shared" si="430"/>
        <v/>
      </c>
      <c r="X3386" s="348" t="str">
        <f t="shared" si="431"/>
        <v/>
      </c>
    </row>
    <row r="3387" spans="1:24" x14ac:dyDescent="0.2">
      <c r="A3387" s="407">
        <v>3379</v>
      </c>
      <c r="B3387" s="438"/>
      <c r="C3387" s="438"/>
      <c r="D3387" s="438"/>
      <c r="E3387" s="438"/>
      <c r="F3387" s="438"/>
      <c r="G3387" s="438"/>
      <c r="H3387" s="438"/>
      <c r="I3387" s="438"/>
      <c r="J3387" s="11"/>
      <c r="Q3387" s="348" t="str">
        <f t="shared" si="424"/>
        <v/>
      </c>
      <c r="R3387" s="348" t="str">
        <f t="shared" si="425"/>
        <v/>
      </c>
      <c r="S3387" s="348" t="str">
        <f t="shared" si="426"/>
        <v/>
      </c>
      <c r="T3387" s="348" t="str">
        <f t="shared" si="427"/>
        <v/>
      </c>
      <c r="U3387" s="348" t="str">
        <f t="shared" si="428"/>
        <v/>
      </c>
      <c r="V3387" s="348" t="str">
        <f t="shared" si="429"/>
        <v/>
      </c>
      <c r="W3387" s="348" t="str">
        <f t="shared" si="430"/>
        <v/>
      </c>
      <c r="X3387" s="348" t="str">
        <f t="shared" si="431"/>
        <v/>
      </c>
    </row>
    <row r="3388" spans="1:24" x14ac:dyDescent="0.2">
      <c r="A3388" s="407">
        <v>3380</v>
      </c>
      <c r="B3388" s="438"/>
      <c r="C3388" s="438"/>
      <c r="D3388" s="438"/>
      <c r="E3388" s="438"/>
      <c r="F3388" s="438"/>
      <c r="G3388" s="438"/>
      <c r="H3388" s="438"/>
      <c r="I3388" s="438"/>
      <c r="J3388" s="11"/>
      <c r="Q3388" s="348" t="str">
        <f t="shared" si="424"/>
        <v/>
      </c>
      <c r="R3388" s="348" t="str">
        <f t="shared" si="425"/>
        <v/>
      </c>
      <c r="S3388" s="348" t="str">
        <f t="shared" si="426"/>
        <v/>
      </c>
      <c r="T3388" s="348" t="str">
        <f t="shared" si="427"/>
        <v/>
      </c>
      <c r="U3388" s="348" t="str">
        <f t="shared" si="428"/>
        <v/>
      </c>
      <c r="V3388" s="348" t="str">
        <f t="shared" si="429"/>
        <v/>
      </c>
      <c r="W3388" s="348" t="str">
        <f t="shared" si="430"/>
        <v/>
      </c>
      <c r="X3388" s="348" t="str">
        <f t="shared" si="431"/>
        <v/>
      </c>
    </row>
    <row r="3389" spans="1:24" x14ac:dyDescent="0.2">
      <c r="A3389" s="407">
        <v>3381</v>
      </c>
      <c r="B3389" s="438"/>
      <c r="C3389" s="438"/>
      <c r="D3389" s="438"/>
      <c r="E3389" s="438"/>
      <c r="F3389" s="438"/>
      <c r="G3389" s="438"/>
      <c r="H3389" s="438"/>
      <c r="I3389" s="438"/>
      <c r="J3389" s="11"/>
      <c r="Q3389" s="348" t="str">
        <f t="shared" si="424"/>
        <v/>
      </c>
      <c r="R3389" s="348" t="str">
        <f t="shared" si="425"/>
        <v/>
      </c>
      <c r="S3389" s="348" t="str">
        <f t="shared" si="426"/>
        <v/>
      </c>
      <c r="T3389" s="348" t="str">
        <f t="shared" si="427"/>
        <v/>
      </c>
      <c r="U3389" s="348" t="str">
        <f t="shared" si="428"/>
        <v/>
      </c>
      <c r="V3389" s="348" t="str">
        <f t="shared" si="429"/>
        <v/>
      </c>
      <c r="W3389" s="348" t="str">
        <f t="shared" si="430"/>
        <v/>
      </c>
      <c r="X3389" s="348" t="str">
        <f t="shared" si="431"/>
        <v/>
      </c>
    </row>
    <row r="3390" spans="1:24" x14ac:dyDescent="0.2">
      <c r="A3390" s="407">
        <v>3382</v>
      </c>
      <c r="B3390" s="438"/>
      <c r="C3390" s="438"/>
      <c r="D3390" s="438"/>
      <c r="E3390" s="438"/>
      <c r="F3390" s="438"/>
      <c r="G3390" s="438"/>
      <c r="H3390" s="438"/>
      <c r="I3390" s="438"/>
      <c r="J3390" s="11"/>
      <c r="Q3390" s="348" t="str">
        <f t="shared" si="424"/>
        <v/>
      </c>
      <c r="R3390" s="348" t="str">
        <f t="shared" si="425"/>
        <v/>
      </c>
      <c r="S3390" s="348" t="str">
        <f t="shared" si="426"/>
        <v/>
      </c>
      <c r="T3390" s="348" t="str">
        <f t="shared" si="427"/>
        <v/>
      </c>
      <c r="U3390" s="348" t="str">
        <f t="shared" si="428"/>
        <v/>
      </c>
      <c r="V3390" s="348" t="str">
        <f t="shared" si="429"/>
        <v/>
      </c>
      <c r="W3390" s="348" t="str">
        <f t="shared" si="430"/>
        <v/>
      </c>
      <c r="X3390" s="348" t="str">
        <f t="shared" si="431"/>
        <v/>
      </c>
    </row>
    <row r="3391" spans="1:24" x14ac:dyDescent="0.2">
      <c r="A3391" s="407">
        <v>3383</v>
      </c>
      <c r="B3391" s="438"/>
      <c r="C3391" s="438"/>
      <c r="D3391" s="438"/>
      <c r="E3391" s="438"/>
      <c r="F3391" s="438"/>
      <c r="G3391" s="438"/>
      <c r="H3391" s="438"/>
      <c r="I3391" s="438"/>
      <c r="J3391" s="11"/>
      <c r="Q3391" s="348" t="str">
        <f t="shared" si="424"/>
        <v/>
      </c>
      <c r="R3391" s="348" t="str">
        <f t="shared" si="425"/>
        <v/>
      </c>
      <c r="S3391" s="348" t="str">
        <f t="shared" si="426"/>
        <v/>
      </c>
      <c r="T3391" s="348" t="str">
        <f t="shared" si="427"/>
        <v/>
      </c>
      <c r="U3391" s="348" t="str">
        <f t="shared" si="428"/>
        <v/>
      </c>
      <c r="V3391" s="348" t="str">
        <f t="shared" si="429"/>
        <v/>
      </c>
      <c r="W3391" s="348" t="str">
        <f t="shared" si="430"/>
        <v/>
      </c>
      <c r="X3391" s="348" t="str">
        <f t="shared" si="431"/>
        <v/>
      </c>
    </row>
    <row r="3392" spans="1:24" x14ac:dyDescent="0.2">
      <c r="A3392" s="407">
        <v>3384</v>
      </c>
      <c r="B3392" s="438"/>
      <c r="C3392" s="438"/>
      <c r="D3392" s="438"/>
      <c r="E3392" s="438"/>
      <c r="F3392" s="438"/>
      <c r="G3392" s="438"/>
      <c r="H3392" s="438"/>
      <c r="I3392" s="438"/>
      <c r="J3392" s="11"/>
      <c r="Q3392" s="348" t="str">
        <f t="shared" si="424"/>
        <v/>
      </c>
      <c r="R3392" s="348" t="str">
        <f t="shared" si="425"/>
        <v/>
      </c>
      <c r="S3392" s="348" t="str">
        <f t="shared" si="426"/>
        <v/>
      </c>
      <c r="T3392" s="348" t="str">
        <f t="shared" si="427"/>
        <v/>
      </c>
      <c r="U3392" s="348" t="str">
        <f t="shared" si="428"/>
        <v/>
      </c>
      <c r="V3392" s="348" t="str">
        <f t="shared" si="429"/>
        <v/>
      </c>
      <c r="W3392" s="348" t="str">
        <f t="shared" si="430"/>
        <v/>
      </c>
      <c r="X3392" s="348" t="str">
        <f t="shared" si="431"/>
        <v/>
      </c>
    </row>
    <row r="3393" spans="1:24" x14ac:dyDescent="0.2">
      <c r="A3393" s="407">
        <v>3385</v>
      </c>
      <c r="B3393" s="438"/>
      <c r="C3393" s="438"/>
      <c r="D3393" s="438"/>
      <c r="E3393" s="438"/>
      <c r="F3393" s="438"/>
      <c r="G3393" s="438"/>
      <c r="H3393" s="438"/>
      <c r="I3393" s="438"/>
      <c r="J3393" s="11"/>
      <c r="Q3393" s="348" t="str">
        <f t="shared" si="424"/>
        <v/>
      </c>
      <c r="R3393" s="348" t="str">
        <f t="shared" si="425"/>
        <v/>
      </c>
      <c r="S3393" s="348" t="str">
        <f t="shared" si="426"/>
        <v/>
      </c>
      <c r="T3393" s="348" t="str">
        <f t="shared" si="427"/>
        <v/>
      </c>
      <c r="U3393" s="348" t="str">
        <f t="shared" si="428"/>
        <v/>
      </c>
      <c r="V3393" s="348" t="str">
        <f t="shared" si="429"/>
        <v/>
      </c>
      <c r="W3393" s="348" t="str">
        <f t="shared" si="430"/>
        <v/>
      </c>
      <c r="X3393" s="348" t="str">
        <f t="shared" si="431"/>
        <v/>
      </c>
    </row>
    <row r="3394" spans="1:24" x14ac:dyDescent="0.2">
      <c r="A3394" s="407">
        <v>3386</v>
      </c>
      <c r="B3394" s="438"/>
      <c r="C3394" s="438"/>
      <c r="D3394" s="438"/>
      <c r="E3394" s="438"/>
      <c r="F3394" s="438"/>
      <c r="G3394" s="438"/>
      <c r="H3394" s="438"/>
      <c r="I3394" s="438"/>
      <c r="J3394" s="11"/>
      <c r="Q3394" s="348" t="str">
        <f t="shared" si="424"/>
        <v/>
      </c>
      <c r="R3394" s="348" t="str">
        <f t="shared" si="425"/>
        <v/>
      </c>
      <c r="S3394" s="348" t="str">
        <f t="shared" si="426"/>
        <v/>
      </c>
      <c r="T3394" s="348" t="str">
        <f t="shared" si="427"/>
        <v/>
      </c>
      <c r="U3394" s="348" t="str">
        <f t="shared" si="428"/>
        <v/>
      </c>
      <c r="V3394" s="348" t="str">
        <f t="shared" si="429"/>
        <v/>
      </c>
      <c r="W3394" s="348" t="str">
        <f t="shared" si="430"/>
        <v/>
      </c>
      <c r="X3394" s="348" t="str">
        <f t="shared" si="431"/>
        <v/>
      </c>
    </row>
    <row r="3395" spans="1:24" x14ac:dyDescent="0.2">
      <c r="A3395" s="407">
        <v>3387</v>
      </c>
      <c r="B3395" s="438"/>
      <c r="C3395" s="438"/>
      <c r="D3395" s="438"/>
      <c r="E3395" s="438"/>
      <c r="F3395" s="438"/>
      <c r="G3395" s="438"/>
      <c r="H3395" s="438"/>
      <c r="I3395" s="438"/>
      <c r="J3395" s="11"/>
      <c r="Q3395" s="348" t="str">
        <f t="shared" si="424"/>
        <v/>
      </c>
      <c r="R3395" s="348" t="str">
        <f t="shared" si="425"/>
        <v/>
      </c>
      <c r="S3395" s="348" t="str">
        <f t="shared" si="426"/>
        <v/>
      </c>
      <c r="T3395" s="348" t="str">
        <f t="shared" si="427"/>
        <v/>
      </c>
      <c r="U3395" s="348" t="str">
        <f t="shared" si="428"/>
        <v/>
      </c>
      <c r="V3395" s="348" t="str">
        <f t="shared" si="429"/>
        <v/>
      </c>
      <c r="W3395" s="348" t="str">
        <f t="shared" si="430"/>
        <v/>
      </c>
      <c r="X3395" s="348" t="str">
        <f t="shared" si="431"/>
        <v/>
      </c>
    </row>
    <row r="3396" spans="1:24" x14ac:dyDescent="0.2">
      <c r="A3396" s="407">
        <v>3388</v>
      </c>
      <c r="B3396" s="438"/>
      <c r="C3396" s="438"/>
      <c r="D3396" s="438"/>
      <c r="E3396" s="438"/>
      <c r="F3396" s="438"/>
      <c r="G3396" s="438"/>
      <c r="H3396" s="438"/>
      <c r="I3396" s="438"/>
      <c r="J3396" s="11"/>
      <c r="Q3396" s="348" t="str">
        <f t="shared" si="424"/>
        <v/>
      </c>
      <c r="R3396" s="348" t="str">
        <f t="shared" si="425"/>
        <v/>
      </c>
      <c r="S3396" s="348" t="str">
        <f t="shared" si="426"/>
        <v/>
      </c>
      <c r="T3396" s="348" t="str">
        <f t="shared" si="427"/>
        <v/>
      </c>
      <c r="U3396" s="348" t="str">
        <f t="shared" si="428"/>
        <v/>
      </c>
      <c r="V3396" s="348" t="str">
        <f t="shared" si="429"/>
        <v/>
      </c>
      <c r="W3396" s="348" t="str">
        <f t="shared" si="430"/>
        <v/>
      </c>
      <c r="X3396" s="348" t="str">
        <f t="shared" si="431"/>
        <v/>
      </c>
    </row>
    <row r="3397" spans="1:24" x14ac:dyDescent="0.2">
      <c r="A3397" s="407">
        <v>3389</v>
      </c>
      <c r="B3397" s="438"/>
      <c r="C3397" s="438"/>
      <c r="D3397" s="438"/>
      <c r="E3397" s="438"/>
      <c r="F3397" s="438"/>
      <c r="G3397" s="438"/>
      <c r="H3397" s="438"/>
      <c r="I3397" s="438"/>
      <c r="J3397" s="11"/>
      <c r="Q3397" s="348" t="str">
        <f t="shared" si="424"/>
        <v/>
      </c>
      <c r="R3397" s="348" t="str">
        <f t="shared" si="425"/>
        <v/>
      </c>
      <c r="S3397" s="348" t="str">
        <f t="shared" si="426"/>
        <v/>
      </c>
      <c r="T3397" s="348" t="str">
        <f t="shared" si="427"/>
        <v/>
      </c>
      <c r="U3397" s="348" t="str">
        <f t="shared" si="428"/>
        <v/>
      </c>
      <c r="V3397" s="348" t="str">
        <f t="shared" si="429"/>
        <v/>
      </c>
      <c r="W3397" s="348" t="str">
        <f t="shared" si="430"/>
        <v/>
      </c>
      <c r="X3397" s="348" t="str">
        <f t="shared" si="431"/>
        <v/>
      </c>
    </row>
    <row r="3398" spans="1:24" x14ac:dyDescent="0.2">
      <c r="A3398" s="407">
        <v>3390</v>
      </c>
      <c r="B3398" s="438"/>
      <c r="C3398" s="438"/>
      <c r="D3398" s="438"/>
      <c r="E3398" s="438"/>
      <c r="F3398" s="438"/>
      <c r="G3398" s="438"/>
      <c r="H3398" s="438"/>
      <c r="I3398" s="438"/>
      <c r="J3398" s="11"/>
      <c r="Q3398" s="348" t="str">
        <f t="shared" si="424"/>
        <v/>
      </c>
      <c r="R3398" s="348" t="str">
        <f t="shared" si="425"/>
        <v/>
      </c>
      <c r="S3398" s="348" t="str">
        <f t="shared" si="426"/>
        <v/>
      </c>
      <c r="T3398" s="348" t="str">
        <f t="shared" si="427"/>
        <v/>
      </c>
      <c r="U3398" s="348" t="str">
        <f t="shared" si="428"/>
        <v/>
      </c>
      <c r="V3398" s="348" t="str">
        <f t="shared" si="429"/>
        <v/>
      </c>
      <c r="W3398" s="348" t="str">
        <f t="shared" si="430"/>
        <v/>
      </c>
      <c r="X3398" s="348" t="str">
        <f t="shared" si="431"/>
        <v/>
      </c>
    </row>
    <row r="3399" spans="1:24" x14ac:dyDescent="0.2">
      <c r="A3399" s="407">
        <v>3391</v>
      </c>
      <c r="B3399" s="437"/>
      <c r="C3399" s="438"/>
      <c r="D3399" s="438"/>
      <c r="E3399" s="438"/>
      <c r="F3399" s="438"/>
      <c r="G3399" s="438"/>
      <c r="H3399" s="438"/>
      <c r="I3399" s="438"/>
      <c r="J3399" s="11"/>
      <c r="Q3399" s="348" t="str">
        <f t="shared" si="424"/>
        <v/>
      </c>
      <c r="R3399" s="348" t="str">
        <f t="shared" si="425"/>
        <v/>
      </c>
      <c r="S3399" s="348" t="str">
        <f t="shared" si="426"/>
        <v/>
      </c>
      <c r="T3399" s="348" t="str">
        <f t="shared" si="427"/>
        <v/>
      </c>
      <c r="U3399" s="348" t="str">
        <f t="shared" si="428"/>
        <v/>
      </c>
      <c r="V3399" s="348" t="str">
        <f t="shared" si="429"/>
        <v/>
      </c>
      <c r="W3399" s="348" t="str">
        <f t="shared" si="430"/>
        <v/>
      </c>
      <c r="X3399" s="348" t="str">
        <f t="shared" si="431"/>
        <v/>
      </c>
    </row>
    <row r="3400" spans="1:24" x14ac:dyDescent="0.2">
      <c r="A3400" s="407">
        <v>3392</v>
      </c>
      <c r="B3400" s="438"/>
      <c r="C3400" s="438"/>
      <c r="D3400" s="438"/>
      <c r="E3400" s="438"/>
      <c r="F3400" s="438"/>
      <c r="G3400" s="438"/>
      <c r="H3400" s="438"/>
      <c r="I3400" s="438"/>
      <c r="J3400" s="11"/>
      <c r="Q3400" s="348" t="str">
        <f t="shared" si="424"/>
        <v/>
      </c>
      <c r="R3400" s="348" t="str">
        <f t="shared" si="425"/>
        <v/>
      </c>
      <c r="S3400" s="348" t="str">
        <f t="shared" si="426"/>
        <v/>
      </c>
      <c r="T3400" s="348" t="str">
        <f t="shared" si="427"/>
        <v/>
      </c>
      <c r="U3400" s="348" t="str">
        <f t="shared" si="428"/>
        <v/>
      </c>
      <c r="V3400" s="348" t="str">
        <f t="shared" si="429"/>
        <v/>
      </c>
      <c r="W3400" s="348" t="str">
        <f t="shared" si="430"/>
        <v/>
      </c>
      <c r="X3400" s="348" t="str">
        <f t="shared" si="431"/>
        <v/>
      </c>
    </row>
    <row r="3401" spans="1:24" x14ac:dyDescent="0.2">
      <c r="A3401" s="407">
        <v>3393</v>
      </c>
      <c r="B3401" s="438"/>
      <c r="C3401" s="437"/>
      <c r="D3401" s="438"/>
      <c r="E3401" s="438"/>
      <c r="F3401" s="438"/>
      <c r="G3401" s="438"/>
      <c r="H3401" s="438"/>
      <c r="I3401" s="438"/>
      <c r="J3401" s="11"/>
      <c r="Q3401" s="348" t="str">
        <f t="shared" si="424"/>
        <v/>
      </c>
      <c r="R3401" s="348" t="str">
        <f t="shared" si="425"/>
        <v/>
      </c>
      <c r="S3401" s="348" t="str">
        <f t="shared" si="426"/>
        <v/>
      </c>
      <c r="T3401" s="348" t="str">
        <f t="shared" si="427"/>
        <v/>
      </c>
      <c r="U3401" s="348" t="str">
        <f t="shared" si="428"/>
        <v/>
      </c>
      <c r="V3401" s="348" t="str">
        <f t="shared" si="429"/>
        <v/>
      </c>
      <c r="W3401" s="348" t="str">
        <f t="shared" si="430"/>
        <v/>
      </c>
      <c r="X3401" s="348" t="str">
        <f t="shared" si="431"/>
        <v/>
      </c>
    </row>
    <row r="3402" spans="1:24" x14ac:dyDescent="0.2">
      <c r="A3402" s="407">
        <v>3394</v>
      </c>
      <c r="B3402" s="438"/>
      <c r="C3402" s="438"/>
      <c r="D3402" s="438"/>
      <c r="E3402" s="437"/>
      <c r="F3402" s="438"/>
      <c r="G3402" s="438"/>
      <c r="H3402" s="438"/>
      <c r="I3402" s="438"/>
      <c r="J3402" s="11"/>
      <c r="Q3402" s="348" t="str">
        <f t="shared" ref="Q3402:Q3465" si="432">IFERROR(B3402^4*$AB$9+B3402^3*$AC$9+B3402^2*$AD$9+B3402^1*$AE$9+B3402^0*$AF$9,"")</f>
        <v/>
      </c>
      <c r="R3402" s="348" t="str">
        <f t="shared" ref="R3402:R3465" si="433">IFERROR(C3402^4*$AB$10+C3402^3*$AC$10+C3402^2*$AD$10+C3402^1*$AE$10+C3402^0*$AF$10,"")</f>
        <v/>
      </c>
      <c r="S3402" s="348" t="str">
        <f t="shared" ref="S3402:S3465" si="434">IFERROR(D3402^4*$AB$11+D3402^3*$AC$11+D3402^2*$AD$11+D3402^1*$AE$11+D3402^0*$AF$11,"")</f>
        <v/>
      </c>
      <c r="T3402" s="348" t="str">
        <f t="shared" ref="T3402:T3465" si="435">IFERROR(E3402^4*$AB$12+E3402^3*$AC$12+E3402^2*$AD$12+E3402^1*$AE$12+E3402^0*$AF$12,"")</f>
        <v/>
      </c>
      <c r="U3402" s="348" t="str">
        <f t="shared" ref="U3402:U3465" si="436">IFERROR(F3402^4*$AB$13+F3402^3*$AC$13+F3402^2*$AD$13+F3402^1*$AE$13+F3402^0*$AF$13,"")</f>
        <v/>
      </c>
      <c r="V3402" s="348" t="str">
        <f t="shared" ref="V3402:V3465" si="437">IFERROR(G3402^4*$AB$14+G3402^3*$AC$14+G3402^2*$AD$14+G3402^1*$AE$14+G3402^0*$AF$14,"")</f>
        <v/>
      </c>
      <c r="W3402" s="348" t="str">
        <f t="shared" ref="W3402:W3465" si="438">IFERROR(H3402^4*$AB$15+H3402^3*$AC$15+H3402^2*$AD$15+H3402^1*$AE$15+H3402^0*$AF$15,"")</f>
        <v/>
      </c>
      <c r="X3402" s="348" t="str">
        <f t="shared" ref="X3402:X3465" si="439">IFERROR(I3402^4*$AB$16+I3402^3*$AC$16+I3402^2*$AD$16+I3402^1*$AE$16+I3402^0*$AF$16,"")</f>
        <v/>
      </c>
    </row>
    <row r="3403" spans="1:24" x14ac:dyDescent="0.2">
      <c r="A3403" s="407">
        <v>3395</v>
      </c>
      <c r="B3403" s="438"/>
      <c r="C3403" s="438"/>
      <c r="D3403" s="438"/>
      <c r="E3403" s="438"/>
      <c r="F3403" s="438"/>
      <c r="G3403" s="438"/>
      <c r="H3403" s="438"/>
      <c r="I3403" s="438"/>
      <c r="J3403" s="11"/>
      <c r="Q3403" s="348" t="str">
        <f t="shared" si="432"/>
        <v/>
      </c>
      <c r="R3403" s="348" t="str">
        <f t="shared" si="433"/>
        <v/>
      </c>
      <c r="S3403" s="348" t="str">
        <f t="shared" si="434"/>
        <v/>
      </c>
      <c r="T3403" s="348" t="str">
        <f t="shared" si="435"/>
        <v/>
      </c>
      <c r="U3403" s="348" t="str">
        <f t="shared" si="436"/>
        <v/>
      </c>
      <c r="V3403" s="348" t="str">
        <f t="shared" si="437"/>
        <v/>
      </c>
      <c r="W3403" s="348" t="str">
        <f t="shared" si="438"/>
        <v/>
      </c>
      <c r="X3403" s="348" t="str">
        <f t="shared" si="439"/>
        <v/>
      </c>
    </row>
    <row r="3404" spans="1:24" x14ac:dyDescent="0.2">
      <c r="A3404" s="407">
        <v>3396</v>
      </c>
      <c r="B3404" s="438"/>
      <c r="C3404" s="438"/>
      <c r="D3404" s="438"/>
      <c r="E3404" s="438"/>
      <c r="F3404" s="438"/>
      <c r="G3404" s="438"/>
      <c r="H3404" s="438"/>
      <c r="I3404" s="438"/>
      <c r="J3404" s="11"/>
      <c r="Q3404" s="348" t="str">
        <f t="shared" si="432"/>
        <v/>
      </c>
      <c r="R3404" s="348" t="str">
        <f t="shared" si="433"/>
        <v/>
      </c>
      <c r="S3404" s="348" t="str">
        <f t="shared" si="434"/>
        <v/>
      </c>
      <c r="T3404" s="348" t="str">
        <f t="shared" si="435"/>
        <v/>
      </c>
      <c r="U3404" s="348" t="str">
        <f t="shared" si="436"/>
        <v/>
      </c>
      <c r="V3404" s="348" t="str">
        <f t="shared" si="437"/>
        <v/>
      </c>
      <c r="W3404" s="348" t="str">
        <f t="shared" si="438"/>
        <v/>
      </c>
      <c r="X3404" s="348" t="str">
        <f t="shared" si="439"/>
        <v/>
      </c>
    </row>
    <row r="3405" spans="1:24" x14ac:dyDescent="0.2">
      <c r="A3405" s="407">
        <v>3397</v>
      </c>
      <c r="B3405" s="438"/>
      <c r="C3405" s="438"/>
      <c r="D3405" s="438"/>
      <c r="E3405" s="438"/>
      <c r="F3405" s="438"/>
      <c r="G3405" s="438"/>
      <c r="H3405" s="438"/>
      <c r="I3405" s="438"/>
      <c r="J3405" s="11"/>
      <c r="Q3405" s="348" t="str">
        <f t="shared" si="432"/>
        <v/>
      </c>
      <c r="R3405" s="348" t="str">
        <f t="shared" si="433"/>
        <v/>
      </c>
      <c r="S3405" s="348" t="str">
        <f t="shared" si="434"/>
        <v/>
      </c>
      <c r="T3405" s="348" t="str">
        <f t="shared" si="435"/>
        <v/>
      </c>
      <c r="U3405" s="348" t="str">
        <f t="shared" si="436"/>
        <v/>
      </c>
      <c r="V3405" s="348" t="str">
        <f t="shared" si="437"/>
        <v/>
      </c>
      <c r="W3405" s="348" t="str">
        <f t="shared" si="438"/>
        <v/>
      </c>
      <c r="X3405" s="348" t="str">
        <f t="shared" si="439"/>
        <v/>
      </c>
    </row>
    <row r="3406" spans="1:24" x14ac:dyDescent="0.2">
      <c r="A3406" s="407">
        <v>3398</v>
      </c>
      <c r="B3406" s="438"/>
      <c r="C3406" s="438"/>
      <c r="D3406" s="438"/>
      <c r="E3406" s="438"/>
      <c r="F3406" s="438"/>
      <c r="G3406" s="438"/>
      <c r="H3406" s="438"/>
      <c r="I3406" s="438"/>
      <c r="J3406" s="11"/>
      <c r="Q3406" s="348" t="str">
        <f t="shared" si="432"/>
        <v/>
      </c>
      <c r="R3406" s="348" t="str">
        <f t="shared" si="433"/>
        <v/>
      </c>
      <c r="S3406" s="348" t="str">
        <f t="shared" si="434"/>
        <v/>
      </c>
      <c r="T3406" s="348" t="str">
        <f t="shared" si="435"/>
        <v/>
      </c>
      <c r="U3406" s="348" t="str">
        <f t="shared" si="436"/>
        <v/>
      </c>
      <c r="V3406" s="348" t="str">
        <f t="shared" si="437"/>
        <v/>
      </c>
      <c r="W3406" s="348" t="str">
        <f t="shared" si="438"/>
        <v/>
      </c>
      <c r="X3406" s="348" t="str">
        <f t="shared" si="439"/>
        <v/>
      </c>
    </row>
    <row r="3407" spans="1:24" x14ac:dyDescent="0.2">
      <c r="A3407" s="407">
        <v>3399</v>
      </c>
      <c r="B3407" s="438"/>
      <c r="C3407" s="438"/>
      <c r="D3407" s="438"/>
      <c r="E3407" s="438"/>
      <c r="F3407" s="438"/>
      <c r="G3407" s="437"/>
      <c r="H3407" s="438"/>
      <c r="I3407" s="438"/>
      <c r="J3407" s="11"/>
      <c r="Q3407" s="348" t="str">
        <f t="shared" si="432"/>
        <v/>
      </c>
      <c r="R3407" s="348" t="str">
        <f t="shared" si="433"/>
        <v/>
      </c>
      <c r="S3407" s="348" t="str">
        <f t="shared" si="434"/>
        <v/>
      </c>
      <c r="T3407" s="348" t="str">
        <f t="shared" si="435"/>
        <v/>
      </c>
      <c r="U3407" s="348" t="str">
        <f t="shared" si="436"/>
        <v/>
      </c>
      <c r="V3407" s="348" t="str">
        <f t="shared" si="437"/>
        <v/>
      </c>
      <c r="W3407" s="348" t="str">
        <f t="shared" si="438"/>
        <v/>
      </c>
      <c r="X3407" s="348" t="str">
        <f t="shared" si="439"/>
        <v/>
      </c>
    </row>
    <row r="3408" spans="1:24" x14ac:dyDescent="0.2">
      <c r="A3408" s="407">
        <v>3400</v>
      </c>
      <c r="B3408" s="438"/>
      <c r="C3408" s="438"/>
      <c r="D3408" s="437"/>
      <c r="E3408" s="438"/>
      <c r="F3408" s="438"/>
      <c r="G3408" s="438"/>
      <c r="H3408" s="438"/>
      <c r="I3408" s="438"/>
      <c r="J3408" s="11"/>
      <c r="Q3408" s="348" t="str">
        <f t="shared" si="432"/>
        <v/>
      </c>
      <c r="R3408" s="348" t="str">
        <f t="shared" si="433"/>
        <v/>
      </c>
      <c r="S3408" s="348" t="str">
        <f t="shared" si="434"/>
        <v/>
      </c>
      <c r="T3408" s="348" t="str">
        <f t="shared" si="435"/>
        <v/>
      </c>
      <c r="U3408" s="348" t="str">
        <f t="shared" si="436"/>
        <v/>
      </c>
      <c r="V3408" s="348" t="str">
        <f t="shared" si="437"/>
        <v/>
      </c>
      <c r="W3408" s="348" t="str">
        <f t="shared" si="438"/>
        <v/>
      </c>
      <c r="X3408" s="348" t="str">
        <f t="shared" si="439"/>
        <v/>
      </c>
    </row>
    <row r="3409" spans="1:24" x14ac:dyDescent="0.2">
      <c r="A3409" s="407">
        <v>3401</v>
      </c>
      <c r="B3409" s="437"/>
      <c r="C3409" s="437"/>
      <c r="D3409" s="438"/>
      <c r="E3409" s="437"/>
      <c r="F3409" s="437"/>
      <c r="G3409" s="437"/>
      <c r="H3409" s="437"/>
      <c r="I3409" s="437"/>
      <c r="J3409" s="11"/>
      <c r="Q3409" s="348" t="str">
        <f t="shared" si="432"/>
        <v/>
      </c>
      <c r="R3409" s="348" t="str">
        <f t="shared" si="433"/>
        <v/>
      </c>
      <c r="S3409" s="348" t="str">
        <f t="shared" si="434"/>
        <v/>
      </c>
      <c r="T3409" s="348" t="str">
        <f t="shared" si="435"/>
        <v/>
      </c>
      <c r="U3409" s="348" t="str">
        <f t="shared" si="436"/>
        <v/>
      </c>
      <c r="V3409" s="348" t="str">
        <f t="shared" si="437"/>
        <v/>
      </c>
      <c r="W3409" s="348" t="str">
        <f t="shared" si="438"/>
        <v/>
      </c>
      <c r="X3409" s="348" t="str">
        <f t="shared" si="439"/>
        <v/>
      </c>
    </row>
    <row r="3410" spans="1:24" x14ac:dyDescent="0.2">
      <c r="A3410" s="407">
        <v>3402</v>
      </c>
      <c r="B3410" s="438"/>
      <c r="C3410" s="438"/>
      <c r="D3410" s="438"/>
      <c r="E3410" s="438"/>
      <c r="F3410" s="438"/>
      <c r="G3410" s="438"/>
      <c r="H3410" s="438"/>
      <c r="I3410" s="438"/>
      <c r="J3410" s="11"/>
      <c r="Q3410" s="348" t="str">
        <f t="shared" si="432"/>
        <v/>
      </c>
      <c r="R3410" s="348" t="str">
        <f t="shared" si="433"/>
        <v/>
      </c>
      <c r="S3410" s="348" t="str">
        <f t="shared" si="434"/>
        <v/>
      </c>
      <c r="T3410" s="348" t="str">
        <f t="shared" si="435"/>
        <v/>
      </c>
      <c r="U3410" s="348" t="str">
        <f t="shared" si="436"/>
        <v/>
      </c>
      <c r="V3410" s="348" t="str">
        <f t="shared" si="437"/>
        <v/>
      </c>
      <c r="W3410" s="348" t="str">
        <f t="shared" si="438"/>
        <v/>
      </c>
      <c r="X3410" s="348" t="str">
        <f t="shared" si="439"/>
        <v/>
      </c>
    </row>
    <row r="3411" spans="1:24" x14ac:dyDescent="0.2">
      <c r="A3411" s="407">
        <v>3403</v>
      </c>
      <c r="B3411" s="438"/>
      <c r="C3411" s="438"/>
      <c r="D3411" s="438"/>
      <c r="E3411" s="438"/>
      <c r="F3411" s="438"/>
      <c r="G3411" s="438"/>
      <c r="H3411" s="438"/>
      <c r="I3411" s="438"/>
      <c r="J3411" s="11"/>
      <c r="Q3411" s="348" t="str">
        <f t="shared" si="432"/>
        <v/>
      </c>
      <c r="R3411" s="348" t="str">
        <f t="shared" si="433"/>
        <v/>
      </c>
      <c r="S3411" s="348" t="str">
        <f t="shared" si="434"/>
        <v/>
      </c>
      <c r="T3411" s="348" t="str">
        <f t="shared" si="435"/>
        <v/>
      </c>
      <c r="U3411" s="348" t="str">
        <f t="shared" si="436"/>
        <v/>
      </c>
      <c r="V3411" s="348" t="str">
        <f t="shared" si="437"/>
        <v/>
      </c>
      <c r="W3411" s="348" t="str">
        <f t="shared" si="438"/>
        <v/>
      </c>
      <c r="X3411" s="348" t="str">
        <f t="shared" si="439"/>
        <v/>
      </c>
    </row>
    <row r="3412" spans="1:24" x14ac:dyDescent="0.2">
      <c r="A3412" s="407">
        <v>3404</v>
      </c>
      <c r="B3412" s="438"/>
      <c r="C3412" s="438"/>
      <c r="D3412" s="438"/>
      <c r="E3412" s="438"/>
      <c r="F3412" s="438"/>
      <c r="G3412" s="438"/>
      <c r="H3412" s="438"/>
      <c r="I3412" s="438"/>
      <c r="J3412" s="11"/>
      <c r="Q3412" s="348" t="str">
        <f t="shared" si="432"/>
        <v/>
      </c>
      <c r="R3412" s="348" t="str">
        <f t="shared" si="433"/>
        <v/>
      </c>
      <c r="S3412" s="348" t="str">
        <f t="shared" si="434"/>
        <v/>
      </c>
      <c r="T3412" s="348" t="str">
        <f t="shared" si="435"/>
        <v/>
      </c>
      <c r="U3412" s="348" t="str">
        <f t="shared" si="436"/>
        <v/>
      </c>
      <c r="V3412" s="348" t="str">
        <f t="shared" si="437"/>
        <v/>
      </c>
      <c r="W3412" s="348" t="str">
        <f t="shared" si="438"/>
        <v/>
      </c>
      <c r="X3412" s="348" t="str">
        <f t="shared" si="439"/>
        <v/>
      </c>
    </row>
    <row r="3413" spans="1:24" x14ac:dyDescent="0.2">
      <c r="A3413" s="407">
        <v>3405</v>
      </c>
      <c r="B3413" s="438"/>
      <c r="C3413" s="438"/>
      <c r="D3413" s="438"/>
      <c r="E3413" s="438"/>
      <c r="F3413" s="438"/>
      <c r="G3413" s="438"/>
      <c r="H3413" s="438"/>
      <c r="I3413" s="438"/>
      <c r="J3413" s="11"/>
      <c r="Q3413" s="348" t="str">
        <f t="shared" si="432"/>
        <v/>
      </c>
      <c r="R3413" s="348" t="str">
        <f t="shared" si="433"/>
        <v/>
      </c>
      <c r="S3413" s="348" t="str">
        <f t="shared" si="434"/>
        <v/>
      </c>
      <c r="T3413" s="348" t="str">
        <f t="shared" si="435"/>
        <v/>
      </c>
      <c r="U3413" s="348" t="str">
        <f t="shared" si="436"/>
        <v/>
      </c>
      <c r="V3413" s="348" t="str">
        <f t="shared" si="437"/>
        <v/>
      </c>
      <c r="W3413" s="348" t="str">
        <f t="shared" si="438"/>
        <v/>
      </c>
      <c r="X3413" s="348" t="str">
        <f t="shared" si="439"/>
        <v/>
      </c>
    </row>
    <row r="3414" spans="1:24" x14ac:dyDescent="0.2">
      <c r="A3414" s="407">
        <v>3406</v>
      </c>
      <c r="B3414" s="438"/>
      <c r="C3414" s="438"/>
      <c r="D3414" s="438"/>
      <c r="E3414" s="438"/>
      <c r="F3414" s="438"/>
      <c r="G3414" s="438"/>
      <c r="H3414" s="438"/>
      <c r="I3414" s="438"/>
      <c r="J3414" s="11"/>
      <c r="Q3414" s="348" t="str">
        <f t="shared" si="432"/>
        <v/>
      </c>
      <c r="R3414" s="348" t="str">
        <f t="shared" si="433"/>
        <v/>
      </c>
      <c r="S3414" s="348" t="str">
        <f t="shared" si="434"/>
        <v/>
      </c>
      <c r="T3414" s="348" t="str">
        <f t="shared" si="435"/>
        <v/>
      </c>
      <c r="U3414" s="348" t="str">
        <f t="shared" si="436"/>
        <v/>
      </c>
      <c r="V3414" s="348" t="str">
        <f t="shared" si="437"/>
        <v/>
      </c>
      <c r="W3414" s="348" t="str">
        <f t="shared" si="438"/>
        <v/>
      </c>
      <c r="X3414" s="348" t="str">
        <f t="shared" si="439"/>
        <v/>
      </c>
    </row>
    <row r="3415" spans="1:24" x14ac:dyDescent="0.2">
      <c r="A3415" s="407">
        <v>3407</v>
      </c>
      <c r="B3415" s="438"/>
      <c r="C3415" s="438"/>
      <c r="D3415" s="438"/>
      <c r="E3415" s="438"/>
      <c r="F3415" s="438"/>
      <c r="G3415" s="438"/>
      <c r="H3415" s="438"/>
      <c r="I3415" s="438"/>
      <c r="J3415" s="11"/>
      <c r="Q3415" s="348" t="str">
        <f t="shared" si="432"/>
        <v/>
      </c>
      <c r="R3415" s="348" t="str">
        <f t="shared" si="433"/>
        <v/>
      </c>
      <c r="S3415" s="348" t="str">
        <f t="shared" si="434"/>
        <v/>
      </c>
      <c r="T3415" s="348" t="str">
        <f t="shared" si="435"/>
        <v/>
      </c>
      <c r="U3415" s="348" t="str">
        <f t="shared" si="436"/>
        <v/>
      </c>
      <c r="V3415" s="348" t="str">
        <f t="shared" si="437"/>
        <v/>
      </c>
      <c r="W3415" s="348" t="str">
        <f t="shared" si="438"/>
        <v/>
      </c>
      <c r="X3415" s="348" t="str">
        <f t="shared" si="439"/>
        <v/>
      </c>
    </row>
    <row r="3416" spans="1:24" x14ac:dyDescent="0.2">
      <c r="A3416" s="407">
        <v>3408</v>
      </c>
      <c r="B3416" s="438"/>
      <c r="C3416" s="438"/>
      <c r="D3416" s="438"/>
      <c r="E3416" s="438"/>
      <c r="F3416" s="438"/>
      <c r="G3416" s="438"/>
      <c r="H3416" s="438"/>
      <c r="I3416" s="438"/>
      <c r="J3416" s="11"/>
      <c r="Q3416" s="348" t="str">
        <f t="shared" si="432"/>
        <v/>
      </c>
      <c r="R3416" s="348" t="str">
        <f t="shared" si="433"/>
        <v/>
      </c>
      <c r="S3416" s="348" t="str">
        <f t="shared" si="434"/>
        <v/>
      </c>
      <c r="T3416" s="348" t="str">
        <f t="shared" si="435"/>
        <v/>
      </c>
      <c r="U3416" s="348" t="str">
        <f t="shared" si="436"/>
        <v/>
      </c>
      <c r="V3416" s="348" t="str">
        <f t="shared" si="437"/>
        <v/>
      </c>
      <c r="W3416" s="348" t="str">
        <f t="shared" si="438"/>
        <v/>
      </c>
      <c r="X3416" s="348" t="str">
        <f t="shared" si="439"/>
        <v/>
      </c>
    </row>
    <row r="3417" spans="1:24" x14ac:dyDescent="0.2">
      <c r="A3417" s="407">
        <v>3409</v>
      </c>
      <c r="B3417" s="438"/>
      <c r="C3417" s="438"/>
      <c r="D3417" s="438"/>
      <c r="E3417" s="438"/>
      <c r="F3417" s="438"/>
      <c r="G3417" s="438"/>
      <c r="H3417" s="438"/>
      <c r="I3417" s="438"/>
      <c r="J3417" s="11"/>
      <c r="Q3417" s="348" t="str">
        <f t="shared" si="432"/>
        <v/>
      </c>
      <c r="R3417" s="348" t="str">
        <f t="shared" si="433"/>
        <v/>
      </c>
      <c r="S3417" s="348" t="str">
        <f t="shared" si="434"/>
        <v/>
      </c>
      <c r="T3417" s="348" t="str">
        <f t="shared" si="435"/>
        <v/>
      </c>
      <c r="U3417" s="348" t="str">
        <f t="shared" si="436"/>
        <v/>
      </c>
      <c r="V3417" s="348" t="str">
        <f t="shared" si="437"/>
        <v/>
      </c>
      <c r="W3417" s="348" t="str">
        <f t="shared" si="438"/>
        <v/>
      </c>
      <c r="X3417" s="348" t="str">
        <f t="shared" si="439"/>
        <v/>
      </c>
    </row>
    <row r="3418" spans="1:24" x14ac:dyDescent="0.2">
      <c r="A3418" s="407">
        <v>3410</v>
      </c>
      <c r="B3418" s="438"/>
      <c r="C3418" s="438"/>
      <c r="D3418" s="438"/>
      <c r="E3418" s="438"/>
      <c r="F3418" s="438"/>
      <c r="G3418" s="438"/>
      <c r="H3418" s="438"/>
      <c r="I3418" s="438"/>
      <c r="J3418" s="11"/>
      <c r="Q3418" s="348" t="str">
        <f t="shared" si="432"/>
        <v/>
      </c>
      <c r="R3418" s="348" t="str">
        <f t="shared" si="433"/>
        <v/>
      </c>
      <c r="S3418" s="348" t="str">
        <f t="shared" si="434"/>
        <v/>
      </c>
      <c r="T3418" s="348" t="str">
        <f t="shared" si="435"/>
        <v/>
      </c>
      <c r="U3418" s="348" t="str">
        <f t="shared" si="436"/>
        <v/>
      </c>
      <c r="V3418" s="348" t="str">
        <f t="shared" si="437"/>
        <v/>
      </c>
      <c r="W3418" s="348" t="str">
        <f t="shared" si="438"/>
        <v/>
      </c>
      <c r="X3418" s="348" t="str">
        <f t="shared" si="439"/>
        <v/>
      </c>
    </row>
    <row r="3419" spans="1:24" x14ac:dyDescent="0.2">
      <c r="A3419" s="407">
        <v>3411</v>
      </c>
      <c r="B3419" s="438"/>
      <c r="C3419" s="438"/>
      <c r="D3419" s="438"/>
      <c r="E3419" s="438"/>
      <c r="F3419" s="438"/>
      <c r="G3419" s="438"/>
      <c r="H3419" s="438"/>
      <c r="I3419" s="438"/>
      <c r="J3419" s="11"/>
      <c r="Q3419" s="348" t="str">
        <f t="shared" si="432"/>
        <v/>
      </c>
      <c r="R3419" s="348" t="str">
        <f t="shared" si="433"/>
        <v/>
      </c>
      <c r="S3419" s="348" t="str">
        <f t="shared" si="434"/>
        <v/>
      </c>
      <c r="T3419" s="348" t="str">
        <f t="shared" si="435"/>
        <v/>
      </c>
      <c r="U3419" s="348" t="str">
        <f t="shared" si="436"/>
        <v/>
      </c>
      <c r="V3419" s="348" t="str">
        <f t="shared" si="437"/>
        <v/>
      </c>
      <c r="W3419" s="348" t="str">
        <f t="shared" si="438"/>
        <v/>
      </c>
      <c r="X3419" s="348" t="str">
        <f t="shared" si="439"/>
        <v/>
      </c>
    </row>
    <row r="3420" spans="1:24" x14ac:dyDescent="0.2">
      <c r="A3420" s="407">
        <v>3412</v>
      </c>
      <c r="B3420" s="438"/>
      <c r="C3420" s="438"/>
      <c r="D3420" s="438"/>
      <c r="E3420" s="438"/>
      <c r="F3420" s="438"/>
      <c r="G3420" s="438"/>
      <c r="H3420" s="438"/>
      <c r="I3420" s="438"/>
      <c r="J3420" s="11"/>
      <c r="Q3420" s="348" t="str">
        <f t="shared" si="432"/>
        <v/>
      </c>
      <c r="R3420" s="348" t="str">
        <f t="shared" si="433"/>
        <v/>
      </c>
      <c r="S3420" s="348" t="str">
        <f t="shared" si="434"/>
        <v/>
      </c>
      <c r="T3420" s="348" t="str">
        <f t="shared" si="435"/>
        <v/>
      </c>
      <c r="U3420" s="348" t="str">
        <f t="shared" si="436"/>
        <v/>
      </c>
      <c r="V3420" s="348" t="str">
        <f t="shared" si="437"/>
        <v/>
      </c>
      <c r="W3420" s="348" t="str">
        <f t="shared" si="438"/>
        <v/>
      </c>
      <c r="X3420" s="348" t="str">
        <f t="shared" si="439"/>
        <v/>
      </c>
    </row>
    <row r="3421" spans="1:24" x14ac:dyDescent="0.2">
      <c r="A3421" s="407">
        <v>3413</v>
      </c>
      <c r="B3421" s="438"/>
      <c r="C3421" s="438"/>
      <c r="D3421" s="438"/>
      <c r="E3421" s="438"/>
      <c r="F3421" s="438"/>
      <c r="G3421" s="438"/>
      <c r="H3421" s="438"/>
      <c r="I3421" s="438"/>
      <c r="J3421" s="11"/>
      <c r="Q3421" s="348" t="str">
        <f t="shared" si="432"/>
        <v/>
      </c>
      <c r="R3421" s="348" t="str">
        <f t="shared" si="433"/>
        <v/>
      </c>
      <c r="S3421" s="348" t="str">
        <f t="shared" si="434"/>
        <v/>
      </c>
      <c r="T3421" s="348" t="str">
        <f t="shared" si="435"/>
        <v/>
      </c>
      <c r="U3421" s="348" t="str">
        <f t="shared" si="436"/>
        <v/>
      </c>
      <c r="V3421" s="348" t="str">
        <f t="shared" si="437"/>
        <v/>
      </c>
      <c r="W3421" s="348" t="str">
        <f t="shared" si="438"/>
        <v/>
      </c>
      <c r="X3421" s="348" t="str">
        <f t="shared" si="439"/>
        <v/>
      </c>
    </row>
    <row r="3422" spans="1:24" x14ac:dyDescent="0.2">
      <c r="A3422" s="407">
        <v>3414</v>
      </c>
      <c r="B3422" s="438"/>
      <c r="C3422" s="438"/>
      <c r="D3422" s="438"/>
      <c r="E3422" s="438"/>
      <c r="F3422" s="438"/>
      <c r="G3422" s="438"/>
      <c r="H3422" s="438"/>
      <c r="I3422" s="438"/>
      <c r="J3422" s="11"/>
      <c r="Q3422" s="348" t="str">
        <f t="shared" si="432"/>
        <v/>
      </c>
      <c r="R3422" s="348" t="str">
        <f t="shared" si="433"/>
        <v/>
      </c>
      <c r="S3422" s="348" t="str">
        <f t="shared" si="434"/>
        <v/>
      </c>
      <c r="T3422" s="348" t="str">
        <f t="shared" si="435"/>
        <v/>
      </c>
      <c r="U3422" s="348" t="str">
        <f t="shared" si="436"/>
        <v/>
      </c>
      <c r="V3422" s="348" t="str">
        <f t="shared" si="437"/>
        <v/>
      </c>
      <c r="W3422" s="348" t="str">
        <f t="shared" si="438"/>
        <v/>
      </c>
      <c r="X3422" s="348" t="str">
        <f t="shared" si="439"/>
        <v/>
      </c>
    </row>
    <row r="3423" spans="1:24" x14ac:dyDescent="0.2">
      <c r="A3423" s="407">
        <v>3415</v>
      </c>
      <c r="B3423" s="437"/>
      <c r="C3423" s="437"/>
      <c r="D3423" s="438"/>
      <c r="E3423" s="438"/>
      <c r="F3423" s="438"/>
      <c r="G3423" s="438"/>
      <c r="H3423" s="438"/>
      <c r="I3423" s="438"/>
      <c r="J3423" s="11"/>
      <c r="Q3423" s="348" t="str">
        <f t="shared" si="432"/>
        <v/>
      </c>
      <c r="R3423" s="348" t="str">
        <f t="shared" si="433"/>
        <v/>
      </c>
      <c r="S3423" s="348" t="str">
        <f t="shared" si="434"/>
        <v/>
      </c>
      <c r="T3423" s="348" t="str">
        <f t="shared" si="435"/>
        <v/>
      </c>
      <c r="U3423" s="348" t="str">
        <f t="shared" si="436"/>
        <v/>
      </c>
      <c r="V3423" s="348" t="str">
        <f t="shared" si="437"/>
        <v/>
      </c>
      <c r="W3423" s="348" t="str">
        <f t="shared" si="438"/>
        <v/>
      </c>
      <c r="X3423" s="348" t="str">
        <f t="shared" si="439"/>
        <v/>
      </c>
    </row>
    <row r="3424" spans="1:24" x14ac:dyDescent="0.2">
      <c r="A3424" s="407">
        <v>3416</v>
      </c>
      <c r="B3424" s="438"/>
      <c r="C3424" s="438"/>
      <c r="D3424" s="438"/>
      <c r="E3424" s="438"/>
      <c r="F3424" s="438"/>
      <c r="G3424" s="438"/>
      <c r="H3424" s="438"/>
      <c r="I3424" s="438"/>
      <c r="J3424" s="11"/>
      <c r="Q3424" s="348" t="str">
        <f t="shared" si="432"/>
        <v/>
      </c>
      <c r="R3424" s="348" t="str">
        <f t="shared" si="433"/>
        <v/>
      </c>
      <c r="S3424" s="348" t="str">
        <f t="shared" si="434"/>
        <v/>
      </c>
      <c r="T3424" s="348" t="str">
        <f t="shared" si="435"/>
        <v/>
      </c>
      <c r="U3424" s="348" t="str">
        <f t="shared" si="436"/>
        <v/>
      </c>
      <c r="V3424" s="348" t="str">
        <f t="shared" si="437"/>
        <v/>
      </c>
      <c r="W3424" s="348" t="str">
        <f t="shared" si="438"/>
        <v/>
      </c>
      <c r="X3424" s="348" t="str">
        <f t="shared" si="439"/>
        <v/>
      </c>
    </row>
    <row r="3425" spans="1:24" x14ac:dyDescent="0.2">
      <c r="A3425" s="407">
        <v>3417</v>
      </c>
      <c r="B3425" s="438"/>
      <c r="C3425" s="438"/>
      <c r="D3425" s="438"/>
      <c r="E3425" s="438"/>
      <c r="F3425" s="438"/>
      <c r="G3425" s="438"/>
      <c r="H3425" s="438"/>
      <c r="I3425" s="438"/>
      <c r="J3425" s="11"/>
      <c r="Q3425" s="348" t="str">
        <f t="shared" si="432"/>
        <v/>
      </c>
      <c r="R3425" s="348" t="str">
        <f t="shared" si="433"/>
        <v/>
      </c>
      <c r="S3425" s="348" t="str">
        <f t="shared" si="434"/>
        <v/>
      </c>
      <c r="T3425" s="348" t="str">
        <f t="shared" si="435"/>
        <v/>
      </c>
      <c r="U3425" s="348" t="str">
        <f t="shared" si="436"/>
        <v/>
      </c>
      <c r="V3425" s="348" t="str">
        <f t="shared" si="437"/>
        <v/>
      </c>
      <c r="W3425" s="348" t="str">
        <f t="shared" si="438"/>
        <v/>
      </c>
      <c r="X3425" s="348" t="str">
        <f t="shared" si="439"/>
        <v/>
      </c>
    </row>
    <row r="3426" spans="1:24" x14ac:dyDescent="0.2">
      <c r="A3426" s="407">
        <v>3418</v>
      </c>
      <c r="B3426" s="438"/>
      <c r="C3426" s="438"/>
      <c r="D3426" s="438"/>
      <c r="E3426" s="438"/>
      <c r="F3426" s="438"/>
      <c r="G3426" s="438"/>
      <c r="H3426" s="438"/>
      <c r="I3426" s="438"/>
      <c r="J3426" s="11"/>
      <c r="Q3426" s="348" t="str">
        <f t="shared" si="432"/>
        <v/>
      </c>
      <c r="R3426" s="348" t="str">
        <f t="shared" si="433"/>
        <v/>
      </c>
      <c r="S3426" s="348" t="str">
        <f t="shared" si="434"/>
        <v/>
      </c>
      <c r="T3426" s="348" t="str">
        <f t="shared" si="435"/>
        <v/>
      </c>
      <c r="U3426" s="348" t="str">
        <f t="shared" si="436"/>
        <v/>
      </c>
      <c r="V3426" s="348" t="str">
        <f t="shared" si="437"/>
        <v/>
      </c>
      <c r="W3426" s="348" t="str">
        <f t="shared" si="438"/>
        <v/>
      </c>
      <c r="X3426" s="348" t="str">
        <f t="shared" si="439"/>
        <v/>
      </c>
    </row>
    <row r="3427" spans="1:24" x14ac:dyDescent="0.2">
      <c r="A3427" s="407">
        <v>3419</v>
      </c>
      <c r="B3427" s="438"/>
      <c r="C3427" s="438"/>
      <c r="D3427" s="438"/>
      <c r="E3427" s="438"/>
      <c r="F3427" s="438"/>
      <c r="G3427" s="438"/>
      <c r="H3427" s="438"/>
      <c r="I3427" s="438"/>
      <c r="J3427" s="11"/>
      <c r="Q3427" s="348" t="str">
        <f t="shared" si="432"/>
        <v/>
      </c>
      <c r="R3427" s="348" t="str">
        <f t="shared" si="433"/>
        <v/>
      </c>
      <c r="S3427" s="348" t="str">
        <f t="shared" si="434"/>
        <v/>
      </c>
      <c r="T3427" s="348" t="str">
        <f t="shared" si="435"/>
        <v/>
      </c>
      <c r="U3427" s="348" t="str">
        <f t="shared" si="436"/>
        <v/>
      </c>
      <c r="V3427" s="348" t="str">
        <f t="shared" si="437"/>
        <v/>
      </c>
      <c r="W3427" s="348" t="str">
        <f t="shared" si="438"/>
        <v/>
      </c>
      <c r="X3427" s="348" t="str">
        <f t="shared" si="439"/>
        <v/>
      </c>
    </row>
    <row r="3428" spans="1:24" x14ac:dyDescent="0.2">
      <c r="A3428" s="407">
        <v>3420</v>
      </c>
      <c r="B3428" s="438"/>
      <c r="C3428" s="438"/>
      <c r="D3428" s="438"/>
      <c r="E3428" s="438"/>
      <c r="F3428" s="438"/>
      <c r="G3428" s="438"/>
      <c r="H3428" s="438"/>
      <c r="I3428" s="438"/>
      <c r="J3428" s="11"/>
      <c r="Q3428" s="348" t="str">
        <f t="shared" si="432"/>
        <v/>
      </c>
      <c r="R3428" s="348" t="str">
        <f t="shared" si="433"/>
        <v/>
      </c>
      <c r="S3428" s="348" t="str">
        <f t="shared" si="434"/>
        <v/>
      </c>
      <c r="T3428" s="348" t="str">
        <f t="shared" si="435"/>
        <v/>
      </c>
      <c r="U3428" s="348" t="str">
        <f t="shared" si="436"/>
        <v/>
      </c>
      <c r="V3428" s="348" t="str">
        <f t="shared" si="437"/>
        <v/>
      </c>
      <c r="W3428" s="348" t="str">
        <f t="shared" si="438"/>
        <v/>
      </c>
      <c r="X3428" s="348" t="str">
        <f t="shared" si="439"/>
        <v/>
      </c>
    </row>
    <row r="3429" spans="1:24" x14ac:dyDescent="0.2">
      <c r="A3429" s="407">
        <v>3421</v>
      </c>
      <c r="B3429" s="438"/>
      <c r="C3429" s="438"/>
      <c r="D3429" s="438"/>
      <c r="E3429" s="438"/>
      <c r="F3429" s="438"/>
      <c r="G3429" s="438"/>
      <c r="H3429" s="438"/>
      <c r="I3429" s="438"/>
      <c r="J3429" s="11"/>
      <c r="Q3429" s="348" t="str">
        <f t="shared" si="432"/>
        <v/>
      </c>
      <c r="R3429" s="348" t="str">
        <f t="shared" si="433"/>
        <v/>
      </c>
      <c r="S3429" s="348" t="str">
        <f t="shared" si="434"/>
        <v/>
      </c>
      <c r="T3429" s="348" t="str">
        <f t="shared" si="435"/>
        <v/>
      </c>
      <c r="U3429" s="348" t="str">
        <f t="shared" si="436"/>
        <v/>
      </c>
      <c r="V3429" s="348" t="str">
        <f t="shared" si="437"/>
        <v/>
      </c>
      <c r="W3429" s="348" t="str">
        <f t="shared" si="438"/>
        <v/>
      </c>
      <c r="X3429" s="348" t="str">
        <f t="shared" si="439"/>
        <v/>
      </c>
    </row>
    <row r="3430" spans="1:24" x14ac:dyDescent="0.2">
      <c r="A3430" s="407">
        <v>3422</v>
      </c>
      <c r="B3430" s="438"/>
      <c r="C3430" s="438"/>
      <c r="D3430" s="438"/>
      <c r="E3430" s="438"/>
      <c r="F3430" s="438"/>
      <c r="G3430" s="438"/>
      <c r="H3430" s="438"/>
      <c r="I3430" s="438"/>
      <c r="J3430" s="11"/>
      <c r="Q3430" s="348" t="str">
        <f t="shared" si="432"/>
        <v/>
      </c>
      <c r="R3430" s="348" t="str">
        <f t="shared" si="433"/>
        <v/>
      </c>
      <c r="S3430" s="348" t="str">
        <f t="shared" si="434"/>
        <v/>
      </c>
      <c r="T3430" s="348" t="str">
        <f t="shared" si="435"/>
        <v/>
      </c>
      <c r="U3430" s="348" t="str">
        <f t="shared" si="436"/>
        <v/>
      </c>
      <c r="V3430" s="348" t="str">
        <f t="shared" si="437"/>
        <v/>
      </c>
      <c r="W3430" s="348" t="str">
        <f t="shared" si="438"/>
        <v/>
      </c>
      <c r="X3430" s="348" t="str">
        <f t="shared" si="439"/>
        <v/>
      </c>
    </row>
    <row r="3431" spans="1:24" x14ac:dyDescent="0.2">
      <c r="A3431" s="407">
        <v>3423</v>
      </c>
      <c r="B3431" s="438"/>
      <c r="C3431" s="438"/>
      <c r="D3431" s="438"/>
      <c r="E3431" s="438"/>
      <c r="F3431" s="438"/>
      <c r="G3431" s="438"/>
      <c r="H3431" s="438"/>
      <c r="I3431" s="438"/>
      <c r="J3431" s="11"/>
      <c r="Q3431" s="348" t="str">
        <f t="shared" si="432"/>
        <v/>
      </c>
      <c r="R3431" s="348" t="str">
        <f t="shared" si="433"/>
        <v/>
      </c>
      <c r="S3431" s="348" t="str">
        <f t="shared" si="434"/>
        <v/>
      </c>
      <c r="T3431" s="348" t="str">
        <f t="shared" si="435"/>
        <v/>
      </c>
      <c r="U3431" s="348" t="str">
        <f t="shared" si="436"/>
        <v/>
      </c>
      <c r="V3431" s="348" t="str">
        <f t="shared" si="437"/>
        <v/>
      </c>
      <c r="W3431" s="348" t="str">
        <f t="shared" si="438"/>
        <v/>
      </c>
      <c r="X3431" s="348" t="str">
        <f t="shared" si="439"/>
        <v/>
      </c>
    </row>
    <row r="3432" spans="1:24" x14ac:dyDescent="0.2">
      <c r="A3432" s="407">
        <v>3424</v>
      </c>
      <c r="B3432" s="438"/>
      <c r="C3432" s="438"/>
      <c r="D3432" s="438"/>
      <c r="E3432" s="438"/>
      <c r="F3432" s="438"/>
      <c r="G3432" s="438"/>
      <c r="H3432" s="438"/>
      <c r="I3432" s="438"/>
      <c r="J3432" s="11"/>
      <c r="Q3432" s="348" t="str">
        <f t="shared" si="432"/>
        <v/>
      </c>
      <c r="R3432" s="348" t="str">
        <f t="shared" si="433"/>
        <v/>
      </c>
      <c r="S3432" s="348" t="str">
        <f t="shared" si="434"/>
        <v/>
      </c>
      <c r="T3432" s="348" t="str">
        <f t="shared" si="435"/>
        <v/>
      </c>
      <c r="U3432" s="348" t="str">
        <f t="shared" si="436"/>
        <v/>
      </c>
      <c r="V3432" s="348" t="str">
        <f t="shared" si="437"/>
        <v/>
      </c>
      <c r="W3432" s="348" t="str">
        <f t="shared" si="438"/>
        <v/>
      </c>
      <c r="X3432" s="348" t="str">
        <f t="shared" si="439"/>
        <v/>
      </c>
    </row>
    <row r="3433" spans="1:24" x14ac:dyDescent="0.2">
      <c r="A3433" s="407">
        <v>3425</v>
      </c>
      <c r="B3433" s="438"/>
      <c r="C3433" s="438"/>
      <c r="D3433" s="438"/>
      <c r="E3433" s="438"/>
      <c r="F3433" s="438"/>
      <c r="G3433" s="438"/>
      <c r="H3433" s="438"/>
      <c r="I3433" s="438"/>
      <c r="J3433" s="11"/>
      <c r="Q3433" s="348" t="str">
        <f t="shared" si="432"/>
        <v/>
      </c>
      <c r="R3433" s="348" t="str">
        <f t="shared" si="433"/>
        <v/>
      </c>
      <c r="S3433" s="348" t="str">
        <f t="shared" si="434"/>
        <v/>
      </c>
      <c r="T3433" s="348" t="str">
        <f t="shared" si="435"/>
        <v/>
      </c>
      <c r="U3433" s="348" t="str">
        <f t="shared" si="436"/>
        <v/>
      </c>
      <c r="V3433" s="348" t="str">
        <f t="shared" si="437"/>
        <v/>
      </c>
      <c r="W3433" s="348" t="str">
        <f t="shared" si="438"/>
        <v/>
      </c>
      <c r="X3433" s="348" t="str">
        <f t="shared" si="439"/>
        <v/>
      </c>
    </row>
    <row r="3434" spans="1:24" x14ac:dyDescent="0.2">
      <c r="A3434" s="407">
        <v>3426</v>
      </c>
      <c r="B3434" s="438"/>
      <c r="C3434" s="438"/>
      <c r="D3434" s="438"/>
      <c r="E3434" s="437"/>
      <c r="F3434" s="437"/>
      <c r="G3434" s="437"/>
      <c r="H3434" s="437"/>
      <c r="I3434" s="437"/>
      <c r="J3434" s="11"/>
      <c r="Q3434" s="348" t="str">
        <f t="shared" si="432"/>
        <v/>
      </c>
      <c r="R3434" s="348" t="str">
        <f t="shared" si="433"/>
        <v/>
      </c>
      <c r="S3434" s="348" t="str">
        <f t="shared" si="434"/>
        <v/>
      </c>
      <c r="T3434" s="348" t="str">
        <f t="shared" si="435"/>
        <v/>
      </c>
      <c r="U3434" s="348" t="str">
        <f t="shared" si="436"/>
        <v/>
      </c>
      <c r="V3434" s="348" t="str">
        <f t="shared" si="437"/>
        <v/>
      </c>
      <c r="W3434" s="348" t="str">
        <f t="shared" si="438"/>
        <v/>
      </c>
      <c r="X3434" s="348" t="str">
        <f t="shared" si="439"/>
        <v/>
      </c>
    </row>
    <row r="3435" spans="1:24" x14ac:dyDescent="0.2">
      <c r="A3435" s="407">
        <v>3427</v>
      </c>
      <c r="B3435" s="438"/>
      <c r="C3435" s="438"/>
      <c r="D3435" s="438"/>
      <c r="E3435" s="438"/>
      <c r="F3435" s="438"/>
      <c r="G3435" s="438"/>
      <c r="H3435" s="438"/>
      <c r="I3435" s="438"/>
      <c r="J3435" s="11"/>
      <c r="Q3435" s="348" t="str">
        <f t="shared" si="432"/>
        <v/>
      </c>
      <c r="R3435" s="348" t="str">
        <f t="shared" si="433"/>
        <v/>
      </c>
      <c r="S3435" s="348" t="str">
        <f t="shared" si="434"/>
        <v/>
      </c>
      <c r="T3435" s="348" t="str">
        <f t="shared" si="435"/>
        <v/>
      </c>
      <c r="U3435" s="348" t="str">
        <f t="shared" si="436"/>
        <v/>
      </c>
      <c r="V3435" s="348" t="str">
        <f t="shared" si="437"/>
        <v/>
      </c>
      <c r="W3435" s="348" t="str">
        <f t="shared" si="438"/>
        <v/>
      </c>
      <c r="X3435" s="348" t="str">
        <f t="shared" si="439"/>
        <v/>
      </c>
    </row>
    <row r="3436" spans="1:24" x14ac:dyDescent="0.2">
      <c r="A3436" s="407">
        <v>3428</v>
      </c>
      <c r="B3436" s="438"/>
      <c r="C3436" s="438"/>
      <c r="D3436" s="438"/>
      <c r="E3436" s="438"/>
      <c r="F3436" s="438"/>
      <c r="G3436" s="438"/>
      <c r="H3436" s="438"/>
      <c r="I3436" s="438"/>
      <c r="J3436" s="11"/>
      <c r="Q3436" s="348" t="str">
        <f t="shared" si="432"/>
        <v/>
      </c>
      <c r="R3436" s="348" t="str">
        <f t="shared" si="433"/>
        <v/>
      </c>
      <c r="S3436" s="348" t="str">
        <f t="shared" si="434"/>
        <v/>
      </c>
      <c r="T3436" s="348" t="str">
        <f t="shared" si="435"/>
        <v/>
      </c>
      <c r="U3436" s="348" t="str">
        <f t="shared" si="436"/>
        <v/>
      </c>
      <c r="V3436" s="348" t="str">
        <f t="shared" si="437"/>
        <v/>
      </c>
      <c r="W3436" s="348" t="str">
        <f t="shared" si="438"/>
        <v/>
      </c>
      <c r="X3436" s="348" t="str">
        <f t="shared" si="439"/>
        <v/>
      </c>
    </row>
    <row r="3437" spans="1:24" x14ac:dyDescent="0.2">
      <c r="A3437" s="407">
        <v>3429</v>
      </c>
      <c r="B3437" s="438"/>
      <c r="C3437" s="438"/>
      <c r="D3437" s="438"/>
      <c r="E3437" s="438"/>
      <c r="F3437" s="438"/>
      <c r="G3437" s="438"/>
      <c r="H3437" s="438"/>
      <c r="I3437" s="438"/>
      <c r="J3437" s="11"/>
      <c r="Q3437" s="348" t="str">
        <f t="shared" si="432"/>
        <v/>
      </c>
      <c r="R3437" s="348" t="str">
        <f t="shared" si="433"/>
        <v/>
      </c>
      <c r="S3437" s="348" t="str">
        <f t="shared" si="434"/>
        <v/>
      </c>
      <c r="T3437" s="348" t="str">
        <f t="shared" si="435"/>
        <v/>
      </c>
      <c r="U3437" s="348" t="str">
        <f t="shared" si="436"/>
        <v/>
      </c>
      <c r="V3437" s="348" t="str">
        <f t="shared" si="437"/>
        <v/>
      </c>
      <c r="W3437" s="348" t="str">
        <f t="shared" si="438"/>
        <v/>
      </c>
      <c r="X3437" s="348" t="str">
        <f t="shared" si="439"/>
        <v/>
      </c>
    </row>
    <row r="3438" spans="1:24" x14ac:dyDescent="0.2">
      <c r="A3438" s="407">
        <v>3430</v>
      </c>
      <c r="B3438" s="438"/>
      <c r="C3438" s="438"/>
      <c r="D3438" s="438"/>
      <c r="E3438" s="438"/>
      <c r="F3438" s="438"/>
      <c r="G3438" s="438"/>
      <c r="H3438" s="438"/>
      <c r="I3438" s="438"/>
      <c r="J3438" s="11"/>
      <c r="Q3438" s="348" t="str">
        <f t="shared" si="432"/>
        <v/>
      </c>
      <c r="R3438" s="348" t="str">
        <f t="shared" si="433"/>
        <v/>
      </c>
      <c r="S3438" s="348" t="str">
        <f t="shared" si="434"/>
        <v/>
      </c>
      <c r="T3438" s="348" t="str">
        <f t="shared" si="435"/>
        <v/>
      </c>
      <c r="U3438" s="348" t="str">
        <f t="shared" si="436"/>
        <v/>
      </c>
      <c r="V3438" s="348" t="str">
        <f t="shared" si="437"/>
        <v/>
      </c>
      <c r="W3438" s="348" t="str">
        <f t="shared" si="438"/>
        <v/>
      </c>
      <c r="X3438" s="348" t="str">
        <f t="shared" si="439"/>
        <v/>
      </c>
    </row>
    <row r="3439" spans="1:24" x14ac:dyDescent="0.2">
      <c r="A3439" s="407">
        <v>3431</v>
      </c>
      <c r="B3439" s="438"/>
      <c r="C3439" s="438"/>
      <c r="D3439" s="438"/>
      <c r="E3439" s="438"/>
      <c r="F3439" s="438"/>
      <c r="G3439" s="438"/>
      <c r="H3439" s="438"/>
      <c r="I3439" s="438"/>
      <c r="J3439" s="11"/>
      <c r="Q3439" s="348" t="str">
        <f t="shared" si="432"/>
        <v/>
      </c>
      <c r="R3439" s="348" t="str">
        <f t="shared" si="433"/>
        <v/>
      </c>
      <c r="S3439" s="348" t="str">
        <f t="shared" si="434"/>
        <v/>
      </c>
      <c r="T3439" s="348" t="str">
        <f t="shared" si="435"/>
        <v/>
      </c>
      <c r="U3439" s="348" t="str">
        <f t="shared" si="436"/>
        <v/>
      </c>
      <c r="V3439" s="348" t="str">
        <f t="shared" si="437"/>
        <v/>
      </c>
      <c r="W3439" s="348" t="str">
        <f t="shared" si="438"/>
        <v/>
      </c>
      <c r="X3439" s="348" t="str">
        <f t="shared" si="439"/>
        <v/>
      </c>
    </row>
    <row r="3440" spans="1:24" x14ac:dyDescent="0.2">
      <c r="A3440" s="407">
        <v>3432</v>
      </c>
      <c r="B3440" s="438"/>
      <c r="C3440" s="438"/>
      <c r="D3440" s="438"/>
      <c r="E3440" s="438"/>
      <c r="F3440" s="438"/>
      <c r="G3440" s="438"/>
      <c r="H3440" s="438"/>
      <c r="I3440" s="438"/>
      <c r="J3440" s="11"/>
      <c r="Q3440" s="348" t="str">
        <f t="shared" si="432"/>
        <v/>
      </c>
      <c r="R3440" s="348" t="str">
        <f t="shared" si="433"/>
        <v/>
      </c>
      <c r="S3440" s="348" t="str">
        <f t="shared" si="434"/>
        <v/>
      </c>
      <c r="T3440" s="348" t="str">
        <f t="shared" si="435"/>
        <v/>
      </c>
      <c r="U3440" s="348" t="str">
        <f t="shared" si="436"/>
        <v/>
      </c>
      <c r="V3440" s="348" t="str">
        <f t="shared" si="437"/>
        <v/>
      </c>
      <c r="W3440" s="348" t="str">
        <f t="shared" si="438"/>
        <v/>
      </c>
      <c r="X3440" s="348" t="str">
        <f t="shared" si="439"/>
        <v/>
      </c>
    </row>
    <row r="3441" spans="1:24" x14ac:dyDescent="0.2">
      <c r="A3441" s="407">
        <v>3433</v>
      </c>
      <c r="B3441" s="438"/>
      <c r="C3441" s="438"/>
      <c r="D3441" s="438"/>
      <c r="E3441" s="438"/>
      <c r="F3441" s="438"/>
      <c r="G3441" s="438"/>
      <c r="H3441" s="438"/>
      <c r="I3441" s="438"/>
      <c r="J3441" s="11"/>
      <c r="Q3441" s="348" t="str">
        <f t="shared" si="432"/>
        <v/>
      </c>
      <c r="R3441" s="348" t="str">
        <f t="shared" si="433"/>
        <v/>
      </c>
      <c r="S3441" s="348" t="str">
        <f t="shared" si="434"/>
        <v/>
      </c>
      <c r="T3441" s="348" t="str">
        <f t="shared" si="435"/>
        <v/>
      </c>
      <c r="U3441" s="348" t="str">
        <f t="shared" si="436"/>
        <v/>
      </c>
      <c r="V3441" s="348" t="str">
        <f t="shared" si="437"/>
        <v/>
      </c>
      <c r="W3441" s="348" t="str">
        <f t="shared" si="438"/>
        <v/>
      </c>
      <c r="X3441" s="348" t="str">
        <f t="shared" si="439"/>
        <v/>
      </c>
    </row>
    <row r="3442" spans="1:24" x14ac:dyDescent="0.2">
      <c r="A3442" s="407">
        <v>3434</v>
      </c>
      <c r="B3442" s="437"/>
      <c r="C3442" s="438"/>
      <c r="D3442" s="438"/>
      <c r="E3442" s="438"/>
      <c r="F3442" s="438"/>
      <c r="G3442" s="438"/>
      <c r="H3442" s="438"/>
      <c r="I3442" s="438"/>
      <c r="J3442" s="11"/>
      <c r="Q3442" s="348" t="str">
        <f t="shared" si="432"/>
        <v/>
      </c>
      <c r="R3442" s="348" t="str">
        <f t="shared" si="433"/>
        <v/>
      </c>
      <c r="S3442" s="348" t="str">
        <f t="shared" si="434"/>
        <v/>
      </c>
      <c r="T3442" s="348" t="str">
        <f t="shared" si="435"/>
        <v/>
      </c>
      <c r="U3442" s="348" t="str">
        <f t="shared" si="436"/>
        <v/>
      </c>
      <c r="V3442" s="348" t="str">
        <f t="shared" si="437"/>
        <v/>
      </c>
      <c r="W3442" s="348" t="str">
        <f t="shared" si="438"/>
        <v/>
      </c>
      <c r="X3442" s="348" t="str">
        <f t="shared" si="439"/>
        <v/>
      </c>
    </row>
    <row r="3443" spans="1:24" x14ac:dyDescent="0.2">
      <c r="A3443" s="407">
        <v>3435</v>
      </c>
      <c r="B3443" s="438"/>
      <c r="C3443" s="438"/>
      <c r="D3443" s="438"/>
      <c r="E3443" s="438"/>
      <c r="F3443" s="438"/>
      <c r="G3443" s="438"/>
      <c r="H3443" s="438"/>
      <c r="I3443" s="438"/>
      <c r="J3443" s="11"/>
      <c r="Q3443" s="348" t="str">
        <f t="shared" si="432"/>
        <v/>
      </c>
      <c r="R3443" s="348" t="str">
        <f t="shared" si="433"/>
        <v/>
      </c>
      <c r="S3443" s="348" t="str">
        <f t="shared" si="434"/>
        <v/>
      </c>
      <c r="T3443" s="348" t="str">
        <f t="shared" si="435"/>
        <v/>
      </c>
      <c r="U3443" s="348" t="str">
        <f t="shared" si="436"/>
        <v/>
      </c>
      <c r="V3443" s="348" t="str">
        <f t="shared" si="437"/>
        <v/>
      </c>
      <c r="W3443" s="348" t="str">
        <f t="shared" si="438"/>
        <v/>
      </c>
      <c r="X3443" s="348" t="str">
        <f t="shared" si="439"/>
        <v/>
      </c>
    </row>
    <row r="3444" spans="1:24" x14ac:dyDescent="0.2">
      <c r="A3444" s="407">
        <v>3436</v>
      </c>
      <c r="B3444" s="438"/>
      <c r="C3444" s="437"/>
      <c r="D3444" s="438"/>
      <c r="E3444" s="438"/>
      <c r="F3444" s="438"/>
      <c r="G3444" s="438"/>
      <c r="H3444" s="438"/>
      <c r="I3444" s="438"/>
      <c r="J3444" s="11"/>
      <c r="Q3444" s="348" t="str">
        <f t="shared" si="432"/>
        <v/>
      </c>
      <c r="R3444" s="348" t="str">
        <f t="shared" si="433"/>
        <v/>
      </c>
      <c r="S3444" s="348" t="str">
        <f t="shared" si="434"/>
        <v/>
      </c>
      <c r="T3444" s="348" t="str">
        <f t="shared" si="435"/>
        <v/>
      </c>
      <c r="U3444" s="348" t="str">
        <f t="shared" si="436"/>
        <v/>
      </c>
      <c r="V3444" s="348" t="str">
        <f t="shared" si="437"/>
        <v/>
      </c>
      <c r="W3444" s="348" t="str">
        <f t="shared" si="438"/>
        <v/>
      </c>
      <c r="X3444" s="348" t="str">
        <f t="shared" si="439"/>
        <v/>
      </c>
    </row>
    <row r="3445" spans="1:24" x14ac:dyDescent="0.2">
      <c r="A3445" s="407">
        <v>3437</v>
      </c>
      <c r="B3445" s="438"/>
      <c r="C3445" s="438"/>
      <c r="D3445" s="438"/>
      <c r="E3445" s="438"/>
      <c r="F3445" s="438"/>
      <c r="G3445" s="438"/>
      <c r="H3445" s="438"/>
      <c r="I3445" s="438"/>
      <c r="J3445" s="11"/>
      <c r="Q3445" s="348" t="str">
        <f t="shared" si="432"/>
        <v/>
      </c>
      <c r="R3445" s="348" t="str">
        <f t="shared" si="433"/>
        <v/>
      </c>
      <c r="S3445" s="348" t="str">
        <f t="shared" si="434"/>
        <v/>
      </c>
      <c r="T3445" s="348" t="str">
        <f t="shared" si="435"/>
        <v/>
      </c>
      <c r="U3445" s="348" t="str">
        <f t="shared" si="436"/>
        <v/>
      </c>
      <c r="V3445" s="348" t="str">
        <f t="shared" si="437"/>
        <v/>
      </c>
      <c r="W3445" s="348" t="str">
        <f t="shared" si="438"/>
        <v/>
      </c>
      <c r="X3445" s="348" t="str">
        <f t="shared" si="439"/>
        <v/>
      </c>
    </row>
    <row r="3446" spans="1:24" x14ac:dyDescent="0.2">
      <c r="A3446" s="407">
        <v>3438</v>
      </c>
      <c r="B3446" s="438"/>
      <c r="C3446" s="438"/>
      <c r="D3446" s="438"/>
      <c r="E3446" s="438"/>
      <c r="F3446" s="438"/>
      <c r="G3446" s="438"/>
      <c r="H3446" s="438"/>
      <c r="I3446" s="438"/>
      <c r="J3446" s="11"/>
      <c r="Q3446" s="348" t="str">
        <f t="shared" si="432"/>
        <v/>
      </c>
      <c r="R3446" s="348" t="str">
        <f t="shared" si="433"/>
        <v/>
      </c>
      <c r="S3446" s="348" t="str">
        <f t="shared" si="434"/>
        <v/>
      </c>
      <c r="T3446" s="348" t="str">
        <f t="shared" si="435"/>
        <v/>
      </c>
      <c r="U3446" s="348" t="str">
        <f t="shared" si="436"/>
        <v/>
      </c>
      <c r="V3446" s="348" t="str">
        <f t="shared" si="437"/>
        <v/>
      </c>
      <c r="W3446" s="348" t="str">
        <f t="shared" si="438"/>
        <v/>
      </c>
      <c r="X3446" s="348" t="str">
        <f t="shared" si="439"/>
        <v/>
      </c>
    </row>
    <row r="3447" spans="1:24" x14ac:dyDescent="0.2">
      <c r="A3447" s="407">
        <v>3439</v>
      </c>
      <c r="B3447" s="438"/>
      <c r="C3447" s="438"/>
      <c r="D3447" s="438"/>
      <c r="E3447" s="438"/>
      <c r="F3447" s="438"/>
      <c r="G3447" s="438"/>
      <c r="H3447" s="438"/>
      <c r="I3447" s="438"/>
      <c r="J3447" s="11"/>
      <c r="Q3447" s="348" t="str">
        <f t="shared" si="432"/>
        <v/>
      </c>
      <c r="R3447" s="348" t="str">
        <f t="shared" si="433"/>
        <v/>
      </c>
      <c r="S3447" s="348" t="str">
        <f t="shared" si="434"/>
        <v/>
      </c>
      <c r="T3447" s="348" t="str">
        <f t="shared" si="435"/>
        <v/>
      </c>
      <c r="U3447" s="348" t="str">
        <f t="shared" si="436"/>
        <v/>
      </c>
      <c r="V3447" s="348" t="str">
        <f t="shared" si="437"/>
        <v/>
      </c>
      <c r="W3447" s="348" t="str">
        <f t="shared" si="438"/>
        <v/>
      </c>
      <c r="X3447" s="348" t="str">
        <f t="shared" si="439"/>
        <v/>
      </c>
    </row>
    <row r="3448" spans="1:24" x14ac:dyDescent="0.2">
      <c r="A3448" s="407">
        <v>3440</v>
      </c>
      <c r="B3448" s="438"/>
      <c r="C3448" s="438"/>
      <c r="D3448" s="438"/>
      <c r="E3448" s="438"/>
      <c r="F3448" s="438"/>
      <c r="G3448" s="438"/>
      <c r="H3448" s="438"/>
      <c r="I3448" s="438"/>
      <c r="J3448" s="11"/>
      <c r="Q3448" s="348" t="str">
        <f t="shared" si="432"/>
        <v/>
      </c>
      <c r="R3448" s="348" t="str">
        <f t="shared" si="433"/>
        <v/>
      </c>
      <c r="S3448" s="348" t="str">
        <f t="shared" si="434"/>
        <v/>
      </c>
      <c r="T3448" s="348" t="str">
        <f t="shared" si="435"/>
        <v/>
      </c>
      <c r="U3448" s="348" t="str">
        <f t="shared" si="436"/>
        <v/>
      </c>
      <c r="V3448" s="348" t="str">
        <f t="shared" si="437"/>
        <v/>
      </c>
      <c r="W3448" s="348" t="str">
        <f t="shared" si="438"/>
        <v/>
      </c>
      <c r="X3448" s="348" t="str">
        <f t="shared" si="439"/>
        <v/>
      </c>
    </row>
    <row r="3449" spans="1:24" x14ac:dyDescent="0.2">
      <c r="A3449" s="407">
        <v>3441</v>
      </c>
      <c r="B3449" s="438"/>
      <c r="C3449" s="438"/>
      <c r="D3449" s="438"/>
      <c r="E3449" s="438"/>
      <c r="F3449" s="438"/>
      <c r="G3449" s="438"/>
      <c r="H3449" s="438"/>
      <c r="I3449" s="438"/>
      <c r="J3449" s="11"/>
      <c r="Q3449" s="348" t="str">
        <f t="shared" si="432"/>
        <v/>
      </c>
      <c r="R3449" s="348" t="str">
        <f t="shared" si="433"/>
        <v/>
      </c>
      <c r="S3449" s="348" t="str">
        <f t="shared" si="434"/>
        <v/>
      </c>
      <c r="T3449" s="348" t="str">
        <f t="shared" si="435"/>
        <v/>
      </c>
      <c r="U3449" s="348" t="str">
        <f t="shared" si="436"/>
        <v/>
      </c>
      <c r="V3449" s="348" t="str">
        <f t="shared" si="437"/>
        <v/>
      </c>
      <c r="W3449" s="348" t="str">
        <f t="shared" si="438"/>
        <v/>
      </c>
      <c r="X3449" s="348" t="str">
        <f t="shared" si="439"/>
        <v/>
      </c>
    </row>
    <row r="3450" spans="1:24" x14ac:dyDescent="0.2">
      <c r="A3450" s="407">
        <v>3442</v>
      </c>
      <c r="B3450" s="437"/>
      <c r="C3450" s="438"/>
      <c r="D3450" s="438"/>
      <c r="E3450" s="438"/>
      <c r="F3450" s="438"/>
      <c r="G3450" s="438"/>
      <c r="H3450" s="438"/>
      <c r="I3450" s="438"/>
      <c r="J3450" s="11"/>
      <c r="Q3450" s="348" t="str">
        <f t="shared" si="432"/>
        <v/>
      </c>
      <c r="R3450" s="348" t="str">
        <f t="shared" si="433"/>
        <v/>
      </c>
      <c r="S3450" s="348" t="str">
        <f t="shared" si="434"/>
        <v/>
      </c>
      <c r="T3450" s="348" t="str">
        <f t="shared" si="435"/>
        <v/>
      </c>
      <c r="U3450" s="348" t="str">
        <f t="shared" si="436"/>
        <v/>
      </c>
      <c r="V3450" s="348" t="str">
        <f t="shared" si="437"/>
        <v/>
      </c>
      <c r="W3450" s="348" t="str">
        <f t="shared" si="438"/>
        <v/>
      </c>
      <c r="X3450" s="348" t="str">
        <f t="shared" si="439"/>
        <v/>
      </c>
    </row>
    <row r="3451" spans="1:24" x14ac:dyDescent="0.2">
      <c r="A3451" s="407">
        <v>3443</v>
      </c>
      <c r="B3451" s="438"/>
      <c r="C3451" s="438"/>
      <c r="D3451" s="438"/>
      <c r="E3451" s="438"/>
      <c r="F3451" s="438"/>
      <c r="G3451" s="438"/>
      <c r="H3451" s="438"/>
      <c r="I3451" s="438"/>
      <c r="J3451" s="11"/>
      <c r="Q3451" s="348" t="str">
        <f t="shared" si="432"/>
        <v/>
      </c>
      <c r="R3451" s="348" t="str">
        <f t="shared" si="433"/>
        <v/>
      </c>
      <c r="S3451" s="348" t="str">
        <f t="shared" si="434"/>
        <v/>
      </c>
      <c r="T3451" s="348" t="str">
        <f t="shared" si="435"/>
        <v/>
      </c>
      <c r="U3451" s="348" t="str">
        <f t="shared" si="436"/>
        <v/>
      </c>
      <c r="V3451" s="348" t="str">
        <f t="shared" si="437"/>
        <v/>
      </c>
      <c r="W3451" s="348" t="str">
        <f t="shared" si="438"/>
        <v/>
      </c>
      <c r="X3451" s="348" t="str">
        <f t="shared" si="439"/>
        <v/>
      </c>
    </row>
    <row r="3452" spans="1:24" x14ac:dyDescent="0.2">
      <c r="A3452" s="407">
        <v>3444</v>
      </c>
      <c r="B3452" s="438"/>
      <c r="C3452" s="438"/>
      <c r="D3452" s="438"/>
      <c r="E3452" s="438"/>
      <c r="F3452" s="438"/>
      <c r="G3452" s="438"/>
      <c r="H3452" s="438"/>
      <c r="I3452" s="438"/>
      <c r="J3452" s="11"/>
      <c r="Q3452" s="348" t="str">
        <f t="shared" si="432"/>
        <v/>
      </c>
      <c r="R3452" s="348" t="str">
        <f t="shared" si="433"/>
        <v/>
      </c>
      <c r="S3452" s="348" t="str">
        <f t="shared" si="434"/>
        <v/>
      </c>
      <c r="T3452" s="348" t="str">
        <f t="shared" si="435"/>
        <v/>
      </c>
      <c r="U3452" s="348" t="str">
        <f t="shared" si="436"/>
        <v/>
      </c>
      <c r="V3452" s="348" t="str">
        <f t="shared" si="437"/>
        <v/>
      </c>
      <c r="W3452" s="348" t="str">
        <f t="shared" si="438"/>
        <v/>
      </c>
      <c r="X3452" s="348" t="str">
        <f t="shared" si="439"/>
        <v/>
      </c>
    </row>
    <row r="3453" spans="1:24" x14ac:dyDescent="0.2">
      <c r="A3453" s="407">
        <v>3445</v>
      </c>
      <c r="B3453" s="438"/>
      <c r="C3453" s="438"/>
      <c r="D3453" s="438"/>
      <c r="E3453" s="438"/>
      <c r="F3453" s="438"/>
      <c r="G3453" s="438"/>
      <c r="H3453" s="438"/>
      <c r="I3453" s="438"/>
      <c r="J3453" s="11"/>
      <c r="Q3453" s="348" t="str">
        <f t="shared" si="432"/>
        <v/>
      </c>
      <c r="R3453" s="348" t="str">
        <f t="shared" si="433"/>
        <v/>
      </c>
      <c r="S3453" s="348" t="str">
        <f t="shared" si="434"/>
        <v/>
      </c>
      <c r="T3453" s="348" t="str">
        <f t="shared" si="435"/>
        <v/>
      </c>
      <c r="U3453" s="348" t="str">
        <f t="shared" si="436"/>
        <v/>
      </c>
      <c r="V3453" s="348" t="str">
        <f t="shared" si="437"/>
        <v/>
      </c>
      <c r="W3453" s="348" t="str">
        <f t="shared" si="438"/>
        <v/>
      </c>
      <c r="X3453" s="348" t="str">
        <f t="shared" si="439"/>
        <v/>
      </c>
    </row>
    <row r="3454" spans="1:24" x14ac:dyDescent="0.2">
      <c r="A3454" s="407">
        <v>3446</v>
      </c>
      <c r="B3454" s="438"/>
      <c r="C3454" s="438"/>
      <c r="D3454" s="438"/>
      <c r="E3454" s="438"/>
      <c r="F3454" s="438"/>
      <c r="G3454" s="438"/>
      <c r="H3454" s="438"/>
      <c r="I3454" s="438"/>
      <c r="J3454" s="11"/>
      <c r="Q3454" s="348" t="str">
        <f t="shared" si="432"/>
        <v/>
      </c>
      <c r="R3454" s="348" t="str">
        <f t="shared" si="433"/>
        <v/>
      </c>
      <c r="S3454" s="348" t="str">
        <f t="shared" si="434"/>
        <v/>
      </c>
      <c r="T3454" s="348" t="str">
        <f t="shared" si="435"/>
        <v/>
      </c>
      <c r="U3454" s="348" t="str">
        <f t="shared" si="436"/>
        <v/>
      </c>
      <c r="V3454" s="348" t="str">
        <f t="shared" si="437"/>
        <v/>
      </c>
      <c r="W3454" s="348" t="str">
        <f t="shared" si="438"/>
        <v/>
      </c>
      <c r="X3454" s="348" t="str">
        <f t="shared" si="439"/>
        <v/>
      </c>
    </row>
    <row r="3455" spans="1:24" x14ac:dyDescent="0.2">
      <c r="A3455" s="407">
        <v>3447</v>
      </c>
      <c r="B3455" s="438"/>
      <c r="C3455" s="438"/>
      <c r="D3455" s="438"/>
      <c r="E3455" s="438"/>
      <c r="F3455" s="438"/>
      <c r="G3455" s="438"/>
      <c r="H3455" s="438"/>
      <c r="I3455" s="438"/>
      <c r="J3455" s="11"/>
      <c r="Q3455" s="348" t="str">
        <f t="shared" si="432"/>
        <v/>
      </c>
      <c r="R3455" s="348" t="str">
        <f t="shared" si="433"/>
        <v/>
      </c>
      <c r="S3455" s="348" t="str">
        <f t="shared" si="434"/>
        <v/>
      </c>
      <c r="T3455" s="348" t="str">
        <f t="shared" si="435"/>
        <v/>
      </c>
      <c r="U3455" s="348" t="str">
        <f t="shared" si="436"/>
        <v/>
      </c>
      <c r="V3455" s="348" t="str">
        <f t="shared" si="437"/>
        <v/>
      </c>
      <c r="W3455" s="348" t="str">
        <f t="shared" si="438"/>
        <v/>
      </c>
      <c r="X3455" s="348" t="str">
        <f t="shared" si="439"/>
        <v/>
      </c>
    </row>
    <row r="3456" spans="1:24" x14ac:dyDescent="0.2">
      <c r="A3456" s="407">
        <v>3448</v>
      </c>
      <c r="B3456" s="438"/>
      <c r="C3456" s="438"/>
      <c r="D3456" s="438"/>
      <c r="E3456" s="438"/>
      <c r="F3456" s="438"/>
      <c r="G3456" s="438"/>
      <c r="H3456" s="438"/>
      <c r="I3456" s="438"/>
      <c r="J3456" s="11"/>
      <c r="Q3456" s="348" t="str">
        <f t="shared" si="432"/>
        <v/>
      </c>
      <c r="R3456" s="348" t="str">
        <f t="shared" si="433"/>
        <v/>
      </c>
      <c r="S3456" s="348" t="str">
        <f t="shared" si="434"/>
        <v/>
      </c>
      <c r="T3456" s="348" t="str">
        <f t="shared" si="435"/>
        <v/>
      </c>
      <c r="U3456" s="348" t="str">
        <f t="shared" si="436"/>
        <v/>
      </c>
      <c r="V3456" s="348" t="str">
        <f t="shared" si="437"/>
        <v/>
      </c>
      <c r="W3456" s="348" t="str">
        <f t="shared" si="438"/>
        <v/>
      </c>
      <c r="X3456" s="348" t="str">
        <f t="shared" si="439"/>
        <v/>
      </c>
    </row>
    <row r="3457" spans="1:24" x14ac:dyDescent="0.2">
      <c r="A3457" s="407">
        <v>3449</v>
      </c>
      <c r="B3457" s="438"/>
      <c r="C3457" s="438"/>
      <c r="D3457" s="438"/>
      <c r="E3457" s="438"/>
      <c r="F3457" s="438"/>
      <c r="G3457" s="438"/>
      <c r="H3457" s="438"/>
      <c r="I3457" s="438"/>
      <c r="J3457" s="11"/>
      <c r="Q3457" s="348" t="str">
        <f t="shared" si="432"/>
        <v/>
      </c>
      <c r="R3457" s="348" t="str">
        <f t="shared" si="433"/>
        <v/>
      </c>
      <c r="S3457" s="348" t="str">
        <f t="shared" si="434"/>
        <v/>
      </c>
      <c r="T3457" s="348" t="str">
        <f t="shared" si="435"/>
        <v/>
      </c>
      <c r="U3457" s="348" t="str">
        <f t="shared" si="436"/>
        <v/>
      </c>
      <c r="V3457" s="348" t="str">
        <f t="shared" si="437"/>
        <v/>
      </c>
      <c r="W3457" s="348" t="str">
        <f t="shared" si="438"/>
        <v/>
      </c>
      <c r="X3457" s="348" t="str">
        <f t="shared" si="439"/>
        <v/>
      </c>
    </row>
    <row r="3458" spans="1:24" x14ac:dyDescent="0.2">
      <c r="A3458" s="407">
        <v>3450</v>
      </c>
      <c r="B3458" s="438"/>
      <c r="C3458" s="437"/>
      <c r="D3458" s="438"/>
      <c r="E3458" s="438"/>
      <c r="F3458" s="438"/>
      <c r="G3458" s="438"/>
      <c r="H3458" s="438"/>
      <c r="I3458" s="438"/>
      <c r="J3458" s="11"/>
      <c r="Q3458" s="348" t="str">
        <f t="shared" si="432"/>
        <v/>
      </c>
      <c r="R3458" s="348" t="str">
        <f t="shared" si="433"/>
        <v/>
      </c>
      <c r="S3458" s="348" t="str">
        <f t="shared" si="434"/>
        <v/>
      </c>
      <c r="T3458" s="348" t="str">
        <f t="shared" si="435"/>
        <v/>
      </c>
      <c r="U3458" s="348" t="str">
        <f t="shared" si="436"/>
        <v/>
      </c>
      <c r="V3458" s="348" t="str">
        <f t="shared" si="437"/>
        <v/>
      </c>
      <c r="W3458" s="348" t="str">
        <f t="shared" si="438"/>
        <v/>
      </c>
      <c r="X3458" s="348" t="str">
        <f t="shared" si="439"/>
        <v/>
      </c>
    </row>
    <row r="3459" spans="1:24" x14ac:dyDescent="0.2">
      <c r="A3459" s="407">
        <v>3451</v>
      </c>
      <c r="B3459" s="438"/>
      <c r="C3459" s="438"/>
      <c r="D3459" s="438"/>
      <c r="E3459" s="437"/>
      <c r="F3459" s="438"/>
      <c r="G3459" s="438"/>
      <c r="H3459" s="438"/>
      <c r="I3459" s="438"/>
      <c r="J3459" s="11"/>
      <c r="Q3459" s="348" t="str">
        <f t="shared" si="432"/>
        <v/>
      </c>
      <c r="R3459" s="348" t="str">
        <f t="shared" si="433"/>
        <v/>
      </c>
      <c r="S3459" s="348" t="str">
        <f t="shared" si="434"/>
        <v/>
      </c>
      <c r="T3459" s="348" t="str">
        <f t="shared" si="435"/>
        <v/>
      </c>
      <c r="U3459" s="348" t="str">
        <f t="shared" si="436"/>
        <v/>
      </c>
      <c r="V3459" s="348" t="str">
        <f t="shared" si="437"/>
        <v/>
      </c>
      <c r="W3459" s="348" t="str">
        <f t="shared" si="438"/>
        <v/>
      </c>
      <c r="X3459" s="348" t="str">
        <f t="shared" si="439"/>
        <v/>
      </c>
    </row>
    <row r="3460" spans="1:24" x14ac:dyDescent="0.2">
      <c r="A3460" s="407">
        <v>3452</v>
      </c>
      <c r="B3460" s="438"/>
      <c r="C3460" s="438"/>
      <c r="D3460" s="438"/>
      <c r="E3460" s="438"/>
      <c r="F3460" s="438"/>
      <c r="G3460" s="438"/>
      <c r="H3460" s="438"/>
      <c r="I3460" s="438"/>
      <c r="J3460" s="11"/>
      <c r="Q3460" s="348" t="str">
        <f t="shared" si="432"/>
        <v/>
      </c>
      <c r="R3460" s="348" t="str">
        <f t="shared" si="433"/>
        <v/>
      </c>
      <c r="S3460" s="348" t="str">
        <f t="shared" si="434"/>
        <v/>
      </c>
      <c r="T3460" s="348" t="str">
        <f t="shared" si="435"/>
        <v/>
      </c>
      <c r="U3460" s="348" t="str">
        <f t="shared" si="436"/>
        <v/>
      </c>
      <c r="V3460" s="348" t="str">
        <f t="shared" si="437"/>
        <v/>
      </c>
      <c r="W3460" s="348" t="str">
        <f t="shared" si="438"/>
        <v/>
      </c>
      <c r="X3460" s="348" t="str">
        <f t="shared" si="439"/>
        <v/>
      </c>
    </row>
    <row r="3461" spans="1:24" x14ac:dyDescent="0.2">
      <c r="A3461" s="407">
        <v>3453</v>
      </c>
      <c r="B3461" s="438"/>
      <c r="C3461" s="438"/>
      <c r="D3461" s="438"/>
      <c r="E3461" s="438"/>
      <c r="F3461" s="438"/>
      <c r="G3461" s="438"/>
      <c r="H3461" s="438"/>
      <c r="I3461" s="438"/>
      <c r="J3461" s="11"/>
      <c r="Q3461" s="348" t="str">
        <f t="shared" si="432"/>
        <v/>
      </c>
      <c r="R3461" s="348" t="str">
        <f t="shared" si="433"/>
        <v/>
      </c>
      <c r="S3461" s="348" t="str">
        <f t="shared" si="434"/>
        <v/>
      </c>
      <c r="T3461" s="348" t="str">
        <f t="shared" si="435"/>
        <v/>
      </c>
      <c r="U3461" s="348" t="str">
        <f t="shared" si="436"/>
        <v/>
      </c>
      <c r="V3461" s="348" t="str">
        <f t="shared" si="437"/>
        <v/>
      </c>
      <c r="W3461" s="348" t="str">
        <f t="shared" si="438"/>
        <v/>
      </c>
      <c r="X3461" s="348" t="str">
        <f t="shared" si="439"/>
        <v/>
      </c>
    </row>
    <row r="3462" spans="1:24" x14ac:dyDescent="0.2">
      <c r="A3462" s="407">
        <v>3454</v>
      </c>
      <c r="B3462" s="438"/>
      <c r="C3462" s="438"/>
      <c r="D3462" s="438"/>
      <c r="E3462" s="438"/>
      <c r="F3462" s="438"/>
      <c r="G3462" s="438"/>
      <c r="H3462" s="438"/>
      <c r="I3462" s="438"/>
      <c r="J3462" s="11"/>
      <c r="Q3462" s="348" t="str">
        <f t="shared" si="432"/>
        <v/>
      </c>
      <c r="R3462" s="348" t="str">
        <f t="shared" si="433"/>
        <v/>
      </c>
      <c r="S3462" s="348" t="str">
        <f t="shared" si="434"/>
        <v/>
      </c>
      <c r="T3462" s="348" t="str">
        <f t="shared" si="435"/>
        <v/>
      </c>
      <c r="U3462" s="348" t="str">
        <f t="shared" si="436"/>
        <v/>
      </c>
      <c r="V3462" s="348" t="str">
        <f t="shared" si="437"/>
        <v/>
      </c>
      <c r="W3462" s="348" t="str">
        <f t="shared" si="438"/>
        <v/>
      </c>
      <c r="X3462" s="348" t="str">
        <f t="shared" si="439"/>
        <v/>
      </c>
    </row>
    <row r="3463" spans="1:24" x14ac:dyDescent="0.2">
      <c r="A3463" s="407">
        <v>3455</v>
      </c>
      <c r="B3463" s="438"/>
      <c r="C3463" s="438"/>
      <c r="D3463" s="438"/>
      <c r="E3463" s="438"/>
      <c r="F3463" s="438"/>
      <c r="G3463" s="438"/>
      <c r="H3463" s="438"/>
      <c r="I3463" s="438"/>
      <c r="J3463" s="11"/>
      <c r="Q3463" s="348" t="str">
        <f t="shared" si="432"/>
        <v/>
      </c>
      <c r="R3463" s="348" t="str">
        <f t="shared" si="433"/>
        <v/>
      </c>
      <c r="S3463" s="348" t="str">
        <f t="shared" si="434"/>
        <v/>
      </c>
      <c r="T3463" s="348" t="str">
        <f t="shared" si="435"/>
        <v/>
      </c>
      <c r="U3463" s="348" t="str">
        <f t="shared" si="436"/>
        <v/>
      </c>
      <c r="V3463" s="348" t="str">
        <f t="shared" si="437"/>
        <v/>
      </c>
      <c r="W3463" s="348" t="str">
        <f t="shared" si="438"/>
        <v/>
      </c>
      <c r="X3463" s="348" t="str">
        <f t="shared" si="439"/>
        <v/>
      </c>
    </row>
    <row r="3464" spans="1:24" x14ac:dyDescent="0.2">
      <c r="A3464" s="407">
        <v>3456</v>
      </c>
      <c r="B3464" s="437"/>
      <c r="C3464" s="438"/>
      <c r="D3464" s="438"/>
      <c r="E3464" s="438"/>
      <c r="F3464" s="438"/>
      <c r="G3464" s="438"/>
      <c r="H3464" s="438"/>
      <c r="I3464" s="438"/>
      <c r="J3464" s="11"/>
      <c r="Q3464" s="348" t="str">
        <f t="shared" si="432"/>
        <v/>
      </c>
      <c r="R3464" s="348" t="str">
        <f t="shared" si="433"/>
        <v/>
      </c>
      <c r="S3464" s="348" t="str">
        <f t="shared" si="434"/>
        <v/>
      </c>
      <c r="T3464" s="348" t="str">
        <f t="shared" si="435"/>
        <v/>
      </c>
      <c r="U3464" s="348" t="str">
        <f t="shared" si="436"/>
        <v/>
      </c>
      <c r="V3464" s="348" t="str">
        <f t="shared" si="437"/>
        <v/>
      </c>
      <c r="W3464" s="348" t="str">
        <f t="shared" si="438"/>
        <v/>
      </c>
      <c r="X3464" s="348" t="str">
        <f t="shared" si="439"/>
        <v/>
      </c>
    </row>
    <row r="3465" spans="1:24" x14ac:dyDescent="0.2">
      <c r="A3465" s="407">
        <v>3457</v>
      </c>
      <c r="B3465" s="438"/>
      <c r="C3465" s="438"/>
      <c r="D3465" s="438"/>
      <c r="E3465" s="438"/>
      <c r="F3465" s="438"/>
      <c r="G3465" s="438"/>
      <c r="H3465" s="438"/>
      <c r="I3465" s="438"/>
      <c r="J3465" s="11"/>
      <c r="Q3465" s="348" t="str">
        <f t="shared" si="432"/>
        <v/>
      </c>
      <c r="R3465" s="348" t="str">
        <f t="shared" si="433"/>
        <v/>
      </c>
      <c r="S3465" s="348" t="str">
        <f t="shared" si="434"/>
        <v/>
      </c>
      <c r="T3465" s="348" t="str">
        <f t="shared" si="435"/>
        <v/>
      </c>
      <c r="U3465" s="348" t="str">
        <f t="shared" si="436"/>
        <v/>
      </c>
      <c r="V3465" s="348" t="str">
        <f t="shared" si="437"/>
        <v/>
      </c>
      <c r="W3465" s="348" t="str">
        <f t="shared" si="438"/>
        <v/>
      </c>
      <c r="X3465" s="348" t="str">
        <f t="shared" si="439"/>
        <v/>
      </c>
    </row>
    <row r="3466" spans="1:24" x14ac:dyDescent="0.2">
      <c r="A3466" s="407">
        <v>3458</v>
      </c>
      <c r="B3466" s="438"/>
      <c r="C3466" s="438"/>
      <c r="D3466" s="437"/>
      <c r="E3466" s="438"/>
      <c r="F3466" s="438"/>
      <c r="G3466" s="438"/>
      <c r="H3466" s="438"/>
      <c r="I3466" s="438"/>
      <c r="J3466" s="11"/>
      <c r="Q3466" s="348" t="str">
        <f t="shared" ref="Q3466:Q3529" si="440">IFERROR(B3466^4*$AB$9+B3466^3*$AC$9+B3466^2*$AD$9+B3466^1*$AE$9+B3466^0*$AF$9,"")</f>
        <v/>
      </c>
      <c r="R3466" s="348" t="str">
        <f t="shared" ref="R3466:R3529" si="441">IFERROR(C3466^4*$AB$10+C3466^3*$AC$10+C3466^2*$AD$10+C3466^1*$AE$10+C3466^0*$AF$10,"")</f>
        <v/>
      </c>
      <c r="S3466" s="348" t="str">
        <f t="shared" ref="S3466:S3529" si="442">IFERROR(D3466^4*$AB$11+D3466^3*$AC$11+D3466^2*$AD$11+D3466^1*$AE$11+D3466^0*$AF$11,"")</f>
        <v/>
      </c>
      <c r="T3466" s="348" t="str">
        <f t="shared" ref="T3466:T3529" si="443">IFERROR(E3466^4*$AB$12+E3466^3*$AC$12+E3466^2*$AD$12+E3466^1*$AE$12+E3466^0*$AF$12,"")</f>
        <v/>
      </c>
      <c r="U3466" s="348" t="str">
        <f t="shared" ref="U3466:U3529" si="444">IFERROR(F3466^4*$AB$13+F3466^3*$AC$13+F3466^2*$AD$13+F3466^1*$AE$13+F3466^0*$AF$13,"")</f>
        <v/>
      </c>
      <c r="V3466" s="348" t="str">
        <f t="shared" ref="V3466:V3529" si="445">IFERROR(G3466^4*$AB$14+G3466^3*$AC$14+G3466^2*$AD$14+G3466^1*$AE$14+G3466^0*$AF$14,"")</f>
        <v/>
      </c>
      <c r="W3466" s="348" t="str">
        <f t="shared" ref="W3466:W3529" si="446">IFERROR(H3466^4*$AB$15+H3466^3*$AC$15+H3466^2*$AD$15+H3466^1*$AE$15+H3466^0*$AF$15,"")</f>
        <v/>
      </c>
      <c r="X3466" s="348" t="str">
        <f t="shared" ref="X3466:X3529" si="447">IFERROR(I3466^4*$AB$16+I3466^3*$AC$16+I3466^2*$AD$16+I3466^1*$AE$16+I3466^0*$AF$16,"")</f>
        <v/>
      </c>
    </row>
    <row r="3467" spans="1:24" x14ac:dyDescent="0.2">
      <c r="A3467" s="407">
        <v>3459</v>
      </c>
      <c r="B3467" s="438"/>
      <c r="C3467" s="438"/>
      <c r="D3467" s="438"/>
      <c r="E3467" s="438"/>
      <c r="F3467" s="438"/>
      <c r="G3467" s="438"/>
      <c r="H3467" s="438"/>
      <c r="I3467" s="438"/>
      <c r="J3467" s="11"/>
      <c r="Q3467" s="348" t="str">
        <f t="shared" si="440"/>
        <v/>
      </c>
      <c r="R3467" s="348" t="str">
        <f t="shared" si="441"/>
        <v/>
      </c>
      <c r="S3467" s="348" t="str">
        <f t="shared" si="442"/>
        <v/>
      </c>
      <c r="T3467" s="348" t="str">
        <f t="shared" si="443"/>
        <v/>
      </c>
      <c r="U3467" s="348" t="str">
        <f t="shared" si="444"/>
        <v/>
      </c>
      <c r="V3467" s="348" t="str">
        <f t="shared" si="445"/>
        <v/>
      </c>
      <c r="W3467" s="348" t="str">
        <f t="shared" si="446"/>
        <v/>
      </c>
      <c r="X3467" s="348" t="str">
        <f t="shared" si="447"/>
        <v/>
      </c>
    </row>
    <row r="3468" spans="1:24" x14ac:dyDescent="0.2">
      <c r="A3468" s="407">
        <v>3460</v>
      </c>
      <c r="B3468" s="438"/>
      <c r="C3468" s="438"/>
      <c r="D3468" s="438"/>
      <c r="E3468" s="438"/>
      <c r="F3468" s="438"/>
      <c r="G3468" s="438"/>
      <c r="H3468" s="438"/>
      <c r="I3468" s="438"/>
      <c r="J3468" s="11"/>
      <c r="Q3468" s="348" t="str">
        <f t="shared" si="440"/>
        <v/>
      </c>
      <c r="R3468" s="348" t="str">
        <f t="shared" si="441"/>
        <v/>
      </c>
      <c r="S3468" s="348" t="str">
        <f t="shared" si="442"/>
        <v/>
      </c>
      <c r="T3468" s="348" t="str">
        <f t="shared" si="443"/>
        <v/>
      </c>
      <c r="U3468" s="348" t="str">
        <f t="shared" si="444"/>
        <v/>
      </c>
      <c r="V3468" s="348" t="str">
        <f t="shared" si="445"/>
        <v/>
      </c>
      <c r="W3468" s="348" t="str">
        <f t="shared" si="446"/>
        <v/>
      </c>
      <c r="X3468" s="348" t="str">
        <f t="shared" si="447"/>
        <v/>
      </c>
    </row>
    <row r="3469" spans="1:24" x14ac:dyDescent="0.2">
      <c r="A3469" s="407">
        <v>3461</v>
      </c>
      <c r="B3469" s="438"/>
      <c r="C3469" s="438"/>
      <c r="D3469" s="438"/>
      <c r="E3469" s="438"/>
      <c r="F3469" s="438"/>
      <c r="G3469" s="438"/>
      <c r="H3469" s="438"/>
      <c r="I3469" s="438"/>
      <c r="J3469" s="11"/>
      <c r="Q3469" s="348" t="str">
        <f t="shared" si="440"/>
        <v/>
      </c>
      <c r="R3469" s="348" t="str">
        <f t="shared" si="441"/>
        <v/>
      </c>
      <c r="S3469" s="348" t="str">
        <f t="shared" si="442"/>
        <v/>
      </c>
      <c r="T3469" s="348" t="str">
        <f t="shared" si="443"/>
        <v/>
      </c>
      <c r="U3469" s="348" t="str">
        <f t="shared" si="444"/>
        <v/>
      </c>
      <c r="V3469" s="348" t="str">
        <f t="shared" si="445"/>
        <v/>
      </c>
      <c r="W3469" s="348" t="str">
        <f t="shared" si="446"/>
        <v/>
      </c>
      <c r="X3469" s="348" t="str">
        <f t="shared" si="447"/>
        <v/>
      </c>
    </row>
    <row r="3470" spans="1:24" x14ac:dyDescent="0.2">
      <c r="A3470" s="407">
        <v>3462</v>
      </c>
      <c r="B3470" s="438"/>
      <c r="C3470" s="438"/>
      <c r="D3470" s="438"/>
      <c r="E3470" s="438"/>
      <c r="F3470" s="438"/>
      <c r="G3470" s="437"/>
      <c r="H3470" s="438"/>
      <c r="I3470" s="438"/>
      <c r="J3470" s="11"/>
      <c r="Q3470" s="348" t="str">
        <f t="shared" si="440"/>
        <v/>
      </c>
      <c r="R3470" s="348" t="str">
        <f t="shared" si="441"/>
        <v/>
      </c>
      <c r="S3470" s="348" t="str">
        <f t="shared" si="442"/>
        <v/>
      </c>
      <c r="T3470" s="348" t="str">
        <f t="shared" si="443"/>
        <v/>
      </c>
      <c r="U3470" s="348" t="str">
        <f t="shared" si="444"/>
        <v/>
      </c>
      <c r="V3470" s="348" t="str">
        <f t="shared" si="445"/>
        <v/>
      </c>
      <c r="W3470" s="348" t="str">
        <f t="shared" si="446"/>
        <v/>
      </c>
      <c r="X3470" s="348" t="str">
        <f t="shared" si="447"/>
        <v/>
      </c>
    </row>
    <row r="3471" spans="1:24" x14ac:dyDescent="0.2">
      <c r="A3471" s="407">
        <v>3463</v>
      </c>
      <c r="B3471" s="438"/>
      <c r="C3471" s="438"/>
      <c r="D3471" s="438"/>
      <c r="E3471" s="438"/>
      <c r="F3471" s="438"/>
      <c r="G3471" s="438"/>
      <c r="H3471" s="438"/>
      <c r="I3471" s="438"/>
      <c r="J3471" s="11"/>
      <c r="Q3471" s="348" t="str">
        <f t="shared" si="440"/>
        <v/>
      </c>
      <c r="R3471" s="348" t="str">
        <f t="shared" si="441"/>
        <v/>
      </c>
      <c r="S3471" s="348" t="str">
        <f t="shared" si="442"/>
        <v/>
      </c>
      <c r="T3471" s="348" t="str">
        <f t="shared" si="443"/>
        <v/>
      </c>
      <c r="U3471" s="348" t="str">
        <f t="shared" si="444"/>
        <v/>
      </c>
      <c r="V3471" s="348" t="str">
        <f t="shared" si="445"/>
        <v/>
      </c>
      <c r="W3471" s="348" t="str">
        <f t="shared" si="446"/>
        <v/>
      </c>
      <c r="X3471" s="348" t="str">
        <f t="shared" si="447"/>
        <v/>
      </c>
    </row>
    <row r="3472" spans="1:24" x14ac:dyDescent="0.2">
      <c r="A3472" s="407">
        <v>3464</v>
      </c>
      <c r="B3472" s="438"/>
      <c r="C3472" s="437"/>
      <c r="D3472" s="438"/>
      <c r="E3472" s="438"/>
      <c r="F3472" s="437"/>
      <c r="G3472" s="438"/>
      <c r="H3472" s="437"/>
      <c r="I3472" s="438"/>
      <c r="J3472" s="11"/>
      <c r="Q3472" s="348" t="str">
        <f t="shared" si="440"/>
        <v/>
      </c>
      <c r="R3472" s="348" t="str">
        <f t="shared" si="441"/>
        <v/>
      </c>
      <c r="S3472" s="348" t="str">
        <f t="shared" si="442"/>
        <v/>
      </c>
      <c r="T3472" s="348" t="str">
        <f t="shared" si="443"/>
        <v/>
      </c>
      <c r="U3472" s="348" t="str">
        <f t="shared" si="444"/>
        <v/>
      </c>
      <c r="V3472" s="348" t="str">
        <f t="shared" si="445"/>
        <v/>
      </c>
      <c r="W3472" s="348" t="str">
        <f t="shared" si="446"/>
        <v/>
      </c>
      <c r="X3472" s="348" t="str">
        <f t="shared" si="447"/>
        <v/>
      </c>
    </row>
    <row r="3473" spans="1:24" x14ac:dyDescent="0.2">
      <c r="A3473" s="407">
        <v>3465</v>
      </c>
      <c r="B3473" s="438"/>
      <c r="C3473" s="438"/>
      <c r="D3473" s="438"/>
      <c r="E3473" s="438"/>
      <c r="F3473" s="438"/>
      <c r="G3473" s="438"/>
      <c r="H3473" s="438"/>
      <c r="I3473" s="437"/>
      <c r="J3473" s="11"/>
      <c r="Q3473" s="348" t="str">
        <f t="shared" si="440"/>
        <v/>
      </c>
      <c r="R3473" s="348" t="str">
        <f t="shared" si="441"/>
        <v/>
      </c>
      <c r="S3473" s="348" t="str">
        <f t="shared" si="442"/>
        <v/>
      </c>
      <c r="T3473" s="348" t="str">
        <f t="shared" si="443"/>
        <v/>
      </c>
      <c r="U3473" s="348" t="str">
        <f t="shared" si="444"/>
        <v/>
      </c>
      <c r="V3473" s="348" t="str">
        <f t="shared" si="445"/>
        <v/>
      </c>
      <c r="W3473" s="348" t="str">
        <f t="shared" si="446"/>
        <v/>
      </c>
      <c r="X3473" s="348" t="str">
        <f t="shared" si="447"/>
        <v/>
      </c>
    </row>
    <row r="3474" spans="1:24" x14ac:dyDescent="0.2">
      <c r="A3474" s="407">
        <v>3466</v>
      </c>
      <c r="B3474" s="438"/>
      <c r="C3474" s="438"/>
      <c r="D3474" s="438"/>
      <c r="E3474" s="438"/>
      <c r="F3474" s="438"/>
      <c r="G3474" s="438"/>
      <c r="H3474" s="438"/>
      <c r="I3474" s="438"/>
      <c r="J3474" s="11"/>
      <c r="Q3474" s="348" t="str">
        <f t="shared" si="440"/>
        <v/>
      </c>
      <c r="R3474" s="348" t="str">
        <f t="shared" si="441"/>
        <v/>
      </c>
      <c r="S3474" s="348" t="str">
        <f t="shared" si="442"/>
        <v/>
      </c>
      <c r="T3474" s="348" t="str">
        <f t="shared" si="443"/>
        <v/>
      </c>
      <c r="U3474" s="348" t="str">
        <f t="shared" si="444"/>
        <v/>
      </c>
      <c r="V3474" s="348" t="str">
        <f t="shared" si="445"/>
        <v/>
      </c>
      <c r="W3474" s="348" t="str">
        <f t="shared" si="446"/>
        <v/>
      </c>
      <c r="X3474" s="348" t="str">
        <f t="shared" si="447"/>
        <v/>
      </c>
    </row>
    <row r="3475" spans="1:24" x14ac:dyDescent="0.2">
      <c r="A3475" s="407">
        <v>3467</v>
      </c>
      <c r="B3475" s="438"/>
      <c r="C3475" s="438"/>
      <c r="D3475" s="438"/>
      <c r="E3475" s="438"/>
      <c r="F3475" s="438"/>
      <c r="G3475" s="438"/>
      <c r="H3475" s="438"/>
      <c r="I3475" s="438"/>
      <c r="J3475" s="11"/>
      <c r="Q3475" s="348" t="str">
        <f t="shared" si="440"/>
        <v/>
      </c>
      <c r="R3475" s="348" t="str">
        <f t="shared" si="441"/>
        <v/>
      </c>
      <c r="S3475" s="348" t="str">
        <f t="shared" si="442"/>
        <v/>
      </c>
      <c r="T3475" s="348" t="str">
        <f t="shared" si="443"/>
        <v/>
      </c>
      <c r="U3475" s="348" t="str">
        <f t="shared" si="444"/>
        <v/>
      </c>
      <c r="V3475" s="348" t="str">
        <f t="shared" si="445"/>
        <v/>
      </c>
      <c r="W3475" s="348" t="str">
        <f t="shared" si="446"/>
        <v/>
      </c>
      <c r="X3475" s="348" t="str">
        <f t="shared" si="447"/>
        <v/>
      </c>
    </row>
    <row r="3476" spans="1:24" x14ac:dyDescent="0.2">
      <c r="A3476" s="407">
        <v>3468</v>
      </c>
      <c r="B3476" s="438"/>
      <c r="C3476" s="438"/>
      <c r="D3476" s="438"/>
      <c r="E3476" s="438"/>
      <c r="F3476" s="438"/>
      <c r="G3476" s="438"/>
      <c r="H3476" s="438"/>
      <c r="I3476" s="438"/>
      <c r="J3476" s="11"/>
      <c r="Q3476" s="348" t="str">
        <f t="shared" si="440"/>
        <v/>
      </c>
      <c r="R3476" s="348" t="str">
        <f t="shared" si="441"/>
        <v/>
      </c>
      <c r="S3476" s="348" t="str">
        <f t="shared" si="442"/>
        <v/>
      </c>
      <c r="T3476" s="348" t="str">
        <f t="shared" si="443"/>
        <v/>
      </c>
      <c r="U3476" s="348" t="str">
        <f t="shared" si="444"/>
        <v/>
      </c>
      <c r="V3476" s="348" t="str">
        <f t="shared" si="445"/>
        <v/>
      </c>
      <c r="W3476" s="348" t="str">
        <f t="shared" si="446"/>
        <v/>
      </c>
      <c r="X3476" s="348" t="str">
        <f t="shared" si="447"/>
        <v/>
      </c>
    </row>
    <row r="3477" spans="1:24" x14ac:dyDescent="0.2">
      <c r="A3477" s="407">
        <v>3469</v>
      </c>
      <c r="B3477" s="438"/>
      <c r="C3477" s="438"/>
      <c r="D3477" s="438"/>
      <c r="E3477" s="437"/>
      <c r="F3477" s="438"/>
      <c r="G3477" s="438"/>
      <c r="H3477" s="438"/>
      <c r="I3477" s="438"/>
      <c r="J3477" s="11"/>
      <c r="Q3477" s="348" t="str">
        <f t="shared" si="440"/>
        <v/>
      </c>
      <c r="R3477" s="348" t="str">
        <f t="shared" si="441"/>
        <v/>
      </c>
      <c r="S3477" s="348" t="str">
        <f t="shared" si="442"/>
        <v/>
      </c>
      <c r="T3477" s="348" t="str">
        <f t="shared" si="443"/>
        <v/>
      </c>
      <c r="U3477" s="348" t="str">
        <f t="shared" si="444"/>
        <v/>
      </c>
      <c r="V3477" s="348" t="str">
        <f t="shared" si="445"/>
        <v/>
      </c>
      <c r="W3477" s="348" t="str">
        <f t="shared" si="446"/>
        <v/>
      </c>
      <c r="X3477" s="348" t="str">
        <f t="shared" si="447"/>
        <v/>
      </c>
    </row>
    <row r="3478" spans="1:24" x14ac:dyDescent="0.2">
      <c r="A3478" s="407">
        <v>3470</v>
      </c>
      <c r="B3478" s="438"/>
      <c r="C3478" s="438"/>
      <c r="D3478" s="438"/>
      <c r="E3478" s="438"/>
      <c r="F3478" s="438"/>
      <c r="G3478" s="438"/>
      <c r="H3478" s="438"/>
      <c r="I3478" s="438"/>
      <c r="J3478" s="11"/>
      <c r="Q3478" s="348" t="str">
        <f t="shared" si="440"/>
        <v/>
      </c>
      <c r="R3478" s="348" t="str">
        <f t="shared" si="441"/>
        <v/>
      </c>
      <c r="S3478" s="348" t="str">
        <f t="shared" si="442"/>
        <v/>
      </c>
      <c r="T3478" s="348" t="str">
        <f t="shared" si="443"/>
        <v/>
      </c>
      <c r="U3478" s="348" t="str">
        <f t="shared" si="444"/>
        <v/>
      </c>
      <c r="V3478" s="348" t="str">
        <f t="shared" si="445"/>
        <v/>
      </c>
      <c r="W3478" s="348" t="str">
        <f t="shared" si="446"/>
        <v/>
      </c>
      <c r="X3478" s="348" t="str">
        <f t="shared" si="447"/>
        <v/>
      </c>
    </row>
    <row r="3479" spans="1:24" x14ac:dyDescent="0.2">
      <c r="A3479" s="407">
        <v>3471</v>
      </c>
      <c r="B3479" s="438"/>
      <c r="C3479" s="438"/>
      <c r="D3479" s="438"/>
      <c r="E3479" s="438"/>
      <c r="F3479" s="438"/>
      <c r="G3479" s="438"/>
      <c r="H3479" s="438"/>
      <c r="I3479" s="438"/>
      <c r="J3479" s="11"/>
      <c r="Q3479" s="348" t="str">
        <f t="shared" si="440"/>
        <v/>
      </c>
      <c r="R3479" s="348" t="str">
        <f t="shared" si="441"/>
        <v/>
      </c>
      <c r="S3479" s="348" t="str">
        <f t="shared" si="442"/>
        <v/>
      </c>
      <c r="T3479" s="348" t="str">
        <f t="shared" si="443"/>
        <v/>
      </c>
      <c r="U3479" s="348" t="str">
        <f t="shared" si="444"/>
        <v/>
      </c>
      <c r="V3479" s="348" t="str">
        <f t="shared" si="445"/>
        <v/>
      </c>
      <c r="W3479" s="348" t="str">
        <f t="shared" si="446"/>
        <v/>
      </c>
      <c r="X3479" s="348" t="str">
        <f t="shared" si="447"/>
        <v/>
      </c>
    </row>
    <row r="3480" spans="1:24" x14ac:dyDescent="0.2">
      <c r="A3480" s="407">
        <v>3472</v>
      </c>
      <c r="B3480" s="438"/>
      <c r="C3480" s="438"/>
      <c r="D3480" s="438"/>
      <c r="E3480" s="438"/>
      <c r="F3480" s="438"/>
      <c r="G3480" s="438"/>
      <c r="H3480" s="438"/>
      <c r="I3480" s="438"/>
      <c r="J3480" s="11"/>
      <c r="Q3480" s="348" t="str">
        <f t="shared" si="440"/>
        <v/>
      </c>
      <c r="R3480" s="348" t="str">
        <f t="shared" si="441"/>
        <v/>
      </c>
      <c r="S3480" s="348" t="str">
        <f t="shared" si="442"/>
        <v/>
      </c>
      <c r="T3480" s="348" t="str">
        <f t="shared" si="443"/>
        <v/>
      </c>
      <c r="U3480" s="348" t="str">
        <f t="shared" si="444"/>
        <v/>
      </c>
      <c r="V3480" s="348" t="str">
        <f t="shared" si="445"/>
        <v/>
      </c>
      <c r="W3480" s="348" t="str">
        <f t="shared" si="446"/>
        <v/>
      </c>
      <c r="X3480" s="348" t="str">
        <f t="shared" si="447"/>
        <v/>
      </c>
    </row>
    <row r="3481" spans="1:24" x14ac:dyDescent="0.2">
      <c r="A3481" s="407">
        <v>3473</v>
      </c>
      <c r="B3481" s="438"/>
      <c r="C3481" s="438"/>
      <c r="D3481" s="438"/>
      <c r="E3481" s="438"/>
      <c r="F3481" s="438"/>
      <c r="G3481" s="438"/>
      <c r="H3481" s="438"/>
      <c r="I3481" s="438"/>
      <c r="J3481" s="11"/>
      <c r="Q3481" s="348" t="str">
        <f t="shared" si="440"/>
        <v/>
      </c>
      <c r="R3481" s="348" t="str">
        <f t="shared" si="441"/>
        <v/>
      </c>
      <c r="S3481" s="348" t="str">
        <f t="shared" si="442"/>
        <v/>
      </c>
      <c r="T3481" s="348" t="str">
        <f t="shared" si="443"/>
        <v/>
      </c>
      <c r="U3481" s="348" t="str">
        <f t="shared" si="444"/>
        <v/>
      </c>
      <c r="V3481" s="348" t="str">
        <f t="shared" si="445"/>
        <v/>
      </c>
      <c r="W3481" s="348" t="str">
        <f t="shared" si="446"/>
        <v/>
      </c>
      <c r="X3481" s="348" t="str">
        <f t="shared" si="447"/>
        <v/>
      </c>
    </row>
    <row r="3482" spans="1:24" x14ac:dyDescent="0.2">
      <c r="A3482" s="407">
        <v>3474</v>
      </c>
      <c r="B3482" s="438"/>
      <c r="C3482" s="438"/>
      <c r="D3482" s="438"/>
      <c r="E3482" s="438"/>
      <c r="F3482" s="438"/>
      <c r="G3482" s="438"/>
      <c r="H3482" s="438"/>
      <c r="I3482" s="438"/>
      <c r="J3482" s="11"/>
      <c r="Q3482" s="348" t="str">
        <f t="shared" si="440"/>
        <v/>
      </c>
      <c r="R3482" s="348" t="str">
        <f t="shared" si="441"/>
        <v/>
      </c>
      <c r="S3482" s="348" t="str">
        <f t="shared" si="442"/>
        <v/>
      </c>
      <c r="T3482" s="348" t="str">
        <f t="shared" si="443"/>
        <v/>
      </c>
      <c r="U3482" s="348" t="str">
        <f t="shared" si="444"/>
        <v/>
      </c>
      <c r="V3482" s="348" t="str">
        <f t="shared" si="445"/>
        <v/>
      </c>
      <c r="W3482" s="348" t="str">
        <f t="shared" si="446"/>
        <v/>
      </c>
      <c r="X3482" s="348" t="str">
        <f t="shared" si="447"/>
        <v/>
      </c>
    </row>
    <row r="3483" spans="1:24" x14ac:dyDescent="0.2">
      <c r="A3483" s="407">
        <v>3475</v>
      </c>
      <c r="B3483" s="437"/>
      <c r="C3483" s="438"/>
      <c r="D3483" s="438"/>
      <c r="E3483" s="438"/>
      <c r="F3483" s="438"/>
      <c r="G3483" s="438"/>
      <c r="H3483" s="438"/>
      <c r="I3483" s="438"/>
      <c r="J3483" s="11"/>
      <c r="Q3483" s="348" t="str">
        <f t="shared" si="440"/>
        <v/>
      </c>
      <c r="R3483" s="348" t="str">
        <f t="shared" si="441"/>
        <v/>
      </c>
      <c r="S3483" s="348" t="str">
        <f t="shared" si="442"/>
        <v/>
      </c>
      <c r="T3483" s="348" t="str">
        <f t="shared" si="443"/>
        <v/>
      </c>
      <c r="U3483" s="348" t="str">
        <f t="shared" si="444"/>
        <v/>
      </c>
      <c r="V3483" s="348" t="str">
        <f t="shared" si="445"/>
        <v/>
      </c>
      <c r="W3483" s="348" t="str">
        <f t="shared" si="446"/>
        <v/>
      </c>
      <c r="X3483" s="348" t="str">
        <f t="shared" si="447"/>
        <v/>
      </c>
    </row>
    <row r="3484" spans="1:24" x14ac:dyDescent="0.2">
      <c r="A3484" s="407">
        <v>3476</v>
      </c>
      <c r="B3484" s="438"/>
      <c r="C3484" s="438"/>
      <c r="D3484" s="438"/>
      <c r="E3484" s="438"/>
      <c r="F3484" s="438"/>
      <c r="G3484" s="438"/>
      <c r="H3484" s="438"/>
      <c r="I3484" s="438"/>
      <c r="J3484" s="11"/>
      <c r="Q3484" s="348" t="str">
        <f t="shared" si="440"/>
        <v/>
      </c>
      <c r="R3484" s="348" t="str">
        <f t="shared" si="441"/>
        <v/>
      </c>
      <c r="S3484" s="348" t="str">
        <f t="shared" si="442"/>
        <v/>
      </c>
      <c r="T3484" s="348" t="str">
        <f t="shared" si="443"/>
        <v/>
      </c>
      <c r="U3484" s="348" t="str">
        <f t="shared" si="444"/>
        <v/>
      </c>
      <c r="V3484" s="348" t="str">
        <f t="shared" si="445"/>
        <v/>
      </c>
      <c r="W3484" s="348" t="str">
        <f t="shared" si="446"/>
        <v/>
      </c>
      <c r="X3484" s="348" t="str">
        <f t="shared" si="447"/>
        <v/>
      </c>
    </row>
    <row r="3485" spans="1:24" x14ac:dyDescent="0.2">
      <c r="A3485" s="407">
        <v>3477</v>
      </c>
      <c r="B3485" s="438"/>
      <c r="C3485" s="438"/>
      <c r="D3485" s="438"/>
      <c r="E3485" s="438"/>
      <c r="F3485" s="438"/>
      <c r="G3485" s="438"/>
      <c r="H3485" s="438"/>
      <c r="I3485" s="438"/>
      <c r="J3485" s="11"/>
      <c r="Q3485" s="348" t="str">
        <f t="shared" si="440"/>
        <v/>
      </c>
      <c r="R3485" s="348" t="str">
        <f t="shared" si="441"/>
        <v/>
      </c>
      <c r="S3485" s="348" t="str">
        <f t="shared" si="442"/>
        <v/>
      </c>
      <c r="T3485" s="348" t="str">
        <f t="shared" si="443"/>
        <v/>
      </c>
      <c r="U3485" s="348" t="str">
        <f t="shared" si="444"/>
        <v/>
      </c>
      <c r="V3485" s="348" t="str">
        <f t="shared" si="445"/>
        <v/>
      </c>
      <c r="W3485" s="348" t="str">
        <f t="shared" si="446"/>
        <v/>
      </c>
      <c r="X3485" s="348" t="str">
        <f t="shared" si="447"/>
        <v/>
      </c>
    </row>
    <row r="3486" spans="1:24" x14ac:dyDescent="0.2">
      <c r="A3486" s="407">
        <v>3478</v>
      </c>
      <c r="B3486" s="438"/>
      <c r="C3486" s="438"/>
      <c r="D3486" s="438"/>
      <c r="E3486" s="438"/>
      <c r="F3486" s="438"/>
      <c r="G3486" s="438"/>
      <c r="H3486" s="438"/>
      <c r="I3486" s="438"/>
      <c r="J3486" s="11"/>
      <c r="Q3486" s="348" t="str">
        <f t="shared" si="440"/>
        <v/>
      </c>
      <c r="R3486" s="348" t="str">
        <f t="shared" si="441"/>
        <v/>
      </c>
      <c r="S3486" s="348" t="str">
        <f t="shared" si="442"/>
        <v/>
      </c>
      <c r="T3486" s="348" t="str">
        <f t="shared" si="443"/>
        <v/>
      </c>
      <c r="U3486" s="348" t="str">
        <f t="shared" si="444"/>
        <v/>
      </c>
      <c r="V3486" s="348" t="str">
        <f t="shared" si="445"/>
        <v/>
      </c>
      <c r="W3486" s="348" t="str">
        <f t="shared" si="446"/>
        <v/>
      </c>
      <c r="X3486" s="348" t="str">
        <f t="shared" si="447"/>
        <v/>
      </c>
    </row>
    <row r="3487" spans="1:24" x14ac:dyDescent="0.2">
      <c r="A3487" s="407">
        <v>3479</v>
      </c>
      <c r="B3487" s="438"/>
      <c r="C3487" s="438"/>
      <c r="D3487" s="438"/>
      <c r="E3487" s="438"/>
      <c r="F3487" s="438"/>
      <c r="G3487" s="438"/>
      <c r="H3487" s="438"/>
      <c r="I3487" s="438"/>
      <c r="J3487" s="11"/>
      <c r="Q3487" s="348" t="str">
        <f t="shared" si="440"/>
        <v/>
      </c>
      <c r="R3487" s="348" t="str">
        <f t="shared" si="441"/>
        <v/>
      </c>
      <c r="S3487" s="348" t="str">
        <f t="shared" si="442"/>
        <v/>
      </c>
      <c r="T3487" s="348" t="str">
        <f t="shared" si="443"/>
        <v/>
      </c>
      <c r="U3487" s="348" t="str">
        <f t="shared" si="444"/>
        <v/>
      </c>
      <c r="V3487" s="348" t="str">
        <f t="shared" si="445"/>
        <v/>
      </c>
      <c r="W3487" s="348" t="str">
        <f t="shared" si="446"/>
        <v/>
      </c>
      <c r="X3487" s="348" t="str">
        <f t="shared" si="447"/>
        <v/>
      </c>
    </row>
    <row r="3488" spans="1:24" x14ac:dyDescent="0.2">
      <c r="A3488" s="407">
        <v>3480</v>
      </c>
      <c r="B3488" s="438"/>
      <c r="C3488" s="438"/>
      <c r="D3488" s="437"/>
      <c r="E3488" s="438"/>
      <c r="F3488" s="438"/>
      <c r="G3488" s="438"/>
      <c r="H3488" s="438"/>
      <c r="I3488" s="438"/>
      <c r="J3488" s="11"/>
      <c r="Q3488" s="348" t="str">
        <f t="shared" si="440"/>
        <v/>
      </c>
      <c r="R3488" s="348" t="str">
        <f t="shared" si="441"/>
        <v/>
      </c>
      <c r="S3488" s="348" t="str">
        <f t="shared" si="442"/>
        <v/>
      </c>
      <c r="T3488" s="348" t="str">
        <f t="shared" si="443"/>
        <v/>
      </c>
      <c r="U3488" s="348" t="str">
        <f t="shared" si="444"/>
        <v/>
      </c>
      <c r="V3488" s="348" t="str">
        <f t="shared" si="445"/>
        <v/>
      </c>
      <c r="W3488" s="348" t="str">
        <f t="shared" si="446"/>
        <v/>
      </c>
      <c r="X3488" s="348" t="str">
        <f t="shared" si="447"/>
        <v/>
      </c>
    </row>
    <row r="3489" spans="1:24" x14ac:dyDescent="0.2">
      <c r="A3489" s="407">
        <v>3481</v>
      </c>
      <c r="B3489" s="438"/>
      <c r="C3489" s="438"/>
      <c r="D3489" s="438"/>
      <c r="E3489" s="438"/>
      <c r="F3489" s="438"/>
      <c r="G3489" s="438"/>
      <c r="H3489" s="438"/>
      <c r="I3489" s="438"/>
      <c r="J3489" s="11"/>
      <c r="Q3489" s="348" t="str">
        <f t="shared" si="440"/>
        <v/>
      </c>
      <c r="R3489" s="348" t="str">
        <f t="shared" si="441"/>
        <v/>
      </c>
      <c r="S3489" s="348" t="str">
        <f t="shared" si="442"/>
        <v/>
      </c>
      <c r="T3489" s="348" t="str">
        <f t="shared" si="443"/>
        <v/>
      </c>
      <c r="U3489" s="348" t="str">
        <f t="shared" si="444"/>
        <v/>
      </c>
      <c r="V3489" s="348" t="str">
        <f t="shared" si="445"/>
        <v/>
      </c>
      <c r="W3489" s="348" t="str">
        <f t="shared" si="446"/>
        <v/>
      </c>
      <c r="X3489" s="348" t="str">
        <f t="shared" si="447"/>
        <v/>
      </c>
    </row>
    <row r="3490" spans="1:24" x14ac:dyDescent="0.2">
      <c r="A3490" s="407">
        <v>3482</v>
      </c>
      <c r="B3490" s="438"/>
      <c r="C3490" s="438"/>
      <c r="D3490" s="438"/>
      <c r="E3490" s="438"/>
      <c r="F3490" s="438"/>
      <c r="G3490" s="438"/>
      <c r="H3490" s="438"/>
      <c r="I3490" s="438"/>
      <c r="J3490" s="11"/>
      <c r="Q3490" s="348" t="str">
        <f t="shared" si="440"/>
        <v/>
      </c>
      <c r="R3490" s="348" t="str">
        <f t="shared" si="441"/>
        <v/>
      </c>
      <c r="S3490" s="348" t="str">
        <f t="shared" si="442"/>
        <v/>
      </c>
      <c r="T3490" s="348" t="str">
        <f t="shared" si="443"/>
        <v/>
      </c>
      <c r="U3490" s="348" t="str">
        <f t="shared" si="444"/>
        <v/>
      </c>
      <c r="V3490" s="348" t="str">
        <f t="shared" si="445"/>
        <v/>
      </c>
      <c r="W3490" s="348" t="str">
        <f t="shared" si="446"/>
        <v/>
      </c>
      <c r="X3490" s="348" t="str">
        <f t="shared" si="447"/>
        <v/>
      </c>
    </row>
    <row r="3491" spans="1:24" x14ac:dyDescent="0.2">
      <c r="A3491" s="407">
        <v>3483</v>
      </c>
      <c r="B3491" s="438"/>
      <c r="C3491" s="438"/>
      <c r="D3491" s="438"/>
      <c r="E3491" s="438"/>
      <c r="F3491" s="438"/>
      <c r="G3491" s="438"/>
      <c r="H3491" s="438"/>
      <c r="I3491" s="438"/>
      <c r="J3491" s="11"/>
      <c r="Q3491" s="348" t="str">
        <f t="shared" si="440"/>
        <v/>
      </c>
      <c r="R3491" s="348" t="str">
        <f t="shared" si="441"/>
        <v/>
      </c>
      <c r="S3491" s="348" t="str">
        <f t="shared" si="442"/>
        <v/>
      </c>
      <c r="T3491" s="348" t="str">
        <f t="shared" si="443"/>
        <v/>
      </c>
      <c r="U3491" s="348" t="str">
        <f t="shared" si="444"/>
        <v/>
      </c>
      <c r="V3491" s="348" t="str">
        <f t="shared" si="445"/>
        <v/>
      </c>
      <c r="W3491" s="348" t="str">
        <f t="shared" si="446"/>
        <v/>
      </c>
      <c r="X3491" s="348" t="str">
        <f t="shared" si="447"/>
        <v/>
      </c>
    </row>
    <row r="3492" spans="1:24" x14ac:dyDescent="0.2">
      <c r="A3492" s="407">
        <v>3484</v>
      </c>
      <c r="B3492" s="438"/>
      <c r="C3492" s="438"/>
      <c r="D3492" s="438"/>
      <c r="E3492" s="438"/>
      <c r="F3492" s="438"/>
      <c r="G3492" s="438"/>
      <c r="H3492" s="438"/>
      <c r="I3492" s="438"/>
      <c r="J3492" s="11"/>
      <c r="Q3492" s="348" t="str">
        <f t="shared" si="440"/>
        <v/>
      </c>
      <c r="R3492" s="348" t="str">
        <f t="shared" si="441"/>
        <v/>
      </c>
      <c r="S3492" s="348" t="str">
        <f t="shared" si="442"/>
        <v/>
      </c>
      <c r="T3492" s="348" t="str">
        <f t="shared" si="443"/>
        <v/>
      </c>
      <c r="U3492" s="348" t="str">
        <f t="shared" si="444"/>
        <v/>
      </c>
      <c r="V3492" s="348" t="str">
        <f t="shared" si="445"/>
        <v/>
      </c>
      <c r="W3492" s="348" t="str">
        <f t="shared" si="446"/>
        <v/>
      </c>
      <c r="X3492" s="348" t="str">
        <f t="shared" si="447"/>
        <v/>
      </c>
    </row>
    <row r="3493" spans="1:24" x14ac:dyDescent="0.2">
      <c r="A3493" s="407">
        <v>3485</v>
      </c>
      <c r="B3493" s="437"/>
      <c r="C3493" s="438"/>
      <c r="D3493" s="438"/>
      <c r="E3493" s="438"/>
      <c r="F3493" s="438"/>
      <c r="G3493" s="438"/>
      <c r="H3493" s="438"/>
      <c r="I3493" s="438"/>
      <c r="J3493" s="11"/>
      <c r="Q3493" s="348" t="str">
        <f t="shared" si="440"/>
        <v/>
      </c>
      <c r="R3493" s="348" t="str">
        <f t="shared" si="441"/>
        <v/>
      </c>
      <c r="S3493" s="348" t="str">
        <f t="shared" si="442"/>
        <v/>
      </c>
      <c r="T3493" s="348" t="str">
        <f t="shared" si="443"/>
        <v/>
      </c>
      <c r="U3493" s="348" t="str">
        <f t="shared" si="444"/>
        <v/>
      </c>
      <c r="V3493" s="348" t="str">
        <f t="shared" si="445"/>
        <v/>
      </c>
      <c r="W3493" s="348" t="str">
        <f t="shared" si="446"/>
        <v/>
      </c>
      <c r="X3493" s="348" t="str">
        <f t="shared" si="447"/>
        <v/>
      </c>
    </row>
    <row r="3494" spans="1:24" x14ac:dyDescent="0.2">
      <c r="A3494" s="407">
        <v>3486</v>
      </c>
      <c r="B3494" s="438"/>
      <c r="C3494" s="438"/>
      <c r="D3494" s="438"/>
      <c r="E3494" s="438"/>
      <c r="F3494" s="438"/>
      <c r="G3494" s="438"/>
      <c r="H3494" s="438"/>
      <c r="I3494" s="438"/>
      <c r="J3494" s="11"/>
      <c r="Q3494" s="348" t="str">
        <f t="shared" si="440"/>
        <v/>
      </c>
      <c r="R3494" s="348" t="str">
        <f t="shared" si="441"/>
        <v/>
      </c>
      <c r="S3494" s="348" t="str">
        <f t="shared" si="442"/>
        <v/>
      </c>
      <c r="T3494" s="348" t="str">
        <f t="shared" si="443"/>
        <v/>
      </c>
      <c r="U3494" s="348" t="str">
        <f t="shared" si="444"/>
        <v/>
      </c>
      <c r="V3494" s="348" t="str">
        <f t="shared" si="445"/>
        <v/>
      </c>
      <c r="W3494" s="348" t="str">
        <f t="shared" si="446"/>
        <v/>
      </c>
      <c r="X3494" s="348" t="str">
        <f t="shared" si="447"/>
        <v/>
      </c>
    </row>
    <row r="3495" spans="1:24" x14ac:dyDescent="0.2">
      <c r="A3495" s="407">
        <v>3487</v>
      </c>
      <c r="B3495" s="438"/>
      <c r="C3495" s="438"/>
      <c r="D3495" s="438"/>
      <c r="E3495" s="438"/>
      <c r="F3495" s="438"/>
      <c r="G3495" s="438"/>
      <c r="H3495" s="438"/>
      <c r="I3495" s="438"/>
      <c r="J3495" s="11"/>
      <c r="Q3495" s="348" t="str">
        <f t="shared" si="440"/>
        <v/>
      </c>
      <c r="R3495" s="348" t="str">
        <f t="shared" si="441"/>
        <v/>
      </c>
      <c r="S3495" s="348" t="str">
        <f t="shared" si="442"/>
        <v/>
      </c>
      <c r="T3495" s="348" t="str">
        <f t="shared" si="443"/>
        <v/>
      </c>
      <c r="U3495" s="348" t="str">
        <f t="shared" si="444"/>
        <v/>
      </c>
      <c r="V3495" s="348" t="str">
        <f t="shared" si="445"/>
        <v/>
      </c>
      <c r="W3495" s="348" t="str">
        <f t="shared" si="446"/>
        <v/>
      </c>
      <c r="X3495" s="348" t="str">
        <f t="shared" si="447"/>
        <v/>
      </c>
    </row>
    <row r="3496" spans="1:24" x14ac:dyDescent="0.2">
      <c r="A3496" s="407">
        <v>3488</v>
      </c>
      <c r="B3496" s="438"/>
      <c r="C3496" s="438"/>
      <c r="D3496" s="438"/>
      <c r="E3496" s="438"/>
      <c r="F3496" s="438"/>
      <c r="G3496" s="438"/>
      <c r="H3496" s="438"/>
      <c r="I3496" s="438"/>
      <c r="J3496" s="11"/>
      <c r="Q3496" s="348" t="str">
        <f t="shared" si="440"/>
        <v/>
      </c>
      <c r="R3496" s="348" t="str">
        <f t="shared" si="441"/>
        <v/>
      </c>
      <c r="S3496" s="348" t="str">
        <f t="shared" si="442"/>
        <v/>
      </c>
      <c r="T3496" s="348" t="str">
        <f t="shared" si="443"/>
        <v/>
      </c>
      <c r="U3496" s="348" t="str">
        <f t="shared" si="444"/>
        <v/>
      </c>
      <c r="V3496" s="348" t="str">
        <f t="shared" si="445"/>
        <v/>
      </c>
      <c r="W3496" s="348" t="str">
        <f t="shared" si="446"/>
        <v/>
      </c>
      <c r="X3496" s="348" t="str">
        <f t="shared" si="447"/>
        <v/>
      </c>
    </row>
    <row r="3497" spans="1:24" x14ac:dyDescent="0.2">
      <c r="A3497" s="407">
        <v>3489</v>
      </c>
      <c r="B3497" s="438"/>
      <c r="C3497" s="438"/>
      <c r="D3497" s="438"/>
      <c r="E3497" s="438"/>
      <c r="F3497" s="438"/>
      <c r="G3497" s="438"/>
      <c r="H3497" s="438"/>
      <c r="I3497" s="438"/>
      <c r="J3497" s="11"/>
      <c r="Q3497" s="348" t="str">
        <f t="shared" si="440"/>
        <v/>
      </c>
      <c r="R3497" s="348" t="str">
        <f t="shared" si="441"/>
        <v/>
      </c>
      <c r="S3497" s="348" t="str">
        <f t="shared" si="442"/>
        <v/>
      </c>
      <c r="T3497" s="348" t="str">
        <f t="shared" si="443"/>
        <v/>
      </c>
      <c r="U3497" s="348" t="str">
        <f t="shared" si="444"/>
        <v/>
      </c>
      <c r="V3497" s="348" t="str">
        <f t="shared" si="445"/>
        <v/>
      </c>
      <c r="W3497" s="348" t="str">
        <f t="shared" si="446"/>
        <v/>
      </c>
      <c r="X3497" s="348" t="str">
        <f t="shared" si="447"/>
        <v/>
      </c>
    </row>
    <row r="3498" spans="1:24" x14ac:dyDescent="0.2">
      <c r="A3498" s="407">
        <v>3490</v>
      </c>
      <c r="B3498" s="438"/>
      <c r="C3498" s="438"/>
      <c r="D3498" s="438"/>
      <c r="E3498" s="438"/>
      <c r="F3498" s="438"/>
      <c r="G3498" s="438"/>
      <c r="H3498" s="438"/>
      <c r="I3498" s="438"/>
      <c r="J3498" s="11"/>
      <c r="Q3498" s="348" t="str">
        <f t="shared" si="440"/>
        <v/>
      </c>
      <c r="R3498" s="348" t="str">
        <f t="shared" si="441"/>
        <v/>
      </c>
      <c r="S3498" s="348" t="str">
        <f t="shared" si="442"/>
        <v/>
      </c>
      <c r="T3498" s="348" t="str">
        <f t="shared" si="443"/>
        <v/>
      </c>
      <c r="U3498" s="348" t="str">
        <f t="shared" si="444"/>
        <v/>
      </c>
      <c r="V3498" s="348" t="str">
        <f t="shared" si="445"/>
        <v/>
      </c>
      <c r="W3498" s="348" t="str">
        <f t="shared" si="446"/>
        <v/>
      </c>
      <c r="X3498" s="348" t="str">
        <f t="shared" si="447"/>
        <v/>
      </c>
    </row>
    <row r="3499" spans="1:24" x14ac:dyDescent="0.2">
      <c r="A3499" s="407">
        <v>3491</v>
      </c>
      <c r="B3499" s="438"/>
      <c r="C3499" s="438"/>
      <c r="D3499" s="438"/>
      <c r="E3499" s="438"/>
      <c r="F3499" s="438"/>
      <c r="G3499" s="438"/>
      <c r="H3499" s="438"/>
      <c r="I3499" s="438"/>
      <c r="J3499" s="11"/>
      <c r="Q3499" s="348" t="str">
        <f t="shared" si="440"/>
        <v/>
      </c>
      <c r="R3499" s="348" t="str">
        <f t="shared" si="441"/>
        <v/>
      </c>
      <c r="S3499" s="348" t="str">
        <f t="shared" si="442"/>
        <v/>
      </c>
      <c r="T3499" s="348" t="str">
        <f t="shared" si="443"/>
        <v/>
      </c>
      <c r="U3499" s="348" t="str">
        <f t="shared" si="444"/>
        <v/>
      </c>
      <c r="V3499" s="348" t="str">
        <f t="shared" si="445"/>
        <v/>
      </c>
      <c r="W3499" s="348" t="str">
        <f t="shared" si="446"/>
        <v/>
      </c>
      <c r="X3499" s="348" t="str">
        <f t="shared" si="447"/>
        <v/>
      </c>
    </row>
    <row r="3500" spans="1:24" x14ac:dyDescent="0.2">
      <c r="A3500" s="407">
        <v>3492</v>
      </c>
      <c r="B3500" s="438"/>
      <c r="C3500" s="438"/>
      <c r="D3500" s="438"/>
      <c r="E3500" s="438"/>
      <c r="F3500" s="438"/>
      <c r="G3500" s="438"/>
      <c r="H3500" s="438"/>
      <c r="I3500" s="438"/>
      <c r="J3500" s="11"/>
      <c r="Q3500" s="348" t="str">
        <f t="shared" si="440"/>
        <v/>
      </c>
      <c r="R3500" s="348" t="str">
        <f t="shared" si="441"/>
        <v/>
      </c>
      <c r="S3500" s="348" t="str">
        <f t="shared" si="442"/>
        <v/>
      </c>
      <c r="T3500" s="348" t="str">
        <f t="shared" si="443"/>
        <v/>
      </c>
      <c r="U3500" s="348" t="str">
        <f t="shared" si="444"/>
        <v/>
      </c>
      <c r="V3500" s="348" t="str">
        <f t="shared" si="445"/>
        <v/>
      </c>
      <c r="W3500" s="348" t="str">
        <f t="shared" si="446"/>
        <v/>
      </c>
      <c r="X3500" s="348" t="str">
        <f t="shared" si="447"/>
        <v/>
      </c>
    </row>
    <row r="3501" spans="1:24" x14ac:dyDescent="0.2">
      <c r="A3501" s="407">
        <v>3493</v>
      </c>
      <c r="B3501" s="438"/>
      <c r="C3501" s="437"/>
      <c r="D3501" s="438"/>
      <c r="E3501" s="438"/>
      <c r="F3501" s="438"/>
      <c r="G3501" s="438"/>
      <c r="H3501" s="438"/>
      <c r="I3501" s="438"/>
      <c r="J3501" s="11"/>
      <c r="Q3501" s="348" t="str">
        <f t="shared" si="440"/>
        <v/>
      </c>
      <c r="R3501" s="348" t="str">
        <f t="shared" si="441"/>
        <v/>
      </c>
      <c r="S3501" s="348" t="str">
        <f t="shared" si="442"/>
        <v/>
      </c>
      <c r="T3501" s="348" t="str">
        <f t="shared" si="443"/>
        <v/>
      </c>
      <c r="U3501" s="348" t="str">
        <f t="shared" si="444"/>
        <v/>
      </c>
      <c r="V3501" s="348" t="str">
        <f t="shared" si="445"/>
        <v/>
      </c>
      <c r="W3501" s="348" t="str">
        <f t="shared" si="446"/>
        <v/>
      </c>
      <c r="X3501" s="348" t="str">
        <f t="shared" si="447"/>
        <v/>
      </c>
    </row>
    <row r="3502" spans="1:24" x14ac:dyDescent="0.2">
      <c r="A3502" s="407">
        <v>3494</v>
      </c>
      <c r="B3502" s="438"/>
      <c r="C3502" s="438"/>
      <c r="D3502" s="438"/>
      <c r="E3502" s="437"/>
      <c r="F3502" s="438"/>
      <c r="G3502" s="438"/>
      <c r="H3502" s="438"/>
      <c r="I3502" s="438"/>
      <c r="J3502" s="11"/>
      <c r="Q3502" s="348" t="str">
        <f t="shared" si="440"/>
        <v/>
      </c>
      <c r="R3502" s="348" t="str">
        <f t="shared" si="441"/>
        <v/>
      </c>
      <c r="S3502" s="348" t="str">
        <f t="shared" si="442"/>
        <v/>
      </c>
      <c r="T3502" s="348" t="str">
        <f t="shared" si="443"/>
        <v/>
      </c>
      <c r="U3502" s="348" t="str">
        <f t="shared" si="444"/>
        <v/>
      </c>
      <c r="V3502" s="348" t="str">
        <f t="shared" si="445"/>
        <v/>
      </c>
      <c r="W3502" s="348" t="str">
        <f t="shared" si="446"/>
        <v/>
      </c>
      <c r="X3502" s="348" t="str">
        <f t="shared" si="447"/>
        <v/>
      </c>
    </row>
    <row r="3503" spans="1:24" x14ac:dyDescent="0.2">
      <c r="A3503" s="407">
        <v>3495</v>
      </c>
      <c r="B3503" s="438"/>
      <c r="C3503" s="438"/>
      <c r="D3503" s="438"/>
      <c r="E3503" s="438"/>
      <c r="F3503" s="438"/>
      <c r="G3503" s="438"/>
      <c r="H3503" s="438"/>
      <c r="I3503" s="438"/>
      <c r="J3503" s="11"/>
      <c r="Q3503" s="348" t="str">
        <f t="shared" si="440"/>
        <v/>
      </c>
      <c r="R3503" s="348" t="str">
        <f t="shared" si="441"/>
        <v/>
      </c>
      <c r="S3503" s="348" t="str">
        <f t="shared" si="442"/>
        <v/>
      </c>
      <c r="T3503" s="348" t="str">
        <f t="shared" si="443"/>
        <v/>
      </c>
      <c r="U3503" s="348" t="str">
        <f t="shared" si="444"/>
        <v/>
      </c>
      <c r="V3503" s="348" t="str">
        <f t="shared" si="445"/>
        <v/>
      </c>
      <c r="W3503" s="348" t="str">
        <f t="shared" si="446"/>
        <v/>
      </c>
      <c r="X3503" s="348" t="str">
        <f t="shared" si="447"/>
        <v/>
      </c>
    </row>
    <row r="3504" spans="1:24" x14ac:dyDescent="0.2">
      <c r="A3504" s="407">
        <v>3496</v>
      </c>
      <c r="B3504" s="438"/>
      <c r="C3504" s="438"/>
      <c r="D3504" s="438"/>
      <c r="E3504" s="438"/>
      <c r="F3504" s="438"/>
      <c r="G3504" s="438"/>
      <c r="H3504" s="438"/>
      <c r="I3504" s="438"/>
      <c r="J3504" s="11"/>
      <c r="Q3504" s="348" t="str">
        <f t="shared" si="440"/>
        <v/>
      </c>
      <c r="R3504" s="348" t="str">
        <f t="shared" si="441"/>
        <v/>
      </c>
      <c r="S3504" s="348" t="str">
        <f t="shared" si="442"/>
        <v/>
      </c>
      <c r="T3504" s="348" t="str">
        <f t="shared" si="443"/>
        <v/>
      </c>
      <c r="U3504" s="348" t="str">
        <f t="shared" si="444"/>
        <v/>
      </c>
      <c r="V3504" s="348" t="str">
        <f t="shared" si="445"/>
        <v/>
      </c>
      <c r="W3504" s="348" t="str">
        <f t="shared" si="446"/>
        <v/>
      </c>
      <c r="X3504" s="348" t="str">
        <f t="shared" si="447"/>
        <v/>
      </c>
    </row>
    <row r="3505" spans="1:24" x14ac:dyDescent="0.2">
      <c r="A3505" s="407">
        <v>3497</v>
      </c>
      <c r="B3505" s="438"/>
      <c r="C3505" s="438"/>
      <c r="D3505" s="438"/>
      <c r="E3505" s="438"/>
      <c r="F3505" s="438"/>
      <c r="G3505" s="438"/>
      <c r="H3505" s="438"/>
      <c r="I3505" s="438"/>
      <c r="J3505" s="11"/>
      <c r="Q3505" s="348" t="str">
        <f t="shared" si="440"/>
        <v/>
      </c>
      <c r="R3505" s="348" t="str">
        <f t="shared" si="441"/>
        <v/>
      </c>
      <c r="S3505" s="348" t="str">
        <f t="shared" si="442"/>
        <v/>
      </c>
      <c r="T3505" s="348" t="str">
        <f t="shared" si="443"/>
        <v/>
      </c>
      <c r="U3505" s="348" t="str">
        <f t="shared" si="444"/>
        <v/>
      </c>
      <c r="V3505" s="348" t="str">
        <f t="shared" si="445"/>
        <v/>
      </c>
      <c r="W3505" s="348" t="str">
        <f t="shared" si="446"/>
        <v/>
      </c>
      <c r="X3505" s="348" t="str">
        <f t="shared" si="447"/>
        <v/>
      </c>
    </row>
    <row r="3506" spans="1:24" x14ac:dyDescent="0.2">
      <c r="A3506" s="407">
        <v>3498</v>
      </c>
      <c r="B3506" s="438"/>
      <c r="C3506" s="438"/>
      <c r="D3506" s="438"/>
      <c r="E3506" s="438"/>
      <c r="F3506" s="438"/>
      <c r="G3506" s="438"/>
      <c r="H3506" s="438"/>
      <c r="I3506" s="438"/>
      <c r="J3506" s="11"/>
      <c r="Q3506" s="348" t="str">
        <f t="shared" si="440"/>
        <v/>
      </c>
      <c r="R3506" s="348" t="str">
        <f t="shared" si="441"/>
        <v/>
      </c>
      <c r="S3506" s="348" t="str">
        <f t="shared" si="442"/>
        <v/>
      </c>
      <c r="T3506" s="348" t="str">
        <f t="shared" si="443"/>
        <v/>
      </c>
      <c r="U3506" s="348" t="str">
        <f t="shared" si="444"/>
        <v/>
      </c>
      <c r="V3506" s="348" t="str">
        <f t="shared" si="445"/>
        <v/>
      </c>
      <c r="W3506" s="348" t="str">
        <f t="shared" si="446"/>
        <v/>
      </c>
      <c r="X3506" s="348" t="str">
        <f t="shared" si="447"/>
        <v/>
      </c>
    </row>
    <row r="3507" spans="1:24" x14ac:dyDescent="0.2">
      <c r="A3507" s="407">
        <v>3499</v>
      </c>
      <c r="B3507" s="438"/>
      <c r="C3507" s="438"/>
      <c r="D3507" s="438"/>
      <c r="E3507" s="438"/>
      <c r="F3507" s="438"/>
      <c r="G3507" s="438"/>
      <c r="H3507" s="438"/>
      <c r="I3507" s="438"/>
      <c r="J3507" s="11"/>
      <c r="Q3507" s="348" t="str">
        <f t="shared" si="440"/>
        <v/>
      </c>
      <c r="R3507" s="348" t="str">
        <f t="shared" si="441"/>
        <v/>
      </c>
      <c r="S3507" s="348" t="str">
        <f t="shared" si="442"/>
        <v/>
      </c>
      <c r="T3507" s="348" t="str">
        <f t="shared" si="443"/>
        <v/>
      </c>
      <c r="U3507" s="348" t="str">
        <f t="shared" si="444"/>
        <v/>
      </c>
      <c r="V3507" s="348" t="str">
        <f t="shared" si="445"/>
        <v/>
      </c>
      <c r="W3507" s="348" t="str">
        <f t="shared" si="446"/>
        <v/>
      </c>
      <c r="X3507" s="348" t="str">
        <f t="shared" si="447"/>
        <v/>
      </c>
    </row>
    <row r="3508" spans="1:24" x14ac:dyDescent="0.2">
      <c r="A3508" s="407">
        <v>3500</v>
      </c>
      <c r="B3508" s="438"/>
      <c r="C3508" s="438"/>
      <c r="D3508" s="438"/>
      <c r="E3508" s="438"/>
      <c r="F3508" s="438"/>
      <c r="G3508" s="438"/>
      <c r="H3508" s="438"/>
      <c r="I3508" s="438"/>
      <c r="J3508" s="11"/>
      <c r="Q3508" s="348" t="str">
        <f t="shared" si="440"/>
        <v/>
      </c>
      <c r="R3508" s="348" t="str">
        <f t="shared" si="441"/>
        <v/>
      </c>
      <c r="S3508" s="348" t="str">
        <f t="shared" si="442"/>
        <v/>
      </c>
      <c r="T3508" s="348" t="str">
        <f t="shared" si="443"/>
        <v/>
      </c>
      <c r="U3508" s="348" t="str">
        <f t="shared" si="444"/>
        <v/>
      </c>
      <c r="V3508" s="348" t="str">
        <f t="shared" si="445"/>
        <v/>
      </c>
      <c r="W3508" s="348" t="str">
        <f t="shared" si="446"/>
        <v/>
      </c>
      <c r="X3508" s="348" t="str">
        <f t="shared" si="447"/>
        <v/>
      </c>
    </row>
    <row r="3509" spans="1:24" x14ac:dyDescent="0.2">
      <c r="A3509" s="407">
        <v>3501</v>
      </c>
      <c r="B3509" s="438"/>
      <c r="C3509" s="438"/>
      <c r="D3509" s="438"/>
      <c r="E3509" s="438"/>
      <c r="F3509" s="438"/>
      <c r="G3509" s="438"/>
      <c r="H3509" s="438"/>
      <c r="I3509" s="438"/>
      <c r="J3509" s="11"/>
      <c r="Q3509" s="348" t="str">
        <f t="shared" si="440"/>
        <v/>
      </c>
      <c r="R3509" s="348" t="str">
        <f t="shared" si="441"/>
        <v/>
      </c>
      <c r="S3509" s="348" t="str">
        <f t="shared" si="442"/>
        <v/>
      </c>
      <c r="T3509" s="348" t="str">
        <f t="shared" si="443"/>
        <v/>
      </c>
      <c r="U3509" s="348" t="str">
        <f t="shared" si="444"/>
        <v/>
      </c>
      <c r="V3509" s="348" t="str">
        <f t="shared" si="445"/>
        <v/>
      </c>
      <c r="W3509" s="348" t="str">
        <f t="shared" si="446"/>
        <v/>
      </c>
      <c r="X3509" s="348" t="str">
        <f t="shared" si="447"/>
        <v/>
      </c>
    </row>
    <row r="3510" spans="1:24" x14ac:dyDescent="0.2">
      <c r="A3510" s="407">
        <v>3502</v>
      </c>
      <c r="B3510" s="438"/>
      <c r="C3510" s="438"/>
      <c r="D3510" s="438"/>
      <c r="E3510" s="438"/>
      <c r="F3510" s="438"/>
      <c r="G3510" s="438"/>
      <c r="H3510" s="438"/>
      <c r="I3510" s="438"/>
      <c r="J3510" s="11"/>
      <c r="Q3510" s="348" t="str">
        <f t="shared" si="440"/>
        <v/>
      </c>
      <c r="R3510" s="348" t="str">
        <f t="shared" si="441"/>
        <v/>
      </c>
      <c r="S3510" s="348" t="str">
        <f t="shared" si="442"/>
        <v/>
      </c>
      <c r="T3510" s="348" t="str">
        <f t="shared" si="443"/>
        <v/>
      </c>
      <c r="U3510" s="348" t="str">
        <f t="shared" si="444"/>
        <v/>
      </c>
      <c r="V3510" s="348" t="str">
        <f t="shared" si="445"/>
        <v/>
      </c>
      <c r="W3510" s="348" t="str">
        <f t="shared" si="446"/>
        <v/>
      </c>
      <c r="X3510" s="348" t="str">
        <f t="shared" si="447"/>
        <v/>
      </c>
    </row>
    <row r="3511" spans="1:24" x14ac:dyDescent="0.2">
      <c r="A3511" s="407">
        <v>3503</v>
      </c>
      <c r="B3511" s="438"/>
      <c r="C3511" s="438"/>
      <c r="D3511" s="438"/>
      <c r="E3511" s="438"/>
      <c r="F3511" s="438"/>
      <c r="G3511" s="438"/>
      <c r="H3511" s="438"/>
      <c r="I3511" s="438"/>
      <c r="J3511" s="11"/>
      <c r="Q3511" s="348" t="str">
        <f t="shared" si="440"/>
        <v/>
      </c>
      <c r="R3511" s="348" t="str">
        <f t="shared" si="441"/>
        <v/>
      </c>
      <c r="S3511" s="348" t="str">
        <f t="shared" si="442"/>
        <v/>
      </c>
      <c r="T3511" s="348" t="str">
        <f t="shared" si="443"/>
        <v/>
      </c>
      <c r="U3511" s="348" t="str">
        <f t="shared" si="444"/>
        <v/>
      </c>
      <c r="V3511" s="348" t="str">
        <f t="shared" si="445"/>
        <v/>
      </c>
      <c r="W3511" s="348" t="str">
        <f t="shared" si="446"/>
        <v/>
      </c>
      <c r="X3511" s="348" t="str">
        <f t="shared" si="447"/>
        <v/>
      </c>
    </row>
    <row r="3512" spans="1:24" x14ac:dyDescent="0.2">
      <c r="A3512" s="407">
        <v>3504</v>
      </c>
      <c r="B3512" s="437"/>
      <c r="C3512" s="438"/>
      <c r="D3512" s="438"/>
      <c r="E3512" s="438"/>
      <c r="F3512" s="438"/>
      <c r="G3512" s="438"/>
      <c r="H3512" s="438"/>
      <c r="I3512" s="438"/>
      <c r="J3512" s="11"/>
      <c r="Q3512" s="348" t="str">
        <f t="shared" si="440"/>
        <v/>
      </c>
      <c r="R3512" s="348" t="str">
        <f t="shared" si="441"/>
        <v/>
      </c>
      <c r="S3512" s="348" t="str">
        <f t="shared" si="442"/>
        <v/>
      </c>
      <c r="T3512" s="348" t="str">
        <f t="shared" si="443"/>
        <v/>
      </c>
      <c r="U3512" s="348" t="str">
        <f t="shared" si="444"/>
        <v/>
      </c>
      <c r="V3512" s="348" t="str">
        <f t="shared" si="445"/>
        <v/>
      </c>
      <c r="W3512" s="348" t="str">
        <f t="shared" si="446"/>
        <v/>
      </c>
      <c r="X3512" s="348" t="str">
        <f t="shared" si="447"/>
        <v/>
      </c>
    </row>
    <row r="3513" spans="1:24" x14ac:dyDescent="0.2">
      <c r="A3513" s="407">
        <v>3505</v>
      </c>
      <c r="B3513" s="438"/>
      <c r="C3513" s="438"/>
      <c r="D3513" s="438"/>
      <c r="E3513" s="438"/>
      <c r="F3513" s="438"/>
      <c r="G3513" s="438"/>
      <c r="H3513" s="438"/>
      <c r="I3513" s="438"/>
      <c r="J3513" s="11"/>
      <c r="Q3513" s="348" t="str">
        <f t="shared" si="440"/>
        <v/>
      </c>
      <c r="R3513" s="348" t="str">
        <f t="shared" si="441"/>
        <v/>
      </c>
      <c r="S3513" s="348" t="str">
        <f t="shared" si="442"/>
        <v/>
      </c>
      <c r="T3513" s="348" t="str">
        <f t="shared" si="443"/>
        <v/>
      </c>
      <c r="U3513" s="348" t="str">
        <f t="shared" si="444"/>
        <v/>
      </c>
      <c r="V3513" s="348" t="str">
        <f t="shared" si="445"/>
        <v/>
      </c>
      <c r="W3513" s="348" t="str">
        <f t="shared" si="446"/>
        <v/>
      </c>
      <c r="X3513" s="348" t="str">
        <f t="shared" si="447"/>
        <v/>
      </c>
    </row>
    <row r="3514" spans="1:24" x14ac:dyDescent="0.2">
      <c r="A3514" s="407">
        <v>3506</v>
      </c>
      <c r="B3514" s="438"/>
      <c r="C3514" s="437"/>
      <c r="D3514" s="438"/>
      <c r="E3514" s="438"/>
      <c r="F3514" s="438"/>
      <c r="G3514" s="438"/>
      <c r="H3514" s="438"/>
      <c r="I3514" s="438"/>
      <c r="J3514" s="11"/>
      <c r="Q3514" s="348" t="str">
        <f t="shared" si="440"/>
        <v/>
      </c>
      <c r="R3514" s="348" t="str">
        <f t="shared" si="441"/>
        <v/>
      </c>
      <c r="S3514" s="348" t="str">
        <f t="shared" si="442"/>
        <v/>
      </c>
      <c r="T3514" s="348" t="str">
        <f t="shared" si="443"/>
        <v/>
      </c>
      <c r="U3514" s="348" t="str">
        <f t="shared" si="444"/>
        <v/>
      </c>
      <c r="V3514" s="348" t="str">
        <f t="shared" si="445"/>
        <v/>
      </c>
      <c r="W3514" s="348" t="str">
        <f t="shared" si="446"/>
        <v/>
      </c>
      <c r="X3514" s="348" t="str">
        <f t="shared" si="447"/>
        <v/>
      </c>
    </row>
    <row r="3515" spans="1:24" x14ac:dyDescent="0.2">
      <c r="A3515" s="407">
        <v>3507</v>
      </c>
      <c r="B3515" s="438"/>
      <c r="C3515" s="438"/>
      <c r="D3515" s="438"/>
      <c r="E3515" s="438"/>
      <c r="F3515" s="438"/>
      <c r="G3515" s="438"/>
      <c r="H3515" s="438"/>
      <c r="I3515" s="438"/>
      <c r="J3515" s="11"/>
      <c r="Q3515" s="348" t="str">
        <f t="shared" si="440"/>
        <v/>
      </c>
      <c r="R3515" s="348" t="str">
        <f t="shared" si="441"/>
        <v/>
      </c>
      <c r="S3515" s="348" t="str">
        <f t="shared" si="442"/>
        <v/>
      </c>
      <c r="T3515" s="348" t="str">
        <f t="shared" si="443"/>
        <v/>
      </c>
      <c r="U3515" s="348" t="str">
        <f t="shared" si="444"/>
        <v/>
      </c>
      <c r="V3515" s="348" t="str">
        <f t="shared" si="445"/>
        <v/>
      </c>
      <c r="W3515" s="348" t="str">
        <f t="shared" si="446"/>
        <v/>
      </c>
      <c r="X3515" s="348" t="str">
        <f t="shared" si="447"/>
        <v/>
      </c>
    </row>
    <row r="3516" spans="1:24" x14ac:dyDescent="0.2">
      <c r="A3516" s="407">
        <v>3508</v>
      </c>
      <c r="B3516" s="438"/>
      <c r="C3516" s="438"/>
      <c r="D3516" s="438"/>
      <c r="E3516" s="438"/>
      <c r="F3516" s="438"/>
      <c r="G3516" s="438"/>
      <c r="H3516" s="438"/>
      <c r="I3516" s="438"/>
      <c r="J3516" s="11"/>
      <c r="Q3516" s="348" t="str">
        <f t="shared" si="440"/>
        <v/>
      </c>
      <c r="R3516" s="348" t="str">
        <f t="shared" si="441"/>
        <v/>
      </c>
      <c r="S3516" s="348" t="str">
        <f t="shared" si="442"/>
        <v/>
      </c>
      <c r="T3516" s="348" t="str">
        <f t="shared" si="443"/>
        <v/>
      </c>
      <c r="U3516" s="348" t="str">
        <f t="shared" si="444"/>
        <v/>
      </c>
      <c r="V3516" s="348" t="str">
        <f t="shared" si="445"/>
        <v/>
      </c>
      <c r="W3516" s="348" t="str">
        <f t="shared" si="446"/>
        <v/>
      </c>
      <c r="X3516" s="348" t="str">
        <f t="shared" si="447"/>
        <v/>
      </c>
    </row>
    <row r="3517" spans="1:24" x14ac:dyDescent="0.2">
      <c r="A3517" s="407">
        <v>3509</v>
      </c>
      <c r="B3517" s="438"/>
      <c r="C3517" s="438"/>
      <c r="D3517" s="438"/>
      <c r="E3517" s="438"/>
      <c r="F3517" s="438"/>
      <c r="G3517" s="438"/>
      <c r="H3517" s="438"/>
      <c r="I3517" s="438"/>
      <c r="J3517" s="11"/>
      <c r="Q3517" s="348" t="str">
        <f t="shared" si="440"/>
        <v/>
      </c>
      <c r="R3517" s="348" t="str">
        <f t="shared" si="441"/>
        <v/>
      </c>
      <c r="S3517" s="348" t="str">
        <f t="shared" si="442"/>
        <v/>
      </c>
      <c r="T3517" s="348" t="str">
        <f t="shared" si="443"/>
        <v/>
      </c>
      <c r="U3517" s="348" t="str">
        <f t="shared" si="444"/>
        <v/>
      </c>
      <c r="V3517" s="348" t="str">
        <f t="shared" si="445"/>
        <v/>
      </c>
      <c r="W3517" s="348" t="str">
        <f t="shared" si="446"/>
        <v/>
      </c>
      <c r="X3517" s="348" t="str">
        <f t="shared" si="447"/>
        <v/>
      </c>
    </row>
    <row r="3518" spans="1:24" x14ac:dyDescent="0.2">
      <c r="A3518" s="407">
        <v>3510</v>
      </c>
      <c r="B3518" s="438"/>
      <c r="C3518" s="438"/>
      <c r="D3518" s="438"/>
      <c r="E3518" s="438"/>
      <c r="F3518" s="438"/>
      <c r="G3518" s="438"/>
      <c r="H3518" s="438"/>
      <c r="I3518" s="438"/>
      <c r="J3518" s="11"/>
      <c r="Q3518" s="348" t="str">
        <f t="shared" si="440"/>
        <v/>
      </c>
      <c r="R3518" s="348" t="str">
        <f t="shared" si="441"/>
        <v/>
      </c>
      <c r="S3518" s="348" t="str">
        <f t="shared" si="442"/>
        <v/>
      </c>
      <c r="T3518" s="348" t="str">
        <f t="shared" si="443"/>
        <v/>
      </c>
      <c r="U3518" s="348" t="str">
        <f t="shared" si="444"/>
        <v/>
      </c>
      <c r="V3518" s="348" t="str">
        <f t="shared" si="445"/>
        <v/>
      </c>
      <c r="W3518" s="348" t="str">
        <f t="shared" si="446"/>
        <v/>
      </c>
      <c r="X3518" s="348" t="str">
        <f t="shared" si="447"/>
        <v/>
      </c>
    </row>
    <row r="3519" spans="1:24" x14ac:dyDescent="0.2">
      <c r="A3519" s="407">
        <v>3511</v>
      </c>
      <c r="B3519" s="438"/>
      <c r="C3519" s="438"/>
      <c r="D3519" s="438"/>
      <c r="E3519" s="438"/>
      <c r="F3519" s="438"/>
      <c r="G3519" s="438"/>
      <c r="H3519" s="438"/>
      <c r="I3519" s="438"/>
      <c r="J3519" s="11"/>
      <c r="Q3519" s="348" t="str">
        <f t="shared" si="440"/>
        <v/>
      </c>
      <c r="R3519" s="348" t="str">
        <f t="shared" si="441"/>
        <v/>
      </c>
      <c r="S3519" s="348" t="str">
        <f t="shared" si="442"/>
        <v/>
      </c>
      <c r="T3519" s="348" t="str">
        <f t="shared" si="443"/>
        <v/>
      </c>
      <c r="U3519" s="348" t="str">
        <f t="shared" si="444"/>
        <v/>
      </c>
      <c r="V3519" s="348" t="str">
        <f t="shared" si="445"/>
        <v/>
      </c>
      <c r="W3519" s="348" t="str">
        <f t="shared" si="446"/>
        <v/>
      </c>
      <c r="X3519" s="348" t="str">
        <f t="shared" si="447"/>
        <v/>
      </c>
    </row>
    <row r="3520" spans="1:24" x14ac:dyDescent="0.2">
      <c r="A3520" s="407">
        <v>3512</v>
      </c>
      <c r="B3520" s="437"/>
      <c r="C3520" s="438"/>
      <c r="D3520" s="438"/>
      <c r="E3520" s="438"/>
      <c r="F3520" s="438"/>
      <c r="G3520" s="438"/>
      <c r="H3520" s="438"/>
      <c r="I3520" s="438"/>
      <c r="J3520" s="11"/>
      <c r="Q3520" s="348" t="str">
        <f t="shared" si="440"/>
        <v/>
      </c>
      <c r="R3520" s="348" t="str">
        <f t="shared" si="441"/>
        <v/>
      </c>
      <c r="S3520" s="348" t="str">
        <f t="shared" si="442"/>
        <v/>
      </c>
      <c r="T3520" s="348" t="str">
        <f t="shared" si="443"/>
        <v/>
      </c>
      <c r="U3520" s="348" t="str">
        <f t="shared" si="444"/>
        <v/>
      </c>
      <c r="V3520" s="348" t="str">
        <f t="shared" si="445"/>
        <v/>
      </c>
      <c r="W3520" s="348" t="str">
        <f t="shared" si="446"/>
        <v/>
      </c>
      <c r="X3520" s="348" t="str">
        <f t="shared" si="447"/>
        <v/>
      </c>
    </row>
    <row r="3521" spans="1:24" x14ac:dyDescent="0.2">
      <c r="A3521" s="407">
        <v>3513</v>
      </c>
      <c r="B3521" s="438"/>
      <c r="C3521" s="438"/>
      <c r="D3521" s="438"/>
      <c r="E3521" s="438"/>
      <c r="F3521" s="438"/>
      <c r="G3521" s="438"/>
      <c r="H3521" s="438"/>
      <c r="I3521" s="438"/>
      <c r="J3521" s="11"/>
      <c r="Q3521" s="348" t="str">
        <f t="shared" si="440"/>
        <v/>
      </c>
      <c r="R3521" s="348" t="str">
        <f t="shared" si="441"/>
        <v/>
      </c>
      <c r="S3521" s="348" t="str">
        <f t="shared" si="442"/>
        <v/>
      </c>
      <c r="T3521" s="348" t="str">
        <f t="shared" si="443"/>
        <v/>
      </c>
      <c r="U3521" s="348" t="str">
        <f t="shared" si="444"/>
        <v/>
      </c>
      <c r="V3521" s="348" t="str">
        <f t="shared" si="445"/>
        <v/>
      </c>
      <c r="W3521" s="348" t="str">
        <f t="shared" si="446"/>
        <v/>
      </c>
      <c r="X3521" s="348" t="str">
        <f t="shared" si="447"/>
        <v/>
      </c>
    </row>
    <row r="3522" spans="1:24" x14ac:dyDescent="0.2">
      <c r="A3522" s="407">
        <v>3514</v>
      </c>
      <c r="B3522" s="438"/>
      <c r="C3522" s="438"/>
      <c r="D3522" s="438"/>
      <c r="E3522" s="438"/>
      <c r="F3522" s="438"/>
      <c r="G3522" s="438"/>
      <c r="H3522" s="438"/>
      <c r="I3522" s="438"/>
      <c r="J3522" s="11"/>
      <c r="Q3522" s="348" t="str">
        <f t="shared" si="440"/>
        <v/>
      </c>
      <c r="R3522" s="348" t="str">
        <f t="shared" si="441"/>
        <v/>
      </c>
      <c r="S3522" s="348" t="str">
        <f t="shared" si="442"/>
        <v/>
      </c>
      <c r="T3522" s="348" t="str">
        <f t="shared" si="443"/>
        <v/>
      </c>
      <c r="U3522" s="348" t="str">
        <f t="shared" si="444"/>
        <v/>
      </c>
      <c r="V3522" s="348" t="str">
        <f t="shared" si="445"/>
        <v/>
      </c>
      <c r="W3522" s="348" t="str">
        <f t="shared" si="446"/>
        <v/>
      </c>
      <c r="X3522" s="348" t="str">
        <f t="shared" si="447"/>
        <v/>
      </c>
    </row>
    <row r="3523" spans="1:24" x14ac:dyDescent="0.2">
      <c r="A3523" s="407">
        <v>3515</v>
      </c>
      <c r="B3523" s="438"/>
      <c r="C3523" s="438"/>
      <c r="D3523" s="438"/>
      <c r="E3523" s="438"/>
      <c r="F3523" s="438"/>
      <c r="G3523" s="438"/>
      <c r="H3523" s="438"/>
      <c r="I3523" s="438"/>
      <c r="J3523" s="11"/>
      <c r="Q3523" s="348" t="str">
        <f t="shared" si="440"/>
        <v/>
      </c>
      <c r="R3523" s="348" t="str">
        <f t="shared" si="441"/>
        <v/>
      </c>
      <c r="S3523" s="348" t="str">
        <f t="shared" si="442"/>
        <v/>
      </c>
      <c r="T3523" s="348" t="str">
        <f t="shared" si="443"/>
        <v/>
      </c>
      <c r="U3523" s="348" t="str">
        <f t="shared" si="444"/>
        <v/>
      </c>
      <c r="V3523" s="348" t="str">
        <f t="shared" si="445"/>
        <v/>
      </c>
      <c r="W3523" s="348" t="str">
        <f t="shared" si="446"/>
        <v/>
      </c>
      <c r="X3523" s="348" t="str">
        <f t="shared" si="447"/>
        <v/>
      </c>
    </row>
    <row r="3524" spans="1:24" x14ac:dyDescent="0.2">
      <c r="A3524" s="407">
        <v>3516</v>
      </c>
      <c r="B3524" s="438"/>
      <c r="C3524" s="438"/>
      <c r="D3524" s="438"/>
      <c r="E3524" s="438"/>
      <c r="F3524" s="438"/>
      <c r="G3524" s="438"/>
      <c r="H3524" s="438"/>
      <c r="I3524" s="438"/>
      <c r="J3524" s="11"/>
      <c r="Q3524" s="348" t="str">
        <f t="shared" si="440"/>
        <v/>
      </c>
      <c r="R3524" s="348" t="str">
        <f t="shared" si="441"/>
        <v/>
      </c>
      <c r="S3524" s="348" t="str">
        <f t="shared" si="442"/>
        <v/>
      </c>
      <c r="T3524" s="348" t="str">
        <f t="shared" si="443"/>
        <v/>
      </c>
      <c r="U3524" s="348" t="str">
        <f t="shared" si="444"/>
        <v/>
      </c>
      <c r="V3524" s="348" t="str">
        <f t="shared" si="445"/>
        <v/>
      </c>
      <c r="W3524" s="348" t="str">
        <f t="shared" si="446"/>
        <v/>
      </c>
      <c r="X3524" s="348" t="str">
        <f t="shared" si="447"/>
        <v/>
      </c>
    </row>
    <row r="3525" spans="1:24" x14ac:dyDescent="0.2">
      <c r="A3525" s="407">
        <v>3517</v>
      </c>
      <c r="B3525" s="438"/>
      <c r="C3525" s="438"/>
      <c r="D3525" s="438"/>
      <c r="E3525" s="438"/>
      <c r="F3525" s="438"/>
      <c r="G3525" s="438"/>
      <c r="H3525" s="438"/>
      <c r="I3525" s="438"/>
      <c r="J3525" s="11"/>
      <c r="Q3525" s="348" t="str">
        <f t="shared" si="440"/>
        <v/>
      </c>
      <c r="R3525" s="348" t="str">
        <f t="shared" si="441"/>
        <v/>
      </c>
      <c r="S3525" s="348" t="str">
        <f t="shared" si="442"/>
        <v/>
      </c>
      <c r="T3525" s="348" t="str">
        <f t="shared" si="443"/>
        <v/>
      </c>
      <c r="U3525" s="348" t="str">
        <f t="shared" si="444"/>
        <v/>
      </c>
      <c r="V3525" s="348" t="str">
        <f t="shared" si="445"/>
        <v/>
      </c>
      <c r="W3525" s="348" t="str">
        <f t="shared" si="446"/>
        <v/>
      </c>
      <c r="X3525" s="348" t="str">
        <f t="shared" si="447"/>
        <v/>
      </c>
    </row>
    <row r="3526" spans="1:24" x14ac:dyDescent="0.2">
      <c r="A3526" s="407">
        <v>3518</v>
      </c>
      <c r="B3526" s="438"/>
      <c r="C3526" s="438"/>
      <c r="D3526" s="438"/>
      <c r="E3526" s="438"/>
      <c r="F3526" s="438"/>
      <c r="G3526" s="438"/>
      <c r="H3526" s="438"/>
      <c r="I3526" s="438"/>
      <c r="J3526" s="11"/>
      <c r="Q3526" s="348" t="str">
        <f t="shared" si="440"/>
        <v/>
      </c>
      <c r="R3526" s="348" t="str">
        <f t="shared" si="441"/>
        <v/>
      </c>
      <c r="S3526" s="348" t="str">
        <f t="shared" si="442"/>
        <v/>
      </c>
      <c r="T3526" s="348" t="str">
        <f t="shared" si="443"/>
        <v/>
      </c>
      <c r="U3526" s="348" t="str">
        <f t="shared" si="444"/>
        <v/>
      </c>
      <c r="V3526" s="348" t="str">
        <f t="shared" si="445"/>
        <v/>
      </c>
      <c r="W3526" s="348" t="str">
        <f t="shared" si="446"/>
        <v/>
      </c>
      <c r="X3526" s="348" t="str">
        <f t="shared" si="447"/>
        <v/>
      </c>
    </row>
    <row r="3527" spans="1:24" x14ac:dyDescent="0.2">
      <c r="A3527" s="407">
        <v>3519</v>
      </c>
      <c r="B3527" s="438"/>
      <c r="C3527" s="438"/>
      <c r="D3527" s="438"/>
      <c r="E3527" s="438"/>
      <c r="F3527" s="438"/>
      <c r="G3527" s="438"/>
      <c r="H3527" s="438"/>
      <c r="I3527" s="438"/>
      <c r="J3527" s="11"/>
      <c r="Q3527" s="348" t="str">
        <f t="shared" si="440"/>
        <v/>
      </c>
      <c r="R3527" s="348" t="str">
        <f t="shared" si="441"/>
        <v/>
      </c>
      <c r="S3527" s="348" t="str">
        <f t="shared" si="442"/>
        <v/>
      </c>
      <c r="T3527" s="348" t="str">
        <f t="shared" si="443"/>
        <v/>
      </c>
      <c r="U3527" s="348" t="str">
        <f t="shared" si="444"/>
        <v/>
      </c>
      <c r="V3527" s="348" t="str">
        <f t="shared" si="445"/>
        <v/>
      </c>
      <c r="W3527" s="348" t="str">
        <f t="shared" si="446"/>
        <v/>
      </c>
      <c r="X3527" s="348" t="str">
        <f t="shared" si="447"/>
        <v/>
      </c>
    </row>
    <row r="3528" spans="1:24" x14ac:dyDescent="0.2">
      <c r="A3528" s="407">
        <v>3520</v>
      </c>
      <c r="B3528" s="438"/>
      <c r="C3528" s="437"/>
      <c r="D3528" s="438"/>
      <c r="E3528" s="438"/>
      <c r="F3528" s="438"/>
      <c r="G3528" s="438"/>
      <c r="H3528" s="438"/>
      <c r="I3528" s="438"/>
      <c r="J3528" s="11"/>
      <c r="Q3528" s="348" t="str">
        <f t="shared" si="440"/>
        <v/>
      </c>
      <c r="R3528" s="348" t="str">
        <f t="shared" si="441"/>
        <v/>
      </c>
      <c r="S3528" s="348" t="str">
        <f t="shared" si="442"/>
        <v/>
      </c>
      <c r="T3528" s="348" t="str">
        <f t="shared" si="443"/>
        <v/>
      </c>
      <c r="U3528" s="348" t="str">
        <f t="shared" si="444"/>
        <v/>
      </c>
      <c r="V3528" s="348" t="str">
        <f t="shared" si="445"/>
        <v/>
      </c>
      <c r="W3528" s="348" t="str">
        <f t="shared" si="446"/>
        <v/>
      </c>
      <c r="X3528" s="348" t="str">
        <f t="shared" si="447"/>
        <v/>
      </c>
    </row>
    <row r="3529" spans="1:24" x14ac:dyDescent="0.2">
      <c r="A3529" s="407">
        <v>3521</v>
      </c>
      <c r="B3529" s="438"/>
      <c r="C3529" s="438"/>
      <c r="D3529" s="438"/>
      <c r="E3529" s="437"/>
      <c r="F3529" s="438"/>
      <c r="G3529" s="438"/>
      <c r="H3529" s="438"/>
      <c r="I3529" s="438"/>
      <c r="J3529" s="11"/>
      <c r="Q3529" s="348" t="str">
        <f t="shared" si="440"/>
        <v/>
      </c>
      <c r="R3529" s="348" t="str">
        <f t="shared" si="441"/>
        <v/>
      </c>
      <c r="S3529" s="348" t="str">
        <f t="shared" si="442"/>
        <v/>
      </c>
      <c r="T3529" s="348" t="str">
        <f t="shared" si="443"/>
        <v/>
      </c>
      <c r="U3529" s="348" t="str">
        <f t="shared" si="444"/>
        <v/>
      </c>
      <c r="V3529" s="348" t="str">
        <f t="shared" si="445"/>
        <v/>
      </c>
      <c r="W3529" s="348" t="str">
        <f t="shared" si="446"/>
        <v/>
      </c>
      <c r="X3529" s="348" t="str">
        <f t="shared" si="447"/>
        <v/>
      </c>
    </row>
    <row r="3530" spans="1:24" x14ac:dyDescent="0.2">
      <c r="A3530" s="407">
        <v>3522</v>
      </c>
      <c r="B3530" s="438"/>
      <c r="C3530" s="438"/>
      <c r="D3530" s="438"/>
      <c r="E3530" s="438"/>
      <c r="F3530" s="438"/>
      <c r="G3530" s="438"/>
      <c r="H3530" s="438"/>
      <c r="I3530" s="438"/>
      <c r="J3530" s="11"/>
      <c r="Q3530" s="348" t="str">
        <f t="shared" ref="Q3530:Q3593" si="448">IFERROR(B3530^4*$AB$9+B3530^3*$AC$9+B3530^2*$AD$9+B3530^1*$AE$9+B3530^0*$AF$9,"")</f>
        <v/>
      </c>
      <c r="R3530" s="348" t="str">
        <f t="shared" ref="R3530:R3593" si="449">IFERROR(C3530^4*$AB$10+C3530^3*$AC$10+C3530^2*$AD$10+C3530^1*$AE$10+C3530^0*$AF$10,"")</f>
        <v/>
      </c>
      <c r="S3530" s="348" t="str">
        <f t="shared" ref="S3530:S3593" si="450">IFERROR(D3530^4*$AB$11+D3530^3*$AC$11+D3530^2*$AD$11+D3530^1*$AE$11+D3530^0*$AF$11,"")</f>
        <v/>
      </c>
      <c r="T3530" s="348" t="str">
        <f t="shared" ref="T3530:T3593" si="451">IFERROR(E3530^4*$AB$12+E3530^3*$AC$12+E3530^2*$AD$12+E3530^1*$AE$12+E3530^0*$AF$12,"")</f>
        <v/>
      </c>
      <c r="U3530" s="348" t="str">
        <f t="shared" ref="U3530:U3593" si="452">IFERROR(F3530^4*$AB$13+F3530^3*$AC$13+F3530^2*$AD$13+F3530^1*$AE$13+F3530^0*$AF$13,"")</f>
        <v/>
      </c>
      <c r="V3530" s="348" t="str">
        <f t="shared" ref="V3530:V3593" si="453">IFERROR(G3530^4*$AB$14+G3530^3*$AC$14+G3530^2*$AD$14+G3530^1*$AE$14+G3530^0*$AF$14,"")</f>
        <v/>
      </c>
      <c r="W3530" s="348" t="str">
        <f t="shared" ref="W3530:W3593" si="454">IFERROR(H3530^4*$AB$15+H3530^3*$AC$15+H3530^2*$AD$15+H3530^1*$AE$15+H3530^0*$AF$15,"")</f>
        <v/>
      </c>
      <c r="X3530" s="348" t="str">
        <f t="shared" ref="X3530:X3593" si="455">IFERROR(I3530^4*$AB$16+I3530^3*$AC$16+I3530^2*$AD$16+I3530^1*$AE$16+I3530^0*$AF$16,"")</f>
        <v/>
      </c>
    </row>
    <row r="3531" spans="1:24" x14ac:dyDescent="0.2">
      <c r="A3531" s="407">
        <v>3523</v>
      </c>
      <c r="B3531" s="438"/>
      <c r="C3531" s="438"/>
      <c r="D3531" s="438"/>
      <c r="E3531" s="438"/>
      <c r="F3531" s="438"/>
      <c r="G3531" s="438"/>
      <c r="H3531" s="438"/>
      <c r="I3531" s="438"/>
      <c r="J3531" s="11"/>
      <c r="Q3531" s="348" t="str">
        <f t="shared" si="448"/>
        <v/>
      </c>
      <c r="R3531" s="348" t="str">
        <f t="shared" si="449"/>
        <v/>
      </c>
      <c r="S3531" s="348" t="str">
        <f t="shared" si="450"/>
        <v/>
      </c>
      <c r="T3531" s="348" t="str">
        <f t="shared" si="451"/>
        <v/>
      </c>
      <c r="U3531" s="348" t="str">
        <f t="shared" si="452"/>
        <v/>
      </c>
      <c r="V3531" s="348" t="str">
        <f t="shared" si="453"/>
        <v/>
      </c>
      <c r="W3531" s="348" t="str">
        <f t="shared" si="454"/>
        <v/>
      </c>
      <c r="X3531" s="348" t="str">
        <f t="shared" si="455"/>
        <v/>
      </c>
    </row>
    <row r="3532" spans="1:24" x14ac:dyDescent="0.2">
      <c r="A3532" s="407">
        <v>3524</v>
      </c>
      <c r="B3532" s="438"/>
      <c r="C3532" s="438"/>
      <c r="D3532" s="438"/>
      <c r="E3532" s="438"/>
      <c r="F3532" s="438"/>
      <c r="G3532" s="438"/>
      <c r="H3532" s="438"/>
      <c r="I3532" s="438"/>
      <c r="J3532" s="11"/>
      <c r="Q3532" s="348" t="str">
        <f t="shared" si="448"/>
        <v/>
      </c>
      <c r="R3532" s="348" t="str">
        <f t="shared" si="449"/>
        <v/>
      </c>
      <c r="S3532" s="348" t="str">
        <f t="shared" si="450"/>
        <v/>
      </c>
      <c r="T3532" s="348" t="str">
        <f t="shared" si="451"/>
        <v/>
      </c>
      <c r="U3532" s="348" t="str">
        <f t="shared" si="452"/>
        <v/>
      </c>
      <c r="V3532" s="348" t="str">
        <f t="shared" si="453"/>
        <v/>
      </c>
      <c r="W3532" s="348" t="str">
        <f t="shared" si="454"/>
        <v/>
      </c>
      <c r="X3532" s="348" t="str">
        <f t="shared" si="455"/>
        <v/>
      </c>
    </row>
    <row r="3533" spans="1:24" x14ac:dyDescent="0.2">
      <c r="A3533" s="407">
        <v>3525</v>
      </c>
      <c r="B3533" s="438"/>
      <c r="C3533" s="438"/>
      <c r="D3533" s="438"/>
      <c r="E3533" s="438"/>
      <c r="F3533" s="438"/>
      <c r="G3533" s="438"/>
      <c r="H3533" s="438"/>
      <c r="I3533" s="438"/>
      <c r="J3533" s="11"/>
      <c r="Q3533" s="348" t="str">
        <f t="shared" si="448"/>
        <v/>
      </c>
      <c r="R3533" s="348" t="str">
        <f t="shared" si="449"/>
        <v/>
      </c>
      <c r="S3533" s="348" t="str">
        <f t="shared" si="450"/>
        <v/>
      </c>
      <c r="T3533" s="348" t="str">
        <f t="shared" si="451"/>
        <v/>
      </c>
      <c r="U3533" s="348" t="str">
        <f t="shared" si="452"/>
        <v/>
      </c>
      <c r="V3533" s="348" t="str">
        <f t="shared" si="453"/>
        <v/>
      </c>
      <c r="W3533" s="348" t="str">
        <f t="shared" si="454"/>
        <v/>
      </c>
      <c r="X3533" s="348" t="str">
        <f t="shared" si="455"/>
        <v/>
      </c>
    </row>
    <row r="3534" spans="1:24" x14ac:dyDescent="0.2">
      <c r="A3534" s="407">
        <v>3526</v>
      </c>
      <c r="B3534" s="437"/>
      <c r="C3534" s="438"/>
      <c r="D3534" s="438"/>
      <c r="E3534" s="438"/>
      <c r="F3534" s="438"/>
      <c r="G3534" s="438"/>
      <c r="H3534" s="438"/>
      <c r="I3534" s="438"/>
      <c r="J3534" s="11"/>
      <c r="Q3534" s="348" t="str">
        <f t="shared" si="448"/>
        <v/>
      </c>
      <c r="R3534" s="348" t="str">
        <f t="shared" si="449"/>
        <v/>
      </c>
      <c r="S3534" s="348" t="str">
        <f t="shared" si="450"/>
        <v/>
      </c>
      <c r="T3534" s="348" t="str">
        <f t="shared" si="451"/>
        <v/>
      </c>
      <c r="U3534" s="348" t="str">
        <f t="shared" si="452"/>
        <v/>
      </c>
      <c r="V3534" s="348" t="str">
        <f t="shared" si="453"/>
        <v/>
      </c>
      <c r="W3534" s="348" t="str">
        <f t="shared" si="454"/>
        <v/>
      </c>
      <c r="X3534" s="348" t="str">
        <f t="shared" si="455"/>
        <v/>
      </c>
    </row>
    <row r="3535" spans="1:24" x14ac:dyDescent="0.2">
      <c r="A3535" s="407">
        <v>3527</v>
      </c>
      <c r="B3535" s="438"/>
      <c r="C3535" s="438"/>
      <c r="D3535" s="438"/>
      <c r="E3535" s="438"/>
      <c r="F3535" s="438"/>
      <c r="G3535" s="438"/>
      <c r="H3535" s="438"/>
      <c r="I3535" s="438"/>
      <c r="J3535" s="11"/>
      <c r="Q3535" s="348" t="str">
        <f t="shared" si="448"/>
        <v/>
      </c>
      <c r="R3535" s="348" t="str">
        <f t="shared" si="449"/>
        <v/>
      </c>
      <c r="S3535" s="348" t="str">
        <f t="shared" si="450"/>
        <v/>
      </c>
      <c r="T3535" s="348" t="str">
        <f t="shared" si="451"/>
        <v/>
      </c>
      <c r="U3535" s="348" t="str">
        <f t="shared" si="452"/>
        <v/>
      </c>
      <c r="V3535" s="348" t="str">
        <f t="shared" si="453"/>
        <v/>
      </c>
      <c r="W3535" s="348" t="str">
        <f t="shared" si="454"/>
        <v/>
      </c>
      <c r="X3535" s="348" t="str">
        <f t="shared" si="455"/>
        <v/>
      </c>
    </row>
    <row r="3536" spans="1:24" x14ac:dyDescent="0.2">
      <c r="A3536" s="407">
        <v>3528</v>
      </c>
      <c r="B3536" s="438"/>
      <c r="C3536" s="438"/>
      <c r="D3536" s="437"/>
      <c r="E3536" s="438"/>
      <c r="F3536" s="438"/>
      <c r="G3536" s="438"/>
      <c r="H3536" s="438"/>
      <c r="I3536" s="438"/>
      <c r="J3536" s="11"/>
      <c r="Q3536" s="348" t="str">
        <f t="shared" si="448"/>
        <v/>
      </c>
      <c r="R3536" s="348" t="str">
        <f t="shared" si="449"/>
        <v/>
      </c>
      <c r="S3536" s="348" t="str">
        <f t="shared" si="450"/>
        <v/>
      </c>
      <c r="T3536" s="348" t="str">
        <f t="shared" si="451"/>
        <v/>
      </c>
      <c r="U3536" s="348" t="str">
        <f t="shared" si="452"/>
        <v/>
      </c>
      <c r="V3536" s="348" t="str">
        <f t="shared" si="453"/>
        <v/>
      </c>
      <c r="W3536" s="348" t="str">
        <f t="shared" si="454"/>
        <v/>
      </c>
      <c r="X3536" s="348" t="str">
        <f t="shared" si="455"/>
        <v/>
      </c>
    </row>
    <row r="3537" spans="1:24" x14ac:dyDescent="0.2">
      <c r="A3537" s="407">
        <v>3529</v>
      </c>
      <c r="B3537" s="438"/>
      <c r="C3537" s="438"/>
      <c r="D3537" s="438"/>
      <c r="E3537" s="438"/>
      <c r="F3537" s="438"/>
      <c r="G3537" s="438"/>
      <c r="H3537" s="438"/>
      <c r="I3537" s="438"/>
      <c r="J3537" s="11"/>
      <c r="Q3537" s="348" t="str">
        <f t="shared" si="448"/>
        <v/>
      </c>
      <c r="R3537" s="348" t="str">
        <f t="shared" si="449"/>
        <v/>
      </c>
      <c r="S3537" s="348" t="str">
        <f t="shared" si="450"/>
        <v/>
      </c>
      <c r="T3537" s="348" t="str">
        <f t="shared" si="451"/>
        <v/>
      </c>
      <c r="U3537" s="348" t="str">
        <f t="shared" si="452"/>
        <v/>
      </c>
      <c r="V3537" s="348" t="str">
        <f t="shared" si="453"/>
        <v/>
      </c>
      <c r="W3537" s="348" t="str">
        <f t="shared" si="454"/>
        <v/>
      </c>
      <c r="X3537" s="348" t="str">
        <f t="shared" si="455"/>
        <v/>
      </c>
    </row>
    <row r="3538" spans="1:24" x14ac:dyDescent="0.2">
      <c r="A3538" s="407">
        <v>3530</v>
      </c>
      <c r="B3538" s="438"/>
      <c r="C3538" s="438"/>
      <c r="D3538" s="438"/>
      <c r="E3538" s="438"/>
      <c r="F3538" s="438"/>
      <c r="G3538" s="438"/>
      <c r="H3538" s="438"/>
      <c r="I3538" s="438"/>
      <c r="J3538" s="11"/>
      <c r="Q3538" s="348" t="str">
        <f t="shared" si="448"/>
        <v/>
      </c>
      <c r="R3538" s="348" t="str">
        <f t="shared" si="449"/>
        <v/>
      </c>
      <c r="S3538" s="348" t="str">
        <f t="shared" si="450"/>
        <v/>
      </c>
      <c r="T3538" s="348" t="str">
        <f t="shared" si="451"/>
        <v/>
      </c>
      <c r="U3538" s="348" t="str">
        <f t="shared" si="452"/>
        <v/>
      </c>
      <c r="V3538" s="348" t="str">
        <f t="shared" si="453"/>
        <v/>
      </c>
      <c r="W3538" s="348" t="str">
        <f t="shared" si="454"/>
        <v/>
      </c>
      <c r="X3538" s="348" t="str">
        <f t="shared" si="455"/>
        <v/>
      </c>
    </row>
    <row r="3539" spans="1:24" x14ac:dyDescent="0.2">
      <c r="A3539" s="407">
        <v>3531</v>
      </c>
      <c r="B3539" s="438"/>
      <c r="C3539" s="438"/>
      <c r="D3539" s="438"/>
      <c r="E3539" s="438"/>
      <c r="F3539" s="438"/>
      <c r="G3539" s="438"/>
      <c r="H3539" s="438"/>
      <c r="I3539" s="438"/>
      <c r="J3539" s="11"/>
      <c r="Q3539" s="348" t="str">
        <f t="shared" si="448"/>
        <v/>
      </c>
      <c r="R3539" s="348" t="str">
        <f t="shared" si="449"/>
        <v/>
      </c>
      <c r="S3539" s="348" t="str">
        <f t="shared" si="450"/>
        <v/>
      </c>
      <c r="T3539" s="348" t="str">
        <f t="shared" si="451"/>
        <v/>
      </c>
      <c r="U3539" s="348" t="str">
        <f t="shared" si="452"/>
        <v/>
      </c>
      <c r="V3539" s="348" t="str">
        <f t="shared" si="453"/>
        <v/>
      </c>
      <c r="W3539" s="348" t="str">
        <f t="shared" si="454"/>
        <v/>
      </c>
      <c r="X3539" s="348" t="str">
        <f t="shared" si="455"/>
        <v/>
      </c>
    </row>
    <row r="3540" spans="1:24" x14ac:dyDescent="0.2">
      <c r="A3540" s="407">
        <v>3532</v>
      </c>
      <c r="B3540" s="438"/>
      <c r="C3540" s="438"/>
      <c r="D3540" s="438"/>
      <c r="E3540" s="438"/>
      <c r="F3540" s="438"/>
      <c r="G3540" s="437"/>
      <c r="H3540" s="438"/>
      <c r="I3540" s="438"/>
      <c r="J3540" s="11"/>
      <c r="Q3540" s="348" t="str">
        <f t="shared" si="448"/>
        <v/>
      </c>
      <c r="R3540" s="348" t="str">
        <f t="shared" si="449"/>
        <v/>
      </c>
      <c r="S3540" s="348" t="str">
        <f t="shared" si="450"/>
        <v/>
      </c>
      <c r="T3540" s="348" t="str">
        <f t="shared" si="451"/>
        <v/>
      </c>
      <c r="U3540" s="348" t="str">
        <f t="shared" si="452"/>
        <v/>
      </c>
      <c r="V3540" s="348" t="str">
        <f t="shared" si="453"/>
        <v/>
      </c>
      <c r="W3540" s="348" t="str">
        <f t="shared" si="454"/>
        <v/>
      </c>
      <c r="X3540" s="348" t="str">
        <f t="shared" si="455"/>
        <v/>
      </c>
    </row>
    <row r="3541" spans="1:24" x14ac:dyDescent="0.2">
      <c r="A3541" s="407">
        <v>3533</v>
      </c>
      <c r="B3541" s="438"/>
      <c r="C3541" s="438"/>
      <c r="D3541" s="438"/>
      <c r="E3541" s="438"/>
      <c r="F3541" s="438"/>
      <c r="G3541" s="438"/>
      <c r="H3541" s="438"/>
      <c r="I3541" s="438"/>
      <c r="J3541" s="11"/>
      <c r="Q3541" s="348" t="str">
        <f t="shared" si="448"/>
        <v/>
      </c>
      <c r="R3541" s="348" t="str">
        <f t="shared" si="449"/>
        <v/>
      </c>
      <c r="S3541" s="348" t="str">
        <f t="shared" si="450"/>
        <v/>
      </c>
      <c r="T3541" s="348" t="str">
        <f t="shared" si="451"/>
        <v/>
      </c>
      <c r="U3541" s="348" t="str">
        <f t="shared" si="452"/>
        <v/>
      </c>
      <c r="V3541" s="348" t="str">
        <f t="shared" si="453"/>
        <v/>
      </c>
      <c r="W3541" s="348" t="str">
        <f t="shared" si="454"/>
        <v/>
      </c>
      <c r="X3541" s="348" t="str">
        <f t="shared" si="455"/>
        <v/>
      </c>
    </row>
    <row r="3542" spans="1:24" x14ac:dyDescent="0.2">
      <c r="A3542" s="407">
        <v>3534</v>
      </c>
      <c r="B3542" s="438"/>
      <c r="C3542" s="437"/>
      <c r="D3542" s="438"/>
      <c r="E3542" s="438"/>
      <c r="F3542" s="437"/>
      <c r="G3542" s="438"/>
      <c r="H3542" s="437"/>
      <c r="I3542" s="438"/>
      <c r="J3542" s="11"/>
      <c r="Q3542" s="348" t="str">
        <f t="shared" si="448"/>
        <v/>
      </c>
      <c r="R3542" s="348" t="str">
        <f t="shared" si="449"/>
        <v/>
      </c>
      <c r="S3542" s="348" t="str">
        <f t="shared" si="450"/>
        <v/>
      </c>
      <c r="T3542" s="348" t="str">
        <f t="shared" si="451"/>
        <v/>
      </c>
      <c r="U3542" s="348" t="str">
        <f t="shared" si="452"/>
        <v/>
      </c>
      <c r="V3542" s="348" t="str">
        <f t="shared" si="453"/>
        <v/>
      </c>
      <c r="W3542" s="348" t="str">
        <f t="shared" si="454"/>
        <v/>
      </c>
      <c r="X3542" s="348" t="str">
        <f t="shared" si="455"/>
        <v/>
      </c>
    </row>
    <row r="3543" spans="1:24" x14ac:dyDescent="0.2">
      <c r="A3543" s="407">
        <v>3535</v>
      </c>
      <c r="B3543" s="438"/>
      <c r="C3543" s="438"/>
      <c r="D3543" s="438"/>
      <c r="E3543" s="438"/>
      <c r="F3543" s="438"/>
      <c r="G3543" s="438"/>
      <c r="H3543" s="438"/>
      <c r="I3543" s="437"/>
      <c r="J3543" s="11"/>
      <c r="Q3543" s="348" t="str">
        <f t="shared" si="448"/>
        <v/>
      </c>
      <c r="R3543" s="348" t="str">
        <f t="shared" si="449"/>
        <v/>
      </c>
      <c r="S3543" s="348" t="str">
        <f t="shared" si="450"/>
        <v/>
      </c>
      <c r="T3543" s="348" t="str">
        <f t="shared" si="451"/>
        <v/>
      </c>
      <c r="U3543" s="348" t="str">
        <f t="shared" si="452"/>
        <v/>
      </c>
      <c r="V3543" s="348" t="str">
        <f t="shared" si="453"/>
        <v/>
      </c>
      <c r="W3543" s="348" t="str">
        <f t="shared" si="454"/>
        <v/>
      </c>
      <c r="X3543" s="348" t="str">
        <f t="shared" si="455"/>
        <v/>
      </c>
    </row>
    <row r="3544" spans="1:24" x14ac:dyDescent="0.2">
      <c r="A3544" s="407">
        <v>3536</v>
      </c>
      <c r="B3544" s="438"/>
      <c r="C3544" s="438"/>
      <c r="D3544" s="438"/>
      <c r="E3544" s="438"/>
      <c r="F3544" s="438"/>
      <c r="G3544" s="438"/>
      <c r="H3544" s="438"/>
      <c r="I3544" s="438"/>
      <c r="J3544" s="11"/>
      <c r="Q3544" s="348" t="str">
        <f t="shared" si="448"/>
        <v/>
      </c>
      <c r="R3544" s="348" t="str">
        <f t="shared" si="449"/>
        <v/>
      </c>
      <c r="S3544" s="348" t="str">
        <f t="shared" si="450"/>
        <v/>
      </c>
      <c r="T3544" s="348" t="str">
        <f t="shared" si="451"/>
        <v/>
      </c>
      <c r="U3544" s="348" t="str">
        <f t="shared" si="452"/>
        <v/>
      </c>
      <c r="V3544" s="348" t="str">
        <f t="shared" si="453"/>
        <v/>
      </c>
      <c r="W3544" s="348" t="str">
        <f t="shared" si="454"/>
        <v/>
      </c>
      <c r="X3544" s="348" t="str">
        <f t="shared" si="455"/>
        <v/>
      </c>
    </row>
    <row r="3545" spans="1:24" x14ac:dyDescent="0.2">
      <c r="A3545" s="407">
        <v>3537</v>
      </c>
      <c r="B3545" s="438"/>
      <c r="C3545" s="438"/>
      <c r="D3545" s="438"/>
      <c r="E3545" s="438"/>
      <c r="F3545" s="438"/>
      <c r="G3545" s="438"/>
      <c r="H3545" s="438"/>
      <c r="I3545" s="438"/>
      <c r="J3545" s="11"/>
      <c r="Q3545" s="348" t="str">
        <f t="shared" si="448"/>
        <v/>
      </c>
      <c r="R3545" s="348" t="str">
        <f t="shared" si="449"/>
        <v/>
      </c>
      <c r="S3545" s="348" t="str">
        <f t="shared" si="450"/>
        <v/>
      </c>
      <c r="T3545" s="348" t="str">
        <f t="shared" si="451"/>
        <v/>
      </c>
      <c r="U3545" s="348" t="str">
        <f t="shared" si="452"/>
        <v/>
      </c>
      <c r="V3545" s="348" t="str">
        <f t="shared" si="453"/>
        <v/>
      </c>
      <c r="W3545" s="348" t="str">
        <f t="shared" si="454"/>
        <v/>
      </c>
      <c r="X3545" s="348" t="str">
        <f t="shared" si="455"/>
        <v/>
      </c>
    </row>
    <row r="3546" spans="1:24" x14ac:dyDescent="0.2">
      <c r="A3546" s="407">
        <v>3538</v>
      </c>
      <c r="B3546" s="438"/>
      <c r="C3546" s="438"/>
      <c r="D3546" s="438"/>
      <c r="E3546" s="438"/>
      <c r="F3546" s="438"/>
      <c r="G3546" s="438"/>
      <c r="H3546" s="438"/>
      <c r="I3546" s="438"/>
      <c r="J3546" s="11"/>
      <c r="Q3546" s="348" t="str">
        <f t="shared" si="448"/>
        <v/>
      </c>
      <c r="R3546" s="348" t="str">
        <f t="shared" si="449"/>
        <v/>
      </c>
      <c r="S3546" s="348" t="str">
        <f t="shared" si="450"/>
        <v/>
      </c>
      <c r="T3546" s="348" t="str">
        <f t="shared" si="451"/>
        <v/>
      </c>
      <c r="U3546" s="348" t="str">
        <f t="shared" si="452"/>
        <v/>
      </c>
      <c r="V3546" s="348" t="str">
        <f t="shared" si="453"/>
        <v/>
      </c>
      <c r="W3546" s="348" t="str">
        <f t="shared" si="454"/>
        <v/>
      </c>
      <c r="X3546" s="348" t="str">
        <f t="shared" si="455"/>
        <v/>
      </c>
    </row>
    <row r="3547" spans="1:24" x14ac:dyDescent="0.2">
      <c r="A3547" s="407">
        <v>3539</v>
      </c>
      <c r="B3547" s="438"/>
      <c r="C3547" s="438"/>
      <c r="D3547" s="438"/>
      <c r="E3547" s="437"/>
      <c r="F3547" s="438"/>
      <c r="G3547" s="438"/>
      <c r="H3547" s="438"/>
      <c r="I3547" s="438"/>
      <c r="J3547" s="11"/>
      <c r="Q3547" s="348" t="str">
        <f t="shared" si="448"/>
        <v/>
      </c>
      <c r="R3547" s="348" t="str">
        <f t="shared" si="449"/>
        <v/>
      </c>
      <c r="S3547" s="348" t="str">
        <f t="shared" si="450"/>
        <v/>
      </c>
      <c r="T3547" s="348" t="str">
        <f t="shared" si="451"/>
        <v/>
      </c>
      <c r="U3547" s="348" t="str">
        <f t="shared" si="452"/>
        <v/>
      </c>
      <c r="V3547" s="348" t="str">
        <f t="shared" si="453"/>
        <v/>
      </c>
      <c r="W3547" s="348" t="str">
        <f t="shared" si="454"/>
        <v/>
      </c>
      <c r="X3547" s="348" t="str">
        <f t="shared" si="455"/>
        <v/>
      </c>
    </row>
    <row r="3548" spans="1:24" x14ac:dyDescent="0.2">
      <c r="A3548" s="407">
        <v>3540</v>
      </c>
      <c r="B3548" s="438"/>
      <c r="C3548" s="438"/>
      <c r="D3548" s="438"/>
      <c r="E3548" s="438"/>
      <c r="F3548" s="438"/>
      <c r="G3548" s="438"/>
      <c r="H3548" s="438"/>
      <c r="I3548" s="438"/>
      <c r="J3548" s="11"/>
      <c r="Q3548" s="348" t="str">
        <f t="shared" si="448"/>
        <v/>
      </c>
      <c r="R3548" s="348" t="str">
        <f t="shared" si="449"/>
        <v/>
      </c>
      <c r="S3548" s="348" t="str">
        <f t="shared" si="450"/>
        <v/>
      </c>
      <c r="T3548" s="348" t="str">
        <f t="shared" si="451"/>
        <v/>
      </c>
      <c r="U3548" s="348" t="str">
        <f t="shared" si="452"/>
        <v/>
      </c>
      <c r="V3548" s="348" t="str">
        <f t="shared" si="453"/>
        <v/>
      </c>
      <c r="W3548" s="348" t="str">
        <f t="shared" si="454"/>
        <v/>
      </c>
      <c r="X3548" s="348" t="str">
        <f t="shared" si="455"/>
        <v/>
      </c>
    </row>
    <row r="3549" spans="1:24" x14ac:dyDescent="0.2">
      <c r="A3549" s="407">
        <v>3541</v>
      </c>
      <c r="B3549" s="438"/>
      <c r="C3549" s="438"/>
      <c r="D3549" s="438"/>
      <c r="E3549" s="438"/>
      <c r="F3549" s="438"/>
      <c r="G3549" s="438"/>
      <c r="H3549" s="438"/>
      <c r="I3549" s="438"/>
      <c r="J3549" s="11"/>
      <c r="Q3549" s="348" t="str">
        <f t="shared" si="448"/>
        <v/>
      </c>
      <c r="R3549" s="348" t="str">
        <f t="shared" si="449"/>
        <v/>
      </c>
      <c r="S3549" s="348" t="str">
        <f t="shared" si="450"/>
        <v/>
      </c>
      <c r="T3549" s="348" t="str">
        <f t="shared" si="451"/>
        <v/>
      </c>
      <c r="U3549" s="348" t="str">
        <f t="shared" si="452"/>
        <v/>
      </c>
      <c r="V3549" s="348" t="str">
        <f t="shared" si="453"/>
        <v/>
      </c>
      <c r="W3549" s="348" t="str">
        <f t="shared" si="454"/>
        <v/>
      </c>
      <c r="X3549" s="348" t="str">
        <f t="shared" si="455"/>
        <v/>
      </c>
    </row>
    <row r="3550" spans="1:24" x14ac:dyDescent="0.2">
      <c r="A3550" s="407">
        <v>3542</v>
      </c>
      <c r="B3550" s="438"/>
      <c r="C3550" s="438"/>
      <c r="D3550" s="438"/>
      <c r="E3550" s="438"/>
      <c r="F3550" s="438"/>
      <c r="G3550" s="438"/>
      <c r="H3550" s="438"/>
      <c r="I3550" s="438"/>
      <c r="J3550" s="11"/>
      <c r="Q3550" s="348" t="str">
        <f t="shared" si="448"/>
        <v/>
      </c>
      <c r="R3550" s="348" t="str">
        <f t="shared" si="449"/>
        <v/>
      </c>
      <c r="S3550" s="348" t="str">
        <f t="shared" si="450"/>
        <v/>
      </c>
      <c r="T3550" s="348" t="str">
        <f t="shared" si="451"/>
        <v/>
      </c>
      <c r="U3550" s="348" t="str">
        <f t="shared" si="452"/>
        <v/>
      </c>
      <c r="V3550" s="348" t="str">
        <f t="shared" si="453"/>
        <v/>
      </c>
      <c r="W3550" s="348" t="str">
        <f t="shared" si="454"/>
        <v/>
      </c>
      <c r="X3550" s="348" t="str">
        <f t="shared" si="455"/>
        <v/>
      </c>
    </row>
    <row r="3551" spans="1:24" x14ac:dyDescent="0.2">
      <c r="A3551" s="407">
        <v>3543</v>
      </c>
      <c r="B3551" s="438"/>
      <c r="C3551" s="438"/>
      <c r="D3551" s="438"/>
      <c r="E3551" s="438"/>
      <c r="F3551" s="438"/>
      <c r="G3551" s="438"/>
      <c r="H3551" s="438"/>
      <c r="I3551" s="438"/>
      <c r="J3551" s="11"/>
      <c r="Q3551" s="348" t="str">
        <f t="shared" si="448"/>
        <v/>
      </c>
      <c r="R3551" s="348" t="str">
        <f t="shared" si="449"/>
        <v/>
      </c>
      <c r="S3551" s="348" t="str">
        <f t="shared" si="450"/>
        <v/>
      </c>
      <c r="T3551" s="348" t="str">
        <f t="shared" si="451"/>
        <v/>
      </c>
      <c r="U3551" s="348" t="str">
        <f t="shared" si="452"/>
        <v/>
      </c>
      <c r="V3551" s="348" t="str">
        <f t="shared" si="453"/>
        <v/>
      </c>
      <c r="W3551" s="348" t="str">
        <f t="shared" si="454"/>
        <v/>
      </c>
      <c r="X3551" s="348" t="str">
        <f t="shared" si="455"/>
        <v/>
      </c>
    </row>
    <row r="3552" spans="1:24" x14ac:dyDescent="0.2">
      <c r="A3552" s="407">
        <v>3544</v>
      </c>
      <c r="B3552" s="438"/>
      <c r="C3552" s="438"/>
      <c r="D3552" s="438"/>
      <c r="E3552" s="438"/>
      <c r="F3552" s="438"/>
      <c r="G3552" s="438"/>
      <c r="H3552" s="438"/>
      <c r="I3552" s="438"/>
      <c r="J3552" s="11"/>
      <c r="Q3552" s="348" t="str">
        <f t="shared" si="448"/>
        <v/>
      </c>
      <c r="R3552" s="348" t="str">
        <f t="shared" si="449"/>
        <v/>
      </c>
      <c r="S3552" s="348" t="str">
        <f t="shared" si="450"/>
        <v/>
      </c>
      <c r="T3552" s="348" t="str">
        <f t="shared" si="451"/>
        <v/>
      </c>
      <c r="U3552" s="348" t="str">
        <f t="shared" si="452"/>
        <v/>
      </c>
      <c r="V3552" s="348" t="str">
        <f t="shared" si="453"/>
        <v/>
      </c>
      <c r="W3552" s="348" t="str">
        <f t="shared" si="454"/>
        <v/>
      </c>
      <c r="X3552" s="348" t="str">
        <f t="shared" si="455"/>
        <v/>
      </c>
    </row>
    <row r="3553" spans="1:24" x14ac:dyDescent="0.2">
      <c r="A3553" s="407">
        <v>3545</v>
      </c>
      <c r="B3553" s="437"/>
      <c r="C3553" s="438"/>
      <c r="D3553" s="438"/>
      <c r="E3553" s="438"/>
      <c r="F3553" s="438"/>
      <c r="G3553" s="438"/>
      <c r="H3553" s="438"/>
      <c r="I3553" s="438"/>
      <c r="J3553" s="11"/>
      <c r="Q3553" s="348" t="str">
        <f t="shared" si="448"/>
        <v/>
      </c>
      <c r="R3553" s="348" t="str">
        <f t="shared" si="449"/>
        <v/>
      </c>
      <c r="S3553" s="348" t="str">
        <f t="shared" si="450"/>
        <v/>
      </c>
      <c r="T3553" s="348" t="str">
        <f t="shared" si="451"/>
        <v/>
      </c>
      <c r="U3553" s="348" t="str">
        <f t="shared" si="452"/>
        <v/>
      </c>
      <c r="V3553" s="348" t="str">
        <f t="shared" si="453"/>
        <v/>
      </c>
      <c r="W3553" s="348" t="str">
        <f t="shared" si="454"/>
        <v/>
      </c>
      <c r="X3553" s="348" t="str">
        <f t="shared" si="455"/>
        <v/>
      </c>
    </row>
    <row r="3554" spans="1:24" x14ac:dyDescent="0.2">
      <c r="A3554" s="407">
        <v>3546</v>
      </c>
      <c r="B3554" s="438"/>
      <c r="C3554" s="438"/>
      <c r="D3554" s="438"/>
      <c r="E3554" s="438"/>
      <c r="F3554" s="438"/>
      <c r="G3554" s="438"/>
      <c r="H3554" s="438"/>
      <c r="I3554" s="438"/>
      <c r="J3554" s="11"/>
      <c r="Q3554" s="348" t="str">
        <f t="shared" si="448"/>
        <v/>
      </c>
      <c r="R3554" s="348" t="str">
        <f t="shared" si="449"/>
        <v/>
      </c>
      <c r="S3554" s="348" t="str">
        <f t="shared" si="450"/>
        <v/>
      </c>
      <c r="T3554" s="348" t="str">
        <f t="shared" si="451"/>
        <v/>
      </c>
      <c r="U3554" s="348" t="str">
        <f t="shared" si="452"/>
        <v/>
      </c>
      <c r="V3554" s="348" t="str">
        <f t="shared" si="453"/>
        <v/>
      </c>
      <c r="W3554" s="348" t="str">
        <f t="shared" si="454"/>
        <v/>
      </c>
      <c r="X3554" s="348" t="str">
        <f t="shared" si="455"/>
        <v/>
      </c>
    </row>
    <row r="3555" spans="1:24" x14ac:dyDescent="0.2">
      <c r="A3555" s="407">
        <v>3547</v>
      </c>
      <c r="B3555" s="438"/>
      <c r="C3555" s="438"/>
      <c r="D3555" s="438"/>
      <c r="E3555" s="438"/>
      <c r="F3555" s="438"/>
      <c r="G3555" s="438"/>
      <c r="H3555" s="438"/>
      <c r="I3555" s="438"/>
      <c r="J3555" s="11"/>
      <c r="Q3555" s="348" t="str">
        <f t="shared" si="448"/>
        <v/>
      </c>
      <c r="R3555" s="348" t="str">
        <f t="shared" si="449"/>
        <v/>
      </c>
      <c r="S3555" s="348" t="str">
        <f t="shared" si="450"/>
        <v/>
      </c>
      <c r="T3555" s="348" t="str">
        <f t="shared" si="451"/>
        <v/>
      </c>
      <c r="U3555" s="348" t="str">
        <f t="shared" si="452"/>
        <v/>
      </c>
      <c r="V3555" s="348" t="str">
        <f t="shared" si="453"/>
        <v/>
      </c>
      <c r="W3555" s="348" t="str">
        <f t="shared" si="454"/>
        <v/>
      </c>
      <c r="X3555" s="348" t="str">
        <f t="shared" si="455"/>
        <v/>
      </c>
    </row>
    <row r="3556" spans="1:24" x14ac:dyDescent="0.2">
      <c r="A3556" s="407">
        <v>3548</v>
      </c>
      <c r="B3556" s="438"/>
      <c r="C3556" s="438"/>
      <c r="D3556" s="438"/>
      <c r="E3556" s="438"/>
      <c r="F3556" s="438"/>
      <c r="G3556" s="438"/>
      <c r="H3556" s="438"/>
      <c r="I3556" s="438"/>
      <c r="J3556" s="11"/>
      <c r="Q3556" s="348" t="str">
        <f t="shared" si="448"/>
        <v/>
      </c>
      <c r="R3556" s="348" t="str">
        <f t="shared" si="449"/>
        <v/>
      </c>
      <c r="S3556" s="348" t="str">
        <f t="shared" si="450"/>
        <v/>
      </c>
      <c r="T3556" s="348" t="str">
        <f t="shared" si="451"/>
        <v/>
      </c>
      <c r="U3556" s="348" t="str">
        <f t="shared" si="452"/>
        <v/>
      </c>
      <c r="V3556" s="348" t="str">
        <f t="shared" si="453"/>
        <v/>
      </c>
      <c r="W3556" s="348" t="str">
        <f t="shared" si="454"/>
        <v/>
      </c>
      <c r="X3556" s="348" t="str">
        <f t="shared" si="455"/>
        <v/>
      </c>
    </row>
    <row r="3557" spans="1:24" x14ac:dyDescent="0.2">
      <c r="A3557" s="407">
        <v>3549</v>
      </c>
      <c r="B3557" s="438"/>
      <c r="C3557" s="438"/>
      <c r="D3557" s="438"/>
      <c r="E3557" s="438"/>
      <c r="F3557" s="438"/>
      <c r="G3557" s="438"/>
      <c r="H3557" s="438"/>
      <c r="I3557" s="438"/>
      <c r="J3557" s="11"/>
      <c r="Q3557" s="348" t="str">
        <f t="shared" si="448"/>
        <v/>
      </c>
      <c r="R3557" s="348" t="str">
        <f t="shared" si="449"/>
        <v/>
      </c>
      <c r="S3557" s="348" t="str">
        <f t="shared" si="450"/>
        <v/>
      </c>
      <c r="T3557" s="348" t="str">
        <f t="shared" si="451"/>
        <v/>
      </c>
      <c r="U3557" s="348" t="str">
        <f t="shared" si="452"/>
        <v/>
      </c>
      <c r="V3557" s="348" t="str">
        <f t="shared" si="453"/>
        <v/>
      </c>
      <c r="W3557" s="348" t="str">
        <f t="shared" si="454"/>
        <v/>
      </c>
      <c r="X3557" s="348" t="str">
        <f t="shared" si="455"/>
        <v/>
      </c>
    </row>
    <row r="3558" spans="1:24" x14ac:dyDescent="0.2">
      <c r="A3558" s="407">
        <v>3550</v>
      </c>
      <c r="B3558" s="438"/>
      <c r="C3558" s="438"/>
      <c r="D3558" s="437"/>
      <c r="E3558" s="438"/>
      <c r="F3558" s="438"/>
      <c r="G3558" s="438"/>
      <c r="H3558" s="438"/>
      <c r="I3558" s="438"/>
      <c r="J3558" s="11"/>
      <c r="Q3558" s="348" t="str">
        <f t="shared" si="448"/>
        <v/>
      </c>
      <c r="R3558" s="348" t="str">
        <f t="shared" si="449"/>
        <v/>
      </c>
      <c r="S3558" s="348" t="str">
        <f t="shared" si="450"/>
        <v/>
      </c>
      <c r="T3558" s="348" t="str">
        <f t="shared" si="451"/>
        <v/>
      </c>
      <c r="U3558" s="348" t="str">
        <f t="shared" si="452"/>
        <v/>
      </c>
      <c r="V3558" s="348" t="str">
        <f t="shared" si="453"/>
        <v/>
      </c>
      <c r="W3558" s="348" t="str">
        <f t="shared" si="454"/>
        <v/>
      </c>
      <c r="X3558" s="348" t="str">
        <f t="shared" si="455"/>
        <v/>
      </c>
    </row>
    <row r="3559" spans="1:24" x14ac:dyDescent="0.2">
      <c r="A3559" s="407">
        <v>3551</v>
      </c>
      <c r="B3559" s="438"/>
      <c r="C3559" s="438"/>
      <c r="D3559" s="438"/>
      <c r="E3559" s="438"/>
      <c r="F3559" s="438"/>
      <c r="G3559" s="438"/>
      <c r="H3559" s="438"/>
      <c r="I3559" s="438"/>
      <c r="J3559" s="11"/>
      <c r="Q3559" s="348" t="str">
        <f t="shared" si="448"/>
        <v/>
      </c>
      <c r="R3559" s="348" t="str">
        <f t="shared" si="449"/>
        <v/>
      </c>
      <c r="S3559" s="348" t="str">
        <f t="shared" si="450"/>
        <v/>
      </c>
      <c r="T3559" s="348" t="str">
        <f t="shared" si="451"/>
        <v/>
      </c>
      <c r="U3559" s="348" t="str">
        <f t="shared" si="452"/>
        <v/>
      </c>
      <c r="V3559" s="348" t="str">
        <f t="shared" si="453"/>
        <v/>
      </c>
      <c r="W3559" s="348" t="str">
        <f t="shared" si="454"/>
        <v/>
      </c>
      <c r="X3559" s="348" t="str">
        <f t="shared" si="455"/>
        <v/>
      </c>
    </row>
    <row r="3560" spans="1:24" x14ac:dyDescent="0.2">
      <c r="A3560" s="407">
        <v>3552</v>
      </c>
      <c r="B3560" s="438"/>
      <c r="C3560" s="438"/>
      <c r="D3560" s="438"/>
      <c r="E3560" s="438"/>
      <c r="F3560" s="438"/>
      <c r="G3560" s="438"/>
      <c r="H3560" s="438"/>
      <c r="I3560" s="438"/>
      <c r="J3560" s="11"/>
      <c r="Q3560" s="348" t="str">
        <f t="shared" si="448"/>
        <v/>
      </c>
      <c r="R3560" s="348" t="str">
        <f t="shared" si="449"/>
        <v/>
      </c>
      <c r="S3560" s="348" t="str">
        <f t="shared" si="450"/>
        <v/>
      </c>
      <c r="T3560" s="348" t="str">
        <f t="shared" si="451"/>
        <v/>
      </c>
      <c r="U3560" s="348" t="str">
        <f t="shared" si="452"/>
        <v/>
      </c>
      <c r="V3560" s="348" t="str">
        <f t="shared" si="453"/>
        <v/>
      </c>
      <c r="W3560" s="348" t="str">
        <f t="shared" si="454"/>
        <v/>
      </c>
      <c r="X3560" s="348" t="str">
        <f t="shared" si="455"/>
        <v/>
      </c>
    </row>
    <row r="3561" spans="1:24" x14ac:dyDescent="0.2">
      <c r="A3561" s="407">
        <v>3553</v>
      </c>
      <c r="B3561" s="438"/>
      <c r="C3561" s="438"/>
      <c r="D3561" s="438"/>
      <c r="E3561" s="438"/>
      <c r="F3561" s="438"/>
      <c r="G3561" s="438"/>
      <c r="H3561" s="438"/>
      <c r="I3561" s="438"/>
      <c r="J3561" s="11"/>
      <c r="Q3561" s="348" t="str">
        <f t="shared" si="448"/>
        <v/>
      </c>
      <c r="R3561" s="348" t="str">
        <f t="shared" si="449"/>
        <v/>
      </c>
      <c r="S3561" s="348" t="str">
        <f t="shared" si="450"/>
        <v/>
      </c>
      <c r="T3561" s="348" t="str">
        <f t="shared" si="451"/>
        <v/>
      </c>
      <c r="U3561" s="348" t="str">
        <f t="shared" si="452"/>
        <v/>
      </c>
      <c r="V3561" s="348" t="str">
        <f t="shared" si="453"/>
        <v/>
      </c>
      <c r="W3561" s="348" t="str">
        <f t="shared" si="454"/>
        <v/>
      </c>
      <c r="X3561" s="348" t="str">
        <f t="shared" si="455"/>
        <v/>
      </c>
    </row>
    <row r="3562" spans="1:24" x14ac:dyDescent="0.2">
      <c r="A3562" s="407">
        <v>3554</v>
      </c>
      <c r="B3562" s="438"/>
      <c r="C3562" s="438"/>
      <c r="D3562" s="438"/>
      <c r="E3562" s="438"/>
      <c r="F3562" s="438"/>
      <c r="G3562" s="438"/>
      <c r="H3562" s="438"/>
      <c r="I3562" s="438"/>
      <c r="J3562" s="11"/>
      <c r="Q3562" s="348" t="str">
        <f t="shared" si="448"/>
        <v/>
      </c>
      <c r="R3562" s="348" t="str">
        <f t="shared" si="449"/>
        <v/>
      </c>
      <c r="S3562" s="348" t="str">
        <f t="shared" si="450"/>
        <v/>
      </c>
      <c r="T3562" s="348" t="str">
        <f t="shared" si="451"/>
        <v/>
      </c>
      <c r="U3562" s="348" t="str">
        <f t="shared" si="452"/>
        <v/>
      </c>
      <c r="V3562" s="348" t="str">
        <f t="shared" si="453"/>
        <v/>
      </c>
      <c r="W3562" s="348" t="str">
        <f t="shared" si="454"/>
        <v/>
      </c>
      <c r="X3562" s="348" t="str">
        <f t="shared" si="455"/>
        <v/>
      </c>
    </row>
    <row r="3563" spans="1:24" x14ac:dyDescent="0.2">
      <c r="A3563" s="407">
        <v>3555</v>
      </c>
      <c r="B3563" s="437"/>
      <c r="C3563" s="438"/>
      <c r="D3563" s="438"/>
      <c r="E3563" s="438"/>
      <c r="F3563" s="438"/>
      <c r="G3563" s="438"/>
      <c r="H3563" s="438"/>
      <c r="I3563" s="438"/>
      <c r="J3563" s="11"/>
      <c r="Q3563" s="348" t="str">
        <f t="shared" si="448"/>
        <v/>
      </c>
      <c r="R3563" s="348" t="str">
        <f t="shared" si="449"/>
        <v/>
      </c>
      <c r="S3563" s="348" t="str">
        <f t="shared" si="450"/>
        <v/>
      </c>
      <c r="T3563" s="348" t="str">
        <f t="shared" si="451"/>
        <v/>
      </c>
      <c r="U3563" s="348" t="str">
        <f t="shared" si="452"/>
        <v/>
      </c>
      <c r="V3563" s="348" t="str">
        <f t="shared" si="453"/>
        <v/>
      </c>
      <c r="W3563" s="348" t="str">
        <f t="shared" si="454"/>
        <v/>
      </c>
      <c r="X3563" s="348" t="str">
        <f t="shared" si="455"/>
        <v/>
      </c>
    </row>
    <row r="3564" spans="1:24" x14ac:dyDescent="0.2">
      <c r="A3564" s="407">
        <v>3556</v>
      </c>
      <c r="B3564" s="438"/>
      <c r="C3564" s="438"/>
      <c r="D3564" s="438"/>
      <c r="E3564" s="438"/>
      <c r="F3564" s="438"/>
      <c r="G3564" s="438"/>
      <c r="H3564" s="438"/>
      <c r="I3564" s="438"/>
      <c r="J3564" s="11"/>
      <c r="Q3564" s="348" t="str">
        <f t="shared" si="448"/>
        <v/>
      </c>
      <c r="R3564" s="348" t="str">
        <f t="shared" si="449"/>
        <v/>
      </c>
      <c r="S3564" s="348" t="str">
        <f t="shared" si="450"/>
        <v/>
      </c>
      <c r="T3564" s="348" t="str">
        <f t="shared" si="451"/>
        <v/>
      </c>
      <c r="U3564" s="348" t="str">
        <f t="shared" si="452"/>
        <v/>
      </c>
      <c r="V3564" s="348" t="str">
        <f t="shared" si="453"/>
        <v/>
      </c>
      <c r="W3564" s="348" t="str">
        <f t="shared" si="454"/>
        <v/>
      </c>
      <c r="X3564" s="348" t="str">
        <f t="shared" si="455"/>
        <v/>
      </c>
    </row>
    <row r="3565" spans="1:24" x14ac:dyDescent="0.2">
      <c r="A3565" s="407">
        <v>3557</v>
      </c>
      <c r="B3565" s="438"/>
      <c r="C3565" s="438"/>
      <c r="D3565" s="438"/>
      <c r="E3565" s="438"/>
      <c r="F3565" s="438"/>
      <c r="G3565" s="438"/>
      <c r="H3565" s="438"/>
      <c r="I3565" s="438"/>
      <c r="J3565" s="11"/>
      <c r="Q3565" s="348" t="str">
        <f t="shared" si="448"/>
        <v/>
      </c>
      <c r="R3565" s="348" t="str">
        <f t="shared" si="449"/>
        <v/>
      </c>
      <c r="S3565" s="348" t="str">
        <f t="shared" si="450"/>
        <v/>
      </c>
      <c r="T3565" s="348" t="str">
        <f t="shared" si="451"/>
        <v/>
      </c>
      <c r="U3565" s="348" t="str">
        <f t="shared" si="452"/>
        <v/>
      </c>
      <c r="V3565" s="348" t="str">
        <f t="shared" si="453"/>
        <v/>
      </c>
      <c r="W3565" s="348" t="str">
        <f t="shared" si="454"/>
        <v/>
      </c>
      <c r="X3565" s="348" t="str">
        <f t="shared" si="455"/>
        <v/>
      </c>
    </row>
    <row r="3566" spans="1:24" x14ac:dyDescent="0.2">
      <c r="A3566" s="407">
        <v>3558</v>
      </c>
      <c r="B3566" s="438"/>
      <c r="C3566" s="438"/>
      <c r="D3566" s="438"/>
      <c r="E3566" s="438"/>
      <c r="F3566" s="438"/>
      <c r="G3566" s="438"/>
      <c r="H3566" s="438"/>
      <c r="I3566" s="438"/>
      <c r="J3566" s="11"/>
      <c r="Q3566" s="348" t="str">
        <f t="shared" si="448"/>
        <v/>
      </c>
      <c r="R3566" s="348" t="str">
        <f t="shared" si="449"/>
        <v/>
      </c>
      <c r="S3566" s="348" t="str">
        <f t="shared" si="450"/>
        <v/>
      </c>
      <c r="T3566" s="348" t="str">
        <f t="shared" si="451"/>
        <v/>
      </c>
      <c r="U3566" s="348" t="str">
        <f t="shared" si="452"/>
        <v/>
      </c>
      <c r="V3566" s="348" t="str">
        <f t="shared" si="453"/>
        <v/>
      </c>
      <c r="W3566" s="348" t="str">
        <f t="shared" si="454"/>
        <v/>
      </c>
      <c r="X3566" s="348" t="str">
        <f t="shared" si="455"/>
        <v/>
      </c>
    </row>
    <row r="3567" spans="1:24" x14ac:dyDescent="0.2">
      <c r="A3567" s="407">
        <v>3559</v>
      </c>
      <c r="B3567" s="438"/>
      <c r="C3567" s="438"/>
      <c r="D3567" s="438"/>
      <c r="E3567" s="438"/>
      <c r="F3567" s="438"/>
      <c r="G3567" s="438"/>
      <c r="H3567" s="438"/>
      <c r="I3567" s="438"/>
      <c r="J3567" s="11"/>
      <c r="Q3567" s="348" t="str">
        <f t="shared" si="448"/>
        <v/>
      </c>
      <c r="R3567" s="348" t="str">
        <f t="shared" si="449"/>
        <v/>
      </c>
      <c r="S3567" s="348" t="str">
        <f t="shared" si="450"/>
        <v/>
      </c>
      <c r="T3567" s="348" t="str">
        <f t="shared" si="451"/>
        <v/>
      </c>
      <c r="U3567" s="348" t="str">
        <f t="shared" si="452"/>
        <v/>
      </c>
      <c r="V3567" s="348" t="str">
        <f t="shared" si="453"/>
        <v/>
      </c>
      <c r="W3567" s="348" t="str">
        <f t="shared" si="454"/>
        <v/>
      </c>
      <c r="X3567" s="348" t="str">
        <f t="shared" si="455"/>
        <v/>
      </c>
    </row>
    <row r="3568" spans="1:24" x14ac:dyDescent="0.2">
      <c r="A3568" s="407">
        <v>3560</v>
      </c>
      <c r="B3568" s="438"/>
      <c r="C3568" s="438"/>
      <c r="D3568" s="438"/>
      <c r="E3568" s="438"/>
      <c r="F3568" s="438"/>
      <c r="G3568" s="438"/>
      <c r="H3568" s="438"/>
      <c r="I3568" s="438"/>
      <c r="J3568" s="11"/>
      <c r="Q3568" s="348" t="str">
        <f t="shared" si="448"/>
        <v/>
      </c>
      <c r="R3568" s="348" t="str">
        <f t="shared" si="449"/>
        <v/>
      </c>
      <c r="S3568" s="348" t="str">
        <f t="shared" si="450"/>
        <v/>
      </c>
      <c r="T3568" s="348" t="str">
        <f t="shared" si="451"/>
        <v/>
      </c>
      <c r="U3568" s="348" t="str">
        <f t="shared" si="452"/>
        <v/>
      </c>
      <c r="V3568" s="348" t="str">
        <f t="shared" si="453"/>
        <v/>
      </c>
      <c r="W3568" s="348" t="str">
        <f t="shared" si="454"/>
        <v/>
      </c>
      <c r="X3568" s="348" t="str">
        <f t="shared" si="455"/>
        <v/>
      </c>
    </row>
    <row r="3569" spans="1:24" x14ac:dyDescent="0.2">
      <c r="A3569" s="407">
        <v>3561</v>
      </c>
      <c r="B3569" s="438"/>
      <c r="C3569" s="438"/>
      <c r="D3569" s="438"/>
      <c r="E3569" s="438"/>
      <c r="F3569" s="438"/>
      <c r="G3569" s="438"/>
      <c r="H3569" s="438"/>
      <c r="I3569" s="438"/>
      <c r="J3569" s="11"/>
      <c r="Q3569" s="348" t="str">
        <f t="shared" si="448"/>
        <v/>
      </c>
      <c r="R3569" s="348" t="str">
        <f t="shared" si="449"/>
        <v/>
      </c>
      <c r="S3569" s="348" t="str">
        <f t="shared" si="450"/>
        <v/>
      </c>
      <c r="T3569" s="348" t="str">
        <f t="shared" si="451"/>
        <v/>
      </c>
      <c r="U3569" s="348" t="str">
        <f t="shared" si="452"/>
        <v/>
      </c>
      <c r="V3569" s="348" t="str">
        <f t="shared" si="453"/>
        <v/>
      </c>
      <c r="W3569" s="348" t="str">
        <f t="shared" si="454"/>
        <v/>
      </c>
      <c r="X3569" s="348" t="str">
        <f t="shared" si="455"/>
        <v/>
      </c>
    </row>
    <row r="3570" spans="1:24" x14ac:dyDescent="0.2">
      <c r="A3570" s="407">
        <v>3562</v>
      </c>
      <c r="B3570" s="438"/>
      <c r="C3570" s="438"/>
      <c r="D3570" s="438"/>
      <c r="E3570" s="438"/>
      <c r="F3570" s="438"/>
      <c r="G3570" s="438"/>
      <c r="H3570" s="438"/>
      <c r="I3570" s="438"/>
      <c r="J3570" s="11"/>
      <c r="Q3570" s="348" t="str">
        <f t="shared" si="448"/>
        <v/>
      </c>
      <c r="R3570" s="348" t="str">
        <f t="shared" si="449"/>
        <v/>
      </c>
      <c r="S3570" s="348" t="str">
        <f t="shared" si="450"/>
        <v/>
      </c>
      <c r="T3570" s="348" t="str">
        <f t="shared" si="451"/>
        <v/>
      </c>
      <c r="U3570" s="348" t="str">
        <f t="shared" si="452"/>
        <v/>
      </c>
      <c r="V3570" s="348" t="str">
        <f t="shared" si="453"/>
        <v/>
      </c>
      <c r="W3570" s="348" t="str">
        <f t="shared" si="454"/>
        <v/>
      </c>
      <c r="X3570" s="348" t="str">
        <f t="shared" si="455"/>
        <v/>
      </c>
    </row>
    <row r="3571" spans="1:24" x14ac:dyDescent="0.2">
      <c r="A3571" s="407">
        <v>3563</v>
      </c>
      <c r="B3571" s="438"/>
      <c r="C3571" s="437"/>
      <c r="D3571" s="438"/>
      <c r="E3571" s="438"/>
      <c r="F3571" s="438"/>
      <c r="G3571" s="438"/>
      <c r="H3571" s="438"/>
      <c r="I3571" s="438"/>
      <c r="J3571" s="11"/>
      <c r="Q3571" s="348" t="str">
        <f t="shared" si="448"/>
        <v/>
      </c>
      <c r="R3571" s="348" t="str">
        <f t="shared" si="449"/>
        <v/>
      </c>
      <c r="S3571" s="348" t="str">
        <f t="shared" si="450"/>
        <v/>
      </c>
      <c r="T3571" s="348" t="str">
        <f t="shared" si="451"/>
        <v/>
      </c>
      <c r="U3571" s="348" t="str">
        <f t="shared" si="452"/>
        <v/>
      </c>
      <c r="V3571" s="348" t="str">
        <f t="shared" si="453"/>
        <v/>
      </c>
      <c r="W3571" s="348" t="str">
        <f t="shared" si="454"/>
        <v/>
      </c>
      <c r="X3571" s="348" t="str">
        <f t="shared" si="455"/>
        <v/>
      </c>
    </row>
    <row r="3572" spans="1:24" x14ac:dyDescent="0.2">
      <c r="A3572" s="407">
        <v>3564</v>
      </c>
      <c r="B3572" s="438"/>
      <c r="C3572" s="438"/>
      <c r="D3572" s="438"/>
      <c r="E3572" s="437"/>
      <c r="F3572" s="438"/>
      <c r="G3572" s="438"/>
      <c r="H3572" s="438"/>
      <c r="I3572" s="438"/>
      <c r="J3572" s="11"/>
      <c r="Q3572" s="348" t="str">
        <f t="shared" si="448"/>
        <v/>
      </c>
      <c r="R3572" s="348" t="str">
        <f t="shared" si="449"/>
        <v/>
      </c>
      <c r="S3572" s="348" t="str">
        <f t="shared" si="450"/>
        <v/>
      </c>
      <c r="T3572" s="348" t="str">
        <f t="shared" si="451"/>
        <v/>
      </c>
      <c r="U3572" s="348" t="str">
        <f t="shared" si="452"/>
        <v/>
      </c>
      <c r="V3572" s="348" t="str">
        <f t="shared" si="453"/>
        <v/>
      </c>
      <c r="W3572" s="348" t="str">
        <f t="shared" si="454"/>
        <v/>
      </c>
      <c r="X3572" s="348" t="str">
        <f t="shared" si="455"/>
        <v/>
      </c>
    </row>
    <row r="3573" spans="1:24" x14ac:dyDescent="0.2">
      <c r="A3573" s="407">
        <v>3565</v>
      </c>
      <c r="B3573" s="438"/>
      <c r="C3573" s="438"/>
      <c r="D3573" s="438"/>
      <c r="E3573" s="438"/>
      <c r="F3573" s="438"/>
      <c r="G3573" s="438"/>
      <c r="H3573" s="438"/>
      <c r="I3573" s="438"/>
      <c r="J3573" s="11"/>
      <c r="Q3573" s="348" t="str">
        <f t="shared" si="448"/>
        <v/>
      </c>
      <c r="R3573" s="348" t="str">
        <f t="shared" si="449"/>
        <v/>
      </c>
      <c r="S3573" s="348" t="str">
        <f t="shared" si="450"/>
        <v/>
      </c>
      <c r="T3573" s="348" t="str">
        <f t="shared" si="451"/>
        <v/>
      </c>
      <c r="U3573" s="348" t="str">
        <f t="shared" si="452"/>
        <v/>
      </c>
      <c r="V3573" s="348" t="str">
        <f t="shared" si="453"/>
        <v/>
      </c>
      <c r="W3573" s="348" t="str">
        <f t="shared" si="454"/>
        <v/>
      </c>
      <c r="X3573" s="348" t="str">
        <f t="shared" si="455"/>
        <v/>
      </c>
    </row>
    <row r="3574" spans="1:24" x14ac:dyDescent="0.2">
      <c r="A3574" s="407">
        <v>3566</v>
      </c>
      <c r="B3574" s="438"/>
      <c r="C3574" s="438"/>
      <c r="D3574" s="438"/>
      <c r="E3574" s="438"/>
      <c r="F3574" s="438"/>
      <c r="G3574" s="438"/>
      <c r="H3574" s="438"/>
      <c r="I3574" s="438"/>
      <c r="J3574" s="11"/>
      <c r="Q3574" s="348" t="str">
        <f t="shared" si="448"/>
        <v/>
      </c>
      <c r="R3574" s="348" t="str">
        <f t="shared" si="449"/>
        <v/>
      </c>
      <c r="S3574" s="348" t="str">
        <f t="shared" si="450"/>
        <v/>
      </c>
      <c r="T3574" s="348" t="str">
        <f t="shared" si="451"/>
        <v/>
      </c>
      <c r="U3574" s="348" t="str">
        <f t="shared" si="452"/>
        <v/>
      </c>
      <c r="V3574" s="348" t="str">
        <f t="shared" si="453"/>
        <v/>
      </c>
      <c r="W3574" s="348" t="str">
        <f t="shared" si="454"/>
        <v/>
      </c>
      <c r="X3574" s="348" t="str">
        <f t="shared" si="455"/>
        <v/>
      </c>
    </row>
    <row r="3575" spans="1:24" x14ac:dyDescent="0.2">
      <c r="A3575" s="407">
        <v>3567</v>
      </c>
      <c r="B3575" s="438"/>
      <c r="C3575" s="438"/>
      <c r="D3575" s="438"/>
      <c r="E3575" s="438"/>
      <c r="F3575" s="438"/>
      <c r="G3575" s="438"/>
      <c r="H3575" s="438"/>
      <c r="I3575" s="438"/>
      <c r="J3575" s="11"/>
      <c r="Q3575" s="348" t="str">
        <f t="shared" si="448"/>
        <v/>
      </c>
      <c r="R3575" s="348" t="str">
        <f t="shared" si="449"/>
        <v/>
      </c>
      <c r="S3575" s="348" t="str">
        <f t="shared" si="450"/>
        <v/>
      </c>
      <c r="T3575" s="348" t="str">
        <f t="shared" si="451"/>
        <v/>
      </c>
      <c r="U3575" s="348" t="str">
        <f t="shared" si="452"/>
        <v/>
      </c>
      <c r="V3575" s="348" t="str">
        <f t="shared" si="453"/>
        <v/>
      </c>
      <c r="W3575" s="348" t="str">
        <f t="shared" si="454"/>
        <v/>
      </c>
      <c r="X3575" s="348" t="str">
        <f t="shared" si="455"/>
        <v/>
      </c>
    </row>
    <row r="3576" spans="1:24" x14ac:dyDescent="0.2">
      <c r="A3576" s="407">
        <v>3568</v>
      </c>
      <c r="B3576" s="438"/>
      <c r="C3576" s="438"/>
      <c r="D3576" s="438"/>
      <c r="E3576" s="438"/>
      <c r="F3576" s="438"/>
      <c r="G3576" s="438"/>
      <c r="H3576" s="438"/>
      <c r="I3576" s="438"/>
      <c r="J3576" s="11"/>
      <c r="Q3576" s="348" t="str">
        <f t="shared" si="448"/>
        <v/>
      </c>
      <c r="R3576" s="348" t="str">
        <f t="shared" si="449"/>
        <v/>
      </c>
      <c r="S3576" s="348" t="str">
        <f t="shared" si="450"/>
        <v/>
      </c>
      <c r="T3576" s="348" t="str">
        <f t="shared" si="451"/>
        <v/>
      </c>
      <c r="U3576" s="348" t="str">
        <f t="shared" si="452"/>
        <v/>
      </c>
      <c r="V3576" s="348" t="str">
        <f t="shared" si="453"/>
        <v/>
      </c>
      <c r="W3576" s="348" t="str">
        <f t="shared" si="454"/>
        <v/>
      </c>
      <c r="X3576" s="348" t="str">
        <f t="shared" si="455"/>
        <v/>
      </c>
    </row>
    <row r="3577" spans="1:24" x14ac:dyDescent="0.2">
      <c r="A3577" s="407">
        <v>3569</v>
      </c>
      <c r="B3577" s="438"/>
      <c r="C3577" s="438"/>
      <c r="D3577" s="438"/>
      <c r="E3577" s="438"/>
      <c r="F3577" s="438"/>
      <c r="G3577" s="438"/>
      <c r="H3577" s="438"/>
      <c r="I3577" s="438"/>
      <c r="J3577" s="11"/>
      <c r="Q3577" s="348" t="str">
        <f t="shared" si="448"/>
        <v/>
      </c>
      <c r="R3577" s="348" t="str">
        <f t="shared" si="449"/>
        <v/>
      </c>
      <c r="S3577" s="348" t="str">
        <f t="shared" si="450"/>
        <v/>
      </c>
      <c r="T3577" s="348" t="str">
        <f t="shared" si="451"/>
        <v/>
      </c>
      <c r="U3577" s="348" t="str">
        <f t="shared" si="452"/>
        <v/>
      </c>
      <c r="V3577" s="348" t="str">
        <f t="shared" si="453"/>
        <v/>
      </c>
      <c r="W3577" s="348" t="str">
        <f t="shared" si="454"/>
        <v/>
      </c>
      <c r="X3577" s="348" t="str">
        <f t="shared" si="455"/>
        <v/>
      </c>
    </row>
    <row r="3578" spans="1:24" x14ac:dyDescent="0.2">
      <c r="A3578" s="407">
        <v>3570</v>
      </c>
      <c r="B3578" s="438"/>
      <c r="C3578" s="438"/>
      <c r="D3578" s="438"/>
      <c r="E3578" s="438"/>
      <c r="F3578" s="438"/>
      <c r="G3578" s="438"/>
      <c r="H3578" s="438"/>
      <c r="I3578" s="438"/>
      <c r="J3578" s="11"/>
      <c r="Q3578" s="348" t="str">
        <f t="shared" si="448"/>
        <v/>
      </c>
      <c r="R3578" s="348" t="str">
        <f t="shared" si="449"/>
        <v/>
      </c>
      <c r="S3578" s="348" t="str">
        <f t="shared" si="450"/>
        <v/>
      </c>
      <c r="T3578" s="348" t="str">
        <f t="shared" si="451"/>
        <v/>
      </c>
      <c r="U3578" s="348" t="str">
        <f t="shared" si="452"/>
        <v/>
      </c>
      <c r="V3578" s="348" t="str">
        <f t="shared" si="453"/>
        <v/>
      </c>
      <c r="W3578" s="348" t="str">
        <f t="shared" si="454"/>
        <v/>
      </c>
      <c r="X3578" s="348" t="str">
        <f t="shared" si="455"/>
        <v/>
      </c>
    </row>
    <row r="3579" spans="1:24" x14ac:dyDescent="0.2">
      <c r="A3579" s="407">
        <v>3571</v>
      </c>
      <c r="B3579" s="438"/>
      <c r="C3579" s="438"/>
      <c r="D3579" s="438"/>
      <c r="E3579" s="438"/>
      <c r="F3579" s="438"/>
      <c r="G3579" s="438"/>
      <c r="H3579" s="438"/>
      <c r="I3579" s="438"/>
      <c r="J3579" s="11"/>
      <c r="Q3579" s="348" t="str">
        <f t="shared" si="448"/>
        <v/>
      </c>
      <c r="R3579" s="348" t="str">
        <f t="shared" si="449"/>
        <v/>
      </c>
      <c r="S3579" s="348" t="str">
        <f t="shared" si="450"/>
        <v/>
      </c>
      <c r="T3579" s="348" t="str">
        <f t="shared" si="451"/>
        <v/>
      </c>
      <c r="U3579" s="348" t="str">
        <f t="shared" si="452"/>
        <v/>
      </c>
      <c r="V3579" s="348" t="str">
        <f t="shared" si="453"/>
        <v/>
      </c>
      <c r="W3579" s="348" t="str">
        <f t="shared" si="454"/>
        <v/>
      </c>
      <c r="X3579" s="348" t="str">
        <f t="shared" si="455"/>
        <v/>
      </c>
    </row>
    <row r="3580" spans="1:24" x14ac:dyDescent="0.2">
      <c r="A3580" s="407">
        <v>3572</v>
      </c>
      <c r="B3580" s="438"/>
      <c r="C3580" s="438"/>
      <c r="D3580" s="438"/>
      <c r="E3580" s="438"/>
      <c r="F3580" s="438"/>
      <c r="G3580" s="438"/>
      <c r="H3580" s="438"/>
      <c r="I3580" s="438"/>
      <c r="J3580" s="11"/>
      <c r="Q3580" s="348" t="str">
        <f t="shared" si="448"/>
        <v/>
      </c>
      <c r="R3580" s="348" t="str">
        <f t="shared" si="449"/>
        <v/>
      </c>
      <c r="S3580" s="348" t="str">
        <f t="shared" si="450"/>
        <v/>
      </c>
      <c r="T3580" s="348" t="str">
        <f t="shared" si="451"/>
        <v/>
      </c>
      <c r="U3580" s="348" t="str">
        <f t="shared" si="452"/>
        <v/>
      </c>
      <c r="V3580" s="348" t="str">
        <f t="shared" si="453"/>
        <v/>
      </c>
      <c r="W3580" s="348" t="str">
        <f t="shared" si="454"/>
        <v/>
      </c>
      <c r="X3580" s="348" t="str">
        <f t="shared" si="455"/>
        <v/>
      </c>
    </row>
    <row r="3581" spans="1:24" x14ac:dyDescent="0.2">
      <c r="A3581" s="407">
        <v>3573</v>
      </c>
      <c r="B3581" s="438"/>
      <c r="C3581" s="438"/>
      <c r="D3581" s="438"/>
      <c r="E3581" s="438"/>
      <c r="F3581" s="438"/>
      <c r="G3581" s="438"/>
      <c r="H3581" s="438"/>
      <c r="I3581" s="438"/>
      <c r="J3581" s="11"/>
      <c r="Q3581" s="348" t="str">
        <f t="shared" si="448"/>
        <v/>
      </c>
      <c r="R3581" s="348" t="str">
        <f t="shared" si="449"/>
        <v/>
      </c>
      <c r="S3581" s="348" t="str">
        <f t="shared" si="450"/>
        <v/>
      </c>
      <c r="T3581" s="348" t="str">
        <f t="shared" si="451"/>
        <v/>
      </c>
      <c r="U3581" s="348" t="str">
        <f t="shared" si="452"/>
        <v/>
      </c>
      <c r="V3581" s="348" t="str">
        <f t="shared" si="453"/>
        <v/>
      </c>
      <c r="W3581" s="348" t="str">
        <f t="shared" si="454"/>
        <v/>
      </c>
      <c r="X3581" s="348" t="str">
        <f t="shared" si="455"/>
        <v/>
      </c>
    </row>
    <row r="3582" spans="1:24" x14ac:dyDescent="0.2">
      <c r="A3582" s="407">
        <v>3574</v>
      </c>
      <c r="B3582" s="437"/>
      <c r="C3582" s="438"/>
      <c r="D3582" s="438"/>
      <c r="E3582" s="438"/>
      <c r="F3582" s="438"/>
      <c r="G3582" s="438"/>
      <c r="H3582" s="438"/>
      <c r="I3582" s="438"/>
      <c r="J3582" s="11"/>
      <c r="Q3582" s="348" t="str">
        <f t="shared" si="448"/>
        <v/>
      </c>
      <c r="R3582" s="348" t="str">
        <f t="shared" si="449"/>
        <v/>
      </c>
      <c r="S3582" s="348" t="str">
        <f t="shared" si="450"/>
        <v/>
      </c>
      <c r="T3582" s="348" t="str">
        <f t="shared" si="451"/>
        <v/>
      </c>
      <c r="U3582" s="348" t="str">
        <f t="shared" si="452"/>
        <v/>
      </c>
      <c r="V3582" s="348" t="str">
        <f t="shared" si="453"/>
        <v/>
      </c>
      <c r="W3582" s="348" t="str">
        <f t="shared" si="454"/>
        <v/>
      </c>
      <c r="X3582" s="348" t="str">
        <f t="shared" si="455"/>
        <v/>
      </c>
    </row>
    <row r="3583" spans="1:24" x14ac:dyDescent="0.2">
      <c r="A3583" s="407">
        <v>3575</v>
      </c>
      <c r="B3583" s="438"/>
      <c r="C3583" s="438"/>
      <c r="D3583" s="438"/>
      <c r="E3583" s="438"/>
      <c r="F3583" s="438"/>
      <c r="G3583" s="438"/>
      <c r="H3583" s="438"/>
      <c r="I3583" s="438"/>
      <c r="J3583" s="11"/>
      <c r="Q3583" s="348" t="str">
        <f t="shared" si="448"/>
        <v/>
      </c>
      <c r="R3583" s="348" t="str">
        <f t="shared" si="449"/>
        <v/>
      </c>
      <c r="S3583" s="348" t="str">
        <f t="shared" si="450"/>
        <v/>
      </c>
      <c r="T3583" s="348" t="str">
        <f t="shared" si="451"/>
        <v/>
      </c>
      <c r="U3583" s="348" t="str">
        <f t="shared" si="452"/>
        <v/>
      </c>
      <c r="V3583" s="348" t="str">
        <f t="shared" si="453"/>
        <v/>
      </c>
      <c r="W3583" s="348" t="str">
        <f t="shared" si="454"/>
        <v/>
      </c>
      <c r="X3583" s="348" t="str">
        <f t="shared" si="455"/>
        <v/>
      </c>
    </row>
    <row r="3584" spans="1:24" x14ac:dyDescent="0.2">
      <c r="A3584" s="407">
        <v>3576</v>
      </c>
      <c r="B3584" s="438"/>
      <c r="C3584" s="437"/>
      <c r="D3584" s="438"/>
      <c r="E3584" s="438"/>
      <c r="F3584" s="438"/>
      <c r="G3584" s="438"/>
      <c r="H3584" s="438"/>
      <c r="I3584" s="438"/>
      <c r="J3584" s="11"/>
      <c r="Q3584" s="348" t="str">
        <f t="shared" si="448"/>
        <v/>
      </c>
      <c r="R3584" s="348" t="str">
        <f t="shared" si="449"/>
        <v/>
      </c>
      <c r="S3584" s="348" t="str">
        <f t="shared" si="450"/>
        <v/>
      </c>
      <c r="T3584" s="348" t="str">
        <f t="shared" si="451"/>
        <v/>
      </c>
      <c r="U3584" s="348" t="str">
        <f t="shared" si="452"/>
        <v/>
      </c>
      <c r="V3584" s="348" t="str">
        <f t="shared" si="453"/>
        <v/>
      </c>
      <c r="W3584" s="348" t="str">
        <f t="shared" si="454"/>
        <v/>
      </c>
      <c r="X3584" s="348" t="str">
        <f t="shared" si="455"/>
        <v/>
      </c>
    </row>
    <row r="3585" spans="1:24" x14ac:dyDescent="0.2">
      <c r="A3585" s="407">
        <v>3577</v>
      </c>
      <c r="B3585" s="438"/>
      <c r="C3585" s="438"/>
      <c r="D3585" s="438"/>
      <c r="E3585" s="438"/>
      <c r="F3585" s="438"/>
      <c r="G3585" s="438"/>
      <c r="H3585" s="438"/>
      <c r="I3585" s="438"/>
      <c r="J3585" s="11"/>
      <c r="Q3585" s="348" t="str">
        <f t="shared" si="448"/>
        <v/>
      </c>
      <c r="R3585" s="348" t="str">
        <f t="shared" si="449"/>
        <v/>
      </c>
      <c r="S3585" s="348" t="str">
        <f t="shared" si="450"/>
        <v/>
      </c>
      <c r="T3585" s="348" t="str">
        <f t="shared" si="451"/>
        <v/>
      </c>
      <c r="U3585" s="348" t="str">
        <f t="shared" si="452"/>
        <v/>
      </c>
      <c r="V3585" s="348" t="str">
        <f t="shared" si="453"/>
        <v/>
      </c>
      <c r="W3585" s="348" t="str">
        <f t="shared" si="454"/>
        <v/>
      </c>
      <c r="X3585" s="348" t="str">
        <f t="shared" si="455"/>
        <v/>
      </c>
    </row>
    <row r="3586" spans="1:24" x14ac:dyDescent="0.2">
      <c r="A3586" s="407">
        <v>3578</v>
      </c>
      <c r="B3586" s="438"/>
      <c r="C3586" s="438"/>
      <c r="D3586" s="438"/>
      <c r="E3586" s="438"/>
      <c r="F3586" s="438"/>
      <c r="G3586" s="438"/>
      <c r="H3586" s="438"/>
      <c r="I3586" s="438"/>
      <c r="J3586" s="11"/>
      <c r="Q3586" s="348" t="str">
        <f t="shared" si="448"/>
        <v/>
      </c>
      <c r="R3586" s="348" t="str">
        <f t="shared" si="449"/>
        <v/>
      </c>
      <c r="S3586" s="348" t="str">
        <f t="shared" si="450"/>
        <v/>
      </c>
      <c r="T3586" s="348" t="str">
        <f t="shared" si="451"/>
        <v/>
      </c>
      <c r="U3586" s="348" t="str">
        <f t="shared" si="452"/>
        <v/>
      </c>
      <c r="V3586" s="348" t="str">
        <f t="shared" si="453"/>
        <v/>
      </c>
      <c r="W3586" s="348" t="str">
        <f t="shared" si="454"/>
        <v/>
      </c>
      <c r="X3586" s="348" t="str">
        <f t="shared" si="455"/>
        <v/>
      </c>
    </row>
    <row r="3587" spans="1:24" x14ac:dyDescent="0.2">
      <c r="A3587" s="407">
        <v>3579</v>
      </c>
      <c r="B3587" s="438"/>
      <c r="C3587" s="438"/>
      <c r="D3587" s="438"/>
      <c r="E3587" s="438"/>
      <c r="F3587" s="438"/>
      <c r="G3587" s="438"/>
      <c r="H3587" s="438"/>
      <c r="I3587" s="438"/>
      <c r="J3587" s="11"/>
      <c r="Q3587" s="348" t="str">
        <f t="shared" si="448"/>
        <v/>
      </c>
      <c r="R3587" s="348" t="str">
        <f t="shared" si="449"/>
        <v/>
      </c>
      <c r="S3587" s="348" t="str">
        <f t="shared" si="450"/>
        <v/>
      </c>
      <c r="T3587" s="348" t="str">
        <f t="shared" si="451"/>
        <v/>
      </c>
      <c r="U3587" s="348" t="str">
        <f t="shared" si="452"/>
        <v/>
      </c>
      <c r="V3587" s="348" t="str">
        <f t="shared" si="453"/>
        <v/>
      </c>
      <c r="W3587" s="348" t="str">
        <f t="shared" si="454"/>
        <v/>
      </c>
      <c r="X3587" s="348" t="str">
        <f t="shared" si="455"/>
        <v/>
      </c>
    </row>
    <row r="3588" spans="1:24" x14ac:dyDescent="0.2">
      <c r="A3588" s="407">
        <v>3580</v>
      </c>
      <c r="B3588" s="438"/>
      <c r="C3588" s="438"/>
      <c r="D3588" s="438"/>
      <c r="E3588" s="438"/>
      <c r="F3588" s="438"/>
      <c r="G3588" s="438"/>
      <c r="H3588" s="438"/>
      <c r="I3588" s="438"/>
      <c r="J3588" s="11"/>
      <c r="Q3588" s="348" t="str">
        <f t="shared" si="448"/>
        <v/>
      </c>
      <c r="R3588" s="348" t="str">
        <f t="shared" si="449"/>
        <v/>
      </c>
      <c r="S3588" s="348" t="str">
        <f t="shared" si="450"/>
        <v/>
      </c>
      <c r="T3588" s="348" t="str">
        <f t="shared" si="451"/>
        <v/>
      </c>
      <c r="U3588" s="348" t="str">
        <f t="shared" si="452"/>
        <v/>
      </c>
      <c r="V3588" s="348" t="str">
        <f t="shared" si="453"/>
        <v/>
      </c>
      <c r="W3588" s="348" t="str">
        <f t="shared" si="454"/>
        <v/>
      </c>
      <c r="X3588" s="348" t="str">
        <f t="shared" si="455"/>
        <v/>
      </c>
    </row>
    <row r="3589" spans="1:24" x14ac:dyDescent="0.2">
      <c r="A3589" s="407">
        <v>3581</v>
      </c>
      <c r="B3589" s="438"/>
      <c r="C3589" s="438"/>
      <c r="D3589" s="438"/>
      <c r="E3589" s="438"/>
      <c r="F3589" s="438"/>
      <c r="G3589" s="438"/>
      <c r="H3589" s="438"/>
      <c r="I3589" s="438"/>
      <c r="J3589" s="11"/>
      <c r="Q3589" s="348" t="str">
        <f t="shared" si="448"/>
        <v/>
      </c>
      <c r="R3589" s="348" t="str">
        <f t="shared" si="449"/>
        <v/>
      </c>
      <c r="S3589" s="348" t="str">
        <f t="shared" si="450"/>
        <v/>
      </c>
      <c r="T3589" s="348" t="str">
        <f t="shared" si="451"/>
        <v/>
      </c>
      <c r="U3589" s="348" t="str">
        <f t="shared" si="452"/>
        <v/>
      </c>
      <c r="V3589" s="348" t="str">
        <f t="shared" si="453"/>
        <v/>
      </c>
      <c r="W3589" s="348" t="str">
        <f t="shared" si="454"/>
        <v/>
      </c>
      <c r="X3589" s="348" t="str">
        <f t="shared" si="455"/>
        <v/>
      </c>
    </row>
    <row r="3590" spans="1:24" x14ac:dyDescent="0.2">
      <c r="A3590" s="407">
        <v>3582</v>
      </c>
      <c r="B3590" s="437"/>
      <c r="C3590" s="438"/>
      <c r="D3590" s="438"/>
      <c r="E3590" s="438"/>
      <c r="F3590" s="438"/>
      <c r="G3590" s="438"/>
      <c r="H3590" s="438"/>
      <c r="I3590" s="438"/>
      <c r="J3590" s="11"/>
      <c r="Q3590" s="348" t="str">
        <f t="shared" si="448"/>
        <v/>
      </c>
      <c r="R3590" s="348" t="str">
        <f t="shared" si="449"/>
        <v/>
      </c>
      <c r="S3590" s="348" t="str">
        <f t="shared" si="450"/>
        <v/>
      </c>
      <c r="T3590" s="348" t="str">
        <f t="shared" si="451"/>
        <v/>
      </c>
      <c r="U3590" s="348" t="str">
        <f t="shared" si="452"/>
        <v/>
      </c>
      <c r="V3590" s="348" t="str">
        <f t="shared" si="453"/>
        <v/>
      </c>
      <c r="W3590" s="348" t="str">
        <f t="shared" si="454"/>
        <v/>
      </c>
      <c r="X3590" s="348" t="str">
        <f t="shared" si="455"/>
        <v/>
      </c>
    </row>
    <row r="3591" spans="1:24" x14ac:dyDescent="0.2">
      <c r="A3591" s="407">
        <v>3583</v>
      </c>
      <c r="B3591" s="438"/>
      <c r="C3591" s="438"/>
      <c r="D3591" s="438"/>
      <c r="E3591" s="438"/>
      <c r="F3591" s="438"/>
      <c r="G3591" s="438"/>
      <c r="H3591" s="438"/>
      <c r="I3591" s="438"/>
      <c r="J3591" s="11"/>
      <c r="Q3591" s="348" t="str">
        <f t="shared" si="448"/>
        <v/>
      </c>
      <c r="R3591" s="348" t="str">
        <f t="shared" si="449"/>
        <v/>
      </c>
      <c r="S3591" s="348" t="str">
        <f t="shared" si="450"/>
        <v/>
      </c>
      <c r="T3591" s="348" t="str">
        <f t="shared" si="451"/>
        <v/>
      </c>
      <c r="U3591" s="348" t="str">
        <f t="shared" si="452"/>
        <v/>
      </c>
      <c r="V3591" s="348" t="str">
        <f t="shared" si="453"/>
        <v/>
      </c>
      <c r="W3591" s="348" t="str">
        <f t="shared" si="454"/>
        <v/>
      </c>
      <c r="X3591" s="348" t="str">
        <f t="shared" si="455"/>
        <v/>
      </c>
    </row>
    <row r="3592" spans="1:24" x14ac:dyDescent="0.2">
      <c r="A3592" s="407">
        <v>3584</v>
      </c>
      <c r="B3592" s="438"/>
      <c r="C3592" s="438"/>
      <c r="D3592" s="438"/>
      <c r="E3592" s="438"/>
      <c r="F3592" s="438"/>
      <c r="G3592" s="438"/>
      <c r="H3592" s="438"/>
      <c r="I3592" s="438"/>
      <c r="J3592" s="11"/>
      <c r="Q3592" s="348" t="str">
        <f t="shared" si="448"/>
        <v/>
      </c>
      <c r="R3592" s="348" t="str">
        <f t="shared" si="449"/>
        <v/>
      </c>
      <c r="S3592" s="348" t="str">
        <f t="shared" si="450"/>
        <v/>
      </c>
      <c r="T3592" s="348" t="str">
        <f t="shared" si="451"/>
        <v/>
      </c>
      <c r="U3592" s="348" t="str">
        <f t="shared" si="452"/>
        <v/>
      </c>
      <c r="V3592" s="348" t="str">
        <f t="shared" si="453"/>
        <v/>
      </c>
      <c r="W3592" s="348" t="str">
        <f t="shared" si="454"/>
        <v/>
      </c>
      <c r="X3592" s="348" t="str">
        <f t="shared" si="455"/>
        <v/>
      </c>
    </row>
    <row r="3593" spans="1:24" x14ac:dyDescent="0.2">
      <c r="A3593" s="407">
        <v>3585</v>
      </c>
      <c r="B3593" s="438"/>
      <c r="C3593" s="438"/>
      <c r="D3593" s="438"/>
      <c r="E3593" s="438"/>
      <c r="F3593" s="438"/>
      <c r="G3593" s="438"/>
      <c r="H3593" s="438"/>
      <c r="I3593" s="438"/>
      <c r="J3593" s="11"/>
      <c r="Q3593" s="348" t="str">
        <f t="shared" si="448"/>
        <v/>
      </c>
      <c r="R3593" s="348" t="str">
        <f t="shared" si="449"/>
        <v/>
      </c>
      <c r="S3593" s="348" t="str">
        <f t="shared" si="450"/>
        <v/>
      </c>
      <c r="T3593" s="348" t="str">
        <f t="shared" si="451"/>
        <v/>
      </c>
      <c r="U3593" s="348" t="str">
        <f t="shared" si="452"/>
        <v/>
      </c>
      <c r="V3593" s="348" t="str">
        <f t="shared" si="453"/>
        <v/>
      </c>
      <c r="W3593" s="348" t="str">
        <f t="shared" si="454"/>
        <v/>
      </c>
      <c r="X3593" s="348" t="str">
        <f t="shared" si="455"/>
        <v/>
      </c>
    </row>
    <row r="3594" spans="1:24" x14ac:dyDescent="0.2">
      <c r="A3594" s="407">
        <v>3586</v>
      </c>
      <c r="B3594" s="438"/>
      <c r="C3594" s="438"/>
      <c r="D3594" s="438"/>
      <c r="E3594" s="438"/>
      <c r="F3594" s="438"/>
      <c r="G3594" s="438"/>
      <c r="H3594" s="438"/>
      <c r="I3594" s="438"/>
      <c r="J3594" s="11"/>
      <c r="Q3594" s="348" t="str">
        <f t="shared" ref="Q3594:Q3608" si="456">IFERROR(B3594^4*$AB$9+B3594^3*$AC$9+B3594^2*$AD$9+B3594^1*$AE$9+B3594^0*$AF$9,"")</f>
        <v/>
      </c>
      <c r="R3594" s="348" t="str">
        <f t="shared" ref="R3594:R3608" si="457">IFERROR(C3594^4*$AB$10+C3594^3*$AC$10+C3594^2*$AD$10+C3594^1*$AE$10+C3594^0*$AF$10,"")</f>
        <v/>
      </c>
      <c r="S3594" s="348" t="str">
        <f t="shared" ref="S3594:S3608" si="458">IFERROR(D3594^4*$AB$11+D3594^3*$AC$11+D3594^2*$AD$11+D3594^1*$AE$11+D3594^0*$AF$11,"")</f>
        <v/>
      </c>
      <c r="T3594" s="348" t="str">
        <f t="shared" ref="T3594:T3608" si="459">IFERROR(E3594^4*$AB$12+E3594^3*$AC$12+E3594^2*$AD$12+E3594^1*$AE$12+E3594^0*$AF$12,"")</f>
        <v/>
      </c>
      <c r="U3594" s="348" t="str">
        <f t="shared" ref="U3594:U3608" si="460">IFERROR(F3594^4*$AB$13+F3594^3*$AC$13+F3594^2*$AD$13+F3594^1*$AE$13+F3594^0*$AF$13,"")</f>
        <v/>
      </c>
      <c r="V3594" s="348" t="str">
        <f t="shared" ref="V3594:V3608" si="461">IFERROR(G3594^4*$AB$14+G3594^3*$AC$14+G3594^2*$AD$14+G3594^1*$AE$14+G3594^0*$AF$14,"")</f>
        <v/>
      </c>
      <c r="W3594" s="348" t="str">
        <f t="shared" ref="W3594:W3608" si="462">IFERROR(H3594^4*$AB$15+H3594^3*$AC$15+H3594^2*$AD$15+H3594^1*$AE$15+H3594^0*$AF$15,"")</f>
        <v/>
      </c>
      <c r="X3594" s="348" t="str">
        <f t="shared" ref="X3594:X3608" si="463">IFERROR(I3594^4*$AB$16+I3594^3*$AC$16+I3594^2*$AD$16+I3594^1*$AE$16+I3594^0*$AF$16,"")</f>
        <v/>
      </c>
    </row>
    <row r="3595" spans="1:24" x14ac:dyDescent="0.2">
      <c r="A3595" s="407">
        <v>3587</v>
      </c>
      <c r="B3595" s="438"/>
      <c r="C3595" s="438"/>
      <c r="D3595" s="438"/>
      <c r="E3595" s="438"/>
      <c r="F3595" s="438"/>
      <c r="G3595" s="438"/>
      <c r="H3595" s="438"/>
      <c r="I3595" s="438"/>
      <c r="J3595" s="11"/>
      <c r="Q3595" s="348" t="str">
        <f t="shared" si="456"/>
        <v/>
      </c>
      <c r="R3595" s="348" t="str">
        <f t="shared" si="457"/>
        <v/>
      </c>
      <c r="S3595" s="348" t="str">
        <f t="shared" si="458"/>
        <v/>
      </c>
      <c r="T3595" s="348" t="str">
        <f t="shared" si="459"/>
        <v/>
      </c>
      <c r="U3595" s="348" t="str">
        <f t="shared" si="460"/>
        <v/>
      </c>
      <c r="V3595" s="348" t="str">
        <f t="shared" si="461"/>
        <v/>
      </c>
      <c r="W3595" s="348" t="str">
        <f t="shared" si="462"/>
        <v/>
      </c>
      <c r="X3595" s="348" t="str">
        <f t="shared" si="463"/>
        <v/>
      </c>
    </row>
    <row r="3596" spans="1:24" x14ac:dyDescent="0.2">
      <c r="A3596" s="407">
        <v>3588</v>
      </c>
      <c r="B3596" s="438"/>
      <c r="C3596" s="438"/>
      <c r="D3596" s="438"/>
      <c r="E3596" s="438"/>
      <c r="F3596" s="438"/>
      <c r="G3596" s="438"/>
      <c r="H3596" s="438"/>
      <c r="I3596" s="438"/>
      <c r="J3596" s="11"/>
      <c r="Q3596" s="348" t="str">
        <f t="shared" si="456"/>
        <v/>
      </c>
      <c r="R3596" s="348" t="str">
        <f t="shared" si="457"/>
        <v/>
      </c>
      <c r="S3596" s="348" t="str">
        <f t="shared" si="458"/>
        <v/>
      </c>
      <c r="T3596" s="348" t="str">
        <f t="shared" si="459"/>
        <v/>
      </c>
      <c r="U3596" s="348" t="str">
        <f t="shared" si="460"/>
        <v/>
      </c>
      <c r="V3596" s="348" t="str">
        <f t="shared" si="461"/>
        <v/>
      </c>
      <c r="W3596" s="348" t="str">
        <f t="shared" si="462"/>
        <v/>
      </c>
      <c r="X3596" s="348" t="str">
        <f t="shared" si="463"/>
        <v/>
      </c>
    </row>
    <row r="3597" spans="1:24" x14ac:dyDescent="0.2">
      <c r="A3597" s="407">
        <v>3589</v>
      </c>
      <c r="B3597" s="438"/>
      <c r="C3597" s="438"/>
      <c r="D3597" s="438"/>
      <c r="E3597" s="438"/>
      <c r="F3597" s="438"/>
      <c r="G3597" s="438"/>
      <c r="H3597" s="438"/>
      <c r="I3597" s="438"/>
      <c r="J3597" s="11"/>
      <c r="Q3597" s="348" t="str">
        <f t="shared" si="456"/>
        <v/>
      </c>
      <c r="R3597" s="348" t="str">
        <f t="shared" si="457"/>
        <v/>
      </c>
      <c r="S3597" s="348" t="str">
        <f t="shared" si="458"/>
        <v/>
      </c>
      <c r="T3597" s="348" t="str">
        <f t="shared" si="459"/>
        <v/>
      </c>
      <c r="U3597" s="348" t="str">
        <f t="shared" si="460"/>
        <v/>
      </c>
      <c r="V3597" s="348" t="str">
        <f t="shared" si="461"/>
        <v/>
      </c>
      <c r="W3597" s="348" t="str">
        <f t="shared" si="462"/>
        <v/>
      </c>
      <c r="X3597" s="348" t="str">
        <f t="shared" si="463"/>
        <v/>
      </c>
    </row>
    <row r="3598" spans="1:24" x14ac:dyDescent="0.2">
      <c r="A3598" s="407">
        <v>3590</v>
      </c>
      <c r="B3598" s="438"/>
      <c r="C3598" s="437"/>
      <c r="D3598" s="438"/>
      <c r="E3598" s="438"/>
      <c r="F3598" s="438"/>
      <c r="G3598" s="438"/>
      <c r="H3598" s="438"/>
      <c r="I3598" s="438"/>
      <c r="J3598" s="11"/>
      <c r="Q3598" s="348" t="str">
        <f t="shared" si="456"/>
        <v/>
      </c>
      <c r="R3598" s="348" t="str">
        <f t="shared" si="457"/>
        <v/>
      </c>
      <c r="S3598" s="348" t="str">
        <f t="shared" si="458"/>
        <v/>
      </c>
      <c r="T3598" s="348" t="str">
        <f t="shared" si="459"/>
        <v/>
      </c>
      <c r="U3598" s="348" t="str">
        <f t="shared" si="460"/>
        <v/>
      </c>
      <c r="V3598" s="348" t="str">
        <f t="shared" si="461"/>
        <v/>
      </c>
      <c r="W3598" s="348" t="str">
        <f t="shared" si="462"/>
        <v/>
      </c>
      <c r="X3598" s="348" t="str">
        <f t="shared" si="463"/>
        <v/>
      </c>
    </row>
    <row r="3599" spans="1:24" x14ac:dyDescent="0.2">
      <c r="A3599" s="407">
        <v>3591</v>
      </c>
      <c r="B3599" s="438"/>
      <c r="C3599" s="438"/>
      <c r="D3599" s="438"/>
      <c r="E3599" s="437"/>
      <c r="F3599" s="438"/>
      <c r="G3599" s="438"/>
      <c r="H3599" s="438"/>
      <c r="I3599" s="438"/>
      <c r="J3599" s="11"/>
      <c r="Q3599" s="348" t="str">
        <f t="shared" si="456"/>
        <v/>
      </c>
      <c r="R3599" s="348" t="str">
        <f t="shared" si="457"/>
        <v/>
      </c>
      <c r="S3599" s="348" t="str">
        <f t="shared" si="458"/>
        <v/>
      </c>
      <c r="T3599" s="348" t="str">
        <f t="shared" si="459"/>
        <v/>
      </c>
      <c r="U3599" s="348" t="str">
        <f t="shared" si="460"/>
        <v/>
      </c>
      <c r="V3599" s="348" t="str">
        <f t="shared" si="461"/>
        <v/>
      </c>
      <c r="W3599" s="348" t="str">
        <f t="shared" si="462"/>
        <v/>
      </c>
      <c r="X3599" s="348" t="str">
        <f t="shared" si="463"/>
        <v/>
      </c>
    </row>
    <row r="3600" spans="1:24" x14ac:dyDescent="0.2">
      <c r="A3600" s="407">
        <v>3592</v>
      </c>
      <c r="B3600" s="438"/>
      <c r="C3600" s="438"/>
      <c r="D3600" s="438"/>
      <c r="E3600" s="438"/>
      <c r="F3600" s="438"/>
      <c r="G3600" s="438"/>
      <c r="H3600" s="438"/>
      <c r="I3600" s="438"/>
      <c r="J3600" s="11"/>
      <c r="Q3600" s="348" t="str">
        <f t="shared" si="456"/>
        <v/>
      </c>
      <c r="R3600" s="348" t="str">
        <f t="shared" si="457"/>
        <v/>
      </c>
      <c r="S3600" s="348" t="str">
        <f t="shared" si="458"/>
        <v/>
      </c>
      <c r="T3600" s="348" t="str">
        <f t="shared" si="459"/>
        <v/>
      </c>
      <c r="U3600" s="348" t="str">
        <f t="shared" si="460"/>
        <v/>
      </c>
      <c r="V3600" s="348" t="str">
        <f t="shared" si="461"/>
        <v/>
      </c>
      <c r="W3600" s="348" t="str">
        <f t="shared" si="462"/>
        <v/>
      </c>
      <c r="X3600" s="348" t="str">
        <f t="shared" si="463"/>
        <v/>
      </c>
    </row>
    <row r="3601" spans="1:24" x14ac:dyDescent="0.2">
      <c r="A3601" s="407">
        <v>3593</v>
      </c>
      <c r="B3601" s="438"/>
      <c r="C3601" s="438"/>
      <c r="D3601" s="438"/>
      <c r="E3601" s="438"/>
      <c r="F3601" s="438"/>
      <c r="G3601" s="438"/>
      <c r="H3601" s="438"/>
      <c r="I3601" s="438"/>
      <c r="J3601" s="11"/>
      <c r="Q3601" s="348" t="str">
        <f t="shared" si="456"/>
        <v/>
      </c>
      <c r="R3601" s="348" t="str">
        <f t="shared" si="457"/>
        <v/>
      </c>
      <c r="S3601" s="348" t="str">
        <f t="shared" si="458"/>
        <v/>
      </c>
      <c r="T3601" s="348" t="str">
        <f t="shared" si="459"/>
        <v/>
      </c>
      <c r="U3601" s="348" t="str">
        <f t="shared" si="460"/>
        <v/>
      </c>
      <c r="V3601" s="348" t="str">
        <f t="shared" si="461"/>
        <v/>
      </c>
      <c r="W3601" s="348" t="str">
        <f t="shared" si="462"/>
        <v/>
      </c>
      <c r="X3601" s="348" t="str">
        <f t="shared" si="463"/>
        <v/>
      </c>
    </row>
    <row r="3602" spans="1:24" x14ac:dyDescent="0.2">
      <c r="A3602" s="407">
        <v>3594</v>
      </c>
      <c r="B3602" s="438"/>
      <c r="C3602" s="438"/>
      <c r="D3602" s="438"/>
      <c r="E3602" s="438"/>
      <c r="F3602" s="438"/>
      <c r="G3602" s="438"/>
      <c r="H3602" s="438"/>
      <c r="I3602" s="438"/>
      <c r="J3602" s="11"/>
      <c r="Q3602" s="348" t="str">
        <f t="shared" si="456"/>
        <v/>
      </c>
      <c r="R3602" s="348" t="str">
        <f t="shared" si="457"/>
        <v/>
      </c>
      <c r="S3602" s="348" t="str">
        <f t="shared" si="458"/>
        <v/>
      </c>
      <c r="T3602" s="348" t="str">
        <f t="shared" si="459"/>
        <v/>
      </c>
      <c r="U3602" s="348" t="str">
        <f t="shared" si="460"/>
        <v/>
      </c>
      <c r="V3602" s="348" t="str">
        <f t="shared" si="461"/>
        <v/>
      </c>
      <c r="W3602" s="348" t="str">
        <f t="shared" si="462"/>
        <v/>
      </c>
      <c r="X3602" s="348" t="str">
        <f t="shared" si="463"/>
        <v/>
      </c>
    </row>
    <row r="3603" spans="1:24" x14ac:dyDescent="0.2">
      <c r="A3603" s="407">
        <v>3595</v>
      </c>
      <c r="B3603" s="438"/>
      <c r="C3603" s="438"/>
      <c r="D3603" s="438"/>
      <c r="E3603" s="438"/>
      <c r="F3603" s="438"/>
      <c r="G3603" s="438"/>
      <c r="H3603" s="438"/>
      <c r="I3603" s="438"/>
      <c r="J3603" s="11"/>
      <c r="Q3603" s="348" t="str">
        <f t="shared" si="456"/>
        <v/>
      </c>
      <c r="R3603" s="348" t="str">
        <f t="shared" si="457"/>
        <v/>
      </c>
      <c r="S3603" s="348" t="str">
        <f t="shared" si="458"/>
        <v/>
      </c>
      <c r="T3603" s="348" t="str">
        <f t="shared" si="459"/>
        <v/>
      </c>
      <c r="U3603" s="348" t="str">
        <f t="shared" si="460"/>
        <v/>
      </c>
      <c r="V3603" s="348" t="str">
        <f t="shared" si="461"/>
        <v/>
      </c>
      <c r="W3603" s="348" t="str">
        <f t="shared" si="462"/>
        <v/>
      </c>
      <c r="X3603" s="348" t="str">
        <f t="shared" si="463"/>
        <v/>
      </c>
    </row>
    <row r="3604" spans="1:24" x14ac:dyDescent="0.2">
      <c r="A3604" s="407">
        <v>3596</v>
      </c>
      <c r="B3604" s="437"/>
      <c r="C3604" s="438"/>
      <c r="D3604" s="438"/>
      <c r="E3604" s="438"/>
      <c r="F3604" s="438"/>
      <c r="G3604" s="438"/>
      <c r="H3604" s="438"/>
      <c r="I3604" s="438"/>
      <c r="J3604" s="11"/>
      <c r="Q3604" s="348" t="str">
        <f t="shared" si="456"/>
        <v/>
      </c>
      <c r="R3604" s="348" t="str">
        <f t="shared" si="457"/>
        <v/>
      </c>
      <c r="S3604" s="348" t="str">
        <f t="shared" si="458"/>
        <v/>
      </c>
      <c r="T3604" s="348" t="str">
        <f t="shared" si="459"/>
        <v/>
      </c>
      <c r="U3604" s="348" t="str">
        <f t="shared" si="460"/>
        <v/>
      </c>
      <c r="V3604" s="348" t="str">
        <f t="shared" si="461"/>
        <v/>
      </c>
      <c r="W3604" s="348" t="str">
        <f t="shared" si="462"/>
        <v/>
      </c>
      <c r="X3604" s="348" t="str">
        <f t="shared" si="463"/>
        <v/>
      </c>
    </row>
    <row r="3605" spans="1:24" x14ac:dyDescent="0.2">
      <c r="A3605" s="407">
        <v>3597</v>
      </c>
      <c r="B3605" s="438"/>
      <c r="C3605" s="438"/>
      <c r="D3605" s="438"/>
      <c r="E3605" s="438"/>
      <c r="F3605" s="438"/>
      <c r="G3605" s="438"/>
      <c r="H3605" s="438"/>
      <c r="I3605" s="438"/>
      <c r="J3605" s="11"/>
      <c r="Q3605" s="348" t="str">
        <f t="shared" si="456"/>
        <v/>
      </c>
      <c r="R3605" s="348" t="str">
        <f t="shared" si="457"/>
        <v/>
      </c>
      <c r="S3605" s="348" t="str">
        <f t="shared" si="458"/>
        <v/>
      </c>
      <c r="T3605" s="348" t="str">
        <f t="shared" si="459"/>
        <v/>
      </c>
      <c r="U3605" s="348" t="str">
        <f t="shared" si="460"/>
        <v/>
      </c>
      <c r="V3605" s="348" t="str">
        <f t="shared" si="461"/>
        <v/>
      </c>
      <c r="W3605" s="348" t="str">
        <f t="shared" si="462"/>
        <v/>
      </c>
      <c r="X3605" s="348" t="str">
        <f t="shared" si="463"/>
        <v/>
      </c>
    </row>
    <row r="3606" spans="1:24" x14ac:dyDescent="0.2">
      <c r="A3606" s="407">
        <v>3598</v>
      </c>
      <c r="B3606" s="438"/>
      <c r="C3606" s="438"/>
      <c r="D3606" s="437"/>
      <c r="E3606" s="438"/>
      <c r="F3606" s="438"/>
      <c r="G3606" s="438"/>
      <c r="H3606" s="438"/>
      <c r="I3606" s="438"/>
      <c r="J3606" s="11"/>
      <c r="Q3606" s="348" t="str">
        <f t="shared" si="456"/>
        <v/>
      </c>
      <c r="R3606" s="348" t="str">
        <f t="shared" si="457"/>
        <v/>
      </c>
      <c r="S3606" s="348" t="str">
        <f t="shared" si="458"/>
        <v/>
      </c>
      <c r="T3606" s="348" t="str">
        <f t="shared" si="459"/>
        <v/>
      </c>
      <c r="U3606" s="348" t="str">
        <f t="shared" si="460"/>
        <v/>
      </c>
      <c r="V3606" s="348" t="str">
        <f t="shared" si="461"/>
        <v/>
      </c>
      <c r="W3606" s="348" t="str">
        <f t="shared" si="462"/>
        <v/>
      </c>
      <c r="X3606" s="348" t="str">
        <f t="shared" si="463"/>
        <v/>
      </c>
    </row>
    <row r="3607" spans="1:24" x14ac:dyDescent="0.2">
      <c r="A3607" s="407">
        <v>3599</v>
      </c>
      <c r="B3607" s="438"/>
      <c r="C3607" s="438"/>
      <c r="D3607" s="438"/>
      <c r="E3607" s="438"/>
      <c r="F3607" s="438"/>
      <c r="G3607" s="438"/>
      <c r="H3607" s="438"/>
      <c r="I3607" s="438"/>
      <c r="J3607" s="11"/>
      <c r="Q3607" s="348" t="str">
        <f t="shared" si="456"/>
        <v/>
      </c>
      <c r="R3607" s="348" t="str">
        <f t="shared" si="457"/>
        <v/>
      </c>
      <c r="S3607" s="348" t="str">
        <f t="shared" si="458"/>
        <v/>
      </c>
      <c r="T3607" s="348" t="str">
        <f t="shared" si="459"/>
        <v/>
      </c>
      <c r="U3607" s="348" t="str">
        <f t="shared" si="460"/>
        <v/>
      </c>
      <c r="V3607" s="348" t="str">
        <f t="shared" si="461"/>
        <v/>
      </c>
      <c r="W3607" s="348" t="str">
        <f t="shared" si="462"/>
        <v/>
      </c>
      <c r="X3607" s="348" t="str">
        <f t="shared" si="463"/>
        <v/>
      </c>
    </row>
    <row r="3608" spans="1:24" x14ac:dyDescent="0.2">
      <c r="A3608" s="407">
        <v>3600</v>
      </c>
      <c r="B3608" s="438"/>
      <c r="C3608" s="438"/>
      <c r="D3608" s="438"/>
      <c r="E3608" s="438"/>
      <c r="F3608" s="438"/>
      <c r="G3608" s="438"/>
      <c r="H3608" s="438"/>
      <c r="I3608" s="438"/>
      <c r="J3608" s="11"/>
      <c r="Q3608" s="348" t="str">
        <f t="shared" si="456"/>
        <v/>
      </c>
      <c r="R3608" s="348" t="str">
        <f t="shared" si="457"/>
        <v/>
      </c>
      <c r="S3608" s="348" t="str">
        <f t="shared" si="458"/>
        <v/>
      </c>
      <c r="T3608" s="348" t="str">
        <f t="shared" si="459"/>
        <v/>
      </c>
      <c r="U3608" s="348" t="str">
        <f t="shared" si="460"/>
        <v/>
      </c>
      <c r="V3608" s="348" t="str">
        <f t="shared" si="461"/>
        <v/>
      </c>
      <c r="W3608" s="348" t="str">
        <f t="shared" si="462"/>
        <v/>
      </c>
      <c r="X3608" s="348" t="str">
        <f t="shared" si="463"/>
        <v/>
      </c>
    </row>
    <row r="3609" spans="1:24" x14ac:dyDescent="0.2">
      <c r="A3609" s="9"/>
      <c r="B3609" s="11"/>
      <c r="C3609" s="11"/>
      <c r="D3609" s="11"/>
      <c r="E3609" s="11"/>
      <c r="F3609" s="11"/>
      <c r="G3609" s="11"/>
      <c r="H3609" s="11"/>
      <c r="I3609" s="11"/>
    </row>
    <row r="3610" spans="1:24" x14ac:dyDescent="0.2">
      <c r="A3610" s="9"/>
      <c r="B3610" s="11"/>
      <c r="C3610" s="11"/>
      <c r="D3610" s="11"/>
      <c r="E3610" s="11"/>
      <c r="F3610" s="11"/>
      <c r="G3610" s="11"/>
      <c r="H3610" s="11"/>
      <c r="I3610" s="11"/>
    </row>
    <row r="3611" spans="1:24" x14ac:dyDescent="0.2">
      <c r="A3611" s="9"/>
      <c r="B3611" s="11"/>
      <c r="C3611" s="11"/>
      <c r="D3611" s="11"/>
      <c r="E3611" s="11"/>
      <c r="F3611" s="11"/>
      <c r="G3611" s="11"/>
      <c r="H3611" s="11"/>
      <c r="I3611" s="11"/>
    </row>
    <row r="3612" spans="1:24" x14ac:dyDescent="0.2">
      <c r="A3612" s="9"/>
      <c r="B3612" s="11"/>
      <c r="C3612" s="11"/>
      <c r="D3612" s="11"/>
      <c r="E3612" s="11"/>
      <c r="F3612" s="11"/>
      <c r="G3612" s="11"/>
      <c r="H3612" s="11"/>
      <c r="I3612" s="11"/>
    </row>
    <row r="3613" spans="1:24" x14ac:dyDescent="0.2">
      <c r="A3613" s="9"/>
      <c r="B3613" s="11"/>
      <c r="C3613" s="11"/>
      <c r="D3613" s="11"/>
      <c r="E3613" s="11"/>
      <c r="F3613" s="11"/>
      <c r="G3613" s="11"/>
      <c r="H3613" s="11"/>
      <c r="I3613" s="11"/>
    </row>
    <row r="3614" spans="1:24" x14ac:dyDescent="0.2">
      <c r="A3614" s="9"/>
      <c r="B3614" s="11"/>
      <c r="C3614" s="11"/>
      <c r="D3614" s="11"/>
      <c r="E3614" s="11"/>
      <c r="F3614" s="11"/>
      <c r="G3614" s="11"/>
      <c r="H3614" s="11"/>
      <c r="I3614" s="11"/>
    </row>
    <row r="3615" spans="1:24" x14ac:dyDescent="0.2">
      <c r="A3615" s="9"/>
      <c r="B3615" s="11"/>
      <c r="C3615" s="11"/>
      <c r="D3615" s="11"/>
      <c r="E3615" s="11"/>
      <c r="F3615" s="11"/>
      <c r="G3615" s="11"/>
      <c r="H3615" s="11"/>
      <c r="I3615" s="11"/>
    </row>
    <row r="3616" spans="1:24" x14ac:dyDescent="0.2">
      <c r="A3616" s="9"/>
      <c r="B3616" s="11"/>
      <c r="C3616" s="11"/>
      <c r="D3616" s="11"/>
      <c r="E3616" s="11"/>
      <c r="F3616" s="11"/>
      <c r="G3616" s="11"/>
      <c r="H3616" s="11"/>
      <c r="I3616" s="11"/>
    </row>
    <row r="3617" spans="1:9" x14ac:dyDescent="0.2">
      <c r="A3617" s="9"/>
      <c r="B3617" s="11"/>
      <c r="C3617" s="11"/>
      <c r="D3617" s="11"/>
      <c r="E3617" s="11"/>
      <c r="F3617" s="11"/>
      <c r="G3617" s="11"/>
      <c r="H3617" s="11"/>
      <c r="I3617" s="11"/>
    </row>
    <row r="3618" spans="1:9" x14ac:dyDescent="0.2">
      <c r="A3618" s="9"/>
      <c r="B3618" s="11"/>
      <c r="C3618" s="11"/>
      <c r="D3618" s="11"/>
      <c r="E3618" s="11"/>
      <c r="F3618" s="11"/>
      <c r="G3618" s="11"/>
      <c r="H3618" s="11"/>
      <c r="I3618" s="11"/>
    </row>
    <row r="3619" spans="1:9" x14ac:dyDescent="0.2">
      <c r="A3619" s="9"/>
      <c r="B3619" s="11"/>
      <c r="C3619" s="11"/>
      <c r="D3619" s="11"/>
      <c r="E3619" s="11"/>
      <c r="F3619" s="11"/>
      <c r="G3619" s="11"/>
      <c r="H3619" s="11"/>
      <c r="I3619" s="11"/>
    </row>
    <row r="3620" spans="1:9" x14ac:dyDescent="0.2">
      <c r="A3620" s="9"/>
      <c r="B3620" s="11"/>
      <c r="C3620" s="11"/>
      <c r="D3620" s="11"/>
      <c r="E3620" s="11"/>
      <c r="F3620" s="11"/>
      <c r="G3620" s="11"/>
      <c r="H3620" s="11"/>
      <c r="I3620" s="11"/>
    </row>
    <row r="3621" spans="1:9" x14ac:dyDescent="0.2">
      <c r="A3621" s="9"/>
      <c r="B3621" s="11"/>
      <c r="C3621" s="11"/>
      <c r="D3621" s="11"/>
      <c r="E3621" s="11"/>
      <c r="F3621" s="11"/>
      <c r="G3621" s="11"/>
      <c r="H3621" s="11"/>
      <c r="I3621" s="11"/>
    </row>
    <row r="3622" spans="1:9" x14ac:dyDescent="0.2">
      <c r="A3622" s="9"/>
      <c r="B3622" s="11"/>
      <c r="C3622" s="11"/>
      <c r="D3622" s="11"/>
      <c r="E3622" s="11"/>
      <c r="F3622" s="11"/>
      <c r="G3622" s="11"/>
      <c r="H3622" s="11"/>
      <c r="I3622" s="11"/>
    </row>
    <row r="3623" spans="1:9" x14ac:dyDescent="0.2">
      <c r="A3623" s="9"/>
      <c r="B3623" s="11"/>
      <c r="C3623" s="11"/>
      <c r="D3623" s="11"/>
      <c r="E3623" s="11"/>
      <c r="F3623" s="11"/>
      <c r="G3623" s="11"/>
      <c r="H3623" s="11"/>
      <c r="I3623" s="11"/>
    </row>
    <row r="3624" spans="1:9" x14ac:dyDescent="0.2">
      <c r="A3624" s="9"/>
      <c r="B3624" s="11"/>
      <c r="C3624" s="11"/>
      <c r="D3624" s="11"/>
      <c r="E3624" s="11"/>
      <c r="F3624" s="11"/>
      <c r="G3624" s="11"/>
      <c r="H3624" s="11"/>
      <c r="I3624" s="11"/>
    </row>
    <row r="3625" spans="1:9" x14ac:dyDescent="0.2">
      <c r="A3625" s="9"/>
      <c r="B3625" s="11"/>
      <c r="C3625" s="11"/>
      <c r="D3625" s="11"/>
      <c r="E3625" s="11"/>
      <c r="F3625" s="11"/>
      <c r="G3625" s="11"/>
      <c r="H3625" s="11"/>
      <c r="I3625" s="11"/>
    </row>
    <row r="3626" spans="1:9" x14ac:dyDescent="0.2">
      <c r="A3626" s="9"/>
      <c r="B3626" s="11"/>
      <c r="C3626" s="11"/>
      <c r="D3626" s="11"/>
      <c r="E3626" s="11"/>
      <c r="F3626" s="11"/>
      <c r="G3626" s="11"/>
      <c r="H3626" s="11"/>
      <c r="I3626" s="11"/>
    </row>
    <row r="3627" spans="1:9" x14ac:dyDescent="0.2">
      <c r="A3627" s="9"/>
      <c r="B3627" s="11"/>
      <c r="C3627" s="11"/>
      <c r="D3627" s="11"/>
      <c r="E3627" s="11"/>
      <c r="F3627" s="11"/>
      <c r="G3627" s="11"/>
      <c r="H3627" s="11"/>
      <c r="I3627" s="11"/>
    </row>
    <row r="3628" spans="1:9" x14ac:dyDescent="0.2">
      <c r="A3628" s="9"/>
      <c r="B3628" s="11"/>
      <c r="C3628" s="11"/>
      <c r="D3628" s="11"/>
      <c r="E3628" s="11"/>
      <c r="F3628" s="11"/>
      <c r="G3628" s="11"/>
      <c r="H3628" s="11"/>
      <c r="I3628" s="11"/>
    </row>
    <row r="3629" spans="1:9" x14ac:dyDescent="0.2">
      <c r="A3629" s="9"/>
      <c r="B3629" s="11"/>
      <c r="C3629" s="11"/>
      <c r="D3629" s="11"/>
      <c r="E3629" s="11"/>
      <c r="F3629" s="11"/>
      <c r="G3629" s="11"/>
      <c r="H3629" s="11"/>
      <c r="I3629" s="11"/>
    </row>
    <row r="3630" spans="1:9" x14ac:dyDescent="0.2">
      <c r="A3630" s="9"/>
      <c r="B3630" s="11"/>
      <c r="C3630" s="11"/>
      <c r="D3630" s="11"/>
      <c r="E3630" s="11"/>
      <c r="F3630" s="11"/>
      <c r="G3630" s="11"/>
      <c r="H3630" s="11"/>
      <c r="I3630" s="11"/>
    </row>
    <row r="3631" spans="1:9" x14ac:dyDescent="0.2">
      <c r="A3631" s="9"/>
      <c r="B3631" s="11"/>
      <c r="C3631" s="11"/>
      <c r="D3631" s="11"/>
      <c r="E3631" s="11"/>
      <c r="F3631" s="11"/>
      <c r="G3631" s="11"/>
      <c r="H3631" s="11"/>
      <c r="I3631" s="11"/>
    </row>
    <row r="3632" spans="1:9" x14ac:dyDescent="0.2">
      <c r="A3632" s="9"/>
      <c r="B3632" s="11"/>
      <c r="C3632" s="11"/>
      <c r="D3632" s="11"/>
      <c r="E3632" s="11"/>
      <c r="F3632" s="11"/>
      <c r="G3632" s="11"/>
      <c r="H3632" s="11"/>
      <c r="I3632" s="11"/>
    </row>
    <row r="3633" spans="1:9" x14ac:dyDescent="0.2">
      <c r="A3633" s="9"/>
      <c r="B3633" s="11"/>
      <c r="C3633" s="11"/>
      <c r="D3633" s="11"/>
      <c r="E3633" s="11"/>
      <c r="F3633" s="11"/>
      <c r="G3633" s="11"/>
      <c r="H3633" s="11"/>
      <c r="I3633" s="11"/>
    </row>
    <row r="3634" spans="1:9" x14ac:dyDescent="0.2">
      <c r="A3634" s="9"/>
      <c r="B3634" s="11"/>
      <c r="C3634" s="11"/>
      <c r="D3634" s="11"/>
      <c r="E3634" s="11"/>
      <c r="F3634" s="11"/>
      <c r="G3634" s="11"/>
      <c r="H3634" s="11"/>
      <c r="I3634" s="11"/>
    </row>
    <row r="3635" spans="1:9" x14ac:dyDescent="0.2">
      <c r="A3635" s="9"/>
      <c r="B3635" s="11"/>
      <c r="C3635" s="11"/>
      <c r="D3635" s="11"/>
      <c r="E3635" s="11"/>
      <c r="F3635" s="11"/>
      <c r="G3635" s="11"/>
      <c r="H3635" s="11"/>
      <c r="I3635" s="11"/>
    </row>
    <row r="3636" spans="1:9" x14ac:dyDescent="0.2">
      <c r="A3636" s="9"/>
      <c r="B3636" s="11"/>
      <c r="C3636" s="11"/>
      <c r="D3636" s="11"/>
      <c r="E3636" s="11"/>
      <c r="F3636" s="11"/>
      <c r="G3636" s="11"/>
      <c r="H3636" s="11"/>
      <c r="I3636" s="11"/>
    </row>
    <row r="3637" spans="1:9" x14ac:dyDescent="0.2">
      <c r="A3637" s="9"/>
      <c r="B3637" s="11"/>
      <c r="C3637" s="11"/>
      <c r="D3637" s="11"/>
      <c r="E3637" s="11"/>
      <c r="F3637" s="11"/>
      <c r="G3637" s="11"/>
      <c r="H3637" s="11"/>
      <c r="I3637" s="11"/>
    </row>
    <row r="3638" spans="1:9" x14ac:dyDescent="0.2">
      <c r="A3638" s="9"/>
      <c r="B3638" s="11"/>
      <c r="C3638" s="11"/>
      <c r="D3638" s="11"/>
      <c r="E3638" s="11"/>
      <c r="F3638" s="11"/>
      <c r="G3638" s="11"/>
      <c r="H3638" s="11"/>
      <c r="I3638" s="11"/>
    </row>
    <row r="3639" spans="1:9" x14ac:dyDescent="0.2">
      <c r="A3639" s="9"/>
      <c r="B3639" s="11"/>
      <c r="C3639" s="11"/>
      <c r="D3639" s="11"/>
      <c r="E3639" s="11"/>
      <c r="F3639" s="11"/>
      <c r="G3639" s="11"/>
      <c r="H3639" s="11"/>
      <c r="I3639" s="11"/>
    </row>
    <row r="3640" spans="1:9" x14ac:dyDescent="0.2">
      <c r="A3640" s="9"/>
      <c r="B3640" s="11"/>
      <c r="C3640" s="11"/>
      <c r="D3640" s="11"/>
      <c r="E3640" s="11"/>
      <c r="F3640" s="11"/>
      <c r="G3640" s="11"/>
      <c r="H3640" s="11"/>
      <c r="I3640" s="11"/>
    </row>
    <row r="3641" spans="1:9" x14ac:dyDescent="0.2">
      <c r="A3641" s="9"/>
      <c r="B3641" s="11"/>
      <c r="C3641" s="11"/>
      <c r="D3641" s="11"/>
      <c r="E3641" s="11"/>
      <c r="F3641" s="11"/>
      <c r="G3641" s="11"/>
      <c r="H3641" s="11"/>
      <c r="I3641" s="11"/>
    </row>
    <row r="3642" spans="1:9" x14ac:dyDescent="0.2">
      <c r="A3642" s="9"/>
      <c r="B3642" s="11"/>
      <c r="C3642" s="11"/>
      <c r="D3642" s="11"/>
      <c r="E3642" s="11"/>
      <c r="F3642" s="11"/>
      <c r="G3642" s="11"/>
      <c r="H3642" s="11"/>
      <c r="I3642" s="11"/>
    </row>
    <row r="3643" spans="1:9" x14ac:dyDescent="0.2">
      <c r="A3643" s="9"/>
      <c r="B3643" s="11"/>
      <c r="C3643" s="11"/>
      <c r="D3643" s="11"/>
      <c r="E3643" s="11"/>
      <c r="F3643" s="11"/>
      <c r="G3643" s="11"/>
      <c r="H3643" s="11"/>
      <c r="I3643" s="11"/>
    </row>
    <row r="3644" spans="1:9" x14ac:dyDescent="0.2">
      <c r="A3644" s="9"/>
      <c r="B3644" s="11"/>
      <c r="C3644" s="11"/>
      <c r="D3644" s="11"/>
      <c r="E3644" s="11"/>
      <c r="F3644" s="11"/>
      <c r="G3644" s="11"/>
      <c r="H3644" s="11"/>
      <c r="I3644" s="11"/>
    </row>
    <row r="3645" spans="1:9" x14ac:dyDescent="0.2">
      <c r="A3645" s="9"/>
      <c r="B3645" s="11"/>
      <c r="C3645" s="11"/>
      <c r="D3645" s="11"/>
      <c r="E3645" s="11"/>
      <c r="F3645" s="11"/>
      <c r="G3645" s="11"/>
      <c r="H3645" s="11"/>
      <c r="I3645" s="11"/>
    </row>
    <row r="3646" spans="1:9" x14ac:dyDescent="0.2">
      <c r="A3646" s="9"/>
      <c r="B3646" s="11"/>
      <c r="C3646" s="11"/>
      <c r="D3646" s="11"/>
      <c r="E3646" s="11"/>
      <c r="F3646" s="11"/>
      <c r="G3646" s="11"/>
      <c r="H3646" s="11"/>
      <c r="I3646" s="11"/>
    </row>
    <row r="3647" spans="1:9" x14ac:dyDescent="0.2">
      <c r="A3647" s="9"/>
      <c r="B3647" s="11"/>
      <c r="C3647" s="11"/>
      <c r="D3647" s="11"/>
      <c r="E3647" s="11"/>
      <c r="F3647" s="11"/>
      <c r="G3647" s="11"/>
      <c r="H3647" s="11"/>
      <c r="I3647" s="11"/>
    </row>
    <row r="3648" spans="1:9" x14ac:dyDescent="0.2">
      <c r="A3648" s="9"/>
      <c r="B3648" s="11"/>
      <c r="C3648" s="11"/>
      <c r="D3648" s="11"/>
      <c r="E3648" s="11"/>
      <c r="F3648" s="11"/>
      <c r="G3648" s="11"/>
      <c r="H3648" s="11"/>
      <c r="I3648" s="11"/>
    </row>
    <row r="3649" spans="1:9" x14ac:dyDescent="0.2">
      <c r="A3649" s="9"/>
      <c r="B3649" s="11"/>
      <c r="C3649" s="11"/>
      <c r="D3649" s="11"/>
      <c r="E3649" s="11"/>
      <c r="F3649" s="11"/>
      <c r="G3649" s="11"/>
      <c r="H3649" s="11"/>
      <c r="I3649" s="11"/>
    </row>
    <row r="3650" spans="1:9" x14ac:dyDescent="0.2">
      <c r="A3650" s="9"/>
      <c r="B3650" s="11"/>
      <c r="C3650" s="11"/>
      <c r="D3650" s="11"/>
      <c r="E3650" s="11"/>
      <c r="F3650" s="11"/>
      <c r="G3650" s="11"/>
      <c r="H3650" s="11"/>
      <c r="I3650" s="11"/>
    </row>
    <row r="3651" spans="1:9" x14ac:dyDescent="0.2">
      <c r="B3651" s="11"/>
      <c r="C3651" s="11"/>
      <c r="D3651" s="11"/>
      <c r="E3651" s="11"/>
      <c r="F3651" s="11"/>
      <c r="G3651" s="11"/>
      <c r="H3651" s="11"/>
      <c r="I3651" s="11"/>
    </row>
    <row r="3652" spans="1:9" x14ac:dyDescent="0.2">
      <c r="B3652" s="11"/>
      <c r="C3652" s="11"/>
      <c r="D3652" s="11"/>
      <c r="E3652" s="11"/>
      <c r="F3652" s="11"/>
      <c r="G3652" s="11"/>
      <c r="H3652" s="11"/>
      <c r="I3652" s="11"/>
    </row>
    <row r="3653" spans="1:9" x14ac:dyDescent="0.2">
      <c r="B3653" s="11"/>
      <c r="C3653" s="11"/>
      <c r="D3653" s="11"/>
      <c r="E3653" s="11"/>
      <c r="F3653" s="11"/>
      <c r="G3653" s="11"/>
      <c r="H3653" s="11"/>
      <c r="I3653" s="11"/>
    </row>
    <row r="3654" spans="1:9" x14ac:dyDescent="0.2">
      <c r="B3654" s="11"/>
      <c r="C3654" s="11"/>
      <c r="D3654" s="11"/>
      <c r="E3654" s="11"/>
      <c r="F3654" s="11"/>
      <c r="G3654" s="11"/>
      <c r="H3654" s="11"/>
      <c r="I3654" s="11"/>
    </row>
    <row r="3655" spans="1:9" x14ac:dyDescent="0.2">
      <c r="B3655" s="11"/>
      <c r="C3655" s="11"/>
      <c r="D3655" s="11"/>
      <c r="E3655" s="11"/>
      <c r="F3655" s="11"/>
      <c r="G3655" s="11"/>
      <c r="H3655" s="11"/>
      <c r="I3655" s="11"/>
    </row>
    <row r="3656" spans="1:9" x14ac:dyDescent="0.2">
      <c r="B3656" s="11"/>
      <c r="C3656" s="11"/>
      <c r="D3656" s="11"/>
      <c r="E3656" s="11"/>
      <c r="F3656" s="11"/>
      <c r="G3656" s="11"/>
      <c r="H3656" s="11"/>
      <c r="I3656" s="11"/>
    </row>
    <row r="3657" spans="1:9" x14ac:dyDescent="0.2">
      <c r="B3657" s="11"/>
      <c r="C3657" s="11"/>
      <c r="D3657" s="11"/>
      <c r="E3657" s="11"/>
      <c r="F3657" s="11"/>
      <c r="G3657" s="11"/>
      <c r="H3657" s="11"/>
      <c r="I3657" s="11"/>
    </row>
    <row r="3658" spans="1:9" x14ac:dyDescent="0.2">
      <c r="B3658" s="11"/>
      <c r="C3658" s="11"/>
      <c r="D3658" s="11"/>
      <c r="E3658" s="11"/>
      <c r="F3658" s="11"/>
      <c r="G3658" s="11"/>
      <c r="H3658" s="11"/>
      <c r="I3658" s="11"/>
    </row>
    <row r="3659" spans="1:9" x14ac:dyDescent="0.2">
      <c r="B3659" s="11"/>
      <c r="C3659" s="11"/>
      <c r="D3659" s="11"/>
      <c r="E3659" s="11"/>
      <c r="F3659" s="11"/>
      <c r="G3659" s="11"/>
      <c r="H3659" s="11"/>
      <c r="I3659" s="11"/>
    </row>
    <row r="3660" spans="1:9" x14ac:dyDescent="0.2">
      <c r="B3660" s="11"/>
      <c r="C3660" s="11"/>
      <c r="D3660" s="11"/>
      <c r="E3660" s="11"/>
      <c r="F3660" s="11"/>
      <c r="G3660" s="11"/>
      <c r="H3660" s="11"/>
      <c r="I3660" s="11"/>
    </row>
    <row r="3661" spans="1:9" x14ac:dyDescent="0.2">
      <c r="B3661" s="11"/>
      <c r="C3661" s="11"/>
      <c r="D3661" s="11"/>
      <c r="E3661" s="11"/>
      <c r="F3661" s="11"/>
      <c r="G3661" s="11"/>
      <c r="H3661" s="11"/>
      <c r="I3661" s="11"/>
    </row>
    <row r="3662" spans="1:9" x14ac:dyDescent="0.2">
      <c r="B3662" s="11"/>
      <c r="C3662" s="11"/>
      <c r="D3662" s="11"/>
      <c r="E3662" s="11"/>
      <c r="F3662" s="11"/>
      <c r="G3662" s="11"/>
      <c r="H3662" s="11"/>
      <c r="I3662" s="11"/>
    </row>
    <row r="3663" spans="1:9" x14ac:dyDescent="0.2">
      <c r="B3663" s="11"/>
      <c r="C3663" s="11"/>
      <c r="D3663" s="11"/>
      <c r="E3663" s="11"/>
      <c r="F3663" s="11"/>
      <c r="G3663" s="11"/>
      <c r="H3663" s="11"/>
      <c r="I3663" s="11"/>
    </row>
    <row r="3664" spans="1:9" x14ac:dyDescent="0.2">
      <c r="B3664" s="11"/>
      <c r="C3664" s="11"/>
      <c r="D3664" s="11"/>
      <c r="E3664" s="11"/>
      <c r="F3664" s="11"/>
      <c r="G3664" s="11"/>
      <c r="H3664" s="11"/>
      <c r="I3664" s="11"/>
    </row>
    <row r="3665" spans="2:9" x14ac:dyDescent="0.2">
      <c r="B3665" s="11"/>
      <c r="C3665" s="11"/>
      <c r="D3665" s="11"/>
      <c r="E3665" s="11"/>
      <c r="F3665" s="11"/>
      <c r="G3665" s="11"/>
      <c r="H3665" s="11"/>
      <c r="I3665" s="11"/>
    </row>
    <row r="3666" spans="2:9" x14ac:dyDescent="0.2">
      <c r="B3666" s="11"/>
      <c r="C3666" s="11"/>
      <c r="D3666" s="11"/>
      <c r="E3666" s="11"/>
      <c r="F3666" s="11"/>
      <c r="G3666" s="11"/>
      <c r="H3666" s="11"/>
      <c r="I3666" s="11"/>
    </row>
    <row r="3667" spans="2:9" x14ac:dyDescent="0.2">
      <c r="B3667" s="11"/>
      <c r="C3667" s="11"/>
      <c r="D3667" s="11"/>
      <c r="E3667" s="11"/>
      <c r="F3667" s="11"/>
      <c r="G3667" s="11"/>
      <c r="H3667" s="11"/>
      <c r="I3667" s="11"/>
    </row>
    <row r="3668" spans="2:9" x14ac:dyDescent="0.2">
      <c r="B3668" s="11"/>
      <c r="C3668" s="11"/>
      <c r="D3668" s="11"/>
      <c r="E3668" s="11"/>
      <c r="F3668" s="11"/>
      <c r="G3668" s="11"/>
      <c r="H3668" s="11"/>
      <c r="I3668" s="11"/>
    </row>
    <row r="3669" spans="2:9" x14ac:dyDescent="0.2">
      <c r="B3669" s="11"/>
      <c r="C3669" s="11"/>
      <c r="D3669" s="11"/>
      <c r="E3669" s="11"/>
      <c r="F3669" s="11"/>
      <c r="G3669" s="11"/>
      <c r="H3669" s="11"/>
      <c r="I3669" s="11"/>
    </row>
    <row r="3670" spans="2:9" x14ac:dyDescent="0.2">
      <c r="B3670" s="11"/>
      <c r="C3670" s="11"/>
      <c r="D3670" s="11"/>
      <c r="E3670" s="11"/>
      <c r="F3670" s="11"/>
      <c r="G3670" s="11"/>
      <c r="H3670" s="11"/>
      <c r="I3670" s="11"/>
    </row>
    <row r="3671" spans="2:9" x14ac:dyDescent="0.2">
      <c r="B3671" s="11"/>
      <c r="C3671" s="11"/>
      <c r="D3671" s="11"/>
      <c r="E3671" s="11"/>
      <c r="F3671" s="11"/>
      <c r="G3671" s="11"/>
      <c r="H3671" s="11"/>
      <c r="I3671" s="11"/>
    </row>
    <row r="3672" spans="2:9" x14ac:dyDescent="0.2">
      <c r="B3672" s="11"/>
      <c r="C3672" s="11"/>
      <c r="D3672" s="11"/>
      <c r="E3672" s="11"/>
      <c r="F3672" s="11"/>
      <c r="G3672" s="11"/>
      <c r="H3672" s="11"/>
      <c r="I3672" s="11"/>
    </row>
    <row r="3673" spans="2:9" x14ac:dyDescent="0.2">
      <c r="B3673" s="11"/>
      <c r="C3673" s="11"/>
      <c r="D3673" s="11"/>
      <c r="E3673" s="11"/>
      <c r="F3673" s="11"/>
      <c r="G3673" s="11"/>
      <c r="H3673" s="11"/>
      <c r="I3673" s="11"/>
    </row>
    <row r="3674" spans="2:9" x14ac:dyDescent="0.2">
      <c r="B3674" s="11"/>
      <c r="C3674" s="11"/>
      <c r="D3674" s="11"/>
      <c r="E3674" s="11"/>
      <c r="F3674" s="11"/>
      <c r="G3674" s="11"/>
      <c r="H3674" s="11"/>
      <c r="I3674" s="11"/>
    </row>
    <row r="3675" spans="2:9" x14ac:dyDescent="0.2">
      <c r="B3675" s="11"/>
      <c r="C3675" s="11"/>
      <c r="D3675" s="11"/>
      <c r="E3675" s="11"/>
      <c r="F3675" s="11"/>
      <c r="G3675" s="11"/>
      <c r="H3675" s="11"/>
      <c r="I3675" s="11"/>
    </row>
    <row r="3676" spans="2:9" x14ac:dyDescent="0.2">
      <c r="B3676" s="11"/>
      <c r="C3676" s="11"/>
      <c r="D3676" s="11"/>
      <c r="E3676" s="11"/>
      <c r="F3676" s="11"/>
      <c r="G3676" s="11"/>
      <c r="H3676" s="11"/>
      <c r="I3676" s="11"/>
    </row>
    <row r="3677" spans="2:9" x14ac:dyDescent="0.2">
      <c r="B3677" s="11"/>
      <c r="C3677" s="11"/>
      <c r="D3677" s="11"/>
      <c r="E3677" s="11"/>
      <c r="F3677" s="11"/>
      <c r="G3677" s="11"/>
      <c r="H3677" s="11"/>
      <c r="I3677" s="11"/>
    </row>
    <row r="3678" spans="2:9" x14ac:dyDescent="0.2">
      <c r="B3678" s="11"/>
      <c r="C3678" s="11"/>
      <c r="D3678" s="11"/>
      <c r="E3678" s="11"/>
      <c r="F3678" s="11"/>
      <c r="G3678" s="11"/>
      <c r="H3678" s="11"/>
      <c r="I3678" s="11"/>
    </row>
    <row r="3679" spans="2:9" x14ac:dyDescent="0.2">
      <c r="B3679" s="11"/>
      <c r="C3679" s="11"/>
      <c r="D3679" s="11"/>
      <c r="E3679" s="11"/>
      <c r="F3679" s="11"/>
      <c r="G3679" s="11"/>
      <c r="H3679" s="11"/>
      <c r="I3679" s="11"/>
    </row>
    <row r="3680" spans="2:9" x14ac:dyDescent="0.2">
      <c r="B3680" s="11"/>
      <c r="C3680" s="11"/>
      <c r="D3680" s="11"/>
      <c r="E3680" s="11"/>
      <c r="F3680" s="11"/>
      <c r="G3680" s="11"/>
      <c r="H3680" s="11"/>
      <c r="I3680" s="11"/>
    </row>
    <row r="3681" spans="2:9" x14ac:dyDescent="0.2">
      <c r="B3681" s="11"/>
      <c r="C3681" s="11"/>
      <c r="D3681" s="11"/>
      <c r="E3681" s="11"/>
      <c r="F3681" s="11"/>
      <c r="G3681" s="11"/>
      <c r="H3681" s="11"/>
      <c r="I3681" s="11"/>
    </row>
    <row r="3682" spans="2:9" x14ac:dyDescent="0.2">
      <c r="B3682" s="11"/>
      <c r="C3682" s="11"/>
      <c r="D3682" s="11"/>
      <c r="E3682" s="11"/>
      <c r="F3682" s="11"/>
      <c r="G3682" s="11"/>
      <c r="H3682" s="11"/>
      <c r="I3682" s="11"/>
    </row>
    <row r="3683" spans="2:9" x14ac:dyDescent="0.2">
      <c r="B3683" s="11"/>
      <c r="C3683" s="11"/>
      <c r="D3683" s="11"/>
      <c r="E3683" s="11"/>
      <c r="F3683" s="11"/>
      <c r="G3683" s="11"/>
      <c r="H3683" s="11"/>
      <c r="I3683" s="11"/>
    </row>
    <row r="3684" spans="2:9" x14ac:dyDescent="0.2">
      <c r="B3684" s="11"/>
      <c r="C3684" s="11"/>
      <c r="D3684" s="11"/>
      <c r="E3684" s="11"/>
      <c r="F3684" s="11"/>
      <c r="G3684" s="11"/>
      <c r="H3684" s="11"/>
      <c r="I3684" s="11"/>
    </row>
    <row r="3685" spans="2:9" x14ac:dyDescent="0.2">
      <c r="B3685" s="11"/>
      <c r="C3685" s="11"/>
      <c r="D3685" s="11"/>
      <c r="E3685" s="11"/>
      <c r="F3685" s="11"/>
      <c r="G3685" s="11"/>
      <c r="H3685" s="11"/>
      <c r="I3685" s="11"/>
    </row>
    <row r="3686" spans="2:9" x14ac:dyDescent="0.2">
      <c r="B3686" s="11"/>
      <c r="C3686" s="11"/>
      <c r="D3686" s="11"/>
      <c r="E3686" s="11"/>
      <c r="F3686" s="11"/>
      <c r="G3686" s="11"/>
      <c r="H3686" s="11"/>
      <c r="I3686" s="11"/>
    </row>
    <row r="3687" spans="2:9" x14ac:dyDescent="0.2">
      <c r="B3687" s="11"/>
      <c r="C3687" s="11"/>
      <c r="D3687" s="11"/>
      <c r="E3687" s="11"/>
      <c r="F3687" s="11"/>
      <c r="G3687" s="11"/>
      <c r="H3687" s="11"/>
      <c r="I3687" s="11"/>
    </row>
    <row r="3688" spans="2:9" x14ac:dyDescent="0.2">
      <c r="B3688" s="11"/>
      <c r="C3688" s="11"/>
      <c r="D3688" s="11"/>
      <c r="E3688" s="11"/>
      <c r="F3688" s="11"/>
      <c r="G3688" s="11"/>
      <c r="H3688" s="11"/>
      <c r="I3688" s="11"/>
    </row>
    <row r="3689" spans="2:9" x14ac:dyDescent="0.2">
      <c r="B3689" s="11"/>
      <c r="C3689" s="11"/>
      <c r="D3689" s="11"/>
      <c r="E3689" s="11"/>
      <c r="F3689" s="11"/>
      <c r="G3689" s="11"/>
      <c r="H3689" s="11"/>
      <c r="I3689" s="11"/>
    </row>
    <row r="3690" spans="2:9" x14ac:dyDescent="0.2">
      <c r="B3690" s="11"/>
      <c r="C3690" s="11"/>
      <c r="D3690" s="11"/>
      <c r="E3690" s="11"/>
      <c r="F3690" s="11"/>
      <c r="G3690" s="11"/>
      <c r="H3690" s="11"/>
      <c r="I3690" s="11"/>
    </row>
    <row r="3691" spans="2:9" x14ac:dyDescent="0.2">
      <c r="B3691" s="11"/>
      <c r="C3691" s="11"/>
      <c r="D3691" s="11"/>
      <c r="E3691" s="11"/>
      <c r="F3691" s="11"/>
      <c r="G3691" s="11"/>
      <c r="H3691" s="11"/>
      <c r="I3691" s="11"/>
    </row>
    <row r="3692" spans="2:9" x14ac:dyDescent="0.2">
      <c r="B3692" s="11"/>
      <c r="C3692" s="11"/>
      <c r="D3692" s="11"/>
      <c r="E3692" s="11"/>
      <c r="F3692" s="11"/>
      <c r="G3692" s="11"/>
      <c r="H3692" s="11"/>
      <c r="I3692" s="11"/>
    </row>
    <row r="3693" spans="2:9" x14ac:dyDescent="0.2">
      <c r="B3693" s="11"/>
      <c r="C3693" s="11"/>
      <c r="D3693" s="11"/>
      <c r="E3693" s="11"/>
      <c r="F3693" s="11"/>
      <c r="G3693" s="11"/>
      <c r="H3693" s="11"/>
      <c r="I3693" s="11"/>
    </row>
    <row r="3694" spans="2:9" x14ac:dyDescent="0.2">
      <c r="B3694" s="11"/>
      <c r="C3694" s="11"/>
      <c r="D3694" s="11"/>
      <c r="E3694" s="11"/>
      <c r="F3694" s="11"/>
      <c r="G3694" s="11"/>
      <c r="H3694" s="11"/>
      <c r="I3694" s="11"/>
    </row>
    <row r="3695" spans="2:9" x14ac:dyDescent="0.2">
      <c r="B3695" s="11"/>
      <c r="C3695" s="11"/>
      <c r="D3695" s="11"/>
      <c r="E3695" s="11"/>
      <c r="F3695" s="11"/>
      <c r="G3695" s="11"/>
      <c r="H3695" s="11"/>
      <c r="I3695" s="11"/>
    </row>
    <row r="3696" spans="2:9" x14ac:dyDescent="0.2">
      <c r="B3696" s="11"/>
      <c r="C3696" s="11"/>
      <c r="D3696" s="11"/>
      <c r="E3696" s="11"/>
      <c r="F3696" s="11"/>
      <c r="G3696" s="11"/>
      <c r="H3696" s="11"/>
      <c r="I3696" s="11"/>
    </row>
    <row r="3697" spans="2:9" x14ac:dyDescent="0.2">
      <c r="B3697" s="11"/>
      <c r="C3697" s="11"/>
      <c r="D3697" s="11"/>
      <c r="E3697" s="11"/>
      <c r="F3697" s="11"/>
      <c r="G3697" s="11"/>
      <c r="H3697" s="11"/>
      <c r="I3697" s="11"/>
    </row>
    <row r="3698" spans="2:9" x14ac:dyDescent="0.2">
      <c r="B3698" s="11"/>
      <c r="C3698" s="11"/>
      <c r="D3698" s="11"/>
      <c r="E3698" s="11"/>
      <c r="F3698" s="11"/>
      <c r="G3698" s="11"/>
      <c r="H3698" s="11"/>
      <c r="I3698" s="11"/>
    </row>
    <row r="3699" spans="2:9" x14ac:dyDescent="0.2">
      <c r="B3699" s="11"/>
      <c r="C3699" s="11"/>
      <c r="D3699" s="11"/>
      <c r="E3699" s="11"/>
      <c r="F3699" s="11"/>
      <c r="G3699" s="11"/>
      <c r="H3699" s="11"/>
      <c r="I3699" s="11"/>
    </row>
    <row r="3700" spans="2:9" x14ac:dyDescent="0.2">
      <c r="B3700" s="11"/>
      <c r="C3700" s="11"/>
      <c r="D3700" s="11"/>
      <c r="E3700" s="11"/>
      <c r="F3700" s="11"/>
      <c r="G3700" s="11"/>
      <c r="H3700" s="11"/>
      <c r="I3700" s="11"/>
    </row>
    <row r="3701" spans="2:9" x14ac:dyDescent="0.2">
      <c r="B3701" s="11"/>
      <c r="C3701" s="11"/>
      <c r="D3701" s="11"/>
      <c r="E3701" s="11"/>
      <c r="F3701" s="11"/>
      <c r="G3701" s="11"/>
      <c r="H3701" s="11"/>
      <c r="I3701" s="11"/>
    </row>
    <row r="3702" spans="2:9" x14ac:dyDescent="0.2">
      <c r="B3702" s="11"/>
      <c r="C3702" s="11"/>
      <c r="D3702" s="11"/>
      <c r="E3702" s="11"/>
      <c r="F3702" s="11"/>
      <c r="G3702" s="11"/>
      <c r="H3702" s="11"/>
      <c r="I3702" s="11"/>
    </row>
    <row r="3703" spans="2:9" x14ac:dyDescent="0.2">
      <c r="B3703" s="11"/>
      <c r="C3703" s="11"/>
      <c r="D3703" s="11"/>
      <c r="E3703" s="11"/>
      <c r="F3703" s="11"/>
      <c r="G3703" s="11"/>
      <c r="H3703" s="11"/>
      <c r="I3703" s="11"/>
    </row>
    <row r="3704" spans="2:9" x14ac:dyDescent="0.2">
      <c r="B3704" s="11"/>
      <c r="C3704" s="11"/>
      <c r="D3704" s="11"/>
      <c r="E3704" s="11"/>
      <c r="F3704" s="11"/>
      <c r="G3704" s="11"/>
      <c r="H3704" s="11"/>
      <c r="I3704" s="11"/>
    </row>
    <row r="3705" spans="2:9" x14ac:dyDescent="0.2">
      <c r="B3705" s="11"/>
      <c r="C3705" s="11"/>
      <c r="D3705" s="11"/>
      <c r="E3705" s="11"/>
      <c r="F3705" s="11"/>
      <c r="G3705" s="11"/>
      <c r="H3705" s="11"/>
      <c r="I3705" s="11"/>
    </row>
    <row r="3706" spans="2:9" x14ac:dyDescent="0.2">
      <c r="B3706" s="11"/>
      <c r="C3706" s="11"/>
      <c r="D3706" s="11"/>
      <c r="E3706" s="11"/>
      <c r="F3706" s="11"/>
      <c r="G3706" s="11"/>
      <c r="H3706" s="11"/>
      <c r="I3706" s="11"/>
    </row>
    <row r="3707" spans="2:9" x14ac:dyDescent="0.2">
      <c r="B3707" s="11"/>
      <c r="C3707" s="11"/>
      <c r="D3707" s="11"/>
      <c r="E3707" s="11"/>
      <c r="F3707" s="11"/>
      <c r="G3707" s="11"/>
      <c r="H3707" s="11"/>
      <c r="I3707" s="11"/>
    </row>
    <row r="3708" spans="2:9" x14ac:dyDescent="0.2">
      <c r="B3708" s="11"/>
      <c r="C3708" s="11"/>
      <c r="D3708" s="11"/>
      <c r="E3708" s="11"/>
      <c r="F3708" s="11"/>
      <c r="G3708" s="11"/>
      <c r="H3708" s="11"/>
      <c r="I3708" s="11"/>
    </row>
    <row r="3709" spans="2:9" x14ac:dyDescent="0.2">
      <c r="B3709" s="11"/>
      <c r="C3709" s="11"/>
      <c r="D3709" s="11"/>
      <c r="E3709" s="11"/>
      <c r="F3709" s="11"/>
      <c r="G3709" s="11"/>
      <c r="H3709" s="11"/>
      <c r="I3709" s="11"/>
    </row>
    <row r="3710" spans="2:9" x14ac:dyDescent="0.2">
      <c r="B3710" s="11"/>
      <c r="C3710" s="11"/>
      <c r="D3710" s="11"/>
      <c r="E3710" s="11"/>
      <c r="F3710" s="11"/>
      <c r="G3710" s="11"/>
      <c r="H3710" s="11"/>
      <c r="I3710" s="11"/>
    </row>
    <row r="3711" spans="2:9" x14ac:dyDescent="0.2">
      <c r="B3711" s="11"/>
      <c r="C3711" s="11"/>
      <c r="D3711" s="11"/>
      <c r="E3711" s="11"/>
      <c r="F3711" s="11"/>
      <c r="G3711" s="11"/>
      <c r="H3711" s="11"/>
      <c r="I3711" s="11"/>
    </row>
    <row r="3712" spans="2:9" x14ac:dyDescent="0.2">
      <c r="B3712" s="11"/>
      <c r="C3712" s="11"/>
      <c r="D3712" s="11"/>
      <c r="E3712" s="11"/>
      <c r="F3712" s="11"/>
      <c r="G3712" s="11"/>
      <c r="H3712" s="11"/>
      <c r="I3712" s="11"/>
    </row>
    <row r="3713" spans="2:9" x14ac:dyDescent="0.2">
      <c r="B3713" s="11"/>
      <c r="C3713" s="11"/>
      <c r="D3713" s="11"/>
      <c r="E3713" s="11"/>
      <c r="F3713" s="11"/>
      <c r="G3713" s="11"/>
      <c r="H3713" s="11"/>
      <c r="I3713" s="11"/>
    </row>
    <row r="3714" spans="2:9" x14ac:dyDescent="0.2">
      <c r="B3714" s="11"/>
      <c r="C3714" s="11"/>
      <c r="D3714" s="11"/>
      <c r="E3714" s="11"/>
      <c r="F3714" s="11"/>
      <c r="G3714" s="11"/>
      <c r="H3714" s="11"/>
      <c r="I3714" s="11"/>
    </row>
    <row r="3715" spans="2:9" x14ac:dyDescent="0.2">
      <c r="B3715" s="11"/>
      <c r="C3715" s="11"/>
      <c r="D3715" s="11"/>
      <c r="E3715" s="11"/>
      <c r="F3715" s="11"/>
      <c r="G3715" s="11"/>
      <c r="H3715" s="11"/>
      <c r="I3715" s="11"/>
    </row>
    <row r="3716" spans="2:9" x14ac:dyDescent="0.2">
      <c r="B3716" s="11"/>
      <c r="C3716" s="11"/>
      <c r="D3716" s="11"/>
      <c r="E3716" s="11"/>
      <c r="F3716" s="11"/>
      <c r="G3716" s="11"/>
      <c r="H3716" s="11"/>
      <c r="I3716" s="11"/>
    </row>
    <row r="3717" spans="2:9" x14ac:dyDescent="0.2">
      <c r="B3717" s="11"/>
      <c r="C3717" s="11"/>
      <c r="D3717" s="11"/>
      <c r="E3717" s="11"/>
      <c r="F3717" s="11"/>
      <c r="G3717" s="11"/>
      <c r="H3717" s="11"/>
      <c r="I3717" s="11"/>
    </row>
    <row r="3718" spans="2:9" x14ac:dyDescent="0.2">
      <c r="B3718" s="11"/>
      <c r="C3718" s="11"/>
      <c r="D3718" s="11"/>
      <c r="E3718" s="11"/>
      <c r="F3718" s="11"/>
      <c r="G3718" s="11"/>
      <c r="H3718" s="11"/>
      <c r="I3718" s="11"/>
    </row>
    <row r="3719" spans="2:9" x14ac:dyDescent="0.2">
      <c r="B3719" s="11"/>
      <c r="C3719" s="11"/>
      <c r="D3719" s="11"/>
      <c r="E3719" s="11"/>
      <c r="F3719" s="11"/>
      <c r="G3719" s="11"/>
      <c r="H3719" s="11"/>
      <c r="I3719" s="11"/>
    </row>
    <row r="3720" spans="2:9" x14ac:dyDescent="0.2">
      <c r="B3720" s="11"/>
      <c r="C3720" s="11"/>
      <c r="D3720" s="11"/>
      <c r="E3720" s="11"/>
      <c r="F3720" s="11"/>
      <c r="G3720" s="11"/>
      <c r="H3720" s="11"/>
      <c r="I3720" s="11"/>
    </row>
    <row r="3721" spans="2:9" x14ac:dyDescent="0.2">
      <c r="B3721" s="11"/>
      <c r="C3721" s="11"/>
      <c r="D3721" s="11"/>
      <c r="E3721" s="11"/>
      <c r="F3721" s="11"/>
      <c r="G3721" s="11"/>
      <c r="H3721" s="11"/>
      <c r="I3721" s="11"/>
    </row>
    <row r="3722" spans="2:9" x14ac:dyDescent="0.2">
      <c r="B3722" s="11"/>
      <c r="C3722" s="11"/>
      <c r="D3722" s="11"/>
      <c r="E3722" s="11"/>
      <c r="F3722" s="11"/>
      <c r="G3722" s="11"/>
      <c r="H3722" s="11"/>
      <c r="I3722" s="11"/>
    </row>
    <row r="3723" spans="2:9" x14ac:dyDescent="0.2">
      <c r="B3723" s="11"/>
      <c r="C3723" s="11"/>
      <c r="D3723" s="11"/>
      <c r="E3723" s="11"/>
      <c r="F3723" s="11"/>
      <c r="G3723" s="11"/>
      <c r="H3723" s="11"/>
      <c r="I3723" s="11"/>
    </row>
    <row r="3724" spans="2:9" x14ac:dyDescent="0.2">
      <c r="B3724" s="11"/>
      <c r="C3724" s="11"/>
      <c r="D3724" s="11"/>
      <c r="E3724" s="11"/>
      <c r="F3724" s="11"/>
      <c r="G3724" s="11"/>
      <c r="H3724" s="11"/>
      <c r="I3724" s="11"/>
    </row>
    <row r="3725" spans="2:9" x14ac:dyDescent="0.2">
      <c r="B3725" s="11"/>
      <c r="C3725" s="11"/>
      <c r="D3725" s="11"/>
      <c r="E3725" s="11"/>
      <c r="F3725" s="11"/>
      <c r="G3725" s="11"/>
      <c r="H3725" s="11"/>
      <c r="I3725" s="11"/>
    </row>
    <row r="3726" spans="2:9" x14ac:dyDescent="0.2">
      <c r="B3726" s="11"/>
      <c r="C3726" s="11"/>
      <c r="D3726" s="11"/>
      <c r="E3726" s="11"/>
      <c r="F3726" s="11"/>
      <c r="G3726" s="11"/>
      <c r="H3726" s="11"/>
      <c r="I3726" s="11"/>
    </row>
    <row r="3727" spans="2:9" x14ac:dyDescent="0.2">
      <c r="B3727" s="11"/>
      <c r="C3727" s="11"/>
      <c r="D3727" s="11"/>
      <c r="E3727" s="11"/>
      <c r="F3727" s="11"/>
      <c r="G3727" s="11"/>
      <c r="H3727" s="11"/>
      <c r="I3727" s="11"/>
    </row>
    <row r="3728" spans="2:9" x14ac:dyDescent="0.2">
      <c r="B3728" s="11"/>
      <c r="C3728" s="11"/>
      <c r="D3728" s="11"/>
      <c r="E3728" s="11"/>
      <c r="F3728" s="11"/>
      <c r="G3728" s="11"/>
      <c r="H3728" s="11"/>
      <c r="I3728" s="11"/>
    </row>
    <row r="3729" spans="2:9" x14ac:dyDescent="0.2">
      <c r="B3729" s="11"/>
      <c r="C3729" s="11"/>
      <c r="D3729" s="11"/>
      <c r="E3729" s="11"/>
      <c r="F3729" s="11"/>
      <c r="G3729" s="11"/>
      <c r="H3729" s="11"/>
      <c r="I3729" s="11"/>
    </row>
    <row r="3730" spans="2:9" x14ac:dyDescent="0.2">
      <c r="B3730" s="11"/>
      <c r="C3730" s="11"/>
      <c r="D3730" s="11"/>
      <c r="E3730" s="11"/>
      <c r="F3730" s="11"/>
      <c r="G3730" s="11"/>
      <c r="H3730" s="11"/>
      <c r="I3730" s="11"/>
    </row>
    <row r="3731" spans="2:9" x14ac:dyDescent="0.2">
      <c r="B3731" s="11"/>
      <c r="C3731" s="11"/>
      <c r="D3731" s="11"/>
      <c r="E3731" s="11"/>
      <c r="F3731" s="11"/>
      <c r="G3731" s="11"/>
      <c r="H3731" s="11"/>
      <c r="I3731" s="11"/>
    </row>
    <row r="3732" spans="2:9" x14ac:dyDescent="0.2">
      <c r="B3732" s="11"/>
      <c r="C3732" s="11"/>
      <c r="D3732" s="11"/>
      <c r="E3732" s="11"/>
      <c r="F3732" s="11"/>
      <c r="G3732" s="11"/>
      <c r="H3732" s="11"/>
      <c r="I3732" s="11"/>
    </row>
    <row r="3733" spans="2:9" x14ac:dyDescent="0.2">
      <c r="B3733" s="11"/>
      <c r="C3733" s="11"/>
      <c r="D3733" s="11"/>
      <c r="E3733" s="11"/>
      <c r="F3733" s="11"/>
      <c r="G3733" s="11"/>
      <c r="H3733" s="11"/>
      <c r="I3733" s="11"/>
    </row>
    <row r="3734" spans="2:9" x14ac:dyDescent="0.2">
      <c r="B3734" s="11"/>
      <c r="C3734" s="11"/>
      <c r="D3734" s="11"/>
      <c r="E3734" s="11"/>
      <c r="F3734" s="11"/>
      <c r="G3734" s="11"/>
      <c r="H3734" s="11"/>
      <c r="I3734" s="11"/>
    </row>
    <row r="3735" spans="2:9" x14ac:dyDescent="0.2">
      <c r="B3735" s="11"/>
      <c r="C3735" s="11"/>
      <c r="D3735" s="11"/>
      <c r="E3735" s="11"/>
      <c r="F3735" s="11"/>
      <c r="G3735" s="11"/>
      <c r="H3735" s="11"/>
      <c r="I3735" s="11"/>
    </row>
    <row r="3736" spans="2:9" x14ac:dyDescent="0.2">
      <c r="B3736" s="11"/>
      <c r="C3736" s="11"/>
      <c r="D3736" s="11"/>
      <c r="E3736" s="11"/>
      <c r="F3736" s="11"/>
      <c r="G3736" s="11"/>
      <c r="H3736" s="11"/>
      <c r="I3736" s="11"/>
    </row>
    <row r="3737" spans="2:9" x14ac:dyDescent="0.2">
      <c r="B3737" s="11"/>
      <c r="C3737" s="11"/>
      <c r="D3737" s="11"/>
      <c r="E3737" s="11"/>
      <c r="F3737" s="11"/>
      <c r="G3737" s="11"/>
      <c r="H3737" s="11"/>
      <c r="I3737" s="11"/>
    </row>
    <row r="3738" spans="2:9" x14ac:dyDescent="0.2">
      <c r="B3738" s="11"/>
      <c r="C3738" s="11"/>
      <c r="D3738" s="11"/>
      <c r="E3738" s="11"/>
      <c r="F3738" s="11"/>
      <c r="G3738" s="11"/>
      <c r="H3738" s="11"/>
      <c r="I3738" s="11"/>
    </row>
    <row r="3739" spans="2:9" x14ac:dyDescent="0.2">
      <c r="B3739" s="11"/>
      <c r="C3739" s="11"/>
      <c r="D3739" s="11"/>
      <c r="E3739" s="11"/>
      <c r="F3739" s="11"/>
      <c r="G3739" s="11"/>
      <c r="H3739" s="11"/>
      <c r="I3739" s="11"/>
    </row>
    <row r="3740" spans="2:9" x14ac:dyDescent="0.2">
      <c r="B3740" s="11"/>
      <c r="C3740" s="11"/>
      <c r="D3740" s="11"/>
      <c r="E3740" s="11"/>
      <c r="F3740" s="11"/>
      <c r="G3740" s="11"/>
      <c r="H3740" s="11"/>
      <c r="I3740" s="11"/>
    </row>
    <row r="3741" spans="2:9" x14ac:dyDescent="0.2">
      <c r="B3741" s="11"/>
      <c r="C3741" s="11"/>
      <c r="D3741" s="11"/>
      <c r="E3741" s="11"/>
      <c r="F3741" s="11"/>
      <c r="G3741" s="11"/>
      <c r="H3741" s="11"/>
      <c r="I3741" s="11"/>
    </row>
    <row r="3742" spans="2:9" x14ac:dyDescent="0.2">
      <c r="B3742" s="11"/>
      <c r="C3742" s="11"/>
      <c r="D3742" s="11"/>
      <c r="E3742" s="11"/>
      <c r="F3742" s="11"/>
      <c r="G3742" s="11"/>
      <c r="H3742" s="11"/>
      <c r="I3742" s="11"/>
    </row>
    <row r="3743" spans="2:9" x14ac:dyDescent="0.2">
      <c r="B3743" s="11"/>
      <c r="C3743" s="11"/>
      <c r="D3743" s="11"/>
      <c r="E3743" s="11"/>
      <c r="F3743" s="11"/>
      <c r="G3743" s="11"/>
      <c r="H3743" s="11"/>
      <c r="I3743" s="11"/>
    </row>
    <row r="3744" spans="2:9" x14ac:dyDescent="0.2">
      <c r="B3744" s="11"/>
      <c r="C3744" s="11"/>
      <c r="D3744" s="11"/>
      <c r="E3744" s="11"/>
      <c r="F3744" s="11"/>
      <c r="G3744" s="11"/>
      <c r="H3744" s="11"/>
      <c r="I3744" s="11"/>
    </row>
    <row r="3745" spans="2:9" x14ac:dyDescent="0.2">
      <c r="B3745" s="11"/>
      <c r="C3745" s="11"/>
      <c r="D3745" s="11"/>
      <c r="E3745" s="11"/>
      <c r="F3745" s="11"/>
      <c r="G3745" s="11"/>
      <c r="H3745" s="11"/>
      <c r="I3745" s="11"/>
    </row>
    <row r="3746" spans="2:9" x14ac:dyDescent="0.2">
      <c r="B3746" s="11"/>
      <c r="C3746" s="11"/>
      <c r="D3746" s="11"/>
      <c r="E3746" s="11"/>
      <c r="F3746" s="11"/>
      <c r="G3746" s="11"/>
      <c r="H3746" s="11"/>
      <c r="I3746" s="11"/>
    </row>
    <row r="3747" spans="2:9" x14ac:dyDescent="0.2">
      <c r="B3747" s="11"/>
      <c r="C3747" s="11"/>
      <c r="D3747" s="11"/>
      <c r="E3747" s="11"/>
      <c r="F3747" s="11"/>
      <c r="G3747" s="11"/>
      <c r="H3747" s="11"/>
      <c r="I3747" s="11"/>
    </row>
    <row r="3748" spans="2:9" x14ac:dyDescent="0.2">
      <c r="B3748" s="11"/>
      <c r="C3748" s="11"/>
      <c r="D3748" s="11"/>
      <c r="E3748" s="11"/>
      <c r="F3748" s="11"/>
      <c r="G3748" s="11"/>
      <c r="H3748" s="11"/>
      <c r="I3748" s="11"/>
    </row>
    <row r="3749" spans="2:9" x14ac:dyDescent="0.2">
      <c r="B3749" s="11"/>
      <c r="C3749" s="11"/>
      <c r="D3749" s="11"/>
      <c r="E3749" s="11"/>
      <c r="F3749" s="11"/>
      <c r="G3749" s="11"/>
      <c r="H3749" s="11"/>
      <c r="I3749" s="11"/>
    </row>
    <row r="3750" spans="2:9" x14ac:dyDescent="0.2">
      <c r="B3750" s="11"/>
      <c r="C3750" s="11"/>
      <c r="D3750" s="11"/>
      <c r="E3750" s="11"/>
      <c r="F3750" s="11"/>
      <c r="G3750" s="11"/>
      <c r="H3750" s="11"/>
      <c r="I3750" s="11"/>
    </row>
    <row r="3751" spans="2:9" x14ac:dyDescent="0.2">
      <c r="B3751" s="11"/>
      <c r="C3751" s="11"/>
      <c r="D3751" s="11"/>
      <c r="E3751" s="11"/>
      <c r="F3751" s="11"/>
      <c r="G3751" s="11"/>
      <c r="H3751" s="11"/>
      <c r="I3751" s="11"/>
    </row>
    <row r="3752" spans="2:9" x14ac:dyDescent="0.2">
      <c r="B3752" s="11"/>
      <c r="C3752" s="11"/>
      <c r="D3752" s="11"/>
      <c r="E3752" s="11"/>
      <c r="F3752" s="11"/>
      <c r="G3752" s="11"/>
      <c r="H3752" s="11"/>
      <c r="I3752" s="11"/>
    </row>
    <row r="3753" spans="2:9" x14ac:dyDescent="0.2">
      <c r="B3753" s="11"/>
      <c r="C3753" s="11"/>
      <c r="D3753" s="11"/>
      <c r="E3753" s="11"/>
      <c r="F3753" s="11"/>
      <c r="G3753" s="11"/>
      <c r="H3753" s="11"/>
      <c r="I3753" s="11"/>
    </row>
    <row r="3754" spans="2:9" x14ac:dyDescent="0.2">
      <c r="B3754" s="11"/>
      <c r="C3754" s="11"/>
      <c r="D3754" s="11"/>
      <c r="E3754" s="11"/>
      <c r="F3754" s="11"/>
      <c r="G3754" s="11"/>
      <c r="H3754" s="11"/>
      <c r="I3754" s="11"/>
    </row>
    <row r="3755" spans="2:9" x14ac:dyDescent="0.2">
      <c r="B3755" s="11"/>
      <c r="C3755" s="11"/>
      <c r="D3755" s="11"/>
      <c r="E3755" s="11"/>
      <c r="F3755" s="11"/>
      <c r="G3755" s="11"/>
      <c r="H3755" s="11"/>
      <c r="I3755" s="11"/>
    </row>
    <row r="3756" spans="2:9" x14ac:dyDescent="0.2">
      <c r="B3756" s="11"/>
      <c r="C3756" s="11"/>
      <c r="D3756" s="11"/>
      <c r="E3756" s="11"/>
      <c r="F3756" s="11"/>
      <c r="G3756" s="11"/>
      <c r="H3756" s="11"/>
      <c r="I3756" s="11"/>
    </row>
    <row r="3757" spans="2:9" x14ac:dyDescent="0.2">
      <c r="B3757" s="11"/>
      <c r="C3757" s="11"/>
      <c r="D3757" s="11"/>
      <c r="E3757" s="11"/>
      <c r="F3757" s="11"/>
      <c r="G3757" s="11"/>
      <c r="H3757" s="11"/>
      <c r="I3757" s="11"/>
    </row>
    <row r="3758" spans="2:9" x14ac:dyDescent="0.2">
      <c r="B3758" s="11"/>
      <c r="C3758" s="11"/>
      <c r="D3758" s="11"/>
      <c r="E3758" s="11"/>
      <c r="F3758" s="11"/>
      <c r="G3758" s="11"/>
      <c r="H3758" s="11"/>
      <c r="I3758" s="11"/>
    </row>
    <row r="3759" spans="2:9" x14ac:dyDescent="0.2">
      <c r="B3759" s="11"/>
      <c r="C3759" s="11"/>
      <c r="D3759" s="11"/>
      <c r="E3759" s="11"/>
      <c r="F3759" s="11"/>
      <c r="G3759" s="11"/>
      <c r="H3759" s="11"/>
      <c r="I3759" s="11"/>
    </row>
    <row r="3760" spans="2:9" x14ac:dyDescent="0.2">
      <c r="B3760" s="11"/>
      <c r="C3760" s="11"/>
      <c r="D3760" s="11"/>
      <c r="E3760" s="11"/>
      <c r="F3760" s="11"/>
      <c r="G3760" s="11"/>
      <c r="H3760" s="11"/>
      <c r="I3760" s="11"/>
    </row>
    <row r="3761" spans="2:9" x14ac:dyDescent="0.2">
      <c r="B3761" s="11"/>
      <c r="C3761" s="11"/>
      <c r="D3761" s="11"/>
      <c r="E3761" s="11"/>
      <c r="F3761" s="11"/>
      <c r="G3761" s="11"/>
      <c r="H3761" s="11"/>
      <c r="I3761" s="11"/>
    </row>
    <row r="3762" spans="2:9" x14ac:dyDescent="0.2">
      <c r="B3762" s="11"/>
      <c r="C3762" s="11"/>
      <c r="D3762" s="11"/>
      <c r="E3762" s="11"/>
      <c r="F3762" s="11"/>
      <c r="G3762" s="11"/>
      <c r="H3762" s="11"/>
      <c r="I3762" s="11"/>
    </row>
    <row r="3763" spans="2:9" x14ac:dyDescent="0.2">
      <c r="B3763" s="11"/>
      <c r="C3763" s="11"/>
      <c r="D3763" s="11"/>
      <c r="E3763" s="11"/>
      <c r="F3763" s="11"/>
      <c r="G3763" s="11"/>
      <c r="H3763" s="11"/>
      <c r="I3763" s="11"/>
    </row>
    <row r="3764" spans="2:9" x14ac:dyDescent="0.2">
      <c r="B3764" s="11"/>
      <c r="C3764" s="11"/>
      <c r="D3764" s="11"/>
      <c r="E3764" s="11"/>
      <c r="F3764" s="11"/>
      <c r="G3764" s="11"/>
      <c r="H3764" s="11"/>
      <c r="I3764" s="11"/>
    </row>
    <row r="3765" spans="2:9" x14ac:dyDescent="0.2">
      <c r="B3765" s="11"/>
      <c r="C3765" s="11"/>
      <c r="D3765" s="11"/>
      <c r="E3765" s="11"/>
      <c r="F3765" s="11"/>
      <c r="G3765" s="11"/>
      <c r="H3765" s="11"/>
      <c r="I3765" s="11"/>
    </row>
    <row r="3766" spans="2:9" x14ac:dyDescent="0.2">
      <c r="B3766" s="11"/>
      <c r="C3766" s="11"/>
      <c r="D3766" s="11"/>
      <c r="E3766" s="11"/>
      <c r="F3766" s="11"/>
      <c r="G3766" s="11"/>
      <c r="H3766" s="11"/>
      <c r="I3766" s="11"/>
    </row>
    <row r="3767" spans="2:9" x14ac:dyDescent="0.2">
      <c r="B3767" s="11"/>
      <c r="C3767" s="11"/>
      <c r="D3767" s="11"/>
      <c r="E3767" s="11"/>
      <c r="F3767" s="11"/>
      <c r="G3767" s="11"/>
      <c r="H3767" s="11"/>
      <c r="I3767" s="11"/>
    </row>
    <row r="3768" spans="2:9" x14ac:dyDescent="0.2">
      <c r="B3768" s="11"/>
      <c r="C3768" s="11"/>
      <c r="D3768" s="11"/>
      <c r="E3768" s="11"/>
      <c r="F3768" s="11"/>
      <c r="G3768" s="11"/>
      <c r="H3768" s="11"/>
      <c r="I3768" s="11"/>
    </row>
    <row r="3769" spans="2:9" x14ac:dyDescent="0.2">
      <c r="B3769" s="11"/>
      <c r="C3769" s="11"/>
      <c r="D3769" s="11"/>
      <c r="E3769" s="11"/>
      <c r="F3769" s="11"/>
      <c r="G3769" s="11"/>
      <c r="H3769" s="11"/>
      <c r="I3769" s="11"/>
    </row>
    <row r="3770" spans="2:9" x14ac:dyDescent="0.2">
      <c r="B3770" s="11"/>
      <c r="C3770" s="11"/>
      <c r="D3770" s="11"/>
      <c r="E3770" s="11"/>
      <c r="F3770" s="11"/>
      <c r="G3770" s="11"/>
      <c r="H3770" s="11"/>
      <c r="I3770" s="11"/>
    </row>
    <row r="3771" spans="2:9" x14ac:dyDescent="0.2">
      <c r="B3771" s="11"/>
      <c r="C3771" s="11"/>
      <c r="D3771" s="11"/>
      <c r="E3771" s="11"/>
      <c r="F3771" s="11"/>
      <c r="G3771" s="11"/>
      <c r="H3771" s="11"/>
      <c r="I3771" s="11"/>
    </row>
    <row r="3772" spans="2:9" x14ac:dyDescent="0.2">
      <c r="B3772" s="11"/>
      <c r="C3772" s="11"/>
      <c r="D3772" s="11"/>
      <c r="E3772" s="11"/>
      <c r="F3772" s="11"/>
      <c r="G3772" s="11"/>
      <c r="H3772" s="11"/>
      <c r="I3772" s="11"/>
    </row>
    <row r="3773" spans="2:9" x14ac:dyDescent="0.2">
      <c r="B3773" s="11"/>
      <c r="C3773" s="11"/>
      <c r="D3773" s="11"/>
      <c r="E3773" s="11"/>
      <c r="F3773" s="11"/>
      <c r="G3773" s="11"/>
      <c r="H3773" s="11"/>
      <c r="I3773" s="11"/>
    </row>
    <row r="3774" spans="2:9" x14ac:dyDescent="0.2">
      <c r="B3774" s="11"/>
      <c r="C3774" s="11"/>
      <c r="D3774" s="11"/>
      <c r="E3774" s="11"/>
      <c r="F3774" s="11"/>
      <c r="G3774" s="11"/>
      <c r="H3774" s="11"/>
      <c r="I3774" s="11"/>
    </row>
    <row r="3775" spans="2:9" x14ac:dyDescent="0.2">
      <c r="B3775" s="11"/>
      <c r="C3775" s="11"/>
      <c r="D3775" s="11"/>
      <c r="E3775" s="11"/>
      <c r="F3775" s="11"/>
      <c r="G3775" s="11"/>
      <c r="H3775" s="11"/>
      <c r="I3775" s="11"/>
    </row>
    <row r="3776" spans="2:9" x14ac:dyDescent="0.2">
      <c r="B3776" s="11"/>
      <c r="C3776" s="11"/>
      <c r="D3776" s="11"/>
      <c r="E3776" s="11"/>
      <c r="F3776" s="11"/>
      <c r="G3776" s="11"/>
      <c r="H3776" s="11"/>
      <c r="I3776" s="11"/>
    </row>
    <row r="3777" spans="2:9" x14ac:dyDescent="0.2">
      <c r="B3777" s="11"/>
      <c r="C3777" s="11"/>
      <c r="D3777" s="11"/>
      <c r="E3777" s="11"/>
      <c r="F3777" s="11"/>
      <c r="G3777" s="11"/>
      <c r="H3777" s="11"/>
      <c r="I3777" s="11"/>
    </row>
    <row r="3778" spans="2:9" x14ac:dyDescent="0.2">
      <c r="B3778" s="11"/>
      <c r="C3778" s="11"/>
      <c r="D3778" s="11"/>
      <c r="E3778" s="11"/>
      <c r="F3778" s="11"/>
      <c r="G3778" s="11"/>
      <c r="H3778" s="11"/>
      <c r="I3778" s="11"/>
    </row>
    <row r="3779" spans="2:9" x14ac:dyDescent="0.2">
      <c r="B3779" s="11"/>
      <c r="C3779" s="11"/>
      <c r="D3779" s="11"/>
      <c r="E3779" s="11"/>
      <c r="F3779" s="11"/>
      <c r="G3779" s="11"/>
      <c r="H3779" s="11"/>
      <c r="I3779" s="11"/>
    </row>
    <row r="3780" spans="2:9" x14ac:dyDescent="0.2">
      <c r="B3780" s="11"/>
      <c r="C3780" s="11"/>
      <c r="D3780" s="11"/>
      <c r="E3780" s="11"/>
      <c r="F3780" s="11"/>
      <c r="G3780" s="11"/>
      <c r="H3780" s="11"/>
      <c r="I3780" s="11"/>
    </row>
    <row r="3781" spans="2:9" x14ac:dyDescent="0.2">
      <c r="B3781" s="11"/>
      <c r="C3781" s="11"/>
      <c r="D3781" s="11"/>
      <c r="E3781" s="11"/>
      <c r="F3781" s="11"/>
      <c r="G3781" s="11"/>
      <c r="H3781" s="11"/>
      <c r="I3781" s="11"/>
    </row>
    <row r="3782" spans="2:9" x14ac:dyDescent="0.2">
      <c r="B3782" s="11"/>
      <c r="C3782" s="11"/>
      <c r="D3782" s="11"/>
      <c r="E3782" s="11"/>
      <c r="F3782" s="11"/>
      <c r="G3782" s="11"/>
      <c r="H3782" s="11"/>
      <c r="I3782" s="11"/>
    </row>
    <row r="3783" spans="2:9" x14ac:dyDescent="0.2">
      <c r="B3783" s="11"/>
      <c r="C3783" s="11"/>
      <c r="D3783" s="11"/>
      <c r="E3783" s="11"/>
      <c r="F3783" s="11"/>
      <c r="G3783" s="11"/>
      <c r="H3783" s="11"/>
      <c r="I3783" s="11"/>
    </row>
    <row r="3784" spans="2:9" x14ac:dyDescent="0.2">
      <c r="B3784" s="11"/>
      <c r="C3784" s="11"/>
      <c r="D3784" s="11"/>
      <c r="E3784" s="11"/>
      <c r="F3784" s="11"/>
      <c r="G3784" s="11"/>
      <c r="H3784" s="11"/>
      <c r="I3784" s="11"/>
    </row>
    <row r="3785" spans="2:9" x14ac:dyDescent="0.2">
      <c r="B3785" s="11"/>
      <c r="C3785" s="11"/>
      <c r="D3785" s="11"/>
      <c r="E3785" s="11"/>
      <c r="F3785" s="11"/>
      <c r="G3785" s="11"/>
      <c r="H3785" s="11"/>
      <c r="I3785" s="11"/>
    </row>
    <row r="3786" spans="2:9" x14ac:dyDescent="0.2">
      <c r="B3786" s="11"/>
      <c r="C3786" s="11"/>
      <c r="D3786" s="11"/>
      <c r="E3786" s="11"/>
      <c r="F3786" s="11"/>
      <c r="G3786" s="11"/>
      <c r="H3786" s="11"/>
      <c r="I3786" s="11"/>
    </row>
    <row r="3787" spans="2:9" x14ac:dyDescent="0.2">
      <c r="B3787" s="11"/>
      <c r="C3787" s="11"/>
      <c r="D3787" s="11"/>
      <c r="E3787" s="11"/>
      <c r="F3787" s="11"/>
      <c r="G3787" s="11"/>
      <c r="H3787" s="11"/>
      <c r="I3787" s="11"/>
    </row>
    <row r="3788" spans="2:9" x14ac:dyDescent="0.2">
      <c r="B3788" s="11"/>
      <c r="C3788" s="11"/>
      <c r="D3788" s="11"/>
      <c r="E3788" s="11"/>
      <c r="F3788" s="11"/>
      <c r="G3788" s="11"/>
      <c r="H3788" s="11"/>
      <c r="I3788" s="11"/>
    </row>
    <row r="3789" spans="2:9" x14ac:dyDescent="0.2">
      <c r="B3789" s="11"/>
      <c r="C3789" s="11"/>
      <c r="D3789" s="11"/>
      <c r="E3789" s="11"/>
      <c r="F3789" s="11"/>
      <c r="G3789" s="11"/>
      <c r="H3789" s="11"/>
      <c r="I3789" s="11"/>
    </row>
    <row r="3790" spans="2:9" x14ac:dyDescent="0.2">
      <c r="B3790" s="11"/>
      <c r="C3790" s="11"/>
      <c r="D3790" s="11"/>
      <c r="E3790" s="11"/>
      <c r="F3790" s="11"/>
      <c r="G3790" s="11"/>
      <c r="H3790" s="11"/>
      <c r="I3790" s="11"/>
    </row>
    <row r="3791" spans="2:9" x14ac:dyDescent="0.2">
      <c r="B3791" s="11"/>
      <c r="C3791" s="11"/>
      <c r="D3791" s="11"/>
      <c r="E3791" s="11"/>
      <c r="F3791" s="11"/>
      <c r="G3791" s="11"/>
      <c r="H3791" s="11"/>
      <c r="I3791" s="11"/>
    </row>
    <row r="3792" spans="2:9" x14ac:dyDescent="0.2">
      <c r="B3792" s="11"/>
      <c r="C3792" s="11"/>
      <c r="D3792" s="11"/>
      <c r="E3792" s="11"/>
      <c r="F3792" s="11"/>
      <c r="G3792" s="11"/>
      <c r="H3792" s="11"/>
      <c r="I3792" s="11"/>
    </row>
    <row r="3793" spans="2:9" x14ac:dyDescent="0.2">
      <c r="B3793" s="11"/>
      <c r="C3793" s="11"/>
      <c r="D3793" s="11"/>
      <c r="E3793" s="11"/>
      <c r="F3793" s="11"/>
      <c r="G3793" s="11"/>
      <c r="H3793" s="11"/>
      <c r="I3793" s="11"/>
    </row>
    <row r="3794" spans="2:9" x14ac:dyDescent="0.2">
      <c r="B3794" s="11"/>
      <c r="C3794" s="11"/>
      <c r="D3794" s="11"/>
      <c r="E3794" s="11"/>
      <c r="F3794" s="11"/>
      <c r="G3794" s="11"/>
      <c r="H3794" s="11"/>
      <c r="I3794" s="11"/>
    </row>
    <row r="3795" spans="2:9" x14ac:dyDescent="0.2">
      <c r="B3795" s="11"/>
      <c r="C3795" s="11"/>
      <c r="D3795" s="11"/>
      <c r="E3795" s="11"/>
      <c r="F3795" s="11"/>
      <c r="G3795" s="11"/>
      <c r="H3795" s="11"/>
      <c r="I3795" s="11"/>
    </row>
    <row r="3796" spans="2:9" x14ac:dyDescent="0.2">
      <c r="B3796" s="11"/>
      <c r="C3796" s="11"/>
      <c r="D3796" s="11"/>
      <c r="E3796" s="11"/>
      <c r="F3796" s="11"/>
      <c r="G3796" s="11"/>
      <c r="H3796" s="11"/>
      <c r="I3796" s="11"/>
    </row>
    <row r="3797" spans="2:9" x14ac:dyDescent="0.2">
      <c r="B3797" s="11"/>
      <c r="C3797" s="11"/>
      <c r="D3797" s="11"/>
      <c r="E3797" s="11"/>
      <c r="F3797" s="11"/>
      <c r="G3797" s="11"/>
      <c r="H3797" s="11"/>
      <c r="I3797" s="11"/>
    </row>
    <row r="3798" spans="2:9" x14ac:dyDescent="0.2">
      <c r="B3798" s="11"/>
      <c r="C3798" s="11"/>
      <c r="D3798" s="11"/>
      <c r="E3798" s="11"/>
      <c r="F3798" s="11"/>
      <c r="G3798" s="11"/>
      <c r="H3798" s="11"/>
      <c r="I3798" s="11"/>
    </row>
    <row r="3799" spans="2:9" x14ac:dyDescent="0.2">
      <c r="B3799" s="11"/>
      <c r="C3799" s="11"/>
      <c r="D3799" s="11"/>
      <c r="E3799" s="11"/>
      <c r="F3799" s="11"/>
      <c r="G3799" s="11"/>
      <c r="H3799" s="11"/>
      <c r="I3799" s="11"/>
    </row>
    <row r="3800" spans="2:9" x14ac:dyDescent="0.2">
      <c r="B3800" s="11"/>
      <c r="C3800" s="11"/>
      <c r="D3800" s="11"/>
      <c r="E3800" s="11"/>
      <c r="F3800" s="11"/>
      <c r="G3800" s="11"/>
      <c r="H3800" s="11"/>
      <c r="I3800" s="11"/>
    </row>
    <row r="3801" spans="2:9" x14ac:dyDescent="0.2">
      <c r="B3801" s="11"/>
      <c r="C3801" s="11"/>
      <c r="D3801" s="11"/>
      <c r="E3801" s="11"/>
      <c r="F3801" s="11"/>
      <c r="G3801" s="11"/>
      <c r="H3801" s="11"/>
      <c r="I3801" s="11"/>
    </row>
    <row r="3802" spans="2:9" x14ac:dyDescent="0.2">
      <c r="B3802" s="11"/>
      <c r="C3802" s="11"/>
      <c r="D3802" s="11"/>
      <c r="E3802" s="11"/>
      <c r="F3802" s="11"/>
      <c r="G3802" s="11"/>
      <c r="H3802" s="11"/>
      <c r="I3802" s="11"/>
    </row>
    <row r="3803" spans="2:9" x14ac:dyDescent="0.2">
      <c r="B3803" s="11"/>
      <c r="C3803" s="11"/>
      <c r="D3803" s="11"/>
      <c r="E3803" s="11"/>
      <c r="F3803" s="11"/>
      <c r="G3803" s="11"/>
      <c r="H3803" s="11"/>
      <c r="I3803" s="11"/>
    </row>
    <row r="3804" spans="2:9" x14ac:dyDescent="0.2">
      <c r="B3804" s="11"/>
      <c r="C3804" s="11"/>
      <c r="D3804" s="11"/>
      <c r="E3804" s="11"/>
      <c r="F3804" s="11"/>
      <c r="G3804" s="11"/>
      <c r="H3804" s="11"/>
      <c r="I3804" s="11"/>
    </row>
    <row r="3805" spans="2:9" x14ac:dyDescent="0.2">
      <c r="B3805" s="11"/>
      <c r="C3805" s="11"/>
      <c r="D3805" s="11"/>
      <c r="E3805" s="11"/>
      <c r="F3805" s="11"/>
      <c r="G3805" s="11"/>
      <c r="H3805" s="11"/>
      <c r="I3805" s="11"/>
    </row>
    <row r="3806" spans="2:9" x14ac:dyDescent="0.2">
      <c r="B3806" s="11"/>
      <c r="C3806" s="11"/>
      <c r="D3806" s="11"/>
      <c r="E3806" s="11"/>
      <c r="F3806" s="11"/>
      <c r="G3806" s="11"/>
      <c r="H3806" s="11"/>
      <c r="I3806" s="11"/>
    </row>
    <row r="3807" spans="2:9" x14ac:dyDescent="0.2">
      <c r="B3807" s="11"/>
      <c r="C3807" s="11"/>
      <c r="D3807" s="11"/>
      <c r="E3807" s="11"/>
      <c r="F3807" s="11"/>
      <c r="G3807" s="11"/>
      <c r="H3807" s="11"/>
      <c r="I3807" s="11"/>
    </row>
    <row r="3808" spans="2:9" x14ac:dyDescent="0.2">
      <c r="B3808" s="11"/>
      <c r="C3808" s="11"/>
      <c r="D3808" s="11"/>
      <c r="E3808" s="11"/>
      <c r="F3808" s="11"/>
      <c r="G3808" s="11"/>
      <c r="H3808" s="11"/>
      <c r="I3808" s="11"/>
    </row>
    <row r="3809" spans="2:9" x14ac:dyDescent="0.2">
      <c r="B3809" s="11"/>
      <c r="C3809" s="11"/>
      <c r="D3809" s="11"/>
      <c r="E3809" s="11"/>
      <c r="F3809" s="11"/>
      <c r="G3809" s="11"/>
      <c r="H3809" s="11"/>
      <c r="I3809" s="11"/>
    </row>
    <row r="3810" spans="2:9" x14ac:dyDescent="0.2">
      <c r="B3810" s="11"/>
      <c r="C3810" s="11"/>
      <c r="D3810" s="11"/>
      <c r="E3810" s="11"/>
      <c r="F3810" s="11"/>
      <c r="G3810" s="11"/>
      <c r="H3810" s="11"/>
      <c r="I3810" s="11"/>
    </row>
    <row r="3811" spans="2:9" x14ac:dyDescent="0.2">
      <c r="B3811" s="11"/>
      <c r="C3811" s="11"/>
      <c r="D3811" s="11"/>
      <c r="E3811" s="11"/>
      <c r="F3811" s="11"/>
      <c r="G3811" s="11"/>
      <c r="H3811" s="11"/>
      <c r="I3811" s="11"/>
    </row>
    <row r="3812" spans="2:9" x14ac:dyDescent="0.2">
      <c r="B3812" s="11"/>
      <c r="C3812" s="11"/>
      <c r="D3812" s="11"/>
      <c r="E3812" s="11"/>
      <c r="F3812" s="11"/>
      <c r="G3812" s="11"/>
      <c r="H3812" s="11"/>
      <c r="I3812" s="11"/>
    </row>
    <row r="3813" spans="2:9" x14ac:dyDescent="0.2">
      <c r="B3813" s="11"/>
      <c r="C3813" s="11"/>
      <c r="D3813" s="11"/>
      <c r="E3813" s="11"/>
      <c r="F3813" s="11"/>
      <c r="G3813" s="11"/>
      <c r="H3813" s="11"/>
      <c r="I3813" s="11"/>
    </row>
    <row r="3814" spans="2:9" x14ac:dyDescent="0.2">
      <c r="B3814" s="11"/>
      <c r="C3814" s="11"/>
      <c r="D3814" s="11"/>
      <c r="E3814" s="11"/>
      <c r="F3814" s="11"/>
      <c r="G3814" s="11"/>
      <c r="H3814" s="11"/>
      <c r="I3814" s="11"/>
    </row>
    <row r="3815" spans="2:9" x14ac:dyDescent="0.2">
      <c r="B3815" s="11"/>
      <c r="C3815" s="11"/>
      <c r="D3815" s="11"/>
      <c r="E3815" s="11"/>
      <c r="F3815" s="11"/>
      <c r="G3815" s="11"/>
      <c r="H3815" s="11"/>
      <c r="I3815" s="11"/>
    </row>
    <row r="3816" spans="2:9" x14ac:dyDescent="0.2">
      <c r="B3816" s="11"/>
      <c r="C3816" s="11"/>
      <c r="D3816" s="11"/>
      <c r="E3816" s="11"/>
      <c r="F3816" s="11"/>
      <c r="G3816" s="11"/>
      <c r="H3816" s="11"/>
      <c r="I3816" s="11"/>
    </row>
    <row r="3817" spans="2:9" x14ac:dyDescent="0.2">
      <c r="B3817" s="11"/>
      <c r="C3817" s="11"/>
      <c r="D3817" s="11"/>
      <c r="E3817" s="11"/>
      <c r="F3817" s="11"/>
      <c r="G3817" s="11"/>
      <c r="H3817" s="11"/>
      <c r="I3817" s="11"/>
    </row>
    <row r="3818" spans="2:9" x14ac:dyDescent="0.2">
      <c r="B3818" s="11"/>
      <c r="C3818" s="11"/>
      <c r="D3818" s="11"/>
      <c r="E3818" s="11"/>
      <c r="F3818" s="11"/>
      <c r="G3818" s="11"/>
      <c r="H3818" s="11"/>
      <c r="I3818" s="11"/>
    </row>
    <row r="3819" spans="2:9" x14ac:dyDescent="0.2">
      <c r="B3819" s="11"/>
      <c r="C3819" s="11"/>
      <c r="D3819" s="11"/>
      <c r="E3819" s="11"/>
      <c r="F3819" s="11"/>
      <c r="G3819" s="11"/>
      <c r="H3819" s="11"/>
      <c r="I3819" s="11"/>
    </row>
    <row r="3820" spans="2:9" x14ac:dyDescent="0.2">
      <c r="B3820" s="11"/>
      <c r="C3820" s="11"/>
      <c r="D3820" s="11"/>
      <c r="E3820" s="11"/>
      <c r="F3820" s="11"/>
      <c r="G3820" s="11"/>
      <c r="H3820" s="11"/>
      <c r="I3820" s="11"/>
    </row>
    <row r="3821" spans="2:9" x14ac:dyDescent="0.2">
      <c r="B3821" s="11"/>
      <c r="C3821" s="11"/>
      <c r="D3821" s="11"/>
      <c r="E3821" s="11"/>
      <c r="F3821" s="11"/>
      <c r="G3821" s="11"/>
      <c r="H3821" s="11"/>
      <c r="I3821" s="11"/>
    </row>
    <row r="3822" spans="2:9" x14ac:dyDescent="0.2">
      <c r="B3822" s="11"/>
      <c r="C3822" s="11"/>
      <c r="D3822" s="11"/>
      <c r="E3822" s="11"/>
      <c r="F3822" s="11"/>
      <c r="G3822" s="11"/>
      <c r="H3822" s="11"/>
      <c r="I3822" s="11"/>
    </row>
    <row r="3823" spans="2:9" x14ac:dyDescent="0.2">
      <c r="B3823" s="11"/>
      <c r="C3823" s="11"/>
      <c r="D3823" s="11"/>
      <c r="E3823" s="11"/>
      <c r="F3823" s="11"/>
      <c r="G3823" s="11"/>
      <c r="H3823" s="11"/>
      <c r="I3823" s="11"/>
    </row>
    <row r="3824" spans="2:9" x14ac:dyDescent="0.2">
      <c r="B3824" s="11"/>
      <c r="C3824" s="11"/>
      <c r="D3824" s="11"/>
      <c r="E3824" s="11"/>
      <c r="F3824" s="11"/>
      <c r="G3824" s="11"/>
      <c r="H3824" s="11"/>
      <c r="I3824" s="11"/>
    </row>
    <row r="3825" spans="2:9" x14ac:dyDescent="0.2">
      <c r="B3825" s="11"/>
      <c r="C3825" s="11"/>
      <c r="D3825" s="11"/>
      <c r="E3825" s="11"/>
      <c r="F3825" s="11"/>
      <c r="G3825" s="11"/>
      <c r="H3825" s="11"/>
      <c r="I3825" s="11"/>
    </row>
    <row r="3826" spans="2:9" x14ac:dyDescent="0.2">
      <c r="B3826" s="11"/>
      <c r="C3826" s="11"/>
      <c r="D3826" s="11"/>
      <c r="E3826" s="11"/>
      <c r="F3826" s="11"/>
      <c r="G3826" s="11"/>
      <c r="H3826" s="11"/>
      <c r="I3826" s="11"/>
    </row>
    <row r="3827" spans="2:9" x14ac:dyDescent="0.2">
      <c r="B3827" s="11"/>
      <c r="C3827" s="11"/>
      <c r="D3827" s="11"/>
      <c r="E3827" s="11"/>
      <c r="F3827" s="11"/>
      <c r="G3827" s="11"/>
      <c r="H3827" s="11"/>
      <c r="I3827" s="11"/>
    </row>
    <row r="3828" spans="2:9" x14ac:dyDescent="0.2">
      <c r="B3828" s="11"/>
      <c r="C3828" s="11"/>
      <c r="D3828" s="11"/>
      <c r="E3828" s="11"/>
      <c r="F3828" s="11"/>
      <c r="G3828" s="11"/>
      <c r="H3828" s="11"/>
      <c r="I3828" s="11"/>
    </row>
    <row r="3829" spans="2:9" x14ac:dyDescent="0.2">
      <c r="B3829" s="11"/>
      <c r="C3829" s="11"/>
      <c r="D3829" s="11"/>
      <c r="E3829" s="11"/>
      <c r="F3829" s="11"/>
      <c r="G3829" s="11"/>
      <c r="H3829" s="11"/>
      <c r="I3829" s="11"/>
    </row>
    <row r="3830" spans="2:9" x14ac:dyDescent="0.2">
      <c r="B3830" s="11"/>
      <c r="C3830" s="11"/>
      <c r="D3830" s="11"/>
      <c r="E3830" s="11"/>
      <c r="F3830" s="11"/>
      <c r="G3830" s="11"/>
      <c r="H3830" s="11"/>
      <c r="I3830" s="11"/>
    </row>
    <row r="3831" spans="2:9" x14ac:dyDescent="0.2">
      <c r="B3831" s="11"/>
      <c r="C3831" s="11"/>
      <c r="D3831" s="11"/>
      <c r="E3831" s="11"/>
      <c r="F3831" s="11"/>
      <c r="G3831" s="11"/>
      <c r="H3831" s="11"/>
      <c r="I3831" s="11"/>
    </row>
    <row r="3832" spans="2:9" x14ac:dyDescent="0.2">
      <c r="B3832" s="11"/>
      <c r="C3832" s="11"/>
      <c r="D3832" s="11"/>
      <c r="E3832" s="11"/>
      <c r="F3832" s="11"/>
      <c r="G3832" s="11"/>
      <c r="H3832" s="11"/>
      <c r="I3832" s="11"/>
    </row>
    <row r="3833" spans="2:9" x14ac:dyDescent="0.2">
      <c r="B3833" s="11"/>
      <c r="C3833" s="11"/>
      <c r="D3833" s="11"/>
      <c r="E3833" s="11"/>
      <c r="F3833" s="11"/>
      <c r="G3833" s="11"/>
      <c r="H3833" s="11"/>
      <c r="I3833" s="11"/>
    </row>
    <row r="3834" spans="2:9" x14ac:dyDescent="0.2">
      <c r="B3834" s="11"/>
      <c r="C3834" s="11"/>
      <c r="D3834" s="11"/>
      <c r="E3834" s="11"/>
      <c r="F3834" s="11"/>
      <c r="G3834" s="11"/>
      <c r="H3834" s="11"/>
      <c r="I3834" s="11"/>
    </row>
    <row r="3835" spans="2:9" x14ac:dyDescent="0.2">
      <c r="B3835" s="11"/>
      <c r="C3835" s="11"/>
      <c r="D3835" s="11"/>
      <c r="E3835" s="11"/>
      <c r="F3835" s="11"/>
      <c r="G3835" s="11"/>
      <c r="H3835" s="11"/>
      <c r="I3835" s="11"/>
    </row>
    <row r="3836" spans="2:9" x14ac:dyDescent="0.2">
      <c r="B3836" s="11"/>
      <c r="C3836" s="11"/>
      <c r="D3836" s="11"/>
      <c r="E3836" s="11"/>
      <c r="F3836" s="11"/>
      <c r="G3836" s="11"/>
      <c r="H3836" s="11"/>
      <c r="I3836" s="11"/>
    </row>
    <row r="3837" spans="2:9" x14ac:dyDescent="0.2">
      <c r="B3837" s="11"/>
      <c r="C3837" s="11"/>
      <c r="D3837" s="11"/>
      <c r="E3837" s="11"/>
      <c r="F3837" s="11"/>
      <c r="G3837" s="11"/>
      <c r="H3837" s="11"/>
      <c r="I3837" s="11"/>
    </row>
    <row r="3838" spans="2:9" x14ac:dyDescent="0.2">
      <c r="B3838" s="11"/>
      <c r="C3838" s="11"/>
      <c r="D3838" s="11"/>
      <c r="E3838" s="11"/>
      <c r="F3838" s="11"/>
      <c r="G3838" s="11"/>
      <c r="H3838" s="11"/>
      <c r="I3838" s="11"/>
    </row>
    <row r="3839" spans="2:9" x14ac:dyDescent="0.2">
      <c r="B3839" s="11"/>
      <c r="C3839" s="11"/>
      <c r="D3839" s="11"/>
      <c r="E3839" s="11"/>
      <c r="F3839" s="11"/>
      <c r="G3839" s="11"/>
      <c r="H3839" s="11"/>
      <c r="I3839" s="11"/>
    </row>
    <row r="3840" spans="2:9" x14ac:dyDescent="0.2">
      <c r="B3840" s="11"/>
      <c r="C3840" s="11"/>
      <c r="D3840" s="11"/>
      <c r="E3840" s="11"/>
      <c r="F3840" s="11"/>
      <c r="G3840" s="11"/>
      <c r="H3840" s="11"/>
      <c r="I3840" s="11"/>
    </row>
    <row r="3841" spans="2:9" x14ac:dyDescent="0.2">
      <c r="B3841" s="11"/>
      <c r="C3841" s="11"/>
      <c r="D3841" s="11"/>
      <c r="E3841" s="11"/>
      <c r="F3841" s="11"/>
      <c r="G3841" s="11"/>
      <c r="H3841" s="11"/>
      <c r="I3841" s="11"/>
    </row>
    <row r="3842" spans="2:9" x14ac:dyDescent="0.2">
      <c r="B3842" s="11"/>
      <c r="C3842" s="11"/>
      <c r="D3842" s="11"/>
      <c r="E3842" s="11"/>
      <c r="F3842" s="11"/>
      <c r="G3842" s="11"/>
      <c r="H3842" s="11"/>
      <c r="I3842" s="11"/>
    </row>
    <row r="3843" spans="2:9" x14ac:dyDescent="0.2">
      <c r="B3843" s="11"/>
      <c r="C3843" s="11"/>
      <c r="D3843" s="11"/>
      <c r="E3843" s="11"/>
      <c r="F3843" s="11"/>
      <c r="G3843" s="11"/>
      <c r="H3843" s="11"/>
      <c r="I3843" s="11"/>
    </row>
    <row r="3844" spans="2:9" x14ac:dyDescent="0.2">
      <c r="B3844" s="11"/>
      <c r="C3844" s="11"/>
      <c r="D3844" s="11"/>
      <c r="E3844" s="11"/>
      <c r="F3844" s="11"/>
      <c r="G3844" s="11"/>
      <c r="H3844" s="11"/>
      <c r="I3844" s="11"/>
    </row>
    <row r="3845" spans="2:9" x14ac:dyDescent="0.2">
      <c r="B3845" s="11"/>
      <c r="C3845" s="11"/>
      <c r="D3845" s="11"/>
      <c r="E3845" s="11"/>
      <c r="F3845" s="11"/>
      <c r="G3845" s="11"/>
      <c r="H3845" s="11"/>
      <c r="I3845" s="11"/>
    </row>
    <row r="3846" spans="2:9" x14ac:dyDescent="0.2">
      <c r="B3846" s="11"/>
      <c r="C3846" s="11"/>
      <c r="D3846" s="11"/>
      <c r="E3846" s="11"/>
      <c r="F3846" s="11"/>
      <c r="G3846" s="11"/>
      <c r="H3846" s="11"/>
      <c r="I3846" s="11"/>
    </row>
    <row r="3847" spans="2:9" x14ac:dyDescent="0.2">
      <c r="B3847" s="11"/>
      <c r="C3847" s="11"/>
      <c r="D3847" s="11"/>
      <c r="E3847" s="11"/>
      <c r="F3847" s="11"/>
      <c r="G3847" s="11"/>
      <c r="H3847" s="11"/>
      <c r="I3847" s="11"/>
    </row>
    <row r="3848" spans="2:9" x14ac:dyDescent="0.2">
      <c r="B3848" s="11"/>
      <c r="C3848" s="11"/>
      <c r="D3848" s="11"/>
      <c r="E3848" s="11"/>
      <c r="F3848" s="11"/>
      <c r="G3848" s="11"/>
      <c r="H3848" s="11"/>
      <c r="I3848" s="11"/>
    </row>
    <row r="3849" spans="2:9" x14ac:dyDescent="0.2">
      <c r="B3849" s="11"/>
      <c r="C3849" s="11"/>
      <c r="D3849" s="11"/>
      <c r="E3849" s="11"/>
      <c r="F3849" s="11"/>
      <c r="G3849" s="11"/>
      <c r="H3849" s="11"/>
      <c r="I3849" s="11"/>
    </row>
    <row r="3850" spans="2:9" x14ac:dyDescent="0.2">
      <c r="B3850" s="11"/>
      <c r="C3850" s="11"/>
      <c r="D3850" s="11"/>
      <c r="E3850" s="11"/>
      <c r="F3850" s="11"/>
      <c r="G3850" s="11"/>
      <c r="H3850" s="11"/>
      <c r="I3850" s="11"/>
    </row>
    <row r="3851" spans="2:9" x14ac:dyDescent="0.2">
      <c r="B3851" s="11"/>
      <c r="C3851" s="11"/>
      <c r="D3851" s="11"/>
      <c r="E3851" s="11"/>
      <c r="F3851" s="11"/>
      <c r="G3851" s="11"/>
      <c r="H3851" s="11"/>
      <c r="I3851" s="11"/>
    </row>
    <row r="3852" spans="2:9" x14ac:dyDescent="0.2">
      <c r="B3852" s="11"/>
      <c r="C3852" s="11"/>
      <c r="D3852" s="11"/>
      <c r="E3852" s="11"/>
      <c r="F3852" s="11"/>
      <c r="G3852" s="11"/>
      <c r="H3852" s="11"/>
      <c r="I3852" s="11"/>
    </row>
    <row r="3853" spans="2:9" x14ac:dyDescent="0.2">
      <c r="B3853" s="11"/>
      <c r="C3853" s="11"/>
      <c r="D3853" s="11"/>
      <c r="E3853" s="11"/>
      <c r="F3853" s="11"/>
      <c r="G3853" s="11"/>
      <c r="H3853" s="11"/>
      <c r="I3853" s="11"/>
    </row>
    <row r="3854" spans="2:9" x14ac:dyDescent="0.2">
      <c r="B3854" s="11"/>
      <c r="C3854" s="11"/>
      <c r="D3854" s="11"/>
      <c r="E3854" s="11"/>
      <c r="F3854" s="11"/>
      <c r="G3854" s="11"/>
      <c r="H3854" s="11"/>
      <c r="I3854" s="11"/>
    </row>
    <row r="3855" spans="2:9" x14ac:dyDescent="0.2">
      <c r="B3855" s="11"/>
      <c r="C3855" s="11"/>
      <c r="D3855" s="11"/>
      <c r="E3855" s="11"/>
      <c r="F3855" s="11"/>
      <c r="G3855" s="11"/>
      <c r="H3855" s="11"/>
      <c r="I3855" s="11"/>
    </row>
    <row r="3856" spans="2:9" x14ac:dyDescent="0.2">
      <c r="B3856" s="11"/>
      <c r="C3856" s="11"/>
      <c r="D3856" s="11"/>
      <c r="E3856" s="11"/>
      <c r="F3856" s="11"/>
      <c r="G3856" s="11"/>
      <c r="H3856" s="11"/>
      <c r="I3856" s="11"/>
    </row>
    <row r="3857" spans="2:9" x14ac:dyDescent="0.2">
      <c r="B3857" s="11"/>
      <c r="C3857" s="11"/>
      <c r="D3857" s="11"/>
      <c r="E3857" s="11"/>
      <c r="F3857" s="11"/>
      <c r="G3857" s="11"/>
      <c r="H3857" s="11"/>
      <c r="I3857" s="11"/>
    </row>
    <row r="3858" spans="2:9" x14ac:dyDescent="0.2">
      <c r="B3858" s="11"/>
      <c r="C3858" s="11"/>
      <c r="D3858" s="11"/>
      <c r="E3858" s="11"/>
      <c r="F3858" s="11"/>
      <c r="G3858" s="11"/>
      <c r="H3858" s="11"/>
      <c r="I3858" s="11"/>
    </row>
    <row r="3859" spans="2:9" x14ac:dyDescent="0.2">
      <c r="B3859" s="11"/>
      <c r="C3859" s="11"/>
      <c r="D3859" s="11"/>
      <c r="E3859" s="11"/>
      <c r="F3859" s="11"/>
      <c r="G3859" s="11"/>
      <c r="H3859" s="11"/>
      <c r="I3859" s="11"/>
    </row>
    <row r="3860" spans="2:9" x14ac:dyDescent="0.2">
      <c r="B3860" s="11"/>
      <c r="C3860" s="11"/>
      <c r="D3860" s="11"/>
      <c r="E3860" s="11"/>
      <c r="F3860" s="11"/>
      <c r="G3860" s="11"/>
      <c r="H3860" s="11"/>
      <c r="I3860" s="11"/>
    </row>
    <row r="3861" spans="2:9" x14ac:dyDescent="0.2">
      <c r="B3861" s="11"/>
      <c r="C3861" s="11"/>
      <c r="D3861" s="11"/>
      <c r="E3861" s="11"/>
      <c r="F3861" s="11"/>
      <c r="G3861" s="11"/>
      <c r="H3861" s="11"/>
      <c r="I3861" s="11"/>
    </row>
    <row r="3862" spans="2:9" x14ac:dyDescent="0.2">
      <c r="B3862" s="11"/>
      <c r="C3862" s="11"/>
      <c r="D3862" s="11"/>
      <c r="E3862" s="11"/>
      <c r="F3862" s="11"/>
      <c r="G3862" s="11"/>
      <c r="H3862" s="11"/>
      <c r="I3862" s="11"/>
    </row>
    <row r="3863" spans="2:9" x14ac:dyDescent="0.2">
      <c r="B3863" s="11"/>
      <c r="C3863" s="11"/>
      <c r="D3863" s="11"/>
      <c r="E3863" s="11"/>
      <c r="F3863" s="11"/>
      <c r="G3863" s="11"/>
      <c r="H3863" s="11"/>
      <c r="I3863" s="11"/>
    </row>
    <row r="3864" spans="2:9" x14ac:dyDescent="0.2">
      <c r="B3864" s="11"/>
      <c r="C3864" s="11"/>
      <c r="D3864" s="11"/>
      <c r="E3864" s="11"/>
      <c r="F3864" s="11"/>
      <c r="G3864" s="11"/>
      <c r="H3864" s="11"/>
      <c r="I3864" s="11"/>
    </row>
    <row r="3865" spans="2:9" x14ac:dyDescent="0.2">
      <c r="B3865" s="11"/>
      <c r="C3865" s="11"/>
      <c r="D3865" s="11"/>
      <c r="E3865" s="11"/>
      <c r="F3865" s="11"/>
      <c r="G3865" s="11"/>
      <c r="H3865" s="11"/>
      <c r="I3865" s="11"/>
    </row>
    <row r="3866" spans="2:9" x14ac:dyDescent="0.2">
      <c r="B3866" s="11"/>
      <c r="C3866" s="11"/>
      <c r="D3866" s="11"/>
      <c r="E3866" s="11"/>
      <c r="F3866" s="11"/>
      <c r="G3866" s="11"/>
      <c r="H3866" s="11"/>
      <c r="I3866" s="11"/>
    </row>
    <row r="3867" spans="2:9" x14ac:dyDescent="0.2">
      <c r="B3867" s="11"/>
      <c r="C3867" s="11"/>
      <c r="D3867" s="11"/>
      <c r="E3867" s="11"/>
      <c r="F3867" s="11"/>
      <c r="G3867" s="11"/>
      <c r="H3867" s="11"/>
      <c r="I3867" s="11"/>
    </row>
    <row r="3868" spans="2:9" x14ac:dyDescent="0.2">
      <c r="B3868" s="11"/>
      <c r="C3868" s="11"/>
      <c r="D3868" s="11"/>
      <c r="E3868" s="11"/>
      <c r="F3868" s="11"/>
      <c r="G3868" s="11"/>
      <c r="H3868" s="11"/>
      <c r="I3868" s="11"/>
    </row>
    <row r="3869" spans="2:9" x14ac:dyDescent="0.2">
      <c r="B3869" s="11"/>
      <c r="C3869" s="11"/>
      <c r="D3869" s="11"/>
      <c r="E3869" s="11"/>
      <c r="F3869" s="11"/>
      <c r="G3869" s="11"/>
      <c r="H3869" s="11"/>
      <c r="I3869" s="11"/>
    </row>
    <row r="3870" spans="2:9" x14ac:dyDescent="0.2">
      <c r="B3870" s="11"/>
      <c r="C3870" s="11"/>
      <c r="D3870" s="11"/>
      <c r="E3870" s="11"/>
      <c r="F3870" s="11"/>
      <c r="G3870" s="11"/>
      <c r="H3870" s="11"/>
      <c r="I3870" s="11"/>
    </row>
    <row r="3871" spans="2:9" x14ac:dyDescent="0.2">
      <c r="B3871" s="11"/>
      <c r="C3871" s="11"/>
      <c r="D3871" s="11"/>
      <c r="E3871" s="11"/>
      <c r="F3871" s="11"/>
      <c r="G3871" s="11"/>
      <c r="H3871" s="11"/>
      <c r="I3871" s="11"/>
    </row>
    <row r="3872" spans="2:9" x14ac:dyDescent="0.2">
      <c r="B3872" s="11"/>
      <c r="C3872" s="11"/>
      <c r="D3872" s="11"/>
      <c r="E3872" s="11"/>
      <c r="F3872" s="11"/>
      <c r="G3872" s="11"/>
      <c r="H3872" s="11"/>
      <c r="I3872" s="11"/>
    </row>
    <row r="3873" spans="2:9" x14ac:dyDescent="0.2">
      <c r="B3873" s="11"/>
      <c r="C3873" s="11"/>
      <c r="D3873" s="11"/>
      <c r="E3873" s="11"/>
      <c r="F3873" s="11"/>
      <c r="G3873" s="11"/>
      <c r="H3873" s="11"/>
      <c r="I3873" s="11"/>
    </row>
    <row r="3874" spans="2:9" x14ac:dyDescent="0.2">
      <c r="B3874" s="11"/>
      <c r="C3874" s="11"/>
      <c r="D3874" s="11"/>
      <c r="E3874" s="11"/>
      <c r="F3874" s="11"/>
      <c r="G3874" s="11"/>
      <c r="H3874" s="11"/>
      <c r="I3874" s="11"/>
    </row>
    <row r="3875" spans="2:9" x14ac:dyDescent="0.2">
      <c r="B3875" s="11"/>
      <c r="C3875" s="11"/>
      <c r="D3875" s="11"/>
      <c r="E3875" s="11"/>
      <c r="F3875" s="11"/>
      <c r="G3875" s="11"/>
      <c r="H3875" s="11"/>
      <c r="I3875" s="11"/>
    </row>
    <row r="3876" spans="2:9" x14ac:dyDescent="0.2">
      <c r="B3876" s="11"/>
      <c r="C3876" s="11"/>
      <c r="D3876" s="11"/>
      <c r="E3876" s="11"/>
      <c r="F3876" s="11"/>
      <c r="G3876" s="11"/>
      <c r="H3876" s="11"/>
      <c r="I3876" s="11"/>
    </row>
    <row r="3877" spans="2:9" x14ac:dyDescent="0.2">
      <c r="B3877" s="11"/>
      <c r="C3877" s="11"/>
      <c r="D3877" s="11"/>
      <c r="E3877" s="11"/>
      <c r="F3877" s="11"/>
      <c r="G3877" s="11"/>
      <c r="H3877" s="11"/>
      <c r="I3877" s="11"/>
    </row>
    <row r="3878" spans="2:9" x14ac:dyDescent="0.2">
      <c r="B3878" s="11"/>
      <c r="C3878" s="11"/>
      <c r="D3878" s="11"/>
      <c r="E3878" s="11"/>
      <c r="F3878" s="11"/>
      <c r="G3878" s="11"/>
      <c r="H3878" s="11"/>
      <c r="I3878" s="11"/>
    </row>
    <row r="3879" spans="2:9" x14ac:dyDescent="0.2">
      <c r="B3879" s="11"/>
      <c r="C3879" s="11"/>
      <c r="D3879" s="11"/>
      <c r="E3879" s="11"/>
      <c r="F3879" s="11"/>
      <c r="G3879" s="11"/>
      <c r="H3879" s="11"/>
      <c r="I3879" s="11"/>
    </row>
    <row r="3880" spans="2:9" x14ac:dyDescent="0.2">
      <c r="B3880" s="11"/>
      <c r="C3880" s="11"/>
      <c r="D3880" s="11"/>
      <c r="E3880" s="11"/>
      <c r="F3880" s="11"/>
      <c r="G3880" s="11"/>
      <c r="H3880" s="11"/>
      <c r="I3880" s="11"/>
    </row>
    <row r="3881" spans="2:9" x14ac:dyDescent="0.2">
      <c r="B3881" s="11"/>
      <c r="C3881" s="11"/>
      <c r="D3881" s="11"/>
      <c r="E3881" s="11"/>
      <c r="F3881" s="11"/>
      <c r="G3881" s="11"/>
      <c r="H3881" s="11"/>
      <c r="I3881" s="11"/>
    </row>
    <row r="3882" spans="2:9" x14ac:dyDescent="0.2">
      <c r="B3882" s="11"/>
      <c r="C3882" s="11"/>
      <c r="D3882" s="11"/>
      <c r="E3882" s="11"/>
      <c r="F3882" s="11"/>
      <c r="G3882" s="11"/>
      <c r="H3882" s="11"/>
      <c r="I3882" s="11"/>
    </row>
    <row r="3883" spans="2:9" x14ac:dyDescent="0.2">
      <c r="B3883" s="11"/>
      <c r="C3883" s="11"/>
      <c r="D3883" s="11"/>
      <c r="E3883" s="11"/>
      <c r="F3883" s="11"/>
      <c r="G3883" s="11"/>
      <c r="H3883" s="11"/>
      <c r="I3883" s="11"/>
    </row>
    <row r="3884" spans="2:9" x14ac:dyDescent="0.2">
      <c r="B3884" s="11"/>
      <c r="C3884" s="11"/>
      <c r="D3884" s="11"/>
      <c r="E3884" s="11"/>
      <c r="F3884" s="11"/>
      <c r="G3884" s="11"/>
      <c r="H3884" s="11"/>
      <c r="I3884" s="11"/>
    </row>
    <row r="3885" spans="2:9" x14ac:dyDescent="0.2">
      <c r="B3885" s="11"/>
      <c r="C3885" s="11"/>
      <c r="D3885" s="11"/>
      <c r="E3885" s="11"/>
      <c r="F3885" s="11"/>
      <c r="G3885" s="11"/>
      <c r="H3885" s="11"/>
      <c r="I3885" s="11"/>
    </row>
    <row r="3886" spans="2:9" x14ac:dyDescent="0.2">
      <c r="B3886" s="11"/>
      <c r="C3886" s="11"/>
      <c r="D3886" s="11"/>
      <c r="E3886" s="11"/>
      <c r="F3886" s="11"/>
      <c r="G3886" s="11"/>
      <c r="H3886" s="11"/>
      <c r="I3886" s="11"/>
    </row>
    <row r="3887" spans="2:9" x14ac:dyDescent="0.2">
      <c r="B3887" s="11"/>
      <c r="C3887" s="11"/>
      <c r="D3887" s="11"/>
      <c r="E3887" s="11"/>
      <c r="F3887" s="11"/>
      <c r="G3887" s="11"/>
      <c r="H3887" s="11"/>
      <c r="I3887" s="11"/>
    </row>
    <row r="3888" spans="2:9" x14ac:dyDescent="0.2">
      <c r="B3888" s="11"/>
      <c r="C3888" s="11"/>
      <c r="D3888" s="11"/>
      <c r="E3888" s="11"/>
      <c r="F3888" s="11"/>
      <c r="G3888" s="11"/>
      <c r="H3888" s="11"/>
      <c r="I3888" s="11"/>
    </row>
    <row r="3889" spans="2:9" x14ac:dyDescent="0.2">
      <c r="B3889" s="11"/>
      <c r="C3889" s="11"/>
      <c r="D3889" s="11"/>
      <c r="E3889" s="11"/>
      <c r="F3889" s="11"/>
      <c r="G3889" s="11"/>
      <c r="H3889" s="11"/>
      <c r="I3889" s="11"/>
    </row>
    <row r="3890" spans="2:9" x14ac:dyDescent="0.2">
      <c r="B3890" s="11"/>
      <c r="C3890" s="11"/>
      <c r="D3890" s="11"/>
      <c r="E3890" s="11"/>
      <c r="F3890" s="11"/>
      <c r="G3890" s="11"/>
      <c r="H3890" s="11"/>
      <c r="I3890" s="11"/>
    </row>
    <row r="3891" spans="2:9" x14ac:dyDescent="0.2">
      <c r="B3891" s="11"/>
      <c r="C3891" s="11"/>
      <c r="D3891" s="11"/>
      <c r="E3891" s="11"/>
      <c r="F3891" s="11"/>
      <c r="G3891" s="11"/>
      <c r="H3891" s="11"/>
      <c r="I3891" s="11"/>
    </row>
    <row r="3892" spans="2:9" x14ac:dyDescent="0.2">
      <c r="B3892" s="11"/>
      <c r="C3892" s="11"/>
      <c r="D3892" s="11"/>
      <c r="E3892" s="11"/>
      <c r="F3892" s="11"/>
      <c r="G3892" s="11"/>
      <c r="H3892" s="11"/>
      <c r="I3892" s="11"/>
    </row>
    <row r="3893" spans="2:9" x14ac:dyDescent="0.2">
      <c r="B3893" s="11"/>
      <c r="C3893" s="11"/>
      <c r="D3893" s="11"/>
      <c r="E3893" s="11"/>
      <c r="F3893" s="11"/>
      <c r="G3893" s="11"/>
      <c r="H3893" s="11"/>
      <c r="I3893" s="11"/>
    </row>
    <row r="3894" spans="2:9" x14ac:dyDescent="0.2">
      <c r="B3894" s="11"/>
      <c r="C3894" s="11"/>
      <c r="D3894" s="11"/>
      <c r="E3894" s="11"/>
      <c r="F3894" s="11"/>
      <c r="G3894" s="11"/>
      <c r="H3894" s="11"/>
      <c r="I3894" s="11"/>
    </row>
    <row r="3895" spans="2:9" x14ac:dyDescent="0.2">
      <c r="B3895" s="11"/>
      <c r="C3895" s="11"/>
      <c r="D3895" s="11"/>
      <c r="E3895" s="11"/>
      <c r="F3895" s="11"/>
      <c r="G3895" s="11"/>
      <c r="H3895" s="11"/>
      <c r="I3895" s="11"/>
    </row>
    <row r="3896" spans="2:9" x14ac:dyDescent="0.2">
      <c r="B3896" s="11"/>
      <c r="C3896" s="11"/>
      <c r="D3896" s="11"/>
      <c r="E3896" s="11"/>
      <c r="F3896" s="11"/>
      <c r="G3896" s="11"/>
      <c r="H3896" s="11"/>
      <c r="I3896" s="11"/>
    </row>
    <row r="3897" spans="2:9" x14ac:dyDescent="0.2">
      <c r="B3897" s="11"/>
      <c r="C3897" s="11"/>
      <c r="D3897" s="11"/>
      <c r="E3897" s="11"/>
      <c r="F3897" s="11"/>
      <c r="G3897" s="11"/>
      <c r="H3897" s="11"/>
      <c r="I3897" s="11"/>
    </row>
    <row r="3898" spans="2:9" x14ac:dyDescent="0.2">
      <c r="B3898" s="11"/>
      <c r="C3898" s="11"/>
      <c r="D3898" s="11"/>
      <c r="E3898" s="11"/>
      <c r="F3898" s="11"/>
      <c r="G3898" s="11"/>
      <c r="H3898" s="11"/>
      <c r="I3898" s="11"/>
    </row>
    <row r="3899" spans="2:9" x14ac:dyDescent="0.2">
      <c r="B3899" s="11"/>
      <c r="C3899" s="11"/>
      <c r="D3899" s="11"/>
      <c r="E3899" s="11"/>
      <c r="F3899" s="11"/>
      <c r="G3899" s="11"/>
      <c r="H3899" s="11"/>
      <c r="I3899" s="11"/>
    </row>
    <row r="3900" spans="2:9" x14ac:dyDescent="0.2">
      <c r="B3900" s="11"/>
      <c r="C3900" s="11"/>
      <c r="D3900" s="11"/>
      <c r="E3900" s="11"/>
      <c r="F3900" s="11"/>
      <c r="G3900" s="11"/>
      <c r="H3900" s="11"/>
      <c r="I3900" s="11"/>
    </row>
    <row r="3901" spans="2:9" x14ac:dyDescent="0.2">
      <c r="B3901" s="11"/>
      <c r="C3901" s="11"/>
      <c r="D3901" s="11"/>
      <c r="E3901" s="11"/>
      <c r="F3901" s="11"/>
      <c r="G3901" s="11"/>
      <c r="H3901" s="11"/>
      <c r="I3901" s="11"/>
    </row>
    <row r="3902" spans="2:9" x14ac:dyDescent="0.2">
      <c r="B3902" s="11"/>
      <c r="C3902" s="11"/>
      <c r="D3902" s="11"/>
      <c r="E3902" s="11"/>
      <c r="F3902" s="11"/>
      <c r="G3902" s="11"/>
      <c r="H3902" s="11"/>
      <c r="I3902" s="11"/>
    </row>
    <row r="3903" spans="2:9" x14ac:dyDescent="0.2">
      <c r="B3903" s="11"/>
      <c r="C3903" s="11"/>
      <c r="D3903" s="11"/>
      <c r="E3903" s="11"/>
      <c r="F3903" s="11"/>
      <c r="G3903" s="11"/>
      <c r="H3903" s="11"/>
      <c r="I3903" s="11"/>
    </row>
    <row r="3904" spans="2:9" x14ac:dyDescent="0.2">
      <c r="B3904" s="11"/>
      <c r="C3904" s="11"/>
      <c r="D3904" s="11"/>
      <c r="E3904" s="11"/>
      <c r="F3904" s="11"/>
      <c r="G3904" s="11"/>
      <c r="H3904" s="11"/>
      <c r="I3904" s="11"/>
    </row>
    <row r="3905" spans="2:9" x14ac:dyDescent="0.2">
      <c r="B3905" s="11"/>
      <c r="C3905" s="11"/>
      <c r="D3905" s="11"/>
      <c r="E3905" s="11"/>
      <c r="F3905" s="11"/>
      <c r="G3905" s="11"/>
      <c r="H3905" s="11"/>
      <c r="I3905" s="11"/>
    </row>
    <row r="3906" spans="2:9" x14ac:dyDescent="0.2">
      <c r="B3906" s="11"/>
      <c r="C3906" s="11"/>
      <c r="D3906" s="11"/>
      <c r="E3906" s="11"/>
      <c r="F3906" s="11"/>
      <c r="G3906" s="11"/>
      <c r="H3906" s="11"/>
      <c r="I3906" s="11"/>
    </row>
    <row r="3907" spans="2:9" x14ac:dyDescent="0.2">
      <c r="B3907" s="11"/>
      <c r="C3907" s="11"/>
      <c r="D3907" s="11"/>
      <c r="E3907" s="11"/>
      <c r="F3907" s="11"/>
      <c r="G3907" s="11"/>
      <c r="H3907" s="11"/>
      <c r="I3907" s="11"/>
    </row>
    <row r="3908" spans="2:9" x14ac:dyDescent="0.2">
      <c r="B3908" s="11"/>
      <c r="C3908" s="11"/>
      <c r="D3908" s="11"/>
      <c r="E3908" s="11"/>
      <c r="F3908" s="11"/>
      <c r="G3908" s="11"/>
      <c r="H3908" s="11"/>
      <c r="I3908" s="11"/>
    </row>
    <row r="3909" spans="2:9" x14ac:dyDescent="0.2">
      <c r="B3909" s="11"/>
      <c r="C3909" s="11"/>
      <c r="D3909" s="11"/>
      <c r="E3909" s="11"/>
      <c r="F3909" s="11"/>
      <c r="G3909" s="11"/>
      <c r="H3909" s="11"/>
      <c r="I3909" s="11"/>
    </row>
    <row r="3910" spans="2:9" x14ac:dyDescent="0.2">
      <c r="B3910" s="11"/>
      <c r="C3910" s="11"/>
      <c r="D3910" s="11"/>
      <c r="E3910" s="11"/>
      <c r="F3910" s="11"/>
      <c r="G3910" s="11"/>
      <c r="H3910" s="11"/>
      <c r="I3910" s="11"/>
    </row>
    <row r="3911" spans="2:9" x14ac:dyDescent="0.2">
      <c r="B3911" s="11"/>
      <c r="C3911" s="11"/>
      <c r="D3911" s="11"/>
      <c r="E3911" s="11"/>
      <c r="F3911" s="11"/>
      <c r="G3911" s="11"/>
      <c r="H3911" s="11"/>
      <c r="I3911" s="11"/>
    </row>
    <row r="3912" spans="2:9" x14ac:dyDescent="0.2">
      <c r="B3912" s="11"/>
      <c r="C3912" s="11"/>
      <c r="D3912" s="11"/>
      <c r="E3912" s="11"/>
      <c r="F3912" s="11"/>
      <c r="G3912" s="11"/>
      <c r="H3912" s="11"/>
      <c r="I3912" s="11"/>
    </row>
    <row r="3913" spans="2:9" x14ac:dyDescent="0.2">
      <c r="B3913" s="11"/>
      <c r="C3913" s="11"/>
      <c r="D3913" s="11"/>
      <c r="E3913" s="11"/>
      <c r="F3913" s="11"/>
      <c r="G3913" s="11"/>
      <c r="H3913" s="11"/>
      <c r="I3913" s="11"/>
    </row>
    <row r="3914" spans="2:9" x14ac:dyDescent="0.2">
      <c r="B3914" s="11"/>
      <c r="C3914" s="11"/>
      <c r="D3914" s="11"/>
      <c r="E3914" s="11"/>
      <c r="F3914" s="11"/>
      <c r="G3914" s="11"/>
      <c r="H3914" s="11"/>
      <c r="I3914" s="11"/>
    </row>
    <row r="3915" spans="2:9" x14ac:dyDescent="0.2">
      <c r="B3915" s="11"/>
      <c r="C3915" s="11"/>
      <c r="D3915" s="11"/>
      <c r="E3915" s="11"/>
      <c r="F3915" s="11"/>
      <c r="G3915" s="11"/>
      <c r="H3915" s="11"/>
      <c r="I3915" s="11"/>
    </row>
    <row r="3916" spans="2:9" x14ac:dyDescent="0.2">
      <c r="B3916" s="11"/>
      <c r="C3916" s="11"/>
      <c r="D3916" s="11"/>
      <c r="E3916" s="11"/>
      <c r="F3916" s="11"/>
      <c r="G3916" s="11"/>
      <c r="H3916" s="11"/>
      <c r="I3916" s="11"/>
    </row>
    <row r="3917" spans="2:9" x14ac:dyDescent="0.2">
      <c r="B3917" s="11"/>
      <c r="C3917" s="11"/>
      <c r="D3917" s="11"/>
      <c r="E3917" s="11"/>
      <c r="F3917" s="11"/>
      <c r="G3917" s="11"/>
      <c r="H3917" s="11"/>
      <c r="I3917" s="11"/>
    </row>
    <row r="3918" spans="2:9" x14ac:dyDescent="0.2">
      <c r="B3918" s="11"/>
      <c r="C3918" s="11"/>
      <c r="D3918" s="11"/>
      <c r="E3918" s="11"/>
      <c r="F3918" s="11"/>
      <c r="G3918" s="11"/>
      <c r="H3918" s="11"/>
      <c r="I3918" s="11"/>
    </row>
    <row r="3919" spans="2:9" x14ac:dyDescent="0.2">
      <c r="B3919" s="11"/>
      <c r="C3919" s="11"/>
      <c r="D3919" s="11"/>
      <c r="E3919" s="11"/>
      <c r="F3919" s="11"/>
      <c r="G3919" s="11"/>
      <c r="H3919" s="11"/>
      <c r="I3919" s="11"/>
    </row>
    <row r="3920" spans="2:9" x14ac:dyDescent="0.2">
      <c r="B3920" s="11"/>
      <c r="C3920" s="11"/>
      <c r="D3920" s="11"/>
      <c r="E3920" s="11"/>
      <c r="F3920" s="11"/>
      <c r="G3920" s="11"/>
      <c r="H3920" s="11"/>
      <c r="I3920" s="11"/>
    </row>
    <row r="3921" spans="2:9" x14ac:dyDescent="0.2">
      <c r="B3921" s="11"/>
      <c r="C3921" s="11"/>
      <c r="D3921" s="11"/>
      <c r="E3921" s="11"/>
      <c r="F3921" s="11"/>
      <c r="G3921" s="11"/>
      <c r="H3921" s="11"/>
      <c r="I3921" s="11"/>
    </row>
    <row r="3922" spans="2:9" x14ac:dyDescent="0.2">
      <c r="B3922" s="11"/>
      <c r="C3922" s="11"/>
      <c r="D3922" s="11"/>
      <c r="E3922" s="11"/>
      <c r="F3922" s="11"/>
      <c r="G3922" s="11"/>
      <c r="H3922" s="11"/>
      <c r="I3922" s="11"/>
    </row>
    <row r="3923" spans="2:9" x14ac:dyDescent="0.2">
      <c r="B3923" s="11"/>
      <c r="C3923" s="11"/>
      <c r="D3923" s="11"/>
      <c r="E3923" s="11"/>
      <c r="F3923" s="11"/>
      <c r="G3923" s="11"/>
      <c r="H3923" s="11"/>
      <c r="I3923" s="11"/>
    </row>
    <row r="3924" spans="2:9" x14ac:dyDescent="0.2">
      <c r="B3924" s="11"/>
      <c r="C3924" s="11"/>
      <c r="D3924" s="11"/>
      <c r="E3924" s="11"/>
      <c r="F3924" s="11"/>
      <c r="G3924" s="11"/>
      <c r="H3924" s="11"/>
      <c r="I3924" s="11"/>
    </row>
    <row r="3925" spans="2:9" x14ac:dyDescent="0.2">
      <c r="B3925" s="11"/>
      <c r="C3925" s="11"/>
      <c r="D3925" s="11"/>
      <c r="E3925" s="11"/>
      <c r="F3925" s="11"/>
      <c r="G3925" s="11"/>
      <c r="H3925" s="11"/>
      <c r="I3925" s="11"/>
    </row>
    <row r="3926" spans="2:9" x14ac:dyDescent="0.2">
      <c r="B3926" s="11"/>
      <c r="C3926" s="11"/>
      <c r="D3926" s="11"/>
      <c r="E3926" s="11"/>
      <c r="F3926" s="11"/>
      <c r="G3926" s="11"/>
      <c r="H3926" s="11"/>
      <c r="I3926" s="11"/>
    </row>
    <row r="3927" spans="2:9" x14ac:dyDescent="0.2">
      <c r="B3927" s="11"/>
      <c r="C3927" s="11"/>
      <c r="D3927" s="11"/>
      <c r="E3927" s="11"/>
      <c r="F3927" s="11"/>
      <c r="G3927" s="11"/>
      <c r="H3927" s="11"/>
      <c r="I3927" s="11"/>
    </row>
    <row r="3928" spans="2:9" x14ac:dyDescent="0.2">
      <c r="B3928" s="11"/>
      <c r="C3928" s="11"/>
      <c r="D3928" s="11"/>
      <c r="E3928" s="11"/>
      <c r="F3928" s="11"/>
      <c r="G3928" s="11"/>
      <c r="H3928" s="11"/>
      <c r="I3928" s="11"/>
    </row>
    <row r="3929" spans="2:9" x14ac:dyDescent="0.2">
      <c r="B3929" s="11"/>
      <c r="C3929" s="11"/>
      <c r="D3929" s="11"/>
      <c r="E3929" s="11"/>
      <c r="F3929" s="11"/>
      <c r="G3929" s="11"/>
      <c r="H3929" s="11"/>
      <c r="I3929" s="11"/>
    </row>
    <row r="3930" spans="2:9" x14ac:dyDescent="0.2">
      <c r="B3930" s="11"/>
      <c r="C3930" s="11"/>
      <c r="D3930" s="11"/>
      <c r="E3930" s="11"/>
      <c r="F3930" s="11"/>
      <c r="G3930" s="11"/>
      <c r="H3930" s="11"/>
      <c r="I3930" s="11"/>
    </row>
    <row r="3931" spans="2:9" x14ac:dyDescent="0.2">
      <c r="B3931" s="11"/>
      <c r="C3931" s="11"/>
      <c r="D3931" s="11"/>
      <c r="E3931" s="11"/>
      <c r="F3931" s="11"/>
      <c r="G3931" s="11"/>
      <c r="H3931" s="11"/>
      <c r="I3931" s="11"/>
    </row>
    <row r="3932" spans="2:9" x14ac:dyDescent="0.2">
      <c r="B3932" s="11"/>
      <c r="C3932" s="11"/>
      <c r="D3932" s="11"/>
      <c r="E3932" s="11"/>
      <c r="F3932" s="11"/>
      <c r="G3932" s="11"/>
      <c r="H3932" s="11"/>
      <c r="I3932" s="11"/>
    </row>
    <row r="3933" spans="2:9" x14ac:dyDescent="0.2">
      <c r="B3933" s="11"/>
      <c r="C3933" s="11"/>
      <c r="D3933" s="11"/>
      <c r="E3933" s="11"/>
      <c r="F3933" s="11"/>
      <c r="G3933" s="11"/>
      <c r="H3933" s="11"/>
      <c r="I3933" s="11"/>
    </row>
    <row r="3934" spans="2:9" x14ac:dyDescent="0.2">
      <c r="B3934" s="11"/>
      <c r="C3934" s="11"/>
      <c r="D3934" s="11"/>
      <c r="E3934" s="11"/>
      <c r="F3934" s="11"/>
      <c r="G3934" s="11"/>
      <c r="H3934" s="11"/>
      <c r="I3934" s="11"/>
    </row>
    <row r="3935" spans="2:9" x14ac:dyDescent="0.2">
      <c r="B3935" s="11"/>
      <c r="C3935" s="11"/>
      <c r="D3935" s="11"/>
      <c r="E3935" s="11"/>
      <c r="F3935" s="11"/>
      <c r="G3935" s="11"/>
      <c r="H3935" s="11"/>
      <c r="I3935" s="11"/>
    </row>
    <row r="3936" spans="2:9" x14ac:dyDescent="0.2">
      <c r="B3936" s="11"/>
      <c r="C3936" s="11"/>
      <c r="D3936" s="11"/>
      <c r="E3936" s="11"/>
      <c r="F3936" s="11"/>
      <c r="G3936" s="11"/>
      <c r="H3936" s="11"/>
      <c r="I3936" s="11"/>
    </row>
    <row r="3937" spans="2:9" x14ac:dyDescent="0.2">
      <c r="B3937" s="11"/>
      <c r="C3937" s="11"/>
      <c r="D3937" s="11"/>
      <c r="E3937" s="11"/>
      <c r="F3937" s="11"/>
      <c r="G3937" s="11"/>
      <c r="H3937" s="11"/>
      <c r="I3937" s="11"/>
    </row>
    <row r="3938" spans="2:9" x14ac:dyDescent="0.2">
      <c r="B3938" s="11"/>
      <c r="C3938" s="11"/>
      <c r="D3938" s="11"/>
      <c r="E3938" s="11"/>
      <c r="F3938" s="11"/>
      <c r="G3938" s="11"/>
      <c r="H3938" s="11"/>
      <c r="I3938" s="11"/>
    </row>
    <row r="3939" spans="2:9" x14ac:dyDescent="0.2">
      <c r="B3939" s="11"/>
      <c r="C3939" s="11"/>
      <c r="D3939" s="11"/>
      <c r="E3939" s="11"/>
      <c r="F3939" s="11"/>
      <c r="G3939" s="11"/>
      <c r="H3939" s="11"/>
      <c r="I3939" s="11"/>
    </row>
    <row r="3940" spans="2:9" x14ac:dyDescent="0.2">
      <c r="B3940" s="11"/>
      <c r="C3940" s="11"/>
      <c r="D3940" s="11"/>
      <c r="E3940" s="11"/>
      <c r="F3940" s="11"/>
      <c r="G3940" s="11"/>
      <c r="H3940" s="11"/>
      <c r="I3940" s="11"/>
    </row>
    <row r="3941" spans="2:9" x14ac:dyDescent="0.2">
      <c r="B3941" s="11"/>
      <c r="C3941" s="11"/>
      <c r="D3941" s="11"/>
      <c r="E3941" s="11"/>
      <c r="F3941" s="11"/>
      <c r="G3941" s="11"/>
      <c r="H3941" s="11"/>
      <c r="I3941" s="11"/>
    </row>
    <row r="3942" spans="2:9" x14ac:dyDescent="0.2">
      <c r="B3942" s="11"/>
      <c r="C3942" s="11"/>
      <c r="D3942" s="11"/>
      <c r="E3942" s="11"/>
      <c r="F3942" s="11"/>
      <c r="G3942" s="11"/>
      <c r="H3942" s="11"/>
      <c r="I3942" s="11"/>
    </row>
    <row r="3943" spans="2:9" x14ac:dyDescent="0.2">
      <c r="B3943" s="11"/>
      <c r="C3943" s="11"/>
      <c r="D3943" s="11"/>
      <c r="E3943" s="11"/>
      <c r="F3943" s="11"/>
      <c r="G3943" s="11"/>
      <c r="H3943" s="11"/>
      <c r="I3943" s="11"/>
    </row>
    <row r="3944" spans="2:9" x14ac:dyDescent="0.2">
      <c r="B3944" s="11"/>
      <c r="C3944" s="11"/>
      <c r="D3944" s="11"/>
      <c r="E3944" s="11"/>
      <c r="F3944" s="11"/>
      <c r="G3944" s="11"/>
      <c r="H3944" s="11"/>
      <c r="I3944" s="11"/>
    </row>
    <row r="3945" spans="2:9" x14ac:dyDescent="0.2">
      <c r="B3945" s="11"/>
      <c r="C3945" s="11"/>
      <c r="D3945" s="11"/>
      <c r="E3945" s="11"/>
      <c r="F3945" s="11"/>
      <c r="G3945" s="11"/>
      <c r="H3945" s="11"/>
      <c r="I3945" s="11"/>
    </row>
    <row r="3946" spans="2:9" x14ac:dyDescent="0.2">
      <c r="B3946" s="11"/>
      <c r="C3946" s="11"/>
      <c r="D3946" s="11"/>
      <c r="E3946" s="11"/>
      <c r="F3946" s="11"/>
      <c r="G3946" s="11"/>
      <c r="H3946" s="11"/>
      <c r="I3946" s="11"/>
    </row>
    <row r="3947" spans="2:9" x14ac:dyDescent="0.2">
      <c r="B3947" s="11"/>
      <c r="C3947" s="11"/>
      <c r="D3947" s="11"/>
      <c r="E3947" s="11"/>
      <c r="F3947" s="11"/>
      <c r="G3947" s="11"/>
      <c r="H3947" s="11"/>
      <c r="I3947" s="11"/>
    </row>
    <row r="3948" spans="2:9" x14ac:dyDescent="0.2">
      <c r="B3948" s="11"/>
      <c r="C3948" s="11"/>
      <c r="D3948" s="11"/>
      <c r="E3948" s="11"/>
      <c r="F3948" s="11"/>
      <c r="G3948" s="11"/>
      <c r="H3948" s="11"/>
      <c r="I3948" s="11"/>
    </row>
    <row r="3949" spans="2:9" x14ac:dyDescent="0.2">
      <c r="B3949" s="11"/>
      <c r="C3949" s="11"/>
      <c r="D3949" s="11"/>
      <c r="E3949" s="11"/>
      <c r="F3949" s="11"/>
      <c r="G3949" s="11"/>
      <c r="H3949" s="11"/>
      <c r="I3949" s="11"/>
    </row>
    <row r="3950" spans="2:9" x14ac:dyDescent="0.2">
      <c r="B3950" s="11"/>
      <c r="C3950" s="11"/>
      <c r="D3950" s="11"/>
      <c r="E3950" s="11"/>
      <c r="F3950" s="11"/>
      <c r="G3950" s="11"/>
      <c r="H3950" s="11"/>
      <c r="I3950" s="11"/>
    </row>
    <row r="3951" spans="2:9" x14ac:dyDescent="0.2">
      <c r="B3951" s="11"/>
      <c r="C3951" s="11"/>
      <c r="D3951" s="11"/>
      <c r="E3951" s="11"/>
      <c r="F3951" s="11"/>
      <c r="G3951" s="11"/>
      <c r="H3951" s="11"/>
      <c r="I3951" s="11"/>
    </row>
    <row r="3952" spans="2:9" x14ac:dyDescent="0.2">
      <c r="B3952" s="11"/>
      <c r="C3952" s="11"/>
      <c r="D3952" s="11"/>
      <c r="E3952" s="11"/>
      <c r="F3952" s="11"/>
      <c r="G3952" s="11"/>
      <c r="H3952" s="11"/>
      <c r="I3952" s="11"/>
    </row>
    <row r="3953" spans="2:9" x14ac:dyDescent="0.2">
      <c r="B3953" s="11"/>
      <c r="C3953" s="11"/>
      <c r="D3953" s="11"/>
      <c r="E3953" s="11"/>
      <c r="F3953" s="11"/>
      <c r="G3953" s="11"/>
      <c r="H3953" s="11"/>
      <c r="I3953" s="11"/>
    </row>
    <row r="3954" spans="2:9" x14ac:dyDescent="0.2">
      <c r="B3954" s="11"/>
      <c r="C3954" s="11"/>
      <c r="D3954" s="11"/>
      <c r="E3954" s="11"/>
      <c r="F3954" s="11"/>
      <c r="G3954" s="11"/>
      <c r="H3954" s="11"/>
      <c r="I3954" s="11"/>
    </row>
    <row r="3955" spans="2:9" x14ac:dyDescent="0.2">
      <c r="B3955" s="11"/>
      <c r="C3955" s="11"/>
      <c r="D3955" s="11"/>
      <c r="E3955" s="11"/>
      <c r="F3955" s="11"/>
      <c r="G3955" s="11"/>
      <c r="H3955" s="11"/>
      <c r="I3955" s="11"/>
    </row>
    <row r="3956" spans="2:9" x14ac:dyDescent="0.2">
      <c r="B3956" s="11"/>
      <c r="C3956" s="11"/>
      <c r="D3956" s="11"/>
      <c r="E3956" s="11"/>
      <c r="F3956" s="11"/>
      <c r="G3956" s="11"/>
      <c r="H3956" s="11"/>
      <c r="I3956" s="11"/>
    </row>
    <row r="3957" spans="2:9" x14ac:dyDescent="0.2">
      <c r="B3957" s="11"/>
      <c r="C3957" s="11"/>
      <c r="D3957" s="11"/>
      <c r="E3957" s="11"/>
      <c r="F3957" s="11"/>
      <c r="G3957" s="11"/>
      <c r="H3957" s="11"/>
      <c r="I3957" s="11"/>
    </row>
    <row r="3958" spans="2:9" x14ac:dyDescent="0.2">
      <c r="B3958" s="11"/>
      <c r="C3958" s="11"/>
      <c r="D3958" s="11"/>
      <c r="E3958" s="11"/>
      <c r="F3958" s="11"/>
      <c r="G3958" s="11"/>
      <c r="H3958" s="11"/>
      <c r="I3958" s="11"/>
    </row>
    <row r="3959" spans="2:9" x14ac:dyDescent="0.2">
      <c r="B3959" s="11"/>
      <c r="C3959" s="11"/>
      <c r="D3959" s="11"/>
      <c r="E3959" s="11"/>
      <c r="F3959" s="11"/>
      <c r="G3959" s="11"/>
      <c r="H3959" s="11"/>
      <c r="I3959" s="11"/>
    </row>
    <row r="3960" spans="2:9" x14ac:dyDescent="0.2">
      <c r="B3960" s="11"/>
      <c r="C3960" s="11"/>
      <c r="D3960" s="11"/>
      <c r="E3960" s="11"/>
      <c r="F3960" s="11"/>
      <c r="G3960" s="11"/>
      <c r="H3960" s="11"/>
      <c r="I3960" s="11"/>
    </row>
    <row r="3961" spans="2:9" x14ac:dyDescent="0.2">
      <c r="B3961" s="11"/>
      <c r="C3961" s="11"/>
      <c r="D3961" s="11"/>
      <c r="E3961" s="11"/>
      <c r="F3961" s="11"/>
      <c r="G3961" s="11"/>
      <c r="H3961" s="11"/>
      <c r="I3961" s="11"/>
    </row>
    <row r="3962" spans="2:9" x14ac:dyDescent="0.2">
      <c r="B3962" s="11"/>
      <c r="C3962" s="11"/>
      <c r="D3962" s="11"/>
      <c r="E3962" s="11"/>
      <c r="F3962" s="11"/>
      <c r="G3962" s="11"/>
      <c r="H3962" s="11"/>
      <c r="I3962" s="11"/>
    </row>
    <row r="3963" spans="2:9" x14ac:dyDescent="0.2">
      <c r="B3963" s="11"/>
      <c r="C3963" s="11"/>
      <c r="D3963" s="11"/>
      <c r="E3963" s="11"/>
      <c r="F3963" s="11"/>
      <c r="G3963" s="11"/>
      <c r="H3963" s="11"/>
      <c r="I3963" s="11"/>
    </row>
    <row r="3964" spans="2:9" x14ac:dyDescent="0.2">
      <c r="B3964" s="11"/>
      <c r="C3964" s="11"/>
      <c r="D3964" s="11"/>
      <c r="E3964" s="11"/>
      <c r="F3964" s="11"/>
      <c r="G3964" s="11"/>
      <c r="H3964" s="11"/>
      <c r="I3964" s="11"/>
    </row>
    <row r="3965" spans="2:9" x14ac:dyDescent="0.2">
      <c r="B3965" s="11"/>
      <c r="C3965" s="11"/>
      <c r="D3965" s="11"/>
      <c r="E3965" s="11"/>
      <c r="F3965" s="11"/>
      <c r="G3965" s="11"/>
      <c r="H3965" s="11"/>
      <c r="I3965" s="11"/>
    </row>
    <row r="3966" spans="2:9" x14ac:dyDescent="0.2">
      <c r="B3966" s="11"/>
      <c r="C3966" s="11"/>
      <c r="D3966" s="11"/>
      <c r="E3966" s="11"/>
      <c r="F3966" s="11"/>
      <c r="G3966" s="11"/>
      <c r="H3966" s="11"/>
      <c r="I3966" s="11"/>
    </row>
    <row r="3967" spans="2:9" x14ac:dyDescent="0.2">
      <c r="B3967" s="11"/>
      <c r="C3967" s="11"/>
      <c r="D3967" s="11"/>
      <c r="E3967" s="11"/>
      <c r="F3967" s="11"/>
      <c r="G3967" s="11"/>
      <c r="H3967" s="11"/>
      <c r="I3967" s="11"/>
    </row>
    <row r="3968" spans="2:9" x14ac:dyDescent="0.2">
      <c r="B3968" s="11"/>
      <c r="C3968" s="11"/>
      <c r="D3968" s="11"/>
      <c r="E3968" s="11"/>
      <c r="F3968" s="11"/>
      <c r="G3968" s="11"/>
      <c r="H3968" s="11"/>
      <c r="I3968" s="11"/>
    </row>
    <row r="3969" spans="2:9" x14ac:dyDescent="0.2">
      <c r="B3969" s="11"/>
      <c r="C3969" s="11"/>
      <c r="D3969" s="11"/>
      <c r="E3969" s="11"/>
      <c r="F3969" s="11"/>
      <c r="G3969" s="11"/>
      <c r="H3969" s="11"/>
      <c r="I3969" s="11"/>
    </row>
    <row r="3970" spans="2:9" x14ac:dyDescent="0.2">
      <c r="B3970" s="11"/>
      <c r="C3970" s="11"/>
      <c r="D3970" s="11"/>
      <c r="E3970" s="11"/>
      <c r="F3970" s="11"/>
      <c r="G3970" s="11"/>
      <c r="H3970" s="11"/>
      <c r="I3970" s="11"/>
    </row>
    <row r="3971" spans="2:9" x14ac:dyDescent="0.2">
      <c r="B3971" s="11"/>
      <c r="C3971" s="11"/>
      <c r="D3971" s="11"/>
      <c r="E3971" s="11"/>
      <c r="F3971" s="11"/>
      <c r="G3971" s="11"/>
      <c r="H3971" s="11"/>
      <c r="I3971" s="11"/>
    </row>
    <row r="3972" spans="2:9" x14ac:dyDescent="0.2">
      <c r="B3972" s="11"/>
      <c r="C3972" s="11"/>
      <c r="D3972" s="11"/>
      <c r="E3972" s="11"/>
      <c r="F3972" s="11"/>
      <c r="G3972" s="11"/>
      <c r="H3972" s="11"/>
      <c r="I3972" s="11"/>
    </row>
    <row r="3973" spans="2:9" x14ac:dyDescent="0.2">
      <c r="B3973" s="11"/>
      <c r="C3973" s="11"/>
      <c r="D3973" s="11"/>
      <c r="E3973" s="11"/>
      <c r="F3973" s="11"/>
      <c r="G3973" s="11"/>
      <c r="H3973" s="11"/>
      <c r="I3973" s="11"/>
    </row>
    <row r="3974" spans="2:9" x14ac:dyDescent="0.2">
      <c r="B3974" s="11"/>
      <c r="C3974" s="11"/>
      <c r="D3974" s="11"/>
      <c r="E3974" s="11"/>
      <c r="F3974" s="11"/>
      <c r="G3974" s="11"/>
      <c r="H3974" s="11"/>
      <c r="I3974" s="11"/>
    </row>
    <row r="3975" spans="2:9" x14ac:dyDescent="0.2">
      <c r="B3975" s="11"/>
      <c r="C3975" s="11"/>
      <c r="D3975" s="11"/>
      <c r="E3975" s="11"/>
      <c r="F3975" s="11"/>
      <c r="G3975" s="11"/>
      <c r="H3975" s="11"/>
      <c r="I3975" s="11"/>
    </row>
    <row r="3976" spans="2:9" x14ac:dyDescent="0.2">
      <c r="B3976" s="11"/>
      <c r="C3976" s="11"/>
      <c r="D3976" s="11"/>
      <c r="E3976" s="11"/>
      <c r="F3976" s="11"/>
      <c r="G3976" s="11"/>
      <c r="H3976" s="11"/>
      <c r="I3976" s="11"/>
    </row>
    <row r="3977" spans="2:9" x14ac:dyDescent="0.2">
      <c r="B3977" s="11"/>
      <c r="C3977" s="11"/>
      <c r="D3977" s="11"/>
      <c r="E3977" s="11"/>
      <c r="F3977" s="11"/>
      <c r="G3977" s="11"/>
      <c r="H3977" s="11"/>
      <c r="I3977" s="11"/>
    </row>
    <row r="3978" spans="2:9" x14ac:dyDescent="0.2">
      <c r="B3978" s="11"/>
      <c r="C3978" s="11"/>
      <c r="D3978" s="11"/>
      <c r="E3978" s="11"/>
      <c r="F3978" s="11"/>
      <c r="G3978" s="11"/>
      <c r="H3978" s="11"/>
      <c r="I3978" s="11"/>
    </row>
    <row r="3979" spans="2:9" x14ac:dyDescent="0.2">
      <c r="B3979" s="11"/>
      <c r="C3979" s="11"/>
      <c r="D3979" s="11"/>
      <c r="E3979" s="11"/>
      <c r="F3979" s="11"/>
      <c r="G3979" s="11"/>
      <c r="H3979" s="11"/>
      <c r="I3979" s="11"/>
    </row>
    <row r="3980" spans="2:9" x14ac:dyDescent="0.2">
      <c r="B3980" s="11"/>
      <c r="C3980" s="11"/>
      <c r="D3980" s="11"/>
      <c r="E3980" s="11"/>
      <c r="F3980" s="11"/>
      <c r="G3980" s="11"/>
      <c r="H3980" s="11"/>
      <c r="I3980" s="11"/>
    </row>
    <row r="3981" spans="2:9" x14ac:dyDescent="0.2">
      <c r="B3981" s="11"/>
      <c r="C3981" s="11"/>
      <c r="D3981" s="11"/>
      <c r="E3981" s="11"/>
      <c r="F3981" s="11"/>
      <c r="G3981" s="11"/>
      <c r="H3981" s="11"/>
      <c r="I3981" s="11"/>
    </row>
    <row r="3982" spans="2:9" x14ac:dyDescent="0.2">
      <c r="B3982" s="11"/>
      <c r="C3982" s="11"/>
      <c r="D3982" s="11"/>
      <c r="E3982" s="11"/>
      <c r="F3982" s="11"/>
      <c r="G3982" s="11"/>
      <c r="H3982" s="11"/>
      <c r="I3982" s="11"/>
    </row>
    <row r="3983" spans="2:9" x14ac:dyDescent="0.2">
      <c r="B3983" s="11"/>
      <c r="C3983" s="11"/>
      <c r="D3983" s="11"/>
      <c r="E3983" s="11"/>
      <c r="F3983" s="11"/>
      <c r="G3983" s="11"/>
      <c r="H3983" s="11"/>
      <c r="I3983" s="11"/>
    </row>
    <row r="3984" spans="2:9" x14ac:dyDescent="0.2">
      <c r="B3984" s="11"/>
      <c r="C3984" s="11"/>
      <c r="D3984" s="11"/>
      <c r="E3984" s="11"/>
      <c r="F3984" s="11"/>
      <c r="G3984" s="11"/>
      <c r="H3984" s="11"/>
      <c r="I3984" s="11"/>
    </row>
    <row r="3985" spans="2:9" x14ac:dyDescent="0.2">
      <c r="B3985" s="11"/>
      <c r="C3985" s="11"/>
      <c r="D3985" s="11"/>
      <c r="E3985" s="11"/>
      <c r="F3985" s="11"/>
      <c r="G3985" s="11"/>
      <c r="H3985" s="11"/>
      <c r="I3985" s="11"/>
    </row>
    <row r="3986" spans="2:9" x14ac:dyDescent="0.2">
      <c r="B3986" s="11"/>
      <c r="C3986" s="11"/>
      <c r="D3986" s="11"/>
      <c r="E3986" s="11"/>
      <c r="F3986" s="11"/>
      <c r="G3986" s="11"/>
      <c r="H3986" s="11"/>
      <c r="I3986" s="11"/>
    </row>
    <row r="3987" spans="2:9" x14ac:dyDescent="0.2">
      <c r="B3987" s="11"/>
      <c r="C3987" s="11"/>
      <c r="D3987" s="11"/>
      <c r="E3987" s="11"/>
      <c r="F3987" s="11"/>
      <c r="G3987" s="11"/>
      <c r="H3987" s="11"/>
      <c r="I3987" s="11"/>
    </row>
    <row r="3988" spans="2:9" x14ac:dyDescent="0.2">
      <c r="B3988" s="11"/>
      <c r="C3988" s="11"/>
      <c r="D3988" s="11"/>
      <c r="E3988" s="11"/>
      <c r="F3988" s="11"/>
      <c r="G3988" s="11"/>
      <c r="H3988" s="11"/>
      <c r="I3988" s="11"/>
    </row>
    <row r="3989" spans="2:9" x14ac:dyDescent="0.2">
      <c r="B3989" s="11"/>
      <c r="C3989" s="11"/>
      <c r="D3989" s="11"/>
      <c r="E3989" s="11"/>
      <c r="F3989" s="11"/>
      <c r="G3989" s="11"/>
      <c r="H3989" s="11"/>
      <c r="I3989" s="11"/>
    </row>
    <row r="3990" spans="2:9" x14ac:dyDescent="0.2">
      <c r="B3990" s="11"/>
      <c r="C3990" s="11"/>
      <c r="D3990" s="11"/>
      <c r="E3990" s="11"/>
      <c r="F3990" s="11"/>
      <c r="G3990" s="11"/>
      <c r="H3990" s="11"/>
      <c r="I3990" s="11"/>
    </row>
    <row r="3991" spans="2:9" x14ac:dyDescent="0.2">
      <c r="B3991" s="11"/>
      <c r="C3991" s="11"/>
      <c r="D3991" s="11"/>
      <c r="E3991" s="11"/>
      <c r="F3991" s="11"/>
      <c r="G3991" s="11"/>
      <c r="H3991" s="11"/>
      <c r="I3991" s="11"/>
    </row>
    <row r="3992" spans="2:9" x14ac:dyDescent="0.2">
      <c r="B3992" s="11"/>
      <c r="C3992" s="11"/>
      <c r="D3992" s="11"/>
      <c r="E3992" s="11"/>
      <c r="F3992" s="11"/>
      <c r="G3992" s="11"/>
      <c r="H3992" s="11"/>
      <c r="I3992" s="11"/>
    </row>
    <row r="3993" spans="2:9" x14ac:dyDescent="0.2">
      <c r="B3993" s="11"/>
      <c r="C3993" s="11"/>
      <c r="D3993" s="11"/>
      <c r="E3993" s="11"/>
      <c r="F3993" s="11"/>
      <c r="G3993" s="11"/>
      <c r="H3993" s="11"/>
      <c r="I3993" s="11"/>
    </row>
    <row r="3994" spans="2:9" x14ac:dyDescent="0.2">
      <c r="B3994" s="11"/>
      <c r="C3994" s="11"/>
      <c r="D3994" s="11"/>
      <c r="E3994" s="11"/>
      <c r="F3994" s="11"/>
      <c r="G3994" s="11"/>
      <c r="H3994" s="11"/>
      <c r="I3994" s="11"/>
    </row>
    <row r="3995" spans="2:9" x14ac:dyDescent="0.2">
      <c r="B3995" s="11"/>
      <c r="C3995" s="11"/>
      <c r="D3995" s="11"/>
      <c r="E3995" s="11"/>
      <c r="F3995" s="11"/>
      <c r="G3995" s="11"/>
      <c r="H3995" s="11"/>
      <c r="I3995" s="11"/>
    </row>
    <row r="3996" spans="2:9" x14ac:dyDescent="0.2">
      <c r="B3996" s="11"/>
      <c r="C3996" s="11"/>
      <c r="D3996" s="11"/>
      <c r="E3996" s="11"/>
      <c r="F3996" s="11"/>
      <c r="G3996" s="11"/>
      <c r="H3996" s="11"/>
      <c r="I3996" s="11"/>
    </row>
    <row r="3997" spans="2:9" x14ac:dyDescent="0.2">
      <c r="B3997" s="11"/>
      <c r="C3997" s="11"/>
      <c r="D3997" s="11"/>
      <c r="E3997" s="11"/>
      <c r="F3997" s="11"/>
      <c r="G3997" s="11"/>
      <c r="H3997" s="11"/>
      <c r="I3997" s="11"/>
    </row>
    <row r="3998" spans="2:9" x14ac:dyDescent="0.2">
      <c r="B3998" s="11"/>
      <c r="C3998" s="11"/>
      <c r="D3998" s="11"/>
      <c r="E3998" s="11"/>
      <c r="F3998" s="11"/>
      <c r="G3998" s="11"/>
      <c r="H3998" s="11"/>
      <c r="I3998" s="11"/>
    </row>
    <row r="3999" spans="2:9" x14ac:dyDescent="0.2">
      <c r="B3999" s="11"/>
      <c r="C3999" s="11"/>
      <c r="D3999" s="11"/>
      <c r="E3999" s="11"/>
      <c r="F3999" s="11"/>
      <c r="G3999" s="11"/>
      <c r="H3999" s="11"/>
      <c r="I3999" s="11"/>
    </row>
    <row r="4000" spans="2:9" x14ac:dyDescent="0.2">
      <c r="B4000" s="11"/>
      <c r="C4000" s="11"/>
      <c r="D4000" s="11"/>
      <c r="E4000" s="11"/>
      <c r="F4000" s="11"/>
      <c r="G4000" s="11"/>
      <c r="H4000" s="11"/>
      <c r="I4000" s="11"/>
    </row>
    <row r="4001" spans="2:9" x14ac:dyDescent="0.2">
      <c r="B4001" s="11"/>
      <c r="C4001" s="11"/>
      <c r="D4001" s="11"/>
      <c r="E4001" s="11"/>
      <c r="F4001" s="11"/>
      <c r="G4001" s="11"/>
      <c r="H4001" s="11"/>
      <c r="I4001" s="11"/>
    </row>
    <row r="4002" spans="2:9" x14ac:dyDescent="0.2">
      <c r="B4002" s="11"/>
      <c r="C4002" s="11"/>
      <c r="D4002" s="11"/>
      <c r="E4002" s="11"/>
      <c r="F4002" s="11"/>
      <c r="G4002" s="11"/>
      <c r="H4002" s="11"/>
      <c r="I4002" s="11"/>
    </row>
    <row r="4003" spans="2:9" x14ac:dyDescent="0.2">
      <c r="B4003" s="11"/>
      <c r="C4003" s="11"/>
      <c r="D4003" s="11"/>
      <c r="E4003" s="11"/>
      <c r="F4003" s="11"/>
      <c r="G4003" s="11"/>
      <c r="H4003" s="11"/>
      <c r="I4003" s="11"/>
    </row>
    <row r="4004" spans="2:9" x14ac:dyDescent="0.2">
      <c r="B4004" s="11"/>
      <c r="C4004" s="11"/>
      <c r="D4004" s="11"/>
      <c r="E4004" s="11"/>
      <c r="F4004" s="11"/>
      <c r="G4004" s="11"/>
      <c r="H4004" s="11"/>
      <c r="I4004" s="11"/>
    </row>
    <row r="4005" spans="2:9" x14ac:dyDescent="0.2">
      <c r="B4005" s="11"/>
      <c r="C4005" s="11"/>
      <c r="D4005" s="11"/>
      <c r="E4005" s="11"/>
      <c r="F4005" s="11"/>
      <c r="G4005" s="11"/>
      <c r="H4005" s="11"/>
      <c r="I4005" s="11"/>
    </row>
    <row r="4006" spans="2:9" x14ac:dyDescent="0.2">
      <c r="B4006" s="11"/>
      <c r="C4006" s="11"/>
      <c r="D4006" s="11"/>
      <c r="E4006" s="11"/>
      <c r="F4006" s="11"/>
      <c r="G4006" s="11"/>
      <c r="H4006" s="11"/>
      <c r="I4006" s="11"/>
    </row>
    <row r="4007" spans="2:9" x14ac:dyDescent="0.2">
      <c r="B4007" s="11"/>
      <c r="C4007" s="11"/>
      <c r="D4007" s="11"/>
      <c r="E4007" s="11"/>
      <c r="F4007" s="11"/>
      <c r="G4007" s="11"/>
      <c r="H4007" s="11"/>
      <c r="I4007" s="11"/>
    </row>
    <row r="4008" spans="2:9" x14ac:dyDescent="0.2">
      <c r="B4008" s="11"/>
      <c r="C4008" s="11"/>
      <c r="D4008" s="11"/>
      <c r="E4008" s="11"/>
      <c r="F4008" s="11"/>
      <c r="G4008" s="11"/>
      <c r="H4008" s="11"/>
      <c r="I4008" s="11"/>
    </row>
    <row r="4009" spans="2:9" x14ac:dyDescent="0.2">
      <c r="B4009" s="11"/>
      <c r="C4009" s="11"/>
      <c r="D4009" s="11"/>
      <c r="E4009" s="11"/>
      <c r="F4009" s="11"/>
      <c r="G4009" s="11"/>
      <c r="H4009" s="11"/>
      <c r="I4009" s="11"/>
    </row>
    <row r="4010" spans="2:9" x14ac:dyDescent="0.2">
      <c r="B4010" s="11"/>
      <c r="C4010" s="11"/>
      <c r="D4010" s="11"/>
      <c r="E4010" s="11"/>
      <c r="F4010" s="11"/>
      <c r="G4010" s="11"/>
      <c r="H4010" s="11"/>
      <c r="I4010" s="11"/>
    </row>
    <row r="4011" spans="2:9" x14ac:dyDescent="0.2">
      <c r="B4011" s="11"/>
      <c r="C4011" s="11"/>
      <c r="D4011" s="11"/>
      <c r="E4011" s="11"/>
      <c r="F4011" s="11"/>
      <c r="G4011" s="11"/>
      <c r="H4011" s="11"/>
      <c r="I4011" s="11"/>
    </row>
    <row r="4012" spans="2:9" x14ac:dyDescent="0.2">
      <c r="B4012" s="11"/>
      <c r="C4012" s="11"/>
      <c r="D4012" s="11"/>
      <c r="E4012" s="11"/>
      <c r="F4012" s="11"/>
      <c r="G4012" s="11"/>
      <c r="H4012" s="11"/>
      <c r="I4012" s="11"/>
    </row>
    <row r="4013" spans="2:9" x14ac:dyDescent="0.2">
      <c r="B4013" s="11"/>
      <c r="C4013" s="11"/>
      <c r="D4013" s="11"/>
      <c r="E4013" s="11"/>
      <c r="F4013" s="11"/>
      <c r="G4013" s="11"/>
      <c r="H4013" s="11"/>
      <c r="I4013" s="11"/>
    </row>
    <row r="4014" spans="2:9" x14ac:dyDescent="0.2">
      <c r="B4014" s="11"/>
      <c r="C4014" s="11"/>
      <c r="D4014" s="11"/>
      <c r="E4014" s="11"/>
      <c r="F4014" s="11"/>
      <c r="G4014" s="11"/>
      <c r="H4014" s="11"/>
      <c r="I4014" s="11"/>
    </row>
    <row r="4015" spans="2:9" x14ac:dyDescent="0.2">
      <c r="B4015" s="11"/>
      <c r="C4015" s="11"/>
      <c r="D4015" s="11"/>
      <c r="E4015" s="11"/>
      <c r="F4015" s="11"/>
      <c r="G4015" s="11"/>
      <c r="H4015" s="11"/>
      <c r="I4015" s="11"/>
    </row>
    <row r="4016" spans="2:9" x14ac:dyDescent="0.2">
      <c r="B4016" s="11"/>
      <c r="C4016" s="11"/>
      <c r="D4016" s="11"/>
      <c r="E4016" s="11"/>
      <c r="F4016" s="11"/>
      <c r="G4016" s="11"/>
      <c r="H4016" s="11"/>
      <c r="I4016" s="11"/>
    </row>
    <row r="4017" spans="2:9" x14ac:dyDescent="0.2">
      <c r="B4017" s="11"/>
      <c r="C4017" s="11"/>
      <c r="D4017" s="11"/>
      <c r="E4017" s="11"/>
      <c r="F4017" s="11"/>
      <c r="G4017" s="11"/>
      <c r="H4017" s="11"/>
      <c r="I4017" s="11"/>
    </row>
    <row r="4018" spans="2:9" x14ac:dyDescent="0.2">
      <c r="B4018" s="11"/>
      <c r="C4018" s="11"/>
      <c r="D4018" s="11"/>
      <c r="E4018" s="11"/>
      <c r="F4018" s="11"/>
      <c r="G4018" s="11"/>
      <c r="H4018" s="11"/>
      <c r="I4018" s="11"/>
    </row>
    <row r="4019" spans="2:9" x14ac:dyDescent="0.2">
      <c r="B4019" s="11"/>
      <c r="C4019" s="11"/>
      <c r="D4019" s="11"/>
      <c r="E4019" s="11"/>
      <c r="F4019" s="11"/>
      <c r="G4019" s="11"/>
      <c r="H4019" s="11"/>
      <c r="I4019" s="11"/>
    </row>
    <row r="4020" spans="2:9" x14ac:dyDescent="0.2">
      <c r="B4020" s="11"/>
      <c r="C4020" s="11"/>
      <c r="D4020" s="11"/>
      <c r="E4020" s="11"/>
      <c r="F4020" s="11"/>
      <c r="G4020" s="11"/>
      <c r="H4020" s="11"/>
      <c r="I4020" s="11"/>
    </row>
    <row r="4021" spans="2:9" x14ac:dyDescent="0.2">
      <c r="B4021" s="11"/>
      <c r="C4021" s="11"/>
      <c r="D4021" s="11"/>
      <c r="E4021" s="11"/>
      <c r="F4021" s="11"/>
      <c r="G4021" s="11"/>
      <c r="H4021" s="11"/>
      <c r="I4021" s="11"/>
    </row>
    <row r="4022" spans="2:9" x14ac:dyDescent="0.2">
      <c r="B4022" s="11"/>
      <c r="C4022" s="11"/>
      <c r="D4022" s="11"/>
      <c r="E4022" s="11"/>
      <c r="F4022" s="11"/>
      <c r="G4022" s="11"/>
      <c r="H4022" s="11"/>
      <c r="I4022" s="11"/>
    </row>
    <row r="4023" spans="2:9" x14ac:dyDescent="0.2">
      <c r="B4023" s="11"/>
      <c r="C4023" s="11"/>
      <c r="D4023" s="11"/>
      <c r="E4023" s="11"/>
      <c r="F4023" s="11"/>
      <c r="G4023" s="11"/>
      <c r="H4023" s="11"/>
      <c r="I4023" s="11"/>
    </row>
    <row r="4024" spans="2:9" x14ac:dyDescent="0.2">
      <c r="B4024" s="11"/>
      <c r="C4024" s="11"/>
      <c r="D4024" s="11"/>
      <c r="E4024" s="11"/>
      <c r="F4024" s="11"/>
      <c r="G4024" s="11"/>
      <c r="H4024" s="11"/>
      <c r="I4024" s="11"/>
    </row>
    <row r="4025" spans="2:9" x14ac:dyDescent="0.2">
      <c r="B4025" s="11"/>
      <c r="C4025" s="11"/>
      <c r="D4025" s="11"/>
      <c r="E4025" s="11"/>
      <c r="F4025" s="11"/>
      <c r="G4025" s="11"/>
      <c r="H4025" s="11"/>
      <c r="I4025" s="11"/>
    </row>
    <row r="4026" spans="2:9" x14ac:dyDescent="0.2">
      <c r="B4026" s="11"/>
      <c r="C4026" s="11"/>
      <c r="D4026" s="11"/>
      <c r="E4026" s="11"/>
      <c r="F4026" s="11"/>
      <c r="G4026" s="11"/>
      <c r="H4026" s="11"/>
      <c r="I4026" s="11"/>
    </row>
    <row r="4027" spans="2:9" x14ac:dyDescent="0.2">
      <c r="B4027" s="11"/>
      <c r="C4027" s="11"/>
      <c r="D4027" s="11"/>
      <c r="E4027" s="11"/>
      <c r="F4027" s="11"/>
      <c r="G4027" s="11"/>
      <c r="H4027" s="11"/>
      <c r="I4027" s="11"/>
    </row>
    <row r="4028" spans="2:9" x14ac:dyDescent="0.2">
      <c r="B4028" s="11"/>
      <c r="C4028" s="11"/>
      <c r="D4028" s="11"/>
      <c r="E4028" s="11"/>
      <c r="F4028" s="11"/>
      <c r="G4028" s="11"/>
      <c r="H4028" s="11"/>
      <c r="I4028" s="11"/>
    </row>
    <row r="4029" spans="2:9" x14ac:dyDescent="0.2">
      <c r="B4029" s="11"/>
      <c r="C4029" s="11"/>
      <c r="D4029" s="11"/>
      <c r="E4029" s="11"/>
      <c r="F4029" s="11"/>
      <c r="G4029" s="11"/>
      <c r="H4029" s="11"/>
      <c r="I4029" s="11"/>
    </row>
    <row r="4030" spans="2:9" x14ac:dyDescent="0.2">
      <c r="B4030" s="11"/>
      <c r="C4030" s="11"/>
      <c r="D4030" s="11"/>
      <c r="E4030" s="11"/>
      <c r="F4030" s="11"/>
      <c r="G4030" s="11"/>
      <c r="H4030" s="11"/>
      <c r="I4030" s="11"/>
    </row>
    <row r="4031" spans="2:9" x14ac:dyDescent="0.2">
      <c r="B4031" s="11"/>
      <c r="C4031" s="11"/>
      <c r="D4031" s="11"/>
      <c r="E4031" s="11"/>
      <c r="F4031" s="11"/>
      <c r="G4031" s="11"/>
      <c r="H4031" s="11"/>
      <c r="I4031" s="11"/>
    </row>
    <row r="4032" spans="2:9" x14ac:dyDescent="0.2">
      <c r="B4032" s="11"/>
      <c r="C4032" s="11"/>
      <c r="D4032" s="11"/>
      <c r="E4032" s="11"/>
      <c r="F4032" s="11"/>
      <c r="G4032" s="11"/>
      <c r="H4032" s="11"/>
      <c r="I4032" s="11"/>
    </row>
    <row r="4033" spans="2:9" x14ac:dyDescent="0.2">
      <c r="B4033" s="11"/>
      <c r="C4033" s="11"/>
      <c r="D4033" s="11"/>
      <c r="E4033" s="11"/>
      <c r="F4033" s="11"/>
      <c r="G4033" s="11"/>
      <c r="H4033" s="11"/>
      <c r="I4033" s="11"/>
    </row>
    <row r="4034" spans="2:9" x14ac:dyDescent="0.2">
      <c r="B4034" s="11"/>
      <c r="C4034" s="11"/>
      <c r="D4034" s="11"/>
      <c r="E4034" s="11"/>
      <c r="F4034" s="11"/>
      <c r="G4034" s="11"/>
      <c r="H4034" s="11"/>
      <c r="I4034" s="11"/>
    </row>
    <row r="4035" spans="2:9" x14ac:dyDescent="0.2">
      <c r="B4035" s="11"/>
      <c r="C4035" s="11"/>
      <c r="D4035" s="11"/>
      <c r="E4035" s="11"/>
      <c r="F4035" s="11"/>
      <c r="G4035" s="11"/>
      <c r="H4035" s="11"/>
      <c r="I4035" s="11"/>
    </row>
    <row r="4036" spans="2:9" x14ac:dyDescent="0.2">
      <c r="B4036" s="11"/>
      <c r="C4036" s="11"/>
      <c r="D4036" s="11"/>
      <c r="E4036" s="11"/>
      <c r="F4036" s="11"/>
      <c r="G4036" s="11"/>
      <c r="H4036" s="11"/>
      <c r="I4036" s="11"/>
    </row>
    <row r="4037" spans="2:9" x14ac:dyDescent="0.2">
      <c r="B4037" s="11"/>
      <c r="C4037" s="11"/>
      <c r="D4037" s="11"/>
      <c r="E4037" s="11"/>
      <c r="F4037" s="11"/>
      <c r="G4037" s="11"/>
      <c r="H4037" s="11"/>
      <c r="I4037" s="11"/>
    </row>
    <row r="4038" spans="2:9" x14ac:dyDescent="0.2">
      <c r="B4038" s="11"/>
      <c r="C4038" s="11"/>
      <c r="D4038" s="11"/>
      <c r="E4038" s="11"/>
      <c r="F4038" s="11"/>
      <c r="G4038" s="11"/>
      <c r="H4038" s="11"/>
      <c r="I4038" s="11"/>
    </row>
    <row r="4039" spans="2:9" x14ac:dyDescent="0.2">
      <c r="B4039" s="11"/>
      <c r="C4039" s="11"/>
      <c r="D4039" s="11"/>
      <c r="E4039" s="11"/>
      <c r="F4039" s="11"/>
      <c r="G4039" s="11"/>
      <c r="H4039" s="11"/>
      <c r="I4039" s="11"/>
    </row>
    <row r="4040" spans="2:9" x14ac:dyDescent="0.2">
      <c r="B4040" s="11"/>
      <c r="C4040" s="11"/>
      <c r="D4040" s="11"/>
      <c r="E4040" s="11"/>
      <c r="F4040" s="11"/>
      <c r="G4040" s="11"/>
      <c r="H4040" s="11"/>
      <c r="I4040" s="11"/>
    </row>
    <row r="4041" spans="2:9" x14ac:dyDescent="0.2">
      <c r="B4041" s="11"/>
      <c r="C4041" s="11"/>
      <c r="D4041" s="11"/>
      <c r="E4041" s="11"/>
      <c r="F4041" s="11"/>
      <c r="G4041" s="11"/>
      <c r="H4041" s="11"/>
      <c r="I4041" s="11"/>
    </row>
    <row r="4042" spans="2:9" x14ac:dyDescent="0.2">
      <c r="B4042" s="11"/>
      <c r="C4042" s="11"/>
      <c r="D4042" s="11"/>
      <c r="E4042" s="11"/>
      <c r="F4042" s="11"/>
      <c r="G4042" s="11"/>
      <c r="H4042" s="11"/>
      <c r="I4042" s="11"/>
    </row>
    <row r="4043" spans="2:9" x14ac:dyDescent="0.2">
      <c r="B4043" s="11"/>
      <c r="C4043" s="11"/>
      <c r="D4043" s="11"/>
      <c r="E4043" s="11"/>
      <c r="F4043" s="11"/>
      <c r="G4043" s="11"/>
      <c r="H4043" s="11"/>
      <c r="I4043" s="11"/>
    </row>
    <row r="4044" spans="2:9" x14ac:dyDescent="0.2">
      <c r="B4044" s="11"/>
      <c r="C4044" s="11"/>
      <c r="D4044" s="11"/>
      <c r="E4044" s="11"/>
      <c r="F4044" s="11"/>
      <c r="G4044" s="11"/>
      <c r="H4044" s="11"/>
      <c r="I4044" s="11"/>
    </row>
    <row r="4045" spans="2:9" x14ac:dyDescent="0.2">
      <c r="B4045" s="11"/>
      <c r="C4045" s="11"/>
      <c r="D4045" s="11"/>
      <c r="E4045" s="11"/>
      <c r="F4045" s="11"/>
      <c r="G4045" s="11"/>
      <c r="H4045" s="11"/>
      <c r="I4045" s="11"/>
    </row>
    <row r="4046" spans="2:9" x14ac:dyDescent="0.2">
      <c r="B4046" s="11"/>
      <c r="C4046" s="11"/>
      <c r="D4046" s="11"/>
      <c r="E4046" s="11"/>
      <c r="F4046" s="11"/>
      <c r="G4046" s="11"/>
      <c r="H4046" s="11"/>
      <c r="I4046" s="11"/>
    </row>
    <row r="4047" spans="2:9" x14ac:dyDescent="0.2">
      <c r="B4047" s="11"/>
      <c r="C4047" s="11"/>
      <c r="D4047" s="11"/>
      <c r="E4047" s="11"/>
      <c r="F4047" s="11"/>
      <c r="G4047" s="11"/>
      <c r="H4047" s="11"/>
      <c r="I4047" s="11"/>
    </row>
    <row r="4048" spans="2:9" x14ac:dyDescent="0.2">
      <c r="B4048" s="11"/>
      <c r="C4048" s="11"/>
      <c r="D4048" s="11"/>
      <c r="E4048" s="11"/>
      <c r="F4048" s="11"/>
      <c r="G4048" s="11"/>
      <c r="H4048" s="11"/>
      <c r="I4048" s="11"/>
    </row>
    <row r="4049" spans="2:9" x14ac:dyDescent="0.2">
      <c r="B4049" s="11"/>
      <c r="C4049" s="11"/>
      <c r="D4049" s="11"/>
      <c r="E4049" s="11"/>
      <c r="F4049" s="11"/>
      <c r="G4049" s="11"/>
      <c r="H4049" s="11"/>
      <c r="I4049" s="11"/>
    </row>
    <row r="4050" spans="2:9" x14ac:dyDescent="0.2">
      <c r="B4050" s="11"/>
      <c r="C4050" s="11"/>
      <c r="D4050" s="11"/>
      <c r="E4050" s="11"/>
      <c r="F4050" s="11"/>
      <c r="G4050" s="11"/>
      <c r="H4050" s="11"/>
      <c r="I4050" s="11"/>
    </row>
    <row r="4051" spans="2:9" x14ac:dyDescent="0.2">
      <c r="B4051" s="11"/>
      <c r="C4051" s="11"/>
      <c r="D4051" s="11"/>
      <c r="E4051" s="11"/>
      <c r="F4051" s="11"/>
      <c r="G4051" s="11"/>
      <c r="H4051" s="11"/>
      <c r="I4051" s="11"/>
    </row>
    <row r="4052" spans="2:9" x14ac:dyDescent="0.2">
      <c r="B4052" s="11"/>
      <c r="C4052" s="11"/>
      <c r="D4052" s="11"/>
      <c r="E4052" s="11"/>
      <c r="F4052" s="11"/>
      <c r="G4052" s="11"/>
      <c r="H4052" s="11"/>
      <c r="I4052" s="11"/>
    </row>
    <row r="4053" spans="2:9" x14ac:dyDescent="0.2">
      <c r="B4053" s="11"/>
      <c r="C4053" s="11"/>
      <c r="D4053" s="11"/>
      <c r="E4053" s="11"/>
      <c r="F4053" s="11"/>
      <c r="G4053" s="11"/>
      <c r="H4053" s="11"/>
      <c r="I4053" s="11"/>
    </row>
    <row r="4054" spans="2:9" x14ac:dyDescent="0.2">
      <c r="B4054" s="11"/>
      <c r="C4054" s="11"/>
      <c r="D4054" s="11"/>
      <c r="E4054" s="11"/>
      <c r="F4054" s="11"/>
      <c r="G4054" s="11"/>
      <c r="H4054" s="11"/>
      <c r="I4054" s="11"/>
    </row>
    <row r="4055" spans="2:9" x14ac:dyDescent="0.2">
      <c r="B4055" s="11"/>
      <c r="C4055" s="11"/>
      <c r="D4055" s="11"/>
      <c r="E4055" s="11"/>
      <c r="F4055" s="11"/>
      <c r="G4055" s="11"/>
      <c r="H4055" s="11"/>
      <c r="I4055" s="11"/>
    </row>
    <row r="4056" spans="2:9" x14ac:dyDescent="0.2">
      <c r="B4056" s="11"/>
      <c r="C4056" s="11"/>
      <c r="D4056" s="11"/>
      <c r="E4056" s="11"/>
      <c r="F4056" s="11"/>
      <c r="G4056" s="11"/>
      <c r="H4056" s="11"/>
      <c r="I4056" s="11"/>
    </row>
    <row r="4057" spans="2:9" x14ac:dyDescent="0.2">
      <c r="B4057" s="11"/>
      <c r="C4057" s="11"/>
      <c r="D4057" s="11"/>
      <c r="E4057" s="11"/>
      <c r="F4057" s="11"/>
      <c r="G4057" s="11"/>
      <c r="H4057" s="11"/>
      <c r="I4057" s="11"/>
    </row>
    <row r="4058" spans="2:9" x14ac:dyDescent="0.2">
      <c r="B4058" s="11"/>
      <c r="C4058" s="11"/>
      <c r="D4058" s="11"/>
      <c r="E4058" s="11"/>
      <c r="F4058" s="11"/>
      <c r="G4058" s="11"/>
      <c r="H4058" s="11"/>
      <c r="I4058" s="11"/>
    </row>
    <row r="4059" spans="2:9" x14ac:dyDescent="0.2">
      <c r="B4059" s="11"/>
      <c r="C4059" s="11"/>
      <c r="D4059" s="11"/>
      <c r="E4059" s="11"/>
      <c r="F4059" s="11"/>
      <c r="G4059" s="11"/>
      <c r="H4059" s="11"/>
      <c r="I4059" s="11"/>
    </row>
    <row r="4060" spans="2:9" x14ac:dyDescent="0.2">
      <c r="B4060" s="11"/>
      <c r="C4060" s="11"/>
      <c r="D4060" s="11"/>
      <c r="E4060" s="11"/>
      <c r="F4060" s="11"/>
      <c r="G4060" s="11"/>
      <c r="H4060" s="11"/>
      <c r="I4060" s="11"/>
    </row>
    <row r="4061" spans="2:9" x14ac:dyDescent="0.2">
      <c r="B4061" s="11"/>
      <c r="C4061" s="11"/>
      <c r="D4061" s="11"/>
      <c r="E4061" s="11"/>
      <c r="F4061" s="11"/>
      <c r="G4061" s="11"/>
      <c r="H4061" s="11"/>
      <c r="I4061" s="11"/>
    </row>
    <row r="4062" spans="2:9" x14ac:dyDescent="0.2">
      <c r="B4062" s="11"/>
      <c r="C4062" s="11"/>
      <c r="D4062" s="11"/>
      <c r="E4062" s="11"/>
      <c r="F4062" s="11"/>
      <c r="G4062" s="11"/>
      <c r="H4062" s="11"/>
      <c r="I4062" s="11"/>
    </row>
    <row r="4063" spans="2:9" x14ac:dyDescent="0.2">
      <c r="B4063" s="11"/>
      <c r="C4063" s="11"/>
      <c r="D4063" s="11"/>
      <c r="E4063" s="11"/>
      <c r="F4063" s="11"/>
      <c r="G4063" s="11"/>
      <c r="H4063" s="11"/>
      <c r="I4063" s="11"/>
    </row>
    <row r="4064" spans="2:9" x14ac:dyDescent="0.2">
      <c r="B4064" s="11"/>
      <c r="C4064" s="11"/>
      <c r="D4064" s="11"/>
      <c r="E4064" s="11"/>
      <c r="F4064" s="11"/>
      <c r="G4064" s="11"/>
      <c r="H4064" s="11"/>
      <c r="I4064" s="11"/>
    </row>
    <row r="4065" spans="2:9" x14ac:dyDescent="0.2">
      <c r="B4065" s="11"/>
      <c r="C4065" s="11"/>
      <c r="D4065" s="11"/>
      <c r="E4065" s="11"/>
      <c r="F4065" s="11"/>
      <c r="G4065" s="11"/>
      <c r="H4065" s="11"/>
      <c r="I4065" s="11"/>
    </row>
    <row r="4066" spans="2:9" x14ac:dyDescent="0.2">
      <c r="B4066" s="11"/>
      <c r="C4066" s="11"/>
      <c r="D4066" s="11"/>
      <c r="E4066" s="11"/>
      <c r="F4066" s="11"/>
      <c r="G4066" s="11"/>
      <c r="H4066" s="11"/>
      <c r="I4066" s="11"/>
    </row>
    <row r="4067" spans="2:9" x14ac:dyDescent="0.2">
      <c r="B4067" s="11"/>
      <c r="C4067" s="11"/>
      <c r="D4067" s="11"/>
      <c r="E4067" s="11"/>
      <c r="F4067" s="11"/>
      <c r="G4067" s="11"/>
      <c r="H4067" s="11"/>
      <c r="I4067" s="11"/>
    </row>
    <row r="4068" spans="2:9" x14ac:dyDescent="0.2">
      <c r="B4068" s="11"/>
      <c r="C4068" s="11"/>
      <c r="D4068" s="11"/>
      <c r="E4068" s="11"/>
      <c r="F4068" s="11"/>
      <c r="G4068" s="11"/>
      <c r="H4068" s="11"/>
      <c r="I4068" s="11"/>
    </row>
    <row r="4069" spans="2:9" x14ac:dyDescent="0.2">
      <c r="B4069" s="11"/>
      <c r="C4069" s="11"/>
      <c r="D4069" s="11"/>
      <c r="E4069" s="11"/>
      <c r="F4069" s="11"/>
      <c r="G4069" s="11"/>
      <c r="H4069" s="11"/>
      <c r="I4069" s="11"/>
    </row>
    <row r="4070" spans="2:9" x14ac:dyDescent="0.2">
      <c r="B4070" s="11"/>
      <c r="C4070" s="11"/>
      <c r="D4070" s="11"/>
      <c r="E4070" s="11"/>
      <c r="F4070" s="11"/>
      <c r="G4070" s="11"/>
      <c r="H4070" s="11"/>
      <c r="I4070" s="11"/>
    </row>
    <row r="4071" spans="2:9" x14ac:dyDescent="0.2">
      <c r="B4071" s="11"/>
      <c r="C4071" s="11"/>
      <c r="D4071" s="11"/>
      <c r="E4071" s="11"/>
      <c r="F4071" s="11"/>
      <c r="G4071" s="11"/>
      <c r="H4071" s="11"/>
      <c r="I4071" s="11"/>
    </row>
    <row r="4072" spans="2:9" x14ac:dyDescent="0.2">
      <c r="B4072" s="11"/>
      <c r="C4072" s="11"/>
      <c r="D4072" s="11"/>
      <c r="E4072" s="11"/>
      <c r="F4072" s="11"/>
      <c r="G4072" s="11"/>
      <c r="H4072" s="11"/>
      <c r="I4072" s="11"/>
    </row>
    <row r="4073" spans="2:9" x14ac:dyDescent="0.2">
      <c r="B4073" s="11"/>
      <c r="C4073" s="11"/>
      <c r="D4073" s="11"/>
      <c r="E4073" s="11"/>
      <c r="F4073" s="11"/>
      <c r="G4073" s="11"/>
      <c r="H4073" s="11"/>
      <c r="I4073" s="11"/>
    </row>
    <row r="4074" spans="2:9" x14ac:dyDescent="0.2">
      <c r="B4074" s="11"/>
      <c r="C4074" s="11"/>
      <c r="D4074" s="11"/>
      <c r="E4074" s="11"/>
      <c r="F4074" s="11"/>
      <c r="G4074" s="11"/>
      <c r="H4074" s="11"/>
      <c r="I4074" s="11"/>
    </row>
    <row r="4075" spans="2:9" x14ac:dyDescent="0.2">
      <c r="B4075" s="11"/>
      <c r="C4075" s="11"/>
      <c r="D4075" s="11"/>
      <c r="E4075" s="11"/>
      <c r="F4075" s="11"/>
      <c r="G4075" s="11"/>
      <c r="H4075" s="11"/>
      <c r="I4075" s="11"/>
    </row>
    <row r="4076" spans="2:9" x14ac:dyDescent="0.2">
      <c r="B4076" s="11"/>
      <c r="C4076" s="11"/>
      <c r="D4076" s="11"/>
      <c r="E4076" s="11"/>
      <c r="F4076" s="11"/>
      <c r="G4076" s="11"/>
      <c r="H4076" s="11"/>
      <c r="I4076" s="11"/>
    </row>
    <row r="4077" spans="2:9" x14ac:dyDescent="0.2">
      <c r="B4077" s="11"/>
      <c r="C4077" s="11"/>
      <c r="D4077" s="11"/>
      <c r="E4077" s="11"/>
      <c r="F4077" s="11"/>
      <c r="G4077" s="11"/>
      <c r="H4077" s="11"/>
      <c r="I4077" s="11"/>
    </row>
    <row r="4078" spans="2:9" x14ac:dyDescent="0.2">
      <c r="B4078" s="11"/>
      <c r="C4078" s="11"/>
      <c r="D4078" s="11"/>
      <c r="E4078" s="11"/>
      <c r="F4078" s="11"/>
      <c r="G4078" s="11"/>
      <c r="H4078" s="11"/>
      <c r="I4078" s="11"/>
    </row>
    <row r="4079" spans="2:9" x14ac:dyDescent="0.2">
      <c r="B4079" s="11"/>
      <c r="C4079" s="11"/>
      <c r="D4079" s="11"/>
      <c r="E4079" s="11"/>
      <c r="F4079" s="11"/>
      <c r="G4079" s="11"/>
      <c r="H4079" s="11"/>
      <c r="I4079" s="11"/>
    </row>
    <row r="4080" spans="2:9" x14ac:dyDescent="0.2">
      <c r="B4080" s="11"/>
      <c r="C4080" s="11"/>
      <c r="D4080" s="11"/>
      <c r="E4080" s="11"/>
      <c r="F4080" s="11"/>
      <c r="G4080" s="11"/>
      <c r="H4080" s="11"/>
      <c r="I4080" s="11"/>
    </row>
    <row r="4081" spans="2:9" x14ac:dyDescent="0.2">
      <c r="B4081" s="11"/>
      <c r="C4081" s="11"/>
      <c r="D4081" s="11"/>
      <c r="E4081" s="11"/>
      <c r="F4081" s="11"/>
      <c r="G4081" s="11"/>
      <c r="H4081" s="11"/>
      <c r="I4081" s="11"/>
    </row>
    <row r="4082" spans="2:9" x14ac:dyDescent="0.2">
      <c r="B4082" s="11"/>
      <c r="C4082" s="11"/>
      <c r="D4082" s="11"/>
      <c r="E4082" s="11"/>
      <c r="F4082" s="11"/>
      <c r="G4082" s="11"/>
      <c r="H4082" s="11"/>
      <c r="I4082" s="11"/>
    </row>
    <row r="4083" spans="2:9" x14ac:dyDescent="0.2">
      <c r="B4083" s="11"/>
      <c r="C4083" s="11"/>
      <c r="D4083" s="11"/>
      <c r="E4083" s="11"/>
      <c r="F4083" s="11"/>
      <c r="G4083" s="11"/>
      <c r="H4083" s="11"/>
      <c r="I4083" s="11"/>
    </row>
    <row r="4084" spans="2:9" x14ac:dyDescent="0.2">
      <c r="B4084" s="11"/>
      <c r="C4084" s="11"/>
      <c r="D4084" s="11"/>
      <c r="E4084" s="11"/>
      <c r="F4084" s="11"/>
      <c r="G4084" s="11"/>
      <c r="H4084" s="11"/>
      <c r="I4084" s="11"/>
    </row>
    <row r="4085" spans="2:9" x14ac:dyDescent="0.2">
      <c r="B4085" s="11"/>
      <c r="C4085" s="11"/>
      <c r="D4085" s="11"/>
      <c r="E4085" s="11"/>
      <c r="F4085" s="11"/>
      <c r="G4085" s="11"/>
      <c r="H4085" s="11"/>
      <c r="I4085" s="11"/>
    </row>
    <row r="4086" spans="2:9" x14ac:dyDescent="0.2">
      <c r="B4086" s="11"/>
      <c r="C4086" s="11"/>
      <c r="D4086" s="11"/>
      <c r="E4086" s="11"/>
      <c r="F4086" s="11"/>
      <c r="G4086" s="11"/>
      <c r="H4086" s="11"/>
      <c r="I4086" s="11"/>
    </row>
    <row r="4087" spans="2:9" x14ac:dyDescent="0.2">
      <c r="B4087" s="11"/>
      <c r="C4087" s="11"/>
      <c r="D4087" s="11"/>
      <c r="E4087" s="11"/>
      <c r="F4087" s="11"/>
      <c r="G4087" s="11"/>
      <c r="H4087" s="11"/>
      <c r="I4087" s="11"/>
    </row>
    <row r="4088" spans="2:9" x14ac:dyDescent="0.2">
      <c r="B4088" s="11"/>
      <c r="C4088" s="11"/>
      <c r="D4088" s="11"/>
      <c r="E4088" s="11"/>
      <c r="F4088" s="11"/>
      <c r="G4088" s="11"/>
      <c r="H4088" s="11"/>
      <c r="I4088" s="11"/>
    </row>
    <row r="4089" spans="2:9" x14ac:dyDescent="0.2">
      <c r="B4089" s="11"/>
      <c r="C4089" s="11"/>
      <c r="D4089" s="11"/>
      <c r="E4089" s="11"/>
      <c r="F4089" s="11"/>
      <c r="G4089" s="11"/>
      <c r="H4089" s="11"/>
      <c r="I4089" s="11"/>
    </row>
    <row r="4090" spans="2:9" x14ac:dyDescent="0.2">
      <c r="B4090" s="11"/>
      <c r="C4090" s="11"/>
      <c r="D4090" s="11"/>
      <c r="E4090" s="11"/>
      <c r="F4090" s="11"/>
      <c r="G4090" s="11"/>
      <c r="H4090" s="11"/>
      <c r="I4090" s="11"/>
    </row>
    <row r="4091" spans="2:9" x14ac:dyDescent="0.2">
      <c r="B4091" s="11"/>
      <c r="C4091" s="11"/>
      <c r="D4091" s="11"/>
      <c r="E4091" s="11"/>
      <c r="F4091" s="11"/>
      <c r="G4091" s="11"/>
      <c r="H4091" s="11"/>
      <c r="I4091" s="11"/>
    </row>
    <row r="4092" spans="2:9" x14ac:dyDescent="0.2">
      <c r="B4092" s="11"/>
      <c r="C4092" s="11"/>
      <c r="D4092" s="11"/>
      <c r="E4092" s="11"/>
      <c r="F4092" s="11"/>
      <c r="G4092" s="11"/>
      <c r="H4092" s="11"/>
      <c r="I4092" s="11"/>
    </row>
    <row r="4093" spans="2:9" x14ac:dyDescent="0.2">
      <c r="B4093" s="11"/>
      <c r="C4093" s="11"/>
      <c r="D4093" s="11"/>
      <c r="E4093" s="11"/>
      <c r="F4093" s="11"/>
      <c r="G4093" s="11"/>
      <c r="H4093" s="11"/>
      <c r="I4093" s="11"/>
    </row>
    <row r="4094" spans="2:9" x14ac:dyDescent="0.2">
      <c r="B4094" s="11"/>
      <c r="C4094" s="11"/>
      <c r="D4094" s="11"/>
      <c r="E4094" s="11"/>
      <c r="F4094" s="11"/>
      <c r="G4094" s="11"/>
      <c r="H4094" s="11"/>
      <c r="I4094" s="11"/>
    </row>
    <row r="4095" spans="2:9" x14ac:dyDescent="0.2">
      <c r="B4095" s="11"/>
      <c r="C4095" s="11"/>
      <c r="D4095" s="11"/>
      <c r="E4095" s="11"/>
      <c r="F4095" s="11"/>
      <c r="G4095" s="11"/>
      <c r="H4095" s="11"/>
      <c r="I4095" s="11"/>
    </row>
    <row r="4096" spans="2:9" x14ac:dyDescent="0.2">
      <c r="B4096" s="11"/>
      <c r="C4096" s="11"/>
      <c r="D4096" s="11"/>
      <c r="E4096" s="11"/>
      <c r="F4096" s="11"/>
      <c r="G4096" s="11"/>
      <c r="H4096" s="11"/>
      <c r="I4096" s="11"/>
    </row>
    <row r="4097" spans="2:9" x14ac:dyDescent="0.2">
      <c r="B4097" s="11"/>
      <c r="C4097" s="11"/>
      <c r="D4097" s="11"/>
      <c r="E4097" s="11"/>
      <c r="F4097" s="11"/>
      <c r="G4097" s="11"/>
      <c r="H4097" s="11"/>
      <c r="I4097" s="11"/>
    </row>
    <row r="4098" spans="2:9" x14ac:dyDescent="0.2">
      <c r="B4098" s="11"/>
      <c r="C4098" s="11"/>
      <c r="D4098" s="11"/>
      <c r="E4098" s="11"/>
      <c r="F4098" s="11"/>
      <c r="G4098" s="11"/>
      <c r="H4098" s="11"/>
      <c r="I4098" s="11"/>
    </row>
    <row r="4099" spans="2:9" x14ac:dyDescent="0.2">
      <c r="B4099" s="11"/>
      <c r="C4099" s="11"/>
      <c r="D4099" s="11"/>
      <c r="E4099" s="11"/>
      <c r="F4099" s="11"/>
      <c r="G4099" s="11"/>
      <c r="H4099" s="11"/>
      <c r="I4099" s="11"/>
    </row>
    <row r="4100" spans="2:9" x14ac:dyDescent="0.2">
      <c r="B4100" s="11"/>
      <c r="C4100" s="11"/>
      <c r="D4100" s="11"/>
      <c r="E4100" s="11"/>
      <c r="F4100" s="11"/>
      <c r="G4100" s="11"/>
      <c r="H4100" s="11"/>
      <c r="I4100" s="11"/>
    </row>
    <row r="4101" spans="2:9" x14ac:dyDescent="0.2">
      <c r="B4101" s="11"/>
      <c r="C4101" s="11"/>
      <c r="D4101" s="11"/>
      <c r="E4101" s="11"/>
      <c r="F4101" s="11"/>
      <c r="G4101" s="11"/>
      <c r="H4101" s="11"/>
      <c r="I4101" s="11"/>
    </row>
    <row r="4102" spans="2:9" x14ac:dyDescent="0.2">
      <c r="B4102" s="11"/>
      <c r="C4102" s="11"/>
      <c r="D4102" s="11"/>
      <c r="E4102" s="11"/>
      <c r="F4102" s="11"/>
      <c r="G4102" s="11"/>
      <c r="H4102" s="11"/>
      <c r="I4102" s="11"/>
    </row>
    <row r="4103" spans="2:9" x14ac:dyDescent="0.2">
      <c r="B4103" s="11"/>
      <c r="C4103" s="11"/>
      <c r="D4103" s="11"/>
      <c r="E4103" s="11"/>
      <c r="F4103" s="11"/>
      <c r="G4103" s="11"/>
      <c r="H4103" s="11"/>
      <c r="I4103" s="11"/>
    </row>
    <row r="4104" spans="2:9" x14ac:dyDescent="0.2">
      <c r="B4104" s="11"/>
      <c r="C4104" s="11"/>
      <c r="D4104" s="11"/>
      <c r="E4104" s="11"/>
      <c r="F4104" s="11"/>
      <c r="G4104" s="11"/>
      <c r="H4104" s="11"/>
      <c r="I4104" s="11"/>
    </row>
    <row r="4105" spans="2:9" x14ac:dyDescent="0.2">
      <c r="B4105" s="11"/>
      <c r="C4105" s="11"/>
      <c r="D4105" s="11"/>
      <c r="E4105" s="11"/>
      <c r="F4105" s="11"/>
      <c r="G4105" s="11"/>
      <c r="H4105" s="11"/>
      <c r="I4105" s="11"/>
    </row>
    <row r="4106" spans="2:9" x14ac:dyDescent="0.2">
      <c r="B4106" s="11"/>
      <c r="C4106" s="11"/>
      <c r="D4106" s="11"/>
      <c r="E4106" s="11"/>
      <c r="F4106" s="11"/>
      <c r="G4106" s="11"/>
      <c r="H4106" s="11"/>
      <c r="I4106" s="11"/>
    </row>
    <row r="4107" spans="2:9" x14ac:dyDescent="0.2">
      <c r="B4107" s="11"/>
      <c r="C4107" s="11"/>
      <c r="D4107" s="11"/>
      <c r="E4107" s="11"/>
      <c r="F4107" s="11"/>
      <c r="G4107" s="11"/>
      <c r="H4107" s="11"/>
      <c r="I4107" s="11"/>
    </row>
    <row r="4108" spans="2:9" x14ac:dyDescent="0.2">
      <c r="B4108" s="11"/>
      <c r="C4108" s="11"/>
      <c r="D4108" s="11"/>
      <c r="E4108" s="11"/>
      <c r="F4108" s="11"/>
      <c r="G4108" s="11"/>
      <c r="H4108" s="11"/>
      <c r="I4108" s="11"/>
    </row>
    <row r="4109" spans="2:9" x14ac:dyDescent="0.2">
      <c r="B4109" s="11"/>
      <c r="C4109" s="11"/>
      <c r="D4109" s="11"/>
      <c r="E4109" s="11"/>
      <c r="F4109" s="11"/>
      <c r="G4109" s="11"/>
      <c r="H4109" s="11"/>
      <c r="I4109" s="11"/>
    </row>
    <row r="4110" spans="2:9" x14ac:dyDescent="0.2">
      <c r="B4110" s="11"/>
      <c r="C4110" s="11"/>
      <c r="D4110" s="11"/>
      <c r="E4110" s="11"/>
      <c r="F4110" s="11"/>
      <c r="G4110" s="11"/>
      <c r="H4110" s="11"/>
      <c r="I4110" s="11"/>
    </row>
    <row r="4111" spans="2:9" x14ac:dyDescent="0.2">
      <c r="B4111" s="11"/>
      <c r="C4111" s="11"/>
      <c r="D4111" s="11"/>
      <c r="E4111" s="11"/>
      <c r="F4111" s="11"/>
      <c r="G4111" s="11"/>
      <c r="H4111" s="11"/>
      <c r="I4111" s="11"/>
    </row>
    <row r="4112" spans="2:9" x14ac:dyDescent="0.2">
      <c r="B4112" s="11"/>
      <c r="C4112" s="11"/>
      <c r="D4112" s="11"/>
      <c r="E4112" s="11"/>
      <c r="F4112" s="11"/>
      <c r="G4112" s="11"/>
      <c r="H4112" s="11"/>
      <c r="I4112" s="11"/>
    </row>
    <row r="4113" spans="2:9" x14ac:dyDescent="0.2">
      <c r="B4113" s="11"/>
      <c r="C4113" s="11"/>
      <c r="D4113" s="11"/>
      <c r="E4113" s="11"/>
      <c r="F4113" s="11"/>
      <c r="G4113" s="11"/>
      <c r="H4113" s="11"/>
      <c r="I4113" s="11"/>
    </row>
    <row r="4114" spans="2:9" x14ac:dyDescent="0.2">
      <c r="B4114" s="11"/>
      <c r="C4114" s="11"/>
      <c r="D4114" s="11"/>
      <c r="E4114" s="11"/>
      <c r="F4114" s="11"/>
      <c r="G4114" s="11"/>
      <c r="H4114" s="11"/>
      <c r="I4114" s="11"/>
    </row>
    <row r="4115" spans="2:9" x14ac:dyDescent="0.2">
      <c r="B4115" s="11"/>
      <c r="C4115" s="11"/>
      <c r="D4115" s="11"/>
      <c r="E4115" s="11"/>
      <c r="F4115" s="11"/>
      <c r="G4115" s="11"/>
      <c r="H4115" s="11"/>
      <c r="I4115" s="11"/>
    </row>
    <row r="4116" spans="2:9" x14ac:dyDescent="0.2">
      <c r="B4116" s="11"/>
      <c r="C4116" s="11"/>
      <c r="D4116" s="11"/>
      <c r="E4116" s="11"/>
      <c r="F4116" s="11"/>
      <c r="G4116" s="11"/>
      <c r="H4116" s="11"/>
      <c r="I4116" s="11"/>
    </row>
    <row r="4117" spans="2:9" x14ac:dyDescent="0.2">
      <c r="B4117" s="11"/>
      <c r="C4117" s="11"/>
      <c r="D4117" s="11"/>
      <c r="E4117" s="11"/>
      <c r="F4117" s="11"/>
      <c r="G4117" s="11"/>
      <c r="H4117" s="11"/>
      <c r="I4117" s="11"/>
    </row>
    <row r="4118" spans="2:9" x14ac:dyDescent="0.2">
      <c r="B4118" s="11"/>
      <c r="C4118" s="11"/>
      <c r="D4118" s="11"/>
      <c r="E4118" s="11"/>
      <c r="F4118" s="11"/>
      <c r="G4118" s="11"/>
      <c r="H4118" s="11"/>
      <c r="I4118" s="11"/>
    </row>
    <row r="4119" spans="2:9" x14ac:dyDescent="0.2">
      <c r="B4119" s="11"/>
      <c r="C4119" s="11"/>
      <c r="D4119" s="11"/>
      <c r="E4119" s="11"/>
      <c r="F4119" s="11"/>
      <c r="G4119" s="11"/>
      <c r="H4119" s="11"/>
      <c r="I4119" s="11"/>
    </row>
    <row r="4120" spans="2:9" x14ac:dyDescent="0.2">
      <c r="B4120" s="11"/>
      <c r="C4120" s="11"/>
      <c r="D4120" s="11"/>
      <c r="E4120" s="11"/>
      <c r="F4120" s="11"/>
      <c r="G4120" s="11"/>
      <c r="H4120" s="11"/>
      <c r="I4120" s="11"/>
    </row>
    <row r="4121" spans="2:9" x14ac:dyDescent="0.2">
      <c r="B4121" s="11"/>
      <c r="C4121" s="11"/>
      <c r="D4121" s="11"/>
      <c r="E4121" s="11"/>
      <c r="F4121" s="11"/>
      <c r="G4121" s="11"/>
      <c r="H4121" s="11"/>
      <c r="I4121" s="11"/>
    </row>
    <row r="4122" spans="2:9" x14ac:dyDescent="0.2">
      <c r="B4122" s="11"/>
      <c r="C4122" s="11"/>
      <c r="D4122" s="11"/>
      <c r="E4122" s="11"/>
      <c r="F4122" s="11"/>
      <c r="G4122" s="11"/>
      <c r="H4122" s="11"/>
      <c r="I4122" s="11"/>
    </row>
    <row r="4123" spans="2:9" x14ac:dyDescent="0.2">
      <c r="B4123" s="11"/>
      <c r="C4123" s="11"/>
      <c r="D4123" s="11"/>
      <c r="E4123" s="11"/>
      <c r="F4123" s="11"/>
      <c r="G4123" s="11"/>
      <c r="H4123" s="11"/>
      <c r="I4123" s="11"/>
    </row>
    <row r="4124" spans="2:9" x14ac:dyDescent="0.2">
      <c r="B4124" s="11"/>
      <c r="C4124" s="11"/>
      <c r="D4124" s="11"/>
      <c r="E4124" s="11"/>
      <c r="F4124" s="11"/>
      <c r="G4124" s="11"/>
      <c r="H4124" s="11"/>
      <c r="I4124" s="11"/>
    </row>
    <row r="4125" spans="2:9" x14ac:dyDescent="0.2">
      <c r="B4125" s="11"/>
      <c r="C4125" s="11"/>
      <c r="D4125" s="11"/>
      <c r="E4125" s="11"/>
      <c r="F4125" s="11"/>
      <c r="G4125" s="11"/>
      <c r="H4125" s="11"/>
      <c r="I4125" s="11"/>
    </row>
    <row r="4126" spans="2:9" x14ac:dyDescent="0.2">
      <c r="B4126" s="11"/>
      <c r="C4126" s="11"/>
      <c r="D4126" s="11"/>
      <c r="E4126" s="11"/>
      <c r="F4126" s="11"/>
      <c r="G4126" s="11"/>
      <c r="H4126" s="11"/>
      <c r="I4126" s="11"/>
    </row>
    <row r="4127" spans="2:9" x14ac:dyDescent="0.2">
      <c r="B4127" s="11"/>
      <c r="C4127" s="11"/>
      <c r="D4127" s="11"/>
      <c r="E4127" s="11"/>
      <c r="F4127" s="11"/>
      <c r="G4127" s="11"/>
      <c r="H4127" s="11"/>
      <c r="I4127" s="11"/>
    </row>
    <row r="4128" spans="2:9" x14ac:dyDescent="0.2">
      <c r="B4128" s="11"/>
      <c r="C4128" s="11"/>
      <c r="D4128" s="11"/>
      <c r="E4128" s="11"/>
      <c r="F4128" s="11"/>
      <c r="G4128" s="11"/>
      <c r="H4128" s="11"/>
      <c r="I4128" s="11"/>
    </row>
    <row r="4129" spans="2:9" x14ac:dyDescent="0.2">
      <c r="B4129" s="11"/>
      <c r="C4129" s="11"/>
      <c r="D4129" s="11"/>
      <c r="E4129" s="11"/>
      <c r="F4129" s="11"/>
      <c r="G4129" s="11"/>
      <c r="H4129" s="11"/>
      <c r="I4129" s="11"/>
    </row>
    <row r="4130" spans="2:9" x14ac:dyDescent="0.2">
      <c r="B4130" s="11"/>
      <c r="C4130" s="11"/>
      <c r="D4130" s="11"/>
      <c r="E4130" s="11"/>
      <c r="F4130" s="11"/>
      <c r="G4130" s="11"/>
      <c r="H4130" s="11"/>
      <c r="I4130" s="11"/>
    </row>
    <row r="4131" spans="2:9" x14ac:dyDescent="0.2">
      <c r="B4131" s="11"/>
      <c r="C4131" s="11"/>
      <c r="D4131" s="11"/>
      <c r="E4131" s="11"/>
      <c r="F4131" s="11"/>
      <c r="G4131" s="11"/>
      <c r="H4131" s="11"/>
      <c r="I4131" s="11"/>
    </row>
    <row r="4132" spans="2:9" x14ac:dyDescent="0.2">
      <c r="B4132" s="11"/>
      <c r="C4132" s="11"/>
      <c r="D4132" s="11"/>
      <c r="E4132" s="11"/>
      <c r="F4132" s="11"/>
      <c r="G4132" s="11"/>
      <c r="H4132" s="11"/>
      <c r="I4132" s="11"/>
    </row>
    <row r="4133" spans="2:9" x14ac:dyDescent="0.2">
      <c r="B4133" s="11"/>
      <c r="C4133" s="11"/>
      <c r="D4133" s="11"/>
      <c r="E4133" s="11"/>
      <c r="F4133" s="11"/>
      <c r="G4133" s="11"/>
      <c r="H4133" s="11"/>
      <c r="I4133" s="11"/>
    </row>
    <row r="4134" spans="2:9" x14ac:dyDescent="0.2">
      <c r="B4134" s="11"/>
      <c r="C4134" s="11"/>
      <c r="D4134" s="11"/>
      <c r="E4134" s="11"/>
      <c r="F4134" s="11"/>
      <c r="G4134" s="11"/>
      <c r="H4134" s="11"/>
      <c r="I4134" s="11"/>
    </row>
    <row r="4135" spans="2:9" x14ac:dyDescent="0.2">
      <c r="B4135" s="11"/>
      <c r="C4135" s="11"/>
      <c r="D4135" s="11"/>
      <c r="E4135" s="11"/>
      <c r="F4135" s="11"/>
      <c r="G4135" s="11"/>
      <c r="H4135" s="11"/>
      <c r="I4135" s="11"/>
    </row>
    <row r="4136" spans="2:9" x14ac:dyDescent="0.2">
      <c r="B4136" s="11"/>
      <c r="C4136" s="11"/>
      <c r="D4136" s="11"/>
      <c r="E4136" s="11"/>
      <c r="F4136" s="11"/>
      <c r="G4136" s="11"/>
      <c r="H4136" s="11"/>
      <c r="I4136" s="11"/>
    </row>
    <row r="4137" spans="2:9" x14ac:dyDescent="0.2">
      <c r="B4137" s="11"/>
      <c r="C4137" s="11"/>
      <c r="D4137" s="11"/>
      <c r="E4137" s="11"/>
      <c r="F4137" s="11"/>
      <c r="G4137" s="11"/>
      <c r="H4137" s="11"/>
      <c r="I4137" s="11"/>
    </row>
    <row r="4138" spans="2:9" x14ac:dyDescent="0.2">
      <c r="B4138" s="11"/>
      <c r="C4138" s="11"/>
      <c r="D4138" s="11"/>
      <c r="E4138" s="11"/>
      <c r="F4138" s="11"/>
      <c r="G4138" s="11"/>
      <c r="H4138" s="11"/>
      <c r="I4138" s="11"/>
    </row>
    <row r="4139" spans="2:9" x14ac:dyDescent="0.2">
      <c r="B4139" s="11"/>
      <c r="C4139" s="11"/>
      <c r="D4139" s="11"/>
      <c r="E4139" s="11"/>
      <c r="F4139" s="11"/>
      <c r="G4139" s="11"/>
      <c r="H4139" s="11"/>
      <c r="I4139" s="11"/>
    </row>
    <row r="4140" spans="2:9" x14ac:dyDescent="0.2">
      <c r="B4140" s="11"/>
      <c r="C4140" s="11"/>
      <c r="D4140" s="11"/>
      <c r="E4140" s="11"/>
      <c r="F4140" s="11"/>
      <c r="G4140" s="11"/>
      <c r="H4140" s="11"/>
      <c r="I4140" s="11"/>
    </row>
    <row r="4141" spans="2:9" x14ac:dyDescent="0.2">
      <c r="B4141" s="11"/>
      <c r="C4141" s="11"/>
      <c r="D4141" s="11"/>
      <c r="E4141" s="11"/>
      <c r="F4141" s="11"/>
      <c r="G4141" s="11"/>
      <c r="H4141" s="11"/>
      <c r="I4141" s="11"/>
    </row>
    <row r="4142" spans="2:9" x14ac:dyDescent="0.2">
      <c r="B4142" s="11"/>
      <c r="C4142" s="11"/>
      <c r="D4142" s="11"/>
      <c r="E4142" s="11"/>
      <c r="F4142" s="11"/>
      <c r="G4142" s="11"/>
      <c r="H4142" s="11"/>
      <c r="I4142" s="11"/>
    </row>
    <row r="4143" spans="2:9" x14ac:dyDescent="0.2">
      <c r="B4143" s="11"/>
      <c r="C4143" s="11"/>
      <c r="D4143" s="11"/>
      <c r="E4143" s="11"/>
      <c r="F4143" s="11"/>
      <c r="G4143" s="11"/>
      <c r="H4143" s="11"/>
      <c r="I4143" s="11"/>
    </row>
    <row r="4144" spans="2:9" x14ac:dyDescent="0.2">
      <c r="B4144" s="11"/>
      <c r="C4144" s="11"/>
      <c r="D4144" s="11"/>
      <c r="E4144" s="11"/>
      <c r="F4144" s="11"/>
      <c r="G4144" s="11"/>
      <c r="H4144" s="11"/>
      <c r="I4144" s="11"/>
    </row>
    <row r="4145" spans="2:9" x14ac:dyDescent="0.2">
      <c r="B4145" s="11"/>
      <c r="C4145" s="11"/>
      <c r="D4145" s="11"/>
      <c r="E4145" s="11"/>
      <c r="F4145" s="11"/>
      <c r="G4145" s="11"/>
      <c r="H4145" s="11"/>
      <c r="I4145" s="11"/>
    </row>
    <row r="4146" spans="2:9" x14ac:dyDescent="0.2">
      <c r="B4146" s="11"/>
      <c r="C4146" s="11"/>
      <c r="D4146" s="11"/>
      <c r="E4146" s="11"/>
      <c r="F4146" s="11"/>
      <c r="G4146" s="11"/>
      <c r="H4146" s="11"/>
      <c r="I4146" s="11"/>
    </row>
    <row r="4147" spans="2:9" x14ac:dyDescent="0.2">
      <c r="B4147" s="11"/>
      <c r="C4147" s="11"/>
      <c r="D4147" s="11"/>
      <c r="E4147" s="11"/>
      <c r="F4147" s="11"/>
      <c r="G4147" s="11"/>
      <c r="H4147" s="11"/>
      <c r="I4147" s="11"/>
    </row>
    <row r="4148" spans="2:9" x14ac:dyDescent="0.2">
      <c r="B4148" s="11"/>
      <c r="C4148" s="11"/>
      <c r="D4148" s="11"/>
      <c r="E4148" s="11"/>
      <c r="F4148" s="11"/>
      <c r="G4148" s="11"/>
      <c r="H4148" s="11"/>
      <c r="I4148" s="11"/>
    </row>
    <row r="4149" spans="2:9" x14ac:dyDescent="0.2">
      <c r="B4149" s="11"/>
      <c r="C4149" s="11"/>
      <c r="D4149" s="11"/>
      <c r="E4149" s="11"/>
      <c r="F4149" s="11"/>
      <c r="G4149" s="11"/>
      <c r="H4149" s="11"/>
      <c r="I4149" s="11"/>
    </row>
    <row r="4150" spans="2:9" x14ac:dyDescent="0.2">
      <c r="B4150" s="11"/>
      <c r="C4150" s="11"/>
      <c r="D4150" s="11"/>
      <c r="E4150" s="11"/>
      <c r="F4150" s="11"/>
      <c r="G4150" s="11"/>
      <c r="H4150" s="11"/>
      <c r="I4150" s="11"/>
    </row>
    <row r="4151" spans="2:9" x14ac:dyDescent="0.2">
      <c r="B4151" s="11"/>
      <c r="C4151" s="11"/>
      <c r="D4151" s="11"/>
      <c r="E4151" s="11"/>
      <c r="F4151" s="11"/>
      <c r="G4151" s="11"/>
      <c r="H4151" s="11"/>
      <c r="I4151" s="11"/>
    </row>
    <row r="4152" spans="2:9" x14ac:dyDescent="0.2">
      <c r="B4152" s="11"/>
      <c r="C4152" s="11"/>
      <c r="D4152" s="11"/>
      <c r="E4152" s="11"/>
      <c r="F4152" s="11"/>
      <c r="G4152" s="11"/>
      <c r="H4152" s="11"/>
      <c r="I4152" s="11"/>
    </row>
    <row r="4153" spans="2:9" x14ac:dyDescent="0.2">
      <c r="B4153" s="11"/>
      <c r="C4153" s="11"/>
      <c r="D4153" s="11"/>
      <c r="E4153" s="11"/>
      <c r="F4153" s="11"/>
      <c r="G4153" s="11"/>
      <c r="H4153" s="11"/>
      <c r="I4153" s="11"/>
    </row>
    <row r="4154" spans="2:9" x14ac:dyDescent="0.2">
      <c r="B4154" s="11"/>
      <c r="C4154" s="11"/>
      <c r="D4154" s="11"/>
      <c r="E4154" s="11"/>
      <c r="F4154" s="11"/>
      <c r="G4154" s="11"/>
      <c r="H4154" s="11"/>
      <c r="I4154" s="11"/>
    </row>
    <row r="4155" spans="2:9" x14ac:dyDescent="0.2">
      <c r="B4155" s="11"/>
      <c r="C4155" s="11"/>
      <c r="D4155" s="11"/>
      <c r="E4155" s="11"/>
      <c r="F4155" s="11"/>
      <c r="G4155" s="11"/>
      <c r="H4155" s="11"/>
      <c r="I4155" s="11"/>
    </row>
    <row r="4156" spans="2:9" x14ac:dyDescent="0.2">
      <c r="B4156" s="11"/>
      <c r="C4156" s="11"/>
      <c r="D4156" s="11"/>
      <c r="E4156" s="11"/>
      <c r="F4156" s="11"/>
      <c r="G4156" s="11"/>
      <c r="H4156" s="11"/>
      <c r="I4156" s="11"/>
    </row>
    <row r="4157" spans="2:9" x14ac:dyDescent="0.2">
      <c r="B4157" s="11"/>
      <c r="C4157" s="11"/>
      <c r="D4157" s="11"/>
      <c r="E4157" s="11"/>
      <c r="F4157" s="11"/>
      <c r="G4157" s="11"/>
      <c r="H4157" s="11"/>
      <c r="I4157" s="11"/>
    </row>
    <row r="4158" spans="2:9" x14ac:dyDescent="0.2">
      <c r="B4158" s="11"/>
      <c r="C4158" s="11"/>
      <c r="D4158" s="11"/>
      <c r="E4158" s="11"/>
      <c r="F4158" s="11"/>
      <c r="G4158" s="11"/>
      <c r="H4158" s="11"/>
      <c r="I4158" s="11"/>
    </row>
    <row r="4159" spans="2:9" x14ac:dyDescent="0.2">
      <c r="B4159" s="11"/>
      <c r="C4159" s="11"/>
      <c r="D4159" s="11"/>
      <c r="E4159" s="11"/>
      <c r="F4159" s="11"/>
      <c r="G4159" s="11"/>
      <c r="H4159" s="11"/>
      <c r="I4159" s="11"/>
    </row>
    <row r="4160" spans="2:9" x14ac:dyDescent="0.2">
      <c r="B4160" s="11"/>
      <c r="C4160" s="11"/>
      <c r="D4160" s="11"/>
      <c r="E4160" s="11"/>
      <c r="F4160" s="11"/>
      <c r="G4160" s="11"/>
      <c r="H4160" s="11"/>
      <c r="I4160" s="11"/>
    </row>
    <row r="4161" spans="2:9" x14ac:dyDescent="0.2">
      <c r="B4161" s="11"/>
      <c r="C4161" s="11"/>
      <c r="D4161" s="11"/>
      <c r="E4161" s="11"/>
      <c r="F4161" s="11"/>
      <c r="G4161" s="11"/>
      <c r="H4161" s="11"/>
      <c r="I4161" s="11"/>
    </row>
    <row r="4162" spans="2:9" x14ac:dyDescent="0.2">
      <c r="B4162" s="11"/>
      <c r="C4162" s="11"/>
      <c r="D4162" s="11"/>
      <c r="E4162" s="11"/>
      <c r="F4162" s="11"/>
      <c r="G4162" s="11"/>
      <c r="H4162" s="11"/>
      <c r="I4162" s="11"/>
    </row>
    <row r="4163" spans="2:9" x14ac:dyDescent="0.2">
      <c r="B4163" s="11"/>
      <c r="C4163" s="11"/>
      <c r="D4163" s="11"/>
      <c r="E4163" s="11"/>
      <c r="F4163" s="11"/>
      <c r="G4163" s="11"/>
      <c r="H4163" s="11"/>
      <c r="I4163" s="11"/>
    </row>
    <row r="4164" spans="2:9" x14ac:dyDescent="0.2">
      <c r="B4164" s="11"/>
      <c r="C4164" s="11"/>
      <c r="D4164" s="11"/>
      <c r="E4164" s="11"/>
      <c r="F4164" s="11"/>
      <c r="G4164" s="11"/>
      <c r="H4164" s="11"/>
      <c r="I4164" s="11"/>
    </row>
    <row r="4165" spans="2:9" x14ac:dyDescent="0.2">
      <c r="B4165" s="11"/>
      <c r="C4165" s="11"/>
      <c r="D4165" s="11"/>
      <c r="E4165" s="11"/>
      <c r="F4165" s="11"/>
      <c r="G4165" s="11"/>
      <c r="H4165" s="11"/>
      <c r="I4165" s="11"/>
    </row>
    <row r="4166" spans="2:9" x14ac:dyDescent="0.2">
      <c r="B4166" s="11"/>
      <c r="C4166" s="11"/>
      <c r="D4166" s="11"/>
      <c r="E4166" s="11"/>
      <c r="F4166" s="11"/>
      <c r="G4166" s="11"/>
      <c r="H4166" s="11"/>
      <c r="I4166" s="11"/>
    </row>
    <row r="4167" spans="2:9" x14ac:dyDescent="0.2">
      <c r="B4167" s="11"/>
      <c r="C4167" s="11"/>
      <c r="D4167" s="11"/>
      <c r="E4167" s="11"/>
      <c r="F4167" s="11"/>
      <c r="G4167" s="11"/>
      <c r="H4167" s="11"/>
      <c r="I4167" s="11"/>
    </row>
    <row r="4168" spans="2:9" x14ac:dyDescent="0.2">
      <c r="B4168" s="11"/>
      <c r="C4168" s="11"/>
      <c r="D4168" s="11"/>
      <c r="E4168" s="11"/>
      <c r="F4168" s="11"/>
      <c r="G4168" s="11"/>
      <c r="H4168" s="11"/>
      <c r="I4168" s="11"/>
    </row>
    <row r="4169" spans="2:9" x14ac:dyDescent="0.2">
      <c r="B4169" s="11"/>
      <c r="C4169" s="11"/>
      <c r="D4169" s="11"/>
      <c r="E4169" s="11"/>
      <c r="F4169" s="11"/>
      <c r="G4169" s="11"/>
      <c r="H4169" s="11"/>
      <c r="I4169" s="11"/>
    </row>
    <row r="4170" spans="2:9" x14ac:dyDescent="0.2">
      <c r="B4170" s="11"/>
      <c r="C4170" s="11"/>
      <c r="D4170" s="11"/>
      <c r="E4170" s="11"/>
      <c r="F4170" s="11"/>
      <c r="G4170" s="11"/>
      <c r="H4170" s="11"/>
      <c r="I4170" s="11"/>
    </row>
    <row r="4171" spans="2:9" x14ac:dyDescent="0.2">
      <c r="B4171" s="11"/>
      <c r="C4171" s="11"/>
      <c r="D4171" s="11"/>
      <c r="E4171" s="11"/>
      <c r="F4171" s="11"/>
      <c r="G4171" s="11"/>
      <c r="H4171" s="11"/>
      <c r="I4171" s="11"/>
    </row>
    <row r="4172" spans="2:9" x14ac:dyDescent="0.2">
      <c r="B4172" s="11"/>
      <c r="C4172" s="11"/>
      <c r="D4172" s="11"/>
      <c r="E4172" s="11"/>
      <c r="F4172" s="11"/>
      <c r="G4172" s="11"/>
      <c r="H4172" s="11"/>
      <c r="I4172" s="11"/>
    </row>
    <row r="4173" spans="2:9" x14ac:dyDescent="0.2">
      <c r="B4173" s="11"/>
      <c r="C4173" s="11"/>
      <c r="D4173" s="11"/>
      <c r="E4173" s="11"/>
      <c r="F4173" s="11"/>
      <c r="G4173" s="11"/>
      <c r="H4173" s="11"/>
      <c r="I4173" s="11"/>
    </row>
    <row r="4174" spans="2:9" x14ac:dyDescent="0.2">
      <c r="B4174" s="11"/>
      <c r="C4174" s="11"/>
      <c r="D4174" s="11"/>
      <c r="E4174" s="11"/>
      <c r="F4174" s="11"/>
      <c r="G4174" s="11"/>
      <c r="H4174" s="11"/>
      <c r="I4174" s="11"/>
    </row>
    <row r="4175" spans="2:9" x14ac:dyDescent="0.2">
      <c r="B4175" s="11"/>
      <c r="C4175" s="11"/>
      <c r="D4175" s="11"/>
      <c r="E4175" s="11"/>
      <c r="F4175" s="11"/>
      <c r="G4175" s="11"/>
      <c r="H4175" s="11"/>
      <c r="I4175" s="11"/>
    </row>
    <row r="4176" spans="2:9" x14ac:dyDescent="0.2">
      <c r="B4176" s="11"/>
      <c r="C4176" s="11"/>
      <c r="D4176" s="11"/>
      <c r="E4176" s="11"/>
      <c r="F4176" s="11"/>
      <c r="G4176" s="11"/>
      <c r="H4176" s="11"/>
      <c r="I4176" s="11"/>
    </row>
    <row r="4177" spans="2:9" x14ac:dyDescent="0.2">
      <c r="B4177" s="11"/>
      <c r="C4177" s="11"/>
      <c r="D4177" s="11"/>
      <c r="E4177" s="11"/>
      <c r="F4177" s="11"/>
      <c r="G4177" s="11"/>
      <c r="H4177" s="11"/>
      <c r="I4177" s="11"/>
    </row>
    <row r="4178" spans="2:9" x14ac:dyDescent="0.2">
      <c r="B4178" s="11"/>
      <c r="C4178" s="11"/>
      <c r="D4178" s="11"/>
      <c r="E4178" s="11"/>
      <c r="F4178" s="11"/>
      <c r="G4178" s="11"/>
      <c r="H4178" s="11"/>
      <c r="I4178" s="11"/>
    </row>
    <row r="4179" spans="2:9" x14ac:dyDescent="0.2">
      <c r="B4179" s="11"/>
      <c r="C4179" s="11"/>
      <c r="D4179" s="11"/>
      <c r="E4179" s="11"/>
      <c r="F4179" s="11"/>
      <c r="G4179" s="11"/>
      <c r="H4179" s="11"/>
      <c r="I4179" s="11"/>
    </row>
    <row r="4180" spans="2:9" x14ac:dyDescent="0.2">
      <c r="B4180" s="11"/>
      <c r="C4180" s="11"/>
      <c r="D4180" s="11"/>
      <c r="E4180" s="11"/>
      <c r="F4180" s="11"/>
      <c r="G4180" s="11"/>
      <c r="H4180" s="11"/>
      <c r="I4180" s="11"/>
    </row>
    <row r="4181" spans="2:9" x14ac:dyDescent="0.2">
      <c r="B4181" s="11"/>
      <c r="C4181" s="11"/>
      <c r="D4181" s="11"/>
      <c r="E4181" s="11"/>
      <c r="F4181" s="11"/>
      <c r="G4181" s="11"/>
      <c r="H4181" s="11"/>
      <c r="I4181" s="11"/>
    </row>
    <row r="4182" spans="2:9" x14ac:dyDescent="0.2">
      <c r="B4182" s="11"/>
      <c r="C4182" s="11"/>
      <c r="D4182" s="11"/>
      <c r="E4182" s="11"/>
      <c r="F4182" s="11"/>
      <c r="G4182" s="11"/>
      <c r="H4182" s="11"/>
      <c r="I4182" s="11"/>
    </row>
    <row r="4183" spans="2:9" x14ac:dyDescent="0.2">
      <c r="B4183" s="11"/>
      <c r="C4183" s="11"/>
      <c r="D4183" s="11"/>
      <c r="E4183" s="11"/>
      <c r="F4183" s="11"/>
      <c r="G4183" s="11"/>
      <c r="H4183" s="11"/>
      <c r="I4183" s="11"/>
    </row>
    <row r="4184" spans="2:9" x14ac:dyDescent="0.2">
      <c r="B4184" s="11"/>
      <c r="C4184" s="11"/>
      <c r="D4184" s="11"/>
      <c r="E4184" s="11"/>
      <c r="F4184" s="11"/>
      <c r="G4184" s="11"/>
      <c r="H4184" s="11"/>
      <c r="I4184" s="11"/>
    </row>
    <row r="4185" spans="2:9" x14ac:dyDescent="0.2">
      <c r="B4185" s="11"/>
      <c r="C4185" s="11"/>
      <c r="D4185" s="11"/>
      <c r="E4185" s="11"/>
      <c r="F4185" s="11"/>
      <c r="G4185" s="11"/>
      <c r="H4185" s="11"/>
      <c r="I4185" s="11"/>
    </row>
    <row r="4186" spans="2:9" x14ac:dyDescent="0.2">
      <c r="B4186" s="11"/>
      <c r="C4186" s="11"/>
      <c r="D4186" s="11"/>
      <c r="E4186" s="11"/>
      <c r="F4186" s="11"/>
      <c r="G4186" s="11"/>
      <c r="H4186" s="11"/>
      <c r="I4186" s="11"/>
    </row>
    <row r="4187" spans="2:9" x14ac:dyDescent="0.2">
      <c r="B4187" s="11"/>
      <c r="C4187" s="11"/>
      <c r="D4187" s="11"/>
      <c r="E4187" s="11"/>
      <c r="F4187" s="11"/>
      <c r="G4187" s="11"/>
      <c r="H4187" s="11"/>
      <c r="I4187" s="11"/>
    </row>
    <row r="4188" spans="2:9" x14ac:dyDescent="0.2">
      <c r="B4188" s="11"/>
      <c r="C4188" s="11"/>
      <c r="D4188" s="11"/>
      <c r="E4188" s="11"/>
      <c r="F4188" s="11"/>
      <c r="G4188" s="11"/>
      <c r="H4188" s="11"/>
      <c r="I4188" s="11"/>
    </row>
    <row r="4189" spans="2:9" x14ac:dyDescent="0.2">
      <c r="B4189" s="11"/>
      <c r="C4189" s="11"/>
      <c r="D4189" s="11"/>
      <c r="E4189" s="11"/>
      <c r="F4189" s="11"/>
      <c r="G4189" s="11"/>
      <c r="H4189" s="11"/>
      <c r="I4189" s="11"/>
    </row>
    <row r="4190" spans="2:9" x14ac:dyDescent="0.2">
      <c r="B4190" s="11"/>
      <c r="C4190" s="11"/>
      <c r="D4190" s="11"/>
      <c r="E4190" s="11"/>
      <c r="F4190" s="11"/>
      <c r="G4190" s="11"/>
      <c r="H4190" s="11"/>
      <c r="I4190" s="11"/>
    </row>
    <row r="4191" spans="2:9" x14ac:dyDescent="0.2">
      <c r="B4191" s="11"/>
      <c r="C4191" s="11"/>
      <c r="D4191" s="11"/>
      <c r="E4191" s="11"/>
      <c r="F4191" s="11"/>
      <c r="G4191" s="11"/>
      <c r="H4191" s="11"/>
      <c r="I4191" s="11"/>
    </row>
    <row r="4192" spans="2:9" x14ac:dyDescent="0.2">
      <c r="B4192" s="11"/>
      <c r="C4192" s="11"/>
      <c r="D4192" s="11"/>
      <c r="E4192" s="11"/>
      <c r="F4192" s="11"/>
      <c r="G4192" s="11"/>
      <c r="H4192" s="11"/>
      <c r="I4192" s="11"/>
    </row>
    <row r="4193" spans="2:9" x14ac:dyDescent="0.2">
      <c r="B4193" s="11"/>
      <c r="C4193" s="11"/>
      <c r="D4193" s="11"/>
      <c r="E4193" s="11"/>
      <c r="F4193" s="11"/>
      <c r="G4193" s="11"/>
      <c r="H4193" s="11"/>
      <c r="I4193" s="11"/>
    </row>
    <row r="4194" spans="2:9" x14ac:dyDescent="0.2">
      <c r="B4194" s="11"/>
      <c r="C4194" s="11"/>
      <c r="D4194" s="11"/>
      <c r="E4194" s="11"/>
      <c r="F4194" s="11"/>
      <c r="G4194" s="11"/>
      <c r="H4194" s="11"/>
      <c r="I4194" s="11"/>
    </row>
    <row r="4195" spans="2:9" x14ac:dyDescent="0.2">
      <c r="B4195" s="11"/>
      <c r="C4195" s="11"/>
      <c r="D4195" s="11"/>
      <c r="E4195" s="11"/>
      <c r="F4195" s="11"/>
      <c r="G4195" s="11"/>
      <c r="H4195" s="11"/>
      <c r="I4195" s="11"/>
    </row>
    <row r="4196" spans="2:9" x14ac:dyDescent="0.2">
      <c r="B4196" s="11"/>
      <c r="C4196" s="11"/>
      <c r="D4196" s="11"/>
      <c r="E4196" s="11"/>
      <c r="F4196" s="11"/>
      <c r="G4196" s="11"/>
      <c r="H4196" s="11"/>
      <c r="I4196" s="11"/>
    </row>
    <row r="4197" spans="2:9" x14ac:dyDescent="0.2">
      <c r="B4197" s="11"/>
      <c r="C4197" s="11"/>
      <c r="D4197" s="11"/>
      <c r="E4197" s="11"/>
      <c r="F4197" s="11"/>
      <c r="G4197" s="11"/>
      <c r="H4197" s="11"/>
      <c r="I4197" s="11"/>
    </row>
    <row r="4198" spans="2:9" x14ac:dyDescent="0.2">
      <c r="B4198" s="11"/>
      <c r="C4198" s="11"/>
      <c r="D4198" s="11"/>
      <c r="E4198" s="11"/>
      <c r="F4198" s="11"/>
      <c r="G4198" s="11"/>
      <c r="H4198" s="11"/>
      <c r="I4198" s="11"/>
    </row>
    <row r="4199" spans="2:9" x14ac:dyDescent="0.2">
      <c r="B4199" s="11"/>
      <c r="C4199" s="11"/>
      <c r="D4199" s="11"/>
      <c r="E4199" s="11"/>
      <c r="F4199" s="11"/>
      <c r="G4199" s="11"/>
      <c r="H4199" s="11"/>
      <c r="I4199" s="11"/>
    </row>
    <row r="4200" spans="2:9" x14ac:dyDescent="0.2">
      <c r="B4200" s="11"/>
      <c r="C4200" s="11"/>
      <c r="D4200" s="11"/>
      <c r="E4200" s="11"/>
      <c r="F4200" s="11"/>
      <c r="G4200" s="11"/>
      <c r="H4200" s="11"/>
      <c r="I4200" s="11"/>
    </row>
    <row r="4201" spans="2:9" x14ac:dyDescent="0.2">
      <c r="B4201" s="11"/>
      <c r="C4201" s="11"/>
      <c r="D4201" s="11"/>
      <c r="E4201" s="11"/>
      <c r="F4201" s="11"/>
      <c r="G4201" s="11"/>
      <c r="H4201" s="11"/>
      <c r="I4201" s="11"/>
    </row>
    <row r="4202" spans="2:9" x14ac:dyDescent="0.2">
      <c r="B4202" s="11"/>
      <c r="C4202" s="11"/>
      <c r="D4202" s="11"/>
      <c r="E4202" s="11"/>
      <c r="F4202" s="11"/>
      <c r="G4202" s="11"/>
      <c r="H4202" s="11"/>
      <c r="I4202" s="11"/>
    </row>
    <row r="4203" spans="2:9" x14ac:dyDescent="0.2">
      <c r="B4203" s="11"/>
      <c r="C4203" s="11"/>
      <c r="D4203" s="11"/>
      <c r="E4203" s="11"/>
      <c r="F4203" s="11"/>
      <c r="G4203" s="11"/>
      <c r="H4203" s="11"/>
      <c r="I4203" s="11"/>
    </row>
    <row r="4204" spans="2:9" x14ac:dyDescent="0.2">
      <c r="B4204" s="11"/>
      <c r="C4204" s="11"/>
      <c r="D4204" s="11"/>
      <c r="E4204" s="11"/>
      <c r="F4204" s="11"/>
      <c r="G4204" s="11"/>
      <c r="H4204" s="11"/>
      <c r="I4204" s="11"/>
    </row>
    <row r="4205" spans="2:9" x14ac:dyDescent="0.2">
      <c r="B4205" s="11"/>
      <c r="C4205" s="11"/>
      <c r="D4205" s="11"/>
      <c r="E4205" s="11"/>
      <c r="F4205" s="11"/>
      <c r="G4205" s="11"/>
      <c r="H4205" s="11"/>
      <c r="I4205" s="11"/>
    </row>
    <row r="4206" spans="2:9" x14ac:dyDescent="0.2">
      <c r="B4206" s="11"/>
      <c r="C4206" s="11"/>
      <c r="D4206" s="11"/>
      <c r="E4206" s="11"/>
      <c r="F4206" s="11"/>
      <c r="G4206" s="11"/>
      <c r="H4206" s="11"/>
      <c r="I4206" s="11"/>
    </row>
    <row r="4207" spans="2:9" x14ac:dyDescent="0.2">
      <c r="B4207" s="11"/>
      <c r="C4207" s="11"/>
      <c r="D4207" s="11"/>
      <c r="E4207" s="11"/>
      <c r="F4207" s="11"/>
      <c r="G4207" s="11"/>
      <c r="H4207" s="11"/>
      <c r="I4207" s="11"/>
    </row>
    <row r="4208" spans="2:9" x14ac:dyDescent="0.2">
      <c r="B4208" s="11"/>
      <c r="C4208" s="11"/>
      <c r="D4208" s="11"/>
      <c r="E4208" s="11"/>
      <c r="F4208" s="11"/>
      <c r="G4208" s="11"/>
      <c r="H4208" s="11"/>
      <c r="I4208" s="11"/>
    </row>
    <row r="4209" spans="2:9" x14ac:dyDescent="0.2">
      <c r="B4209" s="11"/>
      <c r="C4209" s="11"/>
      <c r="D4209" s="11"/>
      <c r="E4209" s="11"/>
      <c r="F4209" s="11"/>
      <c r="G4209" s="11"/>
      <c r="H4209" s="11"/>
      <c r="I4209" s="11"/>
    </row>
    <row r="4210" spans="2:9" x14ac:dyDescent="0.2">
      <c r="B4210" s="11"/>
      <c r="C4210" s="11"/>
      <c r="D4210" s="11"/>
      <c r="E4210" s="11"/>
      <c r="F4210" s="11"/>
      <c r="G4210" s="11"/>
      <c r="H4210" s="11"/>
      <c r="I4210" s="11"/>
    </row>
    <row r="4211" spans="2:9" x14ac:dyDescent="0.2">
      <c r="B4211" s="11"/>
      <c r="C4211" s="11"/>
      <c r="D4211" s="11"/>
      <c r="E4211" s="11"/>
      <c r="F4211" s="11"/>
      <c r="G4211" s="11"/>
      <c r="H4211" s="11"/>
      <c r="I4211" s="11"/>
    </row>
    <row r="4212" spans="2:9" x14ac:dyDescent="0.2">
      <c r="B4212" s="11"/>
      <c r="C4212" s="11"/>
      <c r="D4212" s="11"/>
      <c r="E4212" s="11"/>
      <c r="F4212" s="11"/>
      <c r="G4212" s="11"/>
      <c r="H4212" s="11"/>
      <c r="I4212" s="11"/>
    </row>
    <row r="4213" spans="2:9" x14ac:dyDescent="0.2">
      <c r="B4213" s="11"/>
      <c r="C4213" s="11"/>
      <c r="D4213" s="11"/>
      <c r="E4213" s="11"/>
      <c r="F4213" s="11"/>
      <c r="G4213" s="11"/>
      <c r="H4213" s="11"/>
      <c r="I4213" s="11"/>
    </row>
    <row r="4214" spans="2:9" x14ac:dyDescent="0.2">
      <c r="B4214" s="11"/>
      <c r="C4214" s="11"/>
      <c r="D4214" s="11"/>
      <c r="E4214" s="11"/>
      <c r="F4214" s="11"/>
      <c r="G4214" s="11"/>
      <c r="H4214" s="11"/>
      <c r="I4214" s="11"/>
    </row>
    <row r="4215" spans="2:9" x14ac:dyDescent="0.2">
      <c r="B4215" s="11"/>
      <c r="C4215" s="11"/>
      <c r="D4215" s="11"/>
      <c r="E4215" s="11"/>
      <c r="F4215" s="11"/>
      <c r="G4215" s="11"/>
      <c r="H4215" s="11"/>
      <c r="I4215" s="11"/>
    </row>
    <row r="4216" spans="2:9" x14ac:dyDescent="0.2">
      <c r="B4216" s="11"/>
      <c r="C4216" s="11"/>
      <c r="D4216" s="11"/>
      <c r="E4216" s="11"/>
      <c r="F4216" s="11"/>
      <c r="G4216" s="11"/>
      <c r="H4216" s="11"/>
      <c r="I4216" s="11"/>
    </row>
    <row r="4217" spans="2:9" x14ac:dyDescent="0.2">
      <c r="B4217" s="11"/>
      <c r="C4217" s="11"/>
      <c r="D4217" s="11"/>
      <c r="E4217" s="11"/>
      <c r="F4217" s="11"/>
      <c r="G4217" s="11"/>
      <c r="H4217" s="11"/>
      <c r="I4217" s="11"/>
    </row>
    <row r="4218" spans="2:9" x14ac:dyDescent="0.2">
      <c r="B4218" s="11"/>
      <c r="C4218" s="11"/>
      <c r="D4218" s="11"/>
      <c r="E4218" s="11"/>
      <c r="F4218" s="11"/>
      <c r="G4218" s="11"/>
      <c r="H4218" s="11"/>
      <c r="I4218" s="11"/>
    </row>
    <row r="4219" spans="2:9" x14ac:dyDescent="0.2">
      <c r="B4219" s="11"/>
      <c r="C4219" s="11"/>
      <c r="D4219" s="11"/>
      <c r="E4219" s="11"/>
      <c r="F4219" s="11"/>
      <c r="G4219" s="11"/>
      <c r="H4219" s="11"/>
      <c r="I4219" s="11"/>
    </row>
    <row r="4220" spans="2:9" x14ac:dyDescent="0.2">
      <c r="B4220" s="11"/>
      <c r="C4220" s="11"/>
      <c r="D4220" s="11"/>
      <c r="E4220" s="11"/>
      <c r="F4220" s="11"/>
      <c r="G4220" s="11"/>
      <c r="H4220" s="11"/>
      <c r="I4220" s="11"/>
    </row>
    <row r="4221" spans="2:9" x14ac:dyDescent="0.2">
      <c r="B4221" s="11"/>
      <c r="C4221" s="11"/>
      <c r="D4221" s="11"/>
      <c r="E4221" s="11"/>
      <c r="F4221" s="11"/>
      <c r="G4221" s="11"/>
      <c r="H4221" s="11"/>
      <c r="I4221" s="11"/>
    </row>
    <row r="4222" spans="2:9" x14ac:dyDescent="0.2">
      <c r="B4222" s="11"/>
      <c r="C4222" s="11"/>
      <c r="D4222" s="11"/>
      <c r="E4222" s="11"/>
      <c r="F4222" s="11"/>
      <c r="G4222" s="11"/>
      <c r="H4222" s="11"/>
      <c r="I4222" s="11"/>
    </row>
    <row r="4223" spans="2:9" x14ac:dyDescent="0.2">
      <c r="B4223" s="11"/>
      <c r="C4223" s="11"/>
      <c r="D4223" s="11"/>
      <c r="E4223" s="11"/>
      <c r="F4223" s="11"/>
      <c r="G4223" s="11"/>
      <c r="H4223" s="11"/>
      <c r="I4223" s="11"/>
    </row>
    <row r="4224" spans="2:9" x14ac:dyDescent="0.2">
      <c r="B4224" s="11"/>
      <c r="C4224" s="11"/>
      <c r="D4224" s="11"/>
      <c r="E4224" s="11"/>
      <c r="F4224" s="11"/>
      <c r="G4224" s="11"/>
      <c r="H4224" s="11"/>
      <c r="I4224" s="11"/>
    </row>
    <row r="4225" spans="2:9" x14ac:dyDescent="0.2">
      <c r="B4225" s="11"/>
      <c r="C4225" s="11"/>
      <c r="D4225" s="11"/>
      <c r="E4225" s="11"/>
      <c r="F4225" s="11"/>
      <c r="G4225" s="11"/>
      <c r="H4225" s="11"/>
      <c r="I4225" s="11"/>
    </row>
    <row r="4226" spans="2:9" x14ac:dyDescent="0.2">
      <c r="B4226" s="11"/>
      <c r="C4226" s="11"/>
      <c r="D4226" s="11"/>
      <c r="E4226" s="11"/>
      <c r="F4226" s="11"/>
      <c r="G4226" s="11"/>
      <c r="H4226" s="11"/>
      <c r="I4226" s="11"/>
    </row>
    <row r="4227" spans="2:9" x14ac:dyDescent="0.2">
      <c r="B4227" s="11"/>
      <c r="C4227" s="11"/>
      <c r="D4227" s="11"/>
      <c r="E4227" s="11"/>
      <c r="F4227" s="11"/>
      <c r="G4227" s="11"/>
      <c r="H4227" s="11"/>
      <c r="I4227" s="11"/>
    </row>
    <row r="4228" spans="2:9" x14ac:dyDescent="0.2">
      <c r="B4228" s="11"/>
      <c r="C4228" s="11"/>
      <c r="D4228" s="11"/>
      <c r="E4228" s="11"/>
      <c r="F4228" s="11"/>
      <c r="G4228" s="11"/>
      <c r="H4228" s="11"/>
      <c r="I4228" s="11"/>
    </row>
    <row r="4229" spans="2:9" x14ac:dyDescent="0.2">
      <c r="B4229" s="11"/>
      <c r="C4229" s="11"/>
      <c r="D4229" s="11"/>
      <c r="E4229" s="11"/>
      <c r="F4229" s="11"/>
      <c r="G4229" s="11"/>
      <c r="H4229" s="11"/>
      <c r="I4229" s="11"/>
    </row>
    <row r="4230" spans="2:9" x14ac:dyDescent="0.2">
      <c r="B4230" s="11"/>
      <c r="C4230" s="11"/>
      <c r="D4230" s="11"/>
      <c r="E4230" s="11"/>
      <c r="F4230" s="11"/>
      <c r="G4230" s="11"/>
      <c r="H4230" s="11"/>
      <c r="I4230" s="11"/>
    </row>
    <row r="4231" spans="2:9" x14ac:dyDescent="0.2">
      <c r="B4231" s="11"/>
      <c r="C4231" s="11"/>
      <c r="D4231" s="11"/>
      <c r="E4231" s="11"/>
      <c r="F4231" s="11"/>
      <c r="G4231" s="11"/>
      <c r="H4231" s="11"/>
      <c r="I4231" s="11"/>
    </row>
    <row r="4232" spans="2:9" x14ac:dyDescent="0.2">
      <c r="B4232" s="11"/>
      <c r="C4232" s="11"/>
      <c r="D4232" s="11"/>
      <c r="E4232" s="11"/>
      <c r="F4232" s="11"/>
      <c r="G4232" s="11"/>
      <c r="H4232" s="11"/>
      <c r="I4232" s="11"/>
    </row>
    <row r="4233" spans="2:9" x14ac:dyDescent="0.2">
      <c r="B4233" s="11"/>
      <c r="C4233" s="11"/>
      <c r="D4233" s="11"/>
      <c r="E4233" s="11"/>
      <c r="F4233" s="11"/>
      <c r="G4233" s="11"/>
      <c r="H4233" s="11"/>
      <c r="I4233" s="11"/>
    </row>
    <row r="4234" spans="2:9" x14ac:dyDescent="0.2">
      <c r="B4234" s="11"/>
      <c r="C4234" s="11"/>
      <c r="D4234" s="11"/>
      <c r="E4234" s="11"/>
      <c r="F4234" s="11"/>
      <c r="G4234" s="11"/>
      <c r="H4234" s="11"/>
      <c r="I4234" s="11"/>
    </row>
    <row r="4235" spans="2:9" x14ac:dyDescent="0.2">
      <c r="B4235" s="11"/>
      <c r="C4235" s="11"/>
      <c r="D4235" s="11"/>
      <c r="E4235" s="11"/>
      <c r="F4235" s="11"/>
      <c r="G4235" s="11"/>
      <c r="H4235" s="11"/>
      <c r="I4235" s="11"/>
    </row>
    <row r="4236" spans="2:9" x14ac:dyDescent="0.2">
      <c r="B4236" s="11"/>
      <c r="C4236" s="11"/>
      <c r="D4236" s="11"/>
      <c r="E4236" s="11"/>
      <c r="F4236" s="11"/>
      <c r="G4236" s="11"/>
      <c r="H4236" s="11"/>
      <c r="I4236" s="11"/>
    </row>
    <row r="4237" spans="2:9" x14ac:dyDescent="0.2">
      <c r="B4237" s="11"/>
      <c r="C4237" s="11"/>
      <c r="D4237" s="11"/>
      <c r="E4237" s="11"/>
      <c r="F4237" s="11"/>
      <c r="G4237" s="11"/>
      <c r="H4237" s="11"/>
      <c r="I4237" s="11"/>
    </row>
    <row r="4238" spans="2:9" x14ac:dyDescent="0.2">
      <c r="B4238" s="11"/>
      <c r="C4238" s="11"/>
      <c r="D4238" s="11"/>
      <c r="E4238" s="11"/>
      <c r="F4238" s="11"/>
      <c r="G4238" s="11"/>
      <c r="H4238" s="11"/>
      <c r="I4238" s="11"/>
    </row>
    <row r="4239" spans="2:9" x14ac:dyDescent="0.2">
      <c r="B4239" s="11"/>
      <c r="C4239" s="11"/>
      <c r="D4239" s="11"/>
      <c r="E4239" s="11"/>
      <c r="F4239" s="11"/>
      <c r="G4239" s="11"/>
      <c r="H4239" s="11"/>
      <c r="I4239" s="11"/>
    </row>
    <row r="4240" spans="2:9" x14ac:dyDescent="0.2">
      <c r="B4240" s="11"/>
      <c r="C4240" s="11"/>
      <c r="D4240" s="11"/>
      <c r="E4240" s="11"/>
      <c r="F4240" s="11"/>
      <c r="G4240" s="11"/>
      <c r="H4240" s="11"/>
      <c r="I4240" s="11"/>
    </row>
    <row r="4241" spans="2:9" x14ac:dyDescent="0.2">
      <c r="B4241" s="11"/>
      <c r="C4241" s="11"/>
      <c r="D4241" s="11"/>
      <c r="E4241" s="11"/>
      <c r="F4241" s="11"/>
      <c r="G4241" s="11"/>
      <c r="H4241" s="11"/>
      <c r="I4241" s="11"/>
    </row>
    <row r="4242" spans="2:9" x14ac:dyDescent="0.2">
      <c r="B4242" s="11"/>
      <c r="C4242" s="11"/>
      <c r="D4242" s="11"/>
      <c r="E4242" s="11"/>
      <c r="F4242" s="11"/>
      <c r="G4242" s="11"/>
      <c r="H4242" s="11"/>
      <c r="I4242" s="11"/>
    </row>
    <row r="4243" spans="2:9" x14ac:dyDescent="0.2">
      <c r="B4243" s="11"/>
      <c r="C4243" s="11"/>
      <c r="D4243" s="11"/>
      <c r="E4243" s="11"/>
      <c r="F4243" s="11"/>
      <c r="G4243" s="11"/>
      <c r="H4243" s="11"/>
      <c r="I4243" s="11"/>
    </row>
    <row r="4244" spans="2:9" x14ac:dyDescent="0.2">
      <c r="B4244" s="11"/>
      <c r="C4244" s="11"/>
      <c r="D4244" s="11"/>
      <c r="E4244" s="11"/>
      <c r="F4244" s="11"/>
      <c r="G4244" s="11"/>
      <c r="H4244" s="11"/>
      <c r="I4244" s="11"/>
    </row>
    <row r="4245" spans="2:9" x14ac:dyDescent="0.2">
      <c r="B4245" s="11"/>
      <c r="C4245" s="11"/>
      <c r="D4245" s="11"/>
      <c r="E4245" s="11"/>
      <c r="F4245" s="11"/>
      <c r="G4245" s="11"/>
      <c r="H4245" s="11"/>
      <c r="I4245" s="11"/>
    </row>
    <row r="4246" spans="2:9" x14ac:dyDescent="0.2">
      <c r="B4246" s="11"/>
      <c r="C4246" s="11"/>
      <c r="D4246" s="11"/>
      <c r="E4246" s="11"/>
      <c r="F4246" s="11"/>
      <c r="G4246" s="11"/>
      <c r="H4246" s="11"/>
      <c r="I4246" s="11"/>
    </row>
    <row r="4247" spans="2:9" x14ac:dyDescent="0.2">
      <c r="B4247" s="11"/>
      <c r="C4247" s="11"/>
      <c r="D4247" s="11"/>
      <c r="E4247" s="11"/>
      <c r="F4247" s="11"/>
      <c r="G4247" s="11"/>
      <c r="H4247" s="11"/>
      <c r="I4247" s="11"/>
    </row>
    <row r="4248" spans="2:9" x14ac:dyDescent="0.2">
      <c r="B4248" s="11"/>
      <c r="C4248" s="11"/>
      <c r="D4248" s="11"/>
      <c r="E4248" s="11"/>
      <c r="F4248" s="11"/>
      <c r="G4248" s="11"/>
      <c r="H4248" s="11"/>
      <c r="I4248" s="11"/>
    </row>
    <row r="4249" spans="2:9" x14ac:dyDescent="0.2">
      <c r="B4249" s="11"/>
      <c r="C4249" s="11"/>
      <c r="D4249" s="11"/>
      <c r="E4249" s="11"/>
      <c r="F4249" s="11"/>
      <c r="G4249" s="11"/>
      <c r="H4249" s="11"/>
      <c r="I4249" s="11"/>
    </row>
    <row r="4250" spans="2:9" x14ac:dyDescent="0.2">
      <c r="B4250" s="11"/>
      <c r="C4250" s="11"/>
      <c r="D4250" s="11"/>
      <c r="E4250" s="11"/>
      <c r="F4250" s="11"/>
      <c r="G4250" s="11"/>
      <c r="H4250" s="11"/>
      <c r="I4250" s="11"/>
    </row>
    <row r="4251" spans="2:9" x14ac:dyDescent="0.2">
      <c r="B4251" s="11"/>
      <c r="C4251" s="11"/>
      <c r="D4251" s="11"/>
      <c r="E4251" s="11"/>
      <c r="F4251" s="11"/>
      <c r="G4251" s="11"/>
      <c r="H4251" s="11"/>
      <c r="I4251" s="11"/>
    </row>
    <row r="4252" spans="2:9" x14ac:dyDescent="0.2">
      <c r="B4252" s="11"/>
      <c r="C4252" s="11"/>
      <c r="D4252" s="11"/>
      <c r="E4252" s="11"/>
      <c r="F4252" s="11"/>
      <c r="G4252" s="11"/>
      <c r="H4252" s="11"/>
      <c r="I4252" s="11"/>
    </row>
    <row r="4253" spans="2:9" x14ac:dyDescent="0.2">
      <c r="B4253" s="11"/>
      <c r="C4253" s="11"/>
      <c r="D4253" s="11"/>
      <c r="E4253" s="11"/>
      <c r="F4253" s="11"/>
      <c r="G4253" s="11"/>
      <c r="H4253" s="11"/>
      <c r="I4253" s="11"/>
    </row>
    <row r="4254" spans="2:9" x14ac:dyDescent="0.2">
      <c r="B4254" s="11"/>
      <c r="C4254" s="11"/>
      <c r="D4254" s="11"/>
      <c r="E4254" s="11"/>
      <c r="F4254" s="11"/>
      <c r="G4254" s="11"/>
      <c r="H4254" s="11"/>
      <c r="I4254" s="11"/>
    </row>
    <row r="4255" spans="2:9" x14ac:dyDescent="0.2">
      <c r="B4255" s="11"/>
      <c r="C4255" s="11"/>
      <c r="D4255" s="11"/>
      <c r="E4255" s="11"/>
      <c r="F4255" s="11"/>
      <c r="G4255" s="11"/>
      <c r="H4255" s="11"/>
      <c r="I4255" s="11"/>
    </row>
    <row r="4256" spans="2:9" x14ac:dyDescent="0.2">
      <c r="B4256" s="11"/>
      <c r="C4256" s="11"/>
      <c r="D4256" s="11"/>
      <c r="E4256" s="11"/>
      <c r="F4256" s="11"/>
      <c r="G4256" s="11"/>
      <c r="H4256" s="11"/>
      <c r="I4256" s="11"/>
    </row>
    <row r="4257" spans="2:9" x14ac:dyDescent="0.2">
      <c r="B4257" s="11"/>
      <c r="C4257" s="11"/>
      <c r="D4257" s="11"/>
      <c r="E4257" s="11"/>
      <c r="F4257" s="11"/>
      <c r="G4257" s="11"/>
      <c r="H4257" s="11"/>
      <c r="I4257" s="11"/>
    </row>
    <row r="4258" spans="2:9" x14ac:dyDescent="0.2">
      <c r="B4258" s="11"/>
      <c r="C4258" s="11"/>
      <c r="D4258" s="11"/>
      <c r="E4258" s="11"/>
      <c r="F4258" s="11"/>
      <c r="G4258" s="11"/>
      <c r="H4258" s="11"/>
      <c r="I4258" s="11"/>
    </row>
    <row r="4259" spans="2:9" x14ac:dyDescent="0.2">
      <c r="B4259" s="11"/>
      <c r="C4259" s="11"/>
      <c r="D4259" s="11"/>
      <c r="E4259" s="11"/>
      <c r="F4259" s="11"/>
      <c r="G4259" s="11"/>
      <c r="H4259" s="11"/>
      <c r="I4259" s="11"/>
    </row>
    <row r="4260" spans="2:9" x14ac:dyDescent="0.2">
      <c r="B4260" s="11"/>
      <c r="C4260" s="11"/>
      <c r="D4260" s="11"/>
      <c r="E4260" s="11"/>
      <c r="F4260" s="11"/>
      <c r="G4260" s="11"/>
      <c r="H4260" s="11"/>
      <c r="I4260" s="11"/>
    </row>
    <row r="4261" spans="2:9" x14ac:dyDescent="0.2">
      <c r="B4261" s="11"/>
      <c r="C4261" s="11"/>
      <c r="D4261" s="11"/>
      <c r="E4261" s="11"/>
      <c r="F4261" s="11"/>
      <c r="G4261" s="11"/>
      <c r="H4261" s="11"/>
      <c r="I4261" s="11"/>
    </row>
    <row r="4262" spans="2:9" x14ac:dyDescent="0.2">
      <c r="B4262" s="11"/>
      <c r="C4262" s="11"/>
      <c r="D4262" s="11"/>
      <c r="E4262" s="11"/>
      <c r="F4262" s="11"/>
      <c r="G4262" s="11"/>
      <c r="H4262" s="11"/>
      <c r="I4262" s="11"/>
    </row>
    <row r="4263" spans="2:9" x14ac:dyDescent="0.2">
      <c r="B4263" s="11"/>
      <c r="C4263" s="11"/>
      <c r="D4263" s="11"/>
      <c r="E4263" s="11"/>
      <c r="F4263" s="11"/>
      <c r="G4263" s="11"/>
      <c r="H4263" s="11"/>
      <c r="I4263" s="11"/>
    </row>
    <row r="4264" spans="2:9" x14ac:dyDescent="0.2">
      <c r="B4264" s="11"/>
      <c r="C4264" s="11"/>
      <c r="D4264" s="11"/>
      <c r="E4264" s="11"/>
      <c r="F4264" s="11"/>
      <c r="G4264" s="11"/>
      <c r="H4264" s="11"/>
      <c r="I4264" s="11"/>
    </row>
    <row r="4265" spans="2:9" x14ac:dyDescent="0.2">
      <c r="B4265" s="11"/>
      <c r="C4265" s="11"/>
      <c r="D4265" s="11"/>
      <c r="E4265" s="11"/>
      <c r="F4265" s="11"/>
      <c r="G4265" s="11"/>
      <c r="H4265" s="11"/>
      <c r="I4265" s="11"/>
    </row>
    <row r="4266" spans="2:9" x14ac:dyDescent="0.2">
      <c r="B4266" s="11"/>
      <c r="C4266" s="11"/>
      <c r="D4266" s="11"/>
      <c r="E4266" s="11"/>
      <c r="F4266" s="11"/>
      <c r="G4266" s="11"/>
      <c r="H4266" s="11"/>
      <c r="I4266" s="11"/>
    </row>
    <row r="4267" spans="2:9" x14ac:dyDescent="0.2">
      <c r="B4267" s="11"/>
      <c r="C4267" s="11"/>
      <c r="D4267" s="11"/>
      <c r="E4267" s="11"/>
      <c r="F4267" s="11"/>
      <c r="G4267" s="11"/>
      <c r="H4267" s="11"/>
      <c r="I4267" s="11"/>
    </row>
    <row r="4268" spans="2:9" x14ac:dyDescent="0.2">
      <c r="B4268" s="11"/>
      <c r="C4268" s="11"/>
      <c r="D4268" s="11"/>
      <c r="E4268" s="11"/>
      <c r="F4268" s="11"/>
      <c r="G4268" s="11"/>
      <c r="H4268" s="11"/>
      <c r="I4268" s="11"/>
    </row>
    <row r="4269" spans="2:9" x14ac:dyDescent="0.2">
      <c r="B4269" s="11"/>
      <c r="C4269" s="11"/>
      <c r="D4269" s="11"/>
      <c r="E4269" s="11"/>
      <c r="F4269" s="11"/>
      <c r="G4269" s="11"/>
      <c r="H4269" s="11"/>
      <c r="I4269" s="11"/>
    </row>
    <row r="4270" spans="2:9" x14ac:dyDescent="0.2">
      <c r="B4270" s="11"/>
      <c r="C4270" s="11"/>
      <c r="D4270" s="11"/>
      <c r="E4270" s="11"/>
      <c r="F4270" s="11"/>
      <c r="G4270" s="11"/>
      <c r="H4270" s="11"/>
      <c r="I4270" s="11"/>
    </row>
    <row r="4271" spans="2:9" x14ac:dyDescent="0.2">
      <c r="B4271" s="11"/>
      <c r="C4271" s="11"/>
      <c r="D4271" s="11"/>
      <c r="E4271" s="11"/>
      <c r="F4271" s="11"/>
      <c r="G4271" s="11"/>
      <c r="H4271" s="11"/>
      <c r="I4271" s="11"/>
    </row>
    <row r="4272" spans="2:9" x14ac:dyDescent="0.2">
      <c r="B4272" s="11"/>
      <c r="C4272" s="11"/>
      <c r="D4272" s="11"/>
      <c r="E4272" s="11"/>
      <c r="F4272" s="11"/>
      <c r="G4272" s="11"/>
      <c r="H4272" s="11"/>
      <c r="I4272" s="11"/>
    </row>
    <row r="4273" spans="2:9" x14ac:dyDescent="0.2">
      <c r="B4273" s="11"/>
      <c r="C4273" s="11"/>
      <c r="D4273" s="11"/>
      <c r="E4273" s="11"/>
      <c r="F4273" s="11"/>
      <c r="G4273" s="11"/>
      <c r="H4273" s="11"/>
      <c r="I4273" s="11"/>
    </row>
    <row r="4274" spans="2:9" x14ac:dyDescent="0.2">
      <c r="B4274" s="11"/>
      <c r="C4274" s="11"/>
      <c r="D4274" s="11"/>
      <c r="E4274" s="11"/>
      <c r="F4274" s="11"/>
      <c r="G4274" s="11"/>
      <c r="H4274" s="11"/>
      <c r="I4274" s="11"/>
    </row>
    <row r="4275" spans="2:9" x14ac:dyDescent="0.2">
      <c r="B4275" s="11"/>
      <c r="C4275" s="11"/>
      <c r="D4275" s="11"/>
      <c r="E4275" s="11"/>
      <c r="F4275" s="11"/>
      <c r="G4275" s="11"/>
      <c r="H4275" s="11"/>
      <c r="I4275" s="11"/>
    </row>
    <row r="4276" spans="2:9" x14ac:dyDescent="0.2">
      <c r="B4276" s="11"/>
      <c r="C4276" s="11"/>
      <c r="D4276" s="11"/>
      <c r="E4276" s="11"/>
      <c r="F4276" s="11"/>
      <c r="G4276" s="11"/>
      <c r="H4276" s="11"/>
      <c r="I4276" s="11"/>
    </row>
    <row r="4277" spans="2:9" x14ac:dyDescent="0.2">
      <c r="B4277" s="11"/>
      <c r="C4277" s="11"/>
      <c r="D4277" s="11"/>
      <c r="E4277" s="11"/>
      <c r="F4277" s="11"/>
      <c r="G4277" s="11"/>
      <c r="H4277" s="11"/>
      <c r="I4277" s="11"/>
    </row>
    <row r="4278" spans="2:9" x14ac:dyDescent="0.2">
      <c r="B4278" s="11"/>
      <c r="C4278" s="11"/>
      <c r="D4278" s="11"/>
      <c r="E4278" s="11"/>
      <c r="F4278" s="11"/>
      <c r="G4278" s="11"/>
      <c r="H4278" s="11"/>
      <c r="I4278" s="11"/>
    </row>
    <row r="4279" spans="2:9" x14ac:dyDescent="0.2">
      <c r="B4279" s="11"/>
      <c r="C4279" s="11"/>
      <c r="D4279" s="11"/>
      <c r="E4279" s="11"/>
      <c r="F4279" s="11"/>
      <c r="G4279" s="11"/>
      <c r="H4279" s="11"/>
      <c r="I4279" s="11"/>
    </row>
    <row r="4280" spans="2:9" x14ac:dyDescent="0.2">
      <c r="B4280" s="11"/>
      <c r="C4280" s="11"/>
      <c r="D4280" s="11"/>
      <c r="E4280" s="11"/>
      <c r="F4280" s="11"/>
      <c r="G4280" s="11"/>
      <c r="H4280" s="11"/>
      <c r="I4280" s="11"/>
    </row>
    <row r="4281" spans="2:9" x14ac:dyDescent="0.2">
      <c r="B4281" s="11"/>
      <c r="C4281" s="11"/>
      <c r="D4281" s="11"/>
      <c r="E4281" s="11"/>
      <c r="F4281" s="11"/>
      <c r="G4281" s="11"/>
      <c r="H4281" s="11"/>
      <c r="I4281" s="11"/>
    </row>
    <row r="4282" spans="2:9" x14ac:dyDescent="0.2">
      <c r="B4282" s="11"/>
      <c r="C4282" s="11"/>
      <c r="D4282" s="11"/>
      <c r="E4282" s="11"/>
      <c r="F4282" s="11"/>
      <c r="G4282" s="11"/>
      <c r="H4282" s="11"/>
      <c r="I4282" s="11"/>
    </row>
    <row r="4283" spans="2:9" x14ac:dyDescent="0.2">
      <c r="B4283" s="11"/>
      <c r="C4283" s="11"/>
      <c r="D4283" s="11"/>
      <c r="E4283" s="11"/>
      <c r="F4283" s="11"/>
      <c r="G4283" s="11"/>
      <c r="H4283" s="11"/>
      <c r="I4283" s="11"/>
    </row>
    <row r="4284" spans="2:9" x14ac:dyDescent="0.2">
      <c r="B4284" s="11"/>
      <c r="C4284" s="11"/>
      <c r="D4284" s="11"/>
      <c r="E4284" s="11"/>
      <c r="F4284" s="11"/>
      <c r="G4284" s="11"/>
      <c r="H4284" s="11"/>
      <c r="I4284" s="11"/>
    </row>
    <row r="4285" spans="2:9" x14ac:dyDescent="0.2">
      <c r="B4285" s="11"/>
      <c r="C4285" s="11"/>
      <c r="D4285" s="11"/>
      <c r="E4285" s="11"/>
      <c r="F4285" s="11"/>
      <c r="G4285" s="11"/>
      <c r="H4285" s="11"/>
      <c r="I4285" s="11"/>
    </row>
    <row r="4286" spans="2:9" x14ac:dyDescent="0.2">
      <c r="B4286" s="11"/>
      <c r="C4286" s="11"/>
      <c r="D4286" s="11"/>
      <c r="E4286" s="11"/>
      <c r="F4286" s="11"/>
      <c r="G4286" s="11"/>
      <c r="H4286" s="11"/>
      <c r="I4286" s="11"/>
    </row>
    <row r="4287" spans="2:9" x14ac:dyDescent="0.2">
      <c r="B4287" s="11"/>
      <c r="C4287" s="11"/>
      <c r="D4287" s="11"/>
      <c r="E4287" s="11"/>
      <c r="F4287" s="11"/>
      <c r="G4287" s="11"/>
      <c r="H4287" s="11"/>
      <c r="I4287" s="11"/>
    </row>
    <row r="4288" spans="2:9" x14ac:dyDescent="0.2">
      <c r="B4288" s="11"/>
      <c r="C4288" s="11"/>
      <c r="D4288" s="11"/>
      <c r="E4288" s="11"/>
      <c r="F4288" s="11"/>
      <c r="G4288" s="11"/>
      <c r="H4288" s="11"/>
      <c r="I4288" s="11"/>
    </row>
    <row r="4289" spans="2:9" x14ac:dyDescent="0.2">
      <c r="B4289" s="11"/>
      <c r="C4289" s="11"/>
      <c r="D4289" s="11"/>
      <c r="E4289" s="11"/>
      <c r="F4289" s="11"/>
      <c r="G4289" s="11"/>
      <c r="H4289" s="11"/>
      <c r="I4289" s="11"/>
    </row>
    <row r="4290" spans="2:9" x14ac:dyDescent="0.2">
      <c r="B4290" s="11"/>
      <c r="C4290" s="11"/>
      <c r="D4290" s="11"/>
      <c r="E4290" s="11"/>
      <c r="F4290" s="11"/>
      <c r="G4290" s="11"/>
      <c r="H4290" s="11"/>
      <c r="I4290" s="11"/>
    </row>
    <row r="4291" spans="2:9" x14ac:dyDescent="0.2">
      <c r="B4291" s="11"/>
      <c r="C4291" s="11"/>
      <c r="D4291" s="11"/>
      <c r="E4291" s="11"/>
      <c r="F4291" s="11"/>
      <c r="G4291" s="11"/>
      <c r="H4291" s="11"/>
      <c r="I4291" s="11"/>
    </row>
    <row r="4292" spans="2:9" x14ac:dyDescent="0.2">
      <c r="B4292" s="11"/>
      <c r="C4292" s="11"/>
      <c r="D4292" s="11"/>
      <c r="E4292" s="11"/>
      <c r="F4292" s="11"/>
      <c r="G4292" s="11"/>
      <c r="H4292" s="11"/>
      <c r="I4292" s="11"/>
    </row>
    <row r="4293" spans="2:9" x14ac:dyDescent="0.2">
      <c r="B4293" s="11"/>
      <c r="C4293" s="11"/>
      <c r="D4293" s="11"/>
      <c r="E4293" s="11"/>
      <c r="F4293" s="11"/>
      <c r="G4293" s="11"/>
      <c r="H4293" s="11"/>
      <c r="I4293" s="11"/>
    </row>
    <row r="4294" spans="2:9" x14ac:dyDescent="0.2">
      <c r="B4294" s="11"/>
      <c r="C4294" s="11"/>
      <c r="D4294" s="11"/>
      <c r="E4294" s="11"/>
      <c r="F4294" s="11"/>
      <c r="G4294" s="11"/>
      <c r="H4294" s="11"/>
      <c r="I4294" s="11"/>
    </row>
    <row r="4295" spans="2:9" x14ac:dyDescent="0.2">
      <c r="B4295" s="11"/>
      <c r="C4295" s="11"/>
      <c r="D4295" s="11"/>
      <c r="E4295" s="11"/>
      <c r="F4295" s="11"/>
      <c r="G4295" s="11"/>
      <c r="H4295" s="11"/>
      <c r="I4295" s="11"/>
    </row>
    <row r="4296" spans="2:9" x14ac:dyDescent="0.2">
      <c r="B4296" s="11"/>
      <c r="C4296" s="11"/>
      <c r="D4296" s="11"/>
      <c r="E4296" s="11"/>
      <c r="F4296" s="11"/>
      <c r="G4296" s="11"/>
      <c r="H4296" s="11"/>
      <c r="I4296" s="11"/>
    </row>
    <row r="4297" spans="2:9" x14ac:dyDescent="0.2">
      <c r="B4297" s="11"/>
      <c r="C4297" s="11"/>
      <c r="D4297" s="11"/>
      <c r="E4297" s="11"/>
      <c r="F4297" s="11"/>
      <c r="G4297" s="11"/>
      <c r="H4297" s="11"/>
      <c r="I4297" s="11"/>
    </row>
    <row r="4298" spans="2:9" x14ac:dyDescent="0.2">
      <c r="B4298" s="11"/>
      <c r="C4298" s="11"/>
      <c r="D4298" s="11"/>
      <c r="E4298" s="11"/>
      <c r="F4298" s="11"/>
      <c r="G4298" s="11"/>
      <c r="H4298" s="11"/>
      <c r="I4298" s="11"/>
    </row>
    <row r="4299" spans="2:9" x14ac:dyDescent="0.2">
      <c r="B4299" s="11"/>
      <c r="C4299" s="11"/>
      <c r="D4299" s="11"/>
      <c r="E4299" s="11"/>
      <c r="F4299" s="11"/>
      <c r="G4299" s="11"/>
      <c r="H4299" s="11"/>
      <c r="I4299" s="11"/>
    </row>
    <row r="4300" spans="2:9" x14ac:dyDescent="0.2">
      <c r="B4300" s="11"/>
      <c r="C4300" s="11"/>
      <c r="D4300" s="11"/>
      <c r="E4300" s="11"/>
      <c r="F4300" s="11"/>
      <c r="G4300" s="11"/>
      <c r="H4300" s="11"/>
      <c r="I4300" s="11"/>
    </row>
    <row r="4301" spans="2:9" x14ac:dyDescent="0.2">
      <c r="B4301" s="11"/>
      <c r="C4301" s="11"/>
      <c r="D4301" s="11"/>
      <c r="E4301" s="11"/>
      <c r="F4301" s="11"/>
      <c r="G4301" s="11"/>
      <c r="H4301" s="11"/>
      <c r="I4301" s="11"/>
    </row>
    <row r="4302" spans="2:9" x14ac:dyDescent="0.2">
      <c r="B4302" s="11"/>
      <c r="C4302" s="11"/>
      <c r="D4302" s="11"/>
      <c r="E4302" s="11"/>
      <c r="F4302" s="11"/>
      <c r="G4302" s="11"/>
      <c r="H4302" s="11"/>
      <c r="I4302" s="11"/>
    </row>
    <row r="4303" spans="2:9" x14ac:dyDescent="0.2">
      <c r="B4303" s="11"/>
      <c r="C4303" s="11"/>
      <c r="D4303" s="11"/>
      <c r="E4303" s="11"/>
      <c r="F4303" s="11"/>
      <c r="G4303" s="11"/>
      <c r="H4303" s="11"/>
      <c r="I4303" s="11"/>
    </row>
    <row r="4304" spans="2:9" x14ac:dyDescent="0.2">
      <c r="B4304" s="11"/>
      <c r="C4304" s="11"/>
      <c r="D4304" s="11"/>
      <c r="E4304" s="11"/>
      <c r="F4304" s="11"/>
      <c r="G4304" s="11"/>
      <c r="H4304" s="11"/>
      <c r="I4304" s="11"/>
    </row>
    <row r="4305" spans="2:9" x14ac:dyDescent="0.2">
      <c r="B4305" s="11"/>
      <c r="C4305" s="11"/>
      <c r="D4305" s="11"/>
      <c r="E4305" s="11"/>
      <c r="F4305" s="11"/>
      <c r="G4305" s="11"/>
      <c r="H4305" s="11"/>
      <c r="I4305" s="11"/>
    </row>
    <row r="4306" spans="2:9" x14ac:dyDescent="0.2">
      <c r="B4306" s="11"/>
      <c r="C4306" s="11"/>
      <c r="D4306" s="11"/>
      <c r="E4306" s="11"/>
      <c r="F4306" s="11"/>
      <c r="G4306" s="11"/>
      <c r="H4306" s="11"/>
      <c r="I4306" s="11"/>
    </row>
    <row r="4307" spans="2:9" x14ac:dyDescent="0.2">
      <c r="B4307" s="11"/>
      <c r="C4307" s="11"/>
      <c r="D4307" s="11"/>
      <c r="E4307" s="11"/>
      <c r="F4307" s="11"/>
      <c r="G4307" s="11"/>
      <c r="H4307" s="11"/>
      <c r="I4307" s="11"/>
    </row>
    <row r="4308" spans="2:9" x14ac:dyDescent="0.2">
      <c r="B4308" s="11"/>
      <c r="C4308" s="11"/>
      <c r="D4308" s="11"/>
      <c r="E4308" s="11"/>
      <c r="F4308" s="11"/>
      <c r="G4308" s="11"/>
      <c r="H4308" s="11"/>
      <c r="I4308" s="11"/>
    </row>
    <row r="4309" spans="2:9" x14ac:dyDescent="0.2">
      <c r="B4309" s="11"/>
      <c r="C4309" s="11"/>
      <c r="D4309" s="11"/>
      <c r="E4309" s="11"/>
      <c r="F4309" s="11"/>
      <c r="G4309" s="11"/>
      <c r="H4309" s="11"/>
      <c r="I4309" s="11"/>
    </row>
    <row r="4310" spans="2:9" x14ac:dyDescent="0.2">
      <c r="B4310" s="11"/>
      <c r="C4310" s="11"/>
      <c r="D4310" s="11"/>
      <c r="E4310" s="11"/>
      <c r="F4310" s="11"/>
      <c r="G4310" s="11"/>
      <c r="H4310" s="11"/>
      <c r="I4310" s="11"/>
    </row>
    <row r="4311" spans="2:9" x14ac:dyDescent="0.2">
      <c r="B4311" s="11"/>
      <c r="C4311" s="11"/>
      <c r="D4311" s="11"/>
      <c r="E4311" s="11"/>
      <c r="F4311" s="11"/>
      <c r="G4311" s="11"/>
      <c r="H4311" s="11"/>
      <c r="I4311" s="11"/>
    </row>
    <row r="4312" spans="2:9" x14ac:dyDescent="0.2">
      <c r="B4312" s="11"/>
      <c r="C4312" s="11"/>
      <c r="D4312" s="11"/>
      <c r="E4312" s="11"/>
      <c r="F4312" s="11"/>
      <c r="G4312" s="11"/>
      <c r="H4312" s="11"/>
      <c r="I4312" s="11"/>
    </row>
    <row r="4313" spans="2:9" x14ac:dyDescent="0.2">
      <c r="B4313" s="11"/>
      <c r="C4313" s="11"/>
      <c r="D4313" s="11"/>
      <c r="E4313" s="11"/>
      <c r="F4313" s="11"/>
      <c r="G4313" s="11"/>
      <c r="H4313" s="11"/>
      <c r="I4313" s="11"/>
    </row>
    <row r="4314" spans="2:9" x14ac:dyDescent="0.2">
      <c r="B4314" s="11"/>
      <c r="C4314" s="11"/>
      <c r="D4314" s="11"/>
      <c r="E4314" s="11"/>
      <c r="F4314" s="11"/>
      <c r="G4314" s="11"/>
      <c r="H4314" s="11"/>
      <c r="I4314" s="11"/>
    </row>
    <row r="4315" spans="2:9" x14ac:dyDescent="0.2">
      <c r="B4315" s="11"/>
      <c r="C4315" s="11"/>
      <c r="D4315" s="11"/>
      <c r="E4315" s="11"/>
      <c r="F4315" s="11"/>
      <c r="G4315" s="11"/>
      <c r="H4315" s="11"/>
      <c r="I4315" s="11"/>
    </row>
    <row r="4316" spans="2:9" x14ac:dyDescent="0.2">
      <c r="B4316" s="11"/>
      <c r="C4316" s="11"/>
      <c r="D4316" s="11"/>
      <c r="E4316" s="11"/>
      <c r="F4316" s="11"/>
      <c r="G4316" s="11"/>
      <c r="H4316" s="11"/>
      <c r="I4316" s="11"/>
    </row>
    <row r="4317" spans="2:9" x14ac:dyDescent="0.2">
      <c r="B4317" s="11"/>
      <c r="C4317" s="11"/>
      <c r="D4317" s="11"/>
      <c r="E4317" s="11"/>
      <c r="F4317" s="11"/>
      <c r="G4317" s="11"/>
      <c r="H4317" s="11"/>
      <c r="I4317" s="11"/>
    </row>
    <row r="4318" spans="2:9" x14ac:dyDescent="0.2">
      <c r="B4318" s="11"/>
      <c r="C4318" s="11"/>
      <c r="D4318" s="11"/>
      <c r="E4318" s="11"/>
      <c r="F4318" s="11"/>
      <c r="G4318" s="11"/>
      <c r="H4318" s="11"/>
      <c r="I4318" s="11"/>
    </row>
    <row r="4319" spans="2:9" x14ac:dyDescent="0.2">
      <c r="B4319" s="11"/>
      <c r="C4319" s="11"/>
      <c r="D4319" s="11"/>
      <c r="E4319" s="11"/>
      <c r="F4319" s="11"/>
      <c r="G4319" s="11"/>
      <c r="H4319" s="11"/>
      <c r="I4319" s="11"/>
    </row>
    <row r="4320" spans="2:9" x14ac:dyDescent="0.2">
      <c r="B4320" s="11"/>
      <c r="C4320" s="11"/>
      <c r="D4320" s="11"/>
      <c r="E4320" s="11"/>
      <c r="F4320" s="11"/>
      <c r="G4320" s="11"/>
      <c r="H4320" s="11"/>
      <c r="I4320" s="11"/>
    </row>
    <row r="4321" spans="2:9" x14ac:dyDescent="0.2">
      <c r="B4321" s="11"/>
      <c r="C4321" s="11"/>
      <c r="D4321" s="11"/>
      <c r="E4321" s="11"/>
      <c r="F4321" s="11"/>
      <c r="G4321" s="11"/>
      <c r="H4321" s="11"/>
      <c r="I4321" s="11"/>
    </row>
    <row r="4322" spans="2:9" x14ac:dyDescent="0.2">
      <c r="B4322" s="11"/>
      <c r="C4322" s="11"/>
      <c r="D4322" s="11"/>
      <c r="E4322" s="11"/>
      <c r="F4322" s="11"/>
      <c r="G4322" s="11"/>
      <c r="H4322" s="11"/>
      <c r="I4322" s="11"/>
    </row>
    <row r="4323" spans="2:9" x14ac:dyDescent="0.2">
      <c r="B4323" s="11"/>
      <c r="C4323" s="11"/>
      <c r="D4323" s="11"/>
      <c r="E4323" s="11"/>
      <c r="F4323" s="11"/>
      <c r="G4323" s="11"/>
      <c r="H4323" s="11"/>
      <c r="I4323" s="11"/>
    </row>
    <row r="4324" spans="2:9" x14ac:dyDescent="0.2">
      <c r="B4324" s="11"/>
      <c r="C4324" s="11"/>
      <c r="D4324" s="11"/>
      <c r="E4324" s="11"/>
      <c r="F4324" s="11"/>
      <c r="G4324" s="11"/>
      <c r="H4324" s="11"/>
      <c r="I4324" s="11"/>
    </row>
    <row r="4325" spans="2:9" x14ac:dyDescent="0.2">
      <c r="B4325" s="11"/>
      <c r="C4325" s="11"/>
      <c r="D4325" s="11"/>
      <c r="E4325" s="11"/>
      <c r="F4325" s="11"/>
      <c r="G4325" s="11"/>
      <c r="H4325" s="11"/>
      <c r="I4325" s="11"/>
    </row>
    <row r="4326" spans="2:9" x14ac:dyDescent="0.2">
      <c r="B4326" s="11"/>
      <c r="C4326" s="11"/>
      <c r="D4326" s="11"/>
      <c r="E4326" s="11"/>
      <c r="F4326" s="11"/>
      <c r="G4326" s="11"/>
      <c r="H4326" s="11"/>
      <c r="I4326" s="11"/>
    </row>
    <row r="4327" spans="2:9" x14ac:dyDescent="0.2">
      <c r="B4327" s="11"/>
      <c r="C4327" s="11"/>
      <c r="D4327" s="11"/>
      <c r="E4327" s="11"/>
      <c r="F4327" s="11"/>
      <c r="G4327" s="11"/>
      <c r="H4327" s="11"/>
      <c r="I4327" s="11"/>
    </row>
    <row r="4328" spans="2:9" x14ac:dyDescent="0.2">
      <c r="B4328" s="11"/>
      <c r="C4328" s="11"/>
      <c r="D4328" s="11"/>
      <c r="E4328" s="11"/>
      <c r="F4328" s="11"/>
      <c r="G4328" s="11"/>
      <c r="H4328" s="11"/>
      <c r="I4328" s="11"/>
    </row>
    <row r="4329" spans="2:9" x14ac:dyDescent="0.2">
      <c r="B4329" s="11"/>
      <c r="C4329" s="11"/>
      <c r="D4329" s="11"/>
      <c r="E4329" s="11"/>
      <c r="F4329" s="11"/>
      <c r="G4329" s="11"/>
      <c r="H4329" s="11"/>
      <c r="I4329" s="11"/>
    </row>
    <row r="4330" spans="2:9" x14ac:dyDescent="0.2">
      <c r="B4330" s="11"/>
      <c r="C4330" s="11"/>
      <c r="D4330" s="11"/>
      <c r="E4330" s="11"/>
      <c r="F4330" s="11"/>
      <c r="G4330" s="11"/>
      <c r="H4330" s="11"/>
      <c r="I4330" s="11"/>
    </row>
    <row r="4331" spans="2:9" x14ac:dyDescent="0.2">
      <c r="B4331" s="11"/>
      <c r="C4331" s="11"/>
      <c r="D4331" s="11"/>
      <c r="E4331" s="11"/>
      <c r="F4331" s="11"/>
      <c r="G4331" s="11"/>
      <c r="H4331" s="11"/>
      <c r="I4331" s="11"/>
    </row>
    <row r="4332" spans="2:9" x14ac:dyDescent="0.2">
      <c r="B4332" s="11"/>
      <c r="C4332" s="11"/>
      <c r="D4332" s="11"/>
      <c r="E4332" s="11"/>
      <c r="F4332" s="11"/>
      <c r="G4332" s="11"/>
      <c r="H4332" s="11"/>
      <c r="I4332" s="11"/>
    </row>
    <row r="4333" spans="2:9" x14ac:dyDescent="0.2">
      <c r="B4333" s="11"/>
      <c r="C4333" s="11"/>
      <c r="D4333" s="11"/>
      <c r="E4333" s="11"/>
      <c r="F4333" s="11"/>
      <c r="G4333" s="11"/>
      <c r="H4333" s="11"/>
      <c r="I4333" s="11"/>
    </row>
    <row r="4334" spans="2:9" x14ac:dyDescent="0.2">
      <c r="B4334" s="11"/>
      <c r="C4334" s="11"/>
      <c r="D4334" s="11"/>
      <c r="E4334" s="11"/>
      <c r="F4334" s="11"/>
      <c r="G4334" s="11"/>
      <c r="H4334" s="11"/>
      <c r="I4334" s="11"/>
    </row>
    <row r="4335" spans="2:9" x14ac:dyDescent="0.2">
      <c r="B4335" s="11"/>
      <c r="C4335" s="11"/>
      <c r="D4335" s="11"/>
      <c r="E4335" s="11"/>
      <c r="F4335" s="11"/>
      <c r="G4335" s="11"/>
      <c r="H4335" s="11"/>
      <c r="I4335" s="11"/>
    </row>
    <row r="4336" spans="2:9" x14ac:dyDescent="0.2">
      <c r="B4336" s="11"/>
      <c r="C4336" s="11"/>
      <c r="D4336" s="11"/>
      <c r="E4336" s="11"/>
      <c r="F4336" s="11"/>
      <c r="G4336" s="11"/>
      <c r="H4336" s="11"/>
      <c r="I4336" s="11"/>
    </row>
    <row r="4337" spans="2:9" x14ac:dyDescent="0.2">
      <c r="B4337" s="11"/>
      <c r="C4337" s="11"/>
      <c r="D4337" s="11"/>
      <c r="E4337" s="11"/>
      <c r="F4337" s="11"/>
      <c r="G4337" s="11"/>
      <c r="H4337" s="11"/>
      <c r="I4337" s="11"/>
    </row>
    <row r="4338" spans="2:9" x14ac:dyDescent="0.2">
      <c r="B4338" s="11"/>
      <c r="C4338" s="11"/>
      <c r="D4338" s="11"/>
      <c r="E4338" s="11"/>
      <c r="F4338" s="11"/>
      <c r="G4338" s="11"/>
      <c r="H4338" s="11"/>
      <c r="I4338" s="11"/>
    </row>
    <row r="4339" spans="2:9" x14ac:dyDescent="0.2">
      <c r="B4339" s="11"/>
      <c r="C4339" s="11"/>
      <c r="D4339" s="11"/>
      <c r="E4339" s="11"/>
      <c r="F4339" s="11"/>
      <c r="G4339" s="11"/>
      <c r="H4339" s="11"/>
      <c r="I4339" s="11"/>
    </row>
    <row r="4340" spans="2:9" x14ac:dyDescent="0.2">
      <c r="B4340" s="11"/>
      <c r="C4340" s="11"/>
      <c r="D4340" s="11"/>
      <c r="E4340" s="11"/>
      <c r="F4340" s="11"/>
      <c r="G4340" s="11"/>
      <c r="H4340" s="11"/>
      <c r="I4340" s="11"/>
    </row>
    <row r="4341" spans="2:9" x14ac:dyDescent="0.2">
      <c r="B4341" s="11"/>
      <c r="C4341" s="11"/>
      <c r="D4341" s="11"/>
      <c r="E4341" s="11"/>
      <c r="F4341" s="11"/>
      <c r="G4341" s="11"/>
      <c r="H4341" s="11"/>
      <c r="I4341" s="11"/>
    </row>
    <row r="4342" spans="2:9" x14ac:dyDescent="0.2">
      <c r="B4342" s="11"/>
      <c r="C4342" s="11"/>
      <c r="D4342" s="11"/>
      <c r="E4342" s="11"/>
      <c r="F4342" s="11"/>
      <c r="G4342" s="11"/>
      <c r="H4342" s="11"/>
      <c r="I4342" s="11"/>
    </row>
    <row r="4343" spans="2:9" x14ac:dyDescent="0.2">
      <c r="B4343" s="11"/>
      <c r="C4343" s="11"/>
      <c r="D4343" s="11"/>
      <c r="E4343" s="11"/>
      <c r="F4343" s="11"/>
      <c r="G4343" s="11"/>
      <c r="H4343" s="11"/>
      <c r="I4343" s="11"/>
    </row>
    <row r="4344" spans="2:9" x14ac:dyDescent="0.2">
      <c r="B4344" s="11"/>
      <c r="C4344" s="11"/>
      <c r="D4344" s="11"/>
      <c r="E4344" s="11"/>
      <c r="F4344" s="11"/>
      <c r="G4344" s="11"/>
      <c r="H4344" s="11"/>
      <c r="I4344" s="11"/>
    </row>
    <row r="4345" spans="2:9" x14ac:dyDescent="0.2">
      <c r="B4345" s="11"/>
      <c r="C4345" s="11"/>
      <c r="D4345" s="11"/>
      <c r="E4345" s="11"/>
      <c r="F4345" s="11"/>
      <c r="G4345" s="11"/>
      <c r="H4345" s="11"/>
      <c r="I4345" s="11"/>
    </row>
    <row r="4346" spans="2:9" x14ac:dyDescent="0.2">
      <c r="B4346" s="11"/>
      <c r="C4346" s="11"/>
      <c r="D4346" s="11"/>
      <c r="E4346" s="11"/>
      <c r="F4346" s="11"/>
      <c r="G4346" s="11"/>
      <c r="H4346" s="11"/>
      <c r="I4346" s="11"/>
    </row>
    <row r="4347" spans="2:9" x14ac:dyDescent="0.2">
      <c r="B4347" s="11"/>
      <c r="C4347" s="11"/>
      <c r="D4347" s="11"/>
      <c r="E4347" s="11"/>
      <c r="F4347" s="11"/>
      <c r="G4347" s="11"/>
      <c r="H4347" s="11"/>
      <c r="I4347" s="11"/>
    </row>
    <row r="4348" spans="2:9" x14ac:dyDescent="0.2">
      <c r="B4348" s="11"/>
      <c r="C4348" s="11"/>
      <c r="D4348" s="11"/>
      <c r="E4348" s="11"/>
      <c r="F4348" s="11"/>
      <c r="G4348" s="11"/>
      <c r="H4348" s="11"/>
      <c r="I4348" s="11"/>
    </row>
    <row r="4349" spans="2:9" x14ac:dyDescent="0.2">
      <c r="B4349" s="11"/>
      <c r="C4349" s="11"/>
      <c r="D4349" s="11"/>
      <c r="E4349" s="11"/>
      <c r="F4349" s="11"/>
      <c r="G4349" s="11"/>
      <c r="H4349" s="11"/>
      <c r="I4349" s="11"/>
    </row>
    <row r="4350" spans="2:9" x14ac:dyDescent="0.2">
      <c r="B4350" s="11"/>
      <c r="C4350" s="11"/>
      <c r="D4350" s="11"/>
      <c r="E4350" s="11"/>
      <c r="F4350" s="11"/>
      <c r="G4350" s="11"/>
      <c r="H4350" s="11"/>
      <c r="I4350" s="11"/>
    </row>
    <row r="4351" spans="2:9" x14ac:dyDescent="0.2">
      <c r="B4351" s="11"/>
      <c r="C4351" s="11"/>
      <c r="D4351" s="11"/>
      <c r="E4351" s="11"/>
      <c r="F4351" s="11"/>
      <c r="G4351" s="11"/>
      <c r="H4351" s="11"/>
      <c r="I4351" s="11"/>
    </row>
    <row r="4352" spans="2:9" x14ac:dyDescent="0.2">
      <c r="B4352" s="11"/>
      <c r="C4352" s="11"/>
      <c r="D4352" s="11"/>
      <c r="E4352" s="11"/>
      <c r="F4352" s="11"/>
      <c r="G4352" s="11"/>
      <c r="H4352" s="11"/>
      <c r="I4352" s="11"/>
    </row>
    <row r="4353" spans="2:9" x14ac:dyDescent="0.2">
      <c r="B4353" s="11"/>
      <c r="C4353" s="11"/>
      <c r="D4353" s="11"/>
      <c r="E4353" s="11"/>
      <c r="F4353" s="11"/>
      <c r="G4353" s="11"/>
      <c r="H4353" s="11"/>
      <c r="I4353" s="11"/>
    </row>
    <row r="4354" spans="2:9" x14ac:dyDescent="0.2">
      <c r="B4354" s="11"/>
      <c r="C4354" s="11"/>
      <c r="D4354" s="11"/>
      <c r="E4354" s="11"/>
      <c r="F4354" s="11"/>
      <c r="G4354" s="11"/>
      <c r="H4354" s="11"/>
      <c r="I4354" s="11"/>
    </row>
    <row r="4355" spans="2:9" x14ac:dyDescent="0.2">
      <c r="B4355" s="11"/>
      <c r="C4355" s="11"/>
      <c r="D4355" s="11"/>
      <c r="E4355" s="11"/>
      <c r="F4355" s="11"/>
      <c r="G4355" s="11"/>
      <c r="H4355" s="11"/>
      <c r="I4355" s="11"/>
    </row>
    <row r="4356" spans="2:9" x14ac:dyDescent="0.2">
      <c r="B4356" s="11"/>
      <c r="C4356" s="11"/>
      <c r="D4356" s="11"/>
      <c r="E4356" s="11"/>
      <c r="F4356" s="11"/>
      <c r="G4356" s="11"/>
      <c r="H4356" s="11"/>
      <c r="I4356" s="11"/>
    </row>
    <row r="4357" spans="2:9" x14ac:dyDescent="0.2">
      <c r="B4357" s="11"/>
      <c r="C4357" s="11"/>
      <c r="D4357" s="11"/>
      <c r="E4357" s="11"/>
      <c r="F4357" s="11"/>
      <c r="G4357" s="11"/>
      <c r="H4357" s="11"/>
      <c r="I4357" s="11"/>
    </row>
    <row r="4358" spans="2:9" x14ac:dyDescent="0.2">
      <c r="B4358" s="11"/>
      <c r="C4358" s="11"/>
      <c r="D4358" s="11"/>
      <c r="E4358" s="11"/>
      <c r="F4358" s="11"/>
      <c r="G4358" s="11"/>
      <c r="H4358" s="11"/>
      <c r="I4358" s="11"/>
    </row>
    <row r="4359" spans="2:9" x14ac:dyDescent="0.2">
      <c r="B4359" s="11"/>
      <c r="C4359" s="11"/>
      <c r="D4359" s="11"/>
      <c r="E4359" s="11"/>
      <c r="F4359" s="11"/>
      <c r="G4359" s="11"/>
      <c r="H4359" s="11"/>
      <c r="I4359" s="11"/>
    </row>
    <row r="4360" spans="2:9" x14ac:dyDescent="0.2">
      <c r="B4360" s="11"/>
      <c r="C4360" s="11"/>
      <c r="D4360" s="11"/>
      <c r="E4360" s="11"/>
      <c r="F4360" s="11"/>
      <c r="G4360" s="11"/>
      <c r="H4360" s="11"/>
      <c r="I4360" s="11"/>
    </row>
    <row r="4361" spans="2:9" x14ac:dyDescent="0.2">
      <c r="B4361" s="11"/>
      <c r="C4361" s="11"/>
      <c r="D4361" s="11"/>
      <c r="E4361" s="11"/>
      <c r="F4361" s="11"/>
      <c r="G4361" s="11"/>
      <c r="H4361" s="11"/>
      <c r="I4361" s="11"/>
    </row>
    <row r="4362" spans="2:9" x14ac:dyDescent="0.2">
      <c r="B4362" s="11"/>
      <c r="C4362" s="11"/>
      <c r="D4362" s="11"/>
      <c r="E4362" s="11"/>
      <c r="F4362" s="11"/>
      <c r="G4362" s="11"/>
      <c r="H4362" s="11"/>
      <c r="I4362" s="11"/>
    </row>
    <row r="4363" spans="2:9" x14ac:dyDescent="0.2">
      <c r="B4363" s="11"/>
      <c r="C4363" s="11"/>
      <c r="D4363" s="11"/>
      <c r="E4363" s="11"/>
      <c r="F4363" s="11"/>
      <c r="G4363" s="11"/>
      <c r="H4363" s="11"/>
      <c r="I4363" s="11"/>
    </row>
    <row r="4364" spans="2:9" x14ac:dyDescent="0.2">
      <c r="B4364" s="11"/>
      <c r="C4364" s="11"/>
      <c r="D4364" s="11"/>
      <c r="E4364" s="11"/>
      <c r="F4364" s="11"/>
      <c r="G4364" s="11"/>
      <c r="H4364" s="11"/>
      <c r="I4364" s="11"/>
    </row>
    <row r="4365" spans="2:9" x14ac:dyDescent="0.2">
      <c r="B4365" s="11"/>
      <c r="C4365" s="11"/>
      <c r="D4365" s="11"/>
      <c r="E4365" s="11"/>
      <c r="F4365" s="11"/>
      <c r="G4365" s="11"/>
      <c r="H4365" s="11"/>
      <c r="I4365" s="11"/>
    </row>
    <row r="4366" spans="2:9" x14ac:dyDescent="0.2">
      <c r="B4366" s="11"/>
      <c r="C4366" s="11"/>
      <c r="D4366" s="11"/>
      <c r="E4366" s="11"/>
      <c r="F4366" s="11"/>
      <c r="G4366" s="11"/>
      <c r="H4366" s="11"/>
      <c r="I4366" s="11"/>
    </row>
    <row r="4367" spans="2:9" x14ac:dyDescent="0.2">
      <c r="B4367" s="11"/>
      <c r="C4367" s="11"/>
      <c r="D4367" s="11"/>
      <c r="E4367" s="11"/>
      <c r="F4367" s="11"/>
      <c r="G4367" s="11"/>
      <c r="H4367" s="11"/>
      <c r="I4367" s="11"/>
    </row>
    <row r="4368" spans="2:9" x14ac:dyDescent="0.2">
      <c r="B4368" s="11"/>
      <c r="C4368" s="11"/>
      <c r="D4368" s="11"/>
      <c r="E4368" s="11"/>
      <c r="F4368" s="11"/>
      <c r="G4368" s="11"/>
      <c r="H4368" s="11"/>
      <c r="I4368" s="11"/>
    </row>
    <row r="4369" spans="2:9" x14ac:dyDescent="0.2">
      <c r="B4369" s="11"/>
      <c r="C4369" s="11"/>
      <c r="D4369" s="11"/>
      <c r="E4369" s="11"/>
      <c r="F4369" s="11"/>
      <c r="G4369" s="11"/>
      <c r="H4369" s="11"/>
      <c r="I4369" s="11"/>
    </row>
    <row r="4370" spans="2:9" x14ac:dyDescent="0.2">
      <c r="B4370" s="11"/>
      <c r="C4370" s="11"/>
      <c r="D4370" s="11"/>
      <c r="E4370" s="11"/>
      <c r="F4370" s="11"/>
      <c r="G4370" s="11"/>
      <c r="H4370" s="11"/>
      <c r="I4370" s="11"/>
    </row>
    <row r="4371" spans="2:9" x14ac:dyDescent="0.2">
      <c r="B4371" s="11"/>
      <c r="C4371" s="11"/>
      <c r="D4371" s="11"/>
      <c r="E4371" s="11"/>
      <c r="F4371" s="11"/>
      <c r="G4371" s="11"/>
      <c r="H4371" s="11"/>
      <c r="I4371" s="11"/>
    </row>
    <row r="4372" spans="2:9" x14ac:dyDescent="0.2">
      <c r="B4372" s="11"/>
      <c r="C4372" s="11"/>
      <c r="D4372" s="11"/>
      <c r="E4372" s="11"/>
      <c r="F4372" s="11"/>
      <c r="G4372" s="11"/>
      <c r="H4372" s="11"/>
      <c r="I4372" s="11"/>
    </row>
    <row r="4373" spans="2:9" x14ac:dyDescent="0.2">
      <c r="B4373" s="11"/>
      <c r="C4373" s="11"/>
      <c r="D4373" s="11"/>
      <c r="E4373" s="11"/>
      <c r="F4373" s="11"/>
      <c r="G4373" s="11"/>
      <c r="H4373" s="11"/>
      <c r="I4373" s="11"/>
    </row>
    <row r="4374" spans="2:9" x14ac:dyDescent="0.2">
      <c r="B4374" s="11"/>
      <c r="C4374" s="11"/>
      <c r="D4374" s="11"/>
      <c r="E4374" s="11"/>
      <c r="F4374" s="11"/>
      <c r="G4374" s="11"/>
      <c r="H4374" s="11"/>
      <c r="I4374" s="11"/>
    </row>
    <row r="4375" spans="2:9" x14ac:dyDescent="0.2">
      <c r="B4375" s="11"/>
      <c r="C4375" s="11"/>
      <c r="D4375" s="11"/>
      <c r="E4375" s="11"/>
      <c r="F4375" s="11"/>
      <c r="G4375" s="11"/>
      <c r="H4375" s="11"/>
      <c r="I4375" s="11"/>
    </row>
    <row r="4376" spans="2:9" x14ac:dyDescent="0.2">
      <c r="B4376" s="11"/>
      <c r="C4376" s="11"/>
      <c r="D4376" s="11"/>
      <c r="E4376" s="11"/>
      <c r="F4376" s="11"/>
      <c r="G4376" s="11"/>
      <c r="H4376" s="11"/>
      <c r="I4376" s="11"/>
    </row>
    <row r="4377" spans="2:9" x14ac:dyDescent="0.2">
      <c r="B4377" s="11"/>
      <c r="C4377" s="11"/>
      <c r="D4377" s="11"/>
      <c r="E4377" s="11"/>
      <c r="F4377" s="11"/>
      <c r="G4377" s="11"/>
      <c r="H4377" s="11"/>
      <c r="I4377" s="11"/>
    </row>
    <row r="4378" spans="2:9" x14ac:dyDescent="0.2">
      <c r="B4378" s="11"/>
      <c r="C4378" s="11"/>
      <c r="D4378" s="11"/>
      <c r="E4378" s="11"/>
      <c r="F4378" s="11"/>
      <c r="G4378" s="11"/>
      <c r="H4378" s="11"/>
      <c r="I4378" s="11"/>
    </row>
    <row r="4379" spans="2:9" x14ac:dyDescent="0.2">
      <c r="B4379" s="11"/>
      <c r="C4379" s="11"/>
      <c r="D4379" s="11"/>
      <c r="E4379" s="11"/>
      <c r="F4379" s="11"/>
      <c r="G4379" s="11"/>
      <c r="H4379" s="11"/>
      <c r="I4379" s="11"/>
    </row>
    <row r="4380" spans="2:9" x14ac:dyDescent="0.2">
      <c r="B4380" s="11"/>
      <c r="C4380" s="11"/>
      <c r="D4380" s="11"/>
      <c r="E4380" s="11"/>
      <c r="F4380" s="11"/>
      <c r="G4380" s="11"/>
      <c r="H4380" s="11"/>
      <c r="I4380" s="11"/>
    </row>
    <row r="4381" spans="2:9" x14ac:dyDescent="0.2">
      <c r="B4381" s="11"/>
      <c r="C4381" s="11"/>
      <c r="D4381" s="11"/>
      <c r="E4381" s="11"/>
      <c r="F4381" s="11"/>
      <c r="G4381" s="11"/>
      <c r="H4381" s="11"/>
      <c r="I4381" s="11"/>
    </row>
    <row r="4382" spans="2:9" x14ac:dyDescent="0.2">
      <c r="B4382" s="11"/>
      <c r="C4382" s="11"/>
      <c r="D4382" s="11"/>
      <c r="E4382" s="11"/>
      <c r="F4382" s="11"/>
      <c r="G4382" s="11"/>
      <c r="H4382" s="11"/>
      <c r="I4382" s="11"/>
    </row>
    <row r="4383" spans="2:9" x14ac:dyDescent="0.2">
      <c r="B4383" s="11"/>
      <c r="C4383" s="11"/>
      <c r="D4383" s="11"/>
      <c r="E4383" s="11"/>
      <c r="F4383" s="11"/>
      <c r="G4383" s="11"/>
      <c r="H4383" s="11"/>
      <c r="I4383" s="11"/>
    </row>
    <row r="4384" spans="2:9" x14ac:dyDescent="0.2">
      <c r="B4384" s="11"/>
      <c r="C4384" s="11"/>
      <c r="D4384" s="11"/>
      <c r="E4384" s="11"/>
      <c r="F4384" s="11"/>
      <c r="G4384" s="11"/>
      <c r="H4384" s="11"/>
      <c r="I4384" s="11"/>
    </row>
    <row r="4385" spans="2:9" x14ac:dyDescent="0.2">
      <c r="B4385" s="11"/>
      <c r="C4385" s="11"/>
      <c r="D4385" s="11"/>
      <c r="E4385" s="11"/>
      <c r="F4385" s="11"/>
      <c r="G4385" s="11"/>
      <c r="H4385" s="11"/>
      <c r="I4385" s="11"/>
    </row>
    <row r="4386" spans="2:9" x14ac:dyDescent="0.2">
      <c r="B4386" s="11"/>
      <c r="C4386" s="11"/>
      <c r="D4386" s="11"/>
      <c r="E4386" s="11"/>
      <c r="F4386" s="11"/>
      <c r="G4386" s="11"/>
      <c r="H4386" s="11"/>
      <c r="I4386" s="11"/>
    </row>
    <row r="4387" spans="2:9" x14ac:dyDescent="0.2">
      <c r="B4387" s="11"/>
      <c r="C4387" s="11"/>
      <c r="D4387" s="11"/>
      <c r="E4387" s="11"/>
      <c r="F4387" s="11"/>
      <c r="G4387" s="11"/>
      <c r="H4387" s="11"/>
      <c r="I4387" s="11"/>
    </row>
    <row r="4388" spans="2:9" x14ac:dyDescent="0.2">
      <c r="B4388" s="11"/>
      <c r="C4388" s="11"/>
      <c r="D4388" s="11"/>
      <c r="E4388" s="11"/>
      <c r="F4388" s="11"/>
      <c r="G4388" s="11"/>
      <c r="H4388" s="11"/>
      <c r="I4388" s="11"/>
    </row>
    <row r="4389" spans="2:9" x14ac:dyDescent="0.2">
      <c r="B4389" s="11"/>
      <c r="C4389" s="11"/>
      <c r="D4389" s="11"/>
      <c r="E4389" s="11"/>
      <c r="F4389" s="11"/>
      <c r="G4389" s="11"/>
      <c r="H4389" s="11"/>
      <c r="I4389" s="11"/>
    </row>
    <row r="4390" spans="2:9" x14ac:dyDescent="0.2">
      <c r="B4390" s="11"/>
      <c r="C4390" s="11"/>
      <c r="D4390" s="11"/>
      <c r="E4390" s="11"/>
      <c r="F4390" s="11"/>
      <c r="G4390" s="11"/>
      <c r="H4390" s="11"/>
      <c r="I4390" s="11"/>
    </row>
    <row r="4391" spans="2:9" x14ac:dyDescent="0.2">
      <c r="B4391" s="11"/>
      <c r="C4391" s="11"/>
      <c r="D4391" s="11"/>
      <c r="E4391" s="11"/>
      <c r="F4391" s="11"/>
      <c r="G4391" s="11"/>
      <c r="H4391" s="11"/>
      <c r="I4391" s="11"/>
    </row>
    <row r="4392" spans="2:9" x14ac:dyDescent="0.2">
      <c r="B4392" s="11"/>
      <c r="C4392" s="11"/>
      <c r="D4392" s="11"/>
      <c r="E4392" s="11"/>
      <c r="F4392" s="11"/>
      <c r="G4392" s="11"/>
      <c r="H4392" s="11"/>
      <c r="I4392" s="11"/>
    </row>
    <row r="4393" spans="2:9" x14ac:dyDescent="0.2">
      <c r="B4393" s="11"/>
      <c r="C4393" s="11"/>
      <c r="D4393" s="11"/>
      <c r="E4393" s="11"/>
      <c r="F4393" s="11"/>
      <c r="G4393" s="11"/>
      <c r="H4393" s="11"/>
      <c r="I4393" s="11"/>
    </row>
    <row r="4394" spans="2:9" x14ac:dyDescent="0.2">
      <c r="B4394" s="11"/>
      <c r="C4394" s="11"/>
      <c r="D4394" s="11"/>
      <c r="E4394" s="11"/>
      <c r="F4394" s="11"/>
      <c r="G4394" s="11"/>
      <c r="H4394" s="11"/>
      <c r="I4394" s="11"/>
    </row>
    <row r="4395" spans="2:9" x14ac:dyDescent="0.2">
      <c r="B4395" s="11"/>
      <c r="C4395" s="11"/>
      <c r="D4395" s="11"/>
      <c r="E4395" s="11"/>
      <c r="F4395" s="11"/>
      <c r="G4395" s="11"/>
      <c r="H4395" s="11"/>
      <c r="I4395" s="11"/>
    </row>
    <row r="4396" spans="2:9" x14ac:dyDescent="0.2">
      <c r="B4396" s="11"/>
      <c r="C4396" s="11"/>
      <c r="D4396" s="11"/>
      <c r="E4396" s="11"/>
      <c r="F4396" s="11"/>
      <c r="G4396" s="11"/>
      <c r="H4396" s="11"/>
      <c r="I4396" s="11"/>
    </row>
    <row r="4397" spans="2:9" x14ac:dyDescent="0.2">
      <c r="B4397" s="11"/>
      <c r="C4397" s="11"/>
      <c r="D4397" s="11"/>
      <c r="E4397" s="11"/>
      <c r="F4397" s="11"/>
      <c r="G4397" s="11"/>
      <c r="H4397" s="11"/>
      <c r="I4397" s="11"/>
    </row>
    <row r="4398" spans="2:9" x14ac:dyDescent="0.2">
      <c r="B4398" s="11"/>
      <c r="C4398" s="11"/>
      <c r="D4398" s="11"/>
      <c r="E4398" s="11"/>
      <c r="F4398" s="11"/>
      <c r="G4398" s="11"/>
      <c r="H4398" s="11"/>
      <c r="I4398" s="11"/>
    </row>
    <row r="4399" spans="2:9" x14ac:dyDescent="0.2">
      <c r="B4399" s="11"/>
      <c r="C4399" s="11"/>
      <c r="D4399" s="11"/>
      <c r="E4399" s="11"/>
      <c r="F4399" s="11"/>
      <c r="G4399" s="11"/>
      <c r="H4399" s="11"/>
      <c r="I4399" s="11"/>
    </row>
    <row r="4400" spans="2:9" x14ac:dyDescent="0.2">
      <c r="B4400" s="11"/>
      <c r="C4400" s="11"/>
      <c r="D4400" s="11"/>
      <c r="E4400" s="11"/>
      <c r="F4400" s="11"/>
      <c r="G4400" s="11"/>
      <c r="H4400" s="11"/>
      <c r="I4400" s="11"/>
    </row>
    <row r="4401" spans="2:9" x14ac:dyDescent="0.2">
      <c r="B4401" s="11"/>
      <c r="C4401" s="11"/>
      <c r="D4401" s="11"/>
      <c r="E4401" s="11"/>
      <c r="F4401" s="11"/>
      <c r="G4401" s="11"/>
      <c r="H4401" s="11"/>
      <c r="I4401" s="11"/>
    </row>
    <row r="4402" spans="2:9" x14ac:dyDescent="0.2">
      <c r="B4402" s="11"/>
      <c r="C4402" s="11"/>
      <c r="D4402" s="11"/>
      <c r="E4402" s="11"/>
      <c r="F4402" s="11"/>
      <c r="G4402" s="11"/>
      <c r="H4402" s="11"/>
      <c r="I4402" s="11"/>
    </row>
    <row r="4403" spans="2:9" x14ac:dyDescent="0.2">
      <c r="B4403" s="11"/>
      <c r="C4403" s="11"/>
      <c r="D4403" s="11"/>
      <c r="E4403" s="11"/>
      <c r="F4403" s="11"/>
      <c r="G4403" s="11"/>
      <c r="H4403" s="11"/>
      <c r="I4403" s="11"/>
    </row>
    <row r="4404" spans="2:9" x14ac:dyDescent="0.2">
      <c r="B4404" s="11"/>
      <c r="C4404" s="11"/>
      <c r="D4404" s="11"/>
      <c r="E4404" s="11"/>
      <c r="F4404" s="11"/>
      <c r="G4404" s="11"/>
      <c r="H4404" s="11"/>
      <c r="I4404" s="11"/>
    </row>
    <row r="4405" spans="2:9" x14ac:dyDescent="0.2">
      <c r="B4405" s="11"/>
      <c r="C4405" s="11"/>
      <c r="D4405" s="11"/>
      <c r="E4405" s="11"/>
      <c r="F4405" s="11"/>
      <c r="G4405" s="11"/>
      <c r="H4405" s="11"/>
      <c r="I4405" s="11"/>
    </row>
    <row r="4406" spans="2:9" x14ac:dyDescent="0.2">
      <c r="B4406" s="11"/>
      <c r="C4406" s="11"/>
      <c r="D4406" s="11"/>
      <c r="E4406" s="11"/>
      <c r="F4406" s="11"/>
      <c r="G4406" s="11"/>
      <c r="H4406" s="11"/>
      <c r="I4406" s="11"/>
    </row>
    <row r="4407" spans="2:9" x14ac:dyDescent="0.2">
      <c r="B4407" s="11"/>
      <c r="C4407" s="11"/>
      <c r="D4407" s="11"/>
      <c r="E4407" s="11"/>
      <c r="F4407" s="11"/>
      <c r="G4407" s="11"/>
      <c r="H4407" s="11"/>
      <c r="I4407" s="11"/>
    </row>
    <row r="4408" spans="2:9" x14ac:dyDescent="0.2">
      <c r="B4408" s="11"/>
      <c r="C4408" s="11"/>
      <c r="D4408" s="11"/>
      <c r="E4408" s="11"/>
      <c r="F4408" s="11"/>
      <c r="G4408" s="11"/>
      <c r="H4408" s="11"/>
      <c r="I4408" s="11"/>
    </row>
    <row r="4409" spans="2:9" x14ac:dyDescent="0.2">
      <c r="B4409" s="11"/>
      <c r="C4409" s="11"/>
      <c r="D4409" s="11"/>
      <c r="E4409" s="11"/>
      <c r="F4409" s="11"/>
      <c r="G4409" s="11"/>
      <c r="H4409" s="11"/>
      <c r="I4409" s="11"/>
    </row>
    <row r="4410" spans="2:9" x14ac:dyDescent="0.2">
      <c r="B4410" s="11"/>
      <c r="C4410" s="11"/>
      <c r="D4410" s="11"/>
      <c r="E4410" s="11"/>
      <c r="F4410" s="11"/>
      <c r="G4410" s="11"/>
      <c r="H4410" s="11"/>
      <c r="I4410" s="11"/>
    </row>
    <row r="4411" spans="2:9" x14ac:dyDescent="0.2">
      <c r="B4411" s="11"/>
      <c r="C4411" s="11"/>
      <c r="D4411" s="11"/>
      <c r="E4411" s="11"/>
      <c r="F4411" s="11"/>
      <c r="G4411" s="11"/>
      <c r="H4411" s="11"/>
      <c r="I4411" s="11"/>
    </row>
    <row r="4412" spans="2:9" x14ac:dyDescent="0.2">
      <c r="B4412" s="11"/>
      <c r="C4412" s="11"/>
      <c r="D4412" s="11"/>
      <c r="E4412" s="11"/>
      <c r="F4412" s="11"/>
      <c r="G4412" s="11"/>
      <c r="H4412" s="11"/>
      <c r="I4412" s="11"/>
    </row>
    <row r="4413" spans="2:9" x14ac:dyDescent="0.2">
      <c r="B4413" s="11"/>
      <c r="C4413" s="11"/>
      <c r="D4413" s="11"/>
      <c r="E4413" s="11"/>
      <c r="F4413" s="11"/>
      <c r="G4413" s="11"/>
      <c r="H4413" s="11"/>
      <c r="I4413" s="11"/>
    </row>
    <row r="4414" spans="2:9" x14ac:dyDescent="0.2">
      <c r="B4414" s="11"/>
      <c r="C4414" s="11"/>
      <c r="D4414" s="11"/>
      <c r="E4414" s="11"/>
      <c r="F4414" s="11"/>
      <c r="G4414" s="11"/>
      <c r="H4414" s="11"/>
      <c r="I4414" s="11"/>
    </row>
    <row r="4415" spans="2:9" x14ac:dyDescent="0.2">
      <c r="B4415" s="11"/>
      <c r="C4415" s="11"/>
      <c r="D4415" s="11"/>
      <c r="E4415" s="11"/>
      <c r="F4415" s="11"/>
      <c r="G4415" s="11"/>
      <c r="H4415" s="11"/>
      <c r="I4415" s="11"/>
    </row>
    <row r="4416" spans="2:9" x14ac:dyDescent="0.2">
      <c r="B4416" s="11"/>
      <c r="C4416" s="11"/>
      <c r="D4416" s="11"/>
      <c r="E4416" s="11"/>
      <c r="F4416" s="11"/>
      <c r="G4416" s="11"/>
      <c r="H4416" s="11"/>
      <c r="I4416" s="11"/>
    </row>
    <row r="4417" spans="2:9" x14ac:dyDescent="0.2">
      <c r="B4417" s="11"/>
      <c r="C4417" s="11"/>
      <c r="D4417" s="11"/>
      <c r="E4417" s="11"/>
      <c r="F4417" s="11"/>
      <c r="G4417" s="11"/>
      <c r="H4417" s="11"/>
      <c r="I4417" s="11"/>
    </row>
    <row r="4418" spans="2:9" x14ac:dyDescent="0.2">
      <c r="B4418" s="11"/>
      <c r="C4418" s="11"/>
      <c r="D4418" s="11"/>
      <c r="E4418" s="11"/>
      <c r="F4418" s="11"/>
      <c r="G4418" s="11"/>
      <c r="H4418" s="11"/>
      <c r="I4418" s="11"/>
    </row>
    <row r="4419" spans="2:9" x14ac:dyDescent="0.2">
      <c r="B4419" s="11"/>
      <c r="C4419" s="11"/>
      <c r="D4419" s="11"/>
      <c r="E4419" s="11"/>
      <c r="F4419" s="11"/>
      <c r="G4419" s="11"/>
      <c r="H4419" s="11"/>
      <c r="I4419" s="11"/>
    </row>
    <row r="4420" spans="2:9" x14ac:dyDescent="0.2">
      <c r="B4420" s="11"/>
      <c r="C4420" s="11"/>
      <c r="D4420" s="11"/>
      <c r="E4420" s="11"/>
      <c r="F4420" s="11"/>
      <c r="G4420" s="11"/>
      <c r="H4420" s="11"/>
      <c r="I4420" s="11"/>
    </row>
    <row r="4421" spans="2:9" x14ac:dyDescent="0.2">
      <c r="B4421" s="11"/>
      <c r="C4421" s="11"/>
      <c r="D4421" s="11"/>
      <c r="E4421" s="11"/>
      <c r="F4421" s="11"/>
      <c r="G4421" s="11"/>
      <c r="H4421" s="11"/>
      <c r="I4421" s="11"/>
    </row>
    <row r="4422" spans="2:9" x14ac:dyDescent="0.2">
      <c r="B4422" s="11"/>
      <c r="C4422" s="11"/>
      <c r="D4422" s="11"/>
      <c r="E4422" s="11"/>
      <c r="F4422" s="11"/>
      <c r="G4422" s="11"/>
      <c r="H4422" s="11"/>
      <c r="I4422" s="11"/>
    </row>
    <row r="4423" spans="2:9" x14ac:dyDescent="0.2">
      <c r="B4423" s="11"/>
      <c r="C4423" s="11"/>
      <c r="D4423" s="11"/>
      <c r="E4423" s="11"/>
      <c r="F4423" s="11"/>
      <c r="G4423" s="11"/>
      <c r="H4423" s="11"/>
      <c r="I4423" s="11"/>
    </row>
    <row r="4424" spans="2:9" x14ac:dyDescent="0.2">
      <c r="B4424" s="11"/>
      <c r="C4424" s="11"/>
      <c r="D4424" s="11"/>
      <c r="E4424" s="11"/>
      <c r="F4424" s="11"/>
      <c r="G4424" s="11"/>
      <c r="H4424" s="11"/>
      <c r="I4424" s="11"/>
    </row>
    <row r="4425" spans="2:9" x14ac:dyDescent="0.2">
      <c r="B4425" s="11"/>
      <c r="C4425" s="11"/>
      <c r="D4425" s="11"/>
      <c r="E4425" s="11"/>
      <c r="F4425" s="11"/>
      <c r="G4425" s="11"/>
      <c r="H4425" s="11"/>
      <c r="I4425" s="11"/>
    </row>
    <row r="4426" spans="2:9" x14ac:dyDescent="0.2">
      <c r="B4426" s="11"/>
      <c r="C4426" s="11"/>
      <c r="D4426" s="11"/>
      <c r="E4426" s="11"/>
      <c r="F4426" s="11"/>
      <c r="G4426" s="11"/>
      <c r="H4426" s="11"/>
      <c r="I4426" s="11"/>
    </row>
    <row r="4427" spans="2:9" x14ac:dyDescent="0.2">
      <c r="B4427" s="11"/>
      <c r="C4427" s="11"/>
      <c r="D4427" s="11"/>
      <c r="E4427" s="11"/>
      <c r="F4427" s="11"/>
      <c r="G4427" s="11"/>
      <c r="H4427" s="11"/>
      <c r="I4427" s="11"/>
    </row>
    <row r="4428" spans="2:9" x14ac:dyDescent="0.2">
      <c r="B4428" s="11"/>
      <c r="C4428" s="11"/>
      <c r="D4428" s="11"/>
      <c r="E4428" s="11"/>
      <c r="F4428" s="11"/>
      <c r="G4428" s="11"/>
      <c r="H4428" s="11"/>
      <c r="I4428" s="11"/>
    </row>
    <row r="4429" spans="2:9" x14ac:dyDescent="0.2">
      <c r="B4429" s="11"/>
      <c r="C4429" s="11"/>
      <c r="D4429" s="11"/>
      <c r="E4429" s="11"/>
      <c r="F4429" s="11"/>
      <c r="G4429" s="11"/>
      <c r="H4429" s="11"/>
      <c r="I4429" s="11"/>
    </row>
    <row r="4430" spans="2:9" x14ac:dyDescent="0.2">
      <c r="B4430" s="11"/>
      <c r="C4430" s="11"/>
      <c r="D4430" s="11"/>
      <c r="E4430" s="11"/>
      <c r="F4430" s="11"/>
      <c r="G4430" s="11"/>
      <c r="H4430" s="11"/>
      <c r="I4430" s="11"/>
    </row>
    <row r="4431" spans="2:9" x14ac:dyDescent="0.2">
      <c r="B4431" s="11"/>
      <c r="C4431" s="11"/>
      <c r="D4431" s="11"/>
      <c r="E4431" s="11"/>
      <c r="F4431" s="11"/>
      <c r="G4431" s="11"/>
      <c r="H4431" s="11"/>
      <c r="I4431" s="11"/>
    </row>
    <row r="4432" spans="2:9" x14ac:dyDescent="0.2">
      <c r="B4432" s="11"/>
      <c r="C4432" s="11"/>
      <c r="D4432" s="11"/>
      <c r="E4432" s="11"/>
      <c r="F4432" s="11"/>
      <c r="G4432" s="11"/>
      <c r="H4432" s="11"/>
      <c r="I4432" s="11"/>
    </row>
    <row r="4433" spans="2:9" x14ac:dyDescent="0.2">
      <c r="B4433" s="11"/>
      <c r="C4433" s="11"/>
      <c r="D4433" s="11"/>
      <c r="E4433" s="11"/>
      <c r="F4433" s="11"/>
      <c r="G4433" s="11"/>
      <c r="H4433" s="11"/>
      <c r="I4433" s="11"/>
    </row>
    <row r="4434" spans="2:9" x14ac:dyDescent="0.2">
      <c r="B4434" s="11"/>
      <c r="C4434" s="11"/>
      <c r="D4434" s="11"/>
      <c r="E4434" s="11"/>
      <c r="F4434" s="11"/>
      <c r="G4434" s="11"/>
      <c r="H4434" s="11"/>
      <c r="I4434" s="11"/>
    </row>
    <row r="4435" spans="2:9" x14ac:dyDescent="0.2">
      <c r="B4435" s="11"/>
      <c r="C4435" s="11"/>
      <c r="D4435" s="11"/>
      <c r="E4435" s="11"/>
      <c r="F4435" s="11"/>
      <c r="G4435" s="11"/>
      <c r="H4435" s="11"/>
      <c r="I4435" s="11"/>
    </row>
    <row r="4436" spans="2:9" x14ac:dyDescent="0.2">
      <c r="B4436" s="11"/>
      <c r="C4436" s="11"/>
      <c r="D4436" s="11"/>
      <c r="E4436" s="11"/>
      <c r="F4436" s="11"/>
      <c r="G4436" s="11"/>
      <c r="H4436" s="11"/>
      <c r="I4436" s="11"/>
    </row>
    <row r="4437" spans="2:9" x14ac:dyDescent="0.2">
      <c r="B4437" s="11"/>
      <c r="C4437" s="11"/>
      <c r="D4437" s="11"/>
      <c r="E4437" s="11"/>
      <c r="F4437" s="11"/>
      <c r="G4437" s="11"/>
      <c r="H4437" s="11"/>
      <c r="I4437" s="11"/>
    </row>
    <row r="4438" spans="2:9" x14ac:dyDescent="0.2">
      <c r="B4438" s="11"/>
      <c r="C4438" s="11"/>
      <c r="D4438" s="11"/>
      <c r="E4438" s="11"/>
      <c r="F4438" s="11"/>
      <c r="G4438" s="11"/>
      <c r="H4438" s="11"/>
      <c r="I4438" s="11"/>
    </row>
    <row r="4439" spans="2:9" x14ac:dyDescent="0.2">
      <c r="B4439" s="11"/>
      <c r="C4439" s="11"/>
      <c r="D4439" s="11"/>
      <c r="E4439" s="11"/>
      <c r="F4439" s="11"/>
      <c r="G4439" s="11"/>
      <c r="H4439" s="11"/>
      <c r="I4439" s="11"/>
    </row>
    <row r="4440" spans="2:9" x14ac:dyDescent="0.2">
      <c r="B4440" s="11"/>
      <c r="C4440" s="11"/>
      <c r="D4440" s="11"/>
      <c r="E4440" s="11"/>
      <c r="F4440" s="11"/>
      <c r="G4440" s="11"/>
      <c r="H4440" s="11"/>
      <c r="I4440" s="11"/>
    </row>
    <row r="4441" spans="2:9" x14ac:dyDescent="0.2">
      <c r="B4441" s="11"/>
      <c r="C4441" s="11"/>
      <c r="D4441" s="11"/>
      <c r="E4441" s="11"/>
      <c r="F4441" s="11"/>
      <c r="G4441" s="11"/>
      <c r="H4441" s="11"/>
      <c r="I4441" s="11"/>
    </row>
    <row r="4442" spans="2:9" x14ac:dyDescent="0.2">
      <c r="B4442" s="11"/>
      <c r="C4442" s="11"/>
      <c r="D4442" s="11"/>
      <c r="E4442" s="11"/>
      <c r="F4442" s="11"/>
      <c r="G4442" s="11"/>
      <c r="H4442" s="11"/>
      <c r="I4442" s="11"/>
    </row>
    <row r="4443" spans="2:9" x14ac:dyDescent="0.2">
      <c r="B4443" s="11"/>
      <c r="C4443" s="11"/>
      <c r="D4443" s="11"/>
      <c r="E4443" s="11"/>
      <c r="F4443" s="11"/>
      <c r="G4443" s="11"/>
      <c r="H4443" s="11"/>
      <c r="I4443" s="11"/>
    </row>
    <row r="4444" spans="2:9" x14ac:dyDescent="0.2">
      <c r="B4444" s="11"/>
      <c r="C4444" s="11"/>
      <c r="D4444" s="11"/>
      <c r="E4444" s="11"/>
      <c r="F4444" s="11"/>
      <c r="G4444" s="11"/>
      <c r="H4444" s="11"/>
      <c r="I4444" s="11"/>
    </row>
    <row r="4445" spans="2:9" x14ac:dyDescent="0.2">
      <c r="B4445" s="11"/>
      <c r="C4445" s="11"/>
      <c r="D4445" s="11"/>
      <c r="E4445" s="11"/>
      <c r="F4445" s="11"/>
      <c r="G4445" s="11"/>
      <c r="H4445" s="11"/>
      <c r="I4445" s="11"/>
    </row>
    <row r="4446" spans="2:9" x14ac:dyDescent="0.2">
      <c r="B4446" s="11"/>
      <c r="C4446" s="11"/>
      <c r="D4446" s="11"/>
      <c r="E4446" s="11"/>
      <c r="F4446" s="11"/>
      <c r="G4446" s="11"/>
      <c r="H4446" s="11"/>
      <c r="I4446" s="11"/>
    </row>
    <row r="4447" spans="2:9" x14ac:dyDescent="0.2">
      <c r="B4447" s="11"/>
      <c r="C4447" s="11"/>
      <c r="D4447" s="11"/>
      <c r="E4447" s="11"/>
      <c r="F4447" s="11"/>
      <c r="G4447" s="11"/>
      <c r="H4447" s="11"/>
      <c r="I4447" s="11"/>
    </row>
    <row r="4448" spans="2:9" x14ac:dyDescent="0.2">
      <c r="B4448" s="11"/>
      <c r="C4448" s="11"/>
      <c r="D4448" s="11"/>
      <c r="E4448" s="11"/>
      <c r="F4448" s="11"/>
      <c r="G4448" s="11"/>
      <c r="H4448" s="11"/>
      <c r="I4448" s="11"/>
    </row>
    <row r="4449" spans="2:9" x14ac:dyDescent="0.2">
      <c r="B4449" s="11"/>
      <c r="C4449" s="11"/>
      <c r="D4449" s="11"/>
      <c r="E4449" s="11"/>
      <c r="F4449" s="11"/>
      <c r="G4449" s="11"/>
      <c r="H4449" s="11"/>
      <c r="I4449" s="11"/>
    </row>
    <row r="4450" spans="2:9" x14ac:dyDescent="0.2">
      <c r="B4450" s="11"/>
      <c r="C4450" s="11"/>
      <c r="D4450" s="11"/>
      <c r="E4450" s="11"/>
      <c r="F4450" s="11"/>
      <c r="G4450" s="11"/>
      <c r="H4450" s="11"/>
      <c r="I4450" s="11"/>
    </row>
    <row r="4451" spans="2:9" x14ac:dyDescent="0.2">
      <c r="B4451" s="11"/>
      <c r="C4451" s="11"/>
      <c r="D4451" s="11"/>
      <c r="E4451" s="11"/>
      <c r="F4451" s="11"/>
      <c r="G4451" s="11"/>
      <c r="H4451" s="11"/>
      <c r="I4451" s="11"/>
    </row>
    <row r="4452" spans="2:9" x14ac:dyDescent="0.2">
      <c r="B4452" s="11"/>
      <c r="C4452" s="11"/>
      <c r="D4452" s="11"/>
      <c r="E4452" s="11"/>
      <c r="F4452" s="11"/>
      <c r="G4452" s="11"/>
      <c r="H4452" s="11"/>
      <c r="I4452" s="11"/>
    </row>
    <row r="4453" spans="2:9" x14ac:dyDescent="0.2">
      <c r="B4453" s="11"/>
      <c r="C4453" s="11"/>
      <c r="D4453" s="11"/>
      <c r="E4453" s="11"/>
      <c r="F4453" s="11"/>
      <c r="G4453" s="11"/>
      <c r="H4453" s="11"/>
      <c r="I4453" s="11"/>
    </row>
    <row r="4454" spans="2:9" x14ac:dyDescent="0.2">
      <c r="B4454" s="11"/>
      <c r="C4454" s="11"/>
      <c r="D4454" s="11"/>
      <c r="E4454" s="11"/>
      <c r="F4454" s="11"/>
      <c r="G4454" s="11"/>
      <c r="H4454" s="11"/>
      <c r="I4454" s="11"/>
    </row>
    <row r="4455" spans="2:9" x14ac:dyDescent="0.2">
      <c r="B4455" s="11"/>
      <c r="C4455" s="11"/>
      <c r="D4455" s="11"/>
      <c r="E4455" s="11"/>
      <c r="F4455" s="11"/>
      <c r="G4455" s="11"/>
      <c r="H4455" s="11"/>
      <c r="I4455" s="11"/>
    </row>
    <row r="4456" spans="2:9" x14ac:dyDescent="0.2">
      <c r="B4456" s="11"/>
      <c r="C4456" s="11"/>
      <c r="D4456" s="11"/>
      <c r="E4456" s="11"/>
      <c r="F4456" s="11"/>
      <c r="G4456" s="11"/>
      <c r="H4456" s="11"/>
      <c r="I4456" s="11"/>
    </row>
    <row r="4457" spans="2:9" x14ac:dyDescent="0.2">
      <c r="B4457" s="11"/>
      <c r="C4457" s="11"/>
      <c r="D4457" s="11"/>
      <c r="E4457" s="11"/>
      <c r="F4457" s="11"/>
      <c r="G4457" s="11"/>
      <c r="H4457" s="11"/>
      <c r="I4457" s="11"/>
    </row>
    <row r="4458" spans="2:9" x14ac:dyDescent="0.2">
      <c r="B4458" s="11"/>
      <c r="C4458" s="11"/>
      <c r="D4458" s="11"/>
      <c r="E4458" s="11"/>
      <c r="F4458" s="11"/>
      <c r="G4458" s="11"/>
      <c r="H4458" s="11"/>
      <c r="I4458" s="11"/>
    </row>
    <row r="4459" spans="2:9" x14ac:dyDescent="0.2">
      <c r="B4459" s="11"/>
      <c r="C4459" s="11"/>
      <c r="D4459" s="11"/>
      <c r="E4459" s="11"/>
      <c r="F4459" s="11"/>
      <c r="G4459" s="11"/>
      <c r="H4459" s="11"/>
      <c r="I4459" s="11"/>
    </row>
    <row r="4460" spans="2:9" x14ac:dyDescent="0.2">
      <c r="B4460" s="11"/>
      <c r="C4460" s="11"/>
      <c r="D4460" s="11"/>
      <c r="E4460" s="11"/>
      <c r="F4460" s="11"/>
      <c r="G4460" s="11"/>
      <c r="H4460" s="11"/>
      <c r="I4460" s="11"/>
    </row>
    <row r="4461" spans="2:9" x14ac:dyDescent="0.2">
      <c r="B4461" s="11"/>
      <c r="C4461" s="11"/>
      <c r="D4461" s="11"/>
      <c r="E4461" s="11"/>
      <c r="F4461" s="11"/>
      <c r="G4461" s="11"/>
      <c r="H4461" s="11"/>
      <c r="I4461" s="11"/>
    </row>
    <row r="4462" spans="2:9" x14ac:dyDescent="0.2">
      <c r="B4462" s="11"/>
      <c r="C4462" s="11"/>
      <c r="D4462" s="11"/>
      <c r="E4462" s="11"/>
      <c r="F4462" s="11"/>
      <c r="G4462" s="11"/>
      <c r="H4462" s="11"/>
      <c r="I4462" s="11"/>
    </row>
    <row r="4463" spans="2:9" x14ac:dyDescent="0.2">
      <c r="B4463" s="11"/>
      <c r="C4463" s="11"/>
      <c r="D4463" s="11"/>
      <c r="E4463" s="11"/>
      <c r="F4463" s="11"/>
      <c r="G4463" s="11"/>
      <c r="H4463" s="11"/>
      <c r="I4463" s="11"/>
    </row>
    <row r="4464" spans="2:9" x14ac:dyDescent="0.2">
      <c r="B4464" s="11"/>
      <c r="C4464" s="11"/>
      <c r="D4464" s="11"/>
      <c r="E4464" s="11"/>
      <c r="F4464" s="11"/>
      <c r="G4464" s="11"/>
      <c r="H4464" s="11"/>
      <c r="I4464" s="11"/>
    </row>
    <row r="4465" spans="2:9" x14ac:dyDescent="0.2">
      <c r="B4465" s="11"/>
      <c r="C4465" s="11"/>
      <c r="D4465" s="11"/>
      <c r="E4465" s="11"/>
      <c r="F4465" s="11"/>
      <c r="G4465" s="11"/>
      <c r="H4465" s="11"/>
      <c r="I4465" s="11"/>
    </row>
    <row r="4466" spans="2:9" x14ac:dyDescent="0.2">
      <c r="B4466" s="11"/>
      <c r="C4466" s="11"/>
      <c r="D4466" s="11"/>
      <c r="E4466" s="11"/>
      <c r="F4466" s="11"/>
      <c r="G4466" s="11"/>
      <c r="H4466" s="11"/>
      <c r="I4466" s="11"/>
    </row>
    <row r="4467" spans="2:9" x14ac:dyDescent="0.2">
      <c r="B4467" s="11"/>
      <c r="C4467" s="11"/>
      <c r="D4467" s="11"/>
      <c r="E4467" s="11"/>
      <c r="F4467" s="11"/>
      <c r="G4467" s="11"/>
      <c r="H4467" s="11"/>
      <c r="I4467" s="11"/>
    </row>
    <row r="4468" spans="2:9" x14ac:dyDescent="0.2">
      <c r="B4468" s="11"/>
      <c r="C4468" s="11"/>
      <c r="D4468" s="11"/>
      <c r="E4468" s="11"/>
      <c r="F4468" s="11"/>
      <c r="G4468" s="11"/>
      <c r="H4468" s="11"/>
      <c r="I4468" s="11"/>
    </row>
    <row r="4469" spans="2:9" x14ac:dyDescent="0.2">
      <c r="B4469" s="11"/>
      <c r="C4469" s="11"/>
      <c r="D4469" s="11"/>
      <c r="E4469" s="11"/>
      <c r="F4469" s="11"/>
      <c r="G4469" s="11"/>
      <c r="H4469" s="11"/>
      <c r="I4469" s="11"/>
    </row>
    <row r="4470" spans="2:9" x14ac:dyDescent="0.2">
      <c r="B4470" s="11"/>
      <c r="C4470" s="11"/>
      <c r="D4470" s="11"/>
      <c r="E4470" s="11"/>
      <c r="F4470" s="11"/>
      <c r="G4470" s="11"/>
      <c r="H4470" s="11"/>
      <c r="I4470" s="11"/>
    </row>
    <row r="4471" spans="2:9" x14ac:dyDescent="0.2">
      <c r="B4471" s="11"/>
      <c r="C4471" s="11"/>
      <c r="D4471" s="11"/>
      <c r="E4471" s="11"/>
      <c r="F4471" s="11"/>
      <c r="G4471" s="11"/>
      <c r="H4471" s="11"/>
      <c r="I4471" s="11"/>
    </row>
    <row r="4472" spans="2:9" x14ac:dyDescent="0.2">
      <c r="B4472" s="11"/>
      <c r="C4472" s="11"/>
      <c r="D4472" s="11"/>
      <c r="E4472" s="11"/>
      <c r="F4472" s="11"/>
      <c r="G4472" s="11"/>
      <c r="H4472" s="11"/>
      <c r="I4472" s="11"/>
    </row>
    <row r="4473" spans="2:9" x14ac:dyDescent="0.2">
      <c r="B4473" s="11"/>
      <c r="C4473" s="11"/>
      <c r="D4473" s="11"/>
      <c r="E4473" s="11"/>
      <c r="F4473" s="11"/>
      <c r="G4473" s="11"/>
      <c r="H4473" s="11"/>
      <c r="I4473" s="11"/>
    </row>
    <row r="4474" spans="2:9" x14ac:dyDescent="0.2">
      <c r="B4474" s="11"/>
      <c r="C4474" s="11"/>
      <c r="D4474" s="11"/>
      <c r="E4474" s="11"/>
      <c r="F4474" s="11"/>
      <c r="G4474" s="11"/>
      <c r="H4474" s="11"/>
      <c r="I4474" s="11"/>
    </row>
    <row r="4475" spans="2:9" x14ac:dyDescent="0.2">
      <c r="B4475" s="11"/>
      <c r="C4475" s="11"/>
      <c r="D4475" s="11"/>
      <c r="E4475" s="11"/>
      <c r="F4475" s="11"/>
      <c r="G4475" s="11"/>
      <c r="H4475" s="11"/>
      <c r="I4475" s="11"/>
    </row>
    <row r="4476" spans="2:9" x14ac:dyDescent="0.2">
      <c r="B4476" s="11"/>
      <c r="C4476" s="11"/>
      <c r="D4476" s="11"/>
      <c r="E4476" s="11"/>
      <c r="F4476" s="11"/>
      <c r="G4476" s="11"/>
      <c r="H4476" s="11"/>
      <c r="I4476" s="11"/>
    </row>
    <row r="4477" spans="2:9" x14ac:dyDescent="0.2">
      <c r="B4477" s="11"/>
      <c r="C4477" s="11"/>
      <c r="D4477" s="11"/>
      <c r="E4477" s="11"/>
      <c r="F4477" s="11"/>
      <c r="G4477" s="11"/>
      <c r="H4477" s="11"/>
      <c r="I4477" s="11"/>
    </row>
    <row r="4478" spans="2:9" x14ac:dyDescent="0.2">
      <c r="B4478" s="11"/>
      <c r="C4478" s="11"/>
      <c r="D4478" s="11"/>
      <c r="E4478" s="11"/>
      <c r="F4478" s="11"/>
      <c r="G4478" s="11"/>
      <c r="H4478" s="11"/>
      <c r="I4478" s="11"/>
    </row>
    <row r="4479" spans="2:9" x14ac:dyDescent="0.2">
      <c r="B4479" s="11"/>
      <c r="C4479" s="11"/>
      <c r="D4479" s="11"/>
      <c r="E4479" s="11"/>
      <c r="F4479" s="11"/>
      <c r="G4479" s="11"/>
      <c r="H4479" s="11"/>
      <c r="I4479" s="11"/>
    </row>
    <row r="4480" spans="2:9" x14ac:dyDescent="0.2">
      <c r="B4480" s="11"/>
      <c r="C4480" s="11"/>
      <c r="D4480" s="11"/>
      <c r="E4480" s="11"/>
      <c r="F4480" s="11"/>
      <c r="G4480" s="11"/>
      <c r="H4480" s="11"/>
      <c r="I4480" s="11"/>
    </row>
    <row r="4481" spans="2:9" x14ac:dyDescent="0.2">
      <c r="B4481" s="11"/>
      <c r="C4481" s="11"/>
      <c r="D4481" s="11"/>
      <c r="E4481" s="11"/>
      <c r="F4481" s="11"/>
      <c r="G4481" s="11"/>
      <c r="H4481" s="11"/>
      <c r="I4481" s="11"/>
    </row>
    <row r="4482" spans="2:9" x14ac:dyDescent="0.2">
      <c r="B4482" s="11"/>
      <c r="C4482" s="11"/>
      <c r="D4482" s="11"/>
      <c r="E4482" s="11"/>
      <c r="F4482" s="11"/>
      <c r="G4482" s="11"/>
      <c r="H4482" s="11"/>
      <c r="I4482" s="11"/>
    </row>
    <row r="4483" spans="2:9" x14ac:dyDescent="0.2">
      <c r="B4483" s="11"/>
      <c r="C4483" s="11"/>
      <c r="D4483" s="11"/>
      <c r="E4483" s="11"/>
      <c r="F4483" s="11"/>
      <c r="G4483" s="11"/>
      <c r="H4483" s="11"/>
      <c r="I4483" s="11"/>
    </row>
    <row r="4484" spans="2:9" x14ac:dyDescent="0.2">
      <c r="B4484" s="11"/>
      <c r="C4484" s="11"/>
      <c r="D4484" s="11"/>
      <c r="E4484" s="11"/>
      <c r="F4484" s="11"/>
      <c r="G4484" s="11"/>
      <c r="H4484" s="11"/>
      <c r="I4484" s="11"/>
    </row>
    <row r="4485" spans="2:9" x14ac:dyDescent="0.2">
      <c r="B4485" s="11"/>
      <c r="C4485" s="11"/>
      <c r="D4485" s="11"/>
      <c r="E4485" s="11"/>
      <c r="F4485" s="11"/>
      <c r="G4485" s="11"/>
      <c r="H4485" s="11"/>
      <c r="I4485" s="11"/>
    </row>
    <row r="4486" spans="2:9" x14ac:dyDescent="0.2">
      <c r="B4486" s="11"/>
      <c r="C4486" s="11"/>
      <c r="D4486" s="11"/>
      <c r="E4486" s="11"/>
      <c r="F4486" s="11"/>
      <c r="G4486" s="11"/>
      <c r="H4486" s="11"/>
      <c r="I4486" s="11"/>
    </row>
    <row r="4487" spans="2:9" x14ac:dyDescent="0.2">
      <c r="B4487" s="11"/>
      <c r="C4487" s="11"/>
      <c r="D4487" s="11"/>
      <c r="E4487" s="11"/>
      <c r="F4487" s="11"/>
      <c r="G4487" s="11"/>
      <c r="H4487" s="11"/>
      <c r="I4487" s="11"/>
    </row>
    <row r="4488" spans="2:9" x14ac:dyDescent="0.2">
      <c r="B4488" s="11"/>
      <c r="C4488" s="11"/>
      <c r="D4488" s="11"/>
      <c r="E4488" s="11"/>
      <c r="F4488" s="11"/>
      <c r="G4488" s="11"/>
      <c r="H4488" s="11"/>
      <c r="I4488" s="11"/>
    </row>
    <row r="4489" spans="2:9" x14ac:dyDescent="0.2">
      <c r="B4489" s="11"/>
      <c r="C4489" s="11"/>
      <c r="D4489" s="11"/>
      <c r="E4489" s="11"/>
      <c r="F4489" s="11"/>
      <c r="G4489" s="11"/>
      <c r="H4489" s="11"/>
      <c r="I4489" s="11"/>
    </row>
    <row r="4490" spans="2:9" x14ac:dyDescent="0.2">
      <c r="B4490" s="11"/>
      <c r="C4490" s="11"/>
      <c r="D4490" s="11"/>
      <c r="E4490" s="11"/>
      <c r="F4490" s="11"/>
      <c r="G4490" s="11"/>
      <c r="H4490" s="11"/>
      <c r="I4490" s="11"/>
    </row>
    <row r="4491" spans="2:9" x14ac:dyDescent="0.2">
      <c r="B4491" s="11"/>
      <c r="C4491" s="11"/>
      <c r="D4491" s="11"/>
      <c r="E4491" s="11"/>
      <c r="F4491" s="11"/>
      <c r="G4491" s="11"/>
      <c r="H4491" s="11"/>
      <c r="I4491" s="11"/>
    </row>
    <row r="4492" spans="2:9" x14ac:dyDescent="0.2">
      <c r="B4492" s="11"/>
      <c r="C4492" s="11"/>
      <c r="D4492" s="11"/>
      <c r="E4492" s="11"/>
      <c r="F4492" s="11"/>
      <c r="G4492" s="11"/>
      <c r="H4492" s="11"/>
      <c r="I4492" s="11"/>
    </row>
    <row r="4493" spans="2:9" x14ac:dyDescent="0.2">
      <c r="B4493" s="11"/>
      <c r="C4493" s="11"/>
      <c r="D4493" s="11"/>
      <c r="E4493" s="11"/>
      <c r="F4493" s="11"/>
      <c r="G4493" s="11"/>
      <c r="H4493" s="11"/>
      <c r="I4493" s="11"/>
    </row>
    <row r="4494" spans="2:9" x14ac:dyDescent="0.2">
      <c r="B4494" s="11"/>
      <c r="C4494" s="11"/>
      <c r="D4494" s="11"/>
      <c r="E4494" s="11"/>
      <c r="F4494" s="11"/>
      <c r="G4494" s="11"/>
      <c r="H4494" s="11"/>
      <c r="I4494" s="11"/>
    </row>
    <row r="4495" spans="2:9" x14ac:dyDescent="0.2">
      <c r="B4495" s="11"/>
      <c r="C4495" s="11"/>
      <c r="D4495" s="11"/>
      <c r="E4495" s="11"/>
      <c r="F4495" s="11"/>
      <c r="G4495" s="11"/>
      <c r="H4495" s="11"/>
      <c r="I4495" s="11"/>
    </row>
    <row r="4496" spans="2:9" x14ac:dyDescent="0.2">
      <c r="B4496" s="11"/>
      <c r="C4496" s="11"/>
      <c r="D4496" s="11"/>
      <c r="E4496" s="11"/>
      <c r="F4496" s="11"/>
      <c r="G4496" s="11"/>
      <c r="H4496" s="11"/>
      <c r="I4496" s="11"/>
    </row>
    <row r="4497" spans="2:9" x14ac:dyDescent="0.2">
      <c r="B4497" s="11"/>
      <c r="C4497" s="11"/>
      <c r="D4497" s="11"/>
      <c r="E4497" s="11"/>
      <c r="F4497" s="11"/>
      <c r="G4497" s="11"/>
      <c r="H4497" s="11"/>
      <c r="I4497" s="11"/>
    </row>
    <row r="4498" spans="2:9" x14ac:dyDescent="0.2">
      <c r="B4498" s="11"/>
      <c r="C4498" s="11"/>
      <c r="D4498" s="11"/>
      <c r="E4498" s="11"/>
      <c r="F4498" s="11"/>
      <c r="G4498" s="11"/>
      <c r="H4498" s="11"/>
      <c r="I4498" s="11"/>
    </row>
    <row r="4499" spans="2:9" x14ac:dyDescent="0.2">
      <c r="B4499" s="11"/>
      <c r="C4499" s="11"/>
      <c r="D4499" s="11"/>
      <c r="E4499" s="11"/>
      <c r="F4499" s="11"/>
      <c r="G4499" s="11"/>
      <c r="H4499" s="11"/>
      <c r="I4499" s="11"/>
    </row>
    <row r="4500" spans="2:9" x14ac:dyDescent="0.2">
      <c r="B4500" s="11"/>
      <c r="C4500" s="11"/>
      <c r="D4500" s="11"/>
      <c r="E4500" s="11"/>
      <c r="F4500" s="11"/>
      <c r="G4500" s="11"/>
      <c r="H4500" s="11"/>
      <c r="I4500" s="11"/>
    </row>
    <row r="4501" spans="2:9" x14ac:dyDescent="0.2">
      <c r="B4501" s="11"/>
      <c r="C4501" s="11"/>
      <c r="D4501" s="11"/>
      <c r="E4501" s="11"/>
      <c r="F4501" s="11"/>
      <c r="G4501" s="11"/>
      <c r="H4501" s="11"/>
      <c r="I4501" s="11"/>
    </row>
    <row r="4502" spans="2:9" x14ac:dyDescent="0.2">
      <c r="B4502" s="11"/>
      <c r="C4502" s="11"/>
      <c r="D4502" s="11"/>
      <c r="E4502" s="11"/>
      <c r="F4502" s="11"/>
      <c r="G4502" s="11"/>
      <c r="H4502" s="11"/>
      <c r="I4502" s="11"/>
    </row>
    <row r="4503" spans="2:9" x14ac:dyDescent="0.2">
      <c r="B4503" s="11"/>
      <c r="C4503" s="11"/>
      <c r="D4503" s="11"/>
      <c r="E4503" s="11"/>
      <c r="F4503" s="11"/>
      <c r="G4503" s="11"/>
      <c r="H4503" s="11"/>
      <c r="I4503" s="11"/>
    </row>
    <row r="4504" spans="2:9" x14ac:dyDescent="0.2">
      <c r="B4504" s="11"/>
      <c r="C4504" s="11"/>
      <c r="D4504" s="11"/>
      <c r="E4504" s="11"/>
      <c r="F4504" s="11"/>
      <c r="G4504" s="11"/>
      <c r="H4504" s="11"/>
      <c r="I4504" s="11"/>
    </row>
    <row r="4505" spans="2:9" x14ac:dyDescent="0.2">
      <c r="B4505" s="11"/>
      <c r="C4505" s="11"/>
      <c r="D4505" s="11"/>
      <c r="E4505" s="11"/>
      <c r="F4505" s="11"/>
      <c r="G4505" s="11"/>
      <c r="H4505" s="11"/>
      <c r="I4505" s="11"/>
    </row>
    <row r="4506" spans="2:9" x14ac:dyDescent="0.2">
      <c r="B4506" s="11"/>
      <c r="C4506" s="11"/>
      <c r="D4506" s="11"/>
      <c r="E4506" s="11"/>
      <c r="F4506" s="11"/>
      <c r="G4506" s="11"/>
      <c r="H4506" s="11"/>
      <c r="I4506" s="11"/>
    </row>
    <row r="4507" spans="2:9" x14ac:dyDescent="0.2">
      <c r="B4507" s="11"/>
      <c r="C4507" s="11"/>
      <c r="D4507" s="11"/>
      <c r="E4507" s="11"/>
      <c r="F4507" s="11"/>
      <c r="G4507" s="11"/>
      <c r="H4507" s="11"/>
      <c r="I4507" s="11"/>
    </row>
    <row r="4508" spans="2:9" x14ac:dyDescent="0.2">
      <c r="B4508" s="11"/>
      <c r="C4508" s="11"/>
      <c r="D4508" s="11"/>
      <c r="E4508" s="11"/>
      <c r="F4508" s="11"/>
      <c r="G4508" s="11"/>
      <c r="H4508" s="11"/>
      <c r="I4508" s="11"/>
    </row>
    <row r="4509" spans="2:9" x14ac:dyDescent="0.2">
      <c r="B4509" s="11"/>
      <c r="C4509" s="11"/>
      <c r="D4509" s="11"/>
      <c r="E4509" s="11"/>
      <c r="F4509" s="11"/>
      <c r="G4509" s="11"/>
      <c r="H4509" s="11"/>
      <c r="I4509" s="11"/>
    </row>
    <row r="4510" spans="2:9" x14ac:dyDescent="0.2">
      <c r="B4510" s="11"/>
      <c r="C4510" s="11"/>
      <c r="D4510" s="11"/>
      <c r="E4510" s="11"/>
      <c r="F4510" s="11"/>
      <c r="G4510" s="11"/>
      <c r="H4510" s="11"/>
      <c r="I4510" s="11"/>
    </row>
    <row r="4511" spans="2:9" x14ac:dyDescent="0.2">
      <c r="B4511" s="11"/>
      <c r="C4511" s="11"/>
      <c r="D4511" s="11"/>
      <c r="E4511" s="11"/>
      <c r="F4511" s="11"/>
      <c r="G4511" s="11"/>
      <c r="H4511" s="11"/>
      <c r="I4511" s="11"/>
    </row>
    <row r="4512" spans="2:9" x14ac:dyDescent="0.2">
      <c r="B4512" s="11"/>
      <c r="C4512" s="11"/>
      <c r="D4512" s="11"/>
      <c r="E4512" s="11"/>
      <c r="F4512" s="11"/>
      <c r="G4512" s="11"/>
      <c r="H4512" s="11"/>
      <c r="I4512" s="11"/>
    </row>
    <row r="4513" spans="2:9" x14ac:dyDescent="0.2">
      <c r="B4513" s="11"/>
      <c r="C4513" s="11"/>
      <c r="D4513" s="11"/>
      <c r="E4513" s="11"/>
      <c r="F4513" s="11"/>
      <c r="G4513" s="11"/>
      <c r="H4513" s="11"/>
      <c r="I4513" s="11"/>
    </row>
    <row r="4514" spans="2:9" x14ac:dyDescent="0.2">
      <c r="B4514" s="11"/>
      <c r="C4514" s="11"/>
      <c r="D4514" s="11"/>
      <c r="E4514" s="11"/>
      <c r="F4514" s="11"/>
      <c r="G4514" s="11"/>
      <c r="H4514" s="11"/>
      <c r="I4514" s="11"/>
    </row>
    <row r="4515" spans="2:9" x14ac:dyDescent="0.2">
      <c r="B4515" s="11"/>
      <c r="C4515" s="11"/>
      <c r="D4515" s="11"/>
      <c r="E4515" s="11"/>
      <c r="F4515" s="11"/>
      <c r="G4515" s="11"/>
      <c r="H4515" s="11"/>
      <c r="I4515" s="11"/>
    </row>
    <row r="4516" spans="2:9" x14ac:dyDescent="0.2">
      <c r="B4516" s="11"/>
      <c r="C4516" s="11"/>
      <c r="D4516" s="11"/>
      <c r="E4516" s="11"/>
      <c r="F4516" s="11"/>
      <c r="G4516" s="11"/>
      <c r="H4516" s="11"/>
      <c r="I4516" s="11"/>
    </row>
    <row r="4517" spans="2:9" x14ac:dyDescent="0.2">
      <c r="B4517" s="11"/>
      <c r="C4517" s="11"/>
      <c r="D4517" s="11"/>
      <c r="E4517" s="11"/>
      <c r="F4517" s="11"/>
      <c r="G4517" s="11"/>
      <c r="H4517" s="11"/>
      <c r="I4517" s="11"/>
    </row>
    <row r="4518" spans="2:9" x14ac:dyDescent="0.2">
      <c r="B4518" s="11"/>
      <c r="C4518" s="11"/>
      <c r="D4518" s="11"/>
      <c r="E4518" s="11"/>
      <c r="F4518" s="11"/>
      <c r="G4518" s="11"/>
      <c r="H4518" s="11"/>
      <c r="I4518" s="11"/>
    </row>
    <row r="4519" spans="2:9" x14ac:dyDescent="0.2">
      <c r="B4519" s="11"/>
      <c r="C4519" s="11"/>
      <c r="D4519" s="11"/>
      <c r="E4519" s="11"/>
      <c r="F4519" s="11"/>
      <c r="G4519" s="11"/>
      <c r="H4519" s="11"/>
      <c r="I4519" s="11"/>
    </row>
    <row r="4520" spans="2:9" x14ac:dyDescent="0.2">
      <c r="B4520" s="11"/>
      <c r="C4520" s="11"/>
      <c r="D4520" s="11"/>
      <c r="E4520" s="11"/>
      <c r="F4520" s="11"/>
      <c r="G4520" s="11"/>
      <c r="H4520" s="11"/>
      <c r="I4520" s="11"/>
    </row>
    <row r="4521" spans="2:9" x14ac:dyDescent="0.2">
      <c r="B4521" s="11"/>
      <c r="C4521" s="11"/>
      <c r="D4521" s="11"/>
      <c r="E4521" s="11"/>
      <c r="F4521" s="11"/>
      <c r="G4521" s="11"/>
      <c r="H4521" s="11"/>
      <c r="I4521" s="11"/>
    </row>
    <row r="4522" spans="2:9" x14ac:dyDescent="0.2">
      <c r="B4522" s="11"/>
      <c r="C4522" s="11"/>
      <c r="D4522" s="11"/>
      <c r="E4522" s="11"/>
      <c r="F4522" s="11"/>
      <c r="G4522" s="11"/>
      <c r="H4522" s="11"/>
      <c r="I4522" s="11"/>
    </row>
    <row r="4523" spans="2:9" x14ac:dyDescent="0.2">
      <c r="B4523" s="11"/>
      <c r="C4523" s="11"/>
      <c r="D4523" s="11"/>
      <c r="E4523" s="11"/>
      <c r="F4523" s="11"/>
      <c r="G4523" s="11"/>
      <c r="H4523" s="11"/>
      <c r="I4523" s="11"/>
    </row>
    <row r="4524" spans="2:9" x14ac:dyDescent="0.2">
      <c r="B4524" s="11"/>
      <c r="C4524" s="11"/>
      <c r="D4524" s="11"/>
      <c r="E4524" s="11"/>
      <c r="F4524" s="11"/>
      <c r="G4524" s="11"/>
      <c r="H4524" s="11"/>
      <c r="I4524" s="11"/>
    </row>
    <row r="4525" spans="2:9" x14ac:dyDescent="0.2">
      <c r="B4525" s="11"/>
      <c r="C4525" s="11"/>
      <c r="D4525" s="11"/>
      <c r="E4525" s="11"/>
      <c r="F4525" s="11"/>
      <c r="G4525" s="11"/>
      <c r="H4525" s="11"/>
      <c r="I4525" s="11"/>
    </row>
    <row r="4526" spans="2:9" x14ac:dyDescent="0.2">
      <c r="B4526" s="11"/>
      <c r="C4526" s="11"/>
      <c r="D4526" s="11"/>
      <c r="E4526" s="11"/>
      <c r="F4526" s="11"/>
      <c r="G4526" s="11"/>
      <c r="H4526" s="11"/>
      <c r="I4526" s="11"/>
    </row>
    <row r="4527" spans="2:9" x14ac:dyDescent="0.2">
      <c r="B4527" s="11"/>
      <c r="C4527" s="11"/>
      <c r="D4527" s="11"/>
      <c r="E4527" s="11"/>
      <c r="F4527" s="11"/>
      <c r="G4527" s="11"/>
      <c r="H4527" s="11"/>
      <c r="I4527" s="11"/>
    </row>
    <row r="4528" spans="2:9" x14ac:dyDescent="0.2">
      <c r="B4528" s="11"/>
      <c r="C4528" s="11"/>
      <c r="D4528" s="11"/>
      <c r="E4528" s="11"/>
      <c r="F4528" s="11"/>
      <c r="G4528" s="11"/>
      <c r="H4528" s="11"/>
      <c r="I4528" s="11"/>
    </row>
    <row r="4529" spans="2:9" x14ac:dyDescent="0.2">
      <c r="B4529" s="11"/>
      <c r="C4529" s="11"/>
      <c r="D4529" s="11"/>
      <c r="E4529" s="11"/>
      <c r="F4529" s="11"/>
      <c r="G4529" s="11"/>
      <c r="H4529" s="11"/>
      <c r="I4529" s="11"/>
    </row>
    <row r="4530" spans="2:9" x14ac:dyDescent="0.2">
      <c r="B4530" s="11"/>
      <c r="C4530" s="11"/>
      <c r="D4530" s="11"/>
      <c r="E4530" s="11"/>
      <c r="F4530" s="11"/>
      <c r="G4530" s="11"/>
      <c r="H4530" s="11"/>
      <c r="I4530" s="11"/>
    </row>
    <row r="4531" spans="2:9" x14ac:dyDescent="0.2">
      <c r="B4531" s="11"/>
      <c r="C4531" s="11"/>
      <c r="D4531" s="11"/>
      <c r="E4531" s="11"/>
      <c r="F4531" s="11"/>
      <c r="G4531" s="11"/>
      <c r="H4531" s="11"/>
      <c r="I4531" s="11"/>
    </row>
    <row r="4532" spans="2:9" x14ac:dyDescent="0.2">
      <c r="B4532" s="11"/>
      <c r="C4532" s="11"/>
      <c r="D4532" s="11"/>
      <c r="E4532" s="11"/>
      <c r="F4532" s="11"/>
      <c r="G4532" s="11"/>
      <c r="H4532" s="11"/>
      <c r="I4532" s="11"/>
    </row>
    <row r="4533" spans="2:9" x14ac:dyDescent="0.2">
      <c r="B4533" s="11"/>
      <c r="C4533" s="11"/>
      <c r="D4533" s="11"/>
      <c r="E4533" s="11"/>
      <c r="F4533" s="11"/>
      <c r="G4533" s="11"/>
      <c r="H4533" s="11"/>
      <c r="I4533" s="11"/>
    </row>
    <row r="4534" spans="2:9" x14ac:dyDescent="0.2">
      <c r="B4534" s="11"/>
      <c r="C4534" s="11"/>
      <c r="D4534" s="11"/>
      <c r="E4534" s="11"/>
      <c r="F4534" s="11"/>
      <c r="G4534" s="11"/>
      <c r="H4534" s="11"/>
      <c r="I4534" s="11"/>
    </row>
    <row r="4535" spans="2:9" x14ac:dyDescent="0.2">
      <c r="B4535" s="11"/>
      <c r="C4535" s="11"/>
      <c r="D4535" s="11"/>
      <c r="E4535" s="11"/>
      <c r="F4535" s="11"/>
      <c r="G4535" s="11"/>
      <c r="H4535" s="11"/>
      <c r="I4535" s="11"/>
    </row>
    <row r="4536" spans="2:9" x14ac:dyDescent="0.2">
      <c r="B4536" s="11"/>
      <c r="C4536" s="11"/>
      <c r="D4536" s="11"/>
      <c r="E4536" s="11"/>
      <c r="F4536" s="11"/>
      <c r="G4536" s="11"/>
      <c r="H4536" s="11"/>
      <c r="I4536" s="11"/>
    </row>
    <row r="4537" spans="2:9" x14ac:dyDescent="0.2">
      <c r="B4537" s="11"/>
      <c r="C4537" s="11"/>
      <c r="D4537" s="11"/>
      <c r="E4537" s="11"/>
      <c r="F4537" s="11"/>
      <c r="G4537" s="11"/>
      <c r="H4537" s="11"/>
      <c r="I4537" s="11"/>
    </row>
    <row r="4538" spans="2:9" x14ac:dyDescent="0.2">
      <c r="B4538" s="11"/>
      <c r="C4538" s="11"/>
      <c r="D4538" s="11"/>
      <c r="E4538" s="11"/>
      <c r="F4538" s="11"/>
      <c r="G4538" s="11"/>
      <c r="H4538" s="11"/>
      <c r="I4538" s="11"/>
    </row>
    <row r="4539" spans="2:9" x14ac:dyDescent="0.2">
      <c r="B4539" s="11"/>
      <c r="C4539" s="11"/>
      <c r="D4539" s="11"/>
      <c r="E4539" s="11"/>
      <c r="F4539" s="11"/>
      <c r="G4539" s="11"/>
      <c r="H4539" s="11"/>
      <c r="I4539" s="11"/>
    </row>
    <row r="4540" spans="2:9" x14ac:dyDescent="0.2">
      <c r="B4540" s="11"/>
      <c r="C4540" s="11"/>
      <c r="D4540" s="11"/>
      <c r="E4540" s="11"/>
      <c r="F4540" s="11"/>
      <c r="G4540" s="11"/>
      <c r="H4540" s="11"/>
      <c r="I4540" s="11"/>
    </row>
    <row r="4541" spans="2:9" x14ac:dyDescent="0.2">
      <c r="B4541" s="11"/>
      <c r="C4541" s="11"/>
      <c r="D4541" s="11"/>
      <c r="E4541" s="11"/>
      <c r="F4541" s="11"/>
      <c r="G4541" s="11"/>
      <c r="H4541" s="11"/>
      <c r="I4541" s="11"/>
    </row>
    <row r="4542" spans="2:9" x14ac:dyDescent="0.2">
      <c r="B4542" s="11"/>
      <c r="C4542" s="11"/>
      <c r="D4542" s="11"/>
      <c r="E4542" s="11"/>
      <c r="F4542" s="11"/>
      <c r="G4542" s="11"/>
      <c r="H4542" s="11"/>
      <c r="I4542" s="11"/>
    </row>
    <row r="4543" spans="2:9" x14ac:dyDescent="0.2">
      <c r="B4543" s="11"/>
      <c r="C4543" s="11"/>
      <c r="D4543" s="11"/>
      <c r="E4543" s="11"/>
      <c r="F4543" s="11"/>
      <c r="G4543" s="11"/>
      <c r="H4543" s="11"/>
      <c r="I4543" s="11"/>
    </row>
    <row r="4544" spans="2:9" x14ac:dyDescent="0.2">
      <c r="B4544" s="11"/>
      <c r="C4544" s="11"/>
      <c r="D4544" s="11"/>
      <c r="E4544" s="11"/>
      <c r="F4544" s="11"/>
      <c r="G4544" s="11"/>
      <c r="H4544" s="11"/>
      <c r="I4544" s="11"/>
    </row>
    <row r="4545" spans="2:9" x14ac:dyDescent="0.2">
      <c r="B4545" s="11"/>
      <c r="C4545" s="11"/>
      <c r="D4545" s="11"/>
      <c r="E4545" s="11"/>
      <c r="F4545" s="11"/>
      <c r="G4545" s="11"/>
      <c r="H4545" s="11"/>
      <c r="I4545" s="11"/>
    </row>
    <row r="4546" spans="2:9" x14ac:dyDescent="0.2">
      <c r="B4546" s="11"/>
      <c r="C4546" s="11"/>
      <c r="D4546" s="11"/>
      <c r="E4546" s="11"/>
      <c r="F4546" s="11"/>
      <c r="G4546" s="11"/>
      <c r="H4546" s="11"/>
      <c r="I4546" s="11"/>
    </row>
    <row r="4547" spans="2:9" x14ac:dyDescent="0.2">
      <c r="B4547" s="11"/>
      <c r="C4547" s="11"/>
      <c r="D4547" s="11"/>
      <c r="E4547" s="11"/>
      <c r="F4547" s="11"/>
      <c r="G4547" s="11"/>
      <c r="H4547" s="11"/>
      <c r="I4547" s="11"/>
    </row>
    <row r="4548" spans="2:9" x14ac:dyDescent="0.2">
      <c r="B4548" s="11"/>
      <c r="C4548" s="11"/>
      <c r="D4548" s="11"/>
      <c r="E4548" s="11"/>
      <c r="F4548" s="11"/>
      <c r="G4548" s="11"/>
      <c r="H4548" s="11"/>
      <c r="I4548" s="11"/>
    </row>
    <row r="4549" spans="2:9" x14ac:dyDescent="0.2">
      <c r="B4549" s="11"/>
      <c r="C4549" s="11"/>
      <c r="D4549" s="11"/>
      <c r="E4549" s="11"/>
      <c r="F4549" s="11"/>
      <c r="G4549" s="11"/>
      <c r="H4549" s="11"/>
      <c r="I4549" s="11"/>
    </row>
    <row r="4550" spans="2:9" x14ac:dyDescent="0.2">
      <c r="B4550" s="11"/>
      <c r="C4550" s="11"/>
      <c r="D4550" s="11"/>
      <c r="E4550" s="11"/>
      <c r="F4550" s="11"/>
      <c r="G4550" s="11"/>
      <c r="H4550" s="11"/>
      <c r="I4550" s="11"/>
    </row>
    <row r="4551" spans="2:9" x14ac:dyDescent="0.2">
      <c r="B4551" s="11"/>
      <c r="C4551" s="11"/>
      <c r="D4551" s="11"/>
      <c r="E4551" s="11"/>
      <c r="F4551" s="11"/>
      <c r="G4551" s="11"/>
      <c r="H4551" s="11"/>
      <c r="I4551" s="11"/>
    </row>
    <row r="4552" spans="2:9" x14ac:dyDescent="0.2">
      <c r="B4552" s="11"/>
      <c r="C4552" s="11"/>
      <c r="D4552" s="11"/>
      <c r="E4552" s="11"/>
      <c r="F4552" s="11"/>
      <c r="G4552" s="11"/>
      <c r="H4552" s="11"/>
      <c r="I4552" s="11"/>
    </row>
    <row r="4553" spans="2:9" x14ac:dyDescent="0.2">
      <c r="B4553" s="11"/>
      <c r="C4553" s="11"/>
      <c r="D4553" s="11"/>
      <c r="E4553" s="11"/>
      <c r="F4553" s="11"/>
      <c r="G4553" s="11"/>
      <c r="H4553" s="11"/>
      <c r="I4553" s="11"/>
    </row>
    <row r="4554" spans="2:9" x14ac:dyDescent="0.2">
      <c r="B4554" s="11"/>
      <c r="C4554" s="11"/>
      <c r="D4554" s="11"/>
      <c r="E4554" s="11"/>
      <c r="F4554" s="11"/>
      <c r="G4554" s="11"/>
      <c r="H4554" s="11"/>
      <c r="I4554" s="11"/>
    </row>
    <row r="4555" spans="2:9" x14ac:dyDescent="0.2">
      <c r="B4555" s="11"/>
      <c r="C4555" s="11"/>
      <c r="D4555" s="11"/>
      <c r="E4555" s="11"/>
      <c r="F4555" s="11"/>
      <c r="G4555" s="11"/>
      <c r="H4555" s="11"/>
      <c r="I4555" s="11"/>
    </row>
    <row r="4556" spans="2:9" x14ac:dyDescent="0.2">
      <c r="B4556" s="11"/>
      <c r="C4556" s="11"/>
      <c r="D4556" s="11"/>
      <c r="E4556" s="11"/>
      <c r="F4556" s="11"/>
      <c r="G4556" s="11"/>
      <c r="H4556" s="11"/>
      <c r="I4556" s="11"/>
    </row>
    <row r="4557" spans="2:9" x14ac:dyDescent="0.2">
      <c r="B4557" s="11"/>
      <c r="C4557" s="11"/>
      <c r="D4557" s="11"/>
      <c r="E4557" s="11"/>
      <c r="F4557" s="11"/>
      <c r="G4557" s="11"/>
      <c r="H4557" s="11"/>
      <c r="I4557" s="11"/>
    </row>
    <row r="4558" spans="2:9" x14ac:dyDescent="0.2">
      <c r="B4558" s="11"/>
      <c r="C4558" s="11"/>
      <c r="D4558" s="11"/>
      <c r="E4558" s="11"/>
      <c r="F4558" s="11"/>
      <c r="G4558" s="11"/>
      <c r="H4558" s="11"/>
      <c r="I4558" s="11"/>
    </row>
    <row r="4559" spans="2:9" x14ac:dyDescent="0.2">
      <c r="B4559" s="11"/>
      <c r="C4559" s="11"/>
      <c r="D4559" s="11"/>
      <c r="E4559" s="11"/>
      <c r="F4559" s="11"/>
      <c r="G4559" s="11"/>
      <c r="H4559" s="11"/>
      <c r="I4559" s="11"/>
    </row>
    <row r="4560" spans="2:9" x14ac:dyDescent="0.2">
      <c r="B4560" s="11"/>
      <c r="C4560" s="11"/>
      <c r="D4560" s="11"/>
      <c r="E4560" s="11"/>
      <c r="F4560" s="11"/>
      <c r="G4560" s="11"/>
      <c r="H4560" s="11"/>
      <c r="I4560" s="11"/>
    </row>
    <row r="4561" spans="2:9" x14ac:dyDescent="0.2">
      <c r="B4561" s="11"/>
      <c r="C4561" s="11"/>
      <c r="D4561" s="11"/>
      <c r="E4561" s="11"/>
      <c r="F4561" s="11"/>
      <c r="G4561" s="11"/>
      <c r="H4561" s="11"/>
      <c r="I4561" s="11"/>
    </row>
    <row r="4562" spans="2:9" x14ac:dyDescent="0.2">
      <c r="B4562" s="11"/>
      <c r="C4562" s="11"/>
      <c r="D4562" s="11"/>
      <c r="E4562" s="11"/>
      <c r="F4562" s="11"/>
      <c r="G4562" s="11"/>
      <c r="H4562" s="11"/>
      <c r="I4562" s="11"/>
    </row>
    <row r="4563" spans="2:9" x14ac:dyDescent="0.2">
      <c r="B4563" s="11"/>
      <c r="C4563" s="11"/>
      <c r="D4563" s="11"/>
      <c r="E4563" s="11"/>
      <c r="F4563" s="11"/>
      <c r="G4563" s="11"/>
      <c r="H4563" s="11"/>
      <c r="I4563" s="11"/>
    </row>
    <row r="4564" spans="2:9" x14ac:dyDescent="0.2">
      <c r="B4564" s="11"/>
      <c r="C4564" s="11"/>
      <c r="D4564" s="11"/>
      <c r="E4564" s="11"/>
      <c r="F4564" s="11"/>
      <c r="G4564" s="11"/>
      <c r="H4564" s="11"/>
      <c r="I4564" s="11"/>
    </row>
    <row r="4565" spans="2:9" x14ac:dyDescent="0.2">
      <c r="B4565" s="11"/>
      <c r="C4565" s="11"/>
      <c r="D4565" s="11"/>
      <c r="E4565" s="11"/>
      <c r="F4565" s="11"/>
      <c r="G4565" s="11"/>
      <c r="H4565" s="11"/>
      <c r="I4565" s="11"/>
    </row>
    <row r="4566" spans="2:9" x14ac:dyDescent="0.2">
      <c r="B4566" s="11"/>
      <c r="C4566" s="11"/>
      <c r="D4566" s="11"/>
      <c r="E4566" s="11"/>
      <c r="F4566" s="11"/>
      <c r="G4566" s="11"/>
      <c r="H4566" s="11"/>
      <c r="I4566" s="11"/>
    </row>
    <row r="4567" spans="2:9" x14ac:dyDescent="0.2">
      <c r="B4567" s="11"/>
      <c r="C4567" s="11"/>
      <c r="D4567" s="11"/>
      <c r="E4567" s="11"/>
      <c r="F4567" s="11"/>
      <c r="G4567" s="11"/>
      <c r="H4567" s="11"/>
      <c r="I4567" s="11"/>
    </row>
    <row r="4568" spans="2:9" x14ac:dyDescent="0.2">
      <c r="B4568" s="11"/>
      <c r="C4568" s="11"/>
      <c r="D4568" s="11"/>
      <c r="E4568" s="11"/>
      <c r="F4568" s="11"/>
      <c r="G4568" s="11"/>
      <c r="H4568" s="11"/>
      <c r="I4568" s="11"/>
    </row>
    <row r="4569" spans="2:9" x14ac:dyDescent="0.2">
      <c r="B4569" s="11"/>
      <c r="C4569" s="11"/>
      <c r="D4569" s="11"/>
      <c r="E4569" s="11"/>
      <c r="F4569" s="11"/>
      <c r="G4569" s="11"/>
      <c r="H4569" s="11"/>
      <c r="I4569" s="11"/>
    </row>
    <row r="4570" spans="2:9" x14ac:dyDescent="0.2">
      <c r="B4570" s="11"/>
      <c r="C4570" s="11"/>
      <c r="D4570" s="11"/>
      <c r="E4570" s="11"/>
      <c r="F4570" s="11"/>
      <c r="G4570" s="11"/>
      <c r="H4570" s="11"/>
      <c r="I4570" s="11"/>
    </row>
    <row r="4571" spans="2:9" x14ac:dyDescent="0.2">
      <c r="B4571" s="11"/>
      <c r="C4571" s="11"/>
      <c r="D4571" s="11"/>
      <c r="E4571" s="11"/>
      <c r="F4571" s="11"/>
      <c r="G4571" s="11"/>
      <c r="H4571" s="11"/>
      <c r="I4571" s="11"/>
    </row>
    <row r="4572" spans="2:9" x14ac:dyDescent="0.2">
      <c r="B4572" s="11"/>
      <c r="C4572" s="11"/>
      <c r="D4572" s="11"/>
      <c r="E4572" s="11"/>
      <c r="F4572" s="11"/>
      <c r="G4572" s="11"/>
      <c r="H4572" s="11"/>
      <c r="I4572" s="11"/>
    </row>
    <row r="4573" spans="2:9" x14ac:dyDescent="0.2">
      <c r="B4573" s="11"/>
      <c r="C4573" s="11"/>
      <c r="D4573" s="11"/>
      <c r="E4573" s="11"/>
      <c r="F4573" s="11"/>
      <c r="G4573" s="11"/>
      <c r="H4573" s="11"/>
      <c r="I4573" s="11"/>
    </row>
    <row r="4574" spans="2:9" x14ac:dyDescent="0.2">
      <c r="B4574" s="11"/>
      <c r="C4574" s="11"/>
      <c r="D4574" s="11"/>
      <c r="E4574" s="11"/>
      <c r="F4574" s="11"/>
      <c r="G4574" s="11"/>
      <c r="H4574" s="11"/>
      <c r="I4574" s="11"/>
    </row>
    <row r="4575" spans="2:9" x14ac:dyDescent="0.2">
      <c r="B4575" s="11"/>
      <c r="C4575" s="11"/>
      <c r="D4575" s="11"/>
      <c r="E4575" s="11"/>
      <c r="F4575" s="11"/>
      <c r="G4575" s="11"/>
      <c r="H4575" s="11"/>
      <c r="I4575" s="11"/>
    </row>
    <row r="4576" spans="2:9" x14ac:dyDescent="0.2">
      <c r="B4576" s="11"/>
      <c r="C4576" s="11"/>
      <c r="D4576" s="11"/>
      <c r="E4576" s="11"/>
      <c r="F4576" s="11"/>
      <c r="G4576" s="11"/>
      <c r="H4576" s="11"/>
      <c r="I4576" s="11"/>
    </row>
    <row r="4577" spans="2:9" x14ac:dyDescent="0.2">
      <c r="B4577" s="11"/>
      <c r="C4577" s="11"/>
      <c r="D4577" s="11"/>
      <c r="E4577" s="11"/>
      <c r="F4577" s="11"/>
      <c r="G4577" s="11"/>
      <c r="H4577" s="11"/>
      <c r="I4577" s="11"/>
    </row>
    <row r="4578" spans="2:9" x14ac:dyDescent="0.2">
      <c r="B4578" s="11"/>
      <c r="C4578" s="11"/>
      <c r="D4578" s="11"/>
      <c r="E4578" s="11"/>
      <c r="F4578" s="11"/>
      <c r="G4578" s="11"/>
      <c r="H4578" s="11"/>
      <c r="I4578" s="11"/>
    </row>
    <row r="4579" spans="2:9" x14ac:dyDescent="0.2">
      <c r="B4579" s="11"/>
      <c r="C4579" s="11"/>
      <c r="D4579" s="11"/>
      <c r="E4579" s="11"/>
      <c r="F4579" s="11"/>
      <c r="G4579" s="11"/>
      <c r="H4579" s="11"/>
      <c r="I4579" s="11"/>
    </row>
    <row r="4580" spans="2:9" x14ac:dyDescent="0.2">
      <c r="B4580" s="11"/>
      <c r="C4580" s="11"/>
      <c r="D4580" s="11"/>
      <c r="E4580" s="11"/>
      <c r="F4580" s="11"/>
      <c r="G4580" s="11"/>
      <c r="H4580" s="11"/>
      <c r="I4580" s="11"/>
    </row>
    <row r="4581" spans="2:9" x14ac:dyDescent="0.2">
      <c r="B4581" s="11"/>
      <c r="C4581" s="11"/>
      <c r="D4581" s="11"/>
      <c r="E4581" s="11"/>
      <c r="F4581" s="11"/>
      <c r="G4581" s="11"/>
      <c r="H4581" s="11"/>
      <c r="I4581" s="11"/>
    </row>
    <row r="4582" spans="2:9" x14ac:dyDescent="0.2">
      <c r="B4582" s="11"/>
      <c r="C4582" s="11"/>
      <c r="D4582" s="11"/>
      <c r="E4582" s="11"/>
      <c r="F4582" s="11"/>
      <c r="G4582" s="11"/>
      <c r="H4582" s="11"/>
      <c r="I4582" s="11"/>
    </row>
    <row r="4583" spans="2:9" x14ac:dyDescent="0.2">
      <c r="B4583" s="11"/>
      <c r="C4583" s="11"/>
      <c r="D4583" s="11"/>
      <c r="E4583" s="11"/>
      <c r="F4583" s="11"/>
      <c r="G4583" s="11"/>
      <c r="H4583" s="11"/>
      <c r="I4583" s="11"/>
    </row>
    <row r="4584" spans="2:9" x14ac:dyDescent="0.2">
      <c r="B4584" s="11"/>
      <c r="C4584" s="11"/>
      <c r="D4584" s="11"/>
      <c r="E4584" s="11"/>
      <c r="F4584" s="11"/>
      <c r="G4584" s="11"/>
      <c r="H4584" s="11"/>
      <c r="I4584" s="11"/>
    </row>
    <row r="4585" spans="2:9" x14ac:dyDescent="0.2">
      <c r="B4585" s="11"/>
      <c r="C4585" s="11"/>
      <c r="D4585" s="11"/>
      <c r="E4585" s="11"/>
      <c r="F4585" s="11"/>
      <c r="G4585" s="11"/>
      <c r="H4585" s="11"/>
      <c r="I4585" s="11"/>
    </row>
    <row r="4586" spans="2:9" x14ac:dyDescent="0.2">
      <c r="B4586" s="11"/>
      <c r="C4586" s="11"/>
      <c r="D4586" s="11"/>
      <c r="E4586" s="11"/>
      <c r="F4586" s="11"/>
      <c r="G4586" s="11"/>
      <c r="H4586" s="11"/>
      <c r="I4586" s="11"/>
    </row>
    <row r="4587" spans="2:9" x14ac:dyDescent="0.2">
      <c r="B4587" s="11"/>
      <c r="C4587" s="11"/>
      <c r="D4587" s="11"/>
      <c r="E4587" s="11"/>
      <c r="F4587" s="11"/>
      <c r="G4587" s="11"/>
      <c r="H4587" s="11"/>
      <c r="I4587" s="11"/>
    </row>
    <row r="4588" spans="2:9" x14ac:dyDescent="0.2">
      <c r="B4588" s="11"/>
      <c r="C4588" s="11"/>
      <c r="D4588" s="11"/>
      <c r="E4588" s="11"/>
      <c r="F4588" s="11"/>
      <c r="G4588" s="11"/>
      <c r="H4588" s="11"/>
      <c r="I4588" s="11"/>
    </row>
    <row r="4589" spans="2:9" x14ac:dyDescent="0.2">
      <c r="B4589" s="11"/>
      <c r="C4589" s="11"/>
      <c r="D4589" s="11"/>
      <c r="E4589" s="11"/>
      <c r="F4589" s="11"/>
      <c r="G4589" s="11"/>
      <c r="H4589" s="11"/>
      <c r="I4589" s="11"/>
    </row>
    <row r="4590" spans="2:9" x14ac:dyDescent="0.2">
      <c r="B4590" s="11"/>
      <c r="C4590" s="11"/>
      <c r="D4590" s="11"/>
      <c r="E4590" s="11"/>
      <c r="F4590" s="11"/>
      <c r="G4590" s="11"/>
      <c r="H4590" s="11"/>
      <c r="I4590" s="11"/>
    </row>
    <row r="4591" spans="2:9" x14ac:dyDescent="0.2">
      <c r="B4591" s="11"/>
      <c r="C4591" s="11"/>
      <c r="D4591" s="11"/>
      <c r="E4591" s="11"/>
      <c r="F4591" s="11"/>
      <c r="G4591" s="11"/>
      <c r="H4591" s="11"/>
      <c r="I4591" s="11"/>
    </row>
    <row r="4592" spans="2:9" x14ac:dyDescent="0.2">
      <c r="B4592" s="11"/>
      <c r="C4592" s="11"/>
      <c r="D4592" s="11"/>
      <c r="E4592" s="11"/>
      <c r="F4592" s="11"/>
      <c r="G4592" s="11"/>
      <c r="H4592" s="11"/>
      <c r="I4592" s="11"/>
    </row>
    <row r="4593" spans="2:9" x14ac:dyDescent="0.2">
      <c r="B4593" s="11"/>
      <c r="C4593" s="11"/>
      <c r="D4593" s="11"/>
      <c r="E4593" s="11"/>
      <c r="F4593" s="11"/>
      <c r="G4593" s="11"/>
      <c r="H4593" s="11"/>
      <c r="I4593" s="11"/>
    </row>
    <row r="4594" spans="2:9" x14ac:dyDescent="0.2">
      <c r="B4594" s="11"/>
      <c r="C4594" s="11"/>
      <c r="D4594" s="11"/>
      <c r="E4594" s="11"/>
      <c r="F4594" s="11"/>
      <c r="G4594" s="11"/>
      <c r="H4594" s="11"/>
      <c r="I4594" s="11"/>
    </row>
    <row r="4595" spans="2:9" x14ac:dyDescent="0.2">
      <c r="B4595" s="11"/>
      <c r="C4595" s="11"/>
      <c r="D4595" s="11"/>
      <c r="E4595" s="11"/>
      <c r="F4595" s="11"/>
      <c r="G4595" s="11"/>
      <c r="H4595" s="11"/>
      <c r="I4595" s="11"/>
    </row>
    <row r="4596" spans="2:9" x14ac:dyDescent="0.2">
      <c r="B4596" s="11"/>
      <c r="C4596" s="11"/>
      <c r="D4596" s="11"/>
      <c r="E4596" s="11"/>
      <c r="F4596" s="11"/>
      <c r="G4596" s="11"/>
      <c r="H4596" s="11"/>
      <c r="I4596" s="11"/>
    </row>
    <row r="4597" spans="2:9" x14ac:dyDescent="0.2">
      <c r="B4597" s="11"/>
      <c r="C4597" s="11"/>
      <c r="D4597" s="11"/>
      <c r="E4597" s="11"/>
      <c r="F4597" s="11"/>
      <c r="G4597" s="11"/>
      <c r="H4597" s="11"/>
      <c r="I4597" s="11"/>
    </row>
    <row r="4598" spans="2:9" x14ac:dyDescent="0.2">
      <c r="B4598" s="11"/>
      <c r="C4598" s="11"/>
      <c r="D4598" s="11"/>
      <c r="E4598" s="11"/>
      <c r="F4598" s="11"/>
      <c r="G4598" s="11"/>
      <c r="H4598" s="11"/>
      <c r="I4598" s="11"/>
    </row>
    <row r="4599" spans="2:9" x14ac:dyDescent="0.2">
      <c r="B4599" s="11"/>
      <c r="C4599" s="11"/>
      <c r="D4599" s="11"/>
      <c r="E4599" s="11"/>
      <c r="F4599" s="11"/>
      <c r="G4599" s="11"/>
      <c r="H4599" s="11"/>
      <c r="I4599" s="11"/>
    </row>
    <row r="4600" spans="2:9" x14ac:dyDescent="0.2">
      <c r="B4600" s="11"/>
      <c r="C4600" s="11"/>
      <c r="D4600" s="11"/>
      <c r="E4600" s="11"/>
      <c r="F4600" s="11"/>
      <c r="G4600" s="11"/>
      <c r="H4600" s="11"/>
      <c r="I4600" s="11"/>
    </row>
    <row r="4601" spans="2:9" x14ac:dyDescent="0.2">
      <c r="B4601" s="11"/>
      <c r="C4601" s="11"/>
      <c r="D4601" s="11"/>
      <c r="E4601" s="11"/>
      <c r="F4601" s="11"/>
      <c r="G4601" s="11"/>
      <c r="H4601" s="11"/>
      <c r="I4601" s="11"/>
    </row>
    <row r="4602" spans="2:9" x14ac:dyDescent="0.2">
      <c r="B4602" s="11"/>
      <c r="C4602" s="11"/>
      <c r="D4602" s="11"/>
      <c r="E4602" s="11"/>
      <c r="F4602" s="11"/>
      <c r="G4602" s="11"/>
      <c r="H4602" s="11"/>
      <c r="I4602" s="11"/>
    </row>
    <row r="4603" spans="2:9" x14ac:dyDescent="0.2">
      <c r="B4603" s="11"/>
      <c r="C4603" s="11"/>
      <c r="D4603" s="11"/>
      <c r="E4603" s="11"/>
      <c r="F4603" s="11"/>
      <c r="G4603" s="11"/>
      <c r="H4603" s="11"/>
      <c r="I4603" s="11"/>
    </row>
    <row r="4604" spans="2:9" x14ac:dyDescent="0.2">
      <c r="B4604" s="11"/>
      <c r="C4604" s="11"/>
      <c r="D4604" s="11"/>
      <c r="E4604" s="11"/>
      <c r="F4604" s="11"/>
      <c r="G4604" s="11"/>
      <c r="H4604" s="11"/>
      <c r="I4604" s="11"/>
    </row>
    <row r="4605" spans="2:9" x14ac:dyDescent="0.2">
      <c r="B4605" s="11"/>
      <c r="C4605" s="11"/>
      <c r="D4605" s="11"/>
      <c r="E4605" s="11"/>
      <c r="F4605" s="11"/>
      <c r="G4605" s="11"/>
      <c r="H4605" s="11"/>
      <c r="I4605" s="11"/>
    </row>
    <row r="4606" spans="2:9" x14ac:dyDescent="0.2">
      <c r="B4606" s="11"/>
      <c r="C4606" s="11"/>
      <c r="D4606" s="11"/>
      <c r="E4606" s="11"/>
      <c r="F4606" s="11"/>
      <c r="G4606" s="11"/>
      <c r="H4606" s="11"/>
      <c r="I4606" s="11"/>
    </row>
    <row r="4607" spans="2:9" x14ac:dyDescent="0.2">
      <c r="B4607" s="11"/>
      <c r="C4607" s="11"/>
      <c r="D4607" s="11"/>
      <c r="E4607" s="11"/>
      <c r="F4607" s="11"/>
      <c r="G4607" s="11"/>
      <c r="H4607" s="11"/>
      <c r="I4607" s="11"/>
    </row>
    <row r="4608" spans="2:9" x14ac:dyDescent="0.2">
      <c r="B4608" s="11"/>
      <c r="C4608" s="11"/>
      <c r="D4608" s="11"/>
      <c r="E4608" s="11"/>
      <c r="F4608" s="11"/>
      <c r="G4608" s="11"/>
      <c r="H4608" s="11"/>
      <c r="I4608" s="11"/>
    </row>
    <row r="4609" spans="2:9" x14ac:dyDescent="0.2">
      <c r="B4609" s="11"/>
      <c r="C4609" s="11"/>
      <c r="D4609" s="11"/>
      <c r="E4609" s="11"/>
      <c r="F4609" s="11"/>
      <c r="G4609" s="11"/>
      <c r="H4609" s="11"/>
      <c r="I4609" s="11"/>
    </row>
    <row r="4610" spans="2:9" x14ac:dyDescent="0.2">
      <c r="B4610" s="11"/>
      <c r="C4610" s="11"/>
      <c r="D4610" s="11"/>
      <c r="E4610" s="11"/>
      <c r="F4610" s="11"/>
      <c r="G4610" s="11"/>
      <c r="H4610" s="11"/>
      <c r="I4610" s="11"/>
    </row>
    <row r="4611" spans="2:9" x14ac:dyDescent="0.2">
      <c r="B4611" s="11"/>
      <c r="C4611" s="11"/>
      <c r="D4611" s="11"/>
      <c r="E4611" s="11"/>
      <c r="F4611" s="11"/>
      <c r="G4611" s="11"/>
      <c r="H4611" s="11"/>
      <c r="I4611" s="11"/>
    </row>
    <row r="4612" spans="2:9" x14ac:dyDescent="0.2">
      <c r="B4612" s="11"/>
      <c r="C4612" s="11"/>
      <c r="D4612" s="11"/>
      <c r="E4612" s="11"/>
      <c r="F4612" s="11"/>
      <c r="G4612" s="11"/>
      <c r="H4612" s="11"/>
      <c r="I4612" s="11"/>
    </row>
    <row r="4613" spans="2:9" x14ac:dyDescent="0.2">
      <c r="B4613" s="11"/>
      <c r="C4613" s="11"/>
      <c r="D4613" s="11"/>
      <c r="E4613" s="11"/>
      <c r="F4613" s="11"/>
      <c r="G4613" s="11"/>
      <c r="H4613" s="11"/>
      <c r="I4613" s="11"/>
    </row>
    <row r="4614" spans="2:9" x14ac:dyDescent="0.2">
      <c r="B4614" s="11"/>
      <c r="C4614" s="11"/>
      <c r="D4614" s="11"/>
      <c r="E4614" s="11"/>
      <c r="F4614" s="11"/>
      <c r="G4614" s="11"/>
      <c r="H4614" s="11"/>
      <c r="I4614" s="11"/>
    </row>
    <row r="4615" spans="2:9" x14ac:dyDescent="0.2">
      <c r="B4615" s="11"/>
      <c r="C4615" s="11"/>
      <c r="D4615" s="11"/>
      <c r="E4615" s="11"/>
      <c r="F4615" s="11"/>
      <c r="G4615" s="11"/>
      <c r="H4615" s="11"/>
      <c r="I4615" s="11"/>
    </row>
    <row r="4616" spans="2:9" x14ac:dyDescent="0.2">
      <c r="B4616" s="11"/>
      <c r="C4616" s="11"/>
      <c r="D4616" s="11"/>
      <c r="E4616" s="11"/>
      <c r="F4616" s="11"/>
      <c r="G4616" s="11"/>
      <c r="H4616" s="11"/>
      <c r="I4616" s="11"/>
    </row>
    <row r="4617" spans="2:9" x14ac:dyDescent="0.2">
      <c r="B4617" s="11"/>
      <c r="C4617" s="11"/>
      <c r="D4617" s="11"/>
      <c r="E4617" s="11"/>
      <c r="F4617" s="11"/>
      <c r="G4617" s="11"/>
      <c r="H4617" s="11"/>
      <c r="I4617" s="11"/>
    </row>
    <row r="4618" spans="2:9" x14ac:dyDescent="0.2">
      <c r="B4618" s="11"/>
      <c r="C4618" s="11"/>
      <c r="D4618" s="11"/>
      <c r="E4618" s="11"/>
      <c r="F4618" s="11"/>
      <c r="G4618" s="11"/>
      <c r="H4618" s="11"/>
      <c r="I4618" s="11"/>
    </row>
    <row r="4619" spans="2:9" x14ac:dyDescent="0.2">
      <c r="B4619" s="11"/>
      <c r="C4619" s="11"/>
      <c r="D4619" s="11"/>
      <c r="E4619" s="11"/>
      <c r="F4619" s="11"/>
      <c r="G4619" s="11"/>
      <c r="H4619" s="11"/>
      <c r="I4619" s="11"/>
    </row>
    <row r="4620" spans="2:9" x14ac:dyDescent="0.2">
      <c r="B4620" s="11"/>
      <c r="C4620" s="11"/>
      <c r="D4620" s="11"/>
      <c r="E4620" s="11"/>
      <c r="F4620" s="11"/>
      <c r="G4620" s="11"/>
      <c r="H4620" s="11"/>
      <c r="I4620" s="11"/>
    </row>
    <row r="4621" spans="2:9" x14ac:dyDescent="0.2">
      <c r="B4621" s="11"/>
      <c r="C4621" s="11"/>
      <c r="D4621" s="11"/>
      <c r="E4621" s="11"/>
      <c r="F4621" s="11"/>
      <c r="G4621" s="11"/>
      <c r="H4621" s="11"/>
      <c r="I4621" s="11"/>
    </row>
    <row r="4622" spans="2:9" x14ac:dyDescent="0.2">
      <c r="B4622" s="11"/>
      <c r="C4622" s="11"/>
      <c r="D4622" s="11"/>
      <c r="E4622" s="11"/>
      <c r="F4622" s="11"/>
      <c r="G4622" s="11"/>
      <c r="H4622" s="11"/>
      <c r="I4622" s="11"/>
    </row>
    <row r="4623" spans="2:9" x14ac:dyDescent="0.2">
      <c r="B4623" s="11"/>
      <c r="C4623" s="11"/>
      <c r="D4623" s="11"/>
      <c r="E4623" s="11"/>
      <c r="F4623" s="11"/>
      <c r="G4623" s="11"/>
      <c r="H4623" s="11"/>
      <c r="I4623" s="11"/>
    </row>
    <row r="4624" spans="2:9" x14ac:dyDescent="0.2">
      <c r="B4624" s="11"/>
      <c r="C4624" s="11"/>
      <c r="D4624" s="11"/>
      <c r="E4624" s="11"/>
      <c r="F4624" s="11"/>
      <c r="G4624" s="11"/>
      <c r="H4624" s="11"/>
      <c r="I4624" s="11"/>
    </row>
    <row r="4625" spans="2:9" x14ac:dyDescent="0.2">
      <c r="B4625" s="11"/>
      <c r="C4625" s="11"/>
      <c r="D4625" s="11"/>
      <c r="E4625" s="11"/>
      <c r="F4625" s="11"/>
      <c r="G4625" s="11"/>
      <c r="H4625" s="11"/>
      <c r="I4625" s="11"/>
    </row>
    <row r="4626" spans="2:9" x14ac:dyDescent="0.2">
      <c r="B4626" s="11"/>
      <c r="C4626" s="11"/>
      <c r="D4626" s="11"/>
      <c r="E4626" s="11"/>
      <c r="F4626" s="11"/>
      <c r="G4626" s="11"/>
      <c r="H4626" s="11"/>
      <c r="I4626" s="11"/>
    </row>
    <row r="4627" spans="2:9" x14ac:dyDescent="0.2">
      <c r="B4627" s="11"/>
      <c r="C4627" s="11"/>
      <c r="D4627" s="11"/>
      <c r="E4627" s="11"/>
      <c r="F4627" s="11"/>
      <c r="G4627" s="11"/>
      <c r="H4627" s="11"/>
      <c r="I4627" s="11"/>
    </row>
    <row r="4628" spans="2:9" x14ac:dyDescent="0.2">
      <c r="B4628" s="11"/>
      <c r="C4628" s="11"/>
      <c r="D4628" s="11"/>
      <c r="E4628" s="11"/>
      <c r="F4628" s="11"/>
      <c r="G4628" s="11"/>
      <c r="H4628" s="11"/>
      <c r="I4628" s="11"/>
    </row>
    <row r="4629" spans="2:9" x14ac:dyDescent="0.2">
      <c r="B4629" s="11"/>
      <c r="C4629" s="11"/>
      <c r="D4629" s="11"/>
      <c r="E4629" s="11"/>
      <c r="F4629" s="11"/>
      <c r="G4629" s="11"/>
      <c r="H4629" s="11"/>
      <c r="I4629" s="11"/>
    </row>
    <row r="4630" spans="2:9" x14ac:dyDescent="0.2">
      <c r="B4630" s="11"/>
      <c r="C4630" s="11"/>
      <c r="D4630" s="11"/>
      <c r="E4630" s="11"/>
      <c r="F4630" s="11"/>
      <c r="G4630" s="11"/>
      <c r="H4630" s="11"/>
      <c r="I4630" s="11"/>
    </row>
    <row r="4631" spans="2:9" x14ac:dyDescent="0.2">
      <c r="B4631" s="11"/>
      <c r="C4631" s="11"/>
      <c r="D4631" s="11"/>
      <c r="E4631" s="11"/>
      <c r="F4631" s="11"/>
      <c r="G4631" s="11"/>
      <c r="H4631" s="11"/>
      <c r="I4631" s="11"/>
    </row>
    <row r="4632" spans="2:9" x14ac:dyDescent="0.2">
      <c r="B4632" s="11"/>
      <c r="C4632" s="11"/>
      <c r="D4632" s="11"/>
      <c r="E4632" s="11"/>
      <c r="F4632" s="11"/>
      <c r="G4632" s="11"/>
      <c r="H4632" s="11"/>
      <c r="I4632" s="11"/>
    </row>
    <row r="4633" spans="2:9" x14ac:dyDescent="0.2">
      <c r="B4633" s="11"/>
      <c r="C4633" s="11"/>
      <c r="D4633" s="11"/>
      <c r="E4633" s="11"/>
      <c r="F4633" s="11"/>
      <c r="G4633" s="11"/>
      <c r="H4633" s="11"/>
      <c r="I4633" s="11"/>
    </row>
    <row r="4634" spans="2:9" x14ac:dyDescent="0.2">
      <c r="B4634" s="11"/>
      <c r="C4634" s="11"/>
      <c r="D4634" s="11"/>
      <c r="E4634" s="11"/>
      <c r="F4634" s="11"/>
      <c r="G4634" s="11"/>
      <c r="H4634" s="11"/>
      <c r="I4634" s="11"/>
    </row>
    <row r="4635" spans="2:9" x14ac:dyDescent="0.2">
      <c r="B4635" s="11"/>
      <c r="C4635" s="11"/>
      <c r="D4635" s="11"/>
      <c r="E4635" s="11"/>
      <c r="F4635" s="11"/>
      <c r="G4635" s="11"/>
      <c r="H4635" s="11"/>
      <c r="I4635" s="11"/>
    </row>
    <row r="4636" spans="2:9" x14ac:dyDescent="0.2">
      <c r="B4636" s="11"/>
      <c r="C4636" s="11"/>
      <c r="D4636" s="11"/>
      <c r="E4636" s="11"/>
      <c r="F4636" s="11"/>
      <c r="G4636" s="11"/>
      <c r="H4636" s="11"/>
      <c r="I4636" s="11"/>
    </row>
    <row r="4637" spans="2:9" x14ac:dyDescent="0.2">
      <c r="B4637" s="11"/>
      <c r="C4637" s="11"/>
      <c r="D4637" s="11"/>
      <c r="E4637" s="11"/>
      <c r="F4637" s="11"/>
      <c r="G4637" s="11"/>
      <c r="H4637" s="11"/>
      <c r="I4637" s="11"/>
    </row>
    <row r="4638" spans="2:9" x14ac:dyDescent="0.2">
      <c r="B4638" s="11"/>
      <c r="C4638" s="11"/>
      <c r="D4638" s="11"/>
      <c r="E4638" s="11"/>
      <c r="F4638" s="11"/>
      <c r="G4638" s="11"/>
      <c r="H4638" s="11"/>
      <c r="I4638" s="11"/>
    </row>
    <row r="4639" spans="2:9" x14ac:dyDescent="0.2">
      <c r="B4639" s="11"/>
      <c r="C4639" s="11"/>
      <c r="D4639" s="11"/>
      <c r="E4639" s="11"/>
      <c r="F4639" s="11"/>
      <c r="G4639" s="11"/>
      <c r="H4639" s="11"/>
      <c r="I4639" s="11"/>
    </row>
    <row r="4640" spans="2:9" x14ac:dyDescent="0.2">
      <c r="B4640" s="11"/>
      <c r="C4640" s="11"/>
      <c r="D4640" s="11"/>
      <c r="E4640" s="11"/>
      <c r="F4640" s="11"/>
      <c r="G4640" s="11"/>
      <c r="H4640" s="11"/>
      <c r="I4640" s="11"/>
    </row>
    <row r="4641" spans="2:9" x14ac:dyDescent="0.2">
      <c r="B4641" s="11"/>
      <c r="C4641" s="11"/>
      <c r="D4641" s="11"/>
      <c r="E4641" s="11"/>
      <c r="F4641" s="11"/>
      <c r="G4641" s="11"/>
      <c r="H4641" s="11"/>
      <c r="I4641" s="11"/>
    </row>
    <row r="4642" spans="2:9" x14ac:dyDescent="0.2">
      <c r="B4642" s="11"/>
      <c r="C4642" s="11"/>
      <c r="D4642" s="11"/>
      <c r="E4642" s="11"/>
      <c r="F4642" s="11"/>
      <c r="G4642" s="11"/>
      <c r="H4642" s="11"/>
      <c r="I4642" s="11"/>
    </row>
    <row r="4643" spans="2:9" x14ac:dyDescent="0.2">
      <c r="B4643" s="11"/>
      <c r="C4643" s="11"/>
      <c r="D4643" s="11"/>
      <c r="E4643" s="11"/>
      <c r="F4643" s="11"/>
      <c r="G4643" s="11"/>
      <c r="H4643" s="11"/>
      <c r="I4643" s="11"/>
    </row>
    <row r="4644" spans="2:9" x14ac:dyDescent="0.2">
      <c r="B4644" s="11"/>
      <c r="C4644" s="11"/>
      <c r="D4644" s="11"/>
      <c r="E4644" s="11"/>
      <c r="F4644" s="11"/>
      <c r="G4644" s="11"/>
      <c r="H4644" s="11"/>
      <c r="I4644" s="11"/>
    </row>
    <row r="4645" spans="2:9" x14ac:dyDescent="0.2">
      <c r="B4645" s="11"/>
      <c r="C4645" s="11"/>
      <c r="D4645" s="11"/>
      <c r="E4645" s="11"/>
      <c r="F4645" s="11"/>
      <c r="G4645" s="11"/>
      <c r="H4645" s="11"/>
      <c r="I4645" s="11"/>
    </row>
    <row r="4646" spans="2:9" x14ac:dyDescent="0.2">
      <c r="B4646" s="11"/>
      <c r="C4646" s="11"/>
      <c r="D4646" s="11"/>
      <c r="E4646" s="11"/>
      <c r="F4646" s="11"/>
      <c r="G4646" s="11"/>
      <c r="H4646" s="11"/>
      <c r="I4646" s="11"/>
    </row>
    <row r="4647" spans="2:9" x14ac:dyDescent="0.2">
      <c r="B4647" s="11"/>
      <c r="C4647" s="11"/>
      <c r="D4647" s="11"/>
      <c r="E4647" s="11"/>
      <c r="F4647" s="11"/>
      <c r="G4647" s="11"/>
      <c r="H4647" s="11"/>
      <c r="I4647" s="11"/>
    </row>
    <row r="4648" spans="2:9" x14ac:dyDescent="0.2">
      <c r="B4648" s="11"/>
      <c r="C4648" s="11"/>
      <c r="D4648" s="11"/>
      <c r="E4648" s="11"/>
      <c r="F4648" s="11"/>
      <c r="G4648" s="11"/>
      <c r="H4648" s="11"/>
      <c r="I4648" s="11"/>
    </row>
    <row r="4649" spans="2:9" x14ac:dyDescent="0.2">
      <c r="B4649" s="11"/>
      <c r="C4649" s="11"/>
      <c r="D4649" s="11"/>
      <c r="E4649" s="11"/>
      <c r="F4649" s="11"/>
      <c r="G4649" s="11"/>
      <c r="H4649" s="11"/>
      <c r="I4649" s="11"/>
    </row>
    <row r="4650" spans="2:9" x14ac:dyDescent="0.2">
      <c r="B4650" s="11"/>
      <c r="C4650" s="11"/>
      <c r="D4650" s="11"/>
      <c r="E4650" s="11"/>
      <c r="F4650" s="11"/>
      <c r="G4650" s="11"/>
      <c r="H4650" s="11"/>
      <c r="I4650" s="11"/>
    </row>
    <row r="4651" spans="2:9" x14ac:dyDescent="0.2">
      <c r="B4651" s="11"/>
      <c r="C4651" s="11"/>
      <c r="D4651" s="11"/>
      <c r="E4651" s="11"/>
      <c r="F4651" s="11"/>
      <c r="G4651" s="11"/>
      <c r="H4651" s="11"/>
      <c r="I4651" s="11"/>
    </row>
    <row r="4652" spans="2:9" x14ac:dyDescent="0.2">
      <c r="B4652" s="11"/>
      <c r="C4652" s="11"/>
      <c r="D4652" s="11"/>
      <c r="E4652" s="11"/>
      <c r="F4652" s="11"/>
      <c r="G4652" s="11"/>
      <c r="H4652" s="11"/>
      <c r="I4652" s="11"/>
    </row>
    <row r="4653" spans="2:9" x14ac:dyDescent="0.2">
      <c r="B4653" s="11"/>
      <c r="C4653" s="11"/>
      <c r="D4653" s="11"/>
      <c r="E4653" s="11"/>
      <c r="F4653" s="11"/>
      <c r="G4653" s="11"/>
      <c r="H4653" s="11"/>
      <c r="I4653" s="11"/>
    </row>
    <row r="4654" spans="2:9" x14ac:dyDescent="0.2">
      <c r="B4654" s="11"/>
      <c r="C4654" s="11"/>
      <c r="D4654" s="11"/>
      <c r="E4654" s="11"/>
      <c r="F4654" s="11"/>
      <c r="G4654" s="11"/>
      <c r="H4654" s="11"/>
      <c r="I4654" s="11"/>
    </row>
    <row r="4655" spans="2:9" x14ac:dyDescent="0.2">
      <c r="B4655" s="11"/>
      <c r="C4655" s="11"/>
      <c r="D4655" s="11"/>
      <c r="E4655" s="11"/>
      <c r="F4655" s="11"/>
      <c r="G4655" s="11"/>
      <c r="H4655" s="11"/>
      <c r="I4655" s="11"/>
    </row>
    <row r="4656" spans="2:9" x14ac:dyDescent="0.2">
      <c r="B4656" s="11"/>
      <c r="C4656" s="11"/>
      <c r="D4656" s="11"/>
      <c r="E4656" s="11"/>
      <c r="F4656" s="11"/>
      <c r="G4656" s="11"/>
      <c r="H4656" s="11"/>
      <c r="I4656" s="11"/>
    </row>
    <row r="4657" spans="2:9" x14ac:dyDescent="0.2">
      <c r="B4657" s="11"/>
      <c r="C4657" s="11"/>
      <c r="D4657" s="11"/>
      <c r="E4657" s="11"/>
      <c r="F4657" s="11"/>
      <c r="G4657" s="11"/>
      <c r="H4657" s="11"/>
      <c r="I4657" s="11"/>
    </row>
    <row r="4658" spans="2:9" x14ac:dyDescent="0.2">
      <c r="B4658" s="11"/>
      <c r="C4658" s="11"/>
      <c r="D4658" s="11"/>
      <c r="E4658" s="11"/>
      <c r="F4658" s="11"/>
      <c r="G4658" s="11"/>
      <c r="H4658" s="11"/>
      <c r="I4658" s="11"/>
    </row>
    <row r="4659" spans="2:9" x14ac:dyDescent="0.2">
      <c r="B4659" s="11"/>
      <c r="C4659" s="11"/>
      <c r="D4659" s="11"/>
      <c r="E4659" s="11"/>
      <c r="F4659" s="11"/>
      <c r="G4659" s="11"/>
      <c r="H4659" s="11"/>
      <c r="I4659" s="11"/>
    </row>
    <row r="4660" spans="2:9" x14ac:dyDescent="0.2">
      <c r="B4660" s="11"/>
      <c r="C4660" s="11"/>
      <c r="D4660" s="11"/>
      <c r="E4660" s="11"/>
      <c r="F4660" s="11"/>
      <c r="G4660" s="11"/>
      <c r="H4660" s="11"/>
      <c r="I4660" s="11"/>
    </row>
    <row r="4661" spans="2:9" x14ac:dyDescent="0.2">
      <c r="B4661" s="11"/>
      <c r="C4661" s="11"/>
      <c r="D4661" s="11"/>
      <c r="E4661" s="11"/>
      <c r="F4661" s="11"/>
      <c r="G4661" s="11"/>
      <c r="H4661" s="11"/>
      <c r="I4661" s="11"/>
    </row>
    <row r="4662" spans="2:9" x14ac:dyDescent="0.2">
      <c r="B4662" s="11"/>
      <c r="C4662" s="11"/>
      <c r="D4662" s="11"/>
      <c r="E4662" s="11"/>
      <c r="F4662" s="11"/>
      <c r="G4662" s="11"/>
      <c r="H4662" s="11"/>
      <c r="I4662" s="11"/>
    </row>
    <row r="4663" spans="2:9" x14ac:dyDescent="0.2">
      <c r="B4663" s="11"/>
      <c r="C4663" s="11"/>
      <c r="D4663" s="11"/>
      <c r="E4663" s="11"/>
      <c r="F4663" s="11"/>
      <c r="G4663" s="11"/>
      <c r="H4663" s="11"/>
      <c r="I4663" s="11"/>
    </row>
    <row r="4664" spans="2:9" x14ac:dyDescent="0.2">
      <c r="B4664" s="11"/>
      <c r="C4664" s="11"/>
      <c r="D4664" s="11"/>
      <c r="E4664" s="11"/>
      <c r="F4664" s="11"/>
      <c r="G4664" s="11"/>
      <c r="H4664" s="11"/>
      <c r="I4664" s="11"/>
    </row>
    <row r="4665" spans="2:9" x14ac:dyDescent="0.2">
      <c r="B4665" s="11"/>
      <c r="C4665" s="11"/>
      <c r="D4665" s="11"/>
      <c r="E4665" s="11"/>
      <c r="F4665" s="11"/>
      <c r="G4665" s="11"/>
      <c r="H4665" s="11"/>
      <c r="I4665" s="11"/>
    </row>
    <row r="4666" spans="2:9" x14ac:dyDescent="0.2">
      <c r="B4666" s="11"/>
      <c r="C4666" s="11"/>
      <c r="D4666" s="11"/>
      <c r="E4666" s="11"/>
      <c r="F4666" s="11"/>
      <c r="G4666" s="11"/>
      <c r="H4666" s="11"/>
      <c r="I4666" s="11"/>
    </row>
    <row r="4667" spans="2:9" x14ac:dyDescent="0.2">
      <c r="B4667" s="11"/>
      <c r="C4667" s="11"/>
      <c r="D4667" s="11"/>
      <c r="E4667" s="11"/>
      <c r="F4667" s="11"/>
      <c r="G4667" s="11"/>
      <c r="H4667" s="11"/>
      <c r="I4667" s="11"/>
    </row>
    <row r="4668" spans="2:9" x14ac:dyDescent="0.2">
      <c r="B4668" s="11"/>
      <c r="C4668" s="11"/>
      <c r="D4668" s="11"/>
      <c r="E4668" s="11"/>
      <c r="F4668" s="11"/>
      <c r="G4668" s="11"/>
      <c r="H4668" s="11"/>
      <c r="I4668" s="11"/>
    </row>
    <row r="4669" spans="2:9" x14ac:dyDescent="0.2">
      <c r="B4669" s="11"/>
      <c r="C4669" s="11"/>
      <c r="D4669" s="11"/>
      <c r="E4669" s="11"/>
      <c r="F4669" s="11"/>
      <c r="G4669" s="11"/>
      <c r="H4669" s="11"/>
      <c r="I4669" s="11"/>
    </row>
    <row r="4670" spans="2:9" x14ac:dyDescent="0.2">
      <c r="B4670" s="11"/>
      <c r="C4670" s="11"/>
      <c r="D4670" s="11"/>
      <c r="E4670" s="11"/>
      <c r="F4670" s="11"/>
      <c r="G4670" s="11"/>
      <c r="H4670" s="11"/>
      <c r="I4670" s="11"/>
    </row>
    <row r="4671" spans="2:9" x14ac:dyDescent="0.2">
      <c r="B4671" s="11"/>
      <c r="C4671" s="11"/>
      <c r="D4671" s="11"/>
      <c r="E4671" s="11"/>
      <c r="F4671" s="11"/>
      <c r="G4671" s="11"/>
      <c r="H4671" s="11"/>
      <c r="I4671" s="11"/>
    </row>
    <row r="4672" spans="2:9" x14ac:dyDescent="0.2">
      <c r="B4672" s="11"/>
      <c r="C4672" s="11"/>
      <c r="D4672" s="11"/>
      <c r="E4672" s="11"/>
      <c r="F4672" s="11"/>
      <c r="G4672" s="11"/>
      <c r="H4672" s="11"/>
      <c r="I4672" s="11"/>
    </row>
    <row r="4673" spans="2:9" x14ac:dyDescent="0.2">
      <c r="B4673" s="11"/>
      <c r="C4673" s="11"/>
      <c r="D4673" s="11"/>
      <c r="E4673" s="11"/>
      <c r="F4673" s="11"/>
      <c r="G4673" s="11"/>
      <c r="H4673" s="11"/>
      <c r="I4673" s="11"/>
    </row>
    <row r="4674" spans="2:9" x14ac:dyDescent="0.2">
      <c r="B4674" s="11"/>
      <c r="C4674" s="11"/>
      <c r="D4674" s="11"/>
      <c r="E4674" s="11"/>
      <c r="F4674" s="11"/>
      <c r="G4674" s="11"/>
      <c r="H4674" s="11"/>
      <c r="I4674" s="11"/>
    </row>
    <row r="4675" spans="2:9" x14ac:dyDescent="0.2">
      <c r="B4675" s="11"/>
      <c r="C4675" s="11"/>
      <c r="D4675" s="11"/>
      <c r="E4675" s="11"/>
      <c r="F4675" s="11"/>
      <c r="G4675" s="11"/>
      <c r="H4675" s="11"/>
      <c r="I4675" s="11"/>
    </row>
    <row r="4676" spans="2:9" x14ac:dyDescent="0.2">
      <c r="B4676" s="11"/>
      <c r="C4676" s="11"/>
      <c r="D4676" s="11"/>
      <c r="E4676" s="11"/>
      <c r="F4676" s="11"/>
      <c r="G4676" s="11"/>
      <c r="H4676" s="11"/>
      <c r="I4676" s="11"/>
    </row>
    <row r="4677" spans="2:9" x14ac:dyDescent="0.2">
      <c r="B4677" s="11"/>
      <c r="C4677" s="11"/>
      <c r="D4677" s="11"/>
      <c r="E4677" s="11"/>
      <c r="F4677" s="11"/>
      <c r="G4677" s="11"/>
      <c r="H4677" s="11"/>
      <c r="I4677" s="11"/>
    </row>
    <row r="4678" spans="2:9" x14ac:dyDescent="0.2">
      <c r="B4678" s="11"/>
      <c r="C4678" s="11"/>
      <c r="D4678" s="11"/>
      <c r="E4678" s="11"/>
      <c r="F4678" s="11"/>
      <c r="G4678" s="11"/>
      <c r="H4678" s="11"/>
      <c r="I4678" s="11"/>
    </row>
    <row r="4679" spans="2:9" x14ac:dyDescent="0.2">
      <c r="B4679" s="11"/>
      <c r="C4679" s="11"/>
      <c r="D4679" s="11"/>
      <c r="E4679" s="11"/>
      <c r="F4679" s="11"/>
      <c r="G4679" s="11"/>
      <c r="H4679" s="11"/>
      <c r="I4679" s="11"/>
    </row>
    <row r="4680" spans="2:9" x14ac:dyDescent="0.2">
      <c r="B4680" s="11"/>
      <c r="C4680" s="11"/>
      <c r="D4680" s="11"/>
      <c r="E4680" s="11"/>
      <c r="F4680" s="11"/>
      <c r="G4680" s="11"/>
      <c r="H4680" s="11"/>
      <c r="I4680" s="11"/>
    </row>
    <row r="4681" spans="2:9" x14ac:dyDescent="0.2">
      <c r="B4681" s="11"/>
      <c r="C4681" s="11"/>
      <c r="D4681" s="11"/>
      <c r="E4681" s="11"/>
      <c r="F4681" s="11"/>
      <c r="G4681" s="11"/>
      <c r="H4681" s="11"/>
      <c r="I4681" s="11"/>
    </row>
    <row r="4682" spans="2:9" x14ac:dyDescent="0.2">
      <c r="B4682" s="11"/>
      <c r="C4682" s="11"/>
      <c r="D4682" s="11"/>
      <c r="E4682" s="11"/>
      <c r="F4682" s="11"/>
      <c r="G4682" s="11"/>
      <c r="H4682" s="11"/>
      <c r="I4682" s="11"/>
    </row>
    <row r="4683" spans="2:9" x14ac:dyDescent="0.2">
      <c r="B4683" s="11"/>
      <c r="C4683" s="11"/>
      <c r="D4683" s="11"/>
      <c r="E4683" s="11"/>
      <c r="F4683" s="11"/>
      <c r="G4683" s="11"/>
      <c r="H4683" s="11"/>
      <c r="I4683" s="11"/>
    </row>
    <row r="4684" spans="2:9" x14ac:dyDescent="0.2">
      <c r="B4684" s="11"/>
      <c r="C4684" s="11"/>
      <c r="D4684" s="11"/>
      <c r="E4684" s="11"/>
      <c r="F4684" s="11"/>
      <c r="G4684" s="11"/>
      <c r="H4684" s="11"/>
      <c r="I4684" s="11"/>
    </row>
    <row r="4685" spans="2:9" x14ac:dyDescent="0.2">
      <c r="B4685" s="11"/>
      <c r="C4685" s="11"/>
      <c r="D4685" s="11"/>
      <c r="E4685" s="11"/>
      <c r="F4685" s="11"/>
      <c r="G4685" s="11"/>
      <c r="H4685" s="11"/>
      <c r="I4685" s="11"/>
    </row>
    <row r="4686" spans="2:9" x14ac:dyDescent="0.2">
      <c r="B4686" s="11"/>
      <c r="C4686" s="11"/>
      <c r="D4686" s="11"/>
      <c r="E4686" s="11"/>
      <c r="F4686" s="11"/>
      <c r="G4686" s="11"/>
      <c r="H4686" s="11"/>
      <c r="I4686" s="11"/>
    </row>
    <row r="4687" spans="2:9" x14ac:dyDescent="0.2">
      <c r="B4687" s="11"/>
      <c r="C4687" s="11"/>
      <c r="D4687" s="11"/>
      <c r="E4687" s="11"/>
      <c r="F4687" s="11"/>
      <c r="G4687" s="11"/>
      <c r="H4687" s="11"/>
      <c r="I4687" s="11"/>
    </row>
    <row r="4688" spans="2:9" x14ac:dyDescent="0.2">
      <c r="B4688" s="11"/>
      <c r="C4688" s="11"/>
      <c r="D4688" s="11"/>
      <c r="E4688" s="11"/>
      <c r="F4688" s="11"/>
      <c r="G4688" s="11"/>
      <c r="H4688" s="11"/>
      <c r="I4688" s="11"/>
    </row>
    <row r="4689" spans="2:9" x14ac:dyDescent="0.2">
      <c r="B4689" s="11"/>
      <c r="C4689" s="11"/>
      <c r="D4689" s="11"/>
      <c r="E4689" s="11"/>
      <c r="F4689" s="11"/>
      <c r="G4689" s="11"/>
      <c r="H4689" s="11"/>
      <c r="I4689" s="11"/>
    </row>
    <row r="4690" spans="2:9" x14ac:dyDescent="0.2">
      <c r="B4690" s="11"/>
      <c r="C4690" s="11"/>
      <c r="D4690" s="11"/>
      <c r="E4690" s="11"/>
      <c r="F4690" s="11"/>
      <c r="G4690" s="11"/>
      <c r="H4690" s="11"/>
      <c r="I4690" s="11"/>
    </row>
    <row r="4691" spans="2:9" x14ac:dyDescent="0.2">
      <c r="B4691" s="11"/>
      <c r="C4691" s="11"/>
      <c r="D4691" s="11"/>
      <c r="E4691" s="11"/>
      <c r="F4691" s="11"/>
      <c r="G4691" s="11"/>
      <c r="H4691" s="11"/>
      <c r="I4691" s="11"/>
    </row>
    <row r="4692" spans="2:9" x14ac:dyDescent="0.2">
      <c r="B4692" s="11"/>
      <c r="C4692" s="11"/>
      <c r="D4692" s="11"/>
      <c r="E4692" s="11"/>
      <c r="F4692" s="11"/>
      <c r="G4692" s="11"/>
      <c r="H4692" s="11"/>
      <c r="I4692" s="11"/>
    </row>
    <row r="4693" spans="2:9" x14ac:dyDescent="0.2">
      <c r="B4693" s="11"/>
      <c r="C4693" s="11"/>
      <c r="D4693" s="11"/>
      <c r="E4693" s="11"/>
      <c r="F4693" s="11"/>
      <c r="G4693" s="11"/>
      <c r="H4693" s="11"/>
      <c r="I4693" s="11"/>
    </row>
    <row r="4694" spans="2:9" x14ac:dyDescent="0.2">
      <c r="B4694" s="11"/>
      <c r="C4694" s="11"/>
      <c r="D4694" s="11"/>
      <c r="E4694" s="11"/>
      <c r="F4694" s="11"/>
      <c r="G4694" s="11"/>
      <c r="H4694" s="11"/>
      <c r="I4694" s="11"/>
    </row>
    <row r="4695" spans="2:9" x14ac:dyDescent="0.2">
      <c r="B4695" s="11"/>
      <c r="C4695" s="11"/>
      <c r="D4695" s="11"/>
      <c r="E4695" s="11"/>
      <c r="F4695" s="11"/>
      <c r="G4695" s="11"/>
      <c r="H4695" s="11"/>
      <c r="I4695" s="11"/>
    </row>
    <row r="4696" spans="2:9" x14ac:dyDescent="0.2">
      <c r="B4696" s="11"/>
      <c r="C4696" s="11"/>
      <c r="D4696" s="11"/>
      <c r="E4696" s="11"/>
      <c r="F4696" s="11"/>
      <c r="G4696" s="11"/>
      <c r="H4696" s="11"/>
      <c r="I4696" s="11"/>
    </row>
    <row r="4697" spans="2:9" x14ac:dyDescent="0.2">
      <c r="B4697" s="11"/>
      <c r="C4697" s="11"/>
      <c r="D4697" s="11"/>
      <c r="E4697" s="11"/>
      <c r="F4697" s="11"/>
      <c r="G4697" s="11"/>
      <c r="H4697" s="11"/>
      <c r="I4697" s="11"/>
    </row>
    <row r="4698" spans="2:9" x14ac:dyDescent="0.2">
      <c r="B4698" s="11"/>
      <c r="C4698" s="11"/>
      <c r="D4698" s="11"/>
      <c r="E4698" s="11"/>
      <c r="F4698" s="11"/>
      <c r="G4698" s="11"/>
      <c r="H4698" s="11"/>
      <c r="I4698" s="11"/>
    </row>
    <row r="4699" spans="2:9" x14ac:dyDescent="0.2">
      <c r="B4699" s="11"/>
      <c r="C4699" s="11"/>
      <c r="D4699" s="11"/>
      <c r="E4699" s="11"/>
      <c r="F4699" s="11"/>
      <c r="G4699" s="11"/>
      <c r="H4699" s="11"/>
      <c r="I4699" s="11"/>
    </row>
    <row r="4700" spans="2:9" x14ac:dyDescent="0.2">
      <c r="B4700" s="11"/>
      <c r="C4700" s="11"/>
      <c r="D4700" s="11"/>
      <c r="E4700" s="11"/>
      <c r="F4700" s="11"/>
      <c r="G4700" s="11"/>
      <c r="H4700" s="11"/>
      <c r="I4700" s="11"/>
    </row>
    <row r="4701" spans="2:9" x14ac:dyDescent="0.2">
      <c r="B4701" s="11"/>
      <c r="C4701" s="11"/>
      <c r="D4701" s="11"/>
      <c r="E4701" s="11"/>
      <c r="F4701" s="11"/>
      <c r="G4701" s="11"/>
      <c r="H4701" s="11"/>
      <c r="I4701" s="11"/>
    </row>
    <row r="4702" spans="2:9" x14ac:dyDescent="0.2">
      <c r="B4702" s="11"/>
      <c r="C4702" s="11"/>
      <c r="D4702" s="11"/>
      <c r="E4702" s="11"/>
      <c r="F4702" s="11"/>
      <c r="G4702" s="11"/>
      <c r="H4702" s="11"/>
      <c r="I4702" s="11"/>
    </row>
    <row r="4703" spans="2:9" x14ac:dyDescent="0.2">
      <c r="B4703" s="11"/>
      <c r="C4703" s="11"/>
      <c r="D4703" s="11"/>
      <c r="E4703" s="11"/>
      <c r="F4703" s="11"/>
      <c r="G4703" s="11"/>
      <c r="H4703" s="11"/>
      <c r="I4703" s="11"/>
    </row>
    <row r="4704" spans="2:9" x14ac:dyDescent="0.2">
      <c r="B4704" s="11"/>
      <c r="C4704" s="11"/>
      <c r="D4704" s="11"/>
      <c r="E4704" s="11"/>
      <c r="F4704" s="11"/>
      <c r="G4704" s="11"/>
      <c r="H4704" s="11"/>
      <c r="I4704" s="11"/>
    </row>
    <row r="4705" spans="2:9" x14ac:dyDescent="0.2">
      <c r="B4705" s="11"/>
      <c r="C4705" s="11"/>
      <c r="D4705" s="11"/>
      <c r="E4705" s="11"/>
      <c r="F4705" s="11"/>
      <c r="G4705" s="11"/>
      <c r="H4705" s="11"/>
      <c r="I4705" s="11"/>
    </row>
    <row r="4706" spans="2:9" x14ac:dyDescent="0.2">
      <c r="B4706" s="11"/>
      <c r="C4706" s="11"/>
      <c r="D4706" s="11"/>
      <c r="E4706" s="11"/>
      <c r="F4706" s="11"/>
      <c r="G4706" s="11"/>
      <c r="H4706" s="11"/>
      <c r="I4706" s="11"/>
    </row>
    <row r="4707" spans="2:9" x14ac:dyDescent="0.2">
      <c r="B4707" s="11"/>
      <c r="C4707" s="11"/>
      <c r="D4707" s="11"/>
      <c r="E4707" s="11"/>
      <c r="F4707" s="11"/>
      <c r="G4707" s="11"/>
      <c r="H4707" s="11"/>
      <c r="I4707" s="11"/>
    </row>
    <row r="4708" spans="2:9" x14ac:dyDescent="0.2">
      <c r="B4708" s="11"/>
      <c r="C4708" s="11"/>
      <c r="D4708" s="11"/>
      <c r="E4708" s="11"/>
      <c r="F4708" s="11"/>
      <c r="G4708" s="11"/>
      <c r="H4708" s="11"/>
      <c r="I4708" s="11"/>
    </row>
    <row r="4709" spans="2:9" x14ac:dyDescent="0.2">
      <c r="B4709" s="11"/>
      <c r="C4709" s="11"/>
      <c r="D4709" s="11"/>
      <c r="E4709" s="11"/>
      <c r="F4709" s="11"/>
      <c r="G4709" s="11"/>
      <c r="H4709" s="11"/>
      <c r="I4709" s="11"/>
    </row>
    <row r="4710" spans="2:9" x14ac:dyDescent="0.2">
      <c r="B4710" s="11"/>
      <c r="C4710" s="11"/>
      <c r="D4710" s="11"/>
      <c r="E4710" s="11"/>
      <c r="F4710" s="11"/>
      <c r="G4710" s="11"/>
      <c r="H4710" s="11"/>
      <c r="I4710" s="11"/>
    </row>
    <row r="4711" spans="2:9" x14ac:dyDescent="0.2">
      <c r="B4711" s="11"/>
      <c r="C4711" s="11"/>
      <c r="D4711" s="11"/>
      <c r="E4711" s="11"/>
      <c r="F4711" s="11"/>
      <c r="G4711" s="11"/>
      <c r="H4711" s="11"/>
      <c r="I4711" s="11"/>
    </row>
    <row r="4712" spans="2:9" x14ac:dyDescent="0.2">
      <c r="B4712" s="11"/>
      <c r="C4712" s="11"/>
      <c r="D4712" s="11"/>
      <c r="E4712" s="11"/>
      <c r="F4712" s="11"/>
      <c r="G4712" s="11"/>
      <c r="H4712" s="11"/>
      <c r="I4712" s="11"/>
    </row>
    <row r="4713" spans="2:9" x14ac:dyDescent="0.2">
      <c r="B4713" s="11"/>
      <c r="C4713" s="11"/>
      <c r="D4713" s="11"/>
      <c r="E4713" s="11"/>
      <c r="F4713" s="11"/>
      <c r="G4713" s="11"/>
      <c r="H4713" s="11"/>
      <c r="I4713" s="11"/>
    </row>
    <row r="4714" spans="2:9" x14ac:dyDescent="0.2">
      <c r="B4714" s="11"/>
      <c r="C4714" s="11"/>
      <c r="D4714" s="11"/>
      <c r="E4714" s="11"/>
      <c r="F4714" s="11"/>
      <c r="G4714" s="11"/>
      <c r="H4714" s="11"/>
      <c r="I4714" s="11"/>
    </row>
    <row r="4715" spans="2:9" x14ac:dyDescent="0.2">
      <c r="B4715" s="11"/>
      <c r="C4715" s="11"/>
      <c r="D4715" s="11"/>
      <c r="E4715" s="11"/>
      <c r="F4715" s="11"/>
      <c r="G4715" s="11"/>
      <c r="H4715" s="11"/>
      <c r="I4715" s="11"/>
    </row>
    <row r="4716" spans="2:9" x14ac:dyDescent="0.2">
      <c r="B4716" s="11"/>
      <c r="C4716" s="11"/>
      <c r="D4716" s="11"/>
      <c r="E4716" s="11"/>
      <c r="F4716" s="11"/>
      <c r="G4716" s="11"/>
      <c r="H4716" s="11"/>
      <c r="I4716" s="11"/>
    </row>
    <row r="4717" spans="2:9" x14ac:dyDescent="0.2">
      <c r="B4717" s="11"/>
      <c r="C4717" s="11"/>
      <c r="D4717" s="11"/>
      <c r="E4717" s="11"/>
      <c r="F4717" s="11"/>
      <c r="G4717" s="11"/>
      <c r="H4717" s="11"/>
      <c r="I4717" s="11"/>
    </row>
    <row r="4718" spans="2:9" x14ac:dyDescent="0.2">
      <c r="B4718" s="11"/>
      <c r="C4718" s="11"/>
      <c r="D4718" s="11"/>
      <c r="E4718" s="11"/>
      <c r="F4718" s="11"/>
      <c r="G4718" s="11"/>
      <c r="H4718" s="11"/>
      <c r="I4718" s="11"/>
    </row>
    <row r="4719" spans="2:9" x14ac:dyDescent="0.2">
      <c r="B4719" s="11"/>
      <c r="C4719" s="11"/>
      <c r="D4719" s="11"/>
      <c r="E4719" s="11"/>
      <c r="F4719" s="11"/>
      <c r="G4719" s="11"/>
      <c r="H4719" s="11"/>
      <c r="I4719" s="11"/>
    </row>
    <row r="4720" spans="2:9" x14ac:dyDescent="0.2">
      <c r="B4720" s="11"/>
      <c r="C4720" s="11"/>
      <c r="D4720" s="11"/>
      <c r="E4720" s="11"/>
      <c r="F4720" s="11"/>
      <c r="G4720" s="11"/>
      <c r="H4720" s="11"/>
      <c r="I4720" s="11"/>
    </row>
    <row r="4721" spans="2:9" x14ac:dyDescent="0.2">
      <c r="B4721" s="11"/>
      <c r="C4721" s="11"/>
      <c r="D4721" s="11"/>
      <c r="E4721" s="11"/>
      <c r="F4721" s="11"/>
      <c r="G4721" s="11"/>
      <c r="H4721" s="11"/>
      <c r="I4721" s="11"/>
    </row>
    <row r="4722" spans="2:9" x14ac:dyDescent="0.2">
      <c r="B4722" s="11"/>
      <c r="C4722" s="11"/>
      <c r="D4722" s="11"/>
      <c r="E4722" s="11"/>
      <c r="F4722" s="11"/>
      <c r="G4722" s="11"/>
      <c r="H4722" s="11"/>
      <c r="I4722" s="11"/>
    </row>
    <row r="4723" spans="2:9" x14ac:dyDescent="0.2">
      <c r="B4723" s="11"/>
      <c r="C4723" s="11"/>
      <c r="D4723" s="11"/>
      <c r="E4723" s="11"/>
      <c r="F4723" s="11"/>
      <c r="G4723" s="11"/>
      <c r="H4723" s="11"/>
      <c r="I4723" s="11"/>
    </row>
    <row r="4724" spans="2:9" x14ac:dyDescent="0.2">
      <c r="B4724" s="11"/>
      <c r="C4724" s="11"/>
      <c r="D4724" s="11"/>
      <c r="E4724" s="11"/>
      <c r="F4724" s="11"/>
      <c r="G4724" s="11"/>
      <c r="H4724" s="11"/>
      <c r="I4724" s="11"/>
    </row>
    <row r="4725" spans="2:9" x14ac:dyDescent="0.2">
      <c r="B4725" s="11"/>
      <c r="C4725" s="11"/>
      <c r="D4725" s="11"/>
      <c r="E4725" s="11"/>
      <c r="F4725" s="11"/>
      <c r="G4725" s="11"/>
      <c r="H4725" s="11"/>
      <c r="I4725" s="11"/>
    </row>
    <row r="4726" spans="2:9" x14ac:dyDescent="0.2">
      <c r="B4726" s="11"/>
      <c r="C4726" s="11"/>
      <c r="D4726" s="11"/>
      <c r="E4726" s="11"/>
      <c r="F4726" s="11"/>
      <c r="G4726" s="11"/>
      <c r="H4726" s="11"/>
      <c r="I4726" s="11"/>
    </row>
    <row r="4727" spans="2:9" x14ac:dyDescent="0.2">
      <c r="B4727" s="11"/>
      <c r="C4727" s="11"/>
      <c r="D4727" s="11"/>
      <c r="E4727" s="11"/>
      <c r="F4727" s="11"/>
      <c r="G4727" s="11"/>
      <c r="H4727" s="11"/>
      <c r="I4727" s="11"/>
    </row>
    <row r="4728" spans="2:9" x14ac:dyDescent="0.2">
      <c r="B4728" s="11"/>
      <c r="C4728" s="11"/>
      <c r="D4728" s="11"/>
      <c r="E4728" s="11"/>
      <c r="F4728" s="11"/>
      <c r="G4728" s="11"/>
      <c r="H4728" s="11"/>
      <c r="I4728" s="11"/>
    </row>
    <row r="4729" spans="2:9" x14ac:dyDescent="0.2">
      <c r="B4729" s="11"/>
      <c r="C4729" s="11"/>
      <c r="D4729" s="11"/>
      <c r="E4729" s="11"/>
      <c r="F4729" s="11"/>
      <c r="G4729" s="11"/>
      <c r="H4729" s="11"/>
      <c r="I4729" s="11"/>
    </row>
    <row r="4730" spans="2:9" x14ac:dyDescent="0.2">
      <c r="B4730" s="11"/>
      <c r="C4730" s="11"/>
      <c r="D4730" s="11"/>
      <c r="E4730" s="11"/>
      <c r="F4730" s="11"/>
      <c r="G4730" s="11"/>
      <c r="H4730" s="11"/>
      <c r="I4730" s="11"/>
    </row>
    <row r="4731" spans="2:9" x14ac:dyDescent="0.2">
      <c r="B4731" s="11"/>
      <c r="C4731" s="11"/>
      <c r="D4731" s="11"/>
      <c r="E4731" s="11"/>
      <c r="F4731" s="11"/>
      <c r="G4731" s="11"/>
      <c r="H4731" s="11"/>
      <c r="I4731" s="11"/>
    </row>
    <row r="4732" spans="2:9" x14ac:dyDescent="0.2">
      <c r="B4732" s="11"/>
      <c r="C4732" s="11"/>
      <c r="D4732" s="11"/>
      <c r="E4732" s="11"/>
      <c r="F4732" s="11"/>
      <c r="G4732" s="11"/>
      <c r="H4732" s="11"/>
      <c r="I4732" s="11"/>
    </row>
    <row r="4733" spans="2:9" x14ac:dyDescent="0.2">
      <c r="B4733" s="11"/>
      <c r="C4733" s="11"/>
      <c r="D4733" s="11"/>
      <c r="E4733" s="11"/>
      <c r="F4733" s="11"/>
      <c r="G4733" s="11"/>
      <c r="H4733" s="11"/>
      <c r="I4733" s="11"/>
    </row>
    <row r="4734" spans="2:9" x14ac:dyDescent="0.2">
      <c r="B4734" s="11"/>
      <c r="C4734" s="11"/>
      <c r="D4734" s="11"/>
      <c r="E4734" s="11"/>
      <c r="F4734" s="11"/>
      <c r="G4734" s="11"/>
      <c r="H4734" s="11"/>
      <c r="I4734" s="11"/>
    </row>
    <row r="4735" spans="2:9" x14ac:dyDescent="0.2">
      <c r="B4735" s="11"/>
      <c r="C4735" s="11"/>
      <c r="D4735" s="11"/>
      <c r="E4735" s="11"/>
      <c r="F4735" s="11"/>
      <c r="G4735" s="11"/>
      <c r="H4735" s="11"/>
      <c r="I4735" s="11"/>
    </row>
    <row r="4736" spans="2:9" x14ac:dyDescent="0.2">
      <c r="B4736" s="11"/>
      <c r="C4736" s="11"/>
      <c r="D4736" s="11"/>
      <c r="E4736" s="11"/>
      <c r="F4736" s="11"/>
      <c r="G4736" s="11"/>
      <c r="H4736" s="11"/>
      <c r="I4736" s="11"/>
    </row>
    <row r="4737" spans="2:9" x14ac:dyDescent="0.2">
      <c r="B4737" s="11"/>
      <c r="C4737" s="11"/>
      <c r="D4737" s="11"/>
      <c r="E4737" s="11"/>
      <c r="F4737" s="11"/>
      <c r="G4737" s="11"/>
      <c r="H4737" s="11"/>
      <c r="I4737" s="11"/>
    </row>
    <row r="4738" spans="2:9" x14ac:dyDescent="0.2">
      <c r="B4738" s="11"/>
      <c r="C4738" s="11"/>
      <c r="D4738" s="11"/>
      <c r="E4738" s="11"/>
      <c r="F4738" s="11"/>
      <c r="G4738" s="11"/>
      <c r="H4738" s="11"/>
      <c r="I4738" s="11"/>
    </row>
    <row r="4739" spans="2:9" x14ac:dyDescent="0.2">
      <c r="B4739" s="11"/>
      <c r="C4739" s="11"/>
      <c r="D4739" s="11"/>
      <c r="E4739" s="11"/>
      <c r="F4739" s="11"/>
      <c r="G4739" s="11"/>
      <c r="H4739" s="11"/>
      <c r="I4739" s="11"/>
    </row>
    <row r="4740" spans="2:9" x14ac:dyDescent="0.2">
      <c r="B4740" s="11"/>
      <c r="C4740" s="11"/>
      <c r="D4740" s="11"/>
      <c r="E4740" s="11"/>
      <c r="F4740" s="11"/>
      <c r="G4740" s="11"/>
      <c r="H4740" s="11"/>
      <c r="I4740" s="11"/>
    </row>
    <row r="4741" spans="2:9" x14ac:dyDescent="0.2">
      <c r="B4741" s="11"/>
      <c r="C4741" s="11"/>
      <c r="D4741" s="11"/>
      <c r="E4741" s="11"/>
      <c r="F4741" s="11"/>
      <c r="G4741" s="11"/>
      <c r="H4741" s="11"/>
      <c r="I4741" s="11"/>
    </row>
    <row r="4742" spans="2:9" x14ac:dyDescent="0.2">
      <c r="B4742" s="11"/>
      <c r="C4742" s="11"/>
      <c r="D4742" s="11"/>
      <c r="E4742" s="11"/>
      <c r="F4742" s="11"/>
      <c r="G4742" s="11"/>
      <c r="H4742" s="11"/>
      <c r="I4742" s="11"/>
    </row>
    <row r="4743" spans="2:9" x14ac:dyDescent="0.2">
      <c r="B4743" s="11"/>
      <c r="C4743" s="11"/>
      <c r="D4743" s="11"/>
      <c r="E4743" s="11"/>
      <c r="F4743" s="11"/>
      <c r="G4743" s="11"/>
      <c r="H4743" s="11"/>
      <c r="I4743" s="11"/>
    </row>
    <row r="4744" spans="2:9" x14ac:dyDescent="0.2">
      <c r="B4744" s="11"/>
      <c r="C4744" s="11"/>
      <c r="D4744" s="11"/>
      <c r="E4744" s="11"/>
      <c r="F4744" s="11"/>
      <c r="G4744" s="11"/>
      <c r="H4744" s="11"/>
      <c r="I4744" s="11"/>
    </row>
    <row r="4745" spans="2:9" x14ac:dyDescent="0.2">
      <c r="B4745" s="11"/>
      <c r="C4745" s="11"/>
      <c r="D4745" s="11"/>
      <c r="E4745" s="11"/>
      <c r="F4745" s="11"/>
      <c r="G4745" s="11"/>
      <c r="H4745" s="11"/>
      <c r="I4745" s="11"/>
    </row>
    <row r="4746" spans="2:9" x14ac:dyDescent="0.2">
      <c r="B4746" s="11"/>
      <c r="C4746" s="11"/>
      <c r="D4746" s="11"/>
      <c r="E4746" s="11"/>
      <c r="F4746" s="11"/>
      <c r="G4746" s="11"/>
      <c r="H4746" s="11"/>
      <c r="I4746" s="11"/>
    </row>
    <row r="4747" spans="2:9" x14ac:dyDescent="0.2">
      <c r="B4747" s="11"/>
      <c r="C4747" s="11"/>
      <c r="D4747" s="11"/>
      <c r="E4747" s="11"/>
      <c r="F4747" s="11"/>
      <c r="G4747" s="11"/>
      <c r="H4747" s="11"/>
      <c r="I4747" s="11"/>
    </row>
    <row r="4748" spans="2:9" x14ac:dyDescent="0.2">
      <c r="B4748" s="11"/>
      <c r="C4748" s="11"/>
      <c r="D4748" s="11"/>
      <c r="E4748" s="11"/>
      <c r="F4748" s="11"/>
      <c r="G4748" s="11"/>
      <c r="H4748" s="11"/>
      <c r="I4748" s="11"/>
    </row>
    <row r="4749" spans="2:9" x14ac:dyDescent="0.2">
      <c r="B4749" s="11"/>
      <c r="C4749" s="11"/>
      <c r="D4749" s="11"/>
      <c r="E4749" s="11"/>
      <c r="F4749" s="11"/>
      <c r="G4749" s="11"/>
      <c r="H4749" s="11"/>
      <c r="I4749" s="11"/>
    </row>
    <row r="4750" spans="2:9" x14ac:dyDescent="0.2">
      <c r="B4750" s="11"/>
      <c r="C4750" s="11"/>
      <c r="D4750" s="11"/>
      <c r="E4750" s="11"/>
      <c r="F4750" s="11"/>
      <c r="G4750" s="11"/>
      <c r="H4750" s="11"/>
      <c r="I4750" s="11"/>
    </row>
    <row r="4751" spans="2:9" x14ac:dyDescent="0.2">
      <c r="B4751" s="11"/>
      <c r="C4751" s="11"/>
      <c r="D4751" s="11"/>
      <c r="E4751" s="11"/>
      <c r="F4751" s="11"/>
      <c r="G4751" s="11"/>
      <c r="H4751" s="11"/>
      <c r="I4751" s="11"/>
    </row>
    <row r="4752" spans="2:9" x14ac:dyDescent="0.2">
      <c r="B4752" s="11"/>
      <c r="C4752" s="11"/>
      <c r="D4752" s="11"/>
      <c r="E4752" s="11"/>
      <c r="F4752" s="11"/>
      <c r="G4752" s="11"/>
      <c r="H4752" s="11"/>
      <c r="I4752" s="11"/>
    </row>
    <row r="4753" spans="2:9" x14ac:dyDescent="0.2">
      <c r="B4753" s="11"/>
      <c r="C4753" s="11"/>
      <c r="D4753" s="11"/>
      <c r="E4753" s="11"/>
      <c r="F4753" s="11"/>
      <c r="G4753" s="11"/>
      <c r="H4753" s="11"/>
      <c r="I4753" s="11"/>
    </row>
    <row r="4754" spans="2:9" x14ac:dyDescent="0.2">
      <c r="B4754" s="11"/>
      <c r="C4754" s="11"/>
      <c r="D4754" s="11"/>
      <c r="E4754" s="11"/>
      <c r="F4754" s="11"/>
      <c r="G4754" s="11"/>
      <c r="H4754" s="11"/>
      <c r="I4754" s="11"/>
    </row>
    <row r="4755" spans="2:9" x14ac:dyDescent="0.2">
      <c r="B4755" s="11"/>
      <c r="C4755" s="11"/>
      <c r="D4755" s="11"/>
      <c r="E4755" s="11"/>
      <c r="F4755" s="11"/>
      <c r="G4755" s="11"/>
      <c r="H4755" s="11"/>
      <c r="I4755" s="11"/>
    </row>
    <row r="4756" spans="2:9" x14ac:dyDescent="0.2">
      <c r="B4756" s="11"/>
      <c r="C4756" s="11"/>
      <c r="D4756" s="11"/>
      <c r="E4756" s="11"/>
      <c r="F4756" s="11"/>
      <c r="G4756" s="11"/>
      <c r="H4756" s="11"/>
      <c r="I4756" s="11"/>
    </row>
    <row r="4757" spans="2:9" x14ac:dyDescent="0.2">
      <c r="B4757" s="11"/>
      <c r="C4757" s="11"/>
      <c r="D4757" s="11"/>
      <c r="E4757" s="11"/>
      <c r="F4757" s="11"/>
      <c r="G4757" s="11"/>
      <c r="H4757" s="11"/>
      <c r="I4757" s="11"/>
    </row>
    <row r="4758" spans="2:9" x14ac:dyDescent="0.2">
      <c r="B4758" s="11"/>
      <c r="C4758" s="11"/>
      <c r="D4758" s="11"/>
      <c r="E4758" s="11"/>
      <c r="F4758" s="11"/>
      <c r="G4758" s="11"/>
      <c r="H4758" s="11"/>
      <c r="I4758" s="11"/>
    </row>
    <row r="4759" spans="2:9" x14ac:dyDescent="0.2">
      <c r="B4759" s="11"/>
      <c r="C4759" s="11"/>
      <c r="D4759" s="11"/>
      <c r="E4759" s="11"/>
      <c r="F4759" s="11"/>
      <c r="G4759" s="11"/>
      <c r="H4759" s="11"/>
      <c r="I4759" s="11"/>
    </row>
    <row r="4760" spans="2:9" x14ac:dyDescent="0.2">
      <c r="B4760" s="11"/>
      <c r="C4760" s="11"/>
      <c r="D4760" s="11"/>
      <c r="E4760" s="11"/>
      <c r="F4760" s="11"/>
      <c r="G4760" s="11"/>
      <c r="H4760" s="11"/>
      <c r="I4760" s="11"/>
    </row>
    <row r="4761" spans="2:9" x14ac:dyDescent="0.2">
      <c r="B4761" s="11"/>
      <c r="C4761" s="11"/>
      <c r="D4761" s="11"/>
      <c r="E4761" s="11"/>
      <c r="F4761" s="11"/>
      <c r="G4761" s="11"/>
      <c r="H4761" s="11"/>
      <c r="I4761" s="11"/>
    </row>
    <row r="4762" spans="2:9" x14ac:dyDescent="0.2">
      <c r="B4762" s="11"/>
      <c r="C4762" s="11"/>
      <c r="D4762" s="11"/>
      <c r="E4762" s="11"/>
      <c r="F4762" s="11"/>
      <c r="G4762" s="11"/>
      <c r="H4762" s="11"/>
      <c r="I4762" s="11"/>
    </row>
    <row r="4763" spans="2:9" x14ac:dyDescent="0.2">
      <c r="B4763" s="11"/>
      <c r="C4763" s="11"/>
      <c r="D4763" s="11"/>
      <c r="E4763" s="11"/>
      <c r="F4763" s="11"/>
      <c r="G4763" s="11"/>
      <c r="H4763" s="11"/>
      <c r="I4763" s="11"/>
    </row>
    <row r="4764" spans="2:9" x14ac:dyDescent="0.2">
      <c r="B4764" s="11"/>
      <c r="C4764" s="11"/>
      <c r="D4764" s="11"/>
      <c r="E4764" s="11"/>
      <c r="F4764" s="11"/>
      <c r="G4764" s="11"/>
      <c r="H4764" s="11"/>
      <c r="I4764" s="11"/>
    </row>
    <row r="4765" spans="2:9" x14ac:dyDescent="0.2">
      <c r="B4765" s="11"/>
      <c r="C4765" s="11"/>
      <c r="D4765" s="11"/>
      <c r="E4765" s="11"/>
      <c r="F4765" s="11"/>
      <c r="G4765" s="11"/>
      <c r="H4765" s="11"/>
      <c r="I4765" s="11"/>
    </row>
    <row r="4766" spans="2:9" x14ac:dyDescent="0.2">
      <c r="B4766" s="11"/>
      <c r="C4766" s="11"/>
      <c r="D4766" s="11"/>
      <c r="E4766" s="11"/>
      <c r="F4766" s="11"/>
      <c r="G4766" s="11"/>
      <c r="H4766" s="11"/>
      <c r="I4766" s="11"/>
    </row>
    <row r="4767" spans="2:9" x14ac:dyDescent="0.2">
      <c r="B4767" s="11"/>
      <c r="C4767" s="11"/>
      <c r="D4767" s="11"/>
      <c r="E4767" s="11"/>
      <c r="F4767" s="11"/>
      <c r="G4767" s="11"/>
      <c r="H4767" s="11"/>
      <c r="I4767" s="11"/>
    </row>
    <row r="4768" spans="2:9" x14ac:dyDescent="0.2">
      <c r="B4768" s="11"/>
      <c r="C4768" s="11"/>
      <c r="D4768" s="11"/>
      <c r="E4768" s="11"/>
      <c r="F4768" s="11"/>
      <c r="G4768" s="11"/>
      <c r="H4768" s="11"/>
      <c r="I4768" s="11"/>
    </row>
    <row r="4769" spans="2:9" x14ac:dyDescent="0.2">
      <c r="B4769" s="11"/>
      <c r="C4769" s="11"/>
      <c r="D4769" s="11"/>
      <c r="E4769" s="11"/>
      <c r="F4769" s="11"/>
      <c r="G4769" s="11"/>
      <c r="H4769" s="11"/>
      <c r="I4769" s="11"/>
    </row>
    <row r="4770" spans="2:9" x14ac:dyDescent="0.2">
      <c r="B4770" s="11"/>
      <c r="C4770" s="11"/>
      <c r="D4770" s="11"/>
      <c r="E4770" s="11"/>
      <c r="F4770" s="11"/>
      <c r="G4770" s="11"/>
      <c r="H4770" s="11"/>
      <c r="I4770" s="11"/>
    </row>
    <row r="4771" spans="2:9" x14ac:dyDescent="0.2">
      <c r="B4771" s="11"/>
      <c r="C4771" s="11"/>
      <c r="D4771" s="11"/>
      <c r="E4771" s="11"/>
      <c r="F4771" s="11"/>
      <c r="G4771" s="11"/>
      <c r="H4771" s="11"/>
      <c r="I4771" s="11"/>
    </row>
    <row r="4772" spans="2:9" x14ac:dyDescent="0.2">
      <c r="B4772" s="11"/>
      <c r="C4772" s="11"/>
      <c r="D4772" s="11"/>
      <c r="E4772" s="11"/>
      <c r="F4772" s="11"/>
      <c r="G4772" s="11"/>
      <c r="H4772" s="11"/>
      <c r="I4772" s="11"/>
    </row>
    <row r="4773" spans="2:9" x14ac:dyDescent="0.2">
      <c r="B4773" s="11"/>
      <c r="C4773" s="11"/>
      <c r="D4773" s="11"/>
      <c r="E4773" s="11"/>
      <c r="F4773" s="11"/>
      <c r="G4773" s="11"/>
      <c r="H4773" s="11"/>
      <c r="I4773" s="11"/>
    </row>
    <row r="4774" spans="2:9" x14ac:dyDescent="0.2">
      <c r="B4774" s="11"/>
      <c r="C4774" s="11"/>
      <c r="D4774" s="11"/>
      <c r="E4774" s="11"/>
      <c r="F4774" s="11"/>
      <c r="G4774" s="11"/>
      <c r="H4774" s="11"/>
      <c r="I4774" s="11"/>
    </row>
    <row r="4775" spans="2:9" x14ac:dyDescent="0.2">
      <c r="B4775" s="11"/>
      <c r="C4775" s="11"/>
      <c r="D4775" s="11"/>
      <c r="E4775" s="11"/>
      <c r="F4775" s="11"/>
      <c r="G4775" s="11"/>
      <c r="H4775" s="11"/>
      <c r="I4775" s="11"/>
    </row>
    <row r="4776" spans="2:9" x14ac:dyDescent="0.2">
      <c r="B4776" s="11"/>
      <c r="C4776" s="11"/>
      <c r="D4776" s="11"/>
      <c r="E4776" s="11"/>
      <c r="F4776" s="11"/>
      <c r="G4776" s="11"/>
      <c r="H4776" s="11"/>
      <c r="I4776" s="11"/>
    </row>
    <row r="4777" spans="2:9" x14ac:dyDescent="0.2">
      <c r="B4777" s="11"/>
      <c r="C4777" s="11"/>
      <c r="D4777" s="11"/>
      <c r="E4777" s="11"/>
      <c r="F4777" s="11"/>
      <c r="G4777" s="11"/>
      <c r="H4777" s="11"/>
      <c r="I4777" s="11"/>
    </row>
    <row r="4778" spans="2:9" x14ac:dyDescent="0.2">
      <c r="B4778" s="11"/>
      <c r="C4778" s="11"/>
      <c r="D4778" s="11"/>
      <c r="E4778" s="11"/>
      <c r="F4778" s="11"/>
      <c r="G4778" s="11"/>
      <c r="H4778" s="11"/>
      <c r="I4778" s="11"/>
    </row>
    <row r="4779" spans="2:9" x14ac:dyDescent="0.2">
      <c r="B4779" s="11"/>
      <c r="C4779" s="11"/>
      <c r="D4779" s="11"/>
      <c r="E4779" s="11"/>
      <c r="F4779" s="11"/>
      <c r="G4779" s="11"/>
      <c r="H4779" s="11"/>
      <c r="I4779" s="11"/>
    </row>
    <row r="4780" spans="2:9" x14ac:dyDescent="0.2">
      <c r="B4780" s="11"/>
      <c r="C4780" s="11"/>
      <c r="D4780" s="11"/>
      <c r="E4780" s="11"/>
      <c r="F4780" s="11"/>
      <c r="G4780" s="11"/>
      <c r="H4780" s="11"/>
      <c r="I4780" s="11"/>
    </row>
    <row r="4781" spans="2:9" x14ac:dyDescent="0.2">
      <c r="B4781" s="11"/>
      <c r="C4781" s="11"/>
      <c r="D4781" s="11"/>
      <c r="E4781" s="11"/>
      <c r="F4781" s="11"/>
      <c r="G4781" s="11"/>
      <c r="H4781" s="11"/>
      <c r="I4781" s="11"/>
    </row>
    <row r="4782" spans="2:9" x14ac:dyDescent="0.2">
      <c r="B4782" s="11"/>
      <c r="C4782" s="11"/>
      <c r="D4782" s="11"/>
      <c r="E4782" s="11"/>
      <c r="F4782" s="11"/>
      <c r="G4782" s="11"/>
      <c r="H4782" s="11"/>
      <c r="I4782" s="11"/>
    </row>
    <row r="4783" spans="2:9" x14ac:dyDescent="0.2">
      <c r="B4783" s="11"/>
      <c r="C4783" s="11"/>
      <c r="D4783" s="11"/>
      <c r="E4783" s="11"/>
      <c r="F4783" s="11"/>
      <c r="G4783" s="11"/>
      <c r="H4783" s="11"/>
      <c r="I4783" s="11"/>
    </row>
    <row r="4784" spans="2:9" x14ac:dyDescent="0.2">
      <c r="B4784" s="11"/>
      <c r="C4784" s="11"/>
      <c r="D4784" s="11"/>
      <c r="E4784" s="11"/>
      <c r="F4784" s="11"/>
      <c r="G4784" s="11"/>
      <c r="H4784" s="11"/>
      <c r="I4784" s="11"/>
    </row>
    <row r="4785" spans="2:9" x14ac:dyDescent="0.2">
      <c r="B4785" s="11"/>
      <c r="C4785" s="11"/>
      <c r="D4785" s="11"/>
      <c r="E4785" s="11"/>
      <c r="F4785" s="11"/>
      <c r="G4785" s="11"/>
      <c r="H4785" s="11"/>
      <c r="I4785" s="11"/>
    </row>
    <row r="4786" spans="2:9" x14ac:dyDescent="0.2">
      <c r="B4786" s="11"/>
      <c r="C4786" s="11"/>
      <c r="D4786" s="11"/>
      <c r="E4786" s="11"/>
      <c r="F4786" s="11"/>
      <c r="G4786" s="11"/>
      <c r="H4786" s="11"/>
      <c r="I4786" s="11"/>
    </row>
    <row r="4787" spans="2:9" x14ac:dyDescent="0.2">
      <c r="B4787" s="11"/>
      <c r="C4787" s="11"/>
      <c r="D4787" s="11"/>
      <c r="E4787" s="11"/>
      <c r="F4787" s="11"/>
      <c r="G4787" s="11"/>
      <c r="H4787" s="11"/>
      <c r="I4787" s="11"/>
    </row>
    <row r="4788" spans="2:9" x14ac:dyDescent="0.2">
      <c r="B4788" s="11"/>
      <c r="C4788" s="11"/>
      <c r="D4788" s="11"/>
      <c r="E4788" s="11"/>
      <c r="F4788" s="11"/>
      <c r="G4788" s="11"/>
      <c r="H4788" s="11"/>
      <c r="I4788" s="11"/>
    </row>
    <row r="4789" spans="2:9" x14ac:dyDescent="0.2">
      <c r="B4789" s="11"/>
      <c r="C4789" s="11"/>
      <c r="D4789" s="11"/>
      <c r="E4789" s="11"/>
      <c r="F4789" s="11"/>
      <c r="G4789" s="11"/>
      <c r="H4789" s="11"/>
      <c r="I4789" s="11"/>
    </row>
    <row r="4790" spans="2:9" x14ac:dyDescent="0.2">
      <c r="B4790" s="11"/>
      <c r="C4790" s="11"/>
      <c r="D4790" s="11"/>
      <c r="E4790" s="11"/>
      <c r="F4790" s="11"/>
      <c r="G4790" s="11"/>
      <c r="H4790" s="11"/>
      <c r="I4790" s="11"/>
    </row>
    <row r="4791" spans="2:9" x14ac:dyDescent="0.2">
      <c r="B4791" s="11"/>
      <c r="C4791" s="11"/>
      <c r="D4791" s="11"/>
      <c r="E4791" s="11"/>
      <c r="F4791" s="11"/>
      <c r="G4791" s="11"/>
      <c r="H4791" s="11"/>
      <c r="I4791" s="11"/>
    </row>
    <row r="4792" spans="2:9" x14ac:dyDescent="0.2">
      <c r="B4792" s="11"/>
      <c r="C4792" s="11"/>
      <c r="D4792" s="11"/>
      <c r="E4792" s="11"/>
      <c r="F4792" s="11"/>
      <c r="G4792" s="11"/>
      <c r="H4792" s="11"/>
      <c r="I4792" s="11"/>
    </row>
    <row r="4793" spans="2:9" x14ac:dyDescent="0.2">
      <c r="B4793" s="11"/>
      <c r="C4793" s="11"/>
      <c r="D4793" s="11"/>
      <c r="E4793" s="11"/>
      <c r="F4793" s="11"/>
      <c r="G4793" s="11"/>
      <c r="H4793" s="11"/>
      <c r="I4793" s="11"/>
    </row>
    <row r="4794" spans="2:9" x14ac:dyDescent="0.2">
      <c r="B4794" s="11"/>
      <c r="C4794" s="11"/>
      <c r="D4794" s="11"/>
      <c r="E4794" s="11"/>
      <c r="F4794" s="11"/>
      <c r="G4794" s="11"/>
      <c r="H4794" s="11"/>
      <c r="I4794" s="11"/>
    </row>
    <row r="4795" spans="2:9" x14ac:dyDescent="0.2">
      <c r="B4795" s="11"/>
      <c r="C4795" s="11"/>
      <c r="D4795" s="11"/>
      <c r="E4795" s="11"/>
      <c r="F4795" s="11"/>
      <c r="G4795" s="11"/>
      <c r="H4795" s="11"/>
      <c r="I4795" s="11"/>
    </row>
    <row r="4796" spans="2:9" x14ac:dyDescent="0.2">
      <c r="B4796" s="11"/>
      <c r="C4796" s="11"/>
      <c r="D4796" s="11"/>
      <c r="E4796" s="11"/>
      <c r="F4796" s="11"/>
      <c r="G4796" s="11"/>
      <c r="H4796" s="11"/>
      <c r="I4796" s="11"/>
    </row>
    <row r="4797" spans="2:9" x14ac:dyDescent="0.2">
      <c r="B4797" s="11"/>
      <c r="C4797" s="11"/>
      <c r="D4797" s="11"/>
      <c r="E4797" s="11"/>
      <c r="F4797" s="11"/>
      <c r="G4797" s="11"/>
      <c r="H4797" s="11"/>
      <c r="I4797" s="11"/>
    </row>
    <row r="4798" spans="2:9" x14ac:dyDescent="0.2">
      <c r="B4798" s="11"/>
      <c r="C4798" s="11"/>
      <c r="D4798" s="11"/>
      <c r="E4798" s="11"/>
      <c r="F4798" s="11"/>
      <c r="G4798" s="11"/>
      <c r="H4798" s="11"/>
      <c r="I4798" s="11"/>
    </row>
    <row r="4799" spans="2:9" x14ac:dyDescent="0.2">
      <c r="B4799" s="11"/>
      <c r="C4799" s="11"/>
      <c r="D4799" s="11"/>
      <c r="E4799" s="11"/>
      <c r="F4799" s="11"/>
      <c r="G4799" s="11"/>
      <c r="H4799" s="11"/>
      <c r="I4799" s="11"/>
    </row>
    <row r="4800" spans="2:9" x14ac:dyDescent="0.2">
      <c r="B4800" s="11"/>
      <c r="C4800" s="11"/>
      <c r="D4800" s="11"/>
      <c r="E4800" s="11"/>
      <c r="F4800" s="11"/>
      <c r="G4800" s="11"/>
      <c r="H4800" s="11"/>
      <c r="I4800" s="11"/>
    </row>
    <row r="4801" spans="2:9" x14ac:dyDescent="0.2">
      <c r="B4801" s="11"/>
      <c r="C4801" s="11"/>
      <c r="D4801" s="11"/>
      <c r="E4801" s="11"/>
      <c r="F4801" s="11"/>
      <c r="G4801" s="11"/>
      <c r="H4801" s="11"/>
      <c r="I4801" s="11"/>
    </row>
    <row r="4802" spans="2:9" x14ac:dyDescent="0.2">
      <c r="B4802" s="11"/>
      <c r="C4802" s="11"/>
      <c r="D4802" s="11"/>
      <c r="E4802" s="11"/>
      <c r="F4802" s="11"/>
      <c r="G4802" s="11"/>
      <c r="H4802" s="11"/>
      <c r="I4802" s="11"/>
    </row>
    <row r="4803" spans="2:9" x14ac:dyDescent="0.2">
      <c r="B4803" s="11"/>
      <c r="C4803" s="11"/>
      <c r="D4803" s="11"/>
      <c r="E4803" s="11"/>
      <c r="F4803" s="11"/>
      <c r="G4803" s="11"/>
      <c r="H4803" s="11"/>
      <c r="I4803" s="11"/>
    </row>
    <row r="4804" spans="2:9" x14ac:dyDescent="0.2">
      <c r="B4804" s="11"/>
      <c r="C4804" s="11"/>
      <c r="D4804" s="11"/>
      <c r="E4804" s="11"/>
      <c r="F4804" s="11"/>
      <c r="G4804" s="11"/>
      <c r="H4804" s="11"/>
      <c r="I4804" s="11"/>
    </row>
    <row r="4805" spans="2:9" x14ac:dyDescent="0.2">
      <c r="B4805" s="11"/>
      <c r="C4805" s="11"/>
      <c r="D4805" s="11"/>
      <c r="E4805" s="11"/>
      <c r="F4805" s="11"/>
      <c r="G4805" s="11"/>
      <c r="H4805" s="11"/>
      <c r="I4805" s="11"/>
    </row>
    <row r="4806" spans="2:9" x14ac:dyDescent="0.2">
      <c r="B4806" s="11"/>
      <c r="C4806" s="11"/>
      <c r="D4806" s="11"/>
      <c r="E4806" s="11"/>
      <c r="F4806" s="11"/>
      <c r="G4806" s="11"/>
      <c r="H4806" s="11"/>
      <c r="I4806" s="11"/>
    </row>
    <row r="4807" spans="2:9" x14ac:dyDescent="0.2">
      <c r="B4807" s="11"/>
      <c r="C4807" s="11"/>
      <c r="D4807" s="11"/>
      <c r="E4807" s="11"/>
      <c r="F4807" s="11"/>
      <c r="G4807" s="11"/>
      <c r="H4807" s="11"/>
      <c r="I4807" s="11"/>
    </row>
    <row r="4808" spans="2:9" x14ac:dyDescent="0.2">
      <c r="B4808" s="11"/>
      <c r="C4808" s="11"/>
      <c r="D4808" s="11"/>
      <c r="E4808" s="11"/>
      <c r="F4808" s="11"/>
      <c r="G4808" s="11"/>
      <c r="H4808" s="11"/>
      <c r="I4808" s="11"/>
    </row>
    <row r="4809" spans="2:9" x14ac:dyDescent="0.2">
      <c r="B4809" s="11"/>
      <c r="C4809" s="11"/>
      <c r="D4809" s="11"/>
      <c r="E4809" s="11"/>
      <c r="F4809" s="11"/>
      <c r="G4809" s="11"/>
      <c r="H4809" s="11"/>
      <c r="I4809" s="11"/>
    </row>
    <row r="4810" spans="2:9" x14ac:dyDescent="0.2">
      <c r="B4810" s="11"/>
      <c r="C4810" s="11"/>
      <c r="D4810" s="11"/>
      <c r="E4810" s="11"/>
      <c r="F4810" s="11"/>
      <c r="G4810" s="11"/>
      <c r="H4810" s="11"/>
      <c r="I4810" s="11"/>
    </row>
    <row r="4811" spans="2:9" x14ac:dyDescent="0.2">
      <c r="B4811" s="11"/>
      <c r="C4811" s="11"/>
      <c r="D4811" s="11"/>
      <c r="E4811" s="11"/>
      <c r="F4811" s="11"/>
      <c r="G4811" s="11"/>
      <c r="H4811" s="11"/>
      <c r="I4811" s="11"/>
    </row>
    <row r="4812" spans="2:9" x14ac:dyDescent="0.2">
      <c r="B4812" s="11"/>
      <c r="C4812" s="11"/>
      <c r="D4812" s="11"/>
      <c r="E4812" s="11"/>
      <c r="F4812" s="11"/>
      <c r="G4812" s="11"/>
      <c r="H4812" s="11"/>
      <c r="I4812" s="11"/>
    </row>
    <row r="4813" spans="2:9" x14ac:dyDescent="0.2">
      <c r="B4813" s="11"/>
      <c r="C4813" s="11"/>
      <c r="D4813" s="11"/>
      <c r="E4813" s="11"/>
      <c r="F4813" s="11"/>
      <c r="G4813" s="11"/>
      <c r="H4813" s="11"/>
      <c r="I4813" s="11"/>
    </row>
    <row r="4814" spans="2:9" x14ac:dyDescent="0.2">
      <c r="B4814" s="11"/>
      <c r="C4814" s="11"/>
      <c r="D4814" s="11"/>
      <c r="E4814" s="11"/>
      <c r="F4814" s="11"/>
      <c r="G4814" s="11"/>
      <c r="H4814" s="11"/>
      <c r="I4814" s="11"/>
    </row>
    <row r="4815" spans="2:9" x14ac:dyDescent="0.2">
      <c r="B4815" s="11"/>
      <c r="C4815" s="11"/>
      <c r="D4815" s="11"/>
      <c r="E4815" s="11"/>
      <c r="F4815" s="11"/>
      <c r="G4815" s="11"/>
      <c r="H4815" s="11"/>
      <c r="I4815" s="11"/>
    </row>
    <row r="4816" spans="2:9" x14ac:dyDescent="0.2">
      <c r="B4816" s="11"/>
      <c r="C4816" s="11"/>
      <c r="D4816" s="11"/>
      <c r="E4816" s="11"/>
      <c r="F4816" s="11"/>
      <c r="G4816" s="11"/>
      <c r="H4816" s="11"/>
      <c r="I4816" s="11"/>
    </row>
    <row r="4817" spans="2:9" x14ac:dyDescent="0.2">
      <c r="B4817" s="11"/>
      <c r="C4817" s="11"/>
      <c r="D4817" s="11"/>
      <c r="E4817" s="11"/>
      <c r="F4817" s="11"/>
      <c r="G4817" s="11"/>
      <c r="H4817" s="11"/>
      <c r="I4817" s="11"/>
    </row>
    <row r="4818" spans="2:9" x14ac:dyDescent="0.2">
      <c r="B4818" s="11"/>
      <c r="C4818" s="11"/>
      <c r="D4818" s="11"/>
      <c r="E4818" s="11"/>
      <c r="F4818" s="11"/>
      <c r="G4818" s="11"/>
      <c r="H4818" s="11"/>
      <c r="I4818" s="11"/>
    </row>
    <row r="4819" spans="2:9" x14ac:dyDescent="0.2">
      <c r="B4819" s="11"/>
      <c r="C4819" s="11"/>
      <c r="D4819" s="11"/>
      <c r="E4819" s="11"/>
      <c r="F4819" s="11"/>
      <c r="G4819" s="11"/>
      <c r="H4819" s="11"/>
      <c r="I4819" s="11"/>
    </row>
    <row r="4820" spans="2:9" x14ac:dyDescent="0.2">
      <c r="B4820" s="11"/>
      <c r="C4820" s="11"/>
      <c r="D4820" s="11"/>
      <c r="E4820" s="11"/>
      <c r="F4820" s="11"/>
      <c r="G4820" s="11"/>
      <c r="H4820" s="11"/>
      <c r="I4820" s="11"/>
    </row>
    <row r="4821" spans="2:9" x14ac:dyDescent="0.2">
      <c r="B4821" s="11"/>
      <c r="C4821" s="11"/>
      <c r="D4821" s="11"/>
      <c r="E4821" s="11"/>
      <c r="F4821" s="11"/>
      <c r="G4821" s="11"/>
      <c r="H4821" s="11"/>
      <c r="I4821" s="11"/>
    </row>
    <row r="4822" spans="2:9" x14ac:dyDescent="0.2">
      <c r="B4822" s="11"/>
      <c r="C4822" s="11"/>
      <c r="D4822" s="11"/>
      <c r="E4822" s="11"/>
      <c r="F4822" s="11"/>
      <c r="G4822" s="11"/>
      <c r="H4822" s="11"/>
      <c r="I4822" s="11"/>
    </row>
    <row r="4823" spans="2:9" x14ac:dyDescent="0.2">
      <c r="B4823" s="11"/>
      <c r="C4823" s="11"/>
      <c r="D4823" s="11"/>
      <c r="E4823" s="11"/>
      <c r="F4823" s="11"/>
      <c r="G4823" s="11"/>
      <c r="H4823" s="11"/>
      <c r="I4823" s="11"/>
    </row>
    <row r="4824" spans="2:9" x14ac:dyDescent="0.2">
      <c r="B4824" s="11"/>
      <c r="C4824" s="11"/>
      <c r="D4824" s="11"/>
      <c r="E4824" s="11"/>
      <c r="F4824" s="11"/>
      <c r="G4824" s="11"/>
      <c r="H4824" s="11"/>
      <c r="I4824" s="11"/>
    </row>
    <row r="4825" spans="2:9" x14ac:dyDescent="0.2">
      <c r="B4825" s="11"/>
      <c r="C4825" s="11"/>
      <c r="D4825" s="11"/>
      <c r="E4825" s="11"/>
      <c r="F4825" s="11"/>
      <c r="G4825" s="11"/>
      <c r="H4825" s="11"/>
      <c r="I4825" s="11"/>
    </row>
    <row r="4826" spans="2:9" x14ac:dyDescent="0.2">
      <c r="B4826" s="11"/>
      <c r="C4826" s="11"/>
      <c r="D4826" s="11"/>
      <c r="E4826" s="11"/>
      <c r="F4826" s="11"/>
      <c r="G4826" s="11"/>
      <c r="H4826" s="11"/>
      <c r="I4826" s="11"/>
    </row>
    <row r="4827" spans="2:9" x14ac:dyDescent="0.2">
      <c r="B4827" s="11"/>
      <c r="C4827" s="11"/>
      <c r="D4827" s="11"/>
      <c r="E4827" s="11"/>
      <c r="F4827" s="11"/>
      <c r="G4827" s="11"/>
      <c r="H4827" s="11"/>
      <c r="I4827" s="11"/>
    </row>
    <row r="4828" spans="2:9" x14ac:dyDescent="0.2">
      <c r="B4828" s="11"/>
      <c r="C4828" s="11"/>
      <c r="D4828" s="11"/>
      <c r="E4828" s="11"/>
      <c r="F4828" s="11"/>
      <c r="G4828" s="11"/>
      <c r="H4828" s="11"/>
      <c r="I4828" s="11"/>
    </row>
    <row r="4829" spans="2:9" x14ac:dyDescent="0.2">
      <c r="B4829" s="11"/>
      <c r="C4829" s="11"/>
      <c r="D4829" s="11"/>
      <c r="E4829" s="11"/>
      <c r="F4829" s="11"/>
      <c r="G4829" s="11"/>
      <c r="H4829" s="11"/>
      <c r="I4829" s="11"/>
    </row>
    <row r="4830" spans="2:9" x14ac:dyDescent="0.2">
      <c r="B4830" s="11"/>
      <c r="C4830" s="11"/>
      <c r="D4830" s="11"/>
      <c r="E4830" s="11"/>
      <c r="F4830" s="11"/>
      <c r="G4830" s="11"/>
      <c r="H4830" s="11"/>
      <c r="I4830" s="11"/>
    </row>
    <row r="4831" spans="2:9" x14ac:dyDescent="0.2">
      <c r="B4831" s="11"/>
      <c r="C4831" s="11"/>
      <c r="D4831" s="11"/>
      <c r="E4831" s="11"/>
      <c r="F4831" s="11"/>
      <c r="G4831" s="11"/>
      <c r="H4831" s="11"/>
      <c r="I4831" s="11"/>
    </row>
    <row r="4832" spans="2:9" x14ac:dyDescent="0.2">
      <c r="B4832" s="11"/>
      <c r="C4832" s="11"/>
      <c r="D4832" s="11"/>
      <c r="E4832" s="11"/>
      <c r="F4832" s="11"/>
      <c r="G4832" s="11"/>
      <c r="H4832" s="11"/>
      <c r="I4832" s="11"/>
    </row>
    <row r="4833" spans="2:9" x14ac:dyDescent="0.2">
      <c r="B4833" s="11"/>
      <c r="C4833" s="11"/>
      <c r="D4833" s="11"/>
      <c r="E4833" s="11"/>
      <c r="F4833" s="11"/>
      <c r="G4833" s="11"/>
      <c r="H4833" s="11"/>
      <c r="I4833" s="11"/>
    </row>
    <row r="4834" spans="2:9" x14ac:dyDescent="0.2">
      <c r="B4834" s="11"/>
      <c r="C4834" s="11"/>
      <c r="D4834" s="11"/>
      <c r="E4834" s="11"/>
      <c r="F4834" s="11"/>
      <c r="G4834" s="11"/>
      <c r="H4834" s="11"/>
      <c r="I4834" s="11"/>
    </row>
    <row r="4835" spans="2:9" x14ac:dyDescent="0.2">
      <c r="B4835" s="11"/>
      <c r="C4835" s="11"/>
      <c r="D4835" s="11"/>
      <c r="E4835" s="11"/>
      <c r="F4835" s="11"/>
      <c r="G4835" s="11"/>
      <c r="H4835" s="11"/>
      <c r="I4835" s="11"/>
    </row>
    <row r="4836" spans="2:9" x14ac:dyDescent="0.2">
      <c r="B4836" s="11"/>
      <c r="C4836" s="11"/>
      <c r="D4836" s="11"/>
      <c r="E4836" s="11"/>
      <c r="F4836" s="11"/>
      <c r="G4836" s="11"/>
      <c r="H4836" s="11"/>
      <c r="I4836" s="11"/>
    </row>
    <row r="4837" spans="2:9" x14ac:dyDescent="0.2">
      <c r="B4837" s="11"/>
      <c r="C4837" s="11"/>
      <c r="D4837" s="11"/>
      <c r="E4837" s="11"/>
      <c r="F4837" s="11"/>
      <c r="G4837" s="11"/>
      <c r="H4837" s="11"/>
      <c r="I4837" s="11"/>
    </row>
    <row r="4838" spans="2:9" x14ac:dyDescent="0.2">
      <c r="B4838" s="11"/>
      <c r="C4838" s="11"/>
      <c r="D4838" s="11"/>
      <c r="E4838" s="11"/>
      <c r="F4838" s="11"/>
      <c r="G4838" s="11"/>
      <c r="H4838" s="11"/>
      <c r="I4838" s="11"/>
    </row>
    <row r="4839" spans="2:9" x14ac:dyDescent="0.2">
      <c r="B4839" s="11"/>
      <c r="C4839" s="11"/>
      <c r="D4839" s="11"/>
      <c r="E4839" s="11"/>
      <c r="F4839" s="11"/>
      <c r="G4839" s="11"/>
      <c r="H4839" s="11"/>
      <c r="I4839" s="11"/>
    </row>
    <row r="4840" spans="2:9" x14ac:dyDescent="0.2">
      <c r="B4840" s="11"/>
      <c r="C4840" s="11"/>
      <c r="D4840" s="11"/>
      <c r="E4840" s="11"/>
      <c r="F4840" s="11"/>
      <c r="G4840" s="11"/>
      <c r="H4840" s="11"/>
      <c r="I4840" s="11"/>
    </row>
    <row r="4841" spans="2:9" x14ac:dyDescent="0.2">
      <c r="B4841" s="11"/>
      <c r="C4841" s="11"/>
      <c r="D4841" s="11"/>
      <c r="E4841" s="11"/>
      <c r="F4841" s="11"/>
      <c r="G4841" s="11"/>
      <c r="H4841" s="11"/>
      <c r="I4841" s="11"/>
    </row>
    <row r="4842" spans="2:9" x14ac:dyDescent="0.2">
      <c r="B4842" s="11"/>
      <c r="C4842" s="11"/>
      <c r="D4842" s="11"/>
      <c r="E4842" s="11"/>
      <c r="F4842" s="11"/>
      <c r="G4842" s="11"/>
      <c r="H4842" s="11"/>
      <c r="I4842" s="11"/>
    </row>
    <row r="4843" spans="2:9" x14ac:dyDescent="0.2">
      <c r="B4843" s="11"/>
      <c r="C4843" s="11"/>
      <c r="D4843" s="11"/>
      <c r="E4843" s="11"/>
      <c r="F4843" s="11"/>
      <c r="G4843" s="11"/>
      <c r="H4843" s="11"/>
      <c r="I4843" s="11"/>
    </row>
    <row r="4844" spans="2:9" x14ac:dyDescent="0.2">
      <c r="B4844" s="11"/>
      <c r="C4844" s="11"/>
      <c r="D4844" s="11"/>
      <c r="E4844" s="11"/>
      <c r="F4844" s="11"/>
      <c r="G4844" s="11"/>
      <c r="H4844" s="11"/>
      <c r="I4844" s="11"/>
    </row>
    <row r="4845" spans="2:9" x14ac:dyDescent="0.2">
      <c r="B4845" s="11"/>
      <c r="C4845" s="11"/>
      <c r="D4845" s="11"/>
      <c r="E4845" s="11"/>
      <c r="F4845" s="11"/>
      <c r="G4845" s="11"/>
      <c r="H4845" s="11"/>
      <c r="I4845" s="11"/>
    </row>
    <row r="4846" spans="2:9" x14ac:dyDescent="0.2">
      <c r="B4846" s="11"/>
      <c r="C4846" s="11"/>
      <c r="D4846" s="11"/>
      <c r="E4846" s="11"/>
      <c r="F4846" s="11"/>
      <c r="G4846" s="11"/>
      <c r="H4846" s="11"/>
      <c r="I4846" s="11"/>
    </row>
    <row r="4847" spans="2:9" x14ac:dyDescent="0.2">
      <c r="B4847" s="11"/>
      <c r="C4847" s="11"/>
      <c r="D4847" s="11"/>
      <c r="E4847" s="11"/>
      <c r="F4847" s="11"/>
      <c r="G4847" s="11"/>
      <c r="H4847" s="11"/>
      <c r="I4847" s="11"/>
    </row>
    <row r="4848" spans="2:9" x14ac:dyDescent="0.2">
      <c r="B4848" s="11"/>
      <c r="C4848" s="11"/>
      <c r="D4848" s="11"/>
      <c r="E4848" s="11"/>
      <c r="F4848" s="11"/>
      <c r="G4848" s="11"/>
      <c r="H4848" s="11"/>
      <c r="I4848" s="11"/>
    </row>
    <row r="4849" spans="2:9" x14ac:dyDescent="0.2">
      <c r="B4849" s="11"/>
      <c r="C4849" s="11"/>
      <c r="D4849" s="11"/>
      <c r="E4849" s="11"/>
      <c r="F4849" s="11"/>
      <c r="G4849" s="11"/>
      <c r="H4849" s="11"/>
      <c r="I4849" s="11"/>
    </row>
    <row r="4850" spans="2:9" x14ac:dyDescent="0.2">
      <c r="B4850" s="11"/>
      <c r="C4850" s="11"/>
      <c r="D4850" s="11"/>
      <c r="E4850" s="11"/>
      <c r="F4850" s="11"/>
      <c r="G4850" s="11"/>
      <c r="H4850" s="11"/>
      <c r="I4850" s="11"/>
    </row>
    <row r="4851" spans="2:9" x14ac:dyDescent="0.2">
      <c r="B4851" s="11"/>
      <c r="C4851" s="11"/>
      <c r="D4851" s="11"/>
      <c r="E4851" s="11"/>
      <c r="F4851" s="11"/>
      <c r="G4851" s="11"/>
      <c r="H4851" s="11"/>
      <c r="I4851" s="11"/>
    </row>
    <row r="4852" spans="2:9" x14ac:dyDescent="0.2">
      <c r="B4852" s="11"/>
      <c r="C4852" s="11"/>
      <c r="D4852" s="11"/>
      <c r="E4852" s="11"/>
      <c r="F4852" s="11"/>
      <c r="G4852" s="11"/>
      <c r="H4852" s="11"/>
      <c r="I4852" s="11"/>
    </row>
    <row r="4853" spans="2:9" x14ac:dyDescent="0.2">
      <c r="B4853" s="11"/>
      <c r="C4853" s="11"/>
      <c r="D4853" s="11"/>
      <c r="E4853" s="11"/>
      <c r="F4853" s="11"/>
      <c r="G4853" s="11"/>
      <c r="H4853" s="11"/>
      <c r="I4853" s="11"/>
    </row>
    <row r="4854" spans="2:9" x14ac:dyDescent="0.2">
      <c r="B4854" s="11"/>
      <c r="C4854" s="11"/>
      <c r="D4854" s="11"/>
      <c r="E4854" s="11"/>
      <c r="F4854" s="11"/>
      <c r="G4854" s="11"/>
      <c r="H4854" s="11"/>
      <c r="I4854" s="11"/>
    </row>
    <row r="4855" spans="2:9" x14ac:dyDescent="0.2">
      <c r="B4855" s="11"/>
      <c r="C4855" s="11"/>
      <c r="D4855" s="11"/>
      <c r="E4855" s="11"/>
      <c r="F4855" s="11"/>
      <c r="G4855" s="11"/>
      <c r="H4855" s="11"/>
      <c r="I4855" s="11"/>
    </row>
    <row r="4856" spans="2:9" x14ac:dyDescent="0.2">
      <c r="B4856" s="11"/>
      <c r="C4856" s="11"/>
      <c r="D4856" s="11"/>
      <c r="E4856" s="11"/>
      <c r="F4856" s="11"/>
      <c r="G4856" s="11"/>
      <c r="H4856" s="11"/>
      <c r="I4856" s="11"/>
    </row>
    <row r="4857" spans="2:9" x14ac:dyDescent="0.2">
      <c r="B4857" s="11"/>
      <c r="C4857" s="11"/>
      <c r="D4857" s="11"/>
      <c r="E4857" s="11"/>
      <c r="F4857" s="11"/>
      <c r="G4857" s="11"/>
      <c r="H4857" s="11"/>
      <c r="I4857" s="11"/>
    </row>
    <row r="4858" spans="2:9" x14ac:dyDescent="0.2">
      <c r="B4858" s="11"/>
      <c r="C4858" s="11"/>
      <c r="D4858" s="11"/>
      <c r="E4858" s="11"/>
      <c r="F4858" s="11"/>
      <c r="G4858" s="11"/>
      <c r="H4858" s="11"/>
      <c r="I4858" s="11"/>
    </row>
    <row r="4859" spans="2:9" x14ac:dyDescent="0.2">
      <c r="B4859" s="11"/>
      <c r="C4859" s="11"/>
      <c r="D4859" s="11"/>
      <c r="E4859" s="11"/>
      <c r="F4859" s="11"/>
      <c r="G4859" s="11"/>
      <c r="H4859" s="11"/>
      <c r="I4859" s="11"/>
    </row>
    <row r="4860" spans="2:9" x14ac:dyDescent="0.2">
      <c r="B4860" s="11"/>
      <c r="C4860" s="11"/>
      <c r="D4860" s="11"/>
      <c r="E4860" s="11"/>
      <c r="F4860" s="11"/>
      <c r="G4860" s="11"/>
      <c r="H4860" s="11"/>
      <c r="I4860" s="11"/>
    </row>
    <row r="4861" spans="2:9" x14ac:dyDescent="0.2">
      <c r="B4861" s="11"/>
      <c r="C4861" s="11"/>
      <c r="D4861" s="11"/>
      <c r="E4861" s="11"/>
      <c r="F4861" s="11"/>
      <c r="G4861" s="11"/>
      <c r="H4861" s="11"/>
      <c r="I4861" s="11"/>
    </row>
    <row r="4862" spans="2:9" x14ac:dyDescent="0.2">
      <c r="B4862" s="11"/>
      <c r="C4862" s="11"/>
      <c r="D4862" s="11"/>
      <c r="E4862" s="11"/>
      <c r="F4862" s="11"/>
      <c r="G4862" s="11"/>
      <c r="H4862" s="11"/>
      <c r="I4862" s="11"/>
    </row>
    <row r="4863" spans="2:9" x14ac:dyDescent="0.2">
      <c r="B4863" s="11"/>
      <c r="C4863" s="11"/>
      <c r="D4863" s="11"/>
      <c r="E4863" s="11"/>
      <c r="F4863" s="11"/>
      <c r="G4863" s="11"/>
      <c r="H4863" s="11"/>
      <c r="I4863" s="11"/>
    </row>
    <row r="4864" spans="2:9" x14ac:dyDescent="0.2">
      <c r="B4864" s="11"/>
      <c r="C4864" s="11"/>
      <c r="D4864" s="11"/>
      <c r="E4864" s="11"/>
      <c r="F4864" s="11"/>
      <c r="G4864" s="11"/>
      <c r="H4864" s="11"/>
      <c r="I4864" s="11"/>
    </row>
    <row r="4865" spans="2:9" x14ac:dyDescent="0.2">
      <c r="B4865" s="11"/>
      <c r="C4865" s="11"/>
      <c r="D4865" s="11"/>
      <c r="E4865" s="11"/>
      <c r="F4865" s="11"/>
      <c r="G4865" s="11"/>
      <c r="H4865" s="11"/>
      <c r="I4865" s="11"/>
    </row>
    <row r="4866" spans="2:9" x14ac:dyDescent="0.2">
      <c r="B4866" s="11"/>
      <c r="C4866" s="11"/>
      <c r="D4866" s="11"/>
      <c r="E4866" s="11"/>
      <c r="F4866" s="11"/>
      <c r="G4866" s="11"/>
      <c r="H4866" s="11"/>
      <c r="I4866" s="11"/>
    </row>
    <row r="4867" spans="2:9" x14ac:dyDescent="0.2">
      <c r="B4867" s="11"/>
      <c r="C4867" s="11"/>
      <c r="D4867" s="11"/>
      <c r="E4867" s="11"/>
      <c r="F4867" s="11"/>
      <c r="G4867" s="11"/>
      <c r="H4867" s="11"/>
      <c r="I4867" s="11"/>
    </row>
    <row r="4868" spans="2:9" x14ac:dyDescent="0.2">
      <c r="B4868" s="11"/>
      <c r="C4868" s="11"/>
      <c r="D4868" s="11"/>
      <c r="E4868" s="11"/>
      <c r="F4868" s="11"/>
      <c r="G4868" s="11"/>
      <c r="H4868" s="11"/>
      <c r="I4868" s="11"/>
    </row>
    <row r="4869" spans="2:9" x14ac:dyDescent="0.2">
      <c r="B4869" s="11"/>
      <c r="C4869" s="11"/>
      <c r="D4869" s="11"/>
      <c r="E4869" s="11"/>
      <c r="F4869" s="11"/>
      <c r="G4869" s="11"/>
      <c r="H4869" s="11"/>
      <c r="I4869" s="11"/>
    </row>
    <row r="4870" spans="2:9" x14ac:dyDescent="0.2">
      <c r="B4870" s="11"/>
      <c r="C4870" s="11"/>
      <c r="D4870" s="11"/>
      <c r="E4870" s="11"/>
      <c r="F4870" s="11"/>
      <c r="G4870" s="11"/>
      <c r="H4870" s="11"/>
      <c r="I4870" s="11"/>
    </row>
    <row r="4871" spans="2:9" x14ac:dyDescent="0.2">
      <c r="B4871" s="11"/>
      <c r="C4871" s="11"/>
      <c r="D4871" s="11"/>
      <c r="E4871" s="11"/>
      <c r="F4871" s="11"/>
      <c r="G4871" s="11"/>
      <c r="H4871" s="11"/>
      <c r="I4871" s="11"/>
    </row>
    <row r="4872" spans="2:9" x14ac:dyDescent="0.2">
      <c r="B4872" s="11"/>
      <c r="C4872" s="11"/>
      <c r="D4872" s="11"/>
      <c r="E4872" s="11"/>
      <c r="F4872" s="11"/>
      <c r="G4872" s="11"/>
      <c r="H4872" s="11"/>
      <c r="I4872" s="11"/>
    </row>
    <row r="4873" spans="2:9" x14ac:dyDescent="0.2">
      <c r="B4873" s="11"/>
      <c r="C4873" s="11"/>
      <c r="D4873" s="11"/>
      <c r="E4873" s="11"/>
      <c r="F4873" s="11"/>
      <c r="G4873" s="11"/>
      <c r="H4873" s="11"/>
      <c r="I4873" s="11"/>
    </row>
    <row r="4874" spans="2:9" x14ac:dyDescent="0.2">
      <c r="B4874" s="11"/>
      <c r="C4874" s="11"/>
      <c r="D4874" s="11"/>
      <c r="E4874" s="11"/>
      <c r="F4874" s="11"/>
      <c r="G4874" s="11"/>
      <c r="H4874" s="11"/>
      <c r="I4874" s="11"/>
    </row>
    <row r="4875" spans="2:9" x14ac:dyDescent="0.2">
      <c r="B4875" s="11"/>
      <c r="C4875" s="11"/>
      <c r="D4875" s="11"/>
      <c r="E4875" s="11"/>
      <c r="F4875" s="11"/>
      <c r="G4875" s="11"/>
      <c r="H4875" s="11"/>
      <c r="I4875" s="11"/>
    </row>
    <row r="4876" spans="2:9" x14ac:dyDescent="0.2">
      <c r="B4876" s="11"/>
      <c r="C4876" s="11"/>
      <c r="D4876" s="11"/>
      <c r="E4876" s="11"/>
      <c r="F4876" s="11"/>
      <c r="G4876" s="11"/>
      <c r="H4876" s="11"/>
      <c r="I4876" s="11"/>
    </row>
    <row r="4877" spans="2:9" x14ac:dyDescent="0.2">
      <c r="B4877" s="11"/>
      <c r="C4877" s="11"/>
      <c r="D4877" s="11"/>
      <c r="E4877" s="11"/>
      <c r="F4877" s="11"/>
      <c r="G4877" s="11"/>
      <c r="H4877" s="11"/>
      <c r="I4877" s="11"/>
    </row>
    <row r="4878" spans="2:9" x14ac:dyDescent="0.2">
      <c r="B4878" s="11"/>
      <c r="C4878" s="11"/>
      <c r="D4878" s="11"/>
      <c r="E4878" s="11"/>
      <c r="F4878" s="11"/>
      <c r="G4878" s="11"/>
      <c r="H4878" s="11"/>
      <c r="I4878" s="11"/>
    </row>
    <row r="4879" spans="2:9" x14ac:dyDescent="0.2">
      <c r="B4879" s="11"/>
      <c r="C4879" s="11"/>
      <c r="D4879" s="11"/>
      <c r="E4879" s="11"/>
      <c r="F4879" s="11"/>
      <c r="G4879" s="11"/>
      <c r="H4879" s="11"/>
      <c r="I4879" s="11"/>
    </row>
    <row r="4880" spans="2:9" x14ac:dyDescent="0.2">
      <c r="B4880" s="11"/>
      <c r="C4880" s="11"/>
      <c r="D4880" s="11"/>
      <c r="E4880" s="11"/>
      <c r="F4880" s="11"/>
      <c r="G4880" s="11"/>
      <c r="H4880" s="11"/>
      <c r="I4880" s="11"/>
    </row>
    <row r="4881" spans="2:9" x14ac:dyDescent="0.2">
      <c r="B4881" s="11"/>
      <c r="C4881" s="11"/>
      <c r="D4881" s="11"/>
      <c r="E4881" s="11"/>
      <c r="F4881" s="11"/>
      <c r="G4881" s="11"/>
      <c r="H4881" s="11"/>
      <c r="I4881" s="11"/>
    </row>
    <row r="4882" spans="2:9" x14ac:dyDescent="0.2">
      <c r="B4882" s="11"/>
      <c r="C4882" s="11"/>
      <c r="D4882" s="11"/>
      <c r="E4882" s="11"/>
      <c r="F4882" s="11"/>
      <c r="G4882" s="11"/>
      <c r="H4882" s="11"/>
      <c r="I4882" s="11"/>
    </row>
    <row r="4883" spans="2:9" x14ac:dyDescent="0.2">
      <c r="B4883" s="11"/>
      <c r="C4883" s="11"/>
      <c r="D4883" s="11"/>
      <c r="E4883" s="11"/>
      <c r="F4883" s="11"/>
      <c r="G4883" s="11"/>
      <c r="H4883" s="11"/>
      <c r="I4883" s="11"/>
    </row>
    <row r="4884" spans="2:9" x14ac:dyDescent="0.2">
      <c r="B4884" s="11"/>
      <c r="C4884" s="11"/>
      <c r="D4884" s="11"/>
      <c r="E4884" s="11"/>
      <c r="F4884" s="11"/>
      <c r="G4884" s="11"/>
      <c r="H4884" s="11"/>
      <c r="I4884" s="11"/>
    </row>
    <row r="4885" spans="2:9" x14ac:dyDescent="0.2">
      <c r="B4885" s="11"/>
      <c r="C4885" s="11"/>
      <c r="D4885" s="11"/>
      <c r="E4885" s="11"/>
      <c r="F4885" s="11"/>
      <c r="G4885" s="11"/>
      <c r="H4885" s="11"/>
      <c r="I4885" s="11"/>
    </row>
    <row r="4886" spans="2:9" x14ac:dyDescent="0.2">
      <c r="B4886" s="11"/>
      <c r="C4886" s="11"/>
      <c r="D4886" s="11"/>
      <c r="E4886" s="11"/>
      <c r="F4886" s="11"/>
      <c r="G4886" s="11"/>
      <c r="H4886" s="11"/>
      <c r="I4886" s="11"/>
    </row>
    <row r="4887" spans="2:9" x14ac:dyDescent="0.2">
      <c r="B4887" s="11"/>
      <c r="C4887" s="11"/>
      <c r="D4887" s="11"/>
      <c r="E4887" s="11"/>
      <c r="F4887" s="11"/>
      <c r="G4887" s="11"/>
      <c r="H4887" s="11"/>
      <c r="I4887" s="11"/>
    </row>
    <row r="4888" spans="2:9" x14ac:dyDescent="0.2">
      <c r="B4888" s="11"/>
      <c r="C4888" s="11"/>
      <c r="D4888" s="11"/>
      <c r="E4888" s="11"/>
      <c r="F4888" s="11"/>
      <c r="G4888" s="11"/>
      <c r="H4888" s="11"/>
      <c r="I4888" s="11"/>
    </row>
    <row r="4889" spans="2:9" x14ac:dyDescent="0.2">
      <c r="B4889" s="11"/>
      <c r="C4889" s="11"/>
      <c r="D4889" s="11"/>
      <c r="E4889" s="11"/>
      <c r="F4889" s="11"/>
      <c r="G4889" s="11"/>
      <c r="H4889" s="11"/>
      <c r="I4889" s="11"/>
    </row>
    <row r="4890" spans="2:9" x14ac:dyDescent="0.2">
      <c r="B4890" s="11"/>
      <c r="C4890" s="11"/>
      <c r="D4890" s="11"/>
      <c r="E4890" s="11"/>
      <c r="F4890" s="11"/>
      <c r="G4890" s="11"/>
      <c r="H4890" s="11"/>
      <c r="I4890" s="11"/>
    </row>
    <row r="4891" spans="2:9" x14ac:dyDescent="0.2">
      <c r="B4891" s="11"/>
      <c r="C4891" s="11"/>
      <c r="D4891" s="11"/>
      <c r="E4891" s="11"/>
      <c r="F4891" s="11"/>
      <c r="G4891" s="11"/>
      <c r="H4891" s="11"/>
      <c r="I4891" s="11"/>
    </row>
    <row r="4892" spans="2:9" x14ac:dyDescent="0.2">
      <c r="B4892" s="11"/>
      <c r="C4892" s="11"/>
      <c r="D4892" s="11"/>
      <c r="E4892" s="11"/>
      <c r="F4892" s="11"/>
      <c r="G4892" s="11"/>
      <c r="H4892" s="11"/>
      <c r="I4892" s="11"/>
    </row>
    <row r="4893" spans="2:9" x14ac:dyDescent="0.2">
      <c r="B4893" s="11"/>
      <c r="C4893" s="11"/>
      <c r="D4893" s="11"/>
      <c r="E4893" s="11"/>
      <c r="F4893" s="11"/>
      <c r="G4893" s="11"/>
      <c r="H4893" s="11"/>
      <c r="I4893" s="11"/>
    </row>
    <row r="4894" spans="2:9" x14ac:dyDescent="0.2">
      <c r="B4894" s="11"/>
      <c r="C4894" s="11"/>
      <c r="D4894" s="11"/>
      <c r="E4894" s="11"/>
      <c r="F4894" s="11"/>
      <c r="G4894" s="11"/>
      <c r="H4894" s="11"/>
      <c r="I4894" s="11"/>
    </row>
    <row r="4895" spans="2:9" x14ac:dyDescent="0.2">
      <c r="B4895" s="11"/>
      <c r="C4895" s="11"/>
      <c r="D4895" s="11"/>
      <c r="E4895" s="11"/>
      <c r="F4895" s="11"/>
      <c r="G4895" s="11"/>
      <c r="H4895" s="11"/>
      <c r="I4895" s="11"/>
    </row>
    <row r="4896" spans="2:9" x14ac:dyDescent="0.2">
      <c r="B4896" s="11"/>
      <c r="C4896" s="11"/>
      <c r="D4896" s="11"/>
      <c r="E4896" s="11"/>
      <c r="F4896" s="11"/>
      <c r="G4896" s="11"/>
      <c r="H4896" s="11"/>
      <c r="I4896" s="11"/>
    </row>
    <row r="4897" spans="2:9" x14ac:dyDescent="0.2">
      <c r="B4897" s="11"/>
      <c r="C4897" s="11"/>
      <c r="D4897" s="11"/>
      <c r="E4897" s="11"/>
      <c r="F4897" s="11"/>
      <c r="G4897" s="11"/>
      <c r="H4897" s="11"/>
      <c r="I4897" s="11"/>
    </row>
    <row r="4898" spans="2:9" x14ac:dyDescent="0.2">
      <c r="B4898" s="11"/>
      <c r="C4898" s="11"/>
      <c r="D4898" s="11"/>
      <c r="E4898" s="11"/>
      <c r="F4898" s="11"/>
      <c r="G4898" s="11"/>
      <c r="H4898" s="11"/>
      <c r="I4898" s="11"/>
    </row>
    <row r="4899" spans="2:9" x14ac:dyDescent="0.2">
      <c r="B4899" s="11"/>
      <c r="C4899" s="11"/>
      <c r="D4899" s="11"/>
      <c r="E4899" s="11"/>
      <c r="F4899" s="11"/>
      <c r="G4899" s="11"/>
      <c r="H4899" s="11"/>
      <c r="I4899" s="11"/>
    </row>
    <row r="4900" spans="2:9" x14ac:dyDescent="0.2">
      <c r="B4900" s="11"/>
      <c r="C4900" s="11"/>
      <c r="D4900" s="11"/>
      <c r="E4900" s="11"/>
      <c r="F4900" s="11"/>
      <c r="G4900" s="11"/>
      <c r="H4900" s="11"/>
      <c r="I4900" s="11"/>
    </row>
    <row r="4901" spans="2:9" x14ac:dyDescent="0.2">
      <c r="B4901" s="11"/>
      <c r="C4901" s="11"/>
      <c r="D4901" s="11"/>
      <c r="E4901" s="11"/>
      <c r="F4901" s="11"/>
      <c r="G4901" s="11"/>
      <c r="H4901" s="11"/>
      <c r="I4901" s="11"/>
    </row>
    <row r="4902" spans="2:9" x14ac:dyDescent="0.2">
      <c r="B4902" s="11"/>
      <c r="C4902" s="11"/>
      <c r="D4902" s="11"/>
      <c r="E4902" s="11"/>
      <c r="F4902" s="11"/>
      <c r="G4902" s="11"/>
      <c r="H4902" s="11"/>
      <c r="I4902" s="11"/>
    </row>
    <row r="4903" spans="2:9" x14ac:dyDescent="0.2">
      <c r="B4903" s="11"/>
      <c r="C4903" s="11"/>
      <c r="D4903" s="11"/>
      <c r="E4903" s="11"/>
      <c r="F4903" s="11"/>
      <c r="G4903" s="11"/>
      <c r="H4903" s="11"/>
      <c r="I4903" s="11"/>
    </row>
    <row r="4904" spans="2:9" x14ac:dyDescent="0.2">
      <c r="B4904" s="11"/>
      <c r="C4904" s="11"/>
      <c r="D4904" s="11"/>
      <c r="E4904" s="11"/>
      <c r="F4904" s="11"/>
      <c r="G4904" s="11"/>
      <c r="H4904" s="11"/>
      <c r="I4904" s="11"/>
    </row>
    <row r="4905" spans="2:9" x14ac:dyDescent="0.2">
      <c r="B4905" s="11"/>
      <c r="C4905" s="11"/>
      <c r="D4905" s="11"/>
      <c r="E4905" s="11"/>
      <c r="F4905" s="11"/>
      <c r="G4905" s="11"/>
      <c r="H4905" s="11"/>
      <c r="I4905" s="11"/>
    </row>
    <row r="4906" spans="2:9" x14ac:dyDescent="0.2">
      <c r="B4906" s="11"/>
      <c r="C4906" s="11"/>
      <c r="D4906" s="11"/>
      <c r="E4906" s="11"/>
      <c r="F4906" s="11"/>
      <c r="G4906" s="11"/>
      <c r="H4906" s="11"/>
      <c r="I4906" s="11"/>
    </row>
    <row r="4907" spans="2:9" x14ac:dyDescent="0.2">
      <c r="B4907" s="11"/>
      <c r="C4907" s="11"/>
      <c r="D4907" s="11"/>
      <c r="E4907" s="11"/>
      <c r="F4907" s="11"/>
      <c r="G4907" s="11"/>
      <c r="H4907" s="11"/>
      <c r="I4907" s="11"/>
    </row>
    <row r="4908" spans="2:9" x14ac:dyDescent="0.2">
      <c r="B4908" s="11"/>
      <c r="C4908" s="11"/>
      <c r="D4908" s="11"/>
      <c r="E4908" s="11"/>
      <c r="F4908" s="11"/>
      <c r="G4908" s="11"/>
      <c r="H4908" s="11"/>
      <c r="I4908" s="11"/>
    </row>
    <row r="4909" spans="2:9" x14ac:dyDescent="0.2">
      <c r="B4909" s="11"/>
      <c r="C4909" s="11"/>
      <c r="D4909" s="11"/>
      <c r="E4909" s="11"/>
      <c r="F4909" s="11"/>
      <c r="G4909" s="11"/>
      <c r="H4909" s="11"/>
      <c r="I4909" s="11"/>
    </row>
    <row r="4910" spans="2:9" x14ac:dyDescent="0.2">
      <c r="B4910" s="11"/>
      <c r="C4910" s="11"/>
      <c r="D4910" s="11"/>
      <c r="E4910" s="11"/>
      <c r="F4910" s="11"/>
      <c r="G4910" s="11"/>
      <c r="H4910" s="11"/>
      <c r="I4910" s="11"/>
    </row>
    <row r="4911" spans="2:9" x14ac:dyDescent="0.2">
      <c r="B4911" s="11"/>
      <c r="C4911" s="11"/>
      <c r="D4911" s="11"/>
      <c r="E4911" s="11"/>
      <c r="F4911" s="11"/>
      <c r="G4911" s="11"/>
      <c r="H4911" s="11"/>
      <c r="I4911" s="11"/>
    </row>
    <row r="4912" spans="2:9" x14ac:dyDescent="0.2">
      <c r="B4912" s="11"/>
      <c r="C4912" s="11"/>
      <c r="D4912" s="11"/>
      <c r="E4912" s="11"/>
      <c r="F4912" s="11"/>
      <c r="G4912" s="11"/>
      <c r="H4912" s="11"/>
      <c r="I4912" s="11"/>
    </row>
    <row r="4913" spans="2:9" x14ac:dyDescent="0.2">
      <c r="B4913" s="11"/>
      <c r="C4913" s="11"/>
      <c r="D4913" s="11"/>
      <c r="E4913" s="11"/>
      <c r="F4913" s="11"/>
      <c r="G4913" s="11"/>
      <c r="H4913" s="11"/>
      <c r="I4913" s="11"/>
    </row>
    <row r="4914" spans="2:9" x14ac:dyDescent="0.2">
      <c r="B4914" s="11"/>
      <c r="C4914" s="11"/>
      <c r="D4914" s="11"/>
      <c r="E4914" s="11"/>
      <c r="F4914" s="11"/>
      <c r="G4914" s="11"/>
      <c r="H4914" s="11"/>
      <c r="I4914" s="11"/>
    </row>
    <row r="4915" spans="2:9" x14ac:dyDescent="0.2">
      <c r="B4915" s="11"/>
      <c r="C4915" s="11"/>
      <c r="D4915" s="11"/>
      <c r="E4915" s="11"/>
      <c r="F4915" s="11"/>
      <c r="G4915" s="11"/>
      <c r="H4915" s="11"/>
      <c r="I4915" s="11"/>
    </row>
    <row r="4916" spans="2:9" x14ac:dyDescent="0.2">
      <c r="B4916" s="11"/>
      <c r="C4916" s="11"/>
      <c r="D4916" s="11"/>
      <c r="E4916" s="11"/>
      <c r="F4916" s="11"/>
      <c r="G4916" s="11"/>
      <c r="H4916" s="11"/>
      <c r="I4916" s="11"/>
    </row>
    <row r="4917" spans="2:9" x14ac:dyDescent="0.2">
      <c r="B4917" s="11"/>
      <c r="C4917" s="11"/>
      <c r="D4917" s="11"/>
      <c r="E4917" s="11"/>
      <c r="F4917" s="11"/>
      <c r="G4917" s="11"/>
      <c r="H4917" s="11"/>
      <c r="I4917" s="11"/>
    </row>
    <row r="4918" spans="2:9" x14ac:dyDescent="0.2">
      <c r="B4918" s="11"/>
      <c r="C4918" s="11"/>
      <c r="D4918" s="11"/>
      <c r="E4918" s="11"/>
      <c r="F4918" s="11"/>
      <c r="G4918" s="11"/>
      <c r="H4918" s="11"/>
      <c r="I4918" s="11"/>
    </row>
    <row r="4919" spans="2:9" x14ac:dyDescent="0.2">
      <c r="B4919" s="11"/>
      <c r="C4919" s="11"/>
      <c r="D4919" s="11"/>
      <c r="E4919" s="11"/>
      <c r="F4919" s="11"/>
      <c r="G4919" s="11"/>
      <c r="H4919" s="11"/>
      <c r="I4919" s="11"/>
    </row>
    <row r="4920" spans="2:9" x14ac:dyDescent="0.2">
      <c r="B4920" s="11"/>
      <c r="C4920" s="11"/>
      <c r="D4920" s="11"/>
      <c r="E4920" s="11"/>
      <c r="F4920" s="11"/>
      <c r="G4920" s="11"/>
      <c r="H4920" s="11"/>
      <c r="I4920" s="11"/>
    </row>
    <row r="4921" spans="2:9" x14ac:dyDescent="0.2">
      <c r="B4921" s="11"/>
      <c r="C4921" s="11"/>
      <c r="D4921" s="11"/>
      <c r="E4921" s="11"/>
      <c r="F4921" s="11"/>
      <c r="G4921" s="11"/>
      <c r="H4921" s="11"/>
      <c r="I4921" s="11"/>
    </row>
    <row r="4922" spans="2:9" x14ac:dyDescent="0.2">
      <c r="B4922" s="11"/>
      <c r="C4922" s="11"/>
      <c r="D4922" s="11"/>
      <c r="E4922" s="11"/>
      <c r="F4922" s="11"/>
      <c r="G4922" s="11"/>
      <c r="H4922" s="11"/>
      <c r="I4922" s="11"/>
    </row>
    <row r="4923" spans="2:9" x14ac:dyDescent="0.2">
      <c r="B4923" s="11"/>
      <c r="C4923" s="11"/>
      <c r="D4923" s="11"/>
      <c r="E4923" s="11"/>
      <c r="F4923" s="11"/>
      <c r="G4923" s="11"/>
      <c r="H4923" s="11"/>
      <c r="I4923" s="11"/>
    </row>
    <row r="4924" spans="2:9" x14ac:dyDescent="0.2">
      <c r="B4924" s="11"/>
      <c r="C4924" s="11"/>
      <c r="D4924" s="11"/>
      <c r="E4924" s="11"/>
      <c r="F4924" s="11"/>
      <c r="G4924" s="11"/>
      <c r="H4924" s="11"/>
      <c r="I4924" s="11"/>
    </row>
    <row r="4925" spans="2:9" x14ac:dyDescent="0.2">
      <c r="B4925" s="11"/>
      <c r="C4925" s="11"/>
      <c r="D4925" s="11"/>
      <c r="E4925" s="11"/>
      <c r="F4925" s="11"/>
      <c r="G4925" s="11"/>
      <c r="H4925" s="11"/>
      <c r="I4925" s="11"/>
    </row>
    <row r="4926" spans="2:9" x14ac:dyDescent="0.2">
      <c r="B4926" s="11"/>
      <c r="C4926" s="11"/>
      <c r="D4926" s="11"/>
      <c r="E4926" s="11"/>
      <c r="F4926" s="11"/>
      <c r="G4926" s="11"/>
      <c r="H4926" s="11"/>
      <c r="I4926" s="11"/>
    </row>
    <row r="4927" spans="2:9" x14ac:dyDescent="0.2">
      <c r="B4927" s="11"/>
      <c r="C4927" s="11"/>
      <c r="D4927" s="11"/>
      <c r="E4927" s="11"/>
      <c r="F4927" s="11"/>
      <c r="G4927" s="11"/>
      <c r="H4927" s="11"/>
      <c r="I4927" s="11"/>
    </row>
    <row r="4928" spans="2:9" x14ac:dyDescent="0.2">
      <c r="B4928" s="11"/>
      <c r="C4928" s="11"/>
      <c r="D4928" s="11"/>
      <c r="E4928" s="11"/>
      <c r="F4928" s="11"/>
      <c r="G4928" s="11"/>
      <c r="H4928" s="11"/>
      <c r="I4928" s="11"/>
    </row>
    <row r="4929" spans="2:9" x14ac:dyDescent="0.2">
      <c r="B4929" s="11"/>
      <c r="C4929" s="11"/>
      <c r="D4929" s="11"/>
      <c r="E4929" s="11"/>
      <c r="F4929" s="11"/>
      <c r="G4929" s="11"/>
      <c r="H4929" s="11"/>
      <c r="I4929" s="11"/>
    </row>
    <row r="4930" spans="2:9" x14ac:dyDescent="0.2">
      <c r="B4930" s="11"/>
      <c r="C4930" s="11"/>
      <c r="D4930" s="11"/>
      <c r="E4930" s="11"/>
      <c r="F4930" s="11"/>
      <c r="G4930" s="11"/>
      <c r="H4930" s="11"/>
      <c r="I4930" s="11"/>
    </row>
    <row r="4931" spans="2:9" x14ac:dyDescent="0.2">
      <c r="B4931" s="11"/>
      <c r="C4931" s="11"/>
      <c r="D4931" s="11"/>
      <c r="E4931" s="11"/>
      <c r="F4931" s="11"/>
      <c r="G4931" s="11"/>
      <c r="H4931" s="11"/>
      <c r="I4931" s="11"/>
    </row>
    <row r="4932" spans="2:9" x14ac:dyDescent="0.2">
      <c r="B4932" s="11"/>
      <c r="C4932" s="11"/>
      <c r="D4932" s="11"/>
      <c r="E4932" s="11"/>
      <c r="F4932" s="11"/>
      <c r="G4932" s="11"/>
      <c r="H4932" s="11"/>
      <c r="I4932" s="11"/>
    </row>
    <row r="4933" spans="2:9" x14ac:dyDescent="0.2">
      <c r="B4933" s="11"/>
      <c r="C4933" s="11"/>
      <c r="D4933" s="11"/>
      <c r="E4933" s="11"/>
      <c r="F4933" s="11"/>
      <c r="G4933" s="11"/>
      <c r="H4933" s="11"/>
      <c r="I4933" s="11"/>
    </row>
    <row r="4934" spans="2:9" x14ac:dyDescent="0.2">
      <c r="B4934" s="11"/>
      <c r="C4934" s="11"/>
      <c r="D4934" s="11"/>
      <c r="E4934" s="11"/>
      <c r="F4934" s="11"/>
      <c r="G4934" s="11"/>
      <c r="H4934" s="11"/>
      <c r="I4934" s="11"/>
    </row>
    <row r="4935" spans="2:9" x14ac:dyDescent="0.2">
      <c r="B4935" s="11"/>
      <c r="C4935" s="11"/>
      <c r="D4935" s="11"/>
      <c r="E4935" s="11"/>
      <c r="F4935" s="11"/>
      <c r="G4935" s="11"/>
      <c r="H4935" s="11"/>
      <c r="I4935" s="11"/>
    </row>
    <row r="4936" spans="2:9" x14ac:dyDescent="0.2">
      <c r="B4936" s="11"/>
      <c r="C4936" s="11"/>
      <c r="D4936" s="11"/>
      <c r="E4936" s="11"/>
      <c r="F4936" s="11"/>
      <c r="G4936" s="11"/>
      <c r="H4936" s="11"/>
      <c r="I4936" s="11"/>
    </row>
    <row r="4937" spans="2:9" x14ac:dyDescent="0.2">
      <c r="B4937" s="11"/>
      <c r="C4937" s="11"/>
      <c r="D4937" s="11"/>
      <c r="E4937" s="11"/>
      <c r="F4937" s="11"/>
      <c r="G4937" s="11"/>
      <c r="H4937" s="11"/>
      <c r="I4937" s="11"/>
    </row>
    <row r="4938" spans="2:9" x14ac:dyDescent="0.2">
      <c r="B4938" s="11"/>
      <c r="C4938" s="11"/>
      <c r="D4938" s="11"/>
      <c r="E4938" s="11"/>
      <c r="F4938" s="11"/>
      <c r="G4938" s="11"/>
      <c r="H4938" s="11"/>
      <c r="I4938" s="11"/>
    </row>
    <row r="4939" spans="2:9" x14ac:dyDescent="0.2">
      <c r="B4939" s="11"/>
      <c r="C4939" s="11"/>
      <c r="D4939" s="11"/>
      <c r="E4939" s="11"/>
      <c r="F4939" s="11"/>
      <c r="G4939" s="11"/>
      <c r="H4939" s="11"/>
      <c r="I4939" s="11"/>
    </row>
    <row r="4940" spans="2:9" x14ac:dyDescent="0.2">
      <c r="B4940" s="11"/>
      <c r="C4940" s="11"/>
      <c r="D4940" s="11"/>
      <c r="E4940" s="11"/>
      <c r="F4940" s="11"/>
      <c r="G4940" s="11"/>
      <c r="H4940" s="11"/>
      <c r="I4940" s="11"/>
    </row>
    <row r="4941" spans="2:9" x14ac:dyDescent="0.2">
      <c r="B4941" s="11"/>
      <c r="C4941" s="11"/>
      <c r="D4941" s="11"/>
      <c r="E4941" s="11"/>
      <c r="F4941" s="11"/>
      <c r="G4941" s="11"/>
      <c r="H4941" s="11"/>
      <c r="I4941" s="11"/>
    </row>
    <row r="4942" spans="2:9" x14ac:dyDescent="0.2">
      <c r="B4942" s="11"/>
      <c r="C4942" s="11"/>
      <c r="D4942" s="11"/>
      <c r="E4942" s="11"/>
      <c r="F4942" s="11"/>
      <c r="G4942" s="11"/>
      <c r="H4942" s="11"/>
      <c r="I4942" s="11"/>
    </row>
    <row r="4943" spans="2:9" x14ac:dyDescent="0.2">
      <c r="B4943" s="11"/>
      <c r="C4943" s="11"/>
      <c r="D4943" s="11"/>
      <c r="E4943" s="11"/>
      <c r="F4943" s="11"/>
      <c r="G4943" s="11"/>
      <c r="H4943" s="11"/>
      <c r="I4943" s="11"/>
    </row>
    <row r="4944" spans="2:9" x14ac:dyDescent="0.2">
      <c r="B4944" s="11"/>
      <c r="C4944" s="11"/>
      <c r="D4944" s="11"/>
      <c r="E4944" s="11"/>
      <c r="F4944" s="11"/>
      <c r="G4944" s="11"/>
      <c r="H4944" s="11"/>
      <c r="I4944" s="11"/>
    </row>
    <row r="4945" spans="2:9" x14ac:dyDescent="0.2">
      <c r="B4945" s="11"/>
      <c r="C4945" s="11"/>
      <c r="D4945" s="11"/>
      <c r="E4945" s="11"/>
      <c r="F4945" s="11"/>
      <c r="G4945" s="11"/>
      <c r="H4945" s="11"/>
      <c r="I4945" s="11"/>
    </row>
    <row r="4946" spans="2:9" x14ac:dyDescent="0.2">
      <c r="B4946" s="11"/>
      <c r="C4946" s="11"/>
      <c r="D4946" s="11"/>
      <c r="E4946" s="11"/>
      <c r="F4946" s="11"/>
      <c r="G4946" s="11"/>
      <c r="H4946" s="11"/>
      <c r="I4946" s="11"/>
    </row>
    <row r="4947" spans="2:9" x14ac:dyDescent="0.2">
      <c r="B4947" s="11"/>
      <c r="C4947" s="11"/>
      <c r="D4947" s="11"/>
      <c r="E4947" s="11"/>
      <c r="F4947" s="11"/>
      <c r="G4947" s="11"/>
      <c r="H4947" s="11"/>
      <c r="I4947" s="11"/>
    </row>
    <row r="4948" spans="2:9" x14ac:dyDescent="0.2">
      <c r="B4948" s="11"/>
      <c r="C4948" s="11"/>
      <c r="D4948" s="11"/>
      <c r="E4948" s="11"/>
      <c r="F4948" s="11"/>
      <c r="G4948" s="11"/>
      <c r="H4948" s="11"/>
      <c r="I4948" s="11"/>
    </row>
    <row r="4949" spans="2:9" x14ac:dyDescent="0.2">
      <c r="B4949" s="11"/>
      <c r="C4949" s="11"/>
      <c r="D4949" s="11"/>
      <c r="E4949" s="11"/>
      <c r="F4949" s="11"/>
      <c r="G4949" s="11"/>
      <c r="H4949" s="11"/>
      <c r="I4949" s="11"/>
    </row>
    <row r="4950" spans="2:9" x14ac:dyDescent="0.2">
      <c r="B4950" s="11"/>
      <c r="C4950" s="11"/>
      <c r="D4950" s="11"/>
      <c r="E4950" s="11"/>
      <c r="F4950" s="11"/>
      <c r="G4950" s="11"/>
      <c r="H4950" s="11"/>
      <c r="I4950" s="11"/>
    </row>
    <row r="4951" spans="2:9" x14ac:dyDescent="0.2">
      <c r="B4951" s="11"/>
      <c r="C4951" s="11"/>
      <c r="D4951" s="11"/>
      <c r="E4951" s="11"/>
      <c r="F4951" s="11"/>
      <c r="G4951" s="11"/>
      <c r="H4951" s="11"/>
      <c r="I4951" s="11"/>
    </row>
    <row r="4952" spans="2:9" x14ac:dyDescent="0.2">
      <c r="B4952" s="11"/>
      <c r="C4952" s="11"/>
      <c r="D4952" s="11"/>
      <c r="E4952" s="11"/>
      <c r="F4952" s="11"/>
      <c r="G4952" s="11"/>
      <c r="H4952" s="11"/>
      <c r="I4952" s="11"/>
    </row>
    <row r="4953" spans="2:9" x14ac:dyDescent="0.2">
      <c r="B4953" s="11"/>
      <c r="C4953" s="11"/>
      <c r="D4953" s="11"/>
      <c r="E4953" s="11"/>
      <c r="F4953" s="11"/>
      <c r="G4953" s="11"/>
      <c r="H4953" s="11"/>
      <c r="I4953" s="11"/>
    </row>
    <row r="4954" spans="2:9" x14ac:dyDescent="0.2">
      <c r="B4954" s="11"/>
      <c r="C4954" s="11"/>
      <c r="D4954" s="11"/>
      <c r="E4954" s="11"/>
      <c r="F4954" s="11"/>
      <c r="G4954" s="11"/>
      <c r="H4954" s="11"/>
      <c r="I4954" s="11"/>
    </row>
    <row r="4955" spans="2:9" x14ac:dyDescent="0.2">
      <c r="B4955" s="11"/>
      <c r="C4955" s="11"/>
      <c r="D4955" s="11"/>
      <c r="E4955" s="11"/>
      <c r="F4955" s="11"/>
      <c r="G4955" s="11"/>
      <c r="H4955" s="11"/>
      <c r="I4955" s="11"/>
    </row>
    <row r="4956" spans="2:9" x14ac:dyDescent="0.2">
      <c r="B4956" s="11"/>
      <c r="C4956" s="11"/>
      <c r="D4956" s="11"/>
      <c r="E4956" s="11"/>
      <c r="F4956" s="11"/>
      <c r="G4956" s="11"/>
      <c r="H4956" s="11"/>
      <c r="I4956" s="11"/>
    </row>
    <row r="4957" spans="2:9" x14ac:dyDescent="0.2">
      <c r="B4957" s="11"/>
      <c r="C4957" s="11"/>
      <c r="D4957" s="11"/>
      <c r="E4957" s="11"/>
      <c r="F4957" s="11"/>
      <c r="G4957" s="11"/>
      <c r="H4957" s="11"/>
      <c r="I4957" s="11"/>
    </row>
    <row r="4958" spans="2:9" x14ac:dyDescent="0.2">
      <c r="B4958" s="11"/>
      <c r="C4958" s="11"/>
      <c r="D4958" s="11"/>
      <c r="E4958" s="11"/>
      <c r="F4958" s="11"/>
      <c r="G4958" s="11"/>
      <c r="H4958" s="11"/>
      <c r="I4958" s="11"/>
    </row>
    <row r="4959" spans="2:9" x14ac:dyDescent="0.2">
      <c r="B4959" s="11"/>
      <c r="C4959" s="11"/>
      <c r="D4959" s="11"/>
      <c r="E4959" s="11"/>
      <c r="F4959" s="11"/>
      <c r="G4959" s="11"/>
      <c r="H4959" s="11"/>
      <c r="I4959" s="11"/>
    </row>
    <row r="4960" spans="2:9" x14ac:dyDescent="0.2">
      <c r="B4960" s="11"/>
      <c r="C4960" s="11"/>
      <c r="D4960" s="11"/>
      <c r="E4960" s="11"/>
      <c r="F4960" s="11"/>
      <c r="G4960" s="11"/>
      <c r="H4960" s="11"/>
      <c r="I4960" s="11"/>
    </row>
    <row r="4961" spans="2:9" x14ac:dyDescent="0.2">
      <c r="B4961" s="11"/>
      <c r="C4961" s="11"/>
      <c r="D4961" s="11"/>
      <c r="E4961" s="11"/>
      <c r="F4961" s="11"/>
      <c r="G4961" s="11"/>
      <c r="H4961" s="11"/>
      <c r="I4961" s="11"/>
    </row>
    <row r="4962" spans="2:9" x14ac:dyDescent="0.2">
      <c r="B4962" s="11"/>
      <c r="C4962" s="11"/>
      <c r="D4962" s="11"/>
      <c r="E4962" s="11"/>
      <c r="F4962" s="11"/>
      <c r="G4962" s="11"/>
      <c r="H4962" s="11"/>
      <c r="I4962" s="11"/>
    </row>
    <row r="4963" spans="2:9" x14ac:dyDescent="0.2">
      <c r="B4963" s="11"/>
      <c r="C4963" s="11"/>
      <c r="D4963" s="11"/>
      <c r="E4963" s="11"/>
      <c r="F4963" s="11"/>
      <c r="G4963" s="11"/>
      <c r="H4963" s="11"/>
      <c r="I4963" s="11"/>
    </row>
    <row r="4964" spans="2:9" x14ac:dyDescent="0.2">
      <c r="B4964" s="11"/>
      <c r="C4964" s="11"/>
      <c r="D4964" s="11"/>
      <c r="E4964" s="11"/>
      <c r="F4964" s="11"/>
      <c r="G4964" s="11"/>
      <c r="H4964" s="11"/>
      <c r="I4964" s="11"/>
    </row>
    <row r="4965" spans="2:9" x14ac:dyDescent="0.2">
      <c r="B4965" s="11"/>
      <c r="C4965" s="11"/>
      <c r="D4965" s="11"/>
      <c r="E4965" s="11"/>
      <c r="F4965" s="11"/>
      <c r="G4965" s="11"/>
      <c r="H4965" s="11"/>
      <c r="I4965" s="11"/>
    </row>
    <row r="4966" spans="2:9" x14ac:dyDescent="0.2">
      <c r="B4966" s="11"/>
      <c r="C4966" s="11"/>
      <c r="D4966" s="11"/>
      <c r="E4966" s="11"/>
      <c r="F4966" s="11"/>
      <c r="G4966" s="11"/>
      <c r="H4966" s="11"/>
      <c r="I4966" s="11"/>
    </row>
    <row r="4967" spans="2:9" x14ac:dyDescent="0.2">
      <c r="B4967" s="11"/>
      <c r="C4967" s="11"/>
      <c r="D4967" s="11"/>
      <c r="E4967" s="11"/>
      <c r="F4967" s="11"/>
      <c r="G4967" s="11"/>
      <c r="H4967" s="11"/>
      <c r="I4967" s="11"/>
    </row>
    <row r="4968" spans="2:9" x14ac:dyDescent="0.2">
      <c r="B4968" s="11"/>
      <c r="C4968" s="11"/>
      <c r="D4968" s="11"/>
      <c r="E4968" s="11"/>
      <c r="F4968" s="11"/>
      <c r="G4968" s="11"/>
      <c r="H4968" s="11"/>
      <c r="I4968" s="11"/>
    </row>
    <row r="4969" spans="2:9" x14ac:dyDescent="0.2">
      <c r="B4969" s="11"/>
      <c r="C4969" s="11"/>
      <c r="D4969" s="11"/>
      <c r="E4969" s="11"/>
      <c r="F4969" s="11"/>
      <c r="G4969" s="11"/>
      <c r="H4969" s="11"/>
      <c r="I4969" s="11"/>
    </row>
    <row r="4970" spans="2:9" x14ac:dyDescent="0.2">
      <c r="B4970" s="11"/>
      <c r="C4970" s="11"/>
      <c r="D4970" s="11"/>
      <c r="E4970" s="11"/>
      <c r="F4970" s="11"/>
      <c r="G4970" s="11"/>
      <c r="H4970" s="11"/>
      <c r="I4970" s="11"/>
    </row>
    <row r="4971" spans="2:9" x14ac:dyDescent="0.2">
      <c r="B4971" s="11"/>
      <c r="C4971" s="11"/>
      <c r="D4971" s="11"/>
      <c r="E4971" s="11"/>
      <c r="F4971" s="11"/>
      <c r="G4971" s="11"/>
      <c r="H4971" s="11"/>
      <c r="I4971" s="11"/>
    </row>
    <row r="4972" spans="2:9" x14ac:dyDescent="0.2">
      <c r="B4972" s="11"/>
      <c r="C4972" s="11"/>
      <c r="D4972" s="11"/>
      <c r="E4972" s="11"/>
      <c r="F4972" s="11"/>
      <c r="G4972" s="11"/>
      <c r="H4972" s="11"/>
      <c r="I4972" s="11"/>
    </row>
    <row r="4973" spans="2:9" x14ac:dyDescent="0.2">
      <c r="B4973" s="11"/>
      <c r="C4973" s="11"/>
      <c r="D4973" s="11"/>
      <c r="E4973" s="11"/>
      <c r="F4973" s="11"/>
      <c r="G4973" s="11"/>
      <c r="H4973" s="11"/>
      <c r="I4973" s="11"/>
    </row>
    <row r="4974" spans="2:9" x14ac:dyDescent="0.2">
      <c r="B4974" s="11"/>
      <c r="C4974" s="11"/>
      <c r="D4974" s="11"/>
      <c r="E4974" s="11"/>
      <c r="F4974" s="11"/>
      <c r="G4974" s="11"/>
      <c r="H4974" s="11"/>
      <c r="I4974" s="11"/>
    </row>
    <row r="4975" spans="2:9" x14ac:dyDescent="0.2">
      <c r="B4975" s="11"/>
      <c r="C4975" s="11"/>
      <c r="D4975" s="11"/>
      <c r="E4975" s="11"/>
      <c r="F4975" s="11"/>
      <c r="G4975" s="11"/>
      <c r="H4975" s="11"/>
      <c r="I4975" s="11"/>
    </row>
    <row r="4976" spans="2:9" x14ac:dyDescent="0.2">
      <c r="B4976" s="11"/>
      <c r="C4976" s="11"/>
      <c r="D4976" s="11"/>
      <c r="E4976" s="11"/>
      <c r="F4976" s="11"/>
      <c r="G4976" s="11"/>
      <c r="H4976" s="11"/>
      <c r="I4976" s="11"/>
    </row>
    <row r="4977" spans="2:9" x14ac:dyDescent="0.2">
      <c r="B4977" s="11"/>
      <c r="C4977" s="11"/>
      <c r="D4977" s="11"/>
      <c r="E4977" s="11"/>
      <c r="F4977" s="11"/>
      <c r="G4977" s="11"/>
      <c r="H4977" s="11"/>
      <c r="I4977" s="11"/>
    </row>
    <row r="4978" spans="2:9" x14ac:dyDescent="0.2">
      <c r="B4978" s="11"/>
      <c r="C4978" s="11"/>
      <c r="D4978" s="11"/>
      <c r="E4978" s="11"/>
      <c r="F4978" s="11"/>
      <c r="G4978" s="11"/>
      <c r="H4978" s="11"/>
      <c r="I4978" s="11"/>
    </row>
    <row r="4979" spans="2:9" x14ac:dyDescent="0.2">
      <c r="B4979" s="11"/>
      <c r="C4979" s="11"/>
      <c r="D4979" s="11"/>
      <c r="E4979" s="11"/>
      <c r="F4979" s="11"/>
      <c r="G4979" s="11"/>
      <c r="H4979" s="11"/>
      <c r="I4979" s="11"/>
    </row>
    <row r="4980" spans="2:9" x14ac:dyDescent="0.2">
      <c r="B4980" s="11"/>
      <c r="C4980" s="11"/>
      <c r="D4980" s="11"/>
      <c r="E4980" s="11"/>
      <c r="F4980" s="11"/>
      <c r="G4980" s="11"/>
      <c r="H4980" s="11"/>
      <c r="I4980" s="11"/>
    </row>
    <row r="4981" spans="2:9" x14ac:dyDescent="0.2">
      <c r="B4981" s="11"/>
      <c r="C4981" s="11"/>
      <c r="D4981" s="11"/>
      <c r="E4981" s="11"/>
      <c r="F4981" s="11"/>
      <c r="G4981" s="11"/>
      <c r="H4981" s="11"/>
      <c r="I4981" s="11"/>
    </row>
    <row r="4982" spans="2:9" x14ac:dyDescent="0.2">
      <c r="B4982" s="11"/>
      <c r="C4982" s="11"/>
      <c r="D4982" s="11"/>
      <c r="E4982" s="11"/>
      <c r="F4982" s="11"/>
      <c r="G4982" s="11"/>
      <c r="H4982" s="11"/>
      <c r="I4982" s="11"/>
    </row>
    <row r="4983" spans="2:9" x14ac:dyDescent="0.2">
      <c r="B4983" s="11"/>
      <c r="C4983" s="11"/>
      <c r="D4983" s="11"/>
      <c r="E4983" s="11"/>
      <c r="F4983" s="11"/>
      <c r="G4983" s="11"/>
      <c r="H4983" s="11"/>
      <c r="I4983" s="11"/>
    </row>
    <row r="4984" spans="2:9" x14ac:dyDescent="0.2">
      <c r="B4984" s="11"/>
      <c r="C4984" s="11"/>
      <c r="D4984" s="11"/>
      <c r="E4984" s="11"/>
      <c r="F4984" s="11"/>
      <c r="G4984" s="11"/>
      <c r="H4984" s="11"/>
      <c r="I4984" s="11"/>
    </row>
    <row r="4985" spans="2:9" x14ac:dyDescent="0.2">
      <c r="B4985" s="11"/>
      <c r="C4985" s="11"/>
      <c r="D4985" s="11"/>
      <c r="E4985" s="11"/>
      <c r="F4985" s="11"/>
      <c r="G4985" s="11"/>
      <c r="H4985" s="11"/>
      <c r="I4985" s="11"/>
    </row>
    <row r="4986" spans="2:9" x14ac:dyDescent="0.2">
      <c r="B4986" s="11"/>
      <c r="C4986" s="11"/>
      <c r="D4986" s="11"/>
      <c r="E4986" s="11"/>
      <c r="F4986" s="11"/>
      <c r="G4986" s="11"/>
      <c r="H4986" s="11"/>
      <c r="I4986" s="11"/>
    </row>
    <row r="4987" spans="2:9" x14ac:dyDescent="0.2">
      <c r="B4987" s="11"/>
      <c r="C4987" s="11"/>
      <c r="D4987" s="11"/>
      <c r="E4987" s="11"/>
      <c r="F4987" s="11"/>
      <c r="G4987" s="11"/>
      <c r="H4987" s="11"/>
      <c r="I4987" s="11"/>
    </row>
    <row r="4988" spans="2:9" x14ac:dyDescent="0.2">
      <c r="B4988" s="11"/>
      <c r="C4988" s="11"/>
      <c r="D4988" s="11"/>
      <c r="E4988" s="11"/>
      <c r="F4988" s="11"/>
      <c r="G4988" s="11"/>
      <c r="H4988" s="11"/>
      <c r="I4988" s="11"/>
    </row>
    <row r="4989" spans="2:9" x14ac:dyDescent="0.2">
      <c r="B4989" s="11"/>
      <c r="C4989" s="11"/>
      <c r="D4989" s="11"/>
      <c r="E4989" s="11"/>
      <c r="F4989" s="11"/>
      <c r="G4989" s="11"/>
      <c r="H4989" s="11"/>
      <c r="I4989" s="11"/>
    </row>
    <row r="4990" spans="2:9" x14ac:dyDescent="0.2">
      <c r="B4990" s="11"/>
      <c r="C4990" s="11"/>
      <c r="D4990" s="11"/>
      <c r="E4990" s="11"/>
      <c r="F4990" s="11"/>
      <c r="G4990" s="11"/>
      <c r="H4990" s="11"/>
      <c r="I4990" s="11"/>
    </row>
    <row r="4991" spans="2:9" x14ac:dyDescent="0.2">
      <c r="B4991" s="11"/>
      <c r="C4991" s="11"/>
      <c r="D4991" s="11"/>
      <c r="E4991" s="11"/>
      <c r="F4991" s="11"/>
      <c r="G4991" s="11"/>
      <c r="H4991" s="11"/>
      <c r="I4991" s="11"/>
    </row>
    <row r="4992" spans="2:9" x14ac:dyDescent="0.2">
      <c r="B4992" s="11"/>
      <c r="C4992" s="11"/>
      <c r="D4992" s="11"/>
      <c r="E4992" s="11"/>
      <c r="F4992" s="11"/>
      <c r="G4992" s="11"/>
      <c r="H4992" s="11"/>
      <c r="I4992" s="11"/>
    </row>
    <row r="4993" spans="2:9" x14ac:dyDescent="0.2">
      <c r="B4993" s="11"/>
      <c r="C4993" s="11"/>
      <c r="D4993" s="11"/>
      <c r="E4993" s="11"/>
      <c r="F4993" s="11"/>
      <c r="G4993" s="11"/>
      <c r="H4993" s="11"/>
      <c r="I4993" s="11"/>
    </row>
    <row r="4994" spans="2:9" x14ac:dyDescent="0.2">
      <c r="B4994" s="11"/>
      <c r="C4994" s="11"/>
      <c r="D4994" s="11"/>
      <c r="E4994" s="11"/>
      <c r="F4994" s="11"/>
      <c r="G4994" s="11"/>
      <c r="H4994" s="11"/>
      <c r="I4994" s="11"/>
    </row>
    <row r="4995" spans="2:9" x14ac:dyDescent="0.2">
      <c r="B4995" s="11"/>
      <c r="C4995" s="11"/>
      <c r="D4995" s="11"/>
      <c r="E4995" s="11"/>
      <c r="F4995" s="11"/>
      <c r="G4995" s="11"/>
      <c r="H4995" s="11"/>
      <c r="I4995" s="11"/>
    </row>
    <row r="4996" spans="2:9" x14ac:dyDescent="0.2">
      <c r="B4996" s="11"/>
      <c r="C4996" s="11"/>
      <c r="D4996" s="11"/>
      <c r="E4996" s="11"/>
      <c r="F4996" s="11"/>
      <c r="G4996" s="11"/>
      <c r="H4996" s="11"/>
      <c r="I4996" s="11"/>
    </row>
    <row r="4997" spans="2:9" x14ac:dyDescent="0.2">
      <c r="B4997" s="11"/>
      <c r="C4997" s="11"/>
      <c r="D4997" s="11"/>
      <c r="E4997" s="11"/>
      <c r="F4997" s="11"/>
      <c r="G4997" s="11"/>
      <c r="H4997" s="11"/>
      <c r="I4997" s="11"/>
    </row>
    <row r="4998" spans="2:9" x14ac:dyDescent="0.2">
      <c r="B4998" s="11"/>
      <c r="C4998" s="11"/>
      <c r="D4998" s="11"/>
      <c r="E4998" s="11"/>
      <c r="F4998" s="11"/>
      <c r="G4998" s="11"/>
      <c r="H4998" s="11"/>
      <c r="I4998" s="11"/>
    </row>
    <row r="4999" spans="2:9" x14ac:dyDescent="0.2">
      <c r="B4999" s="11"/>
      <c r="C4999" s="11"/>
      <c r="D4999" s="11"/>
      <c r="E4999" s="11"/>
      <c r="F4999" s="11"/>
      <c r="G4999" s="11"/>
      <c r="H4999" s="11"/>
      <c r="I4999" s="11"/>
    </row>
    <row r="5000" spans="2:9" x14ac:dyDescent="0.2">
      <c r="B5000" s="11"/>
      <c r="C5000" s="11"/>
      <c r="D5000" s="11"/>
      <c r="E5000" s="11"/>
      <c r="F5000" s="11"/>
      <c r="G5000" s="11"/>
      <c r="H5000" s="11"/>
      <c r="I5000" s="11"/>
    </row>
    <row r="5001" spans="2:9" x14ac:dyDescent="0.2">
      <c r="B5001" s="11"/>
      <c r="C5001" s="11"/>
      <c r="D5001" s="11"/>
      <c r="E5001" s="11"/>
      <c r="F5001" s="11"/>
      <c r="G5001" s="11"/>
      <c r="H5001" s="11"/>
      <c r="I5001" s="11"/>
    </row>
    <row r="5002" spans="2:9" x14ac:dyDescent="0.2">
      <c r="B5002" s="11"/>
      <c r="C5002" s="11"/>
      <c r="D5002" s="11"/>
      <c r="E5002" s="11"/>
      <c r="F5002" s="11"/>
      <c r="G5002" s="11"/>
      <c r="H5002" s="11"/>
      <c r="I5002" s="11"/>
    </row>
    <row r="5003" spans="2:9" x14ac:dyDescent="0.2">
      <c r="B5003" s="11"/>
      <c r="C5003" s="11"/>
      <c r="D5003" s="11"/>
      <c r="E5003" s="11"/>
      <c r="F5003" s="11"/>
      <c r="G5003" s="11"/>
      <c r="H5003" s="11"/>
      <c r="I5003" s="11"/>
    </row>
    <row r="5004" spans="2:9" x14ac:dyDescent="0.2">
      <c r="B5004" s="11"/>
      <c r="C5004" s="11"/>
      <c r="D5004" s="11"/>
      <c r="E5004" s="11"/>
      <c r="F5004" s="11"/>
      <c r="G5004" s="11"/>
      <c r="H5004" s="11"/>
      <c r="I5004" s="11"/>
    </row>
    <row r="5005" spans="2:9" x14ac:dyDescent="0.2">
      <c r="B5005" s="11"/>
      <c r="C5005" s="11"/>
      <c r="D5005" s="11"/>
      <c r="E5005" s="11"/>
      <c r="F5005" s="11"/>
      <c r="G5005" s="11"/>
      <c r="H5005" s="11"/>
      <c r="I5005" s="11"/>
    </row>
    <row r="5006" spans="2:9" x14ac:dyDescent="0.2">
      <c r="B5006" s="11"/>
      <c r="C5006" s="11"/>
      <c r="D5006" s="11"/>
      <c r="E5006" s="11"/>
      <c r="F5006" s="11"/>
      <c r="G5006" s="11"/>
      <c r="H5006" s="11"/>
      <c r="I5006" s="11"/>
    </row>
    <row r="5007" spans="2:9" x14ac:dyDescent="0.2">
      <c r="B5007" s="11"/>
      <c r="C5007" s="11"/>
      <c r="D5007" s="11"/>
      <c r="E5007" s="11"/>
      <c r="F5007" s="11"/>
      <c r="G5007" s="11"/>
      <c r="H5007" s="11"/>
      <c r="I5007" s="11"/>
    </row>
    <row r="5008" spans="2:9" x14ac:dyDescent="0.2">
      <c r="B5008" s="11"/>
      <c r="C5008" s="11"/>
      <c r="D5008" s="11"/>
      <c r="E5008" s="11"/>
      <c r="F5008" s="11"/>
      <c r="G5008" s="11"/>
      <c r="H5008" s="11"/>
      <c r="I5008" s="11"/>
    </row>
    <row r="5009" spans="2:9" x14ac:dyDescent="0.2">
      <c r="B5009" s="11"/>
      <c r="C5009" s="11"/>
      <c r="D5009" s="11"/>
      <c r="E5009" s="11"/>
      <c r="F5009" s="11"/>
      <c r="G5009" s="11"/>
      <c r="H5009" s="11"/>
      <c r="I5009" s="11"/>
    </row>
    <row r="5010" spans="2:9" x14ac:dyDescent="0.2">
      <c r="B5010" s="11"/>
      <c r="C5010" s="11"/>
      <c r="D5010" s="11"/>
      <c r="E5010" s="11"/>
      <c r="F5010" s="11"/>
      <c r="G5010" s="11"/>
      <c r="H5010" s="11"/>
      <c r="I5010" s="11"/>
    </row>
    <row r="5011" spans="2:9" x14ac:dyDescent="0.2">
      <c r="B5011" s="11"/>
      <c r="C5011" s="11"/>
      <c r="D5011" s="11"/>
      <c r="E5011" s="11"/>
      <c r="F5011" s="11"/>
      <c r="G5011" s="11"/>
      <c r="H5011" s="11"/>
      <c r="I5011" s="11"/>
    </row>
    <row r="5012" spans="2:9" x14ac:dyDescent="0.2">
      <c r="B5012" s="11"/>
      <c r="C5012" s="11"/>
      <c r="D5012" s="11"/>
      <c r="E5012" s="11"/>
      <c r="F5012" s="11"/>
      <c r="G5012" s="11"/>
      <c r="H5012" s="11"/>
      <c r="I5012" s="11"/>
    </row>
    <row r="5013" spans="2:9" x14ac:dyDescent="0.2">
      <c r="B5013" s="11"/>
      <c r="C5013" s="11"/>
      <c r="D5013" s="11"/>
      <c r="E5013" s="11"/>
      <c r="F5013" s="11"/>
      <c r="G5013" s="11"/>
      <c r="H5013" s="11"/>
      <c r="I5013" s="11"/>
    </row>
    <row r="5014" spans="2:9" x14ac:dyDescent="0.2">
      <c r="B5014" s="11"/>
      <c r="C5014" s="11"/>
      <c r="D5014" s="11"/>
      <c r="E5014" s="11"/>
      <c r="F5014" s="11"/>
      <c r="G5014" s="11"/>
      <c r="H5014" s="11"/>
      <c r="I5014" s="11"/>
    </row>
    <row r="5015" spans="2:9" x14ac:dyDescent="0.2">
      <c r="B5015" s="11"/>
      <c r="C5015" s="11"/>
      <c r="D5015" s="11"/>
      <c r="E5015" s="11"/>
      <c r="F5015" s="11"/>
      <c r="G5015" s="11"/>
      <c r="H5015" s="11"/>
      <c r="I5015" s="11"/>
    </row>
    <row r="5016" spans="2:9" x14ac:dyDescent="0.2">
      <c r="B5016" s="11"/>
      <c r="C5016" s="11"/>
      <c r="D5016" s="11"/>
      <c r="E5016" s="11"/>
      <c r="F5016" s="11"/>
      <c r="G5016" s="11"/>
      <c r="H5016" s="11"/>
      <c r="I5016" s="11"/>
    </row>
    <row r="5017" spans="2:9" x14ac:dyDescent="0.2">
      <c r="B5017" s="11"/>
      <c r="C5017" s="11"/>
      <c r="D5017" s="11"/>
      <c r="E5017" s="11"/>
      <c r="F5017" s="11"/>
      <c r="G5017" s="11"/>
      <c r="H5017" s="11"/>
      <c r="I5017" s="11"/>
    </row>
    <row r="5018" spans="2:9" x14ac:dyDescent="0.2">
      <c r="B5018" s="11"/>
      <c r="C5018" s="11"/>
      <c r="D5018" s="11"/>
      <c r="E5018" s="11"/>
      <c r="F5018" s="11"/>
      <c r="G5018" s="11"/>
      <c r="H5018" s="11"/>
      <c r="I5018" s="11"/>
    </row>
    <row r="5019" spans="2:9" x14ac:dyDescent="0.2">
      <c r="B5019" s="11"/>
      <c r="C5019" s="11"/>
      <c r="D5019" s="11"/>
      <c r="E5019" s="11"/>
      <c r="F5019" s="11"/>
      <c r="G5019" s="11"/>
      <c r="H5019" s="11"/>
      <c r="I5019" s="11"/>
    </row>
    <row r="5020" spans="2:9" x14ac:dyDescent="0.2">
      <c r="B5020" s="11"/>
      <c r="C5020" s="11"/>
      <c r="D5020" s="11"/>
      <c r="E5020" s="11"/>
      <c r="F5020" s="11"/>
      <c r="G5020" s="11"/>
      <c r="H5020" s="11"/>
      <c r="I5020" s="11"/>
    </row>
    <row r="5021" spans="2:9" x14ac:dyDescent="0.2">
      <c r="B5021" s="11"/>
      <c r="C5021" s="11"/>
      <c r="D5021" s="11"/>
      <c r="E5021" s="11"/>
      <c r="F5021" s="11"/>
      <c r="G5021" s="11"/>
      <c r="H5021" s="11"/>
      <c r="I5021" s="11"/>
    </row>
    <row r="5022" spans="2:9" x14ac:dyDescent="0.2">
      <c r="B5022" s="11"/>
      <c r="C5022" s="11"/>
      <c r="D5022" s="11"/>
      <c r="E5022" s="11"/>
      <c r="F5022" s="11"/>
      <c r="G5022" s="11"/>
      <c r="H5022" s="11"/>
      <c r="I5022" s="11"/>
    </row>
    <row r="5023" spans="2:9" x14ac:dyDescent="0.2">
      <c r="B5023" s="11"/>
      <c r="C5023" s="11"/>
      <c r="D5023" s="11"/>
      <c r="E5023" s="11"/>
      <c r="F5023" s="11"/>
      <c r="G5023" s="11"/>
      <c r="H5023" s="11"/>
      <c r="I5023" s="11"/>
    </row>
    <row r="5024" spans="2:9" x14ac:dyDescent="0.2">
      <c r="B5024" s="11"/>
      <c r="C5024" s="11"/>
      <c r="D5024" s="11"/>
      <c r="E5024" s="11"/>
      <c r="F5024" s="11"/>
      <c r="G5024" s="11"/>
      <c r="H5024" s="11"/>
      <c r="I5024" s="11"/>
    </row>
    <row r="5025" spans="2:9" x14ac:dyDescent="0.2">
      <c r="B5025" s="11"/>
      <c r="C5025" s="11"/>
      <c r="D5025" s="11"/>
      <c r="E5025" s="11"/>
      <c r="F5025" s="11"/>
      <c r="G5025" s="11"/>
      <c r="H5025" s="11"/>
      <c r="I5025" s="11"/>
    </row>
    <row r="5026" spans="2:9" x14ac:dyDescent="0.2">
      <c r="B5026" s="11"/>
      <c r="C5026" s="11"/>
      <c r="D5026" s="11"/>
      <c r="E5026" s="11"/>
      <c r="F5026" s="11"/>
      <c r="G5026" s="11"/>
      <c r="H5026" s="11"/>
      <c r="I5026" s="11"/>
    </row>
    <row r="5027" spans="2:9" x14ac:dyDescent="0.2">
      <c r="B5027" s="11"/>
      <c r="C5027" s="11"/>
      <c r="D5027" s="11"/>
      <c r="E5027" s="11"/>
      <c r="F5027" s="11"/>
      <c r="G5027" s="11"/>
      <c r="H5027" s="11"/>
      <c r="I5027" s="11"/>
    </row>
    <row r="5028" spans="2:9" x14ac:dyDescent="0.2">
      <c r="B5028" s="11"/>
      <c r="C5028" s="11"/>
      <c r="D5028" s="11"/>
      <c r="E5028" s="11"/>
      <c r="F5028" s="11"/>
      <c r="G5028" s="11"/>
      <c r="H5028" s="11"/>
      <c r="I5028" s="11"/>
    </row>
    <row r="5029" spans="2:9" x14ac:dyDescent="0.2">
      <c r="B5029" s="11"/>
      <c r="C5029" s="11"/>
      <c r="D5029" s="11"/>
      <c r="E5029" s="11"/>
      <c r="F5029" s="11"/>
      <c r="G5029" s="11"/>
      <c r="H5029" s="11"/>
      <c r="I5029" s="11"/>
    </row>
    <row r="5030" spans="2:9" x14ac:dyDescent="0.2">
      <c r="B5030" s="11"/>
      <c r="C5030" s="11"/>
      <c r="D5030" s="11"/>
      <c r="E5030" s="11"/>
      <c r="F5030" s="11"/>
      <c r="G5030" s="11"/>
      <c r="H5030" s="11"/>
      <c r="I5030" s="11"/>
    </row>
    <row r="5031" spans="2:9" x14ac:dyDescent="0.2">
      <c r="B5031" s="11"/>
      <c r="C5031" s="11"/>
      <c r="D5031" s="11"/>
      <c r="E5031" s="11"/>
      <c r="F5031" s="11"/>
      <c r="G5031" s="11"/>
      <c r="H5031" s="11"/>
      <c r="I5031" s="11"/>
    </row>
    <row r="5032" spans="2:9" x14ac:dyDescent="0.2">
      <c r="B5032" s="11"/>
      <c r="C5032" s="11"/>
      <c r="D5032" s="11"/>
      <c r="E5032" s="11"/>
      <c r="F5032" s="11"/>
      <c r="G5032" s="11"/>
      <c r="H5032" s="11"/>
      <c r="I5032" s="11"/>
    </row>
    <row r="5033" spans="2:9" x14ac:dyDescent="0.2">
      <c r="B5033" s="11"/>
      <c r="C5033" s="11"/>
      <c r="D5033" s="11"/>
      <c r="E5033" s="11"/>
      <c r="F5033" s="11"/>
      <c r="G5033" s="11"/>
      <c r="H5033" s="11"/>
      <c r="I5033" s="11"/>
    </row>
    <row r="5034" spans="2:9" x14ac:dyDescent="0.2">
      <c r="B5034" s="11"/>
      <c r="C5034" s="11"/>
      <c r="D5034" s="11"/>
      <c r="E5034" s="11"/>
      <c r="F5034" s="11"/>
      <c r="G5034" s="11"/>
      <c r="H5034" s="11"/>
      <c r="I5034" s="11"/>
    </row>
    <row r="5035" spans="2:9" x14ac:dyDescent="0.2">
      <c r="B5035" s="11"/>
      <c r="C5035" s="11"/>
      <c r="D5035" s="11"/>
      <c r="E5035" s="11"/>
      <c r="F5035" s="11"/>
      <c r="G5035" s="11"/>
      <c r="H5035" s="11"/>
      <c r="I5035" s="11"/>
    </row>
    <row r="5036" spans="2:9" x14ac:dyDescent="0.2">
      <c r="B5036" s="11"/>
      <c r="C5036" s="11"/>
      <c r="D5036" s="11"/>
      <c r="E5036" s="11"/>
      <c r="F5036" s="11"/>
      <c r="G5036" s="11"/>
      <c r="H5036" s="11"/>
      <c r="I5036" s="11"/>
    </row>
    <row r="5037" spans="2:9" x14ac:dyDescent="0.2">
      <c r="B5037" s="11"/>
      <c r="C5037" s="11"/>
      <c r="D5037" s="11"/>
      <c r="E5037" s="11"/>
      <c r="F5037" s="11"/>
      <c r="G5037" s="11"/>
      <c r="H5037" s="11"/>
      <c r="I5037" s="11"/>
    </row>
    <row r="5038" spans="2:9" x14ac:dyDescent="0.2">
      <c r="B5038" s="11"/>
      <c r="C5038" s="11"/>
      <c r="D5038" s="11"/>
      <c r="E5038" s="11"/>
      <c r="F5038" s="11"/>
      <c r="G5038" s="11"/>
      <c r="H5038" s="11"/>
      <c r="I5038" s="11"/>
    </row>
    <row r="5039" spans="2:9" x14ac:dyDescent="0.2">
      <c r="B5039" s="11"/>
      <c r="C5039" s="11"/>
      <c r="D5039" s="11"/>
      <c r="E5039" s="11"/>
      <c r="F5039" s="11"/>
      <c r="G5039" s="11"/>
      <c r="H5039" s="11"/>
      <c r="I5039" s="11"/>
    </row>
    <row r="5040" spans="2:9" x14ac:dyDescent="0.2">
      <c r="B5040" s="11"/>
      <c r="C5040" s="11"/>
      <c r="D5040" s="11"/>
      <c r="E5040" s="11"/>
      <c r="F5040" s="11"/>
      <c r="G5040" s="11"/>
      <c r="H5040" s="11"/>
      <c r="I5040" s="11"/>
    </row>
    <row r="5041" spans="2:9" x14ac:dyDescent="0.2">
      <c r="B5041" s="11"/>
      <c r="C5041" s="11"/>
      <c r="D5041" s="11"/>
      <c r="E5041" s="11"/>
      <c r="F5041" s="11"/>
      <c r="G5041" s="11"/>
      <c r="H5041" s="11"/>
      <c r="I5041" s="11"/>
    </row>
    <row r="5042" spans="2:9" x14ac:dyDescent="0.2">
      <c r="B5042" s="11"/>
      <c r="C5042" s="11"/>
      <c r="D5042" s="11"/>
      <c r="E5042" s="11"/>
      <c r="F5042" s="11"/>
      <c r="G5042" s="11"/>
      <c r="H5042" s="11"/>
      <c r="I5042" s="11"/>
    </row>
    <row r="5043" spans="2:9" x14ac:dyDescent="0.2">
      <c r="B5043" s="11"/>
      <c r="C5043" s="11"/>
      <c r="D5043" s="11"/>
      <c r="E5043" s="11"/>
      <c r="F5043" s="11"/>
      <c r="G5043" s="11"/>
      <c r="H5043" s="11"/>
      <c r="I5043" s="11"/>
    </row>
    <row r="5044" spans="2:9" x14ac:dyDescent="0.2">
      <c r="B5044" s="11"/>
      <c r="C5044" s="11"/>
      <c r="D5044" s="11"/>
      <c r="E5044" s="11"/>
      <c r="F5044" s="11"/>
      <c r="G5044" s="11"/>
      <c r="H5044" s="11"/>
      <c r="I5044" s="11"/>
    </row>
    <row r="5045" spans="2:9" x14ac:dyDescent="0.2">
      <c r="B5045" s="11"/>
      <c r="C5045" s="11"/>
      <c r="D5045" s="11"/>
      <c r="E5045" s="11"/>
      <c r="F5045" s="11"/>
      <c r="G5045" s="11"/>
      <c r="H5045" s="11"/>
      <c r="I5045" s="11"/>
    </row>
    <row r="5046" spans="2:9" x14ac:dyDescent="0.2">
      <c r="B5046" s="11"/>
      <c r="C5046" s="11"/>
      <c r="D5046" s="11"/>
      <c r="E5046" s="11"/>
      <c r="F5046" s="11"/>
      <c r="G5046" s="11"/>
      <c r="H5046" s="11"/>
      <c r="I5046" s="11"/>
    </row>
    <row r="5047" spans="2:9" x14ac:dyDescent="0.2">
      <c r="B5047" s="11"/>
      <c r="C5047" s="11"/>
      <c r="D5047" s="11"/>
      <c r="E5047" s="11"/>
      <c r="F5047" s="11"/>
      <c r="G5047" s="11"/>
      <c r="H5047" s="11"/>
      <c r="I5047" s="11"/>
    </row>
    <row r="5048" spans="2:9" x14ac:dyDescent="0.2">
      <c r="B5048" s="11"/>
      <c r="C5048" s="11"/>
      <c r="D5048" s="11"/>
      <c r="E5048" s="11"/>
      <c r="F5048" s="11"/>
      <c r="G5048" s="11"/>
      <c r="H5048" s="11"/>
      <c r="I5048" s="11"/>
    </row>
    <row r="5049" spans="2:9" x14ac:dyDescent="0.2">
      <c r="B5049" s="11"/>
      <c r="C5049" s="11"/>
      <c r="D5049" s="11"/>
      <c r="E5049" s="11"/>
      <c r="F5049" s="11"/>
      <c r="G5049" s="11"/>
      <c r="H5049" s="11"/>
      <c r="I5049" s="11"/>
    </row>
    <row r="5050" spans="2:9" x14ac:dyDescent="0.2">
      <c r="B5050" s="11"/>
      <c r="C5050" s="11"/>
      <c r="D5050" s="11"/>
      <c r="E5050" s="11"/>
      <c r="F5050" s="11"/>
      <c r="G5050" s="11"/>
      <c r="H5050" s="11"/>
      <c r="I5050" s="11"/>
    </row>
    <row r="5051" spans="2:9" x14ac:dyDescent="0.2">
      <c r="B5051" s="11"/>
      <c r="C5051" s="11"/>
      <c r="D5051" s="11"/>
      <c r="E5051" s="11"/>
      <c r="F5051" s="11"/>
      <c r="G5051" s="11"/>
      <c r="H5051" s="11"/>
      <c r="I5051" s="11"/>
    </row>
    <row r="5052" spans="2:9" x14ac:dyDescent="0.2">
      <c r="B5052" s="11"/>
      <c r="C5052" s="11"/>
      <c r="D5052" s="11"/>
      <c r="E5052" s="11"/>
      <c r="F5052" s="11"/>
      <c r="G5052" s="11"/>
      <c r="H5052" s="11"/>
      <c r="I5052" s="11"/>
    </row>
    <row r="5053" spans="2:9" x14ac:dyDescent="0.2">
      <c r="B5053" s="11"/>
      <c r="C5053" s="11"/>
      <c r="D5053" s="11"/>
      <c r="E5053" s="11"/>
      <c r="F5053" s="11"/>
      <c r="G5053" s="11"/>
      <c r="H5053" s="11"/>
      <c r="I5053" s="11"/>
    </row>
    <row r="5054" spans="2:9" x14ac:dyDescent="0.2">
      <c r="B5054" s="11"/>
      <c r="C5054" s="11"/>
      <c r="D5054" s="11"/>
      <c r="E5054" s="11"/>
      <c r="F5054" s="11"/>
      <c r="G5054" s="11"/>
      <c r="H5054" s="11"/>
      <c r="I5054" s="11"/>
    </row>
    <row r="5055" spans="2:9" x14ac:dyDescent="0.2">
      <c r="B5055" s="11"/>
      <c r="C5055" s="11"/>
      <c r="D5055" s="11"/>
      <c r="E5055" s="11"/>
      <c r="F5055" s="11"/>
      <c r="G5055" s="11"/>
      <c r="H5055" s="11"/>
      <c r="I5055" s="11"/>
    </row>
    <row r="5056" spans="2:9" x14ac:dyDescent="0.2">
      <c r="B5056" s="11"/>
      <c r="C5056" s="11"/>
      <c r="D5056" s="11"/>
      <c r="E5056" s="11"/>
      <c r="F5056" s="11"/>
      <c r="G5056" s="11"/>
      <c r="H5056" s="11"/>
      <c r="I5056" s="11"/>
    </row>
    <row r="5057" spans="2:9" x14ac:dyDescent="0.2">
      <c r="B5057" s="11"/>
      <c r="C5057" s="11"/>
      <c r="D5057" s="11"/>
      <c r="E5057" s="11"/>
      <c r="F5057" s="11"/>
      <c r="G5057" s="11"/>
      <c r="H5057" s="11"/>
      <c r="I5057" s="11"/>
    </row>
    <row r="5058" spans="2:9" x14ac:dyDescent="0.2">
      <c r="B5058" s="11"/>
      <c r="C5058" s="11"/>
      <c r="D5058" s="11"/>
      <c r="E5058" s="11"/>
      <c r="F5058" s="11"/>
      <c r="G5058" s="11"/>
      <c r="H5058" s="11"/>
      <c r="I5058" s="11"/>
    </row>
    <row r="5059" spans="2:9" x14ac:dyDescent="0.2">
      <c r="B5059" s="11"/>
      <c r="C5059" s="11"/>
      <c r="D5059" s="11"/>
      <c r="E5059" s="11"/>
      <c r="F5059" s="11"/>
      <c r="G5059" s="11"/>
      <c r="H5059" s="11"/>
      <c r="I5059" s="11"/>
    </row>
    <row r="5060" spans="2:9" x14ac:dyDescent="0.2">
      <c r="B5060" s="11"/>
      <c r="C5060" s="11"/>
      <c r="D5060" s="11"/>
      <c r="E5060" s="11"/>
      <c r="F5060" s="11"/>
      <c r="G5060" s="11"/>
      <c r="H5060" s="11"/>
      <c r="I5060" s="11"/>
    </row>
    <row r="5061" spans="2:9" x14ac:dyDescent="0.2">
      <c r="B5061" s="11"/>
      <c r="C5061" s="11"/>
      <c r="D5061" s="11"/>
      <c r="E5061" s="11"/>
      <c r="F5061" s="11"/>
      <c r="G5061" s="11"/>
      <c r="H5061" s="11"/>
      <c r="I5061" s="11"/>
    </row>
    <row r="5062" spans="2:9" x14ac:dyDescent="0.2">
      <c r="B5062" s="11"/>
      <c r="C5062" s="11"/>
      <c r="D5062" s="11"/>
      <c r="E5062" s="11"/>
      <c r="F5062" s="11"/>
      <c r="G5062" s="11"/>
      <c r="H5062" s="11"/>
      <c r="I5062" s="11"/>
    </row>
    <row r="5063" spans="2:9" x14ac:dyDescent="0.2">
      <c r="B5063" s="11"/>
      <c r="C5063" s="11"/>
      <c r="D5063" s="11"/>
      <c r="E5063" s="11"/>
      <c r="F5063" s="11"/>
      <c r="G5063" s="11"/>
      <c r="H5063" s="11"/>
      <c r="I5063" s="11"/>
    </row>
    <row r="5064" spans="2:9" x14ac:dyDescent="0.2">
      <c r="B5064" s="11"/>
      <c r="C5064" s="11"/>
      <c r="D5064" s="11"/>
      <c r="E5064" s="11"/>
      <c r="F5064" s="11"/>
      <c r="G5064" s="11"/>
      <c r="H5064" s="11"/>
      <c r="I5064" s="11"/>
    </row>
    <row r="5065" spans="2:9" x14ac:dyDescent="0.2">
      <c r="B5065" s="11"/>
      <c r="C5065" s="11"/>
      <c r="D5065" s="11"/>
      <c r="E5065" s="11"/>
      <c r="F5065" s="11"/>
      <c r="G5065" s="11"/>
      <c r="H5065" s="11"/>
      <c r="I5065" s="11"/>
    </row>
    <row r="5066" spans="2:9" x14ac:dyDescent="0.2">
      <c r="B5066" s="11"/>
      <c r="C5066" s="11"/>
      <c r="D5066" s="11"/>
      <c r="E5066" s="11"/>
      <c r="F5066" s="11"/>
      <c r="G5066" s="11"/>
      <c r="H5066" s="11"/>
      <c r="I5066" s="11"/>
    </row>
    <row r="5067" spans="2:9" x14ac:dyDescent="0.2">
      <c r="B5067" s="11"/>
      <c r="C5067" s="11"/>
      <c r="D5067" s="11"/>
      <c r="E5067" s="11"/>
      <c r="F5067" s="11"/>
      <c r="G5067" s="11"/>
      <c r="H5067" s="11"/>
      <c r="I5067" s="11"/>
    </row>
    <row r="5068" spans="2:9" x14ac:dyDescent="0.2">
      <c r="B5068" s="11"/>
      <c r="C5068" s="11"/>
      <c r="D5068" s="11"/>
      <c r="E5068" s="11"/>
      <c r="F5068" s="11"/>
      <c r="G5068" s="11"/>
      <c r="H5068" s="11"/>
      <c r="I5068" s="11"/>
    </row>
    <row r="5069" spans="2:9" x14ac:dyDescent="0.2">
      <c r="B5069" s="11"/>
      <c r="C5069" s="11"/>
      <c r="D5069" s="11"/>
      <c r="E5069" s="11"/>
      <c r="F5069" s="11"/>
      <c r="G5069" s="11"/>
      <c r="H5069" s="11"/>
      <c r="I5069" s="11"/>
    </row>
    <row r="5070" spans="2:9" x14ac:dyDescent="0.2">
      <c r="B5070" s="11"/>
      <c r="C5070" s="11"/>
      <c r="D5070" s="11"/>
      <c r="E5070" s="11"/>
      <c r="F5070" s="11"/>
      <c r="G5070" s="11"/>
      <c r="H5070" s="11"/>
      <c r="I5070" s="11"/>
    </row>
    <row r="5071" spans="2:9" x14ac:dyDescent="0.2">
      <c r="B5071" s="11"/>
      <c r="C5071" s="11"/>
      <c r="D5071" s="11"/>
      <c r="E5071" s="11"/>
      <c r="F5071" s="11"/>
      <c r="G5071" s="11"/>
      <c r="H5071" s="11"/>
      <c r="I5071" s="11"/>
    </row>
    <row r="5072" spans="2:9" x14ac:dyDescent="0.2">
      <c r="B5072" s="11"/>
      <c r="C5072" s="11"/>
      <c r="D5072" s="11"/>
      <c r="E5072" s="11"/>
      <c r="F5072" s="11"/>
      <c r="G5072" s="11"/>
      <c r="H5072" s="11"/>
      <c r="I5072" s="11"/>
    </row>
    <row r="5073" spans="2:9" x14ac:dyDescent="0.2">
      <c r="B5073" s="11"/>
      <c r="C5073" s="11"/>
      <c r="D5073" s="11"/>
      <c r="E5073" s="11"/>
      <c r="F5073" s="11"/>
      <c r="G5073" s="11"/>
      <c r="H5073" s="11"/>
      <c r="I5073" s="11"/>
    </row>
    <row r="5074" spans="2:9" x14ac:dyDescent="0.2">
      <c r="B5074" s="11"/>
      <c r="C5074" s="11"/>
      <c r="D5074" s="11"/>
      <c r="E5074" s="11"/>
      <c r="F5074" s="11"/>
      <c r="G5074" s="11"/>
      <c r="H5074" s="11"/>
      <c r="I5074" s="11"/>
    </row>
    <row r="5075" spans="2:9" x14ac:dyDescent="0.2">
      <c r="B5075" s="11"/>
      <c r="C5075" s="11"/>
      <c r="D5075" s="11"/>
      <c r="E5075" s="11"/>
      <c r="F5075" s="11"/>
      <c r="G5075" s="11"/>
      <c r="H5075" s="11"/>
      <c r="I5075" s="11"/>
    </row>
    <row r="5076" spans="2:9" x14ac:dyDescent="0.2">
      <c r="B5076" s="11"/>
      <c r="C5076" s="11"/>
      <c r="D5076" s="11"/>
      <c r="E5076" s="11"/>
      <c r="F5076" s="11"/>
      <c r="G5076" s="11"/>
      <c r="H5076" s="11"/>
      <c r="I5076" s="11"/>
    </row>
    <row r="5077" spans="2:9" x14ac:dyDescent="0.2">
      <c r="B5077" s="11"/>
      <c r="C5077" s="11"/>
      <c r="D5077" s="11"/>
      <c r="E5077" s="11"/>
      <c r="F5077" s="11"/>
      <c r="G5077" s="11"/>
      <c r="H5077" s="11"/>
      <c r="I5077" s="11"/>
    </row>
    <row r="5078" spans="2:9" x14ac:dyDescent="0.2">
      <c r="B5078" s="11"/>
      <c r="C5078" s="11"/>
      <c r="D5078" s="11"/>
      <c r="E5078" s="11"/>
      <c r="F5078" s="11"/>
      <c r="G5078" s="11"/>
      <c r="H5078" s="11"/>
      <c r="I5078" s="11"/>
    </row>
    <row r="5079" spans="2:9" x14ac:dyDescent="0.2">
      <c r="B5079" s="11"/>
      <c r="C5079" s="11"/>
      <c r="D5079" s="11"/>
      <c r="E5079" s="11"/>
      <c r="F5079" s="11"/>
      <c r="G5079" s="11"/>
      <c r="H5079" s="11"/>
      <c r="I5079" s="11"/>
    </row>
    <row r="5080" spans="2:9" x14ac:dyDescent="0.2">
      <c r="B5080" s="11"/>
      <c r="C5080" s="11"/>
      <c r="D5080" s="11"/>
      <c r="E5080" s="11"/>
      <c r="F5080" s="11"/>
      <c r="G5080" s="11"/>
      <c r="H5080" s="11"/>
      <c r="I5080" s="11"/>
    </row>
    <row r="5081" spans="2:9" x14ac:dyDescent="0.2">
      <c r="B5081" s="11"/>
      <c r="C5081" s="11"/>
      <c r="D5081" s="11"/>
      <c r="E5081" s="11"/>
      <c r="F5081" s="11"/>
      <c r="G5081" s="11"/>
      <c r="H5081" s="11"/>
      <c r="I5081" s="11"/>
    </row>
    <row r="5082" spans="2:9" x14ac:dyDescent="0.2">
      <c r="B5082" s="11"/>
      <c r="C5082" s="11"/>
      <c r="D5082" s="11"/>
      <c r="E5082" s="11"/>
      <c r="F5082" s="11"/>
      <c r="G5082" s="11"/>
      <c r="H5082" s="11"/>
      <c r="I5082" s="11"/>
    </row>
    <row r="5083" spans="2:9" x14ac:dyDescent="0.2">
      <c r="B5083" s="11"/>
      <c r="C5083" s="11"/>
      <c r="D5083" s="11"/>
      <c r="E5083" s="11"/>
      <c r="F5083" s="11"/>
      <c r="G5083" s="11"/>
      <c r="H5083" s="11"/>
      <c r="I5083" s="11"/>
    </row>
    <row r="5084" spans="2:9" x14ac:dyDescent="0.2">
      <c r="B5084" s="11"/>
      <c r="C5084" s="11"/>
      <c r="D5084" s="11"/>
      <c r="E5084" s="11"/>
      <c r="F5084" s="11"/>
      <c r="G5084" s="11"/>
      <c r="H5084" s="11"/>
      <c r="I5084" s="11"/>
    </row>
    <row r="5085" spans="2:9" x14ac:dyDescent="0.2">
      <c r="B5085" s="11"/>
      <c r="C5085" s="11"/>
      <c r="D5085" s="11"/>
      <c r="E5085" s="11"/>
      <c r="F5085" s="11"/>
      <c r="G5085" s="11"/>
      <c r="H5085" s="11"/>
      <c r="I5085" s="11"/>
    </row>
    <row r="5086" spans="2:9" x14ac:dyDescent="0.2">
      <c r="B5086" s="11"/>
      <c r="C5086" s="11"/>
      <c r="D5086" s="11"/>
      <c r="E5086" s="11"/>
      <c r="F5086" s="11"/>
      <c r="G5086" s="11"/>
      <c r="H5086" s="11"/>
      <c r="I5086" s="11"/>
    </row>
    <row r="5087" spans="2:9" x14ac:dyDescent="0.2">
      <c r="B5087" s="11"/>
      <c r="C5087" s="11"/>
      <c r="D5087" s="11"/>
      <c r="E5087" s="11"/>
      <c r="F5087" s="11"/>
      <c r="G5087" s="11"/>
      <c r="H5087" s="11"/>
      <c r="I5087" s="11"/>
    </row>
    <row r="5088" spans="2:9" x14ac:dyDescent="0.2">
      <c r="B5088" s="11"/>
      <c r="C5088" s="11"/>
      <c r="D5088" s="11"/>
      <c r="E5088" s="11"/>
      <c r="F5088" s="11"/>
      <c r="G5088" s="11"/>
      <c r="H5088" s="11"/>
      <c r="I5088" s="11"/>
    </row>
    <row r="5089" spans="2:9" x14ac:dyDescent="0.2">
      <c r="B5089" s="11"/>
      <c r="C5089" s="11"/>
      <c r="D5089" s="11"/>
      <c r="E5089" s="11"/>
      <c r="F5089" s="11"/>
      <c r="G5089" s="11"/>
      <c r="H5089" s="11"/>
      <c r="I5089" s="11"/>
    </row>
    <row r="5090" spans="2:9" x14ac:dyDescent="0.2">
      <c r="B5090" s="11"/>
      <c r="C5090" s="11"/>
      <c r="D5090" s="11"/>
      <c r="E5090" s="11"/>
      <c r="F5090" s="11"/>
      <c r="G5090" s="11"/>
      <c r="H5090" s="11"/>
      <c r="I5090" s="11"/>
    </row>
    <row r="5091" spans="2:9" x14ac:dyDescent="0.2">
      <c r="B5091" s="11"/>
      <c r="C5091" s="11"/>
      <c r="D5091" s="11"/>
      <c r="E5091" s="11"/>
      <c r="F5091" s="11"/>
      <c r="G5091" s="11"/>
      <c r="H5091" s="11"/>
      <c r="I5091" s="11"/>
    </row>
    <row r="5092" spans="2:9" x14ac:dyDescent="0.2">
      <c r="B5092" s="11"/>
      <c r="C5092" s="11"/>
      <c r="D5092" s="11"/>
      <c r="E5092" s="11"/>
      <c r="F5092" s="11"/>
      <c r="G5092" s="11"/>
      <c r="H5092" s="11"/>
      <c r="I5092" s="11"/>
    </row>
    <row r="5093" spans="2:9" x14ac:dyDescent="0.2">
      <c r="B5093" s="11"/>
      <c r="C5093" s="11"/>
      <c r="D5093" s="11"/>
      <c r="E5093" s="11"/>
      <c r="F5093" s="11"/>
      <c r="G5093" s="11"/>
      <c r="H5093" s="11"/>
      <c r="I5093" s="11"/>
    </row>
    <row r="5094" spans="2:9" x14ac:dyDescent="0.2">
      <c r="B5094" s="11"/>
      <c r="C5094" s="11"/>
      <c r="D5094" s="11"/>
      <c r="E5094" s="11"/>
      <c r="F5094" s="11"/>
      <c r="G5094" s="11"/>
      <c r="H5094" s="11"/>
      <c r="I5094" s="11"/>
    </row>
    <row r="5095" spans="2:9" x14ac:dyDescent="0.2">
      <c r="B5095" s="11"/>
      <c r="C5095" s="11"/>
      <c r="D5095" s="11"/>
      <c r="E5095" s="11"/>
      <c r="F5095" s="11"/>
      <c r="G5095" s="11"/>
      <c r="H5095" s="11"/>
      <c r="I5095" s="11"/>
    </row>
    <row r="5096" spans="2:9" x14ac:dyDescent="0.2">
      <c r="B5096" s="11"/>
      <c r="C5096" s="11"/>
      <c r="D5096" s="11"/>
      <c r="E5096" s="11"/>
      <c r="F5096" s="11"/>
      <c r="G5096" s="11"/>
      <c r="H5096" s="11"/>
      <c r="I5096" s="11"/>
    </row>
    <row r="5097" spans="2:9" x14ac:dyDescent="0.2">
      <c r="B5097" s="11"/>
      <c r="C5097" s="11"/>
      <c r="D5097" s="11"/>
      <c r="E5097" s="11"/>
      <c r="F5097" s="11"/>
      <c r="G5097" s="11"/>
      <c r="H5097" s="11"/>
      <c r="I5097" s="11"/>
    </row>
    <row r="5098" spans="2:9" x14ac:dyDescent="0.2">
      <c r="B5098" s="11"/>
      <c r="C5098" s="11"/>
      <c r="D5098" s="11"/>
      <c r="E5098" s="11"/>
      <c r="F5098" s="11"/>
      <c r="G5098" s="11"/>
      <c r="H5098" s="11"/>
      <c r="I5098" s="11"/>
    </row>
    <row r="5099" spans="2:9" x14ac:dyDescent="0.2">
      <c r="B5099" s="11"/>
      <c r="C5099" s="11"/>
      <c r="D5099" s="11"/>
      <c r="E5099" s="11"/>
      <c r="F5099" s="11"/>
      <c r="G5099" s="11"/>
      <c r="H5099" s="11"/>
      <c r="I5099" s="11"/>
    </row>
    <row r="5100" spans="2:9" x14ac:dyDescent="0.2">
      <c r="B5100" s="11"/>
      <c r="C5100" s="11"/>
      <c r="D5100" s="11"/>
      <c r="E5100" s="11"/>
      <c r="F5100" s="11"/>
      <c r="G5100" s="11"/>
      <c r="H5100" s="11"/>
      <c r="I5100" s="11"/>
    </row>
    <row r="5101" spans="2:9" x14ac:dyDescent="0.2">
      <c r="B5101" s="11"/>
      <c r="C5101" s="11"/>
      <c r="D5101" s="11"/>
      <c r="E5101" s="11"/>
      <c r="F5101" s="11"/>
      <c r="G5101" s="11"/>
      <c r="H5101" s="11"/>
      <c r="I5101" s="11"/>
    </row>
    <row r="5102" spans="2:9" x14ac:dyDescent="0.2">
      <c r="B5102" s="11"/>
      <c r="C5102" s="11"/>
      <c r="D5102" s="11"/>
      <c r="E5102" s="11"/>
      <c r="F5102" s="11"/>
      <c r="G5102" s="11"/>
      <c r="H5102" s="11"/>
      <c r="I5102" s="11"/>
    </row>
    <row r="5103" spans="2:9" x14ac:dyDescent="0.2">
      <c r="B5103" s="11"/>
      <c r="C5103" s="11"/>
      <c r="D5103" s="11"/>
      <c r="E5103" s="11"/>
      <c r="F5103" s="11"/>
      <c r="G5103" s="11"/>
      <c r="H5103" s="11"/>
      <c r="I5103" s="11"/>
    </row>
    <row r="5104" spans="2:9" x14ac:dyDescent="0.2">
      <c r="B5104" s="11"/>
      <c r="C5104" s="11"/>
      <c r="D5104" s="11"/>
      <c r="E5104" s="11"/>
      <c r="F5104" s="11"/>
      <c r="G5104" s="11"/>
      <c r="H5104" s="11"/>
      <c r="I5104" s="11"/>
    </row>
    <row r="5105" spans="2:9" x14ac:dyDescent="0.2">
      <c r="B5105" s="11"/>
      <c r="C5105" s="11"/>
      <c r="D5105" s="11"/>
      <c r="E5105" s="11"/>
      <c r="F5105" s="11"/>
      <c r="G5105" s="11"/>
      <c r="H5105" s="11"/>
      <c r="I5105" s="11"/>
    </row>
    <row r="5106" spans="2:9" x14ac:dyDescent="0.2">
      <c r="B5106" s="11"/>
      <c r="C5106" s="11"/>
      <c r="D5106" s="11"/>
      <c r="E5106" s="11"/>
      <c r="F5106" s="11"/>
      <c r="G5106" s="11"/>
      <c r="H5106" s="11"/>
      <c r="I5106" s="11"/>
    </row>
    <row r="5107" spans="2:9" x14ac:dyDescent="0.2">
      <c r="B5107" s="11"/>
      <c r="C5107" s="11"/>
      <c r="D5107" s="11"/>
      <c r="E5107" s="11"/>
      <c r="F5107" s="11"/>
      <c r="G5107" s="11"/>
      <c r="H5107" s="11"/>
      <c r="I5107" s="11"/>
    </row>
    <row r="5108" spans="2:9" x14ac:dyDescent="0.2">
      <c r="B5108" s="11"/>
      <c r="C5108" s="11"/>
      <c r="D5108" s="11"/>
      <c r="E5108" s="11"/>
      <c r="F5108" s="11"/>
      <c r="G5108" s="11"/>
      <c r="H5108" s="11"/>
      <c r="I5108" s="11"/>
    </row>
    <row r="5109" spans="2:9" x14ac:dyDescent="0.2">
      <c r="B5109" s="11"/>
      <c r="C5109" s="11"/>
      <c r="D5109" s="11"/>
      <c r="E5109" s="11"/>
      <c r="F5109" s="11"/>
      <c r="G5109" s="11"/>
      <c r="H5109" s="11"/>
      <c r="I5109" s="11"/>
    </row>
    <row r="5110" spans="2:9" x14ac:dyDescent="0.2">
      <c r="B5110" s="11"/>
      <c r="C5110" s="11"/>
      <c r="D5110" s="11"/>
      <c r="E5110" s="11"/>
      <c r="F5110" s="11"/>
      <c r="G5110" s="11"/>
      <c r="H5110" s="11"/>
      <c r="I5110" s="11"/>
    </row>
    <row r="5111" spans="2:9" x14ac:dyDescent="0.2">
      <c r="B5111" s="11"/>
      <c r="C5111" s="11"/>
      <c r="D5111" s="11"/>
      <c r="E5111" s="11"/>
      <c r="F5111" s="11"/>
      <c r="G5111" s="11"/>
      <c r="H5111" s="11"/>
      <c r="I5111" s="11"/>
    </row>
    <row r="5112" spans="2:9" x14ac:dyDescent="0.2">
      <c r="B5112" s="11"/>
      <c r="C5112" s="11"/>
      <c r="D5112" s="11"/>
      <c r="E5112" s="11"/>
      <c r="F5112" s="11"/>
      <c r="G5112" s="11"/>
      <c r="H5112" s="11"/>
      <c r="I5112" s="11"/>
    </row>
    <row r="5113" spans="2:9" x14ac:dyDescent="0.2">
      <c r="B5113" s="11"/>
      <c r="C5113" s="11"/>
      <c r="D5113" s="11"/>
      <c r="E5113" s="11"/>
      <c r="F5113" s="11"/>
      <c r="G5113" s="11"/>
      <c r="H5113" s="11"/>
      <c r="I5113" s="11"/>
    </row>
    <row r="5114" spans="2:9" x14ac:dyDescent="0.2">
      <c r="B5114" s="11"/>
      <c r="C5114" s="11"/>
      <c r="D5114" s="11"/>
      <c r="E5114" s="11"/>
      <c r="F5114" s="11"/>
      <c r="G5114" s="11"/>
      <c r="H5114" s="11"/>
      <c r="I5114" s="11"/>
    </row>
    <row r="5115" spans="2:9" x14ac:dyDescent="0.2">
      <c r="B5115" s="11"/>
      <c r="C5115" s="11"/>
      <c r="D5115" s="11"/>
      <c r="E5115" s="11"/>
      <c r="F5115" s="11"/>
      <c r="G5115" s="11"/>
      <c r="H5115" s="11"/>
      <c r="I5115" s="11"/>
    </row>
    <row r="5116" spans="2:9" x14ac:dyDescent="0.2">
      <c r="B5116" s="11"/>
      <c r="C5116" s="11"/>
      <c r="D5116" s="11"/>
      <c r="E5116" s="11"/>
      <c r="F5116" s="11"/>
      <c r="G5116" s="11"/>
      <c r="H5116" s="11"/>
      <c r="I5116" s="11"/>
    </row>
    <row r="5117" spans="2:9" x14ac:dyDescent="0.2">
      <c r="B5117" s="11"/>
      <c r="C5117" s="11"/>
      <c r="D5117" s="11"/>
      <c r="E5117" s="11"/>
      <c r="F5117" s="11"/>
      <c r="G5117" s="11"/>
      <c r="H5117" s="11"/>
      <c r="I5117" s="11"/>
    </row>
    <row r="5118" spans="2:9" x14ac:dyDescent="0.2">
      <c r="B5118" s="11"/>
      <c r="C5118" s="11"/>
      <c r="D5118" s="11"/>
      <c r="E5118" s="11"/>
      <c r="F5118" s="11"/>
      <c r="G5118" s="11"/>
      <c r="H5118" s="11"/>
      <c r="I5118" s="11"/>
    </row>
    <row r="5119" spans="2:9" x14ac:dyDescent="0.2">
      <c r="B5119" s="11"/>
      <c r="C5119" s="11"/>
      <c r="D5119" s="11"/>
      <c r="E5119" s="11"/>
      <c r="F5119" s="11"/>
      <c r="G5119" s="11"/>
      <c r="H5119" s="11"/>
      <c r="I5119" s="11"/>
    </row>
    <row r="5120" spans="2:9" x14ac:dyDescent="0.2">
      <c r="B5120" s="11"/>
      <c r="C5120" s="11"/>
      <c r="D5120" s="11"/>
      <c r="E5120" s="11"/>
      <c r="F5120" s="11"/>
      <c r="G5120" s="11"/>
      <c r="H5120" s="11"/>
      <c r="I5120" s="11"/>
    </row>
    <row r="5121" spans="2:9" x14ac:dyDescent="0.2">
      <c r="B5121" s="11"/>
      <c r="C5121" s="11"/>
      <c r="D5121" s="11"/>
      <c r="E5121" s="11"/>
      <c r="F5121" s="11"/>
      <c r="G5121" s="11"/>
      <c r="H5121" s="11"/>
      <c r="I5121" s="11"/>
    </row>
    <row r="5122" spans="2:9" x14ac:dyDescent="0.2">
      <c r="B5122" s="11"/>
      <c r="C5122" s="11"/>
      <c r="D5122" s="11"/>
      <c r="E5122" s="11"/>
      <c r="F5122" s="11"/>
      <c r="G5122" s="11"/>
      <c r="H5122" s="11"/>
      <c r="I5122" s="11"/>
    </row>
    <row r="5123" spans="2:9" x14ac:dyDescent="0.2">
      <c r="B5123" s="11"/>
      <c r="C5123" s="11"/>
      <c r="D5123" s="11"/>
      <c r="E5123" s="11"/>
      <c r="F5123" s="11"/>
      <c r="G5123" s="11"/>
      <c r="H5123" s="11"/>
      <c r="I5123" s="11"/>
    </row>
    <row r="5124" spans="2:9" x14ac:dyDescent="0.2">
      <c r="B5124" s="11"/>
      <c r="C5124" s="11"/>
      <c r="D5124" s="11"/>
      <c r="E5124" s="11"/>
      <c r="F5124" s="11"/>
      <c r="G5124" s="11"/>
      <c r="H5124" s="11"/>
      <c r="I5124" s="11"/>
    </row>
    <row r="5125" spans="2:9" x14ac:dyDescent="0.2">
      <c r="B5125" s="11"/>
      <c r="C5125" s="11"/>
      <c r="D5125" s="11"/>
      <c r="E5125" s="11"/>
      <c r="F5125" s="11"/>
      <c r="G5125" s="11"/>
      <c r="H5125" s="11"/>
      <c r="I5125" s="11"/>
    </row>
    <row r="5126" spans="2:9" x14ac:dyDescent="0.2">
      <c r="B5126" s="11"/>
      <c r="C5126" s="11"/>
      <c r="D5126" s="11"/>
      <c r="E5126" s="11"/>
      <c r="F5126" s="11"/>
      <c r="G5126" s="11"/>
      <c r="H5126" s="11"/>
      <c r="I5126" s="11"/>
    </row>
    <row r="5127" spans="2:9" x14ac:dyDescent="0.2">
      <c r="B5127" s="11"/>
      <c r="C5127" s="11"/>
      <c r="D5127" s="11"/>
      <c r="E5127" s="11"/>
      <c r="F5127" s="11"/>
      <c r="G5127" s="11"/>
      <c r="H5127" s="11"/>
      <c r="I5127" s="11"/>
    </row>
    <row r="5128" spans="2:9" x14ac:dyDescent="0.2">
      <c r="B5128" s="11"/>
      <c r="C5128" s="11"/>
      <c r="D5128" s="11"/>
      <c r="E5128" s="11"/>
      <c r="F5128" s="11"/>
      <c r="G5128" s="11"/>
      <c r="H5128" s="11"/>
      <c r="I5128" s="11"/>
    </row>
    <row r="5129" spans="2:9" x14ac:dyDescent="0.2">
      <c r="B5129" s="11"/>
      <c r="C5129" s="11"/>
      <c r="D5129" s="11"/>
      <c r="E5129" s="11"/>
      <c r="F5129" s="11"/>
      <c r="G5129" s="11"/>
      <c r="H5129" s="11"/>
      <c r="I5129" s="11"/>
    </row>
    <row r="5130" spans="2:9" x14ac:dyDescent="0.2">
      <c r="B5130" s="11"/>
      <c r="C5130" s="11"/>
      <c r="D5130" s="11"/>
      <c r="E5130" s="11"/>
      <c r="F5130" s="11"/>
      <c r="G5130" s="11"/>
      <c r="H5130" s="11"/>
      <c r="I5130" s="11"/>
    </row>
    <row r="5131" spans="2:9" x14ac:dyDescent="0.2">
      <c r="B5131" s="11"/>
      <c r="C5131" s="11"/>
      <c r="D5131" s="11"/>
      <c r="E5131" s="11"/>
      <c r="F5131" s="11"/>
      <c r="G5131" s="11"/>
      <c r="H5131" s="11"/>
      <c r="I5131" s="11"/>
    </row>
    <row r="5132" spans="2:9" x14ac:dyDescent="0.2">
      <c r="B5132" s="11"/>
      <c r="C5132" s="11"/>
      <c r="D5132" s="11"/>
      <c r="E5132" s="11"/>
      <c r="F5132" s="11"/>
      <c r="G5132" s="11"/>
      <c r="H5132" s="11"/>
      <c r="I5132" s="11"/>
    </row>
    <row r="5133" spans="2:9" x14ac:dyDescent="0.2">
      <c r="B5133" s="11"/>
      <c r="C5133" s="11"/>
      <c r="D5133" s="11"/>
      <c r="E5133" s="11"/>
      <c r="F5133" s="11"/>
      <c r="G5133" s="11"/>
      <c r="H5133" s="11"/>
      <c r="I5133" s="11"/>
    </row>
    <row r="5134" spans="2:9" x14ac:dyDescent="0.2">
      <c r="B5134" s="11"/>
      <c r="C5134" s="11"/>
      <c r="D5134" s="11"/>
      <c r="E5134" s="11"/>
      <c r="F5134" s="11"/>
      <c r="G5134" s="11"/>
      <c r="H5134" s="11"/>
      <c r="I5134" s="11"/>
    </row>
    <row r="5135" spans="2:9" x14ac:dyDescent="0.2">
      <c r="B5135" s="11"/>
      <c r="C5135" s="11"/>
      <c r="D5135" s="11"/>
      <c r="E5135" s="11"/>
      <c r="F5135" s="11"/>
      <c r="G5135" s="11"/>
      <c r="H5135" s="11"/>
      <c r="I5135" s="11"/>
    </row>
    <row r="5136" spans="2:9" x14ac:dyDescent="0.2">
      <c r="B5136" s="11"/>
      <c r="C5136" s="11"/>
      <c r="D5136" s="11"/>
      <c r="E5136" s="11"/>
      <c r="F5136" s="11"/>
      <c r="G5136" s="11"/>
      <c r="H5136" s="11"/>
      <c r="I5136" s="11"/>
    </row>
    <row r="5137" spans="2:9" x14ac:dyDescent="0.2">
      <c r="B5137" s="11"/>
      <c r="C5137" s="11"/>
      <c r="D5137" s="11"/>
      <c r="E5137" s="11"/>
      <c r="F5137" s="11"/>
      <c r="G5137" s="11"/>
      <c r="H5137" s="11"/>
      <c r="I5137" s="11"/>
    </row>
    <row r="5138" spans="2:9" x14ac:dyDescent="0.2">
      <c r="B5138" s="11"/>
      <c r="C5138" s="11"/>
      <c r="D5138" s="11"/>
      <c r="E5138" s="11"/>
      <c r="F5138" s="11"/>
      <c r="G5138" s="11"/>
      <c r="H5138" s="11"/>
      <c r="I5138" s="11"/>
    </row>
    <row r="5139" spans="2:9" x14ac:dyDescent="0.2">
      <c r="B5139" s="11"/>
      <c r="C5139" s="11"/>
      <c r="D5139" s="11"/>
      <c r="E5139" s="11"/>
      <c r="F5139" s="11"/>
      <c r="G5139" s="11"/>
      <c r="H5139" s="11"/>
      <c r="I5139" s="11"/>
    </row>
    <row r="5140" spans="2:9" x14ac:dyDescent="0.2">
      <c r="B5140" s="11"/>
      <c r="C5140" s="11"/>
      <c r="D5140" s="11"/>
      <c r="E5140" s="11"/>
      <c r="F5140" s="11"/>
      <c r="G5140" s="11"/>
      <c r="H5140" s="11"/>
      <c r="I5140" s="11"/>
    </row>
    <row r="5141" spans="2:9" x14ac:dyDescent="0.2">
      <c r="B5141" s="11"/>
      <c r="C5141" s="11"/>
      <c r="D5141" s="11"/>
      <c r="E5141" s="11"/>
      <c r="F5141" s="11"/>
      <c r="G5141" s="11"/>
      <c r="H5141" s="11"/>
      <c r="I5141" s="11"/>
    </row>
    <row r="5142" spans="2:9" x14ac:dyDescent="0.2">
      <c r="B5142" s="11"/>
      <c r="C5142" s="11"/>
      <c r="D5142" s="11"/>
      <c r="E5142" s="11"/>
      <c r="F5142" s="11"/>
      <c r="G5142" s="11"/>
      <c r="H5142" s="11"/>
      <c r="I5142" s="11"/>
    </row>
    <row r="5143" spans="2:9" x14ac:dyDescent="0.2">
      <c r="B5143" s="11"/>
      <c r="C5143" s="11"/>
      <c r="D5143" s="11"/>
      <c r="E5143" s="11"/>
      <c r="F5143" s="11"/>
      <c r="G5143" s="11"/>
      <c r="H5143" s="11"/>
      <c r="I5143" s="11"/>
    </row>
    <row r="5144" spans="2:9" x14ac:dyDescent="0.2">
      <c r="B5144" s="11"/>
      <c r="C5144" s="11"/>
      <c r="D5144" s="11"/>
      <c r="E5144" s="11"/>
      <c r="F5144" s="11"/>
      <c r="G5144" s="11"/>
      <c r="H5144" s="11"/>
      <c r="I5144" s="11"/>
    </row>
    <row r="5145" spans="2:9" x14ac:dyDescent="0.2">
      <c r="B5145" s="11"/>
      <c r="C5145" s="11"/>
      <c r="D5145" s="11"/>
      <c r="E5145" s="11"/>
      <c r="F5145" s="11"/>
      <c r="G5145" s="11"/>
      <c r="H5145" s="11"/>
      <c r="I5145" s="11"/>
    </row>
    <row r="5146" spans="2:9" x14ac:dyDescent="0.2">
      <c r="B5146" s="11"/>
      <c r="C5146" s="11"/>
      <c r="D5146" s="11"/>
      <c r="E5146" s="11"/>
      <c r="F5146" s="11"/>
      <c r="G5146" s="11"/>
      <c r="H5146" s="11"/>
      <c r="I5146" s="11"/>
    </row>
    <row r="5147" spans="2:9" x14ac:dyDescent="0.2">
      <c r="B5147" s="11"/>
      <c r="C5147" s="11"/>
      <c r="D5147" s="11"/>
      <c r="E5147" s="11"/>
      <c r="F5147" s="11"/>
      <c r="G5147" s="11"/>
      <c r="H5147" s="11"/>
      <c r="I5147" s="11"/>
    </row>
    <row r="5148" spans="2:9" x14ac:dyDescent="0.2">
      <c r="B5148" s="11"/>
      <c r="C5148" s="11"/>
      <c r="D5148" s="11"/>
      <c r="E5148" s="11"/>
      <c r="F5148" s="11"/>
      <c r="G5148" s="11"/>
      <c r="H5148" s="11"/>
      <c r="I5148" s="11"/>
    </row>
    <row r="5149" spans="2:9" x14ac:dyDescent="0.2">
      <c r="B5149" s="11"/>
      <c r="C5149" s="11"/>
      <c r="D5149" s="11"/>
      <c r="E5149" s="11"/>
      <c r="F5149" s="11"/>
      <c r="G5149" s="11"/>
      <c r="H5149" s="11"/>
      <c r="I5149" s="11"/>
    </row>
    <row r="5150" spans="2:9" x14ac:dyDescent="0.2">
      <c r="B5150" s="11"/>
      <c r="C5150" s="11"/>
      <c r="D5150" s="11"/>
      <c r="E5150" s="11"/>
      <c r="F5150" s="11"/>
      <c r="G5150" s="11"/>
      <c r="H5150" s="11"/>
      <c r="I5150" s="11"/>
    </row>
    <row r="5151" spans="2:9" x14ac:dyDescent="0.2">
      <c r="B5151" s="11"/>
      <c r="C5151" s="11"/>
      <c r="D5151" s="11"/>
      <c r="E5151" s="11"/>
      <c r="F5151" s="11"/>
      <c r="G5151" s="11"/>
      <c r="H5151" s="11"/>
      <c r="I5151" s="11"/>
    </row>
    <row r="5152" spans="2:9" x14ac:dyDescent="0.2">
      <c r="B5152" s="11"/>
      <c r="C5152" s="11"/>
      <c r="D5152" s="11"/>
      <c r="E5152" s="11"/>
      <c r="F5152" s="11"/>
      <c r="G5152" s="11"/>
      <c r="H5152" s="11"/>
      <c r="I5152" s="11"/>
    </row>
    <row r="5153" spans="2:9" x14ac:dyDescent="0.2">
      <c r="B5153" s="11"/>
      <c r="C5153" s="11"/>
      <c r="D5153" s="11"/>
      <c r="E5153" s="11"/>
      <c r="F5153" s="11"/>
      <c r="G5153" s="11"/>
      <c r="H5153" s="11"/>
      <c r="I5153" s="11"/>
    </row>
    <row r="5154" spans="2:9" x14ac:dyDescent="0.2">
      <c r="B5154" s="11"/>
      <c r="C5154" s="11"/>
      <c r="D5154" s="11"/>
      <c r="E5154" s="11"/>
      <c r="F5154" s="11"/>
      <c r="G5154" s="11"/>
      <c r="H5154" s="11"/>
      <c r="I5154" s="11"/>
    </row>
    <row r="5155" spans="2:9" x14ac:dyDescent="0.2">
      <c r="B5155" s="11"/>
      <c r="C5155" s="11"/>
      <c r="D5155" s="11"/>
      <c r="E5155" s="11"/>
      <c r="F5155" s="11"/>
      <c r="G5155" s="11"/>
      <c r="H5155" s="11"/>
      <c r="I5155" s="11"/>
    </row>
    <row r="5156" spans="2:9" x14ac:dyDescent="0.2">
      <c r="B5156" s="11"/>
      <c r="C5156" s="11"/>
      <c r="D5156" s="11"/>
      <c r="E5156" s="11"/>
      <c r="F5156" s="11"/>
      <c r="G5156" s="11"/>
      <c r="H5156" s="11"/>
      <c r="I5156" s="11"/>
    </row>
    <row r="5157" spans="2:9" x14ac:dyDescent="0.2">
      <c r="B5157" s="11"/>
      <c r="C5157" s="11"/>
      <c r="D5157" s="11"/>
      <c r="E5157" s="11"/>
      <c r="F5157" s="11"/>
      <c r="G5157" s="11"/>
      <c r="H5157" s="11"/>
      <c r="I5157" s="11"/>
    </row>
    <row r="5158" spans="2:9" x14ac:dyDescent="0.2">
      <c r="B5158" s="11"/>
      <c r="C5158" s="11"/>
      <c r="D5158" s="11"/>
      <c r="E5158" s="11"/>
      <c r="F5158" s="11"/>
      <c r="G5158" s="11"/>
      <c r="H5158" s="11"/>
      <c r="I5158" s="11"/>
    </row>
    <row r="5159" spans="2:9" x14ac:dyDescent="0.2">
      <c r="B5159" s="11"/>
      <c r="C5159" s="11"/>
      <c r="D5159" s="11"/>
      <c r="E5159" s="11"/>
      <c r="F5159" s="11"/>
      <c r="G5159" s="11"/>
      <c r="H5159" s="11"/>
      <c r="I5159" s="11"/>
    </row>
    <row r="5160" spans="2:9" x14ac:dyDescent="0.2">
      <c r="B5160" s="11"/>
      <c r="C5160" s="11"/>
      <c r="D5160" s="11"/>
      <c r="E5160" s="11"/>
      <c r="F5160" s="11"/>
      <c r="G5160" s="11"/>
      <c r="H5160" s="11"/>
      <c r="I5160" s="11"/>
    </row>
    <row r="5161" spans="2:9" x14ac:dyDescent="0.2">
      <c r="B5161" s="11"/>
      <c r="C5161" s="11"/>
      <c r="D5161" s="11"/>
      <c r="E5161" s="11"/>
      <c r="F5161" s="11"/>
      <c r="G5161" s="11"/>
      <c r="H5161" s="11"/>
      <c r="I5161" s="11"/>
    </row>
    <row r="5162" spans="2:9" x14ac:dyDescent="0.2">
      <c r="B5162" s="11"/>
      <c r="C5162" s="11"/>
      <c r="D5162" s="11"/>
      <c r="E5162" s="11"/>
      <c r="F5162" s="11"/>
      <c r="G5162" s="11"/>
      <c r="H5162" s="11"/>
      <c r="I5162" s="11"/>
    </row>
    <row r="5163" spans="2:9" x14ac:dyDescent="0.2">
      <c r="B5163" s="11"/>
      <c r="C5163" s="11"/>
      <c r="D5163" s="11"/>
      <c r="E5163" s="11"/>
      <c r="F5163" s="11"/>
      <c r="G5163" s="11"/>
      <c r="H5163" s="11"/>
      <c r="I5163" s="11"/>
    </row>
    <row r="5164" spans="2:9" x14ac:dyDescent="0.2">
      <c r="B5164" s="11"/>
      <c r="C5164" s="11"/>
      <c r="D5164" s="11"/>
      <c r="E5164" s="11"/>
      <c r="F5164" s="11"/>
      <c r="G5164" s="11"/>
      <c r="H5164" s="11"/>
      <c r="I5164" s="11"/>
    </row>
    <row r="5165" spans="2:9" x14ac:dyDescent="0.2">
      <c r="B5165" s="11"/>
      <c r="C5165" s="11"/>
      <c r="D5165" s="11"/>
      <c r="E5165" s="11"/>
      <c r="F5165" s="11"/>
      <c r="G5165" s="11"/>
      <c r="H5165" s="11"/>
      <c r="I5165" s="11"/>
    </row>
    <row r="5166" spans="2:9" x14ac:dyDescent="0.2">
      <c r="B5166" s="11"/>
      <c r="C5166" s="11"/>
      <c r="D5166" s="11"/>
      <c r="E5166" s="11"/>
      <c r="F5166" s="11"/>
      <c r="G5166" s="11"/>
      <c r="H5166" s="11"/>
      <c r="I5166" s="11"/>
    </row>
    <row r="5167" spans="2:9" x14ac:dyDescent="0.2">
      <c r="B5167" s="11"/>
      <c r="C5167" s="11"/>
      <c r="D5167" s="11"/>
      <c r="E5167" s="11"/>
      <c r="F5167" s="11"/>
      <c r="G5167" s="11"/>
      <c r="H5167" s="11"/>
      <c r="I5167" s="11"/>
    </row>
    <row r="5168" spans="2:9" x14ac:dyDescent="0.2">
      <c r="B5168" s="11"/>
      <c r="C5168" s="11"/>
      <c r="D5168" s="11"/>
      <c r="E5168" s="11"/>
      <c r="F5168" s="11"/>
      <c r="G5168" s="11"/>
      <c r="H5168" s="11"/>
      <c r="I5168" s="11"/>
    </row>
    <row r="5169" spans="2:9" x14ac:dyDescent="0.2">
      <c r="B5169" s="11"/>
      <c r="C5169" s="11"/>
      <c r="D5169" s="11"/>
      <c r="E5169" s="11"/>
      <c r="F5169" s="11"/>
      <c r="G5169" s="11"/>
      <c r="H5169" s="11"/>
      <c r="I5169" s="11"/>
    </row>
    <row r="5170" spans="2:9" x14ac:dyDescent="0.2">
      <c r="B5170" s="11"/>
      <c r="C5170" s="11"/>
      <c r="D5170" s="11"/>
      <c r="E5170" s="11"/>
      <c r="F5170" s="11"/>
      <c r="G5170" s="11"/>
      <c r="H5170" s="11"/>
      <c r="I5170" s="11"/>
    </row>
    <row r="5171" spans="2:9" x14ac:dyDescent="0.2">
      <c r="B5171" s="11"/>
      <c r="C5171" s="11"/>
      <c r="D5171" s="11"/>
      <c r="E5171" s="11"/>
      <c r="F5171" s="11"/>
      <c r="G5171" s="11"/>
      <c r="H5171" s="11"/>
      <c r="I5171" s="11"/>
    </row>
    <row r="5172" spans="2:9" x14ac:dyDescent="0.2">
      <c r="B5172" s="11"/>
      <c r="C5172" s="11"/>
      <c r="D5172" s="11"/>
      <c r="E5172" s="11"/>
      <c r="F5172" s="11"/>
      <c r="G5172" s="11"/>
      <c r="H5172" s="11"/>
      <c r="I5172" s="11"/>
    </row>
    <row r="5173" spans="2:9" x14ac:dyDescent="0.2">
      <c r="B5173" s="11"/>
      <c r="C5173" s="11"/>
      <c r="D5173" s="11"/>
      <c r="E5173" s="11"/>
      <c r="F5173" s="11"/>
      <c r="G5173" s="11"/>
      <c r="H5173" s="11"/>
      <c r="I5173" s="11"/>
    </row>
    <row r="5174" spans="2:9" x14ac:dyDescent="0.2">
      <c r="B5174" s="11"/>
      <c r="C5174" s="11"/>
      <c r="D5174" s="11"/>
      <c r="E5174" s="11"/>
      <c r="F5174" s="11"/>
      <c r="G5174" s="11"/>
      <c r="H5174" s="11"/>
      <c r="I5174" s="11"/>
    </row>
    <row r="5175" spans="2:9" x14ac:dyDescent="0.2">
      <c r="B5175" s="11"/>
      <c r="C5175" s="11"/>
      <c r="D5175" s="11"/>
      <c r="E5175" s="11"/>
      <c r="F5175" s="11"/>
      <c r="G5175" s="11"/>
      <c r="H5175" s="11"/>
      <c r="I5175" s="11"/>
    </row>
    <row r="5176" spans="2:9" x14ac:dyDescent="0.2">
      <c r="B5176" s="11"/>
      <c r="C5176" s="11"/>
      <c r="D5176" s="11"/>
      <c r="E5176" s="11"/>
      <c r="F5176" s="11"/>
      <c r="G5176" s="11"/>
      <c r="H5176" s="11"/>
      <c r="I5176" s="11"/>
    </row>
    <row r="5177" spans="2:9" x14ac:dyDescent="0.2">
      <c r="B5177" s="11"/>
      <c r="C5177" s="11"/>
      <c r="D5177" s="11"/>
      <c r="E5177" s="11"/>
      <c r="F5177" s="11"/>
      <c r="G5177" s="11"/>
      <c r="H5177" s="11"/>
      <c r="I5177" s="11"/>
    </row>
    <row r="5178" spans="2:9" x14ac:dyDescent="0.2">
      <c r="B5178" s="11"/>
      <c r="C5178" s="11"/>
      <c r="D5178" s="11"/>
      <c r="E5178" s="11"/>
      <c r="F5178" s="11"/>
      <c r="G5178" s="11"/>
      <c r="H5178" s="11"/>
      <c r="I5178" s="11"/>
    </row>
    <row r="5179" spans="2:9" x14ac:dyDescent="0.2">
      <c r="B5179" s="11"/>
      <c r="C5179" s="11"/>
      <c r="D5179" s="11"/>
      <c r="E5179" s="11"/>
      <c r="F5179" s="11"/>
      <c r="G5179" s="11"/>
      <c r="H5179" s="11"/>
      <c r="I5179" s="11"/>
    </row>
    <row r="5180" spans="2:9" x14ac:dyDescent="0.2">
      <c r="B5180" s="11"/>
      <c r="C5180" s="11"/>
      <c r="D5180" s="11"/>
      <c r="E5180" s="11"/>
      <c r="F5180" s="11"/>
      <c r="G5180" s="11"/>
      <c r="H5180" s="11"/>
      <c r="I5180" s="11"/>
    </row>
    <row r="5181" spans="2:9" x14ac:dyDescent="0.2">
      <c r="B5181" s="11"/>
      <c r="C5181" s="11"/>
      <c r="D5181" s="11"/>
      <c r="E5181" s="11"/>
      <c r="F5181" s="11"/>
      <c r="G5181" s="11"/>
      <c r="H5181" s="11"/>
      <c r="I5181" s="11"/>
    </row>
    <row r="5182" spans="2:9" x14ac:dyDescent="0.2">
      <c r="B5182" s="11"/>
      <c r="C5182" s="11"/>
      <c r="D5182" s="11"/>
      <c r="E5182" s="11"/>
      <c r="F5182" s="11"/>
      <c r="G5182" s="11"/>
      <c r="H5182" s="11"/>
      <c r="I5182" s="11"/>
    </row>
    <row r="5183" spans="2:9" x14ac:dyDescent="0.2">
      <c r="B5183" s="11"/>
      <c r="C5183" s="11"/>
      <c r="D5183" s="11"/>
      <c r="E5183" s="11"/>
      <c r="F5183" s="11"/>
      <c r="G5183" s="11"/>
      <c r="H5183" s="11"/>
      <c r="I5183" s="11"/>
    </row>
    <row r="5184" spans="2:9" x14ac:dyDescent="0.2">
      <c r="B5184" s="11"/>
      <c r="C5184" s="11"/>
      <c r="D5184" s="11"/>
      <c r="E5184" s="11"/>
      <c r="F5184" s="11"/>
      <c r="G5184" s="11"/>
      <c r="H5184" s="11"/>
      <c r="I5184" s="11"/>
    </row>
    <row r="5185" spans="2:9" x14ac:dyDescent="0.2">
      <c r="B5185" s="11"/>
      <c r="C5185" s="11"/>
      <c r="D5185" s="11"/>
      <c r="E5185" s="11"/>
      <c r="F5185" s="11"/>
      <c r="G5185" s="11"/>
      <c r="H5185" s="11"/>
      <c r="I5185" s="11"/>
    </row>
    <row r="5186" spans="2:9" x14ac:dyDescent="0.2">
      <c r="B5186" s="11"/>
      <c r="C5186" s="11"/>
      <c r="D5186" s="11"/>
      <c r="E5186" s="11"/>
      <c r="F5186" s="11"/>
      <c r="G5186" s="11"/>
      <c r="H5186" s="11"/>
      <c r="I5186" s="11"/>
    </row>
    <row r="5187" spans="2:9" x14ac:dyDescent="0.2">
      <c r="B5187" s="11"/>
      <c r="C5187" s="11"/>
      <c r="D5187" s="11"/>
      <c r="E5187" s="11"/>
      <c r="F5187" s="11"/>
      <c r="G5187" s="11"/>
      <c r="H5187" s="11"/>
      <c r="I5187" s="11"/>
    </row>
    <row r="5188" spans="2:9" x14ac:dyDescent="0.2">
      <c r="B5188" s="11"/>
      <c r="C5188" s="11"/>
      <c r="D5188" s="11"/>
      <c r="E5188" s="11"/>
      <c r="F5188" s="11"/>
      <c r="G5188" s="11"/>
      <c r="H5188" s="11"/>
      <c r="I5188" s="11"/>
    </row>
    <row r="5189" spans="2:9" x14ac:dyDescent="0.2">
      <c r="B5189" s="11"/>
      <c r="C5189" s="11"/>
      <c r="D5189" s="11"/>
      <c r="E5189" s="11"/>
      <c r="F5189" s="11"/>
      <c r="G5189" s="11"/>
      <c r="H5189" s="11"/>
      <c r="I5189" s="11"/>
    </row>
    <row r="5190" spans="2:9" x14ac:dyDescent="0.2">
      <c r="B5190" s="11"/>
      <c r="C5190" s="11"/>
      <c r="D5190" s="11"/>
      <c r="E5190" s="11"/>
      <c r="F5190" s="11"/>
      <c r="G5190" s="11"/>
      <c r="H5190" s="11"/>
      <c r="I5190" s="11"/>
    </row>
    <row r="5191" spans="2:9" x14ac:dyDescent="0.2">
      <c r="B5191" s="11"/>
      <c r="C5191" s="11"/>
      <c r="D5191" s="11"/>
      <c r="E5191" s="11"/>
      <c r="F5191" s="11"/>
      <c r="G5191" s="11"/>
      <c r="H5191" s="11"/>
      <c r="I5191" s="11"/>
    </row>
    <row r="5192" spans="2:9" x14ac:dyDescent="0.2">
      <c r="B5192" s="11"/>
      <c r="C5192" s="11"/>
      <c r="D5192" s="11"/>
      <c r="E5192" s="11"/>
      <c r="F5192" s="11"/>
      <c r="G5192" s="11"/>
      <c r="H5192" s="11"/>
      <c r="I5192" s="11"/>
    </row>
    <row r="5193" spans="2:9" x14ac:dyDescent="0.2">
      <c r="B5193" s="11"/>
      <c r="C5193" s="11"/>
      <c r="D5193" s="11"/>
      <c r="E5193" s="11"/>
      <c r="F5193" s="11"/>
      <c r="G5193" s="11"/>
      <c r="H5193" s="11"/>
      <c r="I5193" s="11"/>
    </row>
    <row r="5194" spans="2:9" x14ac:dyDescent="0.2">
      <c r="B5194" s="11"/>
      <c r="C5194" s="11"/>
      <c r="D5194" s="11"/>
      <c r="E5194" s="11"/>
      <c r="F5194" s="11"/>
      <c r="G5194" s="11"/>
      <c r="H5194" s="11"/>
      <c r="I5194" s="11"/>
    </row>
    <row r="5195" spans="2:9" x14ac:dyDescent="0.2">
      <c r="B5195" s="11"/>
      <c r="C5195" s="11"/>
      <c r="D5195" s="11"/>
      <c r="E5195" s="11"/>
      <c r="F5195" s="11"/>
      <c r="G5195" s="11"/>
      <c r="H5195" s="11"/>
      <c r="I5195" s="11"/>
    </row>
    <row r="5196" spans="2:9" x14ac:dyDescent="0.2">
      <c r="B5196" s="11"/>
      <c r="C5196" s="11"/>
      <c r="D5196" s="11"/>
      <c r="E5196" s="11"/>
      <c r="F5196" s="11"/>
      <c r="G5196" s="11"/>
      <c r="H5196" s="11"/>
      <c r="I5196" s="11"/>
    </row>
    <row r="5197" spans="2:9" x14ac:dyDescent="0.2">
      <c r="B5197" s="11"/>
      <c r="C5197" s="11"/>
      <c r="D5197" s="11"/>
      <c r="E5197" s="11"/>
      <c r="F5197" s="11"/>
      <c r="G5197" s="11"/>
      <c r="H5197" s="11"/>
      <c r="I5197" s="11"/>
    </row>
    <row r="5198" spans="2:9" x14ac:dyDescent="0.2">
      <c r="B5198" s="11"/>
      <c r="C5198" s="11"/>
      <c r="D5198" s="11"/>
      <c r="E5198" s="11"/>
      <c r="F5198" s="11"/>
      <c r="G5198" s="11"/>
      <c r="H5198" s="11"/>
      <c r="I5198" s="11"/>
    </row>
    <row r="5199" spans="2:9" x14ac:dyDescent="0.2">
      <c r="B5199" s="11"/>
      <c r="C5199" s="11"/>
      <c r="D5199" s="11"/>
      <c r="E5199" s="11"/>
      <c r="F5199" s="11"/>
      <c r="G5199" s="11"/>
      <c r="H5199" s="11"/>
      <c r="I5199" s="11"/>
    </row>
    <row r="5200" spans="2:9" x14ac:dyDescent="0.2">
      <c r="B5200" s="11"/>
      <c r="C5200" s="11"/>
      <c r="D5200" s="11"/>
      <c r="E5200" s="11"/>
      <c r="F5200" s="11"/>
      <c r="G5200" s="11"/>
      <c r="H5200" s="11"/>
      <c r="I5200" s="11"/>
    </row>
    <row r="5201" spans="2:9" x14ac:dyDescent="0.2">
      <c r="B5201" s="11"/>
      <c r="C5201" s="11"/>
      <c r="D5201" s="11"/>
      <c r="E5201" s="11"/>
      <c r="F5201" s="11"/>
      <c r="G5201" s="11"/>
      <c r="H5201" s="11"/>
      <c r="I5201" s="11"/>
    </row>
    <row r="5202" spans="2:9" x14ac:dyDescent="0.2">
      <c r="B5202" s="11"/>
      <c r="C5202" s="11"/>
      <c r="D5202" s="11"/>
      <c r="E5202" s="11"/>
      <c r="F5202" s="11"/>
      <c r="G5202" s="11"/>
      <c r="H5202" s="11"/>
      <c r="I5202" s="11"/>
    </row>
    <row r="5203" spans="2:9" x14ac:dyDescent="0.2">
      <c r="B5203" s="11"/>
      <c r="C5203" s="11"/>
      <c r="D5203" s="11"/>
      <c r="E5203" s="11"/>
      <c r="F5203" s="11"/>
      <c r="G5203" s="11"/>
      <c r="H5203" s="11"/>
      <c r="I5203" s="11"/>
    </row>
    <row r="5204" spans="2:9" x14ac:dyDescent="0.2">
      <c r="B5204" s="11"/>
      <c r="C5204" s="11"/>
      <c r="D5204" s="11"/>
      <c r="E5204" s="11"/>
      <c r="F5204" s="11"/>
      <c r="G5204" s="11"/>
      <c r="H5204" s="11"/>
      <c r="I5204" s="11"/>
    </row>
    <row r="5205" spans="2:9" x14ac:dyDescent="0.2">
      <c r="B5205" s="11"/>
      <c r="C5205" s="11"/>
      <c r="D5205" s="11"/>
      <c r="E5205" s="11"/>
      <c r="F5205" s="11"/>
      <c r="G5205" s="11"/>
      <c r="H5205" s="11"/>
      <c r="I5205" s="11"/>
    </row>
    <row r="5206" spans="2:9" x14ac:dyDescent="0.2">
      <c r="B5206" s="11"/>
      <c r="C5206" s="11"/>
      <c r="D5206" s="11"/>
      <c r="E5206" s="11"/>
      <c r="F5206" s="11"/>
      <c r="G5206" s="11"/>
      <c r="H5206" s="11"/>
      <c r="I5206" s="11"/>
    </row>
    <row r="5207" spans="2:9" x14ac:dyDescent="0.2">
      <c r="B5207" s="11"/>
      <c r="C5207" s="11"/>
      <c r="D5207" s="11"/>
      <c r="E5207" s="11"/>
      <c r="F5207" s="11"/>
      <c r="G5207" s="11"/>
      <c r="H5207" s="11"/>
      <c r="I5207" s="11"/>
    </row>
    <row r="5208" spans="2:9" x14ac:dyDescent="0.2">
      <c r="B5208" s="11"/>
      <c r="C5208" s="11"/>
      <c r="D5208" s="11"/>
      <c r="E5208" s="11"/>
      <c r="F5208" s="11"/>
      <c r="G5208" s="11"/>
      <c r="H5208" s="11"/>
      <c r="I5208" s="11"/>
    </row>
    <row r="5209" spans="2:9" x14ac:dyDescent="0.2">
      <c r="B5209" s="11"/>
      <c r="C5209" s="11"/>
      <c r="D5209" s="11"/>
      <c r="E5209" s="11"/>
      <c r="F5209" s="11"/>
      <c r="G5209" s="11"/>
      <c r="H5209" s="11"/>
      <c r="I5209" s="11"/>
    </row>
    <row r="5210" spans="2:9" x14ac:dyDescent="0.2">
      <c r="B5210" s="11"/>
      <c r="C5210" s="11"/>
      <c r="D5210" s="11"/>
      <c r="E5210" s="11"/>
      <c r="F5210" s="11"/>
      <c r="G5210" s="11"/>
      <c r="H5210" s="11"/>
      <c r="I5210" s="11"/>
    </row>
    <row r="5211" spans="2:9" x14ac:dyDescent="0.2">
      <c r="B5211" s="11"/>
      <c r="C5211" s="11"/>
      <c r="D5211" s="11"/>
      <c r="E5211" s="11"/>
      <c r="F5211" s="11"/>
      <c r="G5211" s="11"/>
      <c r="H5211" s="11"/>
      <c r="I5211" s="11"/>
    </row>
    <row r="5212" spans="2:9" x14ac:dyDescent="0.2">
      <c r="B5212" s="11"/>
      <c r="C5212" s="11"/>
      <c r="D5212" s="11"/>
      <c r="E5212" s="11"/>
      <c r="F5212" s="11"/>
      <c r="G5212" s="11"/>
      <c r="H5212" s="11"/>
      <c r="I5212" s="11"/>
    </row>
    <row r="5213" spans="2:9" x14ac:dyDescent="0.2">
      <c r="B5213" s="11"/>
      <c r="C5213" s="11"/>
      <c r="D5213" s="11"/>
      <c r="E5213" s="11"/>
      <c r="F5213" s="11"/>
      <c r="G5213" s="11"/>
      <c r="H5213" s="11"/>
      <c r="I5213" s="11"/>
    </row>
    <row r="5214" spans="2:9" x14ac:dyDescent="0.2">
      <c r="B5214" s="11"/>
      <c r="C5214" s="11"/>
      <c r="D5214" s="11"/>
      <c r="E5214" s="11"/>
      <c r="F5214" s="11"/>
      <c r="G5214" s="11"/>
      <c r="H5214" s="11"/>
      <c r="I5214" s="11"/>
    </row>
    <row r="5215" spans="2:9" x14ac:dyDescent="0.2">
      <c r="B5215" s="11"/>
      <c r="C5215" s="11"/>
      <c r="D5215" s="11"/>
      <c r="E5215" s="11"/>
      <c r="F5215" s="11"/>
      <c r="G5215" s="11"/>
      <c r="H5215" s="11"/>
      <c r="I5215" s="11"/>
    </row>
    <row r="5216" spans="2:9" x14ac:dyDescent="0.2">
      <c r="B5216" s="11"/>
      <c r="C5216" s="11"/>
      <c r="D5216" s="11"/>
      <c r="E5216" s="11"/>
      <c r="F5216" s="11"/>
      <c r="G5216" s="11"/>
      <c r="H5216" s="11"/>
      <c r="I5216" s="11"/>
    </row>
    <row r="5217" spans="2:9" x14ac:dyDescent="0.2">
      <c r="B5217" s="11"/>
      <c r="C5217" s="11"/>
      <c r="D5217" s="11"/>
      <c r="E5217" s="11"/>
      <c r="F5217" s="11"/>
      <c r="G5217" s="11"/>
      <c r="H5217" s="11"/>
      <c r="I5217" s="11"/>
    </row>
    <row r="5218" spans="2:9" x14ac:dyDescent="0.2">
      <c r="B5218" s="11"/>
      <c r="C5218" s="11"/>
      <c r="D5218" s="11"/>
      <c r="E5218" s="11"/>
      <c r="F5218" s="11"/>
      <c r="G5218" s="11"/>
      <c r="H5218" s="11"/>
      <c r="I5218" s="11"/>
    </row>
    <row r="5219" spans="2:9" x14ac:dyDescent="0.2">
      <c r="B5219" s="11"/>
      <c r="C5219" s="11"/>
      <c r="D5219" s="11"/>
      <c r="E5219" s="11"/>
      <c r="F5219" s="11"/>
      <c r="G5219" s="11"/>
      <c r="H5219" s="11"/>
      <c r="I5219" s="11"/>
    </row>
    <row r="5220" spans="2:9" x14ac:dyDescent="0.2">
      <c r="B5220" s="11"/>
      <c r="C5220" s="11"/>
      <c r="D5220" s="11"/>
      <c r="E5220" s="11"/>
      <c r="F5220" s="11"/>
      <c r="G5220" s="11"/>
      <c r="H5220" s="11"/>
      <c r="I5220" s="11"/>
    </row>
    <row r="5221" spans="2:9" x14ac:dyDescent="0.2">
      <c r="B5221" s="11"/>
      <c r="C5221" s="11"/>
      <c r="D5221" s="11"/>
      <c r="E5221" s="11"/>
      <c r="F5221" s="11"/>
      <c r="G5221" s="11"/>
      <c r="H5221" s="11"/>
      <c r="I5221" s="11"/>
    </row>
    <row r="5222" spans="2:9" x14ac:dyDescent="0.2">
      <c r="B5222" s="11"/>
      <c r="C5222" s="11"/>
      <c r="D5222" s="11"/>
      <c r="E5222" s="11"/>
      <c r="F5222" s="11"/>
      <c r="G5222" s="11"/>
      <c r="H5222" s="11"/>
      <c r="I5222" s="11"/>
    </row>
    <row r="5223" spans="2:9" x14ac:dyDescent="0.2">
      <c r="B5223" s="11"/>
      <c r="C5223" s="11"/>
      <c r="D5223" s="11"/>
      <c r="E5223" s="11"/>
      <c r="F5223" s="11"/>
      <c r="G5223" s="11"/>
      <c r="H5223" s="11"/>
      <c r="I5223" s="11"/>
    </row>
    <row r="5224" spans="2:9" x14ac:dyDescent="0.2">
      <c r="B5224" s="11"/>
      <c r="C5224" s="11"/>
      <c r="D5224" s="11"/>
      <c r="E5224" s="11"/>
      <c r="F5224" s="11"/>
      <c r="G5224" s="11"/>
      <c r="H5224" s="11"/>
      <c r="I5224" s="11"/>
    </row>
    <row r="5225" spans="2:9" x14ac:dyDescent="0.2">
      <c r="B5225" s="11"/>
      <c r="C5225" s="11"/>
      <c r="D5225" s="11"/>
      <c r="E5225" s="11"/>
      <c r="F5225" s="11"/>
      <c r="G5225" s="11"/>
      <c r="H5225" s="11"/>
      <c r="I5225" s="11"/>
    </row>
    <row r="5226" spans="2:9" x14ac:dyDescent="0.2">
      <c r="B5226" s="11"/>
      <c r="C5226" s="11"/>
      <c r="D5226" s="11"/>
      <c r="E5226" s="11"/>
      <c r="F5226" s="11"/>
      <c r="G5226" s="11"/>
      <c r="H5226" s="11"/>
      <c r="I5226" s="11"/>
    </row>
    <row r="5227" spans="2:9" x14ac:dyDescent="0.2">
      <c r="B5227" s="11"/>
      <c r="C5227" s="11"/>
      <c r="D5227" s="11"/>
      <c r="E5227" s="11"/>
      <c r="F5227" s="11"/>
      <c r="G5227" s="11"/>
      <c r="H5227" s="11"/>
      <c r="I5227" s="11"/>
    </row>
    <row r="5228" spans="2:9" x14ac:dyDescent="0.2">
      <c r="B5228" s="11"/>
      <c r="C5228" s="11"/>
      <c r="D5228" s="11"/>
      <c r="E5228" s="11"/>
      <c r="F5228" s="11"/>
      <c r="G5228" s="11"/>
      <c r="H5228" s="11"/>
      <c r="I5228" s="11"/>
    </row>
    <row r="5229" spans="2:9" x14ac:dyDescent="0.2">
      <c r="B5229" s="11"/>
      <c r="C5229" s="11"/>
      <c r="D5229" s="11"/>
      <c r="E5229" s="11"/>
      <c r="F5229" s="11"/>
      <c r="G5229" s="11"/>
      <c r="H5229" s="11"/>
      <c r="I5229" s="11"/>
    </row>
    <row r="5230" spans="2:9" x14ac:dyDescent="0.2">
      <c r="B5230" s="11"/>
      <c r="C5230" s="11"/>
      <c r="D5230" s="11"/>
      <c r="E5230" s="11"/>
      <c r="F5230" s="11"/>
      <c r="G5230" s="11"/>
      <c r="H5230" s="11"/>
      <c r="I5230" s="11"/>
    </row>
    <row r="5231" spans="2:9" x14ac:dyDescent="0.2">
      <c r="B5231" s="11"/>
      <c r="C5231" s="11"/>
      <c r="D5231" s="11"/>
      <c r="E5231" s="11"/>
      <c r="F5231" s="11"/>
      <c r="G5231" s="11"/>
      <c r="H5231" s="11"/>
      <c r="I5231" s="11"/>
    </row>
    <row r="5232" spans="2:9" x14ac:dyDescent="0.2">
      <c r="B5232" s="11"/>
      <c r="C5232" s="11"/>
      <c r="D5232" s="11"/>
      <c r="E5232" s="11"/>
      <c r="F5232" s="11"/>
      <c r="G5232" s="11"/>
      <c r="H5232" s="11"/>
      <c r="I5232" s="11"/>
    </row>
    <row r="5233" spans="2:9" x14ac:dyDescent="0.2">
      <c r="B5233" s="11"/>
      <c r="C5233" s="11"/>
      <c r="D5233" s="11"/>
      <c r="E5233" s="11"/>
      <c r="F5233" s="11"/>
      <c r="G5233" s="11"/>
      <c r="H5233" s="11"/>
      <c r="I5233" s="11"/>
    </row>
    <row r="5234" spans="2:9" x14ac:dyDescent="0.2">
      <c r="B5234" s="11"/>
      <c r="C5234" s="11"/>
      <c r="D5234" s="11"/>
      <c r="E5234" s="11"/>
      <c r="F5234" s="11"/>
      <c r="G5234" s="11"/>
      <c r="H5234" s="11"/>
      <c r="I5234" s="11"/>
    </row>
    <row r="5235" spans="2:9" x14ac:dyDescent="0.2">
      <c r="B5235" s="11"/>
      <c r="C5235" s="11"/>
      <c r="D5235" s="11"/>
      <c r="E5235" s="11"/>
      <c r="F5235" s="11"/>
      <c r="G5235" s="11"/>
      <c r="H5235" s="11"/>
      <c r="I5235" s="11"/>
    </row>
    <row r="5236" spans="2:9" x14ac:dyDescent="0.2">
      <c r="B5236" s="11"/>
      <c r="C5236" s="11"/>
      <c r="D5236" s="11"/>
      <c r="E5236" s="11"/>
      <c r="F5236" s="11"/>
      <c r="G5236" s="11"/>
      <c r="H5236" s="11"/>
      <c r="I5236" s="11"/>
    </row>
    <row r="5237" spans="2:9" x14ac:dyDescent="0.2">
      <c r="B5237" s="11"/>
      <c r="C5237" s="11"/>
      <c r="D5237" s="11"/>
      <c r="E5237" s="11"/>
      <c r="F5237" s="11"/>
      <c r="G5237" s="11"/>
      <c r="H5237" s="11"/>
      <c r="I5237" s="11"/>
    </row>
    <row r="5238" spans="2:9" x14ac:dyDescent="0.2">
      <c r="B5238" s="11"/>
      <c r="C5238" s="11"/>
      <c r="D5238" s="11"/>
      <c r="E5238" s="11"/>
      <c r="F5238" s="11"/>
      <c r="G5238" s="11"/>
      <c r="H5238" s="11"/>
      <c r="I5238" s="11"/>
    </row>
    <row r="5239" spans="2:9" x14ac:dyDescent="0.2">
      <c r="B5239" s="11"/>
      <c r="C5239" s="11"/>
      <c r="D5239" s="11"/>
      <c r="E5239" s="11"/>
      <c r="F5239" s="11"/>
      <c r="G5239" s="11"/>
      <c r="H5239" s="11"/>
      <c r="I5239" s="11"/>
    </row>
    <row r="5240" spans="2:9" x14ac:dyDescent="0.2">
      <c r="B5240" s="11"/>
      <c r="C5240" s="11"/>
      <c r="D5240" s="11"/>
      <c r="E5240" s="11"/>
      <c r="F5240" s="11"/>
      <c r="G5240" s="11"/>
      <c r="H5240" s="11"/>
      <c r="I5240" s="11"/>
    </row>
    <row r="5241" spans="2:9" x14ac:dyDescent="0.2">
      <c r="B5241" s="11"/>
      <c r="C5241" s="11"/>
      <c r="D5241" s="11"/>
      <c r="E5241" s="11"/>
      <c r="F5241" s="11"/>
      <c r="G5241" s="11"/>
      <c r="H5241" s="11"/>
      <c r="I5241" s="11"/>
    </row>
    <row r="5242" spans="2:9" x14ac:dyDescent="0.2">
      <c r="B5242" s="11"/>
      <c r="C5242" s="11"/>
      <c r="D5242" s="11"/>
      <c r="E5242" s="11"/>
      <c r="F5242" s="11"/>
      <c r="G5242" s="11"/>
      <c r="H5242" s="11"/>
      <c r="I5242" s="11"/>
    </row>
    <row r="5243" spans="2:9" x14ac:dyDescent="0.2">
      <c r="B5243" s="11"/>
      <c r="C5243" s="11"/>
      <c r="D5243" s="11"/>
      <c r="E5243" s="11"/>
      <c r="F5243" s="11"/>
      <c r="G5243" s="11"/>
      <c r="H5243" s="11"/>
      <c r="I5243" s="11"/>
    </row>
    <row r="5244" spans="2:9" x14ac:dyDescent="0.2">
      <c r="B5244" s="11"/>
      <c r="C5244" s="11"/>
      <c r="D5244" s="11"/>
      <c r="E5244" s="11"/>
      <c r="F5244" s="11"/>
      <c r="G5244" s="11"/>
      <c r="H5244" s="11"/>
      <c r="I5244" s="11"/>
    </row>
    <row r="5245" spans="2:9" x14ac:dyDescent="0.2">
      <c r="B5245" s="11"/>
      <c r="C5245" s="11"/>
      <c r="D5245" s="11"/>
      <c r="E5245" s="11"/>
      <c r="F5245" s="11"/>
      <c r="G5245" s="11"/>
      <c r="H5245" s="11"/>
      <c r="I5245" s="11"/>
    </row>
    <row r="5246" spans="2:9" x14ac:dyDescent="0.2">
      <c r="B5246" s="11"/>
      <c r="C5246" s="11"/>
      <c r="D5246" s="11"/>
      <c r="E5246" s="11"/>
      <c r="F5246" s="11"/>
      <c r="G5246" s="11"/>
      <c r="H5246" s="11"/>
      <c r="I5246" s="11"/>
    </row>
    <row r="5247" spans="2:9" x14ac:dyDescent="0.2">
      <c r="B5247" s="11"/>
      <c r="C5247" s="11"/>
      <c r="D5247" s="11"/>
      <c r="E5247" s="11"/>
      <c r="F5247" s="11"/>
      <c r="G5247" s="11"/>
      <c r="H5247" s="11"/>
      <c r="I5247" s="11"/>
    </row>
    <row r="5248" spans="2:9" x14ac:dyDescent="0.2">
      <c r="B5248" s="11"/>
      <c r="C5248" s="11"/>
      <c r="D5248" s="11"/>
      <c r="E5248" s="11"/>
      <c r="F5248" s="11"/>
      <c r="G5248" s="11"/>
      <c r="H5248" s="11"/>
      <c r="I5248" s="11"/>
    </row>
    <row r="5249" spans="2:9" x14ac:dyDescent="0.2">
      <c r="B5249" s="11"/>
      <c r="C5249" s="11"/>
      <c r="D5249" s="11"/>
      <c r="E5249" s="11"/>
      <c r="F5249" s="11"/>
      <c r="G5249" s="11"/>
      <c r="H5249" s="11"/>
      <c r="I5249" s="11"/>
    </row>
    <row r="5250" spans="2:9" x14ac:dyDescent="0.2">
      <c r="B5250" s="11"/>
      <c r="C5250" s="11"/>
      <c r="D5250" s="11"/>
      <c r="E5250" s="11"/>
      <c r="F5250" s="11"/>
      <c r="G5250" s="11"/>
      <c r="H5250" s="11"/>
      <c r="I5250" s="11"/>
    </row>
    <row r="5251" spans="2:9" x14ac:dyDescent="0.2">
      <c r="B5251" s="11"/>
      <c r="C5251" s="11"/>
      <c r="D5251" s="11"/>
      <c r="E5251" s="11"/>
      <c r="F5251" s="11"/>
      <c r="G5251" s="11"/>
      <c r="H5251" s="11"/>
      <c r="I5251" s="11"/>
    </row>
    <row r="5252" spans="2:9" x14ac:dyDescent="0.2">
      <c r="B5252" s="11"/>
      <c r="C5252" s="11"/>
      <c r="D5252" s="11"/>
      <c r="E5252" s="11"/>
      <c r="F5252" s="11"/>
      <c r="G5252" s="11"/>
      <c r="H5252" s="11"/>
      <c r="I5252" s="11"/>
    </row>
    <row r="5253" spans="2:9" x14ac:dyDescent="0.2">
      <c r="B5253" s="11"/>
      <c r="C5253" s="11"/>
      <c r="D5253" s="11"/>
      <c r="E5253" s="11"/>
      <c r="F5253" s="11"/>
      <c r="G5253" s="11"/>
      <c r="H5253" s="11"/>
      <c r="I5253" s="11"/>
    </row>
    <row r="5254" spans="2:9" x14ac:dyDescent="0.2">
      <c r="B5254" s="11"/>
      <c r="C5254" s="11"/>
      <c r="D5254" s="11"/>
      <c r="E5254" s="11"/>
      <c r="F5254" s="11"/>
      <c r="G5254" s="11"/>
      <c r="H5254" s="11"/>
      <c r="I5254" s="11"/>
    </row>
    <row r="5255" spans="2:9" x14ac:dyDescent="0.2">
      <c r="B5255" s="11"/>
      <c r="C5255" s="11"/>
      <c r="D5255" s="11"/>
      <c r="E5255" s="11"/>
      <c r="F5255" s="11"/>
      <c r="G5255" s="11"/>
      <c r="H5255" s="11"/>
      <c r="I5255" s="11"/>
    </row>
    <row r="5256" spans="2:9" x14ac:dyDescent="0.2">
      <c r="B5256" s="11"/>
      <c r="C5256" s="11"/>
      <c r="D5256" s="11"/>
      <c r="E5256" s="11"/>
      <c r="F5256" s="11"/>
      <c r="G5256" s="11"/>
      <c r="H5256" s="11"/>
      <c r="I5256" s="11"/>
    </row>
    <row r="5257" spans="2:9" x14ac:dyDescent="0.2">
      <c r="B5257" s="11"/>
      <c r="C5257" s="11"/>
      <c r="D5257" s="11"/>
      <c r="E5257" s="11"/>
      <c r="F5257" s="11"/>
      <c r="G5257" s="11"/>
      <c r="H5257" s="11"/>
      <c r="I5257" s="11"/>
    </row>
    <row r="5258" spans="2:9" x14ac:dyDescent="0.2">
      <c r="B5258" s="11"/>
      <c r="C5258" s="11"/>
      <c r="D5258" s="11"/>
      <c r="E5258" s="11"/>
      <c r="F5258" s="11"/>
      <c r="G5258" s="11"/>
      <c r="H5258" s="11"/>
      <c r="I5258" s="11"/>
    </row>
    <row r="5259" spans="2:9" x14ac:dyDescent="0.2">
      <c r="B5259" s="11"/>
      <c r="C5259" s="11"/>
      <c r="D5259" s="11"/>
      <c r="E5259" s="11"/>
      <c r="F5259" s="11"/>
      <c r="G5259" s="11"/>
      <c r="H5259" s="11"/>
      <c r="I5259" s="11"/>
    </row>
    <row r="5260" spans="2:9" x14ac:dyDescent="0.2">
      <c r="B5260" s="11"/>
      <c r="C5260" s="11"/>
      <c r="D5260" s="11"/>
      <c r="E5260" s="11"/>
      <c r="F5260" s="11"/>
      <c r="G5260" s="11"/>
      <c r="H5260" s="11"/>
      <c r="I5260" s="11"/>
    </row>
    <row r="5261" spans="2:9" x14ac:dyDescent="0.2">
      <c r="B5261" s="11"/>
      <c r="C5261" s="11"/>
      <c r="D5261" s="11"/>
      <c r="E5261" s="11"/>
      <c r="F5261" s="11"/>
      <c r="G5261" s="11"/>
      <c r="H5261" s="11"/>
      <c r="I5261" s="11"/>
    </row>
    <row r="5262" spans="2:9" x14ac:dyDescent="0.2">
      <c r="B5262" s="11"/>
      <c r="C5262" s="11"/>
      <c r="D5262" s="11"/>
      <c r="E5262" s="11"/>
      <c r="F5262" s="11"/>
      <c r="G5262" s="11"/>
      <c r="H5262" s="11"/>
      <c r="I5262" s="11"/>
    </row>
    <row r="5263" spans="2:9" x14ac:dyDescent="0.2">
      <c r="B5263" s="11"/>
      <c r="C5263" s="11"/>
      <c r="D5263" s="11"/>
      <c r="E5263" s="11"/>
      <c r="F5263" s="11"/>
      <c r="G5263" s="11"/>
      <c r="H5263" s="11"/>
      <c r="I5263" s="11"/>
    </row>
    <row r="5264" spans="2:9" x14ac:dyDescent="0.2">
      <c r="B5264" s="11"/>
      <c r="C5264" s="11"/>
      <c r="D5264" s="11"/>
      <c r="E5264" s="11"/>
      <c r="F5264" s="11"/>
      <c r="G5264" s="11"/>
      <c r="H5264" s="11"/>
      <c r="I5264" s="11"/>
    </row>
    <row r="5265" spans="2:9" x14ac:dyDescent="0.2">
      <c r="B5265" s="11"/>
      <c r="C5265" s="11"/>
      <c r="D5265" s="11"/>
      <c r="E5265" s="11"/>
      <c r="F5265" s="11"/>
      <c r="G5265" s="11"/>
      <c r="H5265" s="11"/>
      <c r="I5265" s="11"/>
    </row>
    <row r="5266" spans="2:9" x14ac:dyDescent="0.2">
      <c r="B5266" s="11"/>
      <c r="C5266" s="11"/>
      <c r="D5266" s="11"/>
      <c r="E5266" s="11"/>
      <c r="F5266" s="11"/>
      <c r="G5266" s="11"/>
      <c r="H5266" s="11"/>
      <c r="I5266" s="11"/>
    </row>
    <row r="5267" spans="2:9" x14ac:dyDescent="0.2">
      <c r="B5267" s="11"/>
      <c r="C5267" s="11"/>
      <c r="D5267" s="11"/>
      <c r="E5267" s="11"/>
      <c r="F5267" s="11"/>
      <c r="G5267" s="11"/>
      <c r="H5267" s="11"/>
      <c r="I5267" s="11"/>
    </row>
    <row r="5268" spans="2:9" x14ac:dyDescent="0.2">
      <c r="B5268" s="11"/>
      <c r="C5268" s="11"/>
      <c r="D5268" s="11"/>
      <c r="E5268" s="11"/>
      <c r="F5268" s="11"/>
      <c r="G5268" s="11"/>
      <c r="H5268" s="11"/>
      <c r="I5268" s="11"/>
    </row>
    <row r="5269" spans="2:9" x14ac:dyDescent="0.2">
      <c r="B5269" s="11"/>
      <c r="C5269" s="11"/>
      <c r="D5269" s="11"/>
      <c r="E5269" s="11"/>
      <c r="F5269" s="11"/>
      <c r="G5269" s="11"/>
      <c r="H5269" s="11"/>
      <c r="I5269" s="11"/>
    </row>
    <row r="5270" spans="2:9" x14ac:dyDescent="0.2">
      <c r="B5270" s="11"/>
      <c r="C5270" s="11"/>
      <c r="D5270" s="11"/>
      <c r="E5270" s="11"/>
      <c r="F5270" s="11"/>
      <c r="G5270" s="11"/>
      <c r="H5270" s="11"/>
      <c r="I5270" s="11"/>
    </row>
    <row r="5271" spans="2:9" x14ac:dyDescent="0.2">
      <c r="B5271" s="11"/>
      <c r="C5271" s="11"/>
      <c r="D5271" s="11"/>
      <c r="E5271" s="11"/>
      <c r="F5271" s="11"/>
      <c r="G5271" s="11"/>
      <c r="H5271" s="11"/>
      <c r="I5271" s="11"/>
    </row>
    <row r="5272" spans="2:9" x14ac:dyDescent="0.2">
      <c r="B5272" s="11"/>
      <c r="C5272" s="11"/>
      <c r="D5272" s="11"/>
      <c r="E5272" s="11"/>
      <c r="F5272" s="11"/>
      <c r="G5272" s="11"/>
      <c r="H5272" s="11"/>
      <c r="I5272" s="11"/>
    </row>
    <row r="5273" spans="2:9" x14ac:dyDescent="0.2">
      <c r="B5273" s="11"/>
      <c r="C5273" s="11"/>
      <c r="D5273" s="11"/>
      <c r="E5273" s="11"/>
      <c r="F5273" s="11"/>
      <c r="G5273" s="11"/>
      <c r="H5273" s="11"/>
      <c r="I5273" s="11"/>
    </row>
    <row r="5274" spans="2:9" x14ac:dyDescent="0.2">
      <c r="B5274" s="11"/>
      <c r="C5274" s="11"/>
      <c r="D5274" s="11"/>
      <c r="E5274" s="11"/>
      <c r="F5274" s="11"/>
      <c r="G5274" s="11"/>
      <c r="H5274" s="11"/>
      <c r="I5274" s="11"/>
    </row>
    <row r="5275" spans="2:9" x14ac:dyDescent="0.2">
      <c r="B5275" s="11"/>
      <c r="C5275" s="11"/>
      <c r="D5275" s="11"/>
      <c r="E5275" s="11"/>
      <c r="F5275" s="11"/>
      <c r="G5275" s="11"/>
      <c r="H5275" s="11"/>
      <c r="I5275" s="11"/>
    </row>
    <row r="5276" spans="2:9" x14ac:dyDescent="0.2">
      <c r="B5276" s="11"/>
      <c r="C5276" s="11"/>
      <c r="D5276" s="11"/>
      <c r="E5276" s="11"/>
      <c r="F5276" s="11"/>
      <c r="G5276" s="11"/>
      <c r="H5276" s="11"/>
      <c r="I5276" s="11"/>
    </row>
    <row r="5277" spans="2:9" x14ac:dyDescent="0.2">
      <c r="B5277" s="11"/>
      <c r="C5277" s="11"/>
      <c r="D5277" s="11"/>
      <c r="E5277" s="11"/>
      <c r="F5277" s="11"/>
      <c r="G5277" s="11"/>
      <c r="H5277" s="11"/>
      <c r="I5277" s="11"/>
    </row>
    <row r="5278" spans="2:9" x14ac:dyDescent="0.2">
      <c r="B5278" s="11"/>
      <c r="C5278" s="11"/>
      <c r="D5278" s="11"/>
      <c r="E5278" s="11"/>
      <c r="F5278" s="11"/>
      <c r="G5278" s="11"/>
      <c r="H5278" s="11"/>
      <c r="I5278" s="11"/>
    </row>
    <row r="5279" spans="2:9" x14ac:dyDescent="0.2">
      <c r="B5279" s="11"/>
      <c r="C5279" s="11"/>
      <c r="D5279" s="11"/>
      <c r="E5279" s="11"/>
      <c r="F5279" s="11"/>
      <c r="G5279" s="11"/>
      <c r="H5279" s="11"/>
      <c r="I5279" s="11"/>
    </row>
    <row r="5280" spans="2:9" x14ac:dyDescent="0.2">
      <c r="B5280" s="11"/>
      <c r="C5280" s="11"/>
      <c r="D5280" s="11"/>
      <c r="E5280" s="11"/>
      <c r="F5280" s="11"/>
      <c r="G5280" s="11"/>
      <c r="H5280" s="11"/>
      <c r="I5280" s="11"/>
    </row>
    <row r="5281" spans="2:9" x14ac:dyDescent="0.2">
      <c r="B5281" s="11"/>
      <c r="C5281" s="11"/>
      <c r="D5281" s="11"/>
      <c r="E5281" s="11"/>
      <c r="F5281" s="11"/>
      <c r="G5281" s="11"/>
      <c r="H5281" s="11"/>
      <c r="I5281" s="11"/>
    </row>
    <row r="5282" spans="2:9" x14ac:dyDescent="0.2">
      <c r="B5282" s="11"/>
      <c r="C5282" s="11"/>
      <c r="D5282" s="11"/>
      <c r="E5282" s="11"/>
      <c r="F5282" s="11"/>
      <c r="G5282" s="11"/>
      <c r="H5282" s="11"/>
      <c r="I5282" s="11"/>
    </row>
    <row r="5283" spans="2:9" x14ac:dyDescent="0.2">
      <c r="B5283" s="11"/>
      <c r="C5283" s="11"/>
      <c r="D5283" s="11"/>
      <c r="E5283" s="11"/>
      <c r="F5283" s="11"/>
      <c r="G5283" s="11"/>
      <c r="H5283" s="11"/>
      <c r="I5283" s="11"/>
    </row>
    <row r="5284" spans="2:9" x14ac:dyDescent="0.2">
      <c r="B5284" s="11"/>
      <c r="C5284" s="11"/>
      <c r="D5284" s="11"/>
      <c r="E5284" s="11"/>
      <c r="F5284" s="11"/>
      <c r="G5284" s="11"/>
      <c r="H5284" s="11"/>
      <c r="I5284" s="11"/>
    </row>
    <row r="5285" spans="2:9" x14ac:dyDescent="0.2">
      <c r="B5285" s="11"/>
      <c r="C5285" s="11"/>
      <c r="D5285" s="11"/>
      <c r="E5285" s="11"/>
      <c r="F5285" s="11"/>
      <c r="G5285" s="11"/>
      <c r="H5285" s="11"/>
      <c r="I5285" s="11"/>
    </row>
    <row r="5286" spans="2:9" x14ac:dyDescent="0.2">
      <c r="B5286" s="11"/>
      <c r="C5286" s="11"/>
      <c r="D5286" s="11"/>
      <c r="E5286" s="11"/>
      <c r="F5286" s="11"/>
      <c r="G5286" s="11"/>
      <c r="H5286" s="11"/>
      <c r="I5286" s="11"/>
    </row>
    <row r="5287" spans="2:9" x14ac:dyDescent="0.2">
      <c r="B5287" s="11"/>
      <c r="C5287" s="11"/>
      <c r="D5287" s="11"/>
      <c r="E5287" s="11"/>
      <c r="F5287" s="11"/>
      <c r="G5287" s="11"/>
      <c r="H5287" s="11"/>
      <c r="I5287" s="11"/>
    </row>
    <row r="5288" spans="2:9" x14ac:dyDescent="0.2">
      <c r="B5288" s="11"/>
      <c r="C5288" s="11"/>
      <c r="D5288" s="11"/>
      <c r="E5288" s="11"/>
      <c r="F5288" s="11"/>
      <c r="G5288" s="11"/>
      <c r="H5288" s="11"/>
      <c r="I5288" s="11"/>
    </row>
    <row r="5289" spans="2:9" x14ac:dyDescent="0.2">
      <c r="B5289" s="11"/>
      <c r="C5289" s="11"/>
      <c r="D5289" s="11"/>
      <c r="E5289" s="11"/>
      <c r="F5289" s="11"/>
      <c r="G5289" s="11"/>
      <c r="H5289" s="11"/>
      <c r="I5289" s="11"/>
    </row>
    <row r="5290" spans="2:9" x14ac:dyDescent="0.2">
      <c r="B5290" s="11"/>
      <c r="C5290" s="11"/>
      <c r="D5290" s="11"/>
      <c r="E5290" s="11"/>
      <c r="F5290" s="11"/>
      <c r="G5290" s="11"/>
      <c r="H5290" s="11"/>
      <c r="I5290" s="11"/>
    </row>
    <row r="5291" spans="2:9" x14ac:dyDescent="0.2">
      <c r="B5291" s="11"/>
      <c r="C5291" s="11"/>
      <c r="D5291" s="11"/>
      <c r="E5291" s="11"/>
      <c r="F5291" s="11"/>
      <c r="G5291" s="11"/>
      <c r="H5291" s="11"/>
      <c r="I5291" s="11"/>
    </row>
    <row r="5292" spans="2:9" x14ac:dyDescent="0.2">
      <c r="B5292" s="11"/>
      <c r="C5292" s="11"/>
      <c r="D5292" s="11"/>
      <c r="E5292" s="11"/>
      <c r="F5292" s="11"/>
      <c r="G5292" s="11"/>
      <c r="H5292" s="11"/>
      <c r="I5292" s="11"/>
    </row>
    <row r="5293" spans="2:9" x14ac:dyDescent="0.2">
      <c r="B5293" s="11"/>
      <c r="C5293" s="11"/>
      <c r="D5293" s="11"/>
      <c r="E5293" s="11"/>
      <c r="F5293" s="11"/>
      <c r="G5293" s="11"/>
      <c r="H5293" s="11"/>
      <c r="I5293" s="11"/>
    </row>
    <row r="5294" spans="2:9" x14ac:dyDescent="0.2">
      <c r="B5294" s="11"/>
      <c r="C5294" s="11"/>
      <c r="D5294" s="11"/>
      <c r="E5294" s="11"/>
      <c r="F5294" s="11"/>
      <c r="G5294" s="11"/>
      <c r="H5294" s="11"/>
      <c r="I5294" s="11"/>
    </row>
    <row r="5295" spans="2:9" x14ac:dyDescent="0.2">
      <c r="B5295" s="11"/>
      <c r="C5295" s="11"/>
      <c r="D5295" s="11"/>
      <c r="E5295" s="11"/>
      <c r="F5295" s="11"/>
      <c r="G5295" s="11"/>
      <c r="H5295" s="11"/>
      <c r="I5295" s="11"/>
    </row>
    <row r="5296" spans="2:9" x14ac:dyDescent="0.2">
      <c r="B5296" s="11"/>
      <c r="C5296" s="11"/>
      <c r="D5296" s="11"/>
      <c r="E5296" s="11"/>
      <c r="F5296" s="11"/>
      <c r="G5296" s="11"/>
      <c r="H5296" s="11"/>
      <c r="I5296" s="11"/>
    </row>
    <row r="5297" spans="2:9" x14ac:dyDescent="0.2">
      <c r="B5297" s="11"/>
      <c r="C5297" s="11"/>
      <c r="D5297" s="11"/>
      <c r="E5297" s="11"/>
      <c r="F5297" s="11"/>
      <c r="G5297" s="11"/>
      <c r="H5297" s="11"/>
      <c r="I5297" s="11"/>
    </row>
    <row r="5298" spans="2:9" x14ac:dyDescent="0.2">
      <c r="B5298" s="11"/>
      <c r="C5298" s="11"/>
      <c r="D5298" s="11"/>
      <c r="E5298" s="11"/>
      <c r="F5298" s="11"/>
      <c r="G5298" s="11"/>
      <c r="H5298" s="11"/>
      <c r="I5298" s="11"/>
    </row>
    <row r="5299" spans="2:9" x14ac:dyDescent="0.2">
      <c r="B5299" s="11"/>
      <c r="C5299" s="11"/>
      <c r="D5299" s="11"/>
      <c r="E5299" s="11"/>
      <c r="F5299" s="11"/>
      <c r="G5299" s="11"/>
      <c r="H5299" s="11"/>
      <c r="I5299" s="11"/>
    </row>
    <row r="5300" spans="2:9" x14ac:dyDescent="0.2">
      <c r="B5300" s="11"/>
      <c r="C5300" s="11"/>
      <c r="D5300" s="11"/>
      <c r="E5300" s="11"/>
      <c r="F5300" s="11"/>
      <c r="G5300" s="11"/>
      <c r="H5300" s="11"/>
      <c r="I5300" s="11"/>
    </row>
    <row r="5301" spans="2:9" x14ac:dyDescent="0.2">
      <c r="B5301" s="11"/>
      <c r="C5301" s="11"/>
      <c r="D5301" s="11"/>
      <c r="E5301" s="11"/>
      <c r="F5301" s="11"/>
      <c r="G5301" s="11"/>
      <c r="H5301" s="11"/>
      <c r="I5301" s="11"/>
    </row>
    <row r="5302" spans="2:9" x14ac:dyDescent="0.2">
      <c r="B5302" s="11"/>
      <c r="C5302" s="11"/>
      <c r="D5302" s="11"/>
      <c r="E5302" s="11"/>
      <c r="F5302" s="11"/>
      <c r="G5302" s="11"/>
      <c r="H5302" s="11"/>
      <c r="I5302" s="11"/>
    </row>
    <row r="5303" spans="2:9" x14ac:dyDescent="0.2">
      <c r="B5303" s="11"/>
      <c r="C5303" s="11"/>
      <c r="D5303" s="11"/>
      <c r="E5303" s="11"/>
      <c r="F5303" s="11"/>
      <c r="G5303" s="11"/>
      <c r="H5303" s="11"/>
      <c r="I5303" s="11"/>
    </row>
    <row r="5304" spans="2:9" x14ac:dyDescent="0.2">
      <c r="B5304" s="11"/>
      <c r="C5304" s="11"/>
      <c r="D5304" s="11"/>
      <c r="E5304" s="11"/>
      <c r="F5304" s="11"/>
      <c r="G5304" s="11"/>
      <c r="H5304" s="11"/>
      <c r="I5304" s="11"/>
    </row>
    <row r="5305" spans="2:9" x14ac:dyDescent="0.2">
      <c r="B5305" s="11"/>
      <c r="C5305" s="11"/>
      <c r="D5305" s="11"/>
      <c r="E5305" s="11"/>
      <c r="F5305" s="11"/>
      <c r="G5305" s="11"/>
      <c r="H5305" s="11"/>
      <c r="I5305" s="11"/>
    </row>
    <row r="5306" spans="2:9" x14ac:dyDescent="0.2">
      <c r="B5306" s="11"/>
      <c r="C5306" s="11"/>
      <c r="D5306" s="11"/>
      <c r="E5306" s="11"/>
      <c r="F5306" s="11"/>
      <c r="G5306" s="11"/>
      <c r="H5306" s="11"/>
      <c r="I5306" s="11"/>
    </row>
    <row r="5307" spans="2:9" x14ac:dyDescent="0.2">
      <c r="B5307" s="11"/>
      <c r="C5307" s="11"/>
      <c r="D5307" s="11"/>
      <c r="E5307" s="11"/>
      <c r="F5307" s="11"/>
      <c r="G5307" s="11"/>
      <c r="H5307" s="11"/>
      <c r="I5307" s="11"/>
    </row>
    <row r="5308" spans="2:9" x14ac:dyDescent="0.2">
      <c r="B5308" s="11"/>
      <c r="C5308" s="11"/>
      <c r="D5308" s="11"/>
      <c r="E5308" s="11"/>
      <c r="F5308" s="11"/>
      <c r="G5308" s="11"/>
      <c r="H5308" s="11"/>
      <c r="I5308" s="11"/>
    </row>
    <row r="5309" spans="2:9" x14ac:dyDescent="0.2">
      <c r="B5309" s="11"/>
      <c r="C5309" s="11"/>
      <c r="D5309" s="11"/>
      <c r="E5309" s="11"/>
      <c r="F5309" s="11"/>
      <c r="G5309" s="11"/>
      <c r="H5309" s="11"/>
      <c r="I5309" s="11"/>
    </row>
    <row r="5310" spans="2:9" x14ac:dyDescent="0.2">
      <c r="B5310" s="11"/>
      <c r="C5310" s="11"/>
      <c r="D5310" s="11"/>
      <c r="E5310" s="11"/>
      <c r="F5310" s="11"/>
      <c r="G5310" s="11"/>
      <c r="H5310" s="11"/>
      <c r="I5310" s="11"/>
    </row>
    <row r="5311" spans="2:9" x14ac:dyDescent="0.2">
      <c r="B5311" s="11"/>
      <c r="C5311" s="11"/>
      <c r="D5311" s="11"/>
      <c r="E5311" s="11"/>
      <c r="F5311" s="11"/>
      <c r="G5311" s="11"/>
      <c r="H5311" s="11"/>
      <c r="I5311" s="11"/>
    </row>
    <row r="5312" spans="2:9" x14ac:dyDescent="0.2">
      <c r="B5312" s="11"/>
      <c r="C5312" s="11"/>
      <c r="D5312" s="11"/>
      <c r="E5312" s="11"/>
      <c r="F5312" s="11"/>
      <c r="G5312" s="11"/>
      <c r="H5312" s="11"/>
      <c r="I5312" s="11"/>
    </row>
    <row r="5313" spans="2:9" x14ac:dyDescent="0.2">
      <c r="B5313" s="11"/>
      <c r="C5313" s="11"/>
      <c r="D5313" s="11"/>
      <c r="E5313" s="11"/>
      <c r="F5313" s="11"/>
      <c r="G5313" s="11"/>
      <c r="H5313" s="11"/>
      <c r="I5313" s="11"/>
    </row>
    <row r="5314" spans="2:9" x14ac:dyDescent="0.2">
      <c r="B5314" s="11"/>
      <c r="C5314" s="11"/>
      <c r="D5314" s="11"/>
      <c r="E5314" s="11"/>
      <c r="F5314" s="11"/>
      <c r="G5314" s="11"/>
      <c r="H5314" s="11"/>
      <c r="I5314" s="11"/>
    </row>
    <row r="5315" spans="2:9" x14ac:dyDescent="0.2">
      <c r="B5315" s="11"/>
      <c r="C5315" s="11"/>
      <c r="D5315" s="11"/>
      <c r="E5315" s="11"/>
      <c r="F5315" s="11"/>
      <c r="G5315" s="11"/>
      <c r="H5315" s="11"/>
      <c r="I5315" s="11"/>
    </row>
    <row r="5316" spans="2:9" x14ac:dyDescent="0.2">
      <c r="B5316" s="11"/>
      <c r="C5316" s="11"/>
      <c r="D5316" s="11"/>
      <c r="E5316" s="11"/>
      <c r="F5316" s="11"/>
      <c r="G5316" s="11"/>
      <c r="H5316" s="11"/>
      <c r="I5316" s="11"/>
    </row>
    <row r="5317" spans="2:9" x14ac:dyDescent="0.2">
      <c r="B5317" s="11"/>
      <c r="C5317" s="11"/>
      <c r="D5317" s="11"/>
      <c r="E5317" s="11"/>
      <c r="F5317" s="11"/>
      <c r="G5317" s="11"/>
      <c r="H5317" s="11"/>
      <c r="I5317" s="11"/>
    </row>
    <row r="5318" spans="2:9" x14ac:dyDescent="0.2">
      <c r="B5318" s="11"/>
      <c r="C5318" s="11"/>
      <c r="D5318" s="11"/>
      <c r="E5318" s="11"/>
      <c r="F5318" s="11"/>
      <c r="G5318" s="11"/>
      <c r="H5318" s="11"/>
      <c r="I5318" s="11"/>
    </row>
    <row r="5319" spans="2:9" x14ac:dyDescent="0.2">
      <c r="B5319" s="11"/>
      <c r="C5319" s="11"/>
      <c r="D5319" s="11"/>
      <c r="E5319" s="11"/>
      <c r="F5319" s="11"/>
      <c r="G5319" s="11"/>
      <c r="H5319" s="11"/>
      <c r="I5319" s="11"/>
    </row>
    <row r="5320" spans="2:9" x14ac:dyDescent="0.2">
      <c r="B5320" s="11"/>
      <c r="C5320" s="11"/>
      <c r="D5320" s="11"/>
      <c r="E5320" s="11"/>
      <c r="F5320" s="11"/>
      <c r="G5320" s="11"/>
      <c r="H5320" s="11"/>
      <c r="I5320" s="11"/>
    </row>
    <row r="5321" spans="2:9" x14ac:dyDescent="0.2">
      <c r="B5321" s="11"/>
      <c r="C5321" s="11"/>
      <c r="D5321" s="11"/>
      <c r="E5321" s="11"/>
      <c r="F5321" s="11"/>
      <c r="G5321" s="11"/>
      <c r="H5321" s="11"/>
      <c r="I5321" s="11"/>
    </row>
    <row r="5322" spans="2:9" x14ac:dyDescent="0.2">
      <c r="B5322" s="11"/>
      <c r="C5322" s="11"/>
      <c r="D5322" s="11"/>
      <c r="E5322" s="11"/>
      <c r="F5322" s="11"/>
      <c r="G5322" s="11"/>
      <c r="H5322" s="11"/>
      <c r="I5322" s="11"/>
    </row>
    <row r="5323" spans="2:9" x14ac:dyDescent="0.2">
      <c r="B5323" s="11"/>
      <c r="C5323" s="11"/>
      <c r="D5323" s="11"/>
      <c r="E5323" s="11"/>
      <c r="F5323" s="11"/>
      <c r="G5323" s="11"/>
      <c r="H5323" s="11"/>
      <c r="I5323" s="11"/>
    </row>
    <row r="5324" spans="2:9" x14ac:dyDescent="0.2">
      <c r="B5324" s="11"/>
      <c r="C5324" s="11"/>
      <c r="D5324" s="11"/>
      <c r="E5324" s="11"/>
      <c r="F5324" s="11"/>
      <c r="G5324" s="11"/>
      <c r="H5324" s="11"/>
      <c r="I5324" s="11"/>
    </row>
    <row r="5325" spans="2:9" x14ac:dyDescent="0.2">
      <c r="B5325" s="11"/>
      <c r="C5325" s="11"/>
      <c r="D5325" s="11"/>
      <c r="E5325" s="11"/>
      <c r="F5325" s="11"/>
      <c r="G5325" s="11"/>
      <c r="H5325" s="11"/>
      <c r="I5325" s="11"/>
    </row>
    <row r="5326" spans="2:9" x14ac:dyDescent="0.2">
      <c r="B5326" s="11"/>
      <c r="C5326" s="11"/>
      <c r="D5326" s="11"/>
      <c r="E5326" s="11"/>
      <c r="F5326" s="11"/>
      <c r="G5326" s="11"/>
      <c r="H5326" s="11"/>
      <c r="I5326" s="11"/>
    </row>
    <row r="5327" spans="2:9" x14ac:dyDescent="0.2">
      <c r="B5327" s="11"/>
      <c r="C5327" s="11"/>
      <c r="D5327" s="11"/>
      <c r="E5327" s="11"/>
      <c r="F5327" s="11"/>
      <c r="G5327" s="11"/>
      <c r="H5327" s="11"/>
      <c r="I5327" s="11"/>
    </row>
    <row r="5328" spans="2:9" x14ac:dyDescent="0.2">
      <c r="B5328" s="11"/>
      <c r="C5328" s="11"/>
      <c r="D5328" s="11"/>
      <c r="E5328" s="11"/>
      <c r="F5328" s="11"/>
      <c r="G5328" s="11"/>
      <c r="H5328" s="11"/>
      <c r="I5328" s="11"/>
    </row>
    <row r="5329" spans="2:9" x14ac:dyDescent="0.2">
      <c r="B5329" s="11"/>
      <c r="C5329" s="11"/>
      <c r="D5329" s="11"/>
      <c r="E5329" s="11"/>
      <c r="F5329" s="11"/>
      <c r="G5329" s="11"/>
      <c r="H5329" s="11"/>
      <c r="I5329" s="11"/>
    </row>
    <row r="5330" spans="2:9" x14ac:dyDescent="0.2">
      <c r="B5330" s="11"/>
      <c r="C5330" s="11"/>
      <c r="D5330" s="11"/>
      <c r="E5330" s="11"/>
      <c r="F5330" s="11"/>
      <c r="G5330" s="11"/>
      <c r="H5330" s="11"/>
      <c r="I5330" s="11"/>
    </row>
    <row r="5331" spans="2:9" x14ac:dyDescent="0.2">
      <c r="B5331" s="11"/>
      <c r="C5331" s="11"/>
      <c r="D5331" s="11"/>
      <c r="E5331" s="11"/>
      <c r="F5331" s="11"/>
      <c r="G5331" s="11"/>
      <c r="H5331" s="11"/>
      <c r="I5331" s="11"/>
    </row>
    <row r="5332" spans="2:9" x14ac:dyDescent="0.2">
      <c r="B5332" s="11"/>
      <c r="C5332" s="11"/>
      <c r="D5332" s="11"/>
      <c r="E5332" s="11"/>
      <c r="F5332" s="11"/>
      <c r="G5332" s="11"/>
      <c r="H5332" s="11"/>
      <c r="I5332" s="11"/>
    </row>
    <row r="5333" spans="2:9" x14ac:dyDescent="0.2">
      <c r="B5333" s="11"/>
      <c r="C5333" s="11"/>
      <c r="D5333" s="11"/>
      <c r="E5333" s="11"/>
      <c r="F5333" s="11"/>
      <c r="G5333" s="11"/>
      <c r="H5333" s="11"/>
      <c r="I5333" s="11"/>
    </row>
    <row r="5334" spans="2:9" x14ac:dyDescent="0.2">
      <c r="B5334" s="11"/>
      <c r="C5334" s="11"/>
      <c r="D5334" s="11"/>
      <c r="E5334" s="11"/>
      <c r="F5334" s="11"/>
      <c r="G5334" s="11"/>
      <c r="H5334" s="11"/>
      <c r="I5334" s="11"/>
    </row>
    <row r="5335" spans="2:9" x14ac:dyDescent="0.2">
      <c r="B5335" s="11"/>
      <c r="C5335" s="11"/>
      <c r="D5335" s="11"/>
      <c r="E5335" s="11"/>
      <c r="F5335" s="11"/>
      <c r="G5335" s="11"/>
      <c r="H5335" s="11"/>
      <c r="I5335" s="11"/>
    </row>
    <row r="5336" spans="2:9" x14ac:dyDescent="0.2">
      <c r="B5336" s="11"/>
      <c r="C5336" s="11"/>
      <c r="D5336" s="11"/>
      <c r="E5336" s="11"/>
      <c r="F5336" s="11"/>
      <c r="G5336" s="11"/>
      <c r="H5336" s="11"/>
      <c r="I5336" s="11"/>
    </row>
    <row r="5337" spans="2:9" x14ac:dyDescent="0.2">
      <c r="B5337" s="11"/>
      <c r="C5337" s="11"/>
      <c r="D5337" s="11"/>
      <c r="E5337" s="11"/>
      <c r="F5337" s="11"/>
      <c r="G5337" s="11"/>
      <c r="H5337" s="11"/>
      <c r="I5337" s="11"/>
    </row>
    <row r="5338" spans="2:9" x14ac:dyDescent="0.2">
      <c r="B5338" s="11"/>
      <c r="C5338" s="11"/>
      <c r="D5338" s="11"/>
      <c r="E5338" s="11"/>
      <c r="F5338" s="11"/>
      <c r="G5338" s="11"/>
      <c r="H5338" s="11"/>
      <c r="I5338" s="11"/>
    </row>
    <row r="5339" spans="2:9" x14ac:dyDescent="0.2">
      <c r="B5339" s="11"/>
      <c r="C5339" s="11"/>
      <c r="D5339" s="11"/>
      <c r="E5339" s="11"/>
      <c r="F5339" s="11"/>
      <c r="G5339" s="11"/>
      <c r="H5339" s="11"/>
      <c r="I5339" s="11"/>
    </row>
    <row r="5340" spans="2:9" x14ac:dyDescent="0.2">
      <c r="B5340" s="11"/>
      <c r="C5340" s="11"/>
      <c r="D5340" s="11"/>
      <c r="E5340" s="11"/>
      <c r="F5340" s="11"/>
      <c r="G5340" s="11"/>
      <c r="H5340" s="11"/>
      <c r="I5340" s="11"/>
    </row>
    <row r="5341" spans="2:9" x14ac:dyDescent="0.2">
      <c r="B5341" s="11"/>
      <c r="C5341" s="11"/>
      <c r="D5341" s="11"/>
      <c r="E5341" s="11"/>
      <c r="F5341" s="11"/>
      <c r="G5341" s="11"/>
      <c r="H5341" s="11"/>
      <c r="I5341" s="11"/>
    </row>
    <row r="5342" spans="2:9" x14ac:dyDescent="0.2">
      <c r="B5342" s="11"/>
      <c r="C5342" s="11"/>
      <c r="D5342" s="11"/>
      <c r="E5342" s="11"/>
      <c r="F5342" s="11"/>
      <c r="G5342" s="11"/>
      <c r="H5342" s="11"/>
      <c r="I5342" s="11"/>
    </row>
    <row r="5343" spans="2:9" x14ac:dyDescent="0.2">
      <c r="B5343" s="11"/>
      <c r="C5343" s="11"/>
      <c r="D5343" s="11"/>
      <c r="E5343" s="11"/>
      <c r="F5343" s="11"/>
      <c r="G5343" s="11"/>
      <c r="H5343" s="11"/>
      <c r="I5343" s="11"/>
    </row>
    <row r="5344" spans="2:9" x14ac:dyDescent="0.2">
      <c r="B5344" s="11"/>
      <c r="C5344" s="11"/>
      <c r="D5344" s="11"/>
      <c r="E5344" s="11"/>
      <c r="F5344" s="11"/>
      <c r="G5344" s="11"/>
      <c r="H5344" s="11"/>
      <c r="I5344" s="11"/>
    </row>
    <row r="5345" spans="2:9" x14ac:dyDescent="0.2">
      <c r="B5345" s="11"/>
      <c r="C5345" s="11"/>
      <c r="D5345" s="11"/>
      <c r="E5345" s="11"/>
      <c r="F5345" s="11"/>
      <c r="G5345" s="11"/>
      <c r="H5345" s="11"/>
      <c r="I5345" s="11"/>
    </row>
    <row r="5346" spans="2:9" x14ac:dyDescent="0.2">
      <c r="B5346" s="11"/>
      <c r="C5346" s="11"/>
      <c r="D5346" s="11"/>
      <c r="E5346" s="11"/>
      <c r="F5346" s="11"/>
      <c r="G5346" s="11"/>
      <c r="H5346" s="11"/>
      <c r="I5346" s="11"/>
    </row>
    <row r="5347" spans="2:9" x14ac:dyDescent="0.2">
      <c r="B5347" s="11"/>
      <c r="C5347" s="11"/>
      <c r="D5347" s="11"/>
      <c r="E5347" s="11"/>
      <c r="F5347" s="11"/>
      <c r="G5347" s="11"/>
      <c r="H5347" s="11"/>
      <c r="I5347" s="11"/>
    </row>
    <row r="5348" spans="2:9" x14ac:dyDescent="0.2">
      <c r="B5348" s="11"/>
      <c r="C5348" s="11"/>
      <c r="D5348" s="11"/>
      <c r="E5348" s="11"/>
      <c r="F5348" s="11"/>
      <c r="G5348" s="11"/>
      <c r="H5348" s="11"/>
      <c r="I5348" s="11"/>
    </row>
    <row r="5349" spans="2:9" x14ac:dyDescent="0.2">
      <c r="B5349" s="11"/>
      <c r="C5349" s="11"/>
      <c r="D5349" s="11"/>
      <c r="E5349" s="11"/>
      <c r="F5349" s="11"/>
      <c r="G5349" s="11"/>
      <c r="H5349" s="11"/>
      <c r="I5349" s="11"/>
    </row>
    <row r="5350" spans="2:9" x14ac:dyDescent="0.2">
      <c r="B5350" s="11"/>
      <c r="C5350" s="11"/>
      <c r="D5350" s="11"/>
      <c r="E5350" s="11"/>
      <c r="F5350" s="11"/>
      <c r="G5350" s="11"/>
      <c r="H5350" s="11"/>
      <c r="I5350" s="11"/>
    </row>
    <row r="5351" spans="2:9" x14ac:dyDescent="0.2">
      <c r="B5351" s="11"/>
      <c r="C5351" s="11"/>
      <c r="D5351" s="11"/>
      <c r="E5351" s="11"/>
      <c r="F5351" s="11"/>
      <c r="G5351" s="11"/>
      <c r="H5351" s="11"/>
      <c r="I5351" s="11"/>
    </row>
    <row r="5352" spans="2:9" x14ac:dyDescent="0.2">
      <c r="B5352" s="11"/>
      <c r="C5352" s="11"/>
      <c r="D5352" s="11"/>
      <c r="E5352" s="11"/>
      <c r="F5352" s="11"/>
      <c r="G5352" s="11"/>
      <c r="H5352" s="11"/>
      <c r="I5352" s="11"/>
    </row>
    <row r="5353" spans="2:9" x14ac:dyDescent="0.2">
      <c r="B5353" s="11"/>
      <c r="C5353" s="11"/>
      <c r="D5353" s="11"/>
      <c r="E5353" s="11"/>
      <c r="F5353" s="11"/>
      <c r="G5353" s="11"/>
      <c r="H5353" s="11"/>
      <c r="I5353" s="11"/>
    </row>
    <row r="5354" spans="2:9" x14ac:dyDescent="0.2">
      <c r="B5354" s="11"/>
      <c r="C5354" s="11"/>
      <c r="D5354" s="11"/>
      <c r="E5354" s="11"/>
      <c r="F5354" s="11"/>
      <c r="G5354" s="11"/>
      <c r="H5354" s="11"/>
      <c r="I5354" s="11"/>
    </row>
    <row r="5355" spans="2:9" x14ac:dyDescent="0.2">
      <c r="B5355" s="11"/>
      <c r="C5355" s="11"/>
      <c r="D5355" s="11"/>
      <c r="E5355" s="11"/>
      <c r="F5355" s="11"/>
      <c r="G5355" s="11"/>
      <c r="H5355" s="11"/>
      <c r="I5355" s="11"/>
    </row>
    <row r="5356" spans="2:9" x14ac:dyDescent="0.2">
      <c r="B5356" s="11"/>
      <c r="C5356" s="11"/>
      <c r="D5356" s="11"/>
      <c r="E5356" s="11"/>
      <c r="F5356" s="11"/>
      <c r="G5356" s="11"/>
      <c r="H5356" s="11"/>
      <c r="I5356" s="11"/>
    </row>
    <row r="5357" spans="2:9" x14ac:dyDescent="0.2">
      <c r="B5357" s="11"/>
      <c r="C5357" s="11"/>
      <c r="D5357" s="11"/>
      <c r="E5357" s="11"/>
      <c r="F5357" s="11"/>
      <c r="G5357" s="11"/>
      <c r="H5357" s="11"/>
      <c r="I5357" s="11"/>
    </row>
    <row r="5358" spans="2:9" x14ac:dyDescent="0.2">
      <c r="B5358" s="11"/>
      <c r="C5358" s="11"/>
      <c r="D5358" s="11"/>
      <c r="E5358" s="11"/>
      <c r="F5358" s="11"/>
      <c r="G5358" s="11"/>
      <c r="H5358" s="11"/>
      <c r="I5358" s="11"/>
    </row>
    <row r="5359" spans="2:9" x14ac:dyDescent="0.2">
      <c r="B5359" s="11"/>
      <c r="C5359" s="11"/>
      <c r="D5359" s="11"/>
      <c r="E5359" s="11"/>
      <c r="F5359" s="11"/>
      <c r="G5359" s="11"/>
      <c r="H5359" s="11"/>
      <c r="I5359" s="11"/>
    </row>
    <row r="5360" spans="2:9" x14ac:dyDescent="0.2">
      <c r="B5360" s="11"/>
      <c r="C5360" s="11"/>
      <c r="D5360" s="11"/>
      <c r="E5360" s="11"/>
      <c r="F5360" s="11"/>
      <c r="G5360" s="11"/>
      <c r="H5360" s="11"/>
      <c r="I5360" s="11"/>
    </row>
    <row r="5361" spans="2:9" x14ac:dyDescent="0.2">
      <c r="B5361" s="11"/>
      <c r="C5361" s="11"/>
      <c r="D5361" s="11"/>
      <c r="E5361" s="11"/>
      <c r="F5361" s="11"/>
      <c r="G5361" s="11"/>
      <c r="H5361" s="11"/>
      <c r="I5361" s="11"/>
    </row>
    <row r="5362" spans="2:9" x14ac:dyDescent="0.2">
      <c r="B5362" s="11"/>
      <c r="C5362" s="11"/>
      <c r="D5362" s="11"/>
      <c r="E5362" s="11"/>
      <c r="F5362" s="11"/>
      <c r="G5362" s="11"/>
      <c r="H5362" s="11"/>
      <c r="I5362" s="11"/>
    </row>
    <row r="5363" spans="2:9" x14ac:dyDescent="0.2">
      <c r="B5363" s="11"/>
      <c r="C5363" s="11"/>
      <c r="D5363" s="11"/>
      <c r="E5363" s="11"/>
      <c r="F5363" s="11"/>
      <c r="G5363" s="11"/>
      <c r="H5363" s="11"/>
      <c r="I5363" s="11"/>
    </row>
    <row r="5364" spans="2:9" x14ac:dyDescent="0.2">
      <c r="B5364" s="11"/>
      <c r="C5364" s="11"/>
      <c r="D5364" s="11"/>
      <c r="E5364" s="11"/>
      <c r="F5364" s="11"/>
      <c r="G5364" s="11"/>
      <c r="H5364" s="11"/>
      <c r="I5364" s="11"/>
    </row>
    <row r="5365" spans="2:9" x14ac:dyDescent="0.2">
      <c r="B5365" s="11"/>
      <c r="C5365" s="11"/>
      <c r="D5365" s="11"/>
      <c r="E5365" s="11"/>
      <c r="F5365" s="11"/>
      <c r="G5365" s="11"/>
      <c r="H5365" s="11"/>
      <c r="I5365" s="11"/>
    </row>
    <row r="5366" spans="2:9" x14ac:dyDescent="0.2">
      <c r="B5366" s="11"/>
      <c r="C5366" s="11"/>
      <c r="D5366" s="11"/>
      <c r="E5366" s="11"/>
      <c r="F5366" s="11"/>
      <c r="G5366" s="11"/>
      <c r="H5366" s="11"/>
      <c r="I5366" s="11"/>
    </row>
    <row r="5367" spans="2:9" x14ac:dyDescent="0.2">
      <c r="B5367" s="11"/>
      <c r="C5367" s="11"/>
      <c r="D5367" s="11"/>
      <c r="E5367" s="11"/>
      <c r="F5367" s="11"/>
      <c r="G5367" s="11"/>
      <c r="H5367" s="11"/>
      <c r="I5367" s="11"/>
    </row>
    <row r="5368" spans="2:9" x14ac:dyDescent="0.2">
      <c r="B5368" s="11"/>
      <c r="C5368" s="11"/>
      <c r="D5368" s="11"/>
      <c r="E5368" s="11"/>
      <c r="F5368" s="11"/>
      <c r="G5368" s="11"/>
      <c r="H5368" s="11"/>
      <c r="I5368" s="11"/>
    </row>
    <row r="5369" spans="2:9" x14ac:dyDescent="0.2">
      <c r="B5369" s="11"/>
      <c r="C5369" s="11"/>
      <c r="D5369" s="11"/>
      <c r="E5369" s="11"/>
      <c r="F5369" s="11"/>
      <c r="G5369" s="11"/>
      <c r="H5369" s="11"/>
      <c r="I5369" s="11"/>
    </row>
    <row r="5370" spans="2:9" x14ac:dyDescent="0.2">
      <c r="B5370" s="11"/>
      <c r="C5370" s="11"/>
      <c r="D5370" s="11"/>
      <c r="E5370" s="11"/>
      <c r="F5370" s="11"/>
      <c r="G5370" s="11"/>
      <c r="H5370" s="11"/>
      <c r="I5370" s="11"/>
    </row>
    <row r="5371" spans="2:9" x14ac:dyDescent="0.2">
      <c r="B5371" s="11"/>
      <c r="C5371" s="11"/>
      <c r="D5371" s="11"/>
      <c r="E5371" s="11"/>
      <c r="F5371" s="11"/>
      <c r="G5371" s="11"/>
      <c r="H5371" s="11"/>
      <c r="I5371" s="11"/>
    </row>
    <row r="5372" spans="2:9" x14ac:dyDescent="0.2">
      <c r="B5372" s="11"/>
      <c r="C5372" s="11"/>
      <c r="D5372" s="11"/>
      <c r="E5372" s="11"/>
      <c r="F5372" s="11"/>
      <c r="G5372" s="11"/>
      <c r="H5372" s="11"/>
      <c r="I5372" s="11"/>
    </row>
    <row r="5373" spans="2:9" x14ac:dyDescent="0.2">
      <c r="B5373" s="11"/>
      <c r="C5373" s="11"/>
      <c r="D5373" s="11"/>
      <c r="E5373" s="11"/>
      <c r="F5373" s="11"/>
      <c r="G5373" s="11"/>
      <c r="H5373" s="11"/>
      <c r="I5373" s="11"/>
    </row>
    <row r="5374" spans="2:9" x14ac:dyDescent="0.2">
      <c r="B5374" s="11"/>
      <c r="C5374" s="11"/>
      <c r="D5374" s="11"/>
      <c r="E5374" s="11"/>
      <c r="F5374" s="11"/>
      <c r="G5374" s="11"/>
      <c r="H5374" s="11"/>
      <c r="I5374" s="11"/>
    </row>
    <row r="5375" spans="2:9" x14ac:dyDescent="0.2">
      <c r="B5375" s="11"/>
      <c r="C5375" s="11"/>
      <c r="D5375" s="11"/>
      <c r="E5375" s="11"/>
      <c r="F5375" s="11"/>
      <c r="G5375" s="11"/>
      <c r="H5375" s="11"/>
      <c r="I5375" s="11"/>
    </row>
    <row r="5376" spans="2:9" x14ac:dyDescent="0.2">
      <c r="B5376" s="11"/>
      <c r="C5376" s="11"/>
      <c r="D5376" s="11"/>
      <c r="E5376" s="11"/>
      <c r="F5376" s="11"/>
      <c r="G5376" s="11"/>
      <c r="H5376" s="11"/>
      <c r="I5376" s="11"/>
    </row>
    <row r="5377" spans="2:9" x14ac:dyDescent="0.2">
      <c r="B5377" s="11"/>
      <c r="C5377" s="11"/>
      <c r="D5377" s="11"/>
      <c r="E5377" s="11"/>
      <c r="F5377" s="11"/>
      <c r="G5377" s="11"/>
      <c r="H5377" s="11"/>
      <c r="I5377" s="11"/>
    </row>
    <row r="5378" spans="2:9" x14ac:dyDescent="0.2">
      <c r="B5378" s="11"/>
      <c r="C5378" s="11"/>
      <c r="D5378" s="11"/>
      <c r="E5378" s="11"/>
      <c r="F5378" s="11"/>
      <c r="G5378" s="11"/>
      <c r="H5378" s="11"/>
      <c r="I5378" s="11"/>
    </row>
    <row r="5379" spans="2:9" x14ac:dyDescent="0.2">
      <c r="B5379" s="11"/>
      <c r="C5379" s="11"/>
      <c r="D5379" s="11"/>
      <c r="E5379" s="11"/>
      <c r="F5379" s="11"/>
      <c r="G5379" s="11"/>
      <c r="H5379" s="11"/>
      <c r="I5379" s="11"/>
    </row>
    <row r="5380" spans="2:9" x14ac:dyDescent="0.2">
      <c r="B5380" s="11"/>
      <c r="C5380" s="11"/>
      <c r="D5380" s="11"/>
      <c r="E5380" s="11"/>
      <c r="F5380" s="11"/>
      <c r="G5380" s="11"/>
      <c r="H5380" s="11"/>
      <c r="I5380" s="11"/>
    </row>
    <row r="5381" spans="2:9" x14ac:dyDescent="0.2">
      <c r="B5381" s="11"/>
      <c r="C5381" s="11"/>
      <c r="D5381" s="11"/>
      <c r="E5381" s="11"/>
      <c r="F5381" s="11"/>
      <c r="G5381" s="11"/>
      <c r="H5381" s="11"/>
      <c r="I5381" s="11"/>
    </row>
    <row r="5382" spans="2:9" x14ac:dyDescent="0.2">
      <c r="B5382" s="11"/>
      <c r="C5382" s="11"/>
      <c r="D5382" s="11"/>
      <c r="E5382" s="11"/>
      <c r="F5382" s="11"/>
      <c r="G5382" s="11"/>
      <c r="H5382" s="11"/>
      <c r="I5382" s="11"/>
    </row>
    <row r="5383" spans="2:9" x14ac:dyDescent="0.2">
      <c r="B5383" s="11"/>
      <c r="C5383" s="11"/>
      <c r="D5383" s="11"/>
      <c r="E5383" s="11"/>
      <c r="F5383" s="11"/>
      <c r="G5383" s="11"/>
      <c r="H5383" s="11"/>
      <c r="I5383" s="11"/>
    </row>
    <row r="5384" spans="2:9" x14ac:dyDescent="0.2">
      <c r="B5384" s="11"/>
      <c r="C5384" s="11"/>
      <c r="D5384" s="11"/>
      <c r="E5384" s="11"/>
      <c r="F5384" s="11"/>
      <c r="G5384" s="11"/>
      <c r="H5384" s="11"/>
      <c r="I5384" s="11"/>
    </row>
    <row r="5385" spans="2:9" x14ac:dyDescent="0.2">
      <c r="B5385" s="11"/>
      <c r="C5385" s="11"/>
      <c r="D5385" s="11"/>
      <c r="E5385" s="11"/>
      <c r="F5385" s="11"/>
      <c r="G5385" s="11"/>
      <c r="H5385" s="11"/>
      <c r="I5385" s="11"/>
    </row>
    <row r="5386" spans="2:9" x14ac:dyDescent="0.2">
      <c r="B5386" s="11"/>
      <c r="C5386" s="11"/>
      <c r="D5386" s="11"/>
      <c r="E5386" s="11"/>
      <c r="F5386" s="11"/>
      <c r="G5386" s="11"/>
      <c r="H5386" s="11"/>
      <c r="I5386" s="11"/>
    </row>
    <row r="5387" spans="2:9" x14ac:dyDescent="0.2">
      <c r="B5387" s="11"/>
      <c r="C5387" s="11"/>
      <c r="D5387" s="11"/>
      <c r="E5387" s="11"/>
      <c r="F5387" s="11"/>
      <c r="G5387" s="11"/>
      <c r="H5387" s="11"/>
      <c r="I5387" s="11"/>
    </row>
    <row r="5388" spans="2:9" x14ac:dyDescent="0.2">
      <c r="B5388" s="11"/>
      <c r="C5388" s="11"/>
      <c r="D5388" s="11"/>
      <c r="E5388" s="11"/>
      <c r="F5388" s="11"/>
      <c r="G5388" s="11"/>
      <c r="H5388" s="11"/>
      <c r="I5388" s="11"/>
    </row>
    <row r="5389" spans="2:9" x14ac:dyDescent="0.2">
      <c r="B5389" s="11"/>
      <c r="C5389" s="11"/>
      <c r="D5389" s="11"/>
      <c r="E5389" s="11"/>
      <c r="F5389" s="11"/>
      <c r="G5389" s="11"/>
      <c r="H5389" s="11"/>
      <c r="I5389" s="11"/>
    </row>
    <row r="5390" spans="2:9" x14ac:dyDescent="0.2">
      <c r="B5390" s="11"/>
      <c r="C5390" s="11"/>
      <c r="D5390" s="11"/>
      <c r="E5390" s="11"/>
      <c r="F5390" s="11"/>
      <c r="G5390" s="11"/>
      <c r="H5390" s="11"/>
      <c r="I5390" s="11"/>
    </row>
    <row r="5391" spans="2:9" x14ac:dyDescent="0.2">
      <c r="B5391" s="11"/>
      <c r="C5391" s="11"/>
      <c r="D5391" s="11"/>
      <c r="E5391" s="11"/>
      <c r="F5391" s="11"/>
      <c r="G5391" s="11"/>
      <c r="H5391" s="11"/>
      <c r="I5391" s="11"/>
    </row>
    <row r="5392" spans="2:9" x14ac:dyDescent="0.2">
      <c r="B5392" s="11"/>
      <c r="C5392" s="11"/>
      <c r="D5392" s="11"/>
      <c r="E5392" s="11"/>
      <c r="F5392" s="11"/>
      <c r="G5392" s="11"/>
      <c r="H5392" s="11"/>
      <c r="I5392" s="11"/>
    </row>
    <row r="5393" spans="2:9" x14ac:dyDescent="0.2">
      <c r="B5393" s="11"/>
      <c r="C5393" s="11"/>
      <c r="D5393" s="11"/>
      <c r="E5393" s="11"/>
      <c r="F5393" s="11"/>
      <c r="G5393" s="11"/>
      <c r="H5393" s="11"/>
      <c r="I5393" s="11"/>
    </row>
    <row r="5394" spans="2:9" x14ac:dyDescent="0.2">
      <c r="B5394" s="11"/>
      <c r="C5394" s="11"/>
      <c r="D5394" s="11"/>
      <c r="E5394" s="11"/>
      <c r="F5394" s="11"/>
      <c r="G5394" s="11"/>
      <c r="H5394" s="11"/>
      <c r="I5394" s="11"/>
    </row>
    <row r="5395" spans="2:9" x14ac:dyDescent="0.2">
      <c r="B5395" s="11"/>
      <c r="C5395" s="11"/>
      <c r="D5395" s="11"/>
      <c r="E5395" s="11"/>
      <c r="F5395" s="11"/>
      <c r="G5395" s="11"/>
      <c r="H5395" s="11"/>
      <c r="I5395" s="11"/>
    </row>
    <row r="5396" spans="2:9" x14ac:dyDescent="0.2">
      <c r="B5396" s="11"/>
      <c r="C5396" s="11"/>
      <c r="D5396" s="11"/>
      <c r="E5396" s="11"/>
      <c r="F5396" s="11"/>
      <c r="G5396" s="11"/>
      <c r="H5396" s="11"/>
      <c r="I5396" s="11"/>
    </row>
    <row r="5397" spans="2:9" x14ac:dyDescent="0.2">
      <c r="B5397" s="11"/>
      <c r="C5397" s="11"/>
      <c r="D5397" s="11"/>
      <c r="E5397" s="11"/>
      <c r="F5397" s="11"/>
      <c r="G5397" s="11"/>
      <c r="H5397" s="11"/>
      <c r="I5397" s="11"/>
    </row>
    <row r="5398" spans="2:9" x14ac:dyDescent="0.2">
      <c r="B5398" s="11"/>
      <c r="C5398" s="11"/>
      <c r="D5398" s="11"/>
      <c r="E5398" s="11"/>
      <c r="F5398" s="11"/>
      <c r="G5398" s="11"/>
      <c r="H5398" s="11"/>
      <c r="I5398" s="11"/>
    </row>
    <row r="5399" spans="2:9" x14ac:dyDescent="0.2">
      <c r="B5399" s="11"/>
      <c r="C5399" s="11"/>
      <c r="D5399" s="11"/>
      <c r="E5399" s="11"/>
      <c r="F5399" s="11"/>
      <c r="G5399" s="11"/>
      <c r="H5399" s="11"/>
      <c r="I5399" s="11"/>
    </row>
    <row r="5400" spans="2:9" x14ac:dyDescent="0.2">
      <c r="B5400" s="11"/>
      <c r="C5400" s="11"/>
      <c r="D5400" s="11"/>
      <c r="E5400" s="11"/>
      <c r="F5400" s="11"/>
      <c r="G5400" s="11"/>
      <c r="H5400" s="11"/>
      <c r="I5400" s="11"/>
    </row>
    <row r="5401" spans="2:9" x14ac:dyDescent="0.2">
      <c r="B5401" s="11"/>
      <c r="C5401" s="11"/>
      <c r="D5401" s="11"/>
      <c r="E5401" s="11"/>
      <c r="F5401" s="11"/>
      <c r="G5401" s="11"/>
      <c r="H5401" s="11"/>
      <c r="I5401" s="11"/>
    </row>
    <row r="5402" spans="2:9" x14ac:dyDescent="0.2">
      <c r="B5402" s="11"/>
      <c r="C5402" s="11"/>
      <c r="D5402" s="11"/>
      <c r="E5402" s="11"/>
      <c r="F5402" s="11"/>
      <c r="G5402" s="11"/>
      <c r="H5402" s="11"/>
      <c r="I5402" s="11"/>
    </row>
    <row r="5403" spans="2:9" x14ac:dyDescent="0.2">
      <c r="B5403" s="11"/>
      <c r="C5403" s="11"/>
      <c r="D5403" s="11"/>
      <c r="E5403" s="11"/>
      <c r="F5403" s="11"/>
      <c r="G5403" s="11"/>
      <c r="H5403" s="11"/>
      <c r="I5403" s="11"/>
    </row>
    <row r="5404" spans="2:9" x14ac:dyDescent="0.2">
      <c r="B5404" s="11"/>
      <c r="C5404" s="11"/>
      <c r="D5404" s="11"/>
      <c r="E5404" s="11"/>
      <c r="F5404" s="11"/>
      <c r="G5404" s="11"/>
      <c r="H5404" s="11"/>
      <c r="I5404" s="11"/>
    </row>
    <row r="5405" spans="2:9" x14ac:dyDescent="0.2">
      <c r="B5405" s="11"/>
      <c r="C5405" s="11"/>
      <c r="D5405" s="11"/>
      <c r="E5405" s="11"/>
      <c r="F5405" s="11"/>
      <c r="G5405" s="11"/>
      <c r="H5405" s="11"/>
      <c r="I5405" s="11"/>
    </row>
    <row r="5406" spans="2:9" x14ac:dyDescent="0.2">
      <c r="B5406" s="11"/>
      <c r="C5406" s="11"/>
      <c r="D5406" s="11"/>
      <c r="E5406" s="11"/>
      <c r="F5406" s="11"/>
      <c r="G5406" s="11"/>
      <c r="H5406" s="11"/>
      <c r="I5406" s="11"/>
    </row>
    <row r="5407" spans="2:9" x14ac:dyDescent="0.2">
      <c r="B5407" s="11"/>
      <c r="C5407" s="11"/>
      <c r="D5407" s="11"/>
      <c r="E5407" s="11"/>
      <c r="F5407" s="11"/>
      <c r="G5407" s="11"/>
      <c r="H5407" s="11"/>
      <c r="I5407" s="11"/>
    </row>
    <row r="5408" spans="2:9" x14ac:dyDescent="0.2">
      <c r="B5408" s="11"/>
      <c r="C5408" s="11"/>
      <c r="D5408" s="11"/>
      <c r="E5408" s="11"/>
      <c r="F5408" s="11"/>
      <c r="G5408" s="11"/>
      <c r="H5408" s="11"/>
      <c r="I5408" s="11"/>
    </row>
    <row r="5409" spans="2:9" x14ac:dyDescent="0.2">
      <c r="B5409" s="11"/>
      <c r="C5409" s="11"/>
      <c r="D5409" s="11"/>
      <c r="E5409" s="11"/>
      <c r="F5409" s="11"/>
      <c r="G5409" s="11"/>
      <c r="H5409" s="11"/>
      <c r="I5409" s="11"/>
    </row>
    <row r="5410" spans="2:9" x14ac:dyDescent="0.2">
      <c r="B5410" s="11"/>
      <c r="C5410" s="11"/>
      <c r="D5410" s="11"/>
      <c r="E5410" s="11"/>
      <c r="F5410" s="11"/>
      <c r="G5410" s="11"/>
      <c r="H5410" s="11"/>
      <c r="I5410" s="11"/>
    </row>
    <row r="5411" spans="2:9" x14ac:dyDescent="0.2">
      <c r="B5411" s="11"/>
      <c r="C5411" s="11"/>
      <c r="D5411" s="11"/>
      <c r="E5411" s="11"/>
      <c r="F5411" s="11"/>
      <c r="G5411" s="11"/>
      <c r="H5411" s="11"/>
      <c r="I5411" s="11"/>
    </row>
    <row r="5412" spans="2:9" x14ac:dyDescent="0.2">
      <c r="B5412" s="11"/>
      <c r="C5412" s="11"/>
      <c r="D5412" s="11"/>
      <c r="E5412" s="11"/>
      <c r="F5412" s="11"/>
      <c r="G5412" s="11"/>
      <c r="H5412" s="11"/>
      <c r="I5412" s="11"/>
    </row>
    <row r="5413" spans="2:9" x14ac:dyDescent="0.2">
      <c r="B5413" s="11"/>
      <c r="C5413" s="11"/>
      <c r="D5413" s="11"/>
      <c r="E5413" s="11"/>
      <c r="F5413" s="11"/>
      <c r="G5413" s="11"/>
      <c r="H5413" s="11"/>
      <c r="I5413" s="11"/>
    </row>
    <row r="5414" spans="2:9" x14ac:dyDescent="0.2">
      <c r="B5414" s="11"/>
      <c r="C5414" s="11"/>
      <c r="D5414" s="11"/>
      <c r="E5414" s="11"/>
      <c r="F5414" s="11"/>
      <c r="G5414" s="11"/>
      <c r="H5414" s="11"/>
      <c r="I5414" s="11"/>
    </row>
    <row r="5415" spans="2:9" x14ac:dyDescent="0.2">
      <c r="B5415" s="11"/>
      <c r="C5415" s="11"/>
      <c r="D5415" s="11"/>
      <c r="E5415" s="11"/>
      <c r="F5415" s="11"/>
      <c r="G5415" s="11"/>
      <c r="H5415" s="11"/>
      <c r="I5415" s="11"/>
    </row>
    <row r="5416" spans="2:9" x14ac:dyDescent="0.2">
      <c r="B5416" s="11"/>
      <c r="C5416" s="11"/>
      <c r="D5416" s="11"/>
      <c r="E5416" s="11"/>
      <c r="F5416" s="11"/>
      <c r="G5416" s="11"/>
      <c r="H5416" s="11"/>
      <c r="I5416" s="11"/>
    </row>
    <row r="5417" spans="2:9" x14ac:dyDescent="0.2">
      <c r="B5417" s="11"/>
      <c r="C5417" s="11"/>
      <c r="D5417" s="11"/>
      <c r="E5417" s="11"/>
      <c r="F5417" s="11"/>
      <c r="G5417" s="11"/>
      <c r="H5417" s="11"/>
      <c r="I5417" s="11"/>
    </row>
    <row r="5418" spans="2:9" x14ac:dyDescent="0.2">
      <c r="B5418" s="11"/>
      <c r="C5418" s="11"/>
      <c r="D5418" s="11"/>
      <c r="E5418" s="11"/>
      <c r="F5418" s="11"/>
      <c r="G5418" s="11"/>
      <c r="H5418" s="11"/>
      <c r="I5418" s="11"/>
    </row>
    <row r="5419" spans="2:9" x14ac:dyDescent="0.2">
      <c r="B5419" s="11"/>
      <c r="C5419" s="11"/>
      <c r="D5419" s="11"/>
      <c r="E5419" s="11"/>
      <c r="F5419" s="11"/>
      <c r="G5419" s="11"/>
      <c r="H5419" s="11"/>
      <c r="I5419" s="11"/>
    </row>
    <row r="5420" spans="2:9" x14ac:dyDescent="0.2">
      <c r="B5420" s="11"/>
      <c r="C5420" s="11"/>
      <c r="D5420" s="11"/>
      <c r="E5420" s="11"/>
      <c r="F5420" s="11"/>
      <c r="G5420" s="11"/>
      <c r="H5420" s="11"/>
      <c r="I5420" s="11"/>
    </row>
    <row r="5421" spans="2:9" x14ac:dyDescent="0.2">
      <c r="B5421" s="11"/>
      <c r="C5421" s="11"/>
      <c r="D5421" s="11"/>
      <c r="E5421" s="11"/>
      <c r="F5421" s="11"/>
      <c r="G5421" s="11"/>
      <c r="H5421" s="11"/>
      <c r="I5421" s="11"/>
    </row>
    <row r="5422" spans="2:9" x14ac:dyDescent="0.2">
      <c r="B5422" s="11"/>
      <c r="C5422" s="11"/>
      <c r="D5422" s="11"/>
      <c r="E5422" s="11"/>
      <c r="F5422" s="11"/>
      <c r="G5422" s="11"/>
      <c r="H5422" s="11"/>
      <c r="I5422" s="11"/>
    </row>
    <row r="5423" spans="2:9" x14ac:dyDescent="0.2">
      <c r="B5423" s="11"/>
      <c r="C5423" s="11"/>
      <c r="D5423" s="11"/>
      <c r="E5423" s="11"/>
      <c r="F5423" s="11"/>
      <c r="G5423" s="11"/>
      <c r="H5423" s="11"/>
      <c r="I5423" s="11"/>
    </row>
    <row r="5424" spans="2:9" x14ac:dyDescent="0.2">
      <c r="B5424" s="11"/>
      <c r="C5424" s="11"/>
      <c r="D5424" s="11"/>
      <c r="E5424" s="11"/>
      <c r="F5424" s="11"/>
      <c r="G5424" s="11"/>
      <c r="H5424" s="11"/>
      <c r="I5424" s="11"/>
    </row>
    <row r="5425" spans="2:9" x14ac:dyDescent="0.2">
      <c r="B5425" s="11"/>
      <c r="C5425" s="11"/>
      <c r="D5425" s="11"/>
      <c r="E5425" s="11"/>
      <c r="F5425" s="11"/>
      <c r="G5425" s="11"/>
      <c r="H5425" s="11"/>
      <c r="I5425" s="11"/>
    </row>
    <row r="5426" spans="2:9" x14ac:dyDescent="0.2">
      <c r="B5426" s="11"/>
      <c r="C5426" s="11"/>
      <c r="D5426" s="11"/>
      <c r="E5426" s="11"/>
      <c r="F5426" s="11"/>
      <c r="G5426" s="11"/>
      <c r="H5426" s="11"/>
      <c r="I5426" s="11"/>
    </row>
    <row r="5427" spans="2:9" x14ac:dyDescent="0.2">
      <c r="B5427" s="11"/>
      <c r="C5427" s="11"/>
      <c r="D5427" s="11"/>
      <c r="E5427" s="11"/>
      <c r="F5427" s="11"/>
      <c r="G5427" s="11"/>
      <c r="H5427" s="11"/>
      <c r="I5427" s="11"/>
    </row>
    <row r="5428" spans="2:9" x14ac:dyDescent="0.2">
      <c r="B5428" s="11"/>
      <c r="C5428" s="11"/>
      <c r="D5428" s="11"/>
      <c r="E5428" s="11"/>
      <c r="F5428" s="11"/>
      <c r="G5428" s="11"/>
      <c r="H5428" s="11"/>
      <c r="I5428" s="11"/>
    </row>
    <row r="5429" spans="2:9" x14ac:dyDescent="0.2">
      <c r="B5429" s="11"/>
      <c r="C5429" s="11"/>
      <c r="D5429" s="11"/>
      <c r="E5429" s="11"/>
      <c r="F5429" s="11"/>
      <c r="G5429" s="11"/>
      <c r="H5429" s="11"/>
      <c r="I5429" s="11"/>
    </row>
    <row r="5430" spans="2:9" x14ac:dyDescent="0.2">
      <c r="B5430" s="11"/>
      <c r="C5430" s="11"/>
      <c r="D5430" s="11"/>
      <c r="E5430" s="11"/>
      <c r="F5430" s="11"/>
      <c r="G5430" s="11"/>
      <c r="H5430" s="11"/>
      <c r="I5430" s="11"/>
    </row>
    <row r="5431" spans="2:9" x14ac:dyDescent="0.2">
      <c r="B5431" s="11"/>
      <c r="C5431" s="11"/>
      <c r="D5431" s="11"/>
      <c r="E5431" s="11"/>
      <c r="F5431" s="11"/>
      <c r="G5431" s="11"/>
      <c r="H5431" s="11"/>
      <c r="I5431" s="11"/>
    </row>
    <row r="5432" spans="2:9" x14ac:dyDescent="0.2">
      <c r="B5432" s="11"/>
      <c r="C5432" s="11"/>
      <c r="D5432" s="11"/>
      <c r="E5432" s="11"/>
      <c r="F5432" s="11"/>
      <c r="G5432" s="11"/>
      <c r="H5432" s="11"/>
      <c r="I5432" s="11"/>
    </row>
    <row r="5433" spans="2:9" x14ac:dyDescent="0.2">
      <c r="B5433" s="11"/>
      <c r="C5433" s="11"/>
      <c r="D5433" s="11"/>
      <c r="E5433" s="11"/>
      <c r="F5433" s="11"/>
      <c r="G5433" s="11"/>
      <c r="H5433" s="11"/>
      <c r="I5433" s="11"/>
    </row>
    <row r="5434" spans="2:9" x14ac:dyDescent="0.2">
      <c r="B5434" s="11"/>
      <c r="C5434" s="11"/>
      <c r="D5434" s="11"/>
      <c r="E5434" s="11"/>
      <c r="F5434" s="11"/>
      <c r="G5434" s="11"/>
      <c r="H5434" s="11"/>
      <c r="I5434" s="11"/>
    </row>
    <row r="5435" spans="2:9" x14ac:dyDescent="0.2">
      <c r="B5435" s="11"/>
      <c r="C5435" s="11"/>
      <c r="D5435" s="11"/>
      <c r="E5435" s="11"/>
      <c r="F5435" s="11"/>
      <c r="G5435" s="11"/>
      <c r="H5435" s="11"/>
      <c r="I5435" s="11"/>
    </row>
    <row r="5436" spans="2:9" x14ac:dyDescent="0.2">
      <c r="B5436" s="11"/>
      <c r="C5436" s="11"/>
      <c r="D5436" s="11"/>
      <c r="E5436" s="11"/>
      <c r="F5436" s="11"/>
      <c r="G5436" s="11"/>
      <c r="H5436" s="11"/>
      <c r="I5436" s="11"/>
    </row>
    <row r="5437" spans="2:9" x14ac:dyDescent="0.2">
      <c r="B5437" s="11"/>
      <c r="C5437" s="11"/>
      <c r="D5437" s="11"/>
      <c r="E5437" s="11"/>
      <c r="F5437" s="11"/>
      <c r="G5437" s="11"/>
      <c r="H5437" s="11"/>
      <c r="I5437" s="11"/>
    </row>
    <row r="5438" spans="2:9" x14ac:dyDescent="0.2">
      <c r="B5438" s="11"/>
      <c r="C5438" s="11"/>
      <c r="D5438" s="11"/>
      <c r="E5438" s="11"/>
      <c r="F5438" s="11"/>
      <c r="G5438" s="11"/>
      <c r="H5438" s="11"/>
      <c r="I5438" s="11"/>
    </row>
    <row r="5439" spans="2:9" x14ac:dyDescent="0.2">
      <c r="B5439" s="11"/>
      <c r="C5439" s="11"/>
      <c r="D5439" s="11"/>
      <c r="E5439" s="11"/>
      <c r="F5439" s="11"/>
      <c r="G5439" s="11"/>
      <c r="H5439" s="11"/>
      <c r="I5439" s="11"/>
    </row>
    <row r="5440" spans="2:9" x14ac:dyDescent="0.2">
      <c r="B5440" s="11"/>
      <c r="C5440" s="11"/>
      <c r="D5440" s="11"/>
      <c r="E5440" s="11"/>
      <c r="F5440" s="11"/>
      <c r="G5440" s="11"/>
      <c r="H5440" s="11"/>
      <c r="I5440" s="11"/>
    </row>
    <row r="5441" spans="2:9" x14ac:dyDescent="0.2">
      <c r="B5441" s="11"/>
      <c r="C5441" s="11"/>
      <c r="D5441" s="11"/>
      <c r="E5441" s="11"/>
      <c r="F5441" s="11"/>
      <c r="G5441" s="11"/>
      <c r="H5441" s="11"/>
      <c r="I5441" s="11"/>
    </row>
    <row r="5442" spans="2:9" x14ac:dyDescent="0.2">
      <c r="B5442" s="11"/>
      <c r="C5442" s="11"/>
      <c r="D5442" s="11"/>
      <c r="E5442" s="11"/>
      <c r="F5442" s="11"/>
      <c r="G5442" s="11"/>
      <c r="H5442" s="11"/>
      <c r="I5442" s="11"/>
    </row>
    <row r="5443" spans="2:9" x14ac:dyDescent="0.2">
      <c r="B5443" s="11"/>
      <c r="C5443" s="11"/>
      <c r="D5443" s="11"/>
      <c r="E5443" s="11"/>
      <c r="F5443" s="11"/>
      <c r="G5443" s="11"/>
      <c r="H5443" s="11"/>
      <c r="I5443" s="11"/>
    </row>
    <row r="5444" spans="2:9" x14ac:dyDescent="0.2">
      <c r="B5444" s="11"/>
      <c r="C5444" s="11"/>
      <c r="D5444" s="11"/>
      <c r="E5444" s="11"/>
      <c r="F5444" s="11"/>
      <c r="G5444" s="11"/>
      <c r="H5444" s="11"/>
      <c r="I5444" s="11"/>
    </row>
    <row r="5445" spans="2:9" x14ac:dyDescent="0.2">
      <c r="B5445" s="11"/>
      <c r="C5445" s="11"/>
      <c r="D5445" s="11"/>
      <c r="E5445" s="11"/>
      <c r="F5445" s="11"/>
      <c r="G5445" s="11"/>
      <c r="H5445" s="11"/>
      <c r="I5445" s="11"/>
    </row>
    <row r="5446" spans="2:9" x14ac:dyDescent="0.2">
      <c r="B5446" s="11"/>
      <c r="C5446" s="11"/>
      <c r="D5446" s="11"/>
      <c r="E5446" s="11"/>
      <c r="F5446" s="11"/>
      <c r="G5446" s="11"/>
      <c r="H5446" s="11"/>
      <c r="I5446" s="11"/>
    </row>
    <row r="5447" spans="2:9" x14ac:dyDescent="0.2">
      <c r="B5447" s="11"/>
      <c r="C5447" s="11"/>
      <c r="D5447" s="11"/>
      <c r="E5447" s="11"/>
      <c r="F5447" s="11"/>
      <c r="G5447" s="11"/>
      <c r="H5447" s="11"/>
      <c r="I5447" s="11"/>
    </row>
    <row r="5448" spans="2:9" x14ac:dyDescent="0.2">
      <c r="B5448" s="11"/>
      <c r="C5448" s="11"/>
      <c r="D5448" s="11"/>
      <c r="E5448" s="11"/>
      <c r="F5448" s="11"/>
      <c r="G5448" s="11"/>
      <c r="H5448" s="11"/>
      <c r="I5448" s="11"/>
    </row>
    <row r="5449" spans="2:9" x14ac:dyDescent="0.2">
      <c r="B5449" s="11"/>
      <c r="C5449" s="11"/>
      <c r="D5449" s="11"/>
      <c r="E5449" s="11"/>
      <c r="F5449" s="11"/>
      <c r="G5449" s="11"/>
      <c r="H5449" s="11"/>
      <c r="I5449" s="11"/>
    </row>
    <row r="5450" spans="2:9" x14ac:dyDescent="0.2">
      <c r="B5450" s="11"/>
      <c r="C5450" s="11"/>
      <c r="D5450" s="11"/>
      <c r="E5450" s="11"/>
      <c r="F5450" s="11"/>
      <c r="G5450" s="11"/>
      <c r="H5450" s="11"/>
      <c r="I5450" s="11"/>
    </row>
    <row r="5451" spans="2:9" x14ac:dyDescent="0.2">
      <c r="B5451" s="11"/>
      <c r="C5451" s="11"/>
      <c r="D5451" s="11"/>
      <c r="E5451" s="11"/>
      <c r="F5451" s="11"/>
      <c r="G5451" s="11"/>
      <c r="H5451" s="11"/>
      <c r="I5451" s="11"/>
    </row>
    <row r="5452" spans="2:9" x14ac:dyDescent="0.2">
      <c r="B5452" s="11"/>
      <c r="C5452" s="11"/>
      <c r="D5452" s="11"/>
      <c r="E5452" s="11"/>
      <c r="F5452" s="11"/>
      <c r="G5452" s="11"/>
      <c r="H5452" s="11"/>
      <c r="I5452" s="11"/>
    </row>
    <row r="5453" spans="2:9" x14ac:dyDescent="0.2">
      <c r="B5453" s="11"/>
      <c r="C5453" s="11"/>
      <c r="D5453" s="11"/>
      <c r="E5453" s="11"/>
      <c r="F5453" s="11"/>
      <c r="G5453" s="11"/>
      <c r="H5453" s="11"/>
      <c r="I5453" s="11"/>
    </row>
    <row r="5454" spans="2:9" x14ac:dyDescent="0.2">
      <c r="B5454" s="11"/>
      <c r="C5454" s="11"/>
      <c r="D5454" s="11"/>
      <c r="E5454" s="11"/>
      <c r="F5454" s="11"/>
      <c r="G5454" s="11"/>
      <c r="H5454" s="11"/>
      <c r="I5454" s="11"/>
    </row>
    <row r="5455" spans="2:9" x14ac:dyDescent="0.2">
      <c r="B5455" s="11"/>
      <c r="C5455" s="11"/>
      <c r="D5455" s="11"/>
      <c r="E5455" s="11"/>
      <c r="F5455" s="11"/>
      <c r="G5455" s="11"/>
      <c r="H5455" s="11"/>
      <c r="I5455" s="11"/>
    </row>
    <row r="5456" spans="2:9" x14ac:dyDescent="0.2">
      <c r="B5456" s="11"/>
      <c r="C5456" s="11"/>
      <c r="D5456" s="11"/>
      <c r="E5456" s="11"/>
      <c r="F5456" s="11"/>
      <c r="G5456" s="11"/>
      <c r="H5456" s="11"/>
      <c r="I5456" s="11"/>
    </row>
    <row r="5457" spans="2:9" x14ac:dyDescent="0.2">
      <c r="B5457" s="11"/>
      <c r="C5457" s="11"/>
      <c r="D5457" s="11"/>
      <c r="E5457" s="11"/>
      <c r="F5457" s="11"/>
      <c r="G5457" s="11"/>
      <c r="H5457" s="11"/>
      <c r="I5457" s="11"/>
    </row>
    <row r="5458" spans="2:9" x14ac:dyDescent="0.2">
      <c r="B5458" s="11"/>
      <c r="C5458" s="11"/>
      <c r="D5458" s="11"/>
      <c r="E5458" s="11"/>
      <c r="F5458" s="11"/>
      <c r="G5458" s="11"/>
      <c r="H5458" s="11"/>
      <c r="I5458" s="11"/>
    </row>
    <row r="5459" spans="2:9" x14ac:dyDescent="0.2">
      <c r="B5459" s="11"/>
      <c r="C5459" s="11"/>
      <c r="D5459" s="11"/>
      <c r="E5459" s="11"/>
      <c r="F5459" s="11"/>
      <c r="G5459" s="11"/>
      <c r="H5459" s="11"/>
      <c r="I5459" s="11"/>
    </row>
    <row r="5460" spans="2:9" x14ac:dyDescent="0.2">
      <c r="B5460" s="11"/>
      <c r="C5460" s="11"/>
      <c r="D5460" s="11"/>
      <c r="E5460" s="11"/>
      <c r="F5460" s="11"/>
      <c r="G5460" s="11"/>
      <c r="H5460" s="11"/>
      <c r="I5460" s="11"/>
    </row>
    <row r="5461" spans="2:9" x14ac:dyDescent="0.2">
      <c r="B5461" s="11"/>
      <c r="C5461" s="11"/>
      <c r="D5461" s="11"/>
      <c r="E5461" s="11"/>
      <c r="F5461" s="11"/>
      <c r="G5461" s="11"/>
      <c r="H5461" s="11"/>
      <c r="I5461" s="11"/>
    </row>
    <row r="5462" spans="2:9" x14ac:dyDescent="0.2">
      <c r="B5462" s="11"/>
      <c r="C5462" s="11"/>
      <c r="D5462" s="11"/>
      <c r="E5462" s="11"/>
      <c r="F5462" s="11"/>
      <c r="G5462" s="11"/>
      <c r="H5462" s="11"/>
      <c r="I5462" s="11"/>
    </row>
    <row r="5463" spans="2:9" x14ac:dyDescent="0.2">
      <c r="B5463" s="11"/>
      <c r="C5463" s="11"/>
      <c r="D5463" s="11"/>
      <c r="E5463" s="11"/>
      <c r="F5463" s="11"/>
      <c r="G5463" s="11"/>
      <c r="H5463" s="11"/>
      <c r="I5463" s="11"/>
    </row>
    <row r="5464" spans="2:9" x14ac:dyDescent="0.2">
      <c r="B5464" s="11"/>
      <c r="C5464" s="11"/>
      <c r="D5464" s="11"/>
      <c r="E5464" s="11"/>
      <c r="F5464" s="11"/>
      <c r="G5464" s="11"/>
      <c r="H5464" s="11"/>
      <c r="I5464" s="11"/>
    </row>
    <row r="5465" spans="2:9" x14ac:dyDescent="0.2">
      <c r="B5465" s="11"/>
      <c r="C5465" s="11"/>
      <c r="D5465" s="11"/>
      <c r="E5465" s="11"/>
      <c r="F5465" s="11"/>
      <c r="G5465" s="11"/>
      <c r="H5465" s="11"/>
      <c r="I5465" s="11"/>
    </row>
    <row r="5466" spans="2:9" x14ac:dyDescent="0.2">
      <c r="B5466" s="11"/>
      <c r="C5466" s="11"/>
      <c r="D5466" s="11"/>
      <c r="E5466" s="11"/>
      <c r="F5466" s="11"/>
      <c r="G5466" s="11"/>
      <c r="H5466" s="11"/>
      <c r="I5466" s="11"/>
    </row>
    <row r="5467" spans="2:9" x14ac:dyDescent="0.2">
      <c r="B5467" s="11"/>
      <c r="C5467" s="11"/>
      <c r="D5467" s="11"/>
      <c r="E5467" s="11"/>
      <c r="F5467" s="11"/>
      <c r="G5467" s="11"/>
      <c r="H5467" s="11"/>
      <c r="I5467" s="11"/>
    </row>
    <row r="5468" spans="2:9" x14ac:dyDescent="0.2">
      <c r="B5468" s="11"/>
      <c r="C5468" s="11"/>
      <c r="D5468" s="11"/>
      <c r="E5468" s="11"/>
      <c r="F5468" s="11"/>
      <c r="G5468" s="11"/>
      <c r="H5468" s="11"/>
      <c r="I5468" s="11"/>
    </row>
    <row r="5469" spans="2:9" x14ac:dyDescent="0.2">
      <c r="B5469" s="11"/>
      <c r="C5469" s="11"/>
      <c r="D5469" s="11"/>
      <c r="E5469" s="11"/>
      <c r="F5469" s="11"/>
      <c r="G5469" s="11"/>
      <c r="H5469" s="11"/>
      <c r="I5469" s="11"/>
    </row>
    <row r="5470" spans="2:9" x14ac:dyDescent="0.2">
      <c r="B5470" s="11"/>
      <c r="C5470" s="11"/>
      <c r="D5470" s="11"/>
      <c r="E5470" s="11"/>
      <c r="F5470" s="11"/>
      <c r="G5470" s="11"/>
      <c r="H5470" s="11"/>
      <c r="I5470" s="11"/>
    </row>
    <row r="5471" spans="2:9" x14ac:dyDescent="0.2">
      <c r="B5471" s="11"/>
      <c r="C5471" s="11"/>
      <c r="D5471" s="11"/>
      <c r="E5471" s="11"/>
      <c r="F5471" s="11"/>
      <c r="G5471" s="11"/>
      <c r="H5471" s="11"/>
      <c r="I5471" s="11"/>
    </row>
    <row r="5472" spans="2:9" x14ac:dyDescent="0.2">
      <c r="B5472" s="11"/>
      <c r="C5472" s="11"/>
      <c r="D5472" s="11"/>
      <c r="E5472" s="11"/>
      <c r="F5472" s="11"/>
      <c r="G5472" s="11"/>
      <c r="H5472" s="11"/>
      <c r="I5472" s="11"/>
    </row>
    <row r="5473" spans="2:9" x14ac:dyDescent="0.2">
      <c r="B5473" s="11"/>
      <c r="C5473" s="11"/>
      <c r="D5473" s="11"/>
      <c r="E5473" s="11"/>
      <c r="F5473" s="11"/>
      <c r="G5473" s="11"/>
      <c r="H5473" s="11"/>
      <c r="I5473" s="11"/>
    </row>
    <row r="5474" spans="2:9" x14ac:dyDescent="0.2">
      <c r="B5474" s="11"/>
      <c r="C5474" s="11"/>
      <c r="D5474" s="11"/>
      <c r="E5474" s="11"/>
      <c r="F5474" s="11"/>
      <c r="G5474" s="11"/>
      <c r="H5474" s="11"/>
      <c r="I5474" s="11"/>
    </row>
    <row r="5475" spans="2:9" x14ac:dyDescent="0.2">
      <c r="B5475" s="11"/>
      <c r="C5475" s="11"/>
      <c r="D5475" s="11"/>
      <c r="E5475" s="11"/>
      <c r="F5475" s="11"/>
      <c r="G5475" s="11"/>
      <c r="H5475" s="11"/>
      <c r="I5475" s="11"/>
    </row>
    <row r="5476" spans="2:9" x14ac:dyDescent="0.2">
      <c r="B5476" s="11"/>
      <c r="C5476" s="11"/>
      <c r="D5476" s="11"/>
      <c r="E5476" s="11"/>
      <c r="F5476" s="11"/>
      <c r="G5476" s="11"/>
      <c r="H5476" s="11"/>
      <c r="I5476" s="11"/>
    </row>
    <row r="5477" spans="2:9" x14ac:dyDescent="0.2">
      <c r="B5477" s="11"/>
      <c r="C5477" s="11"/>
      <c r="D5477" s="11"/>
      <c r="E5477" s="11"/>
      <c r="F5477" s="11"/>
      <c r="G5477" s="11"/>
      <c r="H5477" s="11"/>
      <c r="I5477" s="11"/>
    </row>
    <row r="5478" spans="2:9" x14ac:dyDescent="0.2">
      <c r="B5478" s="11"/>
      <c r="C5478" s="11"/>
      <c r="D5478" s="11"/>
      <c r="E5478" s="11"/>
      <c r="F5478" s="11"/>
      <c r="G5478" s="11"/>
      <c r="H5478" s="11"/>
      <c r="I5478" s="11"/>
    </row>
    <row r="5479" spans="2:9" x14ac:dyDescent="0.2">
      <c r="B5479" s="11"/>
      <c r="C5479" s="11"/>
      <c r="D5479" s="11"/>
      <c r="E5479" s="11"/>
      <c r="F5479" s="11"/>
      <c r="G5479" s="11"/>
      <c r="H5479" s="11"/>
      <c r="I5479" s="11"/>
    </row>
    <row r="5480" spans="2:9" x14ac:dyDescent="0.2">
      <c r="B5480" s="11"/>
      <c r="C5480" s="11"/>
      <c r="D5480" s="11"/>
      <c r="E5480" s="11"/>
      <c r="F5480" s="11"/>
      <c r="G5480" s="11"/>
      <c r="H5480" s="11"/>
      <c r="I5480" s="11"/>
    </row>
    <row r="5481" spans="2:9" x14ac:dyDescent="0.2">
      <c r="B5481" s="11"/>
      <c r="C5481" s="11"/>
      <c r="D5481" s="11"/>
      <c r="E5481" s="11"/>
      <c r="F5481" s="11"/>
      <c r="G5481" s="11"/>
      <c r="H5481" s="11"/>
      <c r="I5481" s="11"/>
    </row>
    <row r="5482" spans="2:9" x14ac:dyDescent="0.2">
      <c r="B5482" s="11"/>
      <c r="C5482" s="11"/>
      <c r="D5482" s="11"/>
      <c r="E5482" s="11"/>
      <c r="F5482" s="11"/>
      <c r="G5482" s="11"/>
      <c r="H5482" s="11"/>
      <c r="I5482" s="11"/>
    </row>
    <row r="5483" spans="2:9" x14ac:dyDescent="0.2">
      <c r="B5483" s="11"/>
      <c r="C5483" s="11"/>
      <c r="D5483" s="11"/>
      <c r="E5483" s="11"/>
      <c r="F5483" s="11"/>
      <c r="G5483" s="11"/>
      <c r="H5483" s="11"/>
      <c r="I5483" s="11"/>
    </row>
    <row r="5484" spans="2:9" x14ac:dyDescent="0.2">
      <c r="B5484" s="11"/>
      <c r="C5484" s="11"/>
      <c r="D5484" s="11"/>
      <c r="E5484" s="11"/>
      <c r="F5484" s="11"/>
      <c r="G5484" s="11"/>
      <c r="H5484" s="11"/>
      <c r="I5484" s="11"/>
    </row>
    <row r="5485" spans="2:9" x14ac:dyDescent="0.2">
      <c r="B5485" s="11"/>
      <c r="C5485" s="11"/>
      <c r="D5485" s="11"/>
      <c r="E5485" s="11"/>
      <c r="F5485" s="11"/>
      <c r="G5485" s="11"/>
      <c r="H5485" s="11"/>
      <c r="I5485" s="11"/>
    </row>
    <row r="5486" spans="2:9" x14ac:dyDescent="0.2">
      <c r="B5486" s="11"/>
      <c r="C5486" s="11"/>
      <c r="D5486" s="11"/>
      <c r="E5486" s="11"/>
      <c r="F5486" s="11"/>
      <c r="G5486" s="11"/>
      <c r="H5486" s="11"/>
      <c r="I5486" s="11"/>
    </row>
    <row r="5487" spans="2:9" x14ac:dyDescent="0.2">
      <c r="B5487" s="11"/>
      <c r="C5487" s="11"/>
      <c r="D5487" s="11"/>
      <c r="E5487" s="11"/>
      <c r="F5487" s="11"/>
      <c r="G5487" s="11"/>
      <c r="H5487" s="11"/>
      <c r="I5487" s="11"/>
    </row>
    <row r="5488" spans="2:9" x14ac:dyDescent="0.2">
      <c r="B5488" s="11"/>
      <c r="C5488" s="11"/>
      <c r="D5488" s="11"/>
      <c r="E5488" s="11"/>
      <c r="F5488" s="11"/>
      <c r="G5488" s="11"/>
      <c r="H5488" s="11"/>
      <c r="I5488" s="11"/>
    </row>
    <row r="5489" spans="2:9" x14ac:dyDescent="0.2">
      <c r="B5489" s="11"/>
      <c r="C5489" s="11"/>
      <c r="D5489" s="11"/>
      <c r="E5489" s="11"/>
      <c r="F5489" s="11"/>
      <c r="G5489" s="11"/>
      <c r="H5489" s="11"/>
      <c r="I5489" s="11"/>
    </row>
    <row r="5490" spans="2:9" x14ac:dyDescent="0.2">
      <c r="B5490" s="11"/>
      <c r="C5490" s="11"/>
      <c r="D5490" s="11"/>
      <c r="E5490" s="11"/>
      <c r="F5490" s="11"/>
      <c r="G5490" s="11"/>
      <c r="H5490" s="11"/>
      <c r="I5490" s="11"/>
    </row>
    <row r="5491" spans="2:9" x14ac:dyDescent="0.2">
      <c r="B5491" s="11"/>
      <c r="C5491" s="11"/>
      <c r="D5491" s="11"/>
      <c r="E5491" s="11"/>
      <c r="F5491" s="11"/>
      <c r="G5491" s="11"/>
      <c r="H5491" s="11"/>
      <c r="I5491" s="11"/>
    </row>
    <row r="5492" spans="2:9" x14ac:dyDescent="0.2">
      <c r="B5492" s="11"/>
      <c r="C5492" s="11"/>
      <c r="D5492" s="11"/>
      <c r="E5492" s="11"/>
      <c r="F5492" s="11"/>
      <c r="G5492" s="11"/>
      <c r="H5492" s="11"/>
      <c r="I5492" s="11"/>
    </row>
    <row r="5493" spans="2:9" x14ac:dyDescent="0.2">
      <c r="B5493" s="11"/>
      <c r="C5493" s="11"/>
      <c r="D5493" s="11"/>
      <c r="E5493" s="11"/>
      <c r="F5493" s="11"/>
      <c r="G5493" s="11"/>
      <c r="H5493" s="11"/>
      <c r="I5493" s="11"/>
    </row>
    <row r="5494" spans="2:9" x14ac:dyDescent="0.2">
      <c r="B5494" s="11"/>
      <c r="C5494" s="11"/>
      <c r="D5494" s="11"/>
      <c r="E5494" s="11"/>
      <c r="F5494" s="11"/>
      <c r="G5494" s="11"/>
      <c r="H5494" s="11"/>
      <c r="I5494" s="11"/>
    </row>
    <row r="5495" spans="2:9" x14ac:dyDescent="0.2">
      <c r="B5495" s="11"/>
      <c r="C5495" s="11"/>
      <c r="D5495" s="11"/>
      <c r="E5495" s="11"/>
      <c r="F5495" s="11"/>
      <c r="G5495" s="11"/>
      <c r="H5495" s="11"/>
      <c r="I5495" s="11"/>
    </row>
    <row r="5496" spans="2:9" x14ac:dyDescent="0.2">
      <c r="B5496" s="11"/>
      <c r="C5496" s="11"/>
      <c r="D5496" s="11"/>
      <c r="E5496" s="11"/>
      <c r="F5496" s="11"/>
      <c r="G5496" s="11"/>
      <c r="H5496" s="11"/>
      <c r="I5496" s="11"/>
    </row>
    <row r="5497" spans="2:9" x14ac:dyDescent="0.2">
      <c r="B5497" s="11"/>
      <c r="C5497" s="11"/>
      <c r="D5497" s="11"/>
      <c r="E5497" s="11"/>
      <c r="F5497" s="11"/>
      <c r="G5497" s="11"/>
      <c r="H5497" s="11"/>
      <c r="I5497" s="11"/>
    </row>
    <row r="5498" spans="2:9" x14ac:dyDescent="0.2">
      <c r="B5498" s="11"/>
      <c r="C5498" s="11"/>
      <c r="D5498" s="11"/>
      <c r="E5498" s="11"/>
      <c r="F5498" s="11"/>
      <c r="G5498" s="11"/>
      <c r="H5498" s="11"/>
      <c r="I5498" s="11"/>
    </row>
    <row r="5499" spans="2:9" x14ac:dyDescent="0.2">
      <c r="B5499" s="11"/>
      <c r="C5499" s="11"/>
      <c r="D5499" s="11"/>
      <c r="E5499" s="11"/>
      <c r="F5499" s="11"/>
      <c r="G5499" s="11"/>
      <c r="H5499" s="11"/>
      <c r="I5499" s="11"/>
    </row>
    <row r="5500" spans="2:9" x14ac:dyDescent="0.2">
      <c r="B5500" s="11"/>
      <c r="C5500" s="11"/>
      <c r="D5500" s="11"/>
      <c r="E5500" s="11"/>
      <c r="F5500" s="11"/>
      <c r="G5500" s="11"/>
      <c r="H5500" s="11"/>
      <c r="I5500" s="11"/>
    </row>
    <row r="5501" spans="2:9" x14ac:dyDescent="0.2">
      <c r="B5501" s="11"/>
      <c r="C5501" s="11"/>
      <c r="D5501" s="11"/>
      <c r="E5501" s="11"/>
      <c r="F5501" s="11"/>
      <c r="G5501" s="11"/>
      <c r="H5501" s="11"/>
      <c r="I5501" s="11"/>
    </row>
    <row r="5502" spans="2:9" x14ac:dyDescent="0.2">
      <c r="B5502" s="11"/>
      <c r="C5502" s="11"/>
      <c r="D5502" s="11"/>
      <c r="E5502" s="11"/>
      <c r="F5502" s="11"/>
      <c r="G5502" s="11"/>
      <c r="H5502" s="11"/>
      <c r="I5502" s="11"/>
    </row>
    <row r="5503" spans="2:9" x14ac:dyDescent="0.2">
      <c r="B5503" s="11"/>
      <c r="C5503" s="11"/>
      <c r="D5503" s="11"/>
      <c r="E5503" s="11"/>
      <c r="F5503" s="11"/>
      <c r="G5503" s="11"/>
      <c r="H5503" s="11"/>
      <c r="I5503" s="11"/>
    </row>
    <row r="5504" spans="2:9" x14ac:dyDescent="0.2">
      <c r="B5504" s="11"/>
      <c r="C5504" s="11"/>
      <c r="D5504" s="11"/>
      <c r="E5504" s="11"/>
      <c r="F5504" s="11"/>
      <c r="G5504" s="11"/>
      <c r="H5504" s="11"/>
      <c r="I5504" s="11"/>
    </row>
    <row r="5505" spans="2:9" x14ac:dyDescent="0.2">
      <c r="B5505" s="11"/>
      <c r="C5505" s="11"/>
      <c r="D5505" s="11"/>
      <c r="E5505" s="11"/>
      <c r="F5505" s="11"/>
      <c r="G5505" s="11"/>
      <c r="H5505" s="11"/>
      <c r="I5505" s="11"/>
    </row>
    <row r="5506" spans="2:9" x14ac:dyDescent="0.2">
      <c r="B5506" s="11"/>
      <c r="C5506" s="11"/>
      <c r="D5506" s="11"/>
      <c r="E5506" s="11"/>
      <c r="F5506" s="11"/>
      <c r="G5506" s="11"/>
      <c r="H5506" s="11"/>
      <c r="I5506" s="11"/>
    </row>
    <row r="5507" spans="2:9" x14ac:dyDescent="0.2">
      <c r="B5507" s="11"/>
      <c r="C5507" s="11"/>
      <c r="D5507" s="11"/>
      <c r="E5507" s="11"/>
      <c r="F5507" s="11"/>
      <c r="G5507" s="11"/>
      <c r="H5507" s="11"/>
      <c r="I5507" s="11"/>
    </row>
    <row r="5508" spans="2:9" x14ac:dyDescent="0.2">
      <c r="B5508" s="11"/>
      <c r="C5508" s="11"/>
      <c r="D5508" s="11"/>
      <c r="E5508" s="11"/>
      <c r="F5508" s="11"/>
      <c r="G5508" s="11"/>
      <c r="H5508" s="11"/>
      <c r="I5508" s="11"/>
    </row>
    <row r="5509" spans="2:9" x14ac:dyDescent="0.2">
      <c r="B5509" s="11"/>
      <c r="C5509" s="11"/>
      <c r="D5509" s="11"/>
      <c r="E5509" s="11"/>
      <c r="F5509" s="11"/>
      <c r="G5509" s="11"/>
      <c r="H5509" s="11"/>
      <c r="I5509" s="11"/>
    </row>
    <row r="5510" spans="2:9" x14ac:dyDescent="0.2">
      <c r="B5510" s="11"/>
      <c r="C5510" s="11"/>
      <c r="D5510" s="11"/>
      <c r="E5510" s="11"/>
      <c r="F5510" s="11"/>
      <c r="G5510" s="11"/>
      <c r="H5510" s="11"/>
      <c r="I5510" s="11"/>
    </row>
    <row r="5511" spans="2:9" x14ac:dyDescent="0.2">
      <c r="B5511" s="11"/>
      <c r="C5511" s="11"/>
      <c r="D5511" s="11"/>
      <c r="E5511" s="11"/>
      <c r="F5511" s="11"/>
      <c r="G5511" s="11"/>
      <c r="H5511" s="11"/>
      <c r="I5511" s="11"/>
    </row>
    <row r="5512" spans="2:9" x14ac:dyDescent="0.2">
      <c r="B5512" s="11"/>
      <c r="C5512" s="11"/>
      <c r="D5512" s="11"/>
      <c r="E5512" s="11"/>
      <c r="F5512" s="11"/>
      <c r="G5512" s="11"/>
      <c r="H5512" s="11"/>
      <c r="I5512" s="11"/>
    </row>
    <row r="5513" spans="2:9" x14ac:dyDescent="0.2">
      <c r="B5513" s="11"/>
      <c r="C5513" s="11"/>
      <c r="D5513" s="11"/>
      <c r="E5513" s="11"/>
      <c r="F5513" s="11"/>
      <c r="G5513" s="11"/>
      <c r="H5513" s="11"/>
      <c r="I5513" s="11"/>
    </row>
    <row r="5514" spans="2:9" x14ac:dyDescent="0.2">
      <c r="B5514" s="11"/>
      <c r="C5514" s="11"/>
      <c r="D5514" s="11"/>
      <c r="E5514" s="11"/>
      <c r="F5514" s="11"/>
      <c r="G5514" s="11"/>
      <c r="H5514" s="11"/>
      <c r="I5514" s="11"/>
    </row>
    <row r="5515" spans="2:9" x14ac:dyDescent="0.2">
      <c r="B5515" s="11"/>
      <c r="C5515" s="11"/>
      <c r="D5515" s="11"/>
      <c r="E5515" s="11"/>
      <c r="F5515" s="11"/>
      <c r="G5515" s="11"/>
      <c r="H5515" s="11"/>
      <c r="I5515" s="11"/>
    </row>
    <row r="5516" spans="2:9" x14ac:dyDescent="0.2">
      <c r="B5516" s="11"/>
      <c r="C5516" s="11"/>
      <c r="D5516" s="11"/>
      <c r="E5516" s="11"/>
      <c r="F5516" s="11"/>
      <c r="G5516" s="11"/>
      <c r="H5516" s="11"/>
      <c r="I5516" s="11"/>
    </row>
    <row r="5517" spans="2:9" x14ac:dyDescent="0.2">
      <c r="B5517" s="11"/>
      <c r="C5517" s="11"/>
      <c r="D5517" s="11"/>
      <c r="E5517" s="11"/>
      <c r="F5517" s="11"/>
      <c r="G5517" s="11"/>
      <c r="H5517" s="11"/>
      <c r="I5517" s="11"/>
    </row>
    <row r="5518" spans="2:9" x14ac:dyDescent="0.2">
      <c r="B5518" s="11"/>
      <c r="C5518" s="11"/>
      <c r="D5518" s="11"/>
      <c r="E5518" s="11"/>
      <c r="F5518" s="11"/>
      <c r="G5518" s="11"/>
      <c r="H5518" s="11"/>
      <c r="I5518" s="11"/>
    </row>
    <row r="5519" spans="2:9" x14ac:dyDescent="0.2">
      <c r="B5519" s="11"/>
      <c r="C5519" s="11"/>
      <c r="D5519" s="11"/>
      <c r="E5519" s="11"/>
      <c r="F5519" s="11"/>
      <c r="G5519" s="11"/>
      <c r="H5519" s="11"/>
      <c r="I5519" s="11"/>
    </row>
    <row r="5520" spans="2:9" x14ac:dyDescent="0.2">
      <c r="B5520" s="11"/>
      <c r="C5520" s="11"/>
      <c r="D5520" s="11"/>
      <c r="E5520" s="11"/>
      <c r="F5520" s="11"/>
      <c r="G5520" s="11"/>
      <c r="H5520" s="11"/>
      <c r="I5520" s="11"/>
    </row>
    <row r="5521" spans="2:9" x14ac:dyDescent="0.2">
      <c r="B5521" s="11"/>
      <c r="C5521" s="11"/>
      <c r="D5521" s="11"/>
      <c r="E5521" s="11"/>
      <c r="F5521" s="11"/>
      <c r="G5521" s="11"/>
      <c r="H5521" s="11"/>
      <c r="I5521" s="11"/>
    </row>
    <row r="5522" spans="2:9" x14ac:dyDescent="0.2">
      <c r="B5522" s="11"/>
      <c r="C5522" s="11"/>
      <c r="D5522" s="11"/>
      <c r="E5522" s="11"/>
      <c r="F5522" s="11"/>
      <c r="G5522" s="11"/>
      <c r="H5522" s="11"/>
      <c r="I5522" s="11"/>
    </row>
    <row r="5523" spans="2:9" x14ac:dyDescent="0.2">
      <c r="B5523" s="11"/>
      <c r="C5523" s="11"/>
      <c r="D5523" s="11"/>
      <c r="E5523" s="11"/>
      <c r="F5523" s="11"/>
      <c r="G5523" s="11"/>
      <c r="H5523" s="11"/>
      <c r="I5523" s="11"/>
    </row>
    <row r="5524" spans="2:9" x14ac:dyDescent="0.2">
      <c r="B5524" s="11"/>
      <c r="C5524" s="11"/>
      <c r="D5524" s="11"/>
      <c r="E5524" s="11"/>
      <c r="F5524" s="11"/>
      <c r="G5524" s="11"/>
      <c r="H5524" s="11"/>
      <c r="I5524" s="11"/>
    </row>
    <row r="5525" spans="2:9" x14ac:dyDescent="0.2">
      <c r="B5525" s="11"/>
      <c r="C5525" s="11"/>
      <c r="D5525" s="11"/>
      <c r="E5525" s="11"/>
      <c r="F5525" s="11"/>
      <c r="G5525" s="11"/>
      <c r="H5525" s="11"/>
      <c r="I5525" s="11"/>
    </row>
    <row r="5526" spans="2:9" x14ac:dyDescent="0.2">
      <c r="B5526" s="11"/>
      <c r="C5526" s="11"/>
      <c r="D5526" s="11"/>
      <c r="E5526" s="11"/>
      <c r="F5526" s="11"/>
      <c r="G5526" s="11"/>
      <c r="H5526" s="11"/>
      <c r="I5526" s="11"/>
    </row>
    <row r="5527" spans="2:9" x14ac:dyDescent="0.2">
      <c r="B5527" s="11"/>
      <c r="C5527" s="11"/>
      <c r="D5527" s="11"/>
      <c r="E5527" s="11"/>
      <c r="F5527" s="11"/>
      <c r="G5527" s="11"/>
      <c r="H5527" s="11"/>
      <c r="I5527" s="11"/>
    </row>
    <row r="5528" spans="2:9" x14ac:dyDescent="0.2">
      <c r="B5528" s="11"/>
      <c r="C5528" s="11"/>
      <c r="D5528" s="11"/>
      <c r="E5528" s="11"/>
      <c r="F5528" s="11"/>
      <c r="G5528" s="11"/>
      <c r="H5528" s="11"/>
      <c r="I5528" s="11"/>
    </row>
    <row r="5529" spans="2:9" x14ac:dyDescent="0.2">
      <c r="B5529" s="11"/>
      <c r="C5529" s="11"/>
      <c r="D5529" s="11"/>
      <c r="E5529" s="11"/>
      <c r="F5529" s="11"/>
      <c r="G5529" s="11"/>
      <c r="H5529" s="11"/>
      <c r="I5529" s="11"/>
    </row>
    <row r="5530" spans="2:9" x14ac:dyDescent="0.2">
      <c r="B5530" s="11"/>
      <c r="C5530" s="11"/>
      <c r="D5530" s="11"/>
      <c r="E5530" s="11"/>
      <c r="F5530" s="11"/>
      <c r="G5530" s="11"/>
      <c r="H5530" s="11"/>
      <c r="I5530" s="11"/>
    </row>
    <row r="5531" spans="2:9" x14ac:dyDescent="0.2">
      <c r="B5531" s="11"/>
      <c r="C5531" s="11"/>
      <c r="D5531" s="11"/>
      <c r="E5531" s="11"/>
      <c r="F5531" s="11"/>
      <c r="G5531" s="11"/>
      <c r="H5531" s="11"/>
      <c r="I5531" s="11"/>
    </row>
    <row r="5532" spans="2:9" x14ac:dyDescent="0.2">
      <c r="B5532" s="11"/>
      <c r="C5532" s="11"/>
      <c r="D5532" s="11"/>
      <c r="E5532" s="11"/>
      <c r="F5532" s="11"/>
      <c r="G5532" s="11"/>
      <c r="H5532" s="11"/>
      <c r="I5532" s="11"/>
    </row>
    <row r="5533" spans="2:9" x14ac:dyDescent="0.2">
      <c r="B5533" s="11"/>
      <c r="C5533" s="11"/>
      <c r="D5533" s="11"/>
      <c r="E5533" s="11"/>
      <c r="F5533" s="11"/>
      <c r="G5533" s="11"/>
      <c r="H5533" s="11"/>
      <c r="I5533" s="11"/>
    </row>
    <row r="5534" spans="2:9" x14ac:dyDescent="0.2">
      <c r="B5534" s="11"/>
      <c r="C5534" s="11"/>
      <c r="D5534" s="11"/>
      <c r="E5534" s="11"/>
      <c r="F5534" s="11"/>
      <c r="G5534" s="11"/>
      <c r="H5534" s="11"/>
      <c r="I5534" s="11"/>
    </row>
    <row r="5535" spans="2:9" x14ac:dyDescent="0.2">
      <c r="B5535" s="11"/>
      <c r="C5535" s="11"/>
      <c r="D5535" s="11"/>
      <c r="E5535" s="11"/>
      <c r="F5535" s="11"/>
      <c r="G5535" s="11"/>
      <c r="H5535" s="11"/>
      <c r="I5535" s="11"/>
    </row>
    <row r="5536" spans="2:9" x14ac:dyDescent="0.2">
      <c r="B5536" s="11"/>
      <c r="C5536" s="11"/>
      <c r="D5536" s="11"/>
      <c r="E5536" s="11"/>
      <c r="F5536" s="11"/>
      <c r="G5536" s="11"/>
      <c r="H5536" s="11"/>
      <c r="I5536" s="11"/>
    </row>
    <row r="5537" spans="2:9" x14ac:dyDescent="0.2">
      <c r="B5537" s="11"/>
      <c r="C5537" s="11"/>
      <c r="D5537" s="11"/>
      <c r="E5537" s="11"/>
      <c r="F5537" s="11"/>
      <c r="G5537" s="11"/>
      <c r="H5537" s="11"/>
      <c r="I5537" s="11"/>
    </row>
    <row r="5538" spans="2:9" x14ac:dyDescent="0.2">
      <c r="B5538" s="11"/>
      <c r="C5538" s="11"/>
      <c r="D5538" s="11"/>
      <c r="E5538" s="11"/>
      <c r="F5538" s="11"/>
      <c r="G5538" s="11"/>
      <c r="H5538" s="11"/>
      <c r="I5538" s="11"/>
    </row>
    <row r="5539" spans="2:9" x14ac:dyDescent="0.2">
      <c r="B5539" s="11"/>
      <c r="C5539" s="11"/>
      <c r="D5539" s="11"/>
      <c r="E5539" s="11"/>
      <c r="F5539" s="11"/>
      <c r="G5539" s="11"/>
      <c r="H5539" s="11"/>
      <c r="I5539" s="11"/>
    </row>
    <row r="5540" spans="2:9" x14ac:dyDescent="0.2">
      <c r="B5540" s="11"/>
      <c r="C5540" s="11"/>
      <c r="D5540" s="11"/>
      <c r="E5540" s="11"/>
      <c r="F5540" s="11"/>
      <c r="G5540" s="11"/>
      <c r="H5540" s="11"/>
      <c r="I5540" s="11"/>
    </row>
    <row r="5541" spans="2:9" x14ac:dyDescent="0.2">
      <c r="B5541" s="11"/>
      <c r="C5541" s="11"/>
      <c r="D5541" s="11"/>
      <c r="E5541" s="11"/>
      <c r="F5541" s="11"/>
      <c r="G5541" s="11"/>
      <c r="H5541" s="11"/>
      <c r="I5541" s="11"/>
    </row>
    <row r="5542" spans="2:9" x14ac:dyDescent="0.2">
      <c r="B5542" s="11"/>
      <c r="C5542" s="11"/>
      <c r="D5542" s="11"/>
      <c r="E5542" s="11"/>
      <c r="F5542" s="11"/>
      <c r="G5542" s="11"/>
      <c r="H5542" s="11"/>
      <c r="I5542" s="11"/>
    </row>
    <row r="5543" spans="2:9" x14ac:dyDescent="0.2">
      <c r="B5543" s="11"/>
      <c r="C5543" s="11"/>
      <c r="D5543" s="11"/>
      <c r="E5543" s="11"/>
      <c r="F5543" s="11"/>
      <c r="G5543" s="11"/>
      <c r="H5543" s="11"/>
      <c r="I5543" s="11"/>
    </row>
    <row r="5544" spans="2:9" x14ac:dyDescent="0.2">
      <c r="B5544" s="11"/>
      <c r="C5544" s="11"/>
      <c r="D5544" s="11"/>
      <c r="E5544" s="11"/>
      <c r="F5544" s="11"/>
      <c r="G5544" s="11"/>
      <c r="H5544" s="11"/>
      <c r="I5544" s="11"/>
    </row>
    <row r="5545" spans="2:9" x14ac:dyDescent="0.2">
      <c r="B5545" s="11"/>
      <c r="C5545" s="11"/>
      <c r="D5545" s="11"/>
      <c r="E5545" s="11"/>
      <c r="F5545" s="11"/>
      <c r="G5545" s="11"/>
      <c r="H5545" s="11"/>
      <c r="I5545" s="11"/>
    </row>
    <row r="5546" spans="2:9" x14ac:dyDescent="0.2">
      <c r="B5546" s="11"/>
      <c r="C5546" s="11"/>
      <c r="D5546" s="11"/>
      <c r="E5546" s="11"/>
      <c r="F5546" s="11"/>
      <c r="G5546" s="11"/>
      <c r="H5546" s="11"/>
      <c r="I5546" s="11"/>
    </row>
    <row r="5547" spans="2:9" x14ac:dyDescent="0.2">
      <c r="B5547" s="11"/>
      <c r="C5547" s="11"/>
      <c r="D5547" s="11"/>
      <c r="E5547" s="11"/>
      <c r="F5547" s="11"/>
      <c r="G5547" s="11"/>
      <c r="H5547" s="11"/>
      <c r="I5547" s="11"/>
    </row>
    <row r="5548" spans="2:9" x14ac:dyDescent="0.2">
      <c r="B5548" s="11"/>
      <c r="C5548" s="11"/>
      <c r="D5548" s="11"/>
      <c r="E5548" s="11"/>
      <c r="F5548" s="11"/>
      <c r="G5548" s="11"/>
      <c r="H5548" s="11"/>
      <c r="I5548" s="11"/>
    </row>
    <row r="5549" spans="2:9" x14ac:dyDescent="0.2">
      <c r="B5549" s="11"/>
      <c r="C5549" s="11"/>
      <c r="D5549" s="11"/>
      <c r="E5549" s="11"/>
      <c r="F5549" s="11"/>
      <c r="G5549" s="11"/>
      <c r="H5549" s="11"/>
      <c r="I5549" s="11"/>
    </row>
    <row r="5550" spans="2:9" x14ac:dyDescent="0.2">
      <c r="B5550" s="11"/>
      <c r="C5550" s="11"/>
      <c r="D5550" s="11"/>
      <c r="E5550" s="11"/>
      <c r="F5550" s="11"/>
      <c r="G5550" s="11"/>
      <c r="H5550" s="11"/>
      <c r="I5550" s="11"/>
    </row>
    <row r="5551" spans="2:9" x14ac:dyDescent="0.2">
      <c r="B5551" s="11"/>
      <c r="C5551" s="11"/>
      <c r="D5551" s="11"/>
      <c r="E5551" s="11"/>
      <c r="F5551" s="11"/>
      <c r="G5551" s="11"/>
      <c r="H5551" s="11"/>
      <c r="I5551" s="11"/>
    </row>
    <row r="5552" spans="2:9" x14ac:dyDescent="0.2">
      <c r="B5552" s="11"/>
      <c r="C5552" s="11"/>
      <c r="D5552" s="11"/>
      <c r="E5552" s="11"/>
      <c r="F5552" s="11"/>
      <c r="G5552" s="11"/>
      <c r="H5552" s="11"/>
      <c r="I5552" s="11"/>
    </row>
    <row r="5553" spans="2:9" x14ac:dyDescent="0.2">
      <c r="B5553" s="11"/>
      <c r="C5553" s="11"/>
      <c r="D5553" s="11"/>
      <c r="E5553" s="11"/>
      <c r="F5553" s="11"/>
      <c r="G5553" s="11"/>
      <c r="H5553" s="11"/>
      <c r="I5553" s="11"/>
    </row>
    <row r="5554" spans="2:9" x14ac:dyDescent="0.2">
      <c r="B5554" s="11"/>
      <c r="C5554" s="11"/>
      <c r="D5554" s="11"/>
      <c r="E5554" s="11"/>
      <c r="F5554" s="11"/>
      <c r="G5554" s="11"/>
      <c r="H5554" s="11"/>
      <c r="I5554" s="11"/>
    </row>
    <row r="5555" spans="2:9" x14ac:dyDescent="0.2">
      <c r="B5555" s="11"/>
      <c r="C5555" s="11"/>
      <c r="D5555" s="11"/>
      <c r="E5555" s="11"/>
      <c r="F5555" s="11"/>
      <c r="G5555" s="11"/>
      <c r="H5555" s="11"/>
      <c r="I5555" s="11"/>
    </row>
    <row r="5556" spans="2:9" x14ac:dyDescent="0.2">
      <c r="B5556" s="11"/>
      <c r="C5556" s="11"/>
      <c r="D5556" s="11"/>
      <c r="E5556" s="11"/>
      <c r="F5556" s="11"/>
      <c r="G5556" s="11"/>
      <c r="H5556" s="11"/>
      <c r="I5556" s="11"/>
    </row>
    <row r="5557" spans="2:9" x14ac:dyDescent="0.2">
      <c r="B5557" s="11"/>
      <c r="C5557" s="11"/>
      <c r="D5557" s="11"/>
      <c r="E5557" s="11"/>
      <c r="F5557" s="11"/>
      <c r="G5557" s="11"/>
      <c r="H5557" s="11"/>
      <c r="I5557" s="11"/>
    </row>
    <row r="5558" spans="2:9" x14ac:dyDescent="0.2">
      <c r="B5558" s="11"/>
      <c r="C5558" s="11"/>
      <c r="D5558" s="11"/>
      <c r="E5558" s="11"/>
      <c r="F5558" s="11"/>
      <c r="G5558" s="11"/>
      <c r="H5558" s="11"/>
      <c r="I5558" s="11"/>
    </row>
    <row r="5559" spans="2:9" x14ac:dyDescent="0.2">
      <c r="B5559" s="11"/>
      <c r="C5559" s="11"/>
      <c r="D5559" s="11"/>
      <c r="E5559" s="11"/>
      <c r="F5559" s="11"/>
      <c r="G5559" s="11"/>
      <c r="H5559" s="11"/>
      <c r="I5559" s="11"/>
    </row>
    <row r="5560" spans="2:9" x14ac:dyDescent="0.2">
      <c r="B5560" s="11"/>
      <c r="C5560" s="11"/>
      <c r="D5560" s="11"/>
      <c r="E5560" s="11"/>
      <c r="F5560" s="11"/>
      <c r="G5560" s="11"/>
      <c r="H5560" s="11"/>
      <c r="I5560" s="11"/>
    </row>
    <row r="5561" spans="2:9" x14ac:dyDescent="0.2">
      <c r="B5561" s="11"/>
      <c r="C5561" s="11"/>
      <c r="D5561" s="11"/>
      <c r="E5561" s="11"/>
      <c r="F5561" s="11"/>
      <c r="G5561" s="11"/>
      <c r="H5561" s="11"/>
      <c r="I5561" s="11"/>
    </row>
    <row r="5562" spans="2:9" x14ac:dyDescent="0.2">
      <c r="B5562" s="11"/>
      <c r="C5562" s="11"/>
      <c r="D5562" s="11"/>
      <c r="E5562" s="11"/>
      <c r="F5562" s="11"/>
      <c r="G5562" s="11"/>
      <c r="H5562" s="11"/>
      <c r="I5562" s="11"/>
    </row>
    <row r="5563" spans="2:9" x14ac:dyDescent="0.2">
      <c r="B5563" s="11"/>
      <c r="C5563" s="11"/>
      <c r="D5563" s="11"/>
      <c r="E5563" s="11"/>
      <c r="F5563" s="11"/>
      <c r="G5563" s="11"/>
      <c r="H5563" s="11"/>
      <c r="I5563" s="11"/>
    </row>
    <row r="5564" spans="2:9" x14ac:dyDescent="0.2">
      <c r="B5564" s="11"/>
      <c r="C5564" s="11"/>
      <c r="D5564" s="11"/>
      <c r="E5564" s="11"/>
      <c r="F5564" s="11"/>
      <c r="G5564" s="11"/>
      <c r="H5564" s="11"/>
      <c r="I5564" s="11"/>
    </row>
    <row r="5565" spans="2:9" x14ac:dyDescent="0.2">
      <c r="B5565" s="11"/>
      <c r="C5565" s="11"/>
      <c r="D5565" s="11"/>
      <c r="E5565" s="11"/>
      <c r="F5565" s="11"/>
      <c r="G5565" s="11"/>
      <c r="H5565" s="11"/>
      <c r="I5565" s="11"/>
    </row>
    <row r="5566" spans="2:9" x14ac:dyDescent="0.2">
      <c r="B5566" s="11"/>
      <c r="C5566" s="11"/>
      <c r="D5566" s="11"/>
      <c r="E5566" s="11"/>
      <c r="F5566" s="11"/>
      <c r="G5566" s="11"/>
      <c r="H5566" s="11"/>
      <c r="I5566" s="11"/>
    </row>
    <row r="5567" spans="2:9" x14ac:dyDescent="0.2">
      <c r="B5567" s="11"/>
      <c r="C5567" s="11"/>
      <c r="D5567" s="11"/>
      <c r="E5567" s="11"/>
      <c r="F5567" s="11"/>
      <c r="G5567" s="11"/>
      <c r="H5567" s="11"/>
      <c r="I5567" s="11"/>
    </row>
    <row r="5568" spans="2:9" x14ac:dyDescent="0.2">
      <c r="B5568" s="11"/>
      <c r="C5568" s="11"/>
      <c r="D5568" s="11"/>
      <c r="E5568" s="11"/>
      <c r="F5568" s="11"/>
      <c r="G5568" s="11"/>
      <c r="H5568" s="11"/>
      <c r="I5568" s="11"/>
    </row>
    <row r="5569" spans="2:9" x14ac:dyDescent="0.2">
      <c r="B5569" s="11"/>
      <c r="C5569" s="11"/>
      <c r="D5569" s="11"/>
      <c r="E5569" s="11"/>
      <c r="F5569" s="11"/>
      <c r="G5569" s="11"/>
      <c r="H5569" s="11"/>
      <c r="I5569" s="11"/>
    </row>
    <row r="5570" spans="2:9" x14ac:dyDescent="0.2">
      <c r="B5570" s="11"/>
      <c r="C5570" s="11"/>
      <c r="D5570" s="11"/>
      <c r="E5570" s="11"/>
      <c r="F5570" s="11"/>
      <c r="G5570" s="11"/>
      <c r="H5570" s="11"/>
      <c r="I5570" s="11"/>
    </row>
    <row r="5571" spans="2:9" x14ac:dyDescent="0.2">
      <c r="B5571" s="11"/>
      <c r="C5571" s="11"/>
      <c r="D5571" s="11"/>
      <c r="E5571" s="11"/>
      <c r="F5571" s="11"/>
      <c r="G5571" s="11"/>
      <c r="H5571" s="11"/>
      <c r="I5571" s="11"/>
    </row>
    <row r="5572" spans="2:9" x14ac:dyDescent="0.2">
      <c r="B5572" s="11"/>
      <c r="C5572" s="11"/>
      <c r="D5572" s="11"/>
      <c r="E5572" s="11"/>
      <c r="F5572" s="11"/>
      <c r="G5572" s="11"/>
      <c r="H5572" s="11"/>
      <c r="I5572" s="11"/>
    </row>
    <row r="5573" spans="2:9" x14ac:dyDescent="0.2">
      <c r="B5573" s="11"/>
      <c r="C5573" s="11"/>
      <c r="D5573" s="11"/>
      <c r="E5573" s="11"/>
      <c r="F5573" s="11"/>
      <c r="G5573" s="11"/>
      <c r="H5573" s="11"/>
      <c r="I5573" s="11"/>
    </row>
    <row r="5574" spans="2:9" x14ac:dyDescent="0.2">
      <c r="B5574" s="11"/>
      <c r="C5574" s="11"/>
      <c r="D5574" s="11"/>
      <c r="E5574" s="11"/>
      <c r="F5574" s="11"/>
      <c r="G5574" s="11"/>
      <c r="H5574" s="11"/>
      <c r="I5574" s="11"/>
    </row>
    <row r="5575" spans="2:9" x14ac:dyDescent="0.2">
      <c r="B5575" s="11"/>
      <c r="C5575" s="11"/>
      <c r="D5575" s="11"/>
      <c r="E5575" s="11"/>
      <c r="F5575" s="11"/>
      <c r="G5575" s="11"/>
      <c r="H5575" s="11"/>
      <c r="I5575" s="11"/>
    </row>
    <row r="5576" spans="2:9" x14ac:dyDescent="0.2">
      <c r="B5576" s="11"/>
      <c r="C5576" s="11"/>
      <c r="D5576" s="11"/>
      <c r="E5576" s="11"/>
      <c r="F5576" s="11"/>
      <c r="G5576" s="11"/>
      <c r="H5576" s="11"/>
      <c r="I5576" s="11"/>
    </row>
    <row r="5577" spans="2:9" x14ac:dyDescent="0.2">
      <c r="B5577" s="11"/>
      <c r="C5577" s="11"/>
      <c r="D5577" s="11"/>
      <c r="E5577" s="11"/>
      <c r="F5577" s="11"/>
      <c r="G5577" s="11"/>
      <c r="H5577" s="11"/>
      <c r="I5577" s="11"/>
    </row>
    <row r="5578" spans="2:9" x14ac:dyDescent="0.2">
      <c r="B5578" s="11"/>
      <c r="C5578" s="11"/>
      <c r="D5578" s="11"/>
      <c r="E5578" s="11"/>
      <c r="F5578" s="11"/>
      <c r="G5578" s="11"/>
      <c r="H5578" s="11"/>
      <c r="I5578" s="11"/>
    </row>
    <row r="5579" spans="2:9" x14ac:dyDescent="0.2">
      <c r="B5579" s="11"/>
      <c r="C5579" s="11"/>
      <c r="D5579" s="11"/>
      <c r="E5579" s="11"/>
      <c r="F5579" s="11"/>
      <c r="G5579" s="11"/>
      <c r="H5579" s="11"/>
      <c r="I5579" s="11"/>
    </row>
    <row r="5580" spans="2:9" x14ac:dyDescent="0.2">
      <c r="B5580" s="11"/>
      <c r="C5580" s="11"/>
      <c r="D5580" s="11"/>
      <c r="E5580" s="11"/>
      <c r="F5580" s="11"/>
      <c r="G5580" s="11"/>
      <c r="H5580" s="11"/>
      <c r="I5580" s="11"/>
    </row>
    <row r="5581" spans="2:9" x14ac:dyDescent="0.2">
      <c r="B5581" s="11"/>
      <c r="C5581" s="11"/>
      <c r="D5581" s="11"/>
      <c r="E5581" s="11"/>
      <c r="F5581" s="11"/>
      <c r="G5581" s="11"/>
      <c r="H5581" s="11"/>
      <c r="I5581" s="11"/>
    </row>
    <row r="5582" spans="2:9" x14ac:dyDescent="0.2">
      <c r="B5582" s="11"/>
      <c r="C5582" s="11"/>
      <c r="D5582" s="11"/>
      <c r="E5582" s="11"/>
      <c r="F5582" s="11"/>
      <c r="G5582" s="11"/>
      <c r="H5582" s="11"/>
      <c r="I5582" s="11"/>
    </row>
    <row r="5583" spans="2:9" x14ac:dyDescent="0.2">
      <c r="B5583" s="11"/>
      <c r="C5583" s="11"/>
      <c r="D5583" s="11"/>
      <c r="E5583" s="11"/>
      <c r="F5583" s="11"/>
      <c r="G5583" s="11"/>
      <c r="H5583" s="11"/>
      <c r="I5583" s="11"/>
    </row>
    <row r="5584" spans="2:9" x14ac:dyDescent="0.2">
      <c r="B5584" s="11"/>
      <c r="C5584" s="11"/>
      <c r="D5584" s="11"/>
      <c r="E5584" s="11"/>
      <c r="F5584" s="11"/>
      <c r="G5584" s="11"/>
      <c r="H5584" s="11"/>
      <c r="I5584" s="11"/>
    </row>
    <row r="5585" spans="2:9" x14ac:dyDescent="0.2">
      <c r="B5585" s="11"/>
      <c r="C5585" s="11"/>
      <c r="D5585" s="11"/>
      <c r="E5585" s="11"/>
      <c r="F5585" s="11"/>
      <c r="G5585" s="11"/>
      <c r="H5585" s="11"/>
      <c r="I5585" s="11"/>
    </row>
    <row r="5586" spans="2:9" x14ac:dyDescent="0.2">
      <c r="B5586" s="11"/>
      <c r="C5586" s="11"/>
      <c r="D5586" s="11"/>
      <c r="E5586" s="11"/>
      <c r="F5586" s="11"/>
      <c r="G5586" s="11"/>
      <c r="H5586" s="11"/>
      <c r="I5586" s="11"/>
    </row>
    <row r="5587" spans="2:9" x14ac:dyDescent="0.2">
      <c r="B5587" s="11"/>
      <c r="C5587" s="11"/>
      <c r="D5587" s="11"/>
      <c r="E5587" s="11"/>
      <c r="F5587" s="11"/>
      <c r="G5587" s="11"/>
      <c r="H5587" s="11"/>
      <c r="I5587" s="11"/>
    </row>
    <row r="5588" spans="2:9" x14ac:dyDescent="0.2">
      <c r="B5588" s="11"/>
      <c r="C5588" s="11"/>
      <c r="D5588" s="11"/>
      <c r="E5588" s="11"/>
      <c r="F5588" s="11"/>
      <c r="G5588" s="11"/>
      <c r="H5588" s="11"/>
      <c r="I5588" s="11"/>
    </row>
    <row r="5589" spans="2:9" x14ac:dyDescent="0.2">
      <c r="B5589" s="11"/>
      <c r="C5589" s="11"/>
      <c r="D5589" s="11"/>
      <c r="E5589" s="11"/>
      <c r="F5589" s="11"/>
      <c r="G5589" s="11"/>
      <c r="H5589" s="11"/>
      <c r="I5589" s="11"/>
    </row>
    <row r="5590" spans="2:9" x14ac:dyDescent="0.2">
      <c r="B5590" s="11"/>
      <c r="C5590" s="11"/>
      <c r="D5590" s="11"/>
      <c r="E5590" s="11"/>
      <c r="F5590" s="11"/>
      <c r="G5590" s="11"/>
      <c r="H5590" s="11"/>
      <c r="I5590" s="11"/>
    </row>
    <row r="5591" spans="2:9" x14ac:dyDescent="0.2">
      <c r="B5591" s="11"/>
      <c r="C5591" s="11"/>
      <c r="D5591" s="11"/>
      <c r="E5591" s="11"/>
      <c r="F5591" s="11"/>
      <c r="G5591" s="11"/>
      <c r="H5591" s="11"/>
      <c r="I5591" s="11"/>
    </row>
    <row r="5592" spans="2:9" x14ac:dyDescent="0.2">
      <c r="B5592" s="11"/>
      <c r="C5592" s="11"/>
      <c r="D5592" s="11"/>
      <c r="E5592" s="11"/>
      <c r="F5592" s="11"/>
      <c r="G5592" s="11"/>
      <c r="H5592" s="11"/>
      <c r="I5592" s="11"/>
    </row>
    <row r="5593" spans="2:9" x14ac:dyDescent="0.2">
      <c r="B5593" s="11"/>
      <c r="C5593" s="11"/>
      <c r="D5593" s="11"/>
      <c r="E5593" s="11"/>
      <c r="F5593" s="11"/>
      <c r="G5593" s="11"/>
      <c r="H5593" s="11"/>
      <c r="I5593" s="11"/>
    </row>
    <row r="5594" spans="2:9" x14ac:dyDescent="0.2">
      <c r="B5594" s="11"/>
      <c r="C5594" s="11"/>
      <c r="D5594" s="11"/>
      <c r="E5594" s="11"/>
      <c r="F5594" s="11"/>
      <c r="G5594" s="11"/>
      <c r="H5594" s="11"/>
      <c r="I5594" s="11"/>
    </row>
    <row r="5595" spans="2:9" x14ac:dyDescent="0.2">
      <c r="B5595" s="11"/>
      <c r="C5595" s="11"/>
      <c r="D5595" s="11"/>
      <c r="E5595" s="11"/>
      <c r="F5595" s="11"/>
      <c r="G5595" s="11"/>
      <c r="H5595" s="11"/>
      <c r="I5595" s="11"/>
    </row>
    <row r="5596" spans="2:9" x14ac:dyDescent="0.2">
      <c r="B5596" s="11"/>
      <c r="C5596" s="11"/>
      <c r="D5596" s="11"/>
      <c r="E5596" s="11"/>
      <c r="F5596" s="11"/>
      <c r="G5596" s="11"/>
      <c r="H5596" s="11"/>
      <c r="I5596" s="11"/>
    </row>
    <row r="5597" spans="2:9" x14ac:dyDescent="0.2">
      <c r="B5597" s="11"/>
      <c r="C5597" s="11"/>
      <c r="D5597" s="11"/>
      <c r="E5597" s="11"/>
      <c r="F5597" s="11"/>
      <c r="G5597" s="11"/>
      <c r="H5597" s="11"/>
      <c r="I5597" s="11"/>
    </row>
    <row r="5598" spans="2:9" x14ac:dyDescent="0.2">
      <c r="B5598" s="11"/>
      <c r="C5598" s="11"/>
      <c r="D5598" s="11"/>
      <c r="E5598" s="11"/>
      <c r="F5598" s="11"/>
      <c r="G5598" s="11"/>
      <c r="H5598" s="11"/>
      <c r="I5598" s="11"/>
    </row>
    <row r="5599" spans="2:9" x14ac:dyDescent="0.2">
      <c r="B5599" s="11"/>
      <c r="C5599" s="11"/>
      <c r="D5599" s="11"/>
      <c r="E5599" s="11"/>
      <c r="F5599" s="11"/>
      <c r="G5599" s="11"/>
      <c r="H5599" s="11"/>
      <c r="I5599" s="11"/>
    </row>
    <row r="5600" spans="2:9" x14ac:dyDescent="0.2">
      <c r="B5600" s="11"/>
      <c r="C5600" s="11"/>
      <c r="D5600" s="11"/>
      <c r="E5600" s="11"/>
      <c r="F5600" s="11"/>
      <c r="G5600" s="11"/>
      <c r="H5600" s="11"/>
      <c r="I5600" s="11"/>
    </row>
    <row r="5601" spans="2:9" x14ac:dyDescent="0.2">
      <c r="B5601" s="11"/>
      <c r="C5601" s="11"/>
      <c r="D5601" s="11"/>
      <c r="E5601" s="11"/>
      <c r="F5601" s="11"/>
      <c r="G5601" s="11"/>
      <c r="H5601" s="11"/>
      <c r="I5601" s="11"/>
    </row>
    <row r="5602" spans="2:9" x14ac:dyDescent="0.2">
      <c r="B5602" s="11"/>
      <c r="C5602" s="11"/>
      <c r="D5602" s="11"/>
      <c r="E5602" s="11"/>
      <c r="F5602" s="11"/>
      <c r="G5602" s="11"/>
      <c r="H5602" s="11"/>
      <c r="I5602" s="11"/>
    </row>
    <row r="5603" spans="2:9" x14ac:dyDescent="0.2">
      <c r="B5603" s="11"/>
      <c r="C5603" s="11"/>
      <c r="D5603" s="11"/>
      <c r="E5603" s="11"/>
      <c r="F5603" s="11"/>
      <c r="G5603" s="11"/>
      <c r="H5603" s="11"/>
      <c r="I5603" s="11"/>
    </row>
    <row r="5604" spans="2:9" x14ac:dyDescent="0.2">
      <c r="B5604" s="11"/>
      <c r="C5604" s="11"/>
      <c r="D5604" s="11"/>
      <c r="E5604" s="11"/>
      <c r="F5604" s="11"/>
      <c r="G5604" s="11"/>
      <c r="H5604" s="11"/>
      <c r="I5604" s="11"/>
    </row>
    <row r="5605" spans="2:9" x14ac:dyDescent="0.2">
      <c r="B5605" s="11"/>
      <c r="C5605" s="11"/>
      <c r="D5605" s="11"/>
      <c r="E5605" s="11"/>
      <c r="F5605" s="11"/>
      <c r="G5605" s="11"/>
      <c r="H5605" s="11"/>
      <c r="I5605" s="11"/>
    </row>
    <row r="5606" spans="2:9" x14ac:dyDescent="0.2">
      <c r="B5606" s="11"/>
      <c r="C5606" s="11"/>
      <c r="D5606" s="11"/>
      <c r="E5606" s="11"/>
      <c r="F5606" s="11"/>
      <c r="G5606" s="11"/>
      <c r="H5606" s="11"/>
      <c r="I5606" s="11"/>
    </row>
    <row r="5607" spans="2:9" x14ac:dyDescent="0.2">
      <c r="B5607" s="11"/>
      <c r="C5607" s="11"/>
      <c r="D5607" s="11"/>
      <c r="E5607" s="11"/>
      <c r="F5607" s="11"/>
      <c r="G5607" s="11"/>
      <c r="H5607" s="11"/>
      <c r="I5607" s="11"/>
    </row>
    <row r="5608" spans="2:9" x14ac:dyDescent="0.2">
      <c r="B5608" s="11"/>
      <c r="C5608" s="11"/>
      <c r="D5608" s="11"/>
      <c r="E5608" s="11"/>
      <c r="F5608" s="11"/>
      <c r="G5608" s="11"/>
      <c r="H5608" s="11"/>
      <c r="I5608" s="11"/>
    </row>
    <row r="5609" spans="2:9" x14ac:dyDescent="0.2">
      <c r="B5609" s="11"/>
      <c r="C5609" s="11"/>
      <c r="D5609" s="11"/>
      <c r="E5609" s="11"/>
      <c r="F5609" s="11"/>
      <c r="G5609" s="11"/>
      <c r="H5609" s="11"/>
      <c r="I5609" s="11"/>
    </row>
    <row r="5610" spans="2:9" x14ac:dyDescent="0.2">
      <c r="B5610" s="11"/>
      <c r="C5610" s="11"/>
      <c r="D5610" s="11"/>
      <c r="E5610" s="11"/>
      <c r="F5610" s="11"/>
      <c r="G5610" s="11"/>
      <c r="H5610" s="11"/>
      <c r="I5610" s="11"/>
    </row>
    <row r="5611" spans="2:9" x14ac:dyDescent="0.2">
      <c r="B5611" s="11"/>
      <c r="C5611" s="11"/>
      <c r="D5611" s="11"/>
      <c r="E5611" s="11"/>
      <c r="F5611" s="11"/>
      <c r="G5611" s="11"/>
      <c r="H5611" s="11"/>
      <c r="I5611" s="11"/>
    </row>
    <row r="5612" spans="2:9" x14ac:dyDescent="0.2">
      <c r="B5612" s="11"/>
      <c r="C5612" s="11"/>
      <c r="D5612" s="11"/>
      <c r="E5612" s="11"/>
      <c r="F5612" s="11"/>
      <c r="G5612" s="11"/>
      <c r="H5612" s="11"/>
      <c r="I5612" s="11"/>
    </row>
    <row r="5613" spans="2:9" x14ac:dyDescent="0.2">
      <c r="B5613" s="11"/>
      <c r="C5613" s="11"/>
      <c r="D5613" s="11"/>
      <c r="E5613" s="11"/>
      <c r="F5613" s="11"/>
      <c r="G5613" s="11"/>
      <c r="H5613" s="11"/>
      <c r="I5613" s="11"/>
    </row>
    <row r="5614" spans="2:9" x14ac:dyDescent="0.2">
      <c r="B5614" s="11"/>
      <c r="C5614" s="11"/>
      <c r="D5614" s="11"/>
      <c r="E5614" s="11"/>
      <c r="F5614" s="11"/>
      <c r="G5614" s="11"/>
      <c r="H5614" s="11"/>
      <c r="I5614" s="11"/>
    </row>
    <row r="5615" spans="2:9" x14ac:dyDescent="0.2">
      <c r="B5615" s="11"/>
      <c r="C5615" s="11"/>
      <c r="D5615" s="11"/>
      <c r="E5615" s="11"/>
      <c r="F5615" s="11"/>
      <c r="G5615" s="11"/>
      <c r="H5615" s="11"/>
      <c r="I5615" s="11"/>
    </row>
    <row r="5616" spans="2:9" x14ac:dyDescent="0.2">
      <c r="B5616" s="11"/>
      <c r="C5616" s="11"/>
      <c r="D5616" s="11"/>
      <c r="E5616" s="11"/>
      <c r="F5616" s="11"/>
      <c r="G5616" s="11"/>
      <c r="H5616" s="11"/>
      <c r="I5616" s="11"/>
    </row>
    <row r="5617" spans="2:9" x14ac:dyDescent="0.2">
      <c r="B5617" s="11"/>
      <c r="C5617" s="11"/>
      <c r="D5617" s="11"/>
      <c r="E5617" s="11"/>
      <c r="F5617" s="11"/>
      <c r="G5617" s="11"/>
      <c r="H5617" s="11"/>
      <c r="I5617" s="11"/>
    </row>
    <row r="5618" spans="2:9" x14ac:dyDescent="0.2">
      <c r="B5618" s="11"/>
      <c r="C5618" s="11"/>
      <c r="D5618" s="11"/>
      <c r="E5618" s="11"/>
      <c r="F5618" s="11"/>
      <c r="G5618" s="11"/>
      <c r="H5618" s="11"/>
      <c r="I5618" s="11"/>
    </row>
    <row r="5619" spans="2:9" x14ac:dyDescent="0.2">
      <c r="B5619" s="11"/>
      <c r="C5619" s="11"/>
      <c r="D5619" s="11"/>
      <c r="E5619" s="11"/>
      <c r="F5619" s="11"/>
      <c r="G5619" s="11"/>
      <c r="H5619" s="11"/>
      <c r="I5619" s="11"/>
    </row>
    <row r="5620" spans="2:9" x14ac:dyDescent="0.2">
      <c r="B5620" s="11"/>
      <c r="C5620" s="11"/>
      <c r="D5620" s="11"/>
      <c r="E5620" s="11"/>
      <c r="F5620" s="11"/>
      <c r="G5620" s="11"/>
      <c r="H5620" s="11"/>
      <c r="I5620" s="11"/>
    </row>
    <row r="5621" spans="2:9" x14ac:dyDescent="0.2">
      <c r="B5621" s="11"/>
      <c r="C5621" s="11"/>
      <c r="D5621" s="11"/>
      <c r="E5621" s="11"/>
      <c r="F5621" s="11"/>
      <c r="G5621" s="11"/>
      <c r="H5621" s="11"/>
      <c r="I5621" s="11"/>
    </row>
    <row r="5622" spans="2:9" x14ac:dyDescent="0.2">
      <c r="B5622" s="11"/>
      <c r="C5622" s="11"/>
      <c r="D5622" s="11"/>
      <c r="E5622" s="11"/>
      <c r="F5622" s="11"/>
      <c r="G5622" s="11"/>
      <c r="H5622" s="11"/>
      <c r="I5622" s="11"/>
    </row>
    <row r="5623" spans="2:9" x14ac:dyDescent="0.2">
      <c r="B5623" s="11"/>
      <c r="C5623" s="11"/>
      <c r="D5623" s="11"/>
      <c r="E5623" s="11"/>
      <c r="F5623" s="11"/>
      <c r="G5623" s="11"/>
      <c r="H5623" s="11"/>
      <c r="I5623" s="11"/>
    </row>
    <row r="5624" spans="2:9" x14ac:dyDescent="0.2">
      <c r="B5624" s="11"/>
      <c r="C5624" s="11"/>
      <c r="D5624" s="11"/>
      <c r="E5624" s="11"/>
      <c r="F5624" s="11"/>
      <c r="G5624" s="11"/>
      <c r="H5624" s="11"/>
      <c r="I5624" s="11"/>
    </row>
    <row r="5625" spans="2:9" x14ac:dyDescent="0.2">
      <c r="B5625" s="11"/>
      <c r="C5625" s="11"/>
      <c r="D5625" s="11"/>
      <c r="E5625" s="11"/>
      <c r="F5625" s="11"/>
      <c r="G5625" s="11"/>
      <c r="H5625" s="11"/>
      <c r="I5625" s="11"/>
    </row>
    <row r="5626" spans="2:9" x14ac:dyDescent="0.2">
      <c r="B5626" s="11"/>
      <c r="C5626" s="11"/>
      <c r="D5626" s="11"/>
      <c r="E5626" s="11"/>
      <c r="F5626" s="11"/>
      <c r="G5626" s="11"/>
      <c r="H5626" s="11"/>
      <c r="I5626" s="11"/>
    </row>
    <row r="5627" spans="2:9" x14ac:dyDescent="0.2">
      <c r="B5627" s="11"/>
      <c r="C5627" s="11"/>
      <c r="D5627" s="11"/>
      <c r="E5627" s="11"/>
      <c r="F5627" s="11"/>
      <c r="G5627" s="11"/>
      <c r="H5627" s="11"/>
      <c r="I5627" s="11"/>
    </row>
    <row r="5628" spans="2:9" x14ac:dyDescent="0.2">
      <c r="B5628" s="11"/>
      <c r="C5628" s="11"/>
      <c r="D5628" s="11"/>
      <c r="E5628" s="11"/>
      <c r="F5628" s="11"/>
      <c r="G5628" s="11"/>
      <c r="H5628" s="11"/>
      <c r="I5628" s="11"/>
    </row>
    <row r="5629" spans="2:9" x14ac:dyDescent="0.2">
      <c r="B5629" s="11"/>
      <c r="C5629" s="11"/>
      <c r="D5629" s="11"/>
      <c r="E5629" s="11"/>
      <c r="F5629" s="11"/>
      <c r="G5629" s="11"/>
      <c r="H5629" s="11"/>
      <c r="I5629" s="11"/>
    </row>
    <row r="5630" spans="2:9" x14ac:dyDescent="0.2">
      <c r="B5630" s="11"/>
      <c r="C5630" s="11"/>
      <c r="D5630" s="11"/>
      <c r="E5630" s="11"/>
      <c r="F5630" s="11"/>
      <c r="G5630" s="11"/>
      <c r="H5630" s="11"/>
      <c r="I5630" s="11"/>
    </row>
    <row r="5631" spans="2:9" x14ac:dyDescent="0.2">
      <c r="B5631" s="11"/>
      <c r="C5631" s="11"/>
      <c r="D5631" s="11"/>
      <c r="E5631" s="11"/>
      <c r="F5631" s="11"/>
      <c r="G5631" s="11"/>
      <c r="H5631" s="11"/>
      <c r="I5631" s="11"/>
    </row>
    <row r="5632" spans="2:9" x14ac:dyDescent="0.2">
      <c r="B5632" s="11"/>
      <c r="C5632" s="11"/>
      <c r="D5632" s="11"/>
      <c r="E5632" s="11"/>
      <c r="F5632" s="11"/>
      <c r="G5632" s="11"/>
      <c r="H5632" s="11"/>
      <c r="I5632" s="11"/>
    </row>
    <row r="5633" spans="2:9" x14ac:dyDescent="0.2">
      <c r="B5633" s="11"/>
      <c r="C5633" s="11"/>
      <c r="D5633" s="11"/>
      <c r="E5633" s="11"/>
      <c r="F5633" s="11"/>
      <c r="G5633" s="11"/>
      <c r="H5633" s="11"/>
      <c r="I5633" s="11"/>
    </row>
    <row r="5634" spans="2:9" x14ac:dyDescent="0.2">
      <c r="B5634" s="11"/>
      <c r="C5634" s="11"/>
      <c r="D5634" s="11"/>
      <c r="E5634" s="11"/>
      <c r="F5634" s="11"/>
      <c r="G5634" s="11"/>
      <c r="H5634" s="11"/>
      <c r="I5634" s="11"/>
    </row>
    <row r="5635" spans="2:9" x14ac:dyDescent="0.2">
      <c r="B5635" s="11"/>
      <c r="C5635" s="11"/>
      <c r="D5635" s="11"/>
      <c r="E5635" s="11"/>
      <c r="F5635" s="11"/>
      <c r="G5635" s="11"/>
      <c r="H5635" s="11"/>
      <c r="I5635" s="11"/>
    </row>
    <row r="5636" spans="2:9" x14ac:dyDescent="0.2">
      <c r="B5636" s="11"/>
      <c r="C5636" s="11"/>
      <c r="D5636" s="11"/>
      <c r="E5636" s="11"/>
      <c r="F5636" s="11"/>
      <c r="G5636" s="11"/>
      <c r="H5636" s="11"/>
      <c r="I5636" s="11"/>
    </row>
    <row r="5637" spans="2:9" x14ac:dyDescent="0.2">
      <c r="B5637" s="11"/>
      <c r="C5637" s="11"/>
      <c r="D5637" s="11"/>
      <c r="E5637" s="11"/>
      <c r="F5637" s="11"/>
      <c r="G5637" s="11"/>
      <c r="H5637" s="11"/>
      <c r="I5637" s="11"/>
    </row>
    <row r="5638" spans="2:9" x14ac:dyDescent="0.2">
      <c r="B5638" s="11"/>
      <c r="C5638" s="11"/>
      <c r="D5638" s="11"/>
      <c r="E5638" s="11"/>
      <c r="F5638" s="11"/>
      <c r="G5638" s="11"/>
      <c r="H5638" s="11"/>
      <c r="I5638" s="11"/>
    </row>
    <row r="5639" spans="2:9" x14ac:dyDescent="0.2">
      <c r="B5639" s="11"/>
      <c r="C5639" s="11"/>
      <c r="D5639" s="11"/>
      <c r="E5639" s="11"/>
      <c r="F5639" s="11"/>
      <c r="G5639" s="11"/>
      <c r="H5639" s="11"/>
      <c r="I5639" s="11"/>
    </row>
    <row r="5640" spans="2:9" x14ac:dyDescent="0.2">
      <c r="B5640" s="11"/>
      <c r="C5640" s="11"/>
      <c r="D5640" s="11"/>
      <c r="E5640" s="11"/>
      <c r="F5640" s="11"/>
      <c r="G5640" s="11"/>
      <c r="H5640" s="11"/>
      <c r="I5640" s="11"/>
    </row>
    <row r="5641" spans="2:9" x14ac:dyDescent="0.2">
      <c r="B5641" s="11"/>
      <c r="C5641" s="11"/>
      <c r="D5641" s="11"/>
      <c r="E5641" s="11"/>
      <c r="F5641" s="11"/>
      <c r="G5641" s="11"/>
      <c r="H5641" s="11"/>
      <c r="I5641" s="11"/>
    </row>
    <row r="5642" spans="2:9" x14ac:dyDescent="0.2">
      <c r="B5642" s="11"/>
      <c r="C5642" s="11"/>
      <c r="D5642" s="11"/>
      <c r="E5642" s="11"/>
      <c r="F5642" s="11"/>
      <c r="G5642" s="11"/>
      <c r="H5642" s="11"/>
      <c r="I5642" s="11"/>
    </row>
    <row r="5643" spans="2:9" x14ac:dyDescent="0.2">
      <c r="B5643" s="11"/>
      <c r="C5643" s="11"/>
      <c r="D5643" s="11"/>
      <c r="E5643" s="11"/>
      <c r="F5643" s="11"/>
      <c r="G5643" s="11"/>
      <c r="H5643" s="11"/>
      <c r="I5643" s="11"/>
    </row>
    <row r="5644" spans="2:9" x14ac:dyDescent="0.2">
      <c r="B5644" s="11"/>
      <c r="C5644" s="11"/>
      <c r="D5644" s="11"/>
      <c r="E5644" s="11"/>
      <c r="F5644" s="11"/>
      <c r="G5644" s="11"/>
      <c r="H5644" s="11"/>
      <c r="I5644" s="11"/>
    </row>
    <row r="5645" spans="2:9" x14ac:dyDescent="0.2">
      <c r="B5645" s="11"/>
      <c r="C5645" s="11"/>
      <c r="D5645" s="11"/>
      <c r="E5645" s="11"/>
      <c r="F5645" s="11"/>
      <c r="G5645" s="11"/>
      <c r="H5645" s="11"/>
      <c r="I5645" s="11"/>
    </row>
    <row r="5646" spans="2:9" x14ac:dyDescent="0.2">
      <c r="B5646" s="11"/>
      <c r="C5646" s="11"/>
      <c r="D5646" s="11"/>
      <c r="E5646" s="11"/>
      <c r="F5646" s="11"/>
      <c r="G5646" s="11"/>
      <c r="H5646" s="11"/>
      <c r="I5646" s="11"/>
    </row>
    <row r="5647" spans="2:9" x14ac:dyDescent="0.2">
      <c r="B5647" s="11"/>
      <c r="C5647" s="11"/>
      <c r="D5647" s="11"/>
      <c r="E5647" s="11"/>
      <c r="F5647" s="11"/>
      <c r="G5647" s="11"/>
      <c r="H5647" s="11"/>
      <c r="I5647" s="11"/>
    </row>
    <row r="5648" spans="2:9" x14ac:dyDescent="0.2">
      <c r="B5648" s="11"/>
      <c r="C5648" s="11"/>
      <c r="D5648" s="11"/>
      <c r="E5648" s="11"/>
      <c r="F5648" s="11"/>
      <c r="G5648" s="11"/>
      <c r="H5648" s="11"/>
      <c r="I5648" s="11"/>
    </row>
    <row r="5649" spans="2:9" x14ac:dyDescent="0.2">
      <c r="B5649" s="11"/>
      <c r="C5649" s="11"/>
      <c r="D5649" s="11"/>
      <c r="E5649" s="11"/>
      <c r="F5649" s="11"/>
      <c r="G5649" s="11"/>
      <c r="H5649" s="11"/>
      <c r="I5649" s="11"/>
    </row>
    <row r="5650" spans="2:9" x14ac:dyDescent="0.2">
      <c r="B5650" s="11"/>
      <c r="C5650" s="11"/>
      <c r="D5650" s="11"/>
      <c r="E5650" s="11"/>
      <c r="F5650" s="11"/>
      <c r="G5650" s="11"/>
      <c r="H5650" s="11"/>
      <c r="I5650" s="11"/>
    </row>
    <row r="5651" spans="2:9" x14ac:dyDescent="0.2">
      <c r="B5651" s="11"/>
      <c r="C5651" s="11"/>
      <c r="D5651" s="11"/>
      <c r="E5651" s="11"/>
      <c r="F5651" s="11"/>
      <c r="G5651" s="11"/>
      <c r="H5651" s="11"/>
      <c r="I5651" s="11"/>
    </row>
    <row r="5652" spans="2:9" x14ac:dyDescent="0.2">
      <c r="B5652" s="11"/>
      <c r="C5652" s="11"/>
      <c r="D5652" s="11"/>
      <c r="E5652" s="11"/>
      <c r="F5652" s="11"/>
      <c r="G5652" s="11"/>
      <c r="H5652" s="11"/>
      <c r="I5652" s="11"/>
    </row>
    <row r="5653" spans="2:9" x14ac:dyDescent="0.2">
      <c r="B5653" s="11"/>
      <c r="C5653" s="11"/>
      <c r="D5653" s="11"/>
      <c r="E5653" s="11"/>
      <c r="F5653" s="11"/>
      <c r="G5653" s="11"/>
      <c r="H5653" s="11"/>
      <c r="I5653" s="11"/>
    </row>
    <row r="5654" spans="2:9" x14ac:dyDescent="0.2">
      <c r="B5654" s="11"/>
      <c r="C5654" s="11"/>
      <c r="D5654" s="11"/>
      <c r="E5654" s="11"/>
      <c r="F5654" s="11"/>
      <c r="G5654" s="11"/>
      <c r="H5654" s="11"/>
      <c r="I5654" s="11"/>
    </row>
    <row r="5655" spans="2:9" x14ac:dyDescent="0.2">
      <c r="B5655" s="11"/>
      <c r="C5655" s="11"/>
      <c r="D5655" s="11"/>
      <c r="E5655" s="11"/>
      <c r="F5655" s="11"/>
      <c r="G5655" s="11"/>
      <c r="H5655" s="11"/>
      <c r="I5655" s="11"/>
    </row>
    <row r="5656" spans="2:9" x14ac:dyDescent="0.2">
      <c r="B5656" s="11"/>
      <c r="C5656" s="11"/>
      <c r="D5656" s="11"/>
      <c r="E5656" s="11"/>
      <c r="F5656" s="11"/>
      <c r="G5656" s="11"/>
      <c r="H5656" s="11"/>
      <c r="I5656" s="11"/>
    </row>
    <row r="5657" spans="2:9" x14ac:dyDescent="0.2">
      <c r="B5657" s="11"/>
      <c r="C5657" s="11"/>
      <c r="D5657" s="11"/>
      <c r="E5657" s="11"/>
      <c r="F5657" s="11"/>
      <c r="G5657" s="11"/>
      <c r="H5657" s="11"/>
      <c r="I5657" s="11"/>
    </row>
    <row r="5658" spans="2:9" x14ac:dyDescent="0.2">
      <c r="B5658" s="11"/>
      <c r="C5658" s="11"/>
      <c r="D5658" s="11"/>
      <c r="E5658" s="11"/>
      <c r="F5658" s="11"/>
      <c r="G5658" s="11"/>
      <c r="H5658" s="11"/>
      <c r="I5658" s="11"/>
    </row>
    <row r="5659" spans="2:9" x14ac:dyDescent="0.2">
      <c r="B5659" s="11"/>
      <c r="C5659" s="11"/>
      <c r="D5659" s="11"/>
      <c r="E5659" s="11"/>
      <c r="F5659" s="11"/>
      <c r="G5659" s="11"/>
      <c r="H5659" s="11"/>
      <c r="I5659" s="11"/>
    </row>
    <row r="5660" spans="2:9" x14ac:dyDescent="0.2">
      <c r="B5660" s="11"/>
      <c r="C5660" s="11"/>
      <c r="D5660" s="11"/>
      <c r="E5660" s="11"/>
      <c r="F5660" s="11"/>
      <c r="G5660" s="11"/>
      <c r="H5660" s="11"/>
      <c r="I5660" s="11"/>
    </row>
    <row r="5661" spans="2:9" x14ac:dyDescent="0.2">
      <c r="B5661" s="11"/>
      <c r="C5661" s="11"/>
      <c r="D5661" s="11"/>
      <c r="E5661" s="11"/>
      <c r="F5661" s="11"/>
      <c r="G5661" s="11"/>
      <c r="H5661" s="11"/>
      <c r="I5661" s="11"/>
    </row>
    <row r="5662" spans="2:9" x14ac:dyDescent="0.2">
      <c r="B5662" s="11"/>
      <c r="C5662" s="11"/>
      <c r="D5662" s="11"/>
      <c r="E5662" s="11"/>
      <c r="F5662" s="11"/>
      <c r="G5662" s="11"/>
      <c r="H5662" s="11"/>
      <c r="I5662" s="11"/>
    </row>
    <row r="5663" spans="2:9" x14ac:dyDescent="0.2">
      <c r="B5663" s="11"/>
      <c r="C5663" s="11"/>
      <c r="D5663" s="11"/>
      <c r="E5663" s="11"/>
      <c r="F5663" s="11"/>
      <c r="G5663" s="11"/>
      <c r="H5663" s="11"/>
      <c r="I5663" s="11"/>
    </row>
    <row r="5664" spans="2:9" x14ac:dyDescent="0.2">
      <c r="B5664" s="11"/>
      <c r="C5664" s="11"/>
      <c r="D5664" s="11"/>
      <c r="E5664" s="11"/>
      <c r="F5664" s="11"/>
      <c r="G5664" s="11"/>
      <c r="H5664" s="11"/>
      <c r="I5664" s="11"/>
    </row>
    <row r="5665" spans="2:9" x14ac:dyDescent="0.2">
      <c r="B5665" s="11"/>
      <c r="C5665" s="11"/>
      <c r="D5665" s="11"/>
      <c r="E5665" s="11"/>
      <c r="F5665" s="11"/>
      <c r="G5665" s="11"/>
      <c r="H5665" s="11"/>
      <c r="I5665" s="11"/>
    </row>
    <row r="5666" spans="2:9" x14ac:dyDescent="0.2">
      <c r="B5666" s="11"/>
      <c r="C5666" s="11"/>
      <c r="D5666" s="11"/>
      <c r="E5666" s="11"/>
      <c r="F5666" s="11"/>
      <c r="G5666" s="11"/>
      <c r="H5666" s="11"/>
      <c r="I5666" s="11"/>
    </row>
    <row r="5667" spans="2:9" x14ac:dyDescent="0.2">
      <c r="B5667" s="11"/>
      <c r="C5667" s="11"/>
      <c r="D5667" s="11"/>
      <c r="E5667" s="11"/>
      <c r="F5667" s="11"/>
      <c r="G5667" s="11"/>
      <c r="H5667" s="11"/>
      <c r="I5667" s="11"/>
    </row>
    <row r="5668" spans="2:9" x14ac:dyDescent="0.2">
      <c r="B5668" s="11"/>
      <c r="C5668" s="11"/>
      <c r="D5668" s="11"/>
      <c r="E5668" s="11"/>
      <c r="F5668" s="11"/>
      <c r="G5668" s="11"/>
      <c r="H5668" s="11"/>
      <c r="I5668" s="11"/>
    </row>
    <row r="5669" spans="2:9" x14ac:dyDescent="0.2">
      <c r="B5669" s="11"/>
      <c r="C5669" s="11"/>
      <c r="D5669" s="11"/>
      <c r="E5669" s="11"/>
      <c r="F5669" s="11"/>
      <c r="G5669" s="11"/>
      <c r="H5669" s="11"/>
      <c r="I5669" s="11"/>
    </row>
    <row r="5670" spans="2:9" x14ac:dyDescent="0.2">
      <c r="B5670" s="11"/>
      <c r="C5670" s="11"/>
      <c r="D5670" s="11"/>
      <c r="E5670" s="11"/>
      <c r="F5670" s="11"/>
      <c r="G5670" s="11"/>
      <c r="H5670" s="11"/>
      <c r="I5670" s="11"/>
    </row>
    <row r="5671" spans="2:9" x14ac:dyDescent="0.2">
      <c r="B5671" s="11"/>
      <c r="C5671" s="11"/>
      <c r="D5671" s="11"/>
      <c r="E5671" s="11"/>
      <c r="F5671" s="11"/>
      <c r="G5671" s="11"/>
      <c r="H5671" s="11"/>
      <c r="I5671" s="11"/>
    </row>
    <row r="5672" spans="2:9" x14ac:dyDescent="0.2">
      <c r="B5672" s="11"/>
      <c r="C5672" s="11"/>
      <c r="D5672" s="11"/>
      <c r="E5672" s="11"/>
      <c r="F5672" s="11"/>
      <c r="G5672" s="11"/>
      <c r="H5672" s="11"/>
      <c r="I5672" s="11"/>
    </row>
    <row r="5673" spans="2:9" x14ac:dyDescent="0.2">
      <c r="B5673" s="11"/>
      <c r="C5673" s="11"/>
      <c r="D5673" s="11"/>
      <c r="E5673" s="11"/>
      <c r="F5673" s="11"/>
      <c r="G5673" s="11"/>
      <c r="H5673" s="11"/>
      <c r="I5673" s="11"/>
    </row>
    <row r="5674" spans="2:9" x14ac:dyDescent="0.2">
      <c r="B5674" s="11"/>
      <c r="C5674" s="11"/>
      <c r="D5674" s="11"/>
      <c r="E5674" s="11"/>
      <c r="F5674" s="11"/>
      <c r="G5674" s="11"/>
      <c r="H5674" s="11"/>
      <c r="I5674" s="11"/>
    </row>
    <row r="5675" spans="2:9" x14ac:dyDescent="0.2">
      <c r="B5675" s="11"/>
      <c r="C5675" s="11"/>
      <c r="D5675" s="11"/>
      <c r="E5675" s="11"/>
      <c r="F5675" s="11"/>
      <c r="G5675" s="11"/>
      <c r="H5675" s="11"/>
      <c r="I5675" s="11"/>
    </row>
    <row r="5676" spans="2:9" x14ac:dyDescent="0.2">
      <c r="B5676" s="11"/>
      <c r="C5676" s="11"/>
      <c r="D5676" s="11"/>
      <c r="E5676" s="11"/>
      <c r="F5676" s="11"/>
      <c r="G5676" s="11"/>
      <c r="H5676" s="11"/>
      <c r="I5676" s="11"/>
    </row>
    <row r="5677" spans="2:9" x14ac:dyDescent="0.2">
      <c r="B5677" s="11"/>
      <c r="C5677" s="11"/>
      <c r="D5677" s="11"/>
      <c r="E5677" s="11"/>
      <c r="F5677" s="11"/>
      <c r="G5677" s="11"/>
      <c r="H5677" s="11"/>
      <c r="I5677" s="11"/>
    </row>
    <row r="5678" spans="2:9" x14ac:dyDescent="0.2">
      <c r="B5678" s="11"/>
      <c r="C5678" s="11"/>
      <c r="D5678" s="11"/>
      <c r="E5678" s="11"/>
      <c r="F5678" s="11"/>
      <c r="G5678" s="11"/>
      <c r="H5678" s="11"/>
      <c r="I5678" s="11"/>
    </row>
    <row r="5679" spans="2:9" x14ac:dyDescent="0.2">
      <c r="B5679" s="11"/>
      <c r="C5679" s="11"/>
      <c r="D5679" s="11"/>
      <c r="E5679" s="11"/>
      <c r="F5679" s="11"/>
      <c r="G5679" s="11"/>
      <c r="H5679" s="11"/>
      <c r="I5679" s="11"/>
    </row>
    <row r="5680" spans="2:9" x14ac:dyDescent="0.2">
      <c r="B5680" s="11"/>
      <c r="C5680" s="11"/>
      <c r="D5680" s="11"/>
      <c r="E5680" s="11"/>
      <c r="F5680" s="11"/>
      <c r="G5680" s="11"/>
      <c r="H5680" s="11"/>
      <c r="I5680" s="11"/>
    </row>
    <row r="5681" spans="2:9" x14ac:dyDescent="0.2">
      <c r="B5681" s="11"/>
      <c r="C5681" s="11"/>
      <c r="D5681" s="11"/>
      <c r="E5681" s="11"/>
      <c r="F5681" s="11"/>
      <c r="G5681" s="11"/>
      <c r="H5681" s="11"/>
      <c r="I5681" s="11"/>
    </row>
    <row r="5682" spans="2:9" x14ac:dyDescent="0.2">
      <c r="B5682" s="11"/>
      <c r="C5682" s="11"/>
      <c r="D5682" s="11"/>
      <c r="E5682" s="11"/>
      <c r="F5682" s="11"/>
      <c r="G5682" s="11"/>
      <c r="H5682" s="11"/>
      <c r="I5682" s="11"/>
    </row>
    <row r="5683" spans="2:9" x14ac:dyDescent="0.2">
      <c r="B5683" s="11"/>
      <c r="C5683" s="11"/>
      <c r="D5683" s="11"/>
      <c r="E5683" s="11"/>
      <c r="F5683" s="11"/>
      <c r="G5683" s="11"/>
      <c r="H5683" s="11"/>
      <c r="I5683" s="11"/>
    </row>
    <row r="5684" spans="2:9" x14ac:dyDescent="0.2">
      <c r="B5684" s="11"/>
      <c r="C5684" s="11"/>
      <c r="D5684" s="11"/>
      <c r="E5684" s="11"/>
      <c r="F5684" s="11"/>
      <c r="G5684" s="11"/>
      <c r="H5684" s="11"/>
      <c r="I5684" s="11"/>
    </row>
    <row r="5685" spans="2:9" x14ac:dyDescent="0.2">
      <c r="B5685" s="11"/>
      <c r="C5685" s="11"/>
      <c r="D5685" s="11"/>
      <c r="E5685" s="11"/>
      <c r="F5685" s="11"/>
      <c r="G5685" s="11"/>
      <c r="H5685" s="11"/>
      <c r="I5685" s="11"/>
    </row>
    <row r="5686" spans="2:9" x14ac:dyDescent="0.2">
      <c r="B5686" s="11"/>
      <c r="C5686" s="11"/>
      <c r="D5686" s="11"/>
      <c r="E5686" s="11"/>
      <c r="F5686" s="11"/>
      <c r="G5686" s="11"/>
      <c r="H5686" s="11"/>
      <c r="I5686" s="11"/>
    </row>
    <row r="5687" spans="2:9" x14ac:dyDescent="0.2">
      <c r="B5687" s="11"/>
      <c r="C5687" s="11"/>
      <c r="D5687" s="11"/>
      <c r="E5687" s="11"/>
      <c r="F5687" s="11"/>
      <c r="G5687" s="11"/>
      <c r="H5687" s="11"/>
      <c r="I5687" s="11"/>
    </row>
    <row r="5688" spans="2:9" x14ac:dyDescent="0.2">
      <c r="B5688" s="11"/>
      <c r="C5688" s="11"/>
      <c r="D5688" s="11"/>
      <c r="E5688" s="11"/>
      <c r="F5688" s="11"/>
      <c r="G5688" s="11"/>
      <c r="H5688" s="11"/>
      <c r="I5688" s="11"/>
    </row>
    <row r="5689" spans="2:9" x14ac:dyDescent="0.2">
      <c r="B5689" s="11"/>
      <c r="C5689" s="11"/>
      <c r="D5689" s="11"/>
      <c r="E5689" s="11"/>
      <c r="F5689" s="11"/>
      <c r="G5689" s="11"/>
      <c r="H5689" s="11"/>
      <c r="I5689" s="11"/>
    </row>
    <row r="5690" spans="2:9" x14ac:dyDescent="0.2">
      <c r="B5690" s="11"/>
      <c r="C5690" s="11"/>
      <c r="D5690" s="11"/>
      <c r="E5690" s="11"/>
      <c r="F5690" s="11"/>
      <c r="G5690" s="11"/>
      <c r="H5690" s="11"/>
      <c r="I5690" s="11"/>
    </row>
    <row r="5691" spans="2:9" x14ac:dyDescent="0.2">
      <c r="B5691" s="11"/>
      <c r="C5691" s="11"/>
      <c r="D5691" s="11"/>
      <c r="E5691" s="11"/>
      <c r="F5691" s="11"/>
      <c r="G5691" s="11"/>
      <c r="H5691" s="11"/>
      <c r="I5691" s="11"/>
    </row>
    <row r="5692" spans="2:9" x14ac:dyDescent="0.2">
      <c r="B5692" s="11"/>
      <c r="C5692" s="11"/>
      <c r="D5692" s="11"/>
      <c r="E5692" s="11"/>
      <c r="F5692" s="11"/>
      <c r="G5692" s="11"/>
      <c r="H5692" s="11"/>
      <c r="I5692" s="11"/>
    </row>
    <row r="5693" spans="2:9" x14ac:dyDescent="0.2">
      <c r="B5693" s="11"/>
      <c r="C5693" s="11"/>
      <c r="D5693" s="11"/>
      <c r="E5693" s="11"/>
      <c r="F5693" s="11"/>
      <c r="G5693" s="11"/>
      <c r="H5693" s="11"/>
      <c r="I5693" s="11"/>
    </row>
    <row r="5694" spans="2:9" x14ac:dyDescent="0.2">
      <c r="B5694" s="11"/>
      <c r="C5694" s="11"/>
      <c r="D5694" s="11"/>
      <c r="E5694" s="11"/>
      <c r="F5694" s="11"/>
      <c r="G5694" s="11"/>
      <c r="H5694" s="11"/>
      <c r="I5694" s="11"/>
    </row>
    <row r="5695" spans="2:9" x14ac:dyDescent="0.2">
      <c r="B5695" s="11"/>
      <c r="C5695" s="11"/>
      <c r="D5695" s="11"/>
      <c r="E5695" s="11"/>
      <c r="F5695" s="11"/>
      <c r="G5695" s="11"/>
      <c r="H5695" s="11"/>
      <c r="I5695" s="11"/>
    </row>
    <row r="5696" spans="2:9" x14ac:dyDescent="0.2">
      <c r="B5696" s="11"/>
      <c r="C5696" s="11"/>
      <c r="D5696" s="11"/>
      <c r="E5696" s="11"/>
      <c r="F5696" s="11"/>
      <c r="G5696" s="11"/>
      <c r="H5696" s="11"/>
      <c r="I5696" s="11"/>
    </row>
    <row r="5697" spans="2:9" x14ac:dyDescent="0.2">
      <c r="B5697" s="11"/>
      <c r="C5697" s="11"/>
      <c r="D5697" s="11"/>
      <c r="E5697" s="11"/>
      <c r="F5697" s="11"/>
      <c r="G5697" s="11"/>
      <c r="H5697" s="11"/>
      <c r="I5697" s="11"/>
    </row>
    <row r="5698" spans="2:9" x14ac:dyDescent="0.2">
      <c r="B5698" s="11"/>
      <c r="C5698" s="11"/>
      <c r="D5698" s="11"/>
      <c r="E5698" s="11"/>
      <c r="F5698" s="11"/>
      <c r="G5698" s="11"/>
      <c r="H5698" s="11"/>
      <c r="I5698" s="11"/>
    </row>
    <row r="5699" spans="2:9" x14ac:dyDescent="0.2">
      <c r="B5699" s="11"/>
      <c r="C5699" s="11"/>
      <c r="D5699" s="11"/>
      <c r="E5699" s="11"/>
      <c r="F5699" s="11"/>
      <c r="G5699" s="11"/>
      <c r="H5699" s="11"/>
      <c r="I5699" s="11"/>
    </row>
    <row r="5700" spans="2:9" x14ac:dyDescent="0.2">
      <c r="B5700" s="11"/>
      <c r="C5700" s="11"/>
      <c r="D5700" s="11"/>
      <c r="E5700" s="11"/>
      <c r="F5700" s="11"/>
      <c r="G5700" s="11"/>
      <c r="H5700" s="11"/>
      <c r="I5700" s="11"/>
    </row>
    <row r="5701" spans="2:9" x14ac:dyDescent="0.2">
      <c r="B5701" s="11"/>
      <c r="C5701" s="11"/>
      <c r="D5701" s="11"/>
      <c r="E5701" s="11"/>
      <c r="F5701" s="11"/>
      <c r="G5701" s="11"/>
      <c r="H5701" s="11"/>
      <c r="I5701" s="11"/>
    </row>
    <row r="5702" spans="2:9" x14ac:dyDescent="0.2">
      <c r="B5702" s="11"/>
      <c r="C5702" s="11"/>
      <c r="D5702" s="11"/>
      <c r="E5702" s="11"/>
      <c r="F5702" s="11"/>
      <c r="G5702" s="11"/>
      <c r="H5702" s="11"/>
      <c r="I5702" s="11"/>
    </row>
    <row r="5703" spans="2:9" x14ac:dyDescent="0.2">
      <c r="B5703" s="11"/>
      <c r="C5703" s="11"/>
      <c r="D5703" s="11"/>
      <c r="E5703" s="11"/>
      <c r="F5703" s="11"/>
      <c r="G5703" s="11"/>
      <c r="H5703" s="11"/>
      <c r="I5703" s="11"/>
    </row>
    <row r="5704" spans="2:9" x14ac:dyDescent="0.2">
      <c r="B5704" s="11"/>
      <c r="C5704" s="11"/>
      <c r="D5704" s="11"/>
      <c r="E5704" s="11"/>
      <c r="F5704" s="11"/>
      <c r="G5704" s="11"/>
      <c r="H5704" s="11"/>
      <c r="I5704" s="11"/>
    </row>
    <row r="5705" spans="2:9" x14ac:dyDescent="0.2">
      <c r="B5705" s="11"/>
      <c r="C5705" s="11"/>
      <c r="D5705" s="11"/>
      <c r="E5705" s="11"/>
      <c r="F5705" s="11"/>
      <c r="G5705" s="11"/>
      <c r="H5705" s="11"/>
      <c r="I5705" s="11"/>
    </row>
    <row r="5706" spans="2:9" x14ac:dyDescent="0.2">
      <c r="B5706" s="11"/>
      <c r="C5706" s="11"/>
      <c r="D5706" s="11"/>
      <c r="E5706" s="11"/>
      <c r="F5706" s="11"/>
      <c r="G5706" s="11"/>
      <c r="H5706" s="11"/>
      <c r="I5706" s="11"/>
    </row>
    <row r="5707" spans="2:9" x14ac:dyDescent="0.2">
      <c r="B5707" s="11"/>
      <c r="C5707" s="11"/>
      <c r="D5707" s="11"/>
      <c r="E5707" s="11"/>
      <c r="F5707" s="11"/>
      <c r="G5707" s="11"/>
      <c r="H5707" s="11"/>
      <c r="I5707" s="11"/>
    </row>
    <row r="5708" spans="2:9" x14ac:dyDescent="0.2">
      <c r="B5708" s="11"/>
      <c r="C5708" s="11"/>
      <c r="D5708" s="11"/>
      <c r="E5708" s="11"/>
      <c r="F5708" s="11"/>
      <c r="G5708" s="11"/>
      <c r="H5708" s="11"/>
      <c r="I5708" s="11"/>
    </row>
    <row r="5709" spans="2:9" x14ac:dyDescent="0.2">
      <c r="B5709" s="11"/>
      <c r="C5709" s="11"/>
      <c r="D5709" s="11"/>
      <c r="E5709" s="11"/>
      <c r="F5709" s="11"/>
      <c r="G5709" s="11"/>
      <c r="H5709" s="11"/>
      <c r="I5709" s="11"/>
    </row>
    <row r="5710" spans="2:9" x14ac:dyDescent="0.2">
      <c r="B5710" s="11"/>
      <c r="C5710" s="11"/>
      <c r="D5710" s="11"/>
      <c r="E5710" s="11"/>
      <c r="F5710" s="11"/>
      <c r="G5710" s="11"/>
      <c r="H5710" s="11"/>
      <c r="I5710" s="11"/>
    </row>
    <row r="5711" spans="2:9" x14ac:dyDescent="0.2">
      <c r="B5711" s="11"/>
      <c r="C5711" s="11"/>
      <c r="D5711" s="11"/>
      <c r="E5711" s="11"/>
      <c r="F5711" s="11"/>
      <c r="G5711" s="11"/>
      <c r="H5711" s="11"/>
      <c r="I5711" s="11"/>
    </row>
    <row r="5712" spans="2:9" x14ac:dyDescent="0.2">
      <c r="B5712" s="11"/>
      <c r="C5712" s="11"/>
      <c r="D5712" s="11"/>
      <c r="E5712" s="11"/>
      <c r="F5712" s="11"/>
      <c r="G5712" s="11"/>
      <c r="H5712" s="11"/>
      <c r="I5712" s="11"/>
    </row>
    <row r="5713" spans="2:9" x14ac:dyDescent="0.2">
      <c r="B5713" s="11"/>
      <c r="C5713" s="11"/>
      <c r="D5713" s="11"/>
      <c r="E5713" s="11"/>
      <c r="F5713" s="11"/>
      <c r="G5713" s="11"/>
      <c r="H5713" s="11"/>
      <c r="I5713" s="11"/>
    </row>
    <row r="5714" spans="2:9" x14ac:dyDescent="0.2">
      <c r="B5714" s="11"/>
      <c r="C5714" s="11"/>
      <c r="D5714" s="11"/>
      <c r="E5714" s="11"/>
      <c r="F5714" s="11"/>
      <c r="G5714" s="11"/>
      <c r="H5714" s="11"/>
      <c r="I5714" s="11"/>
    </row>
    <row r="5715" spans="2:9" x14ac:dyDescent="0.2">
      <c r="B5715" s="11"/>
      <c r="C5715" s="11"/>
      <c r="D5715" s="11"/>
      <c r="E5715" s="11"/>
      <c r="F5715" s="11"/>
      <c r="G5715" s="11"/>
      <c r="H5715" s="11"/>
      <c r="I5715" s="11"/>
    </row>
    <row r="5716" spans="2:9" x14ac:dyDescent="0.2">
      <c r="B5716" s="11"/>
      <c r="C5716" s="11"/>
      <c r="D5716" s="11"/>
      <c r="E5716" s="11"/>
      <c r="F5716" s="11"/>
      <c r="G5716" s="11"/>
      <c r="H5716" s="11"/>
      <c r="I5716" s="11"/>
    </row>
    <row r="5717" spans="2:9" x14ac:dyDescent="0.2">
      <c r="B5717" s="11"/>
      <c r="C5717" s="11"/>
      <c r="D5717" s="11"/>
      <c r="E5717" s="11"/>
      <c r="F5717" s="11"/>
      <c r="G5717" s="11"/>
      <c r="H5717" s="11"/>
      <c r="I5717" s="11"/>
    </row>
    <row r="5718" spans="2:9" x14ac:dyDescent="0.2">
      <c r="B5718" s="11"/>
      <c r="C5718" s="11"/>
      <c r="D5718" s="11"/>
      <c r="E5718" s="11"/>
      <c r="F5718" s="11"/>
      <c r="G5718" s="11"/>
      <c r="H5718" s="11"/>
      <c r="I5718" s="11"/>
    </row>
    <row r="5719" spans="2:9" x14ac:dyDescent="0.2">
      <c r="B5719" s="11"/>
      <c r="C5719" s="11"/>
      <c r="D5719" s="11"/>
      <c r="E5719" s="11"/>
      <c r="F5719" s="11"/>
      <c r="G5719" s="11"/>
      <c r="H5719" s="11"/>
      <c r="I5719" s="11"/>
    </row>
    <row r="5720" spans="2:9" x14ac:dyDescent="0.2">
      <c r="B5720" s="11"/>
      <c r="C5720" s="11"/>
      <c r="D5720" s="11"/>
      <c r="E5720" s="11"/>
      <c r="F5720" s="11"/>
      <c r="G5720" s="11"/>
      <c r="H5720" s="11"/>
      <c r="I5720" s="11"/>
    </row>
    <row r="5721" spans="2:9" x14ac:dyDescent="0.2">
      <c r="B5721" s="11"/>
      <c r="C5721" s="11"/>
      <c r="D5721" s="11"/>
      <c r="E5721" s="11"/>
      <c r="F5721" s="11"/>
      <c r="G5721" s="11"/>
      <c r="H5721" s="11"/>
      <c r="I5721" s="11"/>
    </row>
    <row r="5722" spans="2:9" x14ac:dyDescent="0.2">
      <c r="B5722" s="11"/>
      <c r="C5722" s="11"/>
      <c r="D5722" s="11"/>
      <c r="E5722" s="11"/>
      <c r="F5722" s="11"/>
      <c r="G5722" s="11"/>
      <c r="H5722" s="11"/>
      <c r="I5722" s="11"/>
    </row>
    <row r="5723" spans="2:9" x14ac:dyDescent="0.2">
      <c r="B5723" s="11"/>
      <c r="C5723" s="11"/>
      <c r="D5723" s="11"/>
      <c r="E5723" s="11"/>
      <c r="F5723" s="11"/>
      <c r="G5723" s="11"/>
      <c r="H5723" s="11"/>
      <c r="I5723" s="11"/>
    </row>
    <row r="5724" spans="2:9" x14ac:dyDescent="0.2">
      <c r="B5724" s="11"/>
      <c r="C5724" s="11"/>
      <c r="D5724" s="11"/>
      <c r="E5724" s="11"/>
      <c r="F5724" s="11"/>
      <c r="G5724" s="11"/>
      <c r="H5724" s="11"/>
      <c r="I5724" s="11"/>
    </row>
    <row r="5725" spans="2:9" x14ac:dyDescent="0.2">
      <c r="B5725" s="11"/>
      <c r="C5725" s="11"/>
      <c r="D5725" s="11"/>
      <c r="E5725" s="11"/>
      <c r="F5725" s="11"/>
      <c r="G5725" s="11"/>
      <c r="H5725" s="11"/>
      <c r="I5725" s="11"/>
    </row>
    <row r="5726" spans="2:9" x14ac:dyDescent="0.2">
      <c r="B5726" s="11"/>
      <c r="C5726" s="11"/>
      <c r="D5726" s="11"/>
      <c r="E5726" s="11"/>
      <c r="F5726" s="11"/>
      <c r="G5726" s="11"/>
      <c r="H5726" s="11"/>
      <c r="I5726" s="11"/>
    </row>
    <row r="5727" spans="2:9" x14ac:dyDescent="0.2">
      <c r="B5727" s="11"/>
      <c r="C5727" s="11"/>
      <c r="D5727" s="11"/>
      <c r="E5727" s="11"/>
      <c r="F5727" s="11"/>
      <c r="G5727" s="11"/>
      <c r="H5727" s="11"/>
      <c r="I5727" s="11"/>
    </row>
    <row r="5728" spans="2:9" x14ac:dyDescent="0.2">
      <c r="B5728" s="11"/>
      <c r="C5728" s="11"/>
      <c r="D5728" s="11"/>
      <c r="E5728" s="11"/>
      <c r="F5728" s="11"/>
      <c r="G5728" s="11"/>
      <c r="H5728" s="11"/>
      <c r="I5728" s="11"/>
    </row>
    <row r="5729" spans="2:9" x14ac:dyDescent="0.2">
      <c r="B5729" s="11"/>
      <c r="C5729" s="11"/>
      <c r="D5729" s="11"/>
      <c r="E5729" s="11"/>
      <c r="F5729" s="11"/>
      <c r="G5729" s="11"/>
      <c r="H5729" s="11"/>
      <c r="I5729" s="11"/>
    </row>
    <row r="5730" spans="2:9" x14ac:dyDescent="0.2">
      <c r="B5730" s="11"/>
      <c r="C5730" s="11"/>
      <c r="D5730" s="11"/>
      <c r="E5730" s="11"/>
      <c r="F5730" s="11"/>
      <c r="G5730" s="11"/>
      <c r="H5730" s="11"/>
      <c r="I5730" s="11"/>
    </row>
    <row r="5731" spans="2:9" x14ac:dyDescent="0.2">
      <c r="B5731" s="11"/>
      <c r="C5731" s="11"/>
      <c r="D5731" s="11"/>
      <c r="E5731" s="11"/>
      <c r="F5731" s="11"/>
      <c r="G5731" s="11"/>
      <c r="H5731" s="11"/>
      <c r="I5731" s="11"/>
    </row>
    <row r="5732" spans="2:9" x14ac:dyDescent="0.2">
      <c r="B5732" s="11"/>
      <c r="C5732" s="11"/>
      <c r="D5732" s="11"/>
      <c r="E5732" s="11"/>
      <c r="F5732" s="11"/>
      <c r="G5732" s="11"/>
      <c r="H5732" s="11"/>
      <c r="I5732" s="11"/>
    </row>
    <row r="5733" spans="2:9" x14ac:dyDescent="0.2">
      <c r="B5733" s="11"/>
      <c r="C5733" s="11"/>
      <c r="D5733" s="11"/>
      <c r="E5733" s="11"/>
      <c r="F5733" s="11"/>
      <c r="G5733" s="11"/>
      <c r="H5733" s="11"/>
      <c r="I5733" s="11"/>
    </row>
    <row r="5734" spans="2:9" x14ac:dyDescent="0.2">
      <c r="B5734" s="11"/>
      <c r="C5734" s="11"/>
      <c r="D5734" s="11"/>
      <c r="E5734" s="11"/>
      <c r="F5734" s="11"/>
      <c r="G5734" s="11"/>
      <c r="H5734" s="11"/>
      <c r="I5734" s="11"/>
    </row>
    <row r="5735" spans="2:9" x14ac:dyDescent="0.2">
      <c r="B5735" s="11"/>
      <c r="C5735" s="11"/>
      <c r="D5735" s="11"/>
      <c r="E5735" s="11"/>
      <c r="F5735" s="11"/>
      <c r="G5735" s="11"/>
      <c r="H5735" s="11"/>
      <c r="I5735" s="11"/>
    </row>
    <row r="5736" spans="2:9" x14ac:dyDescent="0.2">
      <c r="B5736" s="11"/>
      <c r="C5736" s="11"/>
      <c r="D5736" s="11"/>
      <c r="E5736" s="11"/>
      <c r="F5736" s="11"/>
      <c r="G5736" s="11"/>
      <c r="H5736" s="11"/>
      <c r="I5736" s="11"/>
    </row>
    <row r="5737" spans="2:9" x14ac:dyDescent="0.2">
      <c r="B5737" s="11"/>
      <c r="C5737" s="11"/>
      <c r="D5737" s="11"/>
      <c r="E5737" s="11"/>
      <c r="F5737" s="11"/>
      <c r="G5737" s="11"/>
      <c r="H5737" s="11"/>
      <c r="I5737" s="11"/>
    </row>
    <row r="5738" spans="2:9" x14ac:dyDescent="0.2">
      <c r="B5738" s="11"/>
      <c r="C5738" s="11"/>
      <c r="D5738" s="11"/>
      <c r="E5738" s="11"/>
      <c r="F5738" s="11"/>
      <c r="G5738" s="11"/>
      <c r="H5738" s="11"/>
      <c r="I5738" s="11"/>
    </row>
    <row r="5739" spans="2:9" x14ac:dyDescent="0.2">
      <c r="B5739" s="11"/>
      <c r="C5739" s="11"/>
      <c r="D5739" s="11"/>
      <c r="E5739" s="11"/>
      <c r="F5739" s="11"/>
      <c r="G5739" s="11"/>
      <c r="H5739" s="11"/>
      <c r="I5739" s="11"/>
    </row>
    <row r="5740" spans="2:9" x14ac:dyDescent="0.2">
      <c r="B5740" s="11"/>
      <c r="C5740" s="11"/>
      <c r="D5740" s="11"/>
      <c r="E5740" s="11"/>
      <c r="F5740" s="11"/>
      <c r="G5740" s="11"/>
      <c r="H5740" s="11"/>
      <c r="I5740" s="11"/>
    </row>
    <row r="5741" spans="2:9" x14ac:dyDescent="0.2">
      <c r="B5741" s="11"/>
      <c r="C5741" s="11"/>
      <c r="D5741" s="11"/>
      <c r="E5741" s="11"/>
      <c r="F5741" s="11"/>
      <c r="G5741" s="11"/>
      <c r="H5741" s="11"/>
      <c r="I5741" s="11"/>
    </row>
    <row r="5742" spans="2:9" x14ac:dyDescent="0.2">
      <c r="B5742" s="11"/>
      <c r="C5742" s="11"/>
      <c r="D5742" s="11"/>
      <c r="E5742" s="11"/>
      <c r="F5742" s="11"/>
      <c r="G5742" s="11"/>
      <c r="H5742" s="11"/>
      <c r="I5742" s="11"/>
    </row>
    <row r="5743" spans="2:9" x14ac:dyDescent="0.2">
      <c r="B5743" s="11"/>
      <c r="C5743" s="11"/>
      <c r="D5743" s="11"/>
      <c r="E5743" s="11"/>
      <c r="F5743" s="11"/>
      <c r="G5743" s="11"/>
      <c r="H5743" s="11"/>
      <c r="I5743" s="11"/>
    </row>
    <row r="5744" spans="2:9" x14ac:dyDescent="0.2">
      <c r="B5744" s="11"/>
      <c r="C5744" s="11"/>
      <c r="D5744" s="11"/>
      <c r="E5744" s="11"/>
      <c r="F5744" s="11"/>
      <c r="G5744" s="11"/>
      <c r="H5744" s="11"/>
      <c r="I5744" s="11"/>
    </row>
    <row r="5745" spans="2:9" x14ac:dyDescent="0.2">
      <c r="B5745" s="11"/>
      <c r="C5745" s="11"/>
      <c r="D5745" s="11"/>
      <c r="E5745" s="11"/>
      <c r="F5745" s="11"/>
      <c r="G5745" s="11"/>
      <c r="H5745" s="11"/>
      <c r="I5745" s="11"/>
    </row>
    <row r="5746" spans="2:9" x14ac:dyDescent="0.2">
      <c r="B5746" s="11"/>
      <c r="C5746" s="11"/>
      <c r="D5746" s="11"/>
      <c r="E5746" s="11"/>
      <c r="F5746" s="11"/>
      <c r="G5746" s="11"/>
      <c r="H5746" s="11"/>
      <c r="I5746" s="11"/>
    </row>
    <row r="5747" spans="2:9" x14ac:dyDescent="0.2">
      <c r="B5747" s="11"/>
      <c r="C5747" s="11"/>
      <c r="D5747" s="11"/>
      <c r="E5747" s="11"/>
      <c r="F5747" s="11"/>
      <c r="G5747" s="11"/>
      <c r="H5747" s="11"/>
      <c r="I5747" s="11"/>
    </row>
    <row r="5748" spans="2:9" x14ac:dyDescent="0.2">
      <c r="B5748" s="11"/>
      <c r="C5748" s="11"/>
      <c r="D5748" s="11"/>
      <c r="E5748" s="11"/>
      <c r="F5748" s="11"/>
      <c r="G5748" s="11"/>
      <c r="H5748" s="11"/>
      <c r="I5748" s="11"/>
    </row>
    <row r="5749" spans="2:9" x14ac:dyDescent="0.2">
      <c r="B5749" s="11"/>
      <c r="C5749" s="11"/>
      <c r="D5749" s="11"/>
      <c r="E5749" s="11"/>
      <c r="F5749" s="11"/>
      <c r="G5749" s="11"/>
      <c r="H5749" s="11"/>
      <c r="I5749" s="11"/>
    </row>
    <row r="5750" spans="2:9" x14ac:dyDescent="0.2">
      <c r="B5750" s="11"/>
      <c r="C5750" s="11"/>
      <c r="D5750" s="11"/>
      <c r="E5750" s="11"/>
      <c r="F5750" s="11"/>
      <c r="G5750" s="11"/>
      <c r="H5750" s="11"/>
      <c r="I5750" s="11"/>
    </row>
    <row r="5751" spans="2:9" x14ac:dyDescent="0.2">
      <c r="B5751" s="11"/>
      <c r="C5751" s="11"/>
      <c r="D5751" s="11"/>
      <c r="E5751" s="11"/>
      <c r="F5751" s="11"/>
      <c r="G5751" s="11"/>
      <c r="H5751" s="11"/>
      <c r="I5751" s="11"/>
    </row>
    <row r="5752" spans="2:9" x14ac:dyDescent="0.2">
      <c r="B5752" s="11"/>
      <c r="C5752" s="11"/>
      <c r="D5752" s="11"/>
      <c r="E5752" s="11"/>
      <c r="F5752" s="11"/>
      <c r="G5752" s="11"/>
      <c r="H5752" s="11"/>
      <c r="I5752" s="11"/>
    </row>
    <row r="5753" spans="2:9" x14ac:dyDescent="0.2">
      <c r="B5753" s="11"/>
      <c r="C5753" s="11"/>
      <c r="D5753" s="11"/>
      <c r="E5753" s="11"/>
      <c r="F5753" s="11"/>
      <c r="G5753" s="11"/>
      <c r="H5753" s="11"/>
      <c r="I5753" s="11"/>
    </row>
    <row r="5754" spans="2:9" x14ac:dyDescent="0.2">
      <c r="B5754" s="11"/>
      <c r="C5754" s="11"/>
      <c r="D5754" s="11"/>
      <c r="E5754" s="11"/>
      <c r="F5754" s="11"/>
      <c r="G5754" s="11"/>
      <c r="H5754" s="11"/>
      <c r="I5754" s="11"/>
    </row>
    <row r="5755" spans="2:9" x14ac:dyDescent="0.2">
      <c r="B5755" s="11"/>
      <c r="C5755" s="11"/>
      <c r="D5755" s="11"/>
      <c r="E5755" s="11"/>
      <c r="F5755" s="11"/>
      <c r="G5755" s="11"/>
      <c r="H5755" s="11"/>
      <c r="I5755" s="11"/>
    </row>
    <row r="5756" spans="2:9" x14ac:dyDescent="0.2">
      <c r="B5756" s="11"/>
      <c r="C5756" s="11"/>
      <c r="D5756" s="11"/>
      <c r="E5756" s="11"/>
      <c r="F5756" s="11"/>
      <c r="G5756" s="11"/>
      <c r="H5756" s="11"/>
      <c r="I5756" s="11"/>
    </row>
    <row r="5757" spans="2:9" x14ac:dyDescent="0.2">
      <c r="B5757" s="11"/>
      <c r="C5757" s="11"/>
      <c r="D5757" s="11"/>
      <c r="E5757" s="11"/>
      <c r="F5757" s="11"/>
      <c r="G5757" s="11"/>
      <c r="H5757" s="11"/>
      <c r="I5757" s="11"/>
    </row>
    <row r="5758" spans="2:9" x14ac:dyDescent="0.2">
      <c r="B5758" s="11"/>
      <c r="C5758" s="11"/>
      <c r="D5758" s="11"/>
      <c r="E5758" s="11"/>
      <c r="F5758" s="11"/>
      <c r="G5758" s="11"/>
      <c r="H5758" s="11"/>
      <c r="I5758" s="11"/>
    </row>
    <row r="5759" spans="2:9" x14ac:dyDescent="0.2">
      <c r="B5759" s="11"/>
      <c r="C5759" s="11"/>
      <c r="D5759" s="11"/>
      <c r="E5759" s="11"/>
      <c r="F5759" s="11"/>
      <c r="G5759" s="11"/>
      <c r="H5759" s="11"/>
      <c r="I5759" s="11"/>
    </row>
    <row r="5760" spans="2:9" x14ac:dyDescent="0.2">
      <c r="B5760" s="11"/>
      <c r="C5760" s="11"/>
      <c r="D5760" s="11"/>
      <c r="E5760" s="11"/>
      <c r="F5760" s="11"/>
      <c r="G5760" s="11"/>
      <c r="H5760" s="11"/>
      <c r="I5760" s="11"/>
    </row>
    <row r="5761" spans="2:9" x14ac:dyDescent="0.2">
      <c r="B5761" s="11"/>
      <c r="C5761" s="11"/>
      <c r="D5761" s="11"/>
      <c r="E5761" s="11"/>
      <c r="F5761" s="11"/>
      <c r="G5761" s="11"/>
      <c r="H5761" s="11"/>
      <c r="I5761" s="11"/>
    </row>
    <row r="5762" spans="2:9" x14ac:dyDescent="0.2">
      <c r="B5762" s="11"/>
      <c r="C5762" s="11"/>
      <c r="D5762" s="11"/>
      <c r="E5762" s="11"/>
      <c r="F5762" s="11"/>
      <c r="G5762" s="11"/>
      <c r="H5762" s="11"/>
      <c r="I5762" s="11"/>
    </row>
    <row r="5763" spans="2:9" x14ac:dyDescent="0.2">
      <c r="B5763" s="11"/>
      <c r="C5763" s="11"/>
      <c r="D5763" s="11"/>
      <c r="E5763" s="11"/>
      <c r="F5763" s="11"/>
      <c r="G5763" s="11"/>
      <c r="H5763" s="11"/>
      <c r="I5763" s="11"/>
    </row>
    <row r="5764" spans="2:9" x14ac:dyDescent="0.2">
      <c r="B5764" s="11"/>
      <c r="C5764" s="11"/>
      <c r="D5764" s="11"/>
      <c r="E5764" s="11"/>
      <c r="F5764" s="11"/>
      <c r="G5764" s="11"/>
      <c r="H5764" s="11"/>
      <c r="I5764" s="11"/>
    </row>
    <row r="5765" spans="2:9" x14ac:dyDescent="0.2">
      <c r="B5765" s="11"/>
      <c r="C5765" s="11"/>
      <c r="D5765" s="11"/>
      <c r="E5765" s="11"/>
      <c r="F5765" s="11"/>
      <c r="G5765" s="11"/>
      <c r="H5765" s="11"/>
      <c r="I5765" s="11"/>
    </row>
    <row r="5766" spans="2:9" x14ac:dyDescent="0.2">
      <c r="B5766" s="11"/>
      <c r="C5766" s="11"/>
      <c r="D5766" s="11"/>
      <c r="E5766" s="11"/>
      <c r="F5766" s="11"/>
      <c r="G5766" s="11"/>
      <c r="H5766" s="11"/>
      <c r="I5766" s="11"/>
    </row>
    <row r="5767" spans="2:9" x14ac:dyDescent="0.2">
      <c r="B5767" s="11"/>
      <c r="C5767" s="11"/>
      <c r="D5767" s="11"/>
      <c r="E5767" s="11"/>
      <c r="F5767" s="11"/>
      <c r="G5767" s="11"/>
      <c r="H5767" s="11"/>
      <c r="I5767" s="11"/>
    </row>
    <row r="5768" spans="2:9" x14ac:dyDescent="0.2">
      <c r="B5768" s="11"/>
      <c r="C5768" s="11"/>
      <c r="D5768" s="11"/>
      <c r="E5768" s="11"/>
      <c r="F5768" s="11"/>
      <c r="G5768" s="11"/>
      <c r="H5768" s="11"/>
      <c r="I5768" s="11"/>
    </row>
    <row r="5769" spans="2:9" x14ac:dyDescent="0.2">
      <c r="B5769" s="11"/>
      <c r="C5769" s="11"/>
      <c r="D5769" s="11"/>
      <c r="E5769" s="11"/>
      <c r="F5769" s="11"/>
      <c r="G5769" s="11"/>
      <c r="H5769" s="11"/>
      <c r="I5769" s="11"/>
    </row>
    <row r="5770" spans="2:9" x14ac:dyDescent="0.2">
      <c r="B5770" s="11"/>
      <c r="C5770" s="11"/>
      <c r="D5770" s="11"/>
      <c r="E5770" s="11"/>
      <c r="F5770" s="11"/>
      <c r="G5770" s="11"/>
      <c r="H5770" s="11"/>
      <c r="I5770" s="11"/>
    </row>
    <row r="5771" spans="2:9" x14ac:dyDescent="0.2">
      <c r="B5771" s="11"/>
      <c r="C5771" s="11"/>
      <c r="D5771" s="11"/>
      <c r="E5771" s="11"/>
      <c r="F5771" s="11"/>
      <c r="G5771" s="11"/>
      <c r="H5771" s="11"/>
      <c r="I5771" s="11"/>
    </row>
    <row r="5772" spans="2:9" x14ac:dyDescent="0.2">
      <c r="B5772" s="11"/>
      <c r="C5772" s="11"/>
      <c r="D5772" s="11"/>
      <c r="E5772" s="11"/>
      <c r="F5772" s="11"/>
      <c r="G5772" s="11"/>
      <c r="H5772" s="11"/>
      <c r="I5772" s="11"/>
    </row>
    <row r="5773" spans="2:9" x14ac:dyDescent="0.2">
      <c r="B5773" s="11"/>
      <c r="C5773" s="11"/>
      <c r="D5773" s="11"/>
      <c r="E5773" s="11"/>
      <c r="F5773" s="11"/>
      <c r="G5773" s="11"/>
      <c r="H5773" s="11"/>
      <c r="I5773" s="11"/>
    </row>
    <row r="5774" spans="2:9" x14ac:dyDescent="0.2">
      <c r="B5774" s="11"/>
      <c r="C5774" s="11"/>
      <c r="D5774" s="11"/>
      <c r="E5774" s="11"/>
      <c r="F5774" s="11"/>
      <c r="G5774" s="11"/>
      <c r="H5774" s="11"/>
      <c r="I5774" s="11"/>
    </row>
    <row r="5775" spans="2:9" x14ac:dyDescent="0.2">
      <c r="B5775" s="11"/>
      <c r="C5775" s="11"/>
      <c r="D5775" s="11"/>
      <c r="E5775" s="11"/>
      <c r="F5775" s="11"/>
      <c r="G5775" s="11"/>
      <c r="H5775" s="11"/>
      <c r="I5775" s="11"/>
    </row>
    <row r="5776" spans="2:9" x14ac:dyDescent="0.2">
      <c r="B5776" s="11"/>
      <c r="C5776" s="11"/>
      <c r="D5776" s="11"/>
      <c r="E5776" s="11"/>
      <c r="F5776" s="11"/>
      <c r="G5776" s="11"/>
      <c r="H5776" s="11"/>
      <c r="I5776" s="11"/>
    </row>
    <row r="5777" spans="2:9" x14ac:dyDescent="0.2">
      <c r="B5777" s="11"/>
      <c r="C5777" s="11"/>
      <c r="D5777" s="11"/>
      <c r="E5777" s="11"/>
      <c r="F5777" s="11"/>
      <c r="G5777" s="11"/>
      <c r="H5777" s="11"/>
      <c r="I5777" s="11"/>
    </row>
    <row r="5778" spans="2:9" x14ac:dyDescent="0.2">
      <c r="B5778" s="11"/>
      <c r="C5778" s="11"/>
      <c r="D5778" s="11"/>
      <c r="E5778" s="11"/>
      <c r="F5778" s="11"/>
      <c r="G5778" s="11"/>
      <c r="H5778" s="11"/>
      <c r="I5778" s="11"/>
    </row>
    <row r="5779" spans="2:9" x14ac:dyDescent="0.2">
      <c r="B5779" s="11"/>
      <c r="C5779" s="11"/>
      <c r="D5779" s="11"/>
      <c r="E5779" s="11"/>
      <c r="F5779" s="11"/>
      <c r="G5779" s="11"/>
      <c r="H5779" s="11"/>
      <c r="I5779" s="11"/>
    </row>
    <row r="5780" spans="2:9" x14ac:dyDescent="0.2">
      <c r="B5780" s="11"/>
      <c r="C5780" s="11"/>
      <c r="D5780" s="11"/>
      <c r="E5780" s="11"/>
      <c r="F5780" s="11"/>
      <c r="G5780" s="11"/>
      <c r="H5780" s="11"/>
      <c r="I5780" s="11"/>
    </row>
    <row r="5781" spans="2:9" x14ac:dyDescent="0.2">
      <c r="B5781" s="11"/>
      <c r="C5781" s="11"/>
      <c r="D5781" s="11"/>
      <c r="E5781" s="11"/>
      <c r="F5781" s="11"/>
      <c r="G5781" s="11"/>
      <c r="H5781" s="11"/>
      <c r="I5781" s="11"/>
    </row>
    <row r="5782" spans="2:9" x14ac:dyDescent="0.2">
      <c r="B5782" s="11"/>
      <c r="C5782" s="11"/>
      <c r="D5782" s="11"/>
      <c r="E5782" s="11"/>
      <c r="F5782" s="11"/>
      <c r="G5782" s="11"/>
      <c r="H5782" s="11"/>
      <c r="I5782" s="11"/>
    </row>
    <row r="5783" spans="2:9" x14ac:dyDescent="0.2">
      <c r="B5783" s="11"/>
      <c r="C5783" s="11"/>
      <c r="D5783" s="11"/>
      <c r="E5783" s="11"/>
      <c r="F5783" s="11"/>
      <c r="G5783" s="11"/>
      <c r="H5783" s="11"/>
      <c r="I5783" s="11"/>
    </row>
    <row r="5784" spans="2:9" x14ac:dyDescent="0.2">
      <c r="B5784" s="11"/>
      <c r="C5784" s="11"/>
      <c r="D5784" s="11"/>
      <c r="E5784" s="11"/>
      <c r="F5784" s="11"/>
      <c r="G5784" s="11"/>
      <c r="H5784" s="11"/>
      <c r="I5784" s="11"/>
    </row>
    <row r="5785" spans="2:9" x14ac:dyDescent="0.2">
      <c r="B5785" s="11"/>
      <c r="C5785" s="11"/>
      <c r="D5785" s="11"/>
      <c r="E5785" s="11"/>
      <c r="F5785" s="11"/>
      <c r="G5785" s="11"/>
      <c r="H5785" s="11"/>
      <c r="I5785" s="11"/>
    </row>
    <row r="5786" spans="2:9" x14ac:dyDescent="0.2">
      <c r="B5786" s="11"/>
      <c r="C5786" s="11"/>
      <c r="D5786" s="11"/>
      <c r="E5786" s="11"/>
      <c r="F5786" s="11"/>
      <c r="G5786" s="11"/>
      <c r="H5786" s="11"/>
      <c r="I5786" s="11"/>
    </row>
    <row r="5787" spans="2:9" x14ac:dyDescent="0.2">
      <c r="B5787" s="11"/>
      <c r="C5787" s="11"/>
      <c r="D5787" s="11"/>
      <c r="E5787" s="11"/>
      <c r="F5787" s="11"/>
      <c r="G5787" s="11"/>
      <c r="H5787" s="11"/>
      <c r="I5787" s="11"/>
    </row>
    <row r="5788" spans="2:9" x14ac:dyDescent="0.2">
      <c r="B5788" s="11"/>
      <c r="C5788" s="11"/>
      <c r="D5788" s="11"/>
      <c r="E5788" s="11"/>
      <c r="F5788" s="11"/>
      <c r="G5788" s="11"/>
      <c r="H5788" s="11"/>
      <c r="I5788" s="11"/>
    </row>
    <row r="5789" spans="2:9" x14ac:dyDescent="0.2">
      <c r="B5789" s="11"/>
      <c r="C5789" s="11"/>
      <c r="D5789" s="11"/>
      <c r="E5789" s="11"/>
      <c r="F5789" s="11"/>
      <c r="G5789" s="11"/>
      <c r="H5789" s="11"/>
      <c r="I5789" s="11"/>
    </row>
    <row r="5790" spans="2:9" x14ac:dyDescent="0.2">
      <c r="B5790" s="11"/>
      <c r="C5790" s="11"/>
      <c r="D5790" s="11"/>
      <c r="E5790" s="11"/>
      <c r="F5790" s="11"/>
      <c r="G5790" s="11"/>
      <c r="H5790" s="11"/>
      <c r="I5790" s="11"/>
    </row>
    <row r="5791" spans="2:9" x14ac:dyDescent="0.2">
      <c r="B5791" s="11"/>
      <c r="C5791" s="11"/>
      <c r="D5791" s="11"/>
      <c r="E5791" s="11"/>
      <c r="F5791" s="11"/>
      <c r="G5791" s="11"/>
      <c r="H5791" s="11"/>
      <c r="I5791" s="11"/>
    </row>
    <row r="5792" spans="2:9" x14ac:dyDescent="0.2">
      <c r="B5792" s="11"/>
      <c r="C5792" s="11"/>
      <c r="D5792" s="11"/>
      <c r="E5792" s="11"/>
      <c r="F5792" s="11"/>
      <c r="G5792" s="11"/>
      <c r="H5792" s="11"/>
      <c r="I5792" s="11"/>
    </row>
    <row r="5793" spans="2:9" x14ac:dyDescent="0.2">
      <c r="B5793" s="11"/>
      <c r="C5793" s="11"/>
      <c r="D5793" s="11"/>
      <c r="E5793" s="11"/>
      <c r="F5793" s="11"/>
      <c r="G5793" s="11"/>
      <c r="H5793" s="11"/>
      <c r="I5793" s="11"/>
    </row>
    <row r="5794" spans="2:9" x14ac:dyDescent="0.2">
      <c r="B5794" s="11"/>
      <c r="C5794" s="11"/>
      <c r="D5794" s="11"/>
      <c r="E5794" s="11"/>
      <c r="F5794" s="11"/>
      <c r="G5794" s="11"/>
      <c r="H5794" s="11"/>
      <c r="I5794" s="11"/>
    </row>
    <row r="5795" spans="2:9" x14ac:dyDescent="0.2">
      <c r="B5795" s="11"/>
      <c r="C5795" s="11"/>
      <c r="D5795" s="11"/>
      <c r="E5795" s="11"/>
      <c r="F5795" s="11"/>
      <c r="G5795" s="11"/>
      <c r="H5795" s="11"/>
      <c r="I5795" s="11"/>
    </row>
    <row r="5796" spans="2:9" x14ac:dyDescent="0.2">
      <c r="B5796" s="11"/>
      <c r="C5796" s="11"/>
      <c r="D5796" s="11"/>
      <c r="E5796" s="11"/>
      <c r="F5796" s="11"/>
      <c r="G5796" s="11"/>
      <c r="H5796" s="11"/>
      <c r="I5796" s="11"/>
    </row>
    <row r="5797" spans="2:9" x14ac:dyDescent="0.2">
      <c r="B5797" s="11"/>
      <c r="C5797" s="11"/>
      <c r="D5797" s="11"/>
      <c r="E5797" s="11"/>
      <c r="F5797" s="11"/>
      <c r="G5797" s="11"/>
      <c r="H5797" s="11"/>
      <c r="I5797" s="11"/>
    </row>
    <row r="5798" spans="2:9" x14ac:dyDescent="0.2">
      <c r="B5798" s="11"/>
      <c r="C5798" s="11"/>
      <c r="D5798" s="11"/>
      <c r="E5798" s="11"/>
      <c r="F5798" s="11"/>
      <c r="G5798" s="11"/>
      <c r="H5798" s="11"/>
      <c r="I5798" s="11"/>
    </row>
    <row r="5799" spans="2:9" x14ac:dyDescent="0.2">
      <c r="B5799" s="11"/>
      <c r="C5799" s="11"/>
      <c r="D5799" s="11"/>
      <c r="E5799" s="11"/>
      <c r="F5799" s="11"/>
      <c r="G5799" s="11"/>
      <c r="H5799" s="11"/>
      <c r="I5799" s="11"/>
    </row>
    <row r="5800" spans="2:9" x14ac:dyDescent="0.2">
      <c r="B5800" s="11"/>
      <c r="C5800" s="11"/>
      <c r="D5800" s="11"/>
      <c r="E5800" s="11"/>
      <c r="F5800" s="11"/>
      <c r="G5800" s="11"/>
      <c r="H5800" s="11"/>
      <c r="I5800" s="11"/>
    </row>
    <row r="5801" spans="2:9" x14ac:dyDescent="0.2">
      <c r="B5801" s="11"/>
      <c r="C5801" s="11"/>
      <c r="D5801" s="11"/>
      <c r="E5801" s="11"/>
      <c r="F5801" s="11"/>
      <c r="G5801" s="11"/>
      <c r="H5801" s="11"/>
      <c r="I5801" s="11"/>
    </row>
    <row r="5802" spans="2:9" x14ac:dyDescent="0.2">
      <c r="B5802" s="11"/>
      <c r="C5802" s="11"/>
      <c r="D5802" s="11"/>
      <c r="E5802" s="11"/>
      <c r="F5802" s="11"/>
      <c r="G5802" s="11"/>
      <c r="H5802" s="11"/>
      <c r="I5802" s="11"/>
    </row>
    <row r="5803" spans="2:9" x14ac:dyDescent="0.2">
      <c r="B5803" s="11"/>
      <c r="C5803" s="11"/>
      <c r="D5803" s="11"/>
      <c r="E5803" s="11"/>
      <c r="F5803" s="11"/>
      <c r="G5803" s="11"/>
      <c r="H5803" s="11"/>
      <c r="I5803" s="11"/>
    </row>
    <row r="5804" spans="2:9" x14ac:dyDescent="0.2">
      <c r="B5804" s="11"/>
      <c r="C5804" s="11"/>
      <c r="D5804" s="11"/>
      <c r="E5804" s="11"/>
      <c r="F5804" s="11"/>
      <c r="G5804" s="11"/>
      <c r="H5804" s="11"/>
      <c r="I5804" s="11"/>
    </row>
    <row r="5805" spans="2:9" x14ac:dyDescent="0.2">
      <c r="B5805" s="11"/>
      <c r="C5805" s="11"/>
      <c r="D5805" s="11"/>
      <c r="E5805" s="11"/>
      <c r="F5805" s="11"/>
      <c r="G5805" s="11"/>
      <c r="H5805" s="11"/>
      <c r="I5805" s="11"/>
    </row>
    <row r="5806" spans="2:9" x14ac:dyDescent="0.2">
      <c r="B5806" s="11"/>
      <c r="C5806" s="11"/>
      <c r="D5806" s="11"/>
      <c r="E5806" s="11"/>
      <c r="F5806" s="11"/>
      <c r="G5806" s="11"/>
      <c r="H5806" s="11"/>
      <c r="I5806" s="11"/>
    </row>
    <row r="5807" spans="2:9" x14ac:dyDescent="0.2">
      <c r="B5807" s="11"/>
      <c r="C5807" s="11"/>
      <c r="D5807" s="11"/>
      <c r="E5807" s="11"/>
      <c r="F5807" s="11"/>
      <c r="G5807" s="11"/>
      <c r="H5807" s="11"/>
      <c r="I5807" s="11"/>
    </row>
    <row r="5808" spans="2:9" x14ac:dyDescent="0.2">
      <c r="B5808" s="11"/>
      <c r="C5808" s="11"/>
      <c r="D5808" s="11"/>
      <c r="E5808" s="11"/>
      <c r="F5808" s="11"/>
      <c r="G5808" s="11"/>
      <c r="H5808" s="11"/>
      <c r="I5808" s="11"/>
    </row>
    <row r="5809" spans="2:9" x14ac:dyDescent="0.2">
      <c r="B5809" s="11"/>
      <c r="C5809" s="11"/>
      <c r="D5809" s="11"/>
      <c r="E5809" s="11"/>
      <c r="F5809" s="11"/>
      <c r="G5809" s="11"/>
      <c r="H5809" s="11"/>
      <c r="I5809" s="11"/>
    </row>
    <row r="5810" spans="2:9" x14ac:dyDescent="0.2">
      <c r="B5810" s="11"/>
      <c r="C5810" s="11"/>
      <c r="D5810" s="11"/>
      <c r="E5810" s="11"/>
      <c r="F5810" s="11"/>
      <c r="G5810" s="11"/>
      <c r="H5810" s="11"/>
      <c r="I5810" s="11"/>
    </row>
    <row r="5811" spans="2:9" x14ac:dyDescent="0.2">
      <c r="B5811" s="11"/>
      <c r="C5811" s="11"/>
      <c r="D5811" s="11"/>
      <c r="E5811" s="11"/>
      <c r="F5811" s="11"/>
      <c r="G5811" s="11"/>
      <c r="H5811" s="11"/>
      <c r="I5811" s="11"/>
    </row>
    <row r="5812" spans="2:9" x14ac:dyDescent="0.2">
      <c r="B5812" s="11"/>
      <c r="C5812" s="11"/>
      <c r="D5812" s="11"/>
      <c r="E5812" s="11"/>
      <c r="F5812" s="11"/>
      <c r="G5812" s="11"/>
      <c r="H5812" s="11"/>
      <c r="I5812" s="11"/>
    </row>
    <row r="5813" spans="2:9" x14ac:dyDescent="0.2">
      <c r="B5813" s="11"/>
      <c r="C5813" s="11"/>
      <c r="D5813" s="11"/>
      <c r="E5813" s="11"/>
      <c r="F5813" s="11"/>
      <c r="G5813" s="11"/>
      <c r="H5813" s="11"/>
      <c r="I5813" s="11"/>
    </row>
    <row r="5814" spans="2:9" x14ac:dyDescent="0.2">
      <c r="B5814" s="11"/>
      <c r="C5814" s="11"/>
      <c r="D5814" s="11"/>
      <c r="E5814" s="11"/>
      <c r="F5814" s="11"/>
      <c r="G5814" s="11"/>
      <c r="H5814" s="11"/>
      <c r="I5814" s="11"/>
    </row>
    <row r="5815" spans="2:9" x14ac:dyDescent="0.2">
      <c r="B5815" s="11"/>
      <c r="C5815" s="11"/>
      <c r="D5815" s="11"/>
      <c r="E5815" s="11"/>
      <c r="F5815" s="11"/>
      <c r="G5815" s="11"/>
      <c r="H5815" s="11"/>
      <c r="I5815" s="11"/>
    </row>
    <row r="5816" spans="2:9" x14ac:dyDescent="0.2">
      <c r="B5816" s="11"/>
      <c r="C5816" s="11"/>
      <c r="D5816" s="11"/>
      <c r="E5816" s="11"/>
      <c r="F5816" s="11"/>
      <c r="G5816" s="11"/>
      <c r="H5816" s="11"/>
      <c r="I5816" s="11"/>
    </row>
    <row r="5817" spans="2:9" x14ac:dyDescent="0.2">
      <c r="B5817" s="11"/>
      <c r="C5817" s="11"/>
      <c r="D5817" s="11"/>
      <c r="E5817" s="11"/>
      <c r="F5817" s="11"/>
      <c r="G5817" s="11"/>
      <c r="H5817" s="11"/>
      <c r="I5817" s="11"/>
    </row>
    <row r="5818" spans="2:9" x14ac:dyDescent="0.2">
      <c r="B5818" s="11"/>
      <c r="C5818" s="11"/>
      <c r="D5818" s="11"/>
      <c r="E5818" s="11"/>
      <c r="F5818" s="11"/>
      <c r="G5818" s="11"/>
      <c r="H5818" s="11"/>
      <c r="I5818" s="11"/>
    </row>
    <row r="5819" spans="2:9" x14ac:dyDescent="0.2">
      <c r="B5819" s="11"/>
      <c r="C5819" s="11"/>
      <c r="D5819" s="11"/>
      <c r="E5819" s="11"/>
      <c r="F5819" s="11"/>
      <c r="G5819" s="11"/>
      <c r="H5819" s="11"/>
      <c r="I5819" s="11"/>
    </row>
    <row r="5820" spans="2:9" x14ac:dyDescent="0.2">
      <c r="B5820" s="11"/>
      <c r="C5820" s="11"/>
      <c r="D5820" s="11"/>
      <c r="E5820" s="11"/>
      <c r="F5820" s="11"/>
      <c r="G5820" s="11"/>
      <c r="H5820" s="11"/>
      <c r="I5820" s="11"/>
    </row>
    <row r="5821" spans="2:9" x14ac:dyDescent="0.2">
      <c r="B5821" s="11"/>
      <c r="C5821" s="11"/>
      <c r="D5821" s="11"/>
      <c r="E5821" s="11"/>
      <c r="F5821" s="11"/>
      <c r="G5821" s="11"/>
      <c r="H5821" s="11"/>
      <c r="I5821" s="11"/>
    </row>
    <row r="5822" spans="2:9" x14ac:dyDescent="0.2">
      <c r="B5822" s="11"/>
      <c r="C5822" s="11"/>
      <c r="D5822" s="11"/>
      <c r="E5822" s="11"/>
      <c r="F5822" s="11"/>
      <c r="G5822" s="11"/>
      <c r="H5822" s="11"/>
      <c r="I5822" s="11"/>
    </row>
    <row r="5823" spans="2:9" x14ac:dyDescent="0.2">
      <c r="B5823" s="11"/>
      <c r="C5823" s="11"/>
      <c r="D5823" s="11"/>
      <c r="E5823" s="11"/>
      <c r="F5823" s="11"/>
      <c r="G5823" s="11"/>
      <c r="H5823" s="11"/>
      <c r="I5823" s="11"/>
    </row>
    <row r="5824" spans="2:9" x14ac:dyDescent="0.2">
      <c r="B5824" s="11"/>
      <c r="C5824" s="11"/>
      <c r="D5824" s="11"/>
      <c r="E5824" s="11"/>
      <c r="F5824" s="11"/>
      <c r="G5824" s="11"/>
      <c r="H5824" s="11"/>
      <c r="I5824" s="11"/>
    </row>
    <row r="5825" spans="2:9" x14ac:dyDescent="0.2">
      <c r="B5825" s="11"/>
      <c r="C5825" s="11"/>
      <c r="D5825" s="11"/>
      <c r="E5825" s="11"/>
      <c r="F5825" s="11"/>
      <c r="G5825" s="11"/>
      <c r="H5825" s="11"/>
      <c r="I5825" s="11"/>
    </row>
    <row r="5826" spans="2:9" x14ac:dyDescent="0.2">
      <c r="B5826" s="11"/>
      <c r="C5826" s="11"/>
      <c r="D5826" s="11"/>
      <c r="E5826" s="11"/>
      <c r="F5826" s="11"/>
      <c r="G5826" s="11"/>
      <c r="H5826" s="11"/>
      <c r="I5826" s="11"/>
    </row>
    <row r="5827" spans="2:9" x14ac:dyDescent="0.2">
      <c r="B5827" s="11"/>
      <c r="C5827" s="11"/>
      <c r="D5827" s="11"/>
      <c r="E5827" s="11"/>
      <c r="F5827" s="11"/>
      <c r="G5827" s="11"/>
      <c r="H5827" s="11"/>
      <c r="I5827" s="11"/>
    </row>
    <row r="5828" spans="2:9" x14ac:dyDescent="0.2">
      <c r="B5828" s="11"/>
      <c r="C5828" s="11"/>
      <c r="D5828" s="11"/>
      <c r="E5828" s="11"/>
      <c r="F5828" s="11"/>
      <c r="G5828" s="11"/>
      <c r="H5828" s="11"/>
      <c r="I5828" s="11"/>
    </row>
    <row r="5829" spans="2:9" x14ac:dyDescent="0.2">
      <c r="B5829" s="11"/>
      <c r="C5829" s="11"/>
      <c r="D5829" s="11"/>
      <c r="E5829" s="11"/>
      <c r="F5829" s="11"/>
      <c r="G5829" s="11"/>
      <c r="H5829" s="11"/>
      <c r="I5829" s="11"/>
    </row>
    <row r="5830" spans="2:9" x14ac:dyDescent="0.2">
      <c r="B5830" s="11"/>
      <c r="C5830" s="11"/>
      <c r="D5830" s="11"/>
      <c r="E5830" s="11"/>
      <c r="F5830" s="11"/>
      <c r="G5830" s="11"/>
      <c r="H5830" s="11"/>
      <c r="I5830" s="11"/>
    </row>
    <row r="5831" spans="2:9" x14ac:dyDescent="0.2">
      <c r="B5831" s="11"/>
      <c r="C5831" s="11"/>
      <c r="D5831" s="11"/>
      <c r="E5831" s="11"/>
      <c r="F5831" s="11"/>
      <c r="G5831" s="11"/>
      <c r="H5831" s="11"/>
      <c r="I5831" s="11"/>
    </row>
    <row r="5832" spans="2:9" x14ac:dyDescent="0.2">
      <c r="B5832" s="11"/>
      <c r="C5832" s="11"/>
      <c r="D5832" s="11"/>
      <c r="E5832" s="11"/>
      <c r="F5832" s="11"/>
      <c r="G5832" s="11"/>
      <c r="H5832" s="11"/>
      <c r="I5832" s="11"/>
    </row>
    <row r="5833" spans="2:9" x14ac:dyDescent="0.2">
      <c r="B5833" s="11"/>
      <c r="C5833" s="11"/>
      <c r="D5833" s="11"/>
      <c r="E5833" s="11"/>
      <c r="F5833" s="11"/>
      <c r="G5833" s="11"/>
      <c r="H5833" s="11"/>
      <c r="I5833" s="11"/>
    </row>
    <row r="5834" spans="2:9" x14ac:dyDescent="0.2">
      <c r="B5834" s="11"/>
      <c r="C5834" s="11"/>
      <c r="D5834" s="11"/>
      <c r="E5834" s="11"/>
      <c r="F5834" s="11"/>
      <c r="G5834" s="11"/>
      <c r="H5834" s="11"/>
      <c r="I5834" s="11"/>
    </row>
    <row r="5835" spans="2:9" x14ac:dyDescent="0.2">
      <c r="B5835" s="11"/>
      <c r="C5835" s="11"/>
      <c r="D5835" s="11"/>
      <c r="E5835" s="11"/>
      <c r="F5835" s="11"/>
      <c r="G5835" s="11"/>
      <c r="H5835" s="11"/>
      <c r="I5835" s="11"/>
    </row>
    <row r="5836" spans="2:9" x14ac:dyDescent="0.2">
      <c r="B5836" s="11"/>
      <c r="C5836" s="11"/>
      <c r="D5836" s="11"/>
      <c r="E5836" s="11"/>
      <c r="F5836" s="11"/>
      <c r="G5836" s="11"/>
      <c r="H5836" s="11"/>
      <c r="I5836" s="11"/>
    </row>
    <row r="5837" spans="2:9" x14ac:dyDescent="0.2">
      <c r="B5837" s="11"/>
      <c r="C5837" s="11"/>
      <c r="D5837" s="11"/>
      <c r="E5837" s="11"/>
      <c r="F5837" s="11"/>
      <c r="G5837" s="11"/>
      <c r="H5837" s="11"/>
      <c r="I5837" s="11"/>
    </row>
    <row r="5838" spans="2:9" x14ac:dyDescent="0.2">
      <c r="B5838" s="11"/>
      <c r="C5838" s="11"/>
      <c r="D5838" s="11"/>
      <c r="E5838" s="11"/>
      <c r="F5838" s="11"/>
      <c r="G5838" s="11"/>
      <c r="H5838" s="11"/>
      <c r="I5838" s="11"/>
    </row>
    <row r="5839" spans="2:9" x14ac:dyDescent="0.2">
      <c r="B5839" s="11"/>
      <c r="C5839" s="11"/>
      <c r="D5839" s="11"/>
      <c r="E5839" s="11"/>
      <c r="F5839" s="11"/>
      <c r="G5839" s="11"/>
      <c r="H5839" s="11"/>
      <c r="I5839" s="11"/>
    </row>
    <row r="5840" spans="2:9" x14ac:dyDescent="0.2">
      <c r="B5840" s="11"/>
      <c r="C5840" s="11"/>
      <c r="D5840" s="11"/>
      <c r="E5840" s="11"/>
      <c r="F5840" s="11"/>
      <c r="G5840" s="11"/>
      <c r="H5840" s="11"/>
      <c r="I5840" s="11"/>
    </row>
    <row r="5841" spans="2:9" x14ac:dyDescent="0.2">
      <c r="B5841" s="11"/>
      <c r="C5841" s="11"/>
      <c r="D5841" s="11"/>
      <c r="E5841" s="11"/>
      <c r="F5841" s="11"/>
      <c r="G5841" s="11"/>
      <c r="H5841" s="11"/>
      <c r="I5841" s="11"/>
    </row>
    <row r="5842" spans="2:9" x14ac:dyDescent="0.2">
      <c r="B5842" s="11"/>
      <c r="C5842" s="11"/>
      <c r="D5842" s="11"/>
      <c r="E5842" s="11"/>
      <c r="F5842" s="11"/>
      <c r="G5842" s="11"/>
      <c r="H5842" s="11"/>
      <c r="I5842" s="11"/>
    </row>
    <row r="5843" spans="2:9" x14ac:dyDescent="0.2">
      <c r="B5843" s="11"/>
      <c r="C5843" s="11"/>
      <c r="D5843" s="11"/>
      <c r="E5843" s="11"/>
      <c r="F5843" s="11"/>
      <c r="G5843" s="11"/>
      <c r="H5843" s="11"/>
      <c r="I5843" s="11"/>
    </row>
    <row r="5844" spans="2:9" x14ac:dyDescent="0.2">
      <c r="B5844" s="11"/>
      <c r="C5844" s="11"/>
      <c r="D5844" s="11"/>
      <c r="E5844" s="11"/>
      <c r="F5844" s="11"/>
      <c r="G5844" s="11"/>
      <c r="H5844" s="11"/>
      <c r="I5844" s="11"/>
    </row>
    <row r="5845" spans="2:9" x14ac:dyDescent="0.2">
      <c r="B5845" s="11"/>
      <c r="C5845" s="11"/>
      <c r="D5845" s="11"/>
      <c r="E5845" s="11"/>
      <c r="F5845" s="11"/>
      <c r="G5845" s="11"/>
      <c r="H5845" s="11"/>
      <c r="I5845" s="11"/>
    </row>
    <row r="5846" spans="2:9" x14ac:dyDescent="0.2">
      <c r="B5846" s="11"/>
      <c r="C5846" s="11"/>
      <c r="D5846" s="11"/>
      <c r="E5846" s="11"/>
      <c r="F5846" s="11"/>
      <c r="G5846" s="11"/>
      <c r="H5846" s="11"/>
      <c r="I5846" s="11"/>
    </row>
    <row r="5847" spans="2:9" x14ac:dyDescent="0.2">
      <c r="B5847" s="11"/>
      <c r="C5847" s="11"/>
      <c r="D5847" s="11"/>
      <c r="E5847" s="11"/>
      <c r="F5847" s="11"/>
      <c r="G5847" s="11"/>
      <c r="H5847" s="11"/>
      <c r="I5847" s="11"/>
    </row>
    <row r="5848" spans="2:9" x14ac:dyDescent="0.2">
      <c r="B5848" s="11"/>
      <c r="C5848" s="11"/>
      <c r="D5848" s="11"/>
      <c r="E5848" s="11"/>
      <c r="F5848" s="11"/>
      <c r="G5848" s="11"/>
      <c r="H5848" s="11"/>
      <c r="I5848" s="11"/>
    </row>
    <row r="5849" spans="2:9" x14ac:dyDescent="0.2">
      <c r="B5849" s="11"/>
      <c r="C5849" s="11"/>
      <c r="D5849" s="11"/>
      <c r="E5849" s="11"/>
      <c r="F5849" s="11"/>
      <c r="G5849" s="11"/>
      <c r="H5849" s="11"/>
      <c r="I5849" s="11"/>
    </row>
    <row r="5850" spans="2:9" x14ac:dyDescent="0.2">
      <c r="B5850" s="11"/>
      <c r="C5850" s="11"/>
      <c r="D5850" s="11"/>
      <c r="E5850" s="11"/>
      <c r="F5850" s="11"/>
      <c r="G5850" s="11"/>
      <c r="H5850" s="11"/>
      <c r="I5850" s="11"/>
    </row>
    <row r="5851" spans="2:9" x14ac:dyDescent="0.2">
      <c r="B5851" s="11"/>
      <c r="C5851" s="11"/>
      <c r="D5851" s="11"/>
      <c r="E5851" s="11"/>
      <c r="F5851" s="11"/>
      <c r="G5851" s="11"/>
      <c r="H5851" s="11"/>
      <c r="I5851" s="11"/>
    </row>
    <row r="5852" spans="2:9" x14ac:dyDescent="0.2">
      <c r="B5852" s="11"/>
      <c r="C5852" s="11"/>
      <c r="D5852" s="11"/>
      <c r="E5852" s="11"/>
      <c r="F5852" s="11"/>
      <c r="G5852" s="11"/>
      <c r="H5852" s="11"/>
      <c r="I5852" s="11"/>
    </row>
    <row r="5853" spans="2:9" x14ac:dyDescent="0.2">
      <c r="B5853" s="11"/>
      <c r="C5853" s="11"/>
      <c r="D5853" s="11"/>
      <c r="E5853" s="11"/>
      <c r="F5853" s="11"/>
      <c r="G5853" s="11"/>
      <c r="H5853" s="11"/>
      <c r="I5853" s="11"/>
    </row>
    <row r="5854" spans="2:9" x14ac:dyDescent="0.2">
      <c r="B5854" s="11"/>
      <c r="C5854" s="11"/>
      <c r="D5854" s="11"/>
      <c r="E5854" s="11"/>
      <c r="F5854" s="11"/>
      <c r="G5854" s="11"/>
      <c r="H5854" s="11"/>
      <c r="I5854" s="11"/>
    </row>
    <row r="5855" spans="2:9" x14ac:dyDescent="0.2">
      <c r="B5855" s="11"/>
      <c r="C5855" s="11"/>
      <c r="D5855" s="11"/>
      <c r="E5855" s="11"/>
      <c r="F5855" s="11"/>
      <c r="G5855" s="11"/>
      <c r="H5855" s="11"/>
      <c r="I5855" s="11"/>
    </row>
    <row r="5856" spans="2:9" x14ac:dyDescent="0.2">
      <c r="B5856" s="11"/>
      <c r="C5856" s="11"/>
      <c r="D5856" s="11"/>
      <c r="E5856" s="11"/>
      <c r="F5856" s="11"/>
      <c r="G5856" s="11"/>
      <c r="H5856" s="11"/>
      <c r="I5856" s="11"/>
    </row>
    <row r="5857" spans="2:9" x14ac:dyDescent="0.2">
      <c r="B5857" s="11"/>
      <c r="C5857" s="11"/>
      <c r="D5857" s="11"/>
      <c r="E5857" s="11"/>
      <c r="F5857" s="11"/>
      <c r="G5857" s="11"/>
      <c r="H5857" s="11"/>
      <c r="I5857" s="11"/>
    </row>
    <row r="5858" spans="2:9" x14ac:dyDescent="0.2">
      <c r="B5858" s="11"/>
      <c r="C5858" s="11"/>
      <c r="D5858" s="11"/>
      <c r="E5858" s="11"/>
      <c r="F5858" s="11"/>
      <c r="G5858" s="11"/>
      <c r="H5858" s="11"/>
      <c r="I5858" s="11"/>
    </row>
    <row r="5859" spans="2:9" x14ac:dyDescent="0.2">
      <c r="B5859" s="11"/>
      <c r="C5859" s="11"/>
      <c r="D5859" s="11"/>
      <c r="E5859" s="11"/>
      <c r="F5859" s="11"/>
      <c r="G5859" s="11"/>
      <c r="H5859" s="11"/>
      <c r="I5859" s="11"/>
    </row>
    <row r="5860" spans="2:9" x14ac:dyDescent="0.2">
      <c r="B5860" s="11"/>
      <c r="C5860" s="11"/>
      <c r="D5860" s="11"/>
      <c r="E5860" s="11"/>
      <c r="F5860" s="11"/>
      <c r="G5860" s="11"/>
      <c r="H5860" s="11"/>
      <c r="I5860" s="11"/>
    </row>
    <row r="5861" spans="2:9" x14ac:dyDescent="0.2">
      <c r="B5861" s="11"/>
      <c r="C5861" s="11"/>
      <c r="D5861" s="11"/>
      <c r="E5861" s="11"/>
      <c r="F5861" s="11"/>
      <c r="G5861" s="11"/>
      <c r="H5861" s="11"/>
      <c r="I5861" s="11"/>
    </row>
    <row r="5862" spans="2:9" x14ac:dyDescent="0.2">
      <c r="B5862" s="11"/>
      <c r="C5862" s="11"/>
      <c r="D5862" s="11"/>
      <c r="E5862" s="11"/>
      <c r="F5862" s="11"/>
      <c r="G5862" s="11"/>
      <c r="H5862" s="11"/>
      <c r="I5862" s="11"/>
    </row>
    <row r="5863" spans="2:9" x14ac:dyDescent="0.2">
      <c r="B5863" s="11"/>
      <c r="C5863" s="11"/>
      <c r="D5863" s="11"/>
      <c r="E5863" s="11"/>
      <c r="F5863" s="11"/>
      <c r="G5863" s="11"/>
      <c r="H5863" s="11"/>
      <c r="I5863" s="11"/>
    </row>
    <row r="5864" spans="2:9" x14ac:dyDescent="0.2">
      <c r="B5864" s="11"/>
      <c r="C5864" s="11"/>
      <c r="D5864" s="11"/>
      <c r="E5864" s="11"/>
      <c r="F5864" s="11"/>
      <c r="G5864" s="11"/>
      <c r="H5864" s="11"/>
      <c r="I5864" s="11"/>
    </row>
    <row r="5865" spans="2:9" x14ac:dyDescent="0.2">
      <c r="B5865" s="11"/>
      <c r="C5865" s="11"/>
      <c r="D5865" s="11"/>
      <c r="E5865" s="11"/>
      <c r="F5865" s="11"/>
      <c r="G5865" s="11"/>
      <c r="H5865" s="11"/>
      <c r="I5865" s="11"/>
    </row>
    <row r="5866" spans="2:9" x14ac:dyDescent="0.2">
      <c r="B5866" s="11"/>
      <c r="C5866" s="11"/>
      <c r="D5866" s="11"/>
      <c r="E5866" s="11"/>
      <c r="F5866" s="11"/>
      <c r="G5866" s="11"/>
      <c r="H5866" s="11"/>
      <c r="I5866" s="11"/>
    </row>
    <row r="5867" spans="2:9" x14ac:dyDescent="0.2">
      <c r="B5867" s="11"/>
      <c r="C5867" s="11"/>
      <c r="D5867" s="11"/>
      <c r="E5867" s="11"/>
      <c r="F5867" s="11"/>
      <c r="G5867" s="11"/>
      <c r="H5867" s="11"/>
      <c r="I5867" s="11"/>
    </row>
    <row r="5868" spans="2:9" x14ac:dyDescent="0.2">
      <c r="B5868" s="11"/>
      <c r="C5868" s="11"/>
      <c r="D5868" s="11"/>
      <c r="E5868" s="11"/>
      <c r="F5868" s="11"/>
      <c r="G5868" s="11"/>
      <c r="H5868" s="11"/>
      <c r="I5868" s="11"/>
    </row>
    <row r="5869" spans="2:9" x14ac:dyDescent="0.2">
      <c r="B5869" s="11"/>
      <c r="C5869" s="11"/>
      <c r="D5869" s="11"/>
      <c r="E5869" s="11"/>
      <c r="F5869" s="11"/>
      <c r="G5869" s="11"/>
      <c r="H5869" s="11"/>
      <c r="I5869" s="11"/>
    </row>
    <row r="5870" spans="2:9" x14ac:dyDescent="0.2">
      <c r="B5870" s="11"/>
      <c r="C5870" s="11"/>
      <c r="D5870" s="11"/>
      <c r="E5870" s="11"/>
      <c r="F5870" s="11"/>
      <c r="G5870" s="11"/>
      <c r="H5870" s="11"/>
      <c r="I5870" s="11"/>
    </row>
    <row r="5871" spans="2:9" x14ac:dyDescent="0.2">
      <c r="B5871" s="11"/>
      <c r="C5871" s="11"/>
      <c r="D5871" s="11"/>
      <c r="E5871" s="11"/>
      <c r="F5871" s="11"/>
      <c r="G5871" s="11"/>
      <c r="H5871" s="11"/>
      <c r="I5871" s="11"/>
    </row>
    <row r="5872" spans="2:9" x14ac:dyDescent="0.2">
      <c r="B5872" s="11"/>
      <c r="C5872" s="11"/>
      <c r="D5872" s="11"/>
      <c r="E5872" s="11"/>
      <c r="F5872" s="11"/>
      <c r="G5872" s="11"/>
      <c r="H5872" s="11"/>
      <c r="I5872" s="11"/>
    </row>
    <row r="5873" spans="2:9" x14ac:dyDescent="0.2">
      <c r="B5873" s="11"/>
      <c r="C5873" s="11"/>
      <c r="D5873" s="11"/>
      <c r="E5873" s="11"/>
      <c r="F5873" s="11"/>
      <c r="G5873" s="11"/>
      <c r="H5873" s="11"/>
      <c r="I5873" s="11"/>
    </row>
    <row r="5874" spans="2:9" x14ac:dyDescent="0.2">
      <c r="B5874" s="11"/>
      <c r="C5874" s="11"/>
      <c r="D5874" s="11"/>
      <c r="E5874" s="11"/>
      <c r="F5874" s="11"/>
      <c r="G5874" s="11"/>
      <c r="H5874" s="11"/>
      <c r="I5874" s="11"/>
    </row>
    <row r="5875" spans="2:9" x14ac:dyDescent="0.2">
      <c r="B5875" s="11"/>
      <c r="C5875" s="11"/>
      <c r="D5875" s="11"/>
      <c r="E5875" s="11"/>
      <c r="F5875" s="11"/>
      <c r="G5875" s="11"/>
      <c r="H5875" s="11"/>
      <c r="I5875" s="11"/>
    </row>
    <row r="5876" spans="2:9" x14ac:dyDescent="0.2">
      <c r="B5876" s="11"/>
      <c r="C5876" s="11"/>
      <c r="D5876" s="11"/>
      <c r="E5876" s="11"/>
      <c r="F5876" s="11"/>
      <c r="G5876" s="11"/>
      <c r="H5876" s="11"/>
      <c r="I5876" s="11"/>
    </row>
    <row r="5877" spans="2:9" x14ac:dyDescent="0.2">
      <c r="B5877" s="11"/>
      <c r="C5877" s="11"/>
      <c r="D5877" s="11"/>
      <c r="E5877" s="11"/>
      <c r="F5877" s="11"/>
      <c r="G5877" s="11"/>
      <c r="H5877" s="11"/>
      <c r="I5877" s="11"/>
    </row>
    <row r="5878" spans="2:9" x14ac:dyDescent="0.2">
      <c r="B5878" s="11"/>
      <c r="C5878" s="11"/>
      <c r="D5878" s="11"/>
      <c r="E5878" s="11"/>
      <c r="F5878" s="11"/>
      <c r="G5878" s="11"/>
      <c r="H5878" s="11"/>
      <c r="I5878" s="11"/>
    </row>
    <row r="5879" spans="2:9" x14ac:dyDescent="0.2">
      <c r="B5879" s="11"/>
      <c r="C5879" s="11"/>
      <c r="D5879" s="11"/>
      <c r="E5879" s="11"/>
      <c r="F5879" s="11"/>
      <c r="G5879" s="11"/>
      <c r="H5879" s="11"/>
      <c r="I5879" s="11"/>
    </row>
    <row r="5880" spans="2:9" x14ac:dyDescent="0.2">
      <c r="B5880" s="11"/>
      <c r="C5880" s="11"/>
      <c r="D5880" s="11"/>
      <c r="E5880" s="11"/>
      <c r="F5880" s="11"/>
      <c r="G5880" s="11"/>
      <c r="H5880" s="11"/>
      <c r="I5880" s="11"/>
    </row>
    <row r="5881" spans="2:9" x14ac:dyDescent="0.2">
      <c r="B5881" s="11"/>
      <c r="C5881" s="11"/>
      <c r="D5881" s="11"/>
      <c r="E5881" s="11"/>
      <c r="F5881" s="11"/>
      <c r="G5881" s="11"/>
      <c r="H5881" s="11"/>
      <c r="I5881" s="11"/>
    </row>
    <row r="5882" spans="2:9" x14ac:dyDescent="0.2">
      <c r="B5882" s="11"/>
      <c r="C5882" s="11"/>
      <c r="D5882" s="11"/>
      <c r="E5882" s="11"/>
      <c r="F5882" s="11"/>
      <c r="G5882" s="11"/>
      <c r="H5882" s="11"/>
      <c r="I5882" s="11"/>
    </row>
    <row r="5883" spans="2:9" x14ac:dyDescent="0.2">
      <c r="B5883" s="11"/>
      <c r="C5883" s="11"/>
      <c r="D5883" s="11"/>
      <c r="E5883" s="11"/>
      <c r="F5883" s="11"/>
      <c r="G5883" s="11"/>
      <c r="H5883" s="11"/>
      <c r="I5883" s="11"/>
    </row>
    <row r="5884" spans="2:9" x14ac:dyDescent="0.2">
      <c r="B5884" s="11"/>
      <c r="C5884" s="11"/>
      <c r="D5884" s="11"/>
      <c r="E5884" s="11"/>
      <c r="F5884" s="11"/>
      <c r="G5884" s="11"/>
      <c r="H5884" s="11"/>
      <c r="I5884" s="11"/>
    </row>
    <row r="5885" spans="2:9" x14ac:dyDescent="0.2">
      <c r="B5885" s="11"/>
      <c r="C5885" s="11"/>
      <c r="D5885" s="11"/>
      <c r="E5885" s="11"/>
      <c r="F5885" s="11"/>
      <c r="G5885" s="11"/>
      <c r="H5885" s="11"/>
      <c r="I5885" s="11"/>
    </row>
    <row r="5886" spans="2:9" x14ac:dyDescent="0.2">
      <c r="B5886" s="11"/>
      <c r="C5886" s="11"/>
      <c r="D5886" s="11"/>
      <c r="E5886" s="11"/>
      <c r="F5886" s="11"/>
      <c r="G5886" s="11"/>
      <c r="H5886" s="11"/>
      <c r="I5886" s="11"/>
    </row>
    <row r="5887" spans="2:9" x14ac:dyDescent="0.2">
      <c r="B5887" s="11"/>
      <c r="C5887" s="11"/>
      <c r="D5887" s="11"/>
      <c r="E5887" s="11"/>
      <c r="F5887" s="11"/>
      <c r="G5887" s="11"/>
      <c r="H5887" s="11"/>
      <c r="I5887" s="11"/>
    </row>
    <row r="5888" spans="2:9" x14ac:dyDescent="0.2">
      <c r="B5888" s="11"/>
      <c r="C5888" s="11"/>
      <c r="D5888" s="11"/>
      <c r="E5888" s="11"/>
      <c r="F5888" s="11"/>
      <c r="G5888" s="11"/>
      <c r="H5888" s="11"/>
      <c r="I5888" s="11"/>
    </row>
    <row r="5889" spans="2:9" x14ac:dyDescent="0.2">
      <c r="B5889" s="11"/>
      <c r="C5889" s="11"/>
      <c r="D5889" s="11"/>
      <c r="E5889" s="11"/>
      <c r="F5889" s="11"/>
      <c r="G5889" s="11"/>
      <c r="H5889" s="11"/>
      <c r="I5889" s="11"/>
    </row>
    <row r="5890" spans="2:9" x14ac:dyDescent="0.2">
      <c r="B5890" s="11"/>
      <c r="C5890" s="11"/>
      <c r="D5890" s="11"/>
      <c r="E5890" s="11"/>
      <c r="F5890" s="11"/>
      <c r="G5890" s="11"/>
      <c r="H5890" s="11"/>
      <c r="I5890" s="11"/>
    </row>
    <row r="5891" spans="2:9" x14ac:dyDescent="0.2">
      <c r="B5891" s="11"/>
      <c r="C5891" s="11"/>
      <c r="D5891" s="11"/>
      <c r="E5891" s="11"/>
      <c r="F5891" s="11"/>
      <c r="G5891" s="11"/>
      <c r="H5891" s="11"/>
      <c r="I5891" s="11"/>
    </row>
    <row r="5892" spans="2:9" x14ac:dyDescent="0.2">
      <c r="B5892" s="11"/>
      <c r="C5892" s="11"/>
      <c r="D5892" s="11"/>
      <c r="E5892" s="11"/>
      <c r="F5892" s="11"/>
      <c r="G5892" s="11"/>
      <c r="H5892" s="11"/>
      <c r="I5892" s="11"/>
    </row>
    <row r="5893" spans="2:9" x14ac:dyDescent="0.2">
      <c r="B5893" s="11"/>
      <c r="C5893" s="11"/>
      <c r="D5893" s="11"/>
      <c r="E5893" s="11"/>
      <c r="F5893" s="11"/>
      <c r="G5893" s="11"/>
      <c r="H5893" s="11"/>
      <c r="I5893" s="11"/>
    </row>
    <row r="5894" spans="2:9" x14ac:dyDescent="0.2">
      <c r="B5894" s="11"/>
      <c r="C5894" s="11"/>
      <c r="D5894" s="11"/>
      <c r="E5894" s="11"/>
      <c r="F5894" s="11"/>
      <c r="G5894" s="11"/>
      <c r="H5894" s="11"/>
      <c r="I5894" s="11"/>
    </row>
    <row r="5895" spans="2:9" x14ac:dyDescent="0.2">
      <c r="B5895" s="11"/>
      <c r="C5895" s="11"/>
      <c r="D5895" s="11"/>
      <c r="E5895" s="11"/>
      <c r="F5895" s="11"/>
      <c r="G5895" s="11"/>
      <c r="H5895" s="11"/>
      <c r="I5895" s="11"/>
    </row>
    <row r="5896" spans="2:9" x14ac:dyDescent="0.2">
      <c r="B5896" s="11"/>
      <c r="C5896" s="11"/>
      <c r="D5896" s="11"/>
      <c r="E5896" s="11"/>
      <c r="F5896" s="11"/>
      <c r="G5896" s="11"/>
      <c r="H5896" s="11"/>
      <c r="I5896" s="11"/>
    </row>
    <row r="5897" spans="2:9" x14ac:dyDescent="0.2">
      <c r="B5897" s="11"/>
      <c r="C5897" s="11"/>
      <c r="D5897" s="11"/>
      <c r="E5897" s="11"/>
      <c r="F5897" s="11"/>
      <c r="G5897" s="11"/>
      <c r="H5897" s="11"/>
      <c r="I5897" s="11"/>
    </row>
    <row r="5898" spans="2:9" x14ac:dyDescent="0.2">
      <c r="B5898" s="11"/>
      <c r="C5898" s="11"/>
      <c r="D5898" s="11"/>
      <c r="E5898" s="11"/>
      <c r="F5898" s="11"/>
      <c r="G5898" s="11"/>
      <c r="H5898" s="11"/>
      <c r="I5898" s="11"/>
    </row>
    <row r="5899" spans="2:9" x14ac:dyDescent="0.2">
      <c r="B5899" s="11"/>
      <c r="C5899" s="11"/>
      <c r="D5899" s="11"/>
      <c r="E5899" s="11"/>
      <c r="F5899" s="11"/>
      <c r="G5899" s="11"/>
      <c r="H5899" s="11"/>
      <c r="I5899" s="11"/>
    </row>
    <row r="5900" spans="2:9" x14ac:dyDescent="0.2">
      <c r="B5900" s="11"/>
      <c r="C5900" s="11"/>
      <c r="D5900" s="11"/>
      <c r="E5900" s="11"/>
      <c r="F5900" s="11"/>
      <c r="G5900" s="11"/>
      <c r="H5900" s="11"/>
      <c r="I5900" s="11"/>
    </row>
    <row r="5901" spans="2:9" x14ac:dyDescent="0.2">
      <c r="B5901" s="11"/>
      <c r="C5901" s="11"/>
      <c r="D5901" s="11"/>
      <c r="E5901" s="11"/>
      <c r="F5901" s="11"/>
      <c r="G5901" s="11"/>
      <c r="H5901" s="11"/>
      <c r="I5901" s="11"/>
    </row>
    <row r="5902" spans="2:9" x14ac:dyDescent="0.2">
      <c r="B5902" s="11"/>
      <c r="C5902" s="11"/>
      <c r="D5902" s="11"/>
      <c r="E5902" s="11"/>
      <c r="F5902" s="11"/>
      <c r="G5902" s="11"/>
      <c r="H5902" s="11"/>
      <c r="I5902" s="11"/>
    </row>
    <row r="5903" spans="2:9" x14ac:dyDescent="0.2">
      <c r="B5903" s="11"/>
      <c r="C5903" s="11"/>
      <c r="D5903" s="11"/>
      <c r="E5903" s="11"/>
      <c r="F5903" s="11"/>
      <c r="G5903" s="11"/>
      <c r="H5903" s="11"/>
      <c r="I5903" s="11"/>
    </row>
  </sheetData>
  <sheetProtection algorithmName="SHA-512" hashValue="qaPhPNgFQPQFUOP/JeHjHcgxSS892qi2NFh/YsaWzKkMqj/5dwQMHgyoK3wWU2auemjn5egEbO5Gyf4/TmAjfw==" saltValue="31XuH96V1arQfPB8uSPTdA==" spinCount="100000" sheet="1" objects="1" scenarios="1"/>
  <mergeCells count="52">
    <mergeCell ref="A1:Y4"/>
    <mergeCell ref="Z1:AQ4"/>
    <mergeCell ref="AS1:BJ4"/>
    <mergeCell ref="BE11:BE12"/>
    <mergeCell ref="BC11:BC12"/>
    <mergeCell ref="A7:A8"/>
    <mergeCell ref="A6:I6"/>
    <mergeCell ref="AS10:BA11"/>
    <mergeCell ref="AH7:AH8"/>
    <mergeCell ref="AJ7:AJ8"/>
    <mergeCell ref="AI7:AI8"/>
    <mergeCell ref="BD11:BD12"/>
    <mergeCell ref="AG7:AG8"/>
    <mergeCell ref="AS12:AU12"/>
    <mergeCell ref="AW12:AX12"/>
    <mergeCell ref="AS6:BA9"/>
    <mergeCell ref="AS39:AU39"/>
    <mergeCell ref="AW39:AX39"/>
    <mergeCell ref="AS19:BA20"/>
    <mergeCell ref="AS21:AU21"/>
    <mergeCell ref="AW21:AX21"/>
    <mergeCell ref="AS28:BA29"/>
    <mergeCell ref="AS30:AU30"/>
    <mergeCell ref="AW30:AX30"/>
    <mergeCell ref="L60:N60"/>
    <mergeCell ref="L68:N68"/>
    <mergeCell ref="AB7:AF7"/>
    <mergeCell ref="B7:I7"/>
    <mergeCell ref="Q7:X7"/>
    <mergeCell ref="L12:N12"/>
    <mergeCell ref="L20:N20"/>
    <mergeCell ref="L28:N28"/>
    <mergeCell ref="L36:N36"/>
    <mergeCell ref="L44:N44"/>
    <mergeCell ref="K6:O9"/>
    <mergeCell ref="L52:N52"/>
    <mergeCell ref="BC6:BK9"/>
    <mergeCell ref="AS82:BA92"/>
    <mergeCell ref="AS55:BA56"/>
    <mergeCell ref="AS57:AU57"/>
    <mergeCell ref="AW57:AX57"/>
    <mergeCell ref="AS64:BA65"/>
    <mergeCell ref="AS66:AU66"/>
    <mergeCell ref="AW66:AX66"/>
    <mergeCell ref="AS73:BA74"/>
    <mergeCell ref="AS75:AU75"/>
    <mergeCell ref="AW75:AX75"/>
    <mergeCell ref="AS48:AU48"/>
    <mergeCell ref="AW48:AX48"/>
    <mergeCell ref="AS46:BA46"/>
    <mergeCell ref="AS47:BA47"/>
    <mergeCell ref="AS37:BA38"/>
  </mergeCells>
  <pageMargins left="0.51181102362204722" right="0.39370078740157483" top="0.78740157480314965" bottom="0.78740157480314965" header="0.31496062992125984" footer="0.31496062992125984"/>
  <pageSetup paperSize="9" scale="46" orientation="portrait" r:id="rId1"/>
  <headerFooter>
    <oddFooter>&amp;CRevisão 00 - 25/10/2018 - Pagina &amp;P de &amp;N
Elaborado por: Leonardo de Andrea João - Aprovado por: Leandro Weschenfelder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6"/>
  <dimension ref="A1:L33"/>
  <sheetViews>
    <sheetView topLeftCell="A4" zoomScaleNormal="100" zoomScaleSheetLayoutView="90" zoomScalePageLayoutView="70" workbookViewId="0">
      <selection activeCell="B21" sqref="B21:C22"/>
    </sheetView>
  </sheetViews>
  <sheetFormatPr defaultRowHeight="12.75" x14ac:dyDescent="0.2"/>
  <cols>
    <col min="1" max="1" width="3.42578125" style="9" customWidth="1"/>
    <col min="2" max="2" width="11.7109375" style="9" customWidth="1"/>
    <col min="3" max="3" width="10.85546875" style="9" customWidth="1"/>
    <col min="4" max="4" width="10.85546875" style="9" bestFit="1" customWidth="1"/>
    <col min="5" max="5" width="9.140625" style="9"/>
    <col min="6" max="6" width="18.85546875" style="9" customWidth="1"/>
    <col min="7" max="7" width="11.140625" style="9" customWidth="1"/>
    <col min="8" max="8" width="13.7109375" style="9" customWidth="1"/>
    <col min="9" max="9" width="8.28515625" style="9" bestFit="1" customWidth="1"/>
    <col min="10" max="16384" width="9.140625" style="9"/>
  </cols>
  <sheetData>
    <row r="1" spans="1:12" ht="12.75" customHeight="1" x14ac:dyDescent="0.2">
      <c r="A1" s="805" t="s">
        <v>475</v>
      </c>
      <c r="B1" s="806"/>
      <c r="C1" s="806"/>
      <c r="D1" s="806"/>
      <c r="E1" s="806"/>
      <c r="F1" s="806"/>
      <c r="G1" s="806"/>
      <c r="H1" s="806"/>
      <c r="I1" s="806"/>
      <c r="J1" s="806"/>
      <c r="K1" s="806"/>
      <c r="L1" s="806"/>
    </row>
    <row r="2" spans="1:12" ht="12.75" customHeight="1" x14ac:dyDescent="0.2">
      <c r="A2" s="805"/>
      <c r="B2" s="806"/>
      <c r="C2" s="806"/>
      <c r="D2" s="806"/>
      <c r="E2" s="806"/>
      <c r="F2" s="806"/>
      <c r="G2" s="806"/>
      <c r="H2" s="806"/>
      <c r="I2" s="806"/>
      <c r="J2" s="806"/>
      <c r="K2" s="806"/>
      <c r="L2" s="806"/>
    </row>
    <row r="3" spans="1:12" ht="12.75" customHeight="1" x14ac:dyDescent="0.2">
      <c r="A3" s="805"/>
      <c r="B3" s="806"/>
      <c r="C3" s="806"/>
      <c r="D3" s="806"/>
      <c r="E3" s="806"/>
      <c r="F3" s="806"/>
      <c r="G3" s="806"/>
      <c r="H3" s="806"/>
      <c r="I3" s="806"/>
      <c r="J3" s="806"/>
      <c r="K3" s="806"/>
      <c r="L3" s="806"/>
    </row>
    <row r="4" spans="1:12" ht="13.5" customHeight="1" x14ac:dyDescent="0.2">
      <c r="A4" s="805"/>
      <c r="B4" s="806"/>
      <c r="C4" s="806"/>
      <c r="D4" s="806"/>
      <c r="E4" s="806"/>
      <c r="F4" s="806"/>
      <c r="G4" s="806"/>
      <c r="H4" s="806"/>
      <c r="I4" s="806"/>
      <c r="J4" s="806"/>
      <c r="K4" s="806"/>
      <c r="L4" s="806"/>
    </row>
    <row r="6" spans="1:12" ht="15.75" x14ac:dyDescent="0.2">
      <c r="B6" s="808" t="str">
        <f>IF(Resumo!$E$37="","",Resumo!$E$37)</f>
        <v>1944DOM</v>
      </c>
      <c r="C6" s="808"/>
      <c r="D6" s="808"/>
    </row>
    <row r="7" spans="1:12" x14ac:dyDescent="0.2">
      <c r="E7" s="64"/>
      <c r="F7" s="777" t="s">
        <v>351</v>
      </c>
      <c r="G7" s="809"/>
      <c r="H7" s="341">
        <f>IF(Resumo!$R$16="","",Resumo!$R$16)</f>
        <v>3.22</v>
      </c>
      <c r="I7" s="146" t="str">
        <f>IF(Resumo!$S$16="","",Resumo!$S$16)</f>
        <v>mbar</v>
      </c>
      <c r="J7" s="342"/>
    </row>
    <row r="8" spans="1:12" x14ac:dyDescent="0.2">
      <c r="B8" s="189" t="s">
        <v>385</v>
      </c>
      <c r="C8" s="189" t="s">
        <v>386</v>
      </c>
      <c r="D8" s="189" t="s">
        <v>186</v>
      </c>
      <c r="E8" s="140"/>
      <c r="F8" s="343"/>
      <c r="G8" s="344" t="s">
        <v>43</v>
      </c>
      <c r="H8" s="344" t="s">
        <v>44</v>
      </c>
      <c r="I8" s="344" t="s">
        <v>45</v>
      </c>
      <c r="J8" s="344" t="s">
        <v>46</v>
      </c>
    </row>
    <row r="9" spans="1:12" x14ac:dyDescent="0.2">
      <c r="B9" s="441">
        <v>0</v>
      </c>
      <c r="C9" s="441">
        <v>0</v>
      </c>
      <c r="D9" s="441">
        <v>0.02</v>
      </c>
      <c r="E9" s="141"/>
      <c r="F9" s="345" t="str">
        <f>CONCATENATE("Entre ",B9,"  e ",B10,"")</f>
        <v>Entre 0  e 5</v>
      </c>
      <c r="G9" s="187">
        <f>IF(AND(H7&lt;=C10,H7&gt;=C9),H7,"")</f>
        <v>3.22</v>
      </c>
      <c r="H9" s="188">
        <f>IF(ISNUMBER(G9),((B10-B9)/(C10-C9))*(G9-C9)+B9,"")</f>
        <v>3.245967741935484</v>
      </c>
      <c r="I9" s="188">
        <f t="shared" ref="I9:I14" si="0">IF(ISNUMBER(G9),H9-G9,"")</f>
        <v>2.596774193548379E-2</v>
      </c>
      <c r="J9" s="188">
        <f>IF(ISNUMBER(G9),((D10-D9)/(B10-B9))*(G9-B9)+D9,"")</f>
        <v>0.02</v>
      </c>
    </row>
    <row r="10" spans="1:12" x14ac:dyDescent="0.2">
      <c r="B10" s="441">
        <v>5</v>
      </c>
      <c r="C10" s="441">
        <v>4.96</v>
      </c>
      <c r="D10" s="441">
        <v>0.02</v>
      </c>
      <c r="E10" s="141"/>
      <c r="F10" s="345" t="str">
        <f>CONCATENATE("Entre ",B10,"  e ",B11,"")</f>
        <v>Entre 5  e 10</v>
      </c>
      <c r="G10" s="187" t="str">
        <f>IF(AND(H7&gt;C10,H7&lt;=C11),H7,"")</f>
        <v/>
      </c>
      <c r="H10" s="188" t="str">
        <f>IF(ISNUMBER(G10),((B11-B10)/(C11-C10))*(G10-C10)+B10,"")</f>
        <v/>
      </c>
      <c r="I10" s="188" t="str">
        <f t="shared" si="0"/>
        <v/>
      </c>
      <c r="J10" s="188" t="str">
        <f>IF(ISNUMBER(G10),((D11-D10)/(B11-B10))*(G10-B10)+D10,"")</f>
        <v/>
      </c>
    </row>
    <row r="11" spans="1:12" x14ac:dyDescent="0.2">
      <c r="B11" s="441">
        <v>10</v>
      </c>
      <c r="C11" s="441">
        <v>9.9499999999999993</v>
      </c>
      <c r="D11" s="441">
        <v>0.02</v>
      </c>
      <c r="E11" s="141"/>
      <c r="F11" s="345" t="str">
        <f>CONCATENATE("Entre ",B11," e ",B12,"")</f>
        <v xml:space="preserve">Entre 10 e </v>
      </c>
      <c r="G11" s="187" t="str">
        <f>IF(AND(H7&gt;C11,H7&lt;=C12),H7,"")</f>
        <v/>
      </c>
      <c r="H11" s="188" t="str">
        <f>IF(ISNUMBER(G11),((B12-B11)/(C12-C11))*(G11-C11)+B11,"")</f>
        <v/>
      </c>
      <c r="I11" s="188" t="str">
        <f t="shared" si="0"/>
        <v/>
      </c>
      <c r="J11" s="188" t="str">
        <f>IF(ISNUMBER(G11),((D12-D11)/(B12-B11))*(G11-B11)+D11,"")</f>
        <v/>
      </c>
    </row>
    <row r="12" spans="1:12" x14ac:dyDescent="0.2">
      <c r="B12" s="441"/>
      <c r="C12" s="442"/>
      <c r="D12" s="442"/>
      <c r="E12" s="141"/>
      <c r="F12" s="345" t="str">
        <f>CONCATENATE("Entre ",B12," e ",B13,"")</f>
        <v xml:space="preserve">Entre  e </v>
      </c>
      <c r="G12" s="187" t="str">
        <f>IF(AND(H7&gt;C12,H7&lt;=C13),H7,"")</f>
        <v/>
      </c>
      <c r="H12" s="188" t="str">
        <f>IF(ISNUMBER(G12),((B13-B12)/(C13-C12))*(G12-C12)+B12,"")</f>
        <v/>
      </c>
      <c r="I12" s="188" t="str">
        <f t="shared" si="0"/>
        <v/>
      </c>
      <c r="J12" s="188" t="str">
        <f>IF(ISNUMBER(G12),((D13-D12)/(B13-B12))*(G12-B12)+D12,"")</f>
        <v/>
      </c>
    </row>
    <row r="13" spans="1:12" x14ac:dyDescent="0.2">
      <c r="B13" s="441"/>
      <c r="C13" s="442"/>
      <c r="D13" s="442"/>
      <c r="E13" s="141"/>
      <c r="F13" s="345" t="str">
        <f>CONCATENATE("Entre ",B13," e ",B14,"")</f>
        <v xml:space="preserve">Entre  e </v>
      </c>
      <c r="G13" s="187" t="str">
        <f>IF(AND(H7&gt;C13,H7&lt;=C14),H7,"")</f>
        <v/>
      </c>
      <c r="H13" s="188" t="str">
        <f>IF(ISNUMBER(G13),((B14-B13)/(C14-C13))*(G13-C13)+B13,"")</f>
        <v/>
      </c>
      <c r="I13" s="188" t="str">
        <f t="shared" si="0"/>
        <v/>
      </c>
      <c r="J13" s="188" t="str">
        <f>IF(ISNUMBER(G13),((D14-D13)/(B14-B13))*(G13-B13)+D13,"")</f>
        <v/>
      </c>
    </row>
    <row r="14" spans="1:12" x14ac:dyDescent="0.2">
      <c r="B14" s="441"/>
      <c r="C14" s="442"/>
      <c r="D14" s="442"/>
      <c r="E14" s="140"/>
      <c r="F14" s="346"/>
      <c r="G14" s="347">
        <f>IF(AND(H7&lt;=C10,H7&gt;=C9),H7,IF(AND(H7&gt;C10,H7&lt;=C11),H7,IF(AND(H7&gt;C11,H7&lt;=C12),H7,IF(AND(H7&gt;C12,H7&lt;=C13),H7,""))))</f>
        <v>3.22</v>
      </c>
      <c r="H14" s="347">
        <f>IF(AND(H7&lt;=C10,H7&gt;=C9),((B10-B9)/(C10-C9))*(G9-C9)+B9,IF(AND(H7&gt;C10,H7&lt;=C11),((B11-B10)/(C11-C10))*(G10-C10)+B10,IF(AND(H7&gt;C11,H7&lt;=C12),((B12-B11)/(C12-C11))*(G11-C11)+B11,IF(AND(H7&gt;C12,H7&lt;=C13),((B13-B12)/(C13-C12))*(G12-C12)+B12,""))))</f>
        <v>3.245967741935484</v>
      </c>
      <c r="I14" s="347">
        <f t="shared" si="0"/>
        <v>2.596774193548379E-2</v>
      </c>
      <c r="J14" s="405">
        <f>IF(AND(H7&lt;=C10,H7&gt;=C9),((D10-D9)/(B10-B9))*(G9-B9)+D9,IF(AND(H7&gt;C10,H7&lt;=C11),((D11-D10)/(B11-B10))*(G10-B10)+D10,IF(AND(H7&gt;C11,H7&lt;=C12),((D12-D11)/(B12-B11))*(G11-B11)+D11,IF(AND(H7&gt;C12,H7&lt;=C13),((D13-D12)/(B13-B12))*(G12-B12)+D12,""))))</f>
        <v>0.02</v>
      </c>
      <c r="K14" s="141"/>
    </row>
    <row r="15" spans="1:12" x14ac:dyDescent="0.2">
      <c r="F15" s="42"/>
      <c r="G15" s="42"/>
    </row>
    <row r="18" spans="2:11" ht="15" x14ac:dyDescent="0.25">
      <c r="B18" s="807" t="s">
        <v>322</v>
      </c>
      <c r="C18" s="807"/>
      <c r="D18" s="335"/>
      <c r="E18" s="335"/>
      <c r="F18" s="335"/>
      <c r="K18" s="335"/>
    </row>
    <row r="19" spans="2:11" x14ac:dyDescent="0.2">
      <c r="C19" s="147" t="s">
        <v>439</v>
      </c>
    </row>
    <row r="20" spans="2:11" ht="15" x14ac:dyDescent="0.25">
      <c r="B20" s="332" t="s">
        <v>440</v>
      </c>
      <c r="C20" s="332" t="s">
        <v>441</v>
      </c>
      <c r="D20" s="332"/>
      <c r="E20" s="332"/>
    </row>
    <row r="21" spans="2:11" ht="15" x14ac:dyDescent="0.2">
      <c r="B21" s="441">
        <v>0.5</v>
      </c>
      <c r="C21" s="441">
        <v>-0.192</v>
      </c>
      <c r="D21" s="336">
        <f>IF(AND(Resumo!$R$19&gt;=B21,Resumo!$R$19&lt;=B22),Resumo!$R$19,"")</f>
        <v>0.98760000000000003</v>
      </c>
      <c r="E21" s="336">
        <f>IF(ISNUMBER(D21),((C22-C21)/(B22-B21))*(D21-B21)+C21,"")</f>
        <v>-0.20760319999999999</v>
      </c>
      <c r="F21" s="339" t="s">
        <v>442</v>
      </c>
      <c r="G21" s="340">
        <f>IF(Resumo!R18="","",Resumo!R18)</f>
        <v>788.11</v>
      </c>
    </row>
    <row r="22" spans="2:11" ht="15" x14ac:dyDescent="0.2">
      <c r="B22" s="441">
        <v>1</v>
      </c>
      <c r="C22" s="441">
        <v>-0.20799999999999999</v>
      </c>
      <c r="D22" s="336" t="str">
        <f>IF(AND(Resumo!$R$19&gt;=B22,Resumo!$R$19&lt;=B23),Resumo!$R$19,"")</f>
        <v/>
      </c>
      <c r="E22" s="336" t="str">
        <f t="shared" ref="E22:E32" si="1">IF(ISNUMBER(D22),((B23-B22)/(C23-C22))*(D22-C22)+B22,"")</f>
        <v/>
      </c>
      <c r="F22" s="397" t="s">
        <v>443</v>
      </c>
      <c r="G22" s="330">
        <f>IF(COUNT(B21:C33)&gt;=4,(-MAX(E21:E33)/100)*G21,0)</f>
        <v>1.6361415795199998</v>
      </c>
    </row>
    <row r="23" spans="2:11" ht="15" x14ac:dyDescent="0.2">
      <c r="B23" s="441"/>
      <c r="C23" s="441"/>
      <c r="D23" s="336" t="str">
        <f>IF(AND(Resumo!$R$19&gt;=B23,Resumo!$R$19&lt;=B24),Resumo!$R$19,"")</f>
        <v/>
      </c>
      <c r="E23" s="336" t="str">
        <f t="shared" si="1"/>
        <v/>
      </c>
      <c r="F23" s="339" t="s">
        <v>444</v>
      </c>
      <c r="G23" s="443">
        <v>0.98760000000000003</v>
      </c>
    </row>
    <row r="24" spans="2:11" ht="15" x14ac:dyDescent="0.2">
      <c r="B24" s="441"/>
      <c r="C24" s="441"/>
      <c r="D24" s="336" t="str">
        <f>IF(AND(Resumo!$R$19&gt;=B24,Resumo!$R$19&lt;=B25),Resumo!$R$19,"")</f>
        <v/>
      </c>
      <c r="E24" s="336" t="str">
        <f t="shared" si="1"/>
        <v/>
      </c>
      <c r="F24" s="810" t="s">
        <v>445</v>
      </c>
      <c r="G24" s="700">
        <f>IFERROR(G21+G22,"-")</f>
        <v>789.74614157951999</v>
      </c>
    </row>
    <row r="25" spans="2:11" ht="15" x14ac:dyDescent="0.2">
      <c r="B25" s="441"/>
      <c r="C25" s="441"/>
      <c r="D25" s="336" t="str">
        <f>IF(AND(Resumo!$R$19&gt;=B25,Resumo!$R$19&lt;=B26),Resumo!$R$19,"")</f>
        <v/>
      </c>
      <c r="E25" s="336" t="str">
        <f t="shared" si="1"/>
        <v/>
      </c>
      <c r="F25" s="811"/>
      <c r="G25" s="701"/>
    </row>
    <row r="26" spans="2:11" ht="15" x14ac:dyDescent="0.2">
      <c r="B26" s="441"/>
      <c r="C26" s="441"/>
      <c r="D26" s="336" t="str">
        <f>IF(AND(Resumo!$R$19&gt;=B26,Resumo!$R$19&lt;=B27),Resumo!$R$19,"")</f>
        <v/>
      </c>
      <c r="E26" s="336" t="str">
        <f t="shared" si="1"/>
        <v/>
      </c>
    </row>
    <row r="27" spans="2:11" ht="15" x14ac:dyDescent="0.2">
      <c r="B27" s="441"/>
      <c r="C27" s="441"/>
      <c r="D27" s="336" t="str">
        <f>IF(AND(Resumo!$R$19&gt;=B27,Resumo!$R$19&lt;=B28),Resumo!$R$19,"")</f>
        <v/>
      </c>
      <c r="E27" s="336" t="str">
        <f t="shared" si="1"/>
        <v/>
      </c>
    </row>
    <row r="28" spans="2:11" ht="15" x14ac:dyDescent="0.2">
      <c r="B28" s="441"/>
      <c r="C28" s="441"/>
      <c r="D28" s="336" t="str">
        <f>IF(AND(Resumo!$R$19&gt;=B28,Resumo!$R$19&lt;=B29),Resumo!$R$19,"")</f>
        <v/>
      </c>
      <c r="E28" s="336" t="str">
        <f t="shared" si="1"/>
        <v/>
      </c>
    </row>
    <row r="29" spans="2:11" ht="15" x14ac:dyDescent="0.2">
      <c r="B29" s="441"/>
      <c r="C29" s="441"/>
      <c r="D29" s="336" t="str">
        <f>IF(AND(Resumo!$R$19&gt;=B29,Resumo!$R$19&lt;=B30),Resumo!$R$19,"")</f>
        <v/>
      </c>
      <c r="E29" s="336" t="str">
        <f t="shared" si="1"/>
        <v/>
      </c>
    </row>
    <row r="30" spans="2:11" ht="15" x14ac:dyDescent="0.2">
      <c r="B30" s="441"/>
      <c r="C30" s="441"/>
      <c r="D30" s="336" t="str">
        <f>IF(AND(Resumo!$R$19&gt;=B30,Resumo!$R$19&lt;=B31),Resumo!$R$19,"")</f>
        <v/>
      </c>
      <c r="E30" s="336" t="str">
        <f t="shared" si="1"/>
        <v/>
      </c>
      <c r="F30" s="333"/>
    </row>
    <row r="31" spans="2:11" ht="15" x14ac:dyDescent="0.2">
      <c r="B31" s="441"/>
      <c r="C31" s="441"/>
      <c r="D31" s="336" t="str">
        <f>IF(AND(Resumo!$R$19&gt;=B31,Resumo!$R$19&lt;=B32),Resumo!$R$19,"")</f>
        <v/>
      </c>
      <c r="E31" s="337" t="str">
        <f t="shared" si="1"/>
        <v/>
      </c>
      <c r="F31" s="333"/>
    </row>
    <row r="32" spans="2:11" ht="15" x14ac:dyDescent="0.25">
      <c r="B32" s="441"/>
      <c r="C32" s="441"/>
      <c r="D32" s="336" t="str">
        <f>IF(AND(Resumo!$R$19&gt;=B32,Resumo!$R$19&lt;=B33),Resumo!$R$19,"")</f>
        <v/>
      </c>
      <c r="E32" s="338" t="str">
        <f t="shared" si="1"/>
        <v/>
      </c>
      <c r="F32" s="334"/>
    </row>
    <row r="33" spans="2:5" x14ac:dyDescent="0.2">
      <c r="B33" s="441"/>
      <c r="C33" s="441"/>
      <c r="D33" s="337"/>
      <c r="E33" s="337" t="str">
        <f>IF(ISNUMBER(D33),((G34-B33)/(H34-C33))*(D33-C33)+B33,"")</f>
        <v/>
      </c>
    </row>
  </sheetData>
  <mergeCells count="6">
    <mergeCell ref="A1:L4"/>
    <mergeCell ref="B18:C18"/>
    <mergeCell ref="B6:D6"/>
    <mergeCell ref="F7:G7"/>
    <mergeCell ref="F24:F25"/>
    <mergeCell ref="G24:G25"/>
  </mergeCells>
  <pageMargins left="0.51181102362204722" right="0.51181102362204722" top="0.78740157480314965" bottom="0.78740157480314965" header="0.31496062992125984" footer="0.31496062992125984"/>
  <pageSetup paperSize="9" scale="46" orientation="landscape" r:id="rId1"/>
  <headerFooter>
    <oddHeader>&amp;RPágina &amp;P de &amp;N</oddHeader>
    <oddFooter>&amp;CRevisão 00 - 25/10/2018 - Pagina &amp;P de &amp;N
Elaborado por: Leonardo de Andrea João - Aprovado por: Leandro Weschenfelder&amp;RData da emissão:  06/06/2016
Elaborada por: Robson Dendena 
Revisada por: Leandro Weschenfelder
Revisão 03</oddFooter>
  </headerFooter>
  <ignoredErrors>
    <ignoredError sqref="E23:E32" evalError="1"/>
  </ignoredErrors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4"/>
  <dimension ref="A2:BM143"/>
  <sheetViews>
    <sheetView topLeftCell="G74" zoomScaleNormal="100" zoomScaleSheetLayoutView="55" zoomScalePageLayoutView="40" workbookViewId="0">
      <selection activeCell="B74" sqref="B74"/>
    </sheetView>
  </sheetViews>
  <sheetFormatPr defaultRowHeight="12.75" x14ac:dyDescent="0.2"/>
  <cols>
    <col min="1" max="1" width="2" style="9" customWidth="1"/>
    <col min="2" max="2" width="13.140625" style="9" customWidth="1"/>
    <col min="3" max="3" width="9.140625" style="9"/>
    <col min="4" max="4" width="12.42578125" style="9" bestFit="1" customWidth="1"/>
    <col min="5" max="5" width="9.42578125" style="9" customWidth="1"/>
    <col min="6" max="6" width="9.7109375" style="9" bestFit="1" customWidth="1"/>
    <col min="7" max="7" width="9.28515625" style="9" bestFit="1" customWidth="1"/>
    <col min="8" max="8" width="11.140625" style="9" bestFit="1" customWidth="1"/>
    <col min="9" max="11" width="9.5703125" style="9" bestFit="1" customWidth="1"/>
    <col min="12" max="12" width="9.28515625" style="9" bestFit="1" customWidth="1"/>
    <col min="13" max="13" width="9.5703125" style="9" bestFit="1" customWidth="1"/>
    <col min="14" max="14" width="11.42578125" style="9" bestFit="1" customWidth="1"/>
    <col min="15" max="15" width="15" style="9" customWidth="1"/>
    <col min="16" max="17" width="1.85546875" style="9" customWidth="1"/>
    <col min="18" max="18" width="12.28515625" style="9" customWidth="1"/>
    <col min="19" max="21" width="9.140625" style="9"/>
    <col min="22" max="22" width="9.5703125" style="9" bestFit="1" customWidth="1"/>
    <col min="23" max="23" width="9.140625" style="9"/>
    <col min="24" max="24" width="9.42578125" style="9" customWidth="1"/>
    <col min="25" max="25" width="9.5703125" style="271" bestFit="1" customWidth="1"/>
    <col min="26" max="27" width="9.5703125" style="9" bestFit="1" customWidth="1"/>
    <col min="28" max="28" width="9.140625" style="9"/>
    <col min="29" max="29" width="9.5703125" style="9" bestFit="1" customWidth="1"/>
    <col min="30" max="30" width="9.7109375" style="9" bestFit="1" customWidth="1"/>
    <col min="31" max="31" width="22" style="9" customWidth="1"/>
    <col min="32" max="32" width="2.140625" style="9" customWidth="1"/>
    <col min="33" max="33" width="11.42578125" style="9" customWidth="1"/>
    <col min="34" max="47" width="9.140625" style="9"/>
    <col min="48" max="48" width="11.5703125" style="9" customWidth="1"/>
    <col min="49" max="16384" width="9.140625" style="9"/>
  </cols>
  <sheetData>
    <row r="2" spans="1:62" ht="12.75" customHeight="1" x14ac:dyDescent="0.2">
      <c r="B2" s="649" t="s">
        <v>467</v>
      </c>
      <c r="C2" s="650"/>
      <c r="D2" s="650"/>
      <c r="E2" s="650"/>
      <c r="F2" s="650"/>
      <c r="G2" s="650"/>
      <c r="H2" s="650"/>
      <c r="I2" s="650"/>
      <c r="J2" s="650"/>
      <c r="K2" s="650"/>
      <c r="L2" s="650"/>
      <c r="M2" s="650"/>
      <c r="N2" s="650"/>
      <c r="O2" s="651"/>
      <c r="P2" s="488"/>
      <c r="Q2" s="488"/>
      <c r="R2" s="649" t="s">
        <v>476</v>
      </c>
      <c r="S2" s="650"/>
      <c r="T2" s="650"/>
      <c r="U2" s="650"/>
      <c r="V2" s="650"/>
      <c r="W2" s="650"/>
      <c r="X2" s="650"/>
      <c r="Y2" s="650"/>
      <c r="Z2" s="650"/>
      <c r="AA2" s="650"/>
      <c r="AB2" s="650"/>
      <c r="AC2" s="650"/>
      <c r="AD2" s="650"/>
      <c r="AE2" s="651"/>
    </row>
    <row r="3" spans="1:62" ht="12.75" customHeight="1" x14ac:dyDescent="0.2">
      <c r="B3" s="652"/>
      <c r="C3" s="653"/>
      <c r="D3" s="653"/>
      <c r="E3" s="653"/>
      <c r="F3" s="653"/>
      <c r="G3" s="653"/>
      <c r="H3" s="653"/>
      <c r="I3" s="653"/>
      <c r="J3" s="653"/>
      <c r="K3" s="653"/>
      <c r="L3" s="653"/>
      <c r="M3" s="653"/>
      <c r="N3" s="653"/>
      <c r="O3" s="654"/>
      <c r="P3" s="488"/>
      <c r="Q3" s="488"/>
      <c r="R3" s="652"/>
      <c r="S3" s="653"/>
      <c r="T3" s="653"/>
      <c r="U3" s="653"/>
      <c r="V3" s="653"/>
      <c r="W3" s="653"/>
      <c r="X3" s="653"/>
      <c r="Y3" s="653"/>
      <c r="Z3" s="653"/>
      <c r="AA3" s="653"/>
      <c r="AB3" s="653"/>
      <c r="AC3" s="653"/>
      <c r="AD3" s="653"/>
      <c r="AE3" s="654"/>
    </row>
    <row r="4" spans="1:62" ht="12.75" customHeight="1" x14ac:dyDescent="0.2">
      <c r="B4" s="652"/>
      <c r="C4" s="653"/>
      <c r="D4" s="653"/>
      <c r="E4" s="653"/>
      <c r="F4" s="653"/>
      <c r="G4" s="653"/>
      <c r="H4" s="653"/>
      <c r="I4" s="653"/>
      <c r="J4" s="653"/>
      <c r="K4" s="653"/>
      <c r="L4" s="653"/>
      <c r="M4" s="653"/>
      <c r="N4" s="653"/>
      <c r="O4" s="654"/>
      <c r="P4" s="488"/>
      <c r="Q4" s="488"/>
      <c r="R4" s="652"/>
      <c r="S4" s="653"/>
      <c r="T4" s="653"/>
      <c r="U4" s="653"/>
      <c r="V4" s="653"/>
      <c r="W4" s="653"/>
      <c r="X4" s="653"/>
      <c r="Y4" s="653"/>
      <c r="Z4" s="653"/>
      <c r="AA4" s="653"/>
      <c r="AB4" s="653"/>
      <c r="AC4" s="653"/>
      <c r="AD4" s="653"/>
      <c r="AE4" s="654"/>
    </row>
    <row r="5" spans="1:62" ht="12.75" customHeight="1" x14ac:dyDescent="0.2">
      <c r="B5" s="655"/>
      <c r="C5" s="656"/>
      <c r="D5" s="656"/>
      <c r="E5" s="656"/>
      <c r="F5" s="656"/>
      <c r="G5" s="656"/>
      <c r="H5" s="656"/>
      <c r="I5" s="656"/>
      <c r="J5" s="656"/>
      <c r="K5" s="656"/>
      <c r="L5" s="656"/>
      <c r="M5" s="656"/>
      <c r="N5" s="656"/>
      <c r="O5" s="657"/>
      <c r="P5" s="488"/>
      <c r="Q5" s="488"/>
      <c r="R5" s="655"/>
      <c r="S5" s="656"/>
      <c r="T5" s="656"/>
      <c r="U5" s="656"/>
      <c r="V5" s="656"/>
      <c r="W5" s="656"/>
      <c r="X5" s="656"/>
      <c r="Y5" s="656"/>
      <c r="Z5" s="656"/>
      <c r="AA5" s="656"/>
      <c r="AB5" s="656"/>
      <c r="AC5" s="656"/>
      <c r="AD5" s="656"/>
      <c r="AE5" s="657"/>
    </row>
    <row r="6" spans="1:62" x14ac:dyDescent="0.2">
      <c r="R6" s="16"/>
      <c r="S6" s="16"/>
      <c r="T6" s="16"/>
      <c r="U6" s="16"/>
      <c r="V6" s="16"/>
      <c r="W6" s="16"/>
      <c r="X6" s="16"/>
      <c r="Y6" s="583"/>
      <c r="Z6" s="16"/>
      <c r="AA6" s="16"/>
      <c r="AB6" s="16"/>
      <c r="AC6" s="16"/>
      <c r="AD6" s="16"/>
      <c r="AE6" s="16"/>
    </row>
    <row r="7" spans="1:62" ht="15" customHeight="1" x14ac:dyDescent="0.25">
      <c r="A7" s="16"/>
      <c r="B7" s="43" t="s">
        <v>68</v>
      </c>
      <c r="C7" s="16"/>
      <c r="D7" s="16"/>
      <c r="E7" s="16"/>
      <c r="F7" s="16"/>
      <c r="G7" s="16"/>
      <c r="H7" s="16"/>
      <c r="I7" s="16"/>
      <c r="J7" s="16"/>
      <c r="K7" s="16"/>
      <c r="L7" s="16"/>
      <c r="M7" s="16"/>
      <c r="N7" s="16"/>
      <c r="O7" s="16"/>
      <c r="P7" s="16"/>
      <c r="Q7" s="16"/>
      <c r="R7" s="54" t="s">
        <v>204</v>
      </c>
      <c r="S7" s="44"/>
      <c r="T7" s="44"/>
      <c r="U7" s="55"/>
      <c r="V7" s="44"/>
      <c r="W7" s="44"/>
      <c r="X7" s="44"/>
      <c r="Y7" s="592"/>
      <c r="Z7" s="44"/>
      <c r="AA7" s="44"/>
      <c r="AB7" s="51"/>
      <c r="AC7" s="52"/>
      <c r="AD7" s="53"/>
      <c r="AE7" s="44"/>
      <c r="AF7" s="16"/>
      <c r="AG7" s="16"/>
      <c r="AH7" s="16"/>
      <c r="AI7" s="16"/>
      <c r="AJ7" s="16"/>
      <c r="AK7" s="16"/>
      <c r="AL7" s="16"/>
      <c r="AM7" s="16"/>
      <c r="AN7" s="16"/>
      <c r="AO7" s="16"/>
      <c r="AP7" s="16"/>
      <c r="AQ7" s="16"/>
      <c r="AR7" s="16"/>
      <c r="AS7" s="16"/>
      <c r="AT7" s="16"/>
      <c r="AU7" s="16"/>
      <c r="AV7" s="16"/>
      <c r="AW7" s="16"/>
      <c r="AX7" s="16"/>
    </row>
    <row r="8" spans="1:62" ht="15" customHeight="1" x14ac:dyDescent="0.25">
      <c r="A8" s="16"/>
      <c r="B8" s="16"/>
      <c r="C8" s="16"/>
      <c r="D8" s="16"/>
      <c r="E8" s="16"/>
      <c r="F8" s="16"/>
      <c r="G8" s="16"/>
      <c r="H8" s="16"/>
      <c r="I8" s="16"/>
      <c r="J8" s="16"/>
      <c r="K8" s="16"/>
      <c r="L8" s="16"/>
      <c r="M8" s="16"/>
      <c r="N8" s="16"/>
      <c r="O8" s="16"/>
      <c r="P8" s="16"/>
      <c r="Q8" s="16"/>
      <c r="R8" s="44"/>
      <c r="S8" s="16"/>
      <c r="T8" s="56" t="s">
        <v>211</v>
      </c>
      <c r="U8" s="44"/>
      <c r="V8" s="16">
        <v>5</v>
      </c>
      <c r="W8" s="44" t="s">
        <v>71</v>
      </c>
      <c r="X8" s="44"/>
      <c r="Y8" s="592"/>
      <c r="Z8" s="44"/>
      <c r="AA8" s="44"/>
      <c r="AB8" s="51"/>
      <c r="AC8" s="52"/>
      <c r="AD8" s="53"/>
      <c r="AE8" s="44"/>
      <c r="AF8" s="16"/>
      <c r="AG8" s="16"/>
      <c r="AH8" s="16"/>
      <c r="AI8" s="16"/>
      <c r="AJ8" s="16"/>
      <c r="AK8" s="16"/>
      <c r="AL8" s="16"/>
      <c r="AM8" s="16"/>
      <c r="AN8" s="16"/>
      <c r="AO8" s="16"/>
      <c r="AP8" s="16"/>
      <c r="AQ8" s="16"/>
      <c r="AR8" s="16"/>
      <c r="AS8" s="16"/>
      <c r="AT8" s="16"/>
      <c r="AU8" s="16"/>
      <c r="AV8" s="16"/>
      <c r="AW8" s="16"/>
      <c r="AX8" s="16"/>
    </row>
    <row r="9" spans="1:62" ht="15" customHeight="1" x14ac:dyDescent="0.2">
      <c r="A9" s="16"/>
      <c r="B9" s="349" t="s">
        <v>54</v>
      </c>
      <c r="C9" s="815" t="s">
        <v>168</v>
      </c>
      <c r="D9" s="816"/>
      <c r="E9" s="817"/>
      <c r="F9" s="349" t="s">
        <v>169</v>
      </c>
      <c r="G9" s="349" t="s">
        <v>65</v>
      </c>
      <c r="H9" s="349" t="s">
        <v>170</v>
      </c>
      <c r="I9" s="349" t="s">
        <v>171</v>
      </c>
      <c r="J9" s="349" t="s">
        <v>172</v>
      </c>
      <c r="K9" s="349" t="s">
        <v>173</v>
      </c>
      <c r="L9" s="349" t="s">
        <v>65</v>
      </c>
      <c r="M9" s="349" t="s">
        <v>174</v>
      </c>
      <c r="N9" s="349" t="s">
        <v>175</v>
      </c>
      <c r="O9" s="349" t="s">
        <v>176</v>
      </c>
      <c r="P9" s="16"/>
      <c r="Q9" s="16"/>
      <c r="R9" s="16"/>
      <c r="S9" s="16"/>
      <c r="T9" s="56" t="s">
        <v>212</v>
      </c>
      <c r="U9" s="16"/>
      <c r="V9" s="16">
        <v>40</v>
      </c>
      <c r="W9" s="56" t="s">
        <v>71</v>
      </c>
      <c r="X9" s="16"/>
      <c r="Y9" s="583"/>
      <c r="Z9" s="16"/>
      <c r="AA9" s="16"/>
      <c r="AB9" s="16"/>
      <c r="AC9" s="16"/>
      <c r="AD9" s="16"/>
      <c r="AE9" s="16"/>
      <c r="AF9" s="16"/>
      <c r="AG9" s="16"/>
      <c r="AH9" s="16"/>
      <c r="AI9" s="16"/>
      <c r="AJ9" s="16"/>
      <c r="AK9" s="16"/>
      <c r="AL9" s="16"/>
      <c r="AM9" s="16"/>
      <c r="AN9" s="16"/>
      <c r="AO9" s="16"/>
      <c r="AP9" s="16"/>
      <c r="AQ9" s="16"/>
      <c r="AR9" s="16"/>
      <c r="AS9" s="16"/>
      <c r="AT9" s="16"/>
      <c r="AU9" s="16"/>
      <c r="AV9" s="16"/>
      <c r="AW9" s="16"/>
      <c r="AX9" s="16"/>
    </row>
    <row r="10" spans="1:62" ht="15" customHeight="1" x14ac:dyDescent="0.2">
      <c r="A10" s="16"/>
      <c r="B10" s="821" t="s">
        <v>359</v>
      </c>
      <c r="C10" s="829" t="s">
        <v>178</v>
      </c>
      <c r="D10" s="830"/>
      <c r="E10" s="831"/>
      <c r="F10" s="350">
        <f>IF(Resumo!$D$41="","",Resumo!$D$41/2)</f>
        <v>0.05</v>
      </c>
      <c r="G10" s="351" t="s">
        <v>13</v>
      </c>
      <c r="H10" s="352" t="s">
        <v>202</v>
      </c>
      <c r="I10" s="353">
        <f>SQRT(3)</f>
        <v>1.7320508075688772</v>
      </c>
      <c r="J10" s="354">
        <f>F10/I10</f>
        <v>2.8867513459481291E-2</v>
      </c>
      <c r="K10" s="390">
        <v>1</v>
      </c>
      <c r="L10" s="351" t="s">
        <v>13</v>
      </c>
      <c r="M10" s="354">
        <f>J10*K10</f>
        <v>2.8867513459481291E-2</v>
      </c>
      <c r="N10" s="352" t="s">
        <v>181</v>
      </c>
      <c r="O10" s="352">
        <f>M10^4/(IF(N10="∞",100000,N10))</f>
        <v>6.9444444444444466E-12</v>
      </c>
      <c r="P10" s="16"/>
      <c r="Q10" s="16"/>
      <c r="R10" s="16"/>
      <c r="S10" s="16"/>
      <c r="T10" s="16"/>
      <c r="U10" s="16"/>
      <c r="V10" s="16"/>
      <c r="W10" s="16"/>
      <c r="X10" s="16"/>
      <c r="Y10" s="583"/>
      <c r="Z10" s="16"/>
      <c r="AA10" s="16"/>
      <c r="AB10" s="16"/>
      <c r="AC10" s="16"/>
      <c r="AD10" s="16"/>
      <c r="AE10" s="16"/>
      <c r="AF10" s="16"/>
      <c r="AG10" s="16"/>
      <c r="AH10" s="16"/>
      <c r="AI10" s="16"/>
      <c r="AJ10" s="16"/>
      <c r="AK10" s="16"/>
      <c r="AL10" s="16"/>
      <c r="AM10" s="16"/>
      <c r="AN10" s="16"/>
      <c r="AO10" s="16"/>
      <c r="AP10" s="16"/>
      <c r="AQ10" s="16"/>
      <c r="AR10" s="16"/>
      <c r="AS10" s="16"/>
      <c r="AT10" s="16"/>
      <c r="AU10" s="16"/>
      <c r="AV10" s="16"/>
      <c r="AW10" s="16"/>
      <c r="AX10" s="16"/>
    </row>
    <row r="11" spans="1:62" ht="15" customHeight="1" x14ac:dyDescent="0.2">
      <c r="A11" s="16"/>
      <c r="B11" s="822"/>
      <c r="C11" s="824" t="s">
        <v>542</v>
      </c>
      <c r="D11" s="825"/>
      <c r="E11" s="826"/>
      <c r="F11" s="350">
        <f>IF(Resumo!$J$41="","",Resumo!$J$41)</f>
        <v>0.1</v>
      </c>
      <c r="G11" s="351" t="s">
        <v>193</v>
      </c>
      <c r="H11" s="352" t="s">
        <v>202</v>
      </c>
      <c r="I11" s="353">
        <f>SQRT(3)</f>
        <v>1.7320508075688772</v>
      </c>
      <c r="J11" s="354">
        <f>F11/I11</f>
        <v>5.7735026918962581E-2</v>
      </c>
      <c r="K11" s="390">
        <v>7.5006156130299999</v>
      </c>
      <c r="L11" s="351" t="s">
        <v>13</v>
      </c>
      <c r="M11" s="354">
        <f>J11*K11</f>
        <v>0.43304824432707806</v>
      </c>
      <c r="N11" s="352" t="s">
        <v>181</v>
      </c>
      <c r="O11" s="352">
        <f>M11^4/(IF(N11="∞",100000,N11))</f>
        <v>3.5167794165563037E-7</v>
      </c>
      <c r="P11" s="16"/>
      <c r="Q11" s="16"/>
      <c r="R11" s="349" t="s">
        <v>54</v>
      </c>
      <c r="S11" s="815" t="s">
        <v>168</v>
      </c>
      <c r="T11" s="816"/>
      <c r="U11" s="817"/>
      <c r="V11" s="349" t="s">
        <v>169</v>
      </c>
      <c r="W11" s="349" t="s">
        <v>65</v>
      </c>
      <c r="X11" s="349" t="s">
        <v>170</v>
      </c>
      <c r="Y11" s="605" t="s">
        <v>171</v>
      </c>
      <c r="Z11" s="349" t="s">
        <v>172</v>
      </c>
      <c r="AA11" s="349" t="s">
        <v>173</v>
      </c>
      <c r="AB11" s="349" t="s">
        <v>65</v>
      </c>
      <c r="AC11" s="349" t="s">
        <v>174</v>
      </c>
      <c r="AD11" s="349" t="s">
        <v>175</v>
      </c>
      <c r="AE11" s="349" t="s">
        <v>176</v>
      </c>
      <c r="AF11" s="16"/>
      <c r="AG11" s="16"/>
      <c r="AH11" s="16"/>
      <c r="AI11" s="16"/>
      <c r="AJ11" s="16"/>
      <c r="AK11" s="16"/>
      <c r="AL11" s="16"/>
      <c r="AM11" s="16"/>
      <c r="AN11" s="16"/>
      <c r="AO11" s="16"/>
      <c r="AP11" s="16"/>
      <c r="AQ11" s="16"/>
      <c r="AR11" s="16"/>
      <c r="AS11" s="16"/>
      <c r="AT11" s="16"/>
      <c r="AU11" s="16"/>
      <c r="AV11" s="16"/>
      <c r="AW11" s="16"/>
      <c r="AX11" s="16"/>
    </row>
    <row r="12" spans="1:62" ht="15" customHeight="1" x14ac:dyDescent="0.2">
      <c r="A12" s="16"/>
      <c r="B12" s="822"/>
      <c r="C12" s="832"/>
      <c r="D12" s="833"/>
      <c r="E12" s="834"/>
      <c r="F12" s="356"/>
      <c r="G12" s="357"/>
      <c r="H12" s="349"/>
      <c r="I12" s="358"/>
      <c r="J12" s="359"/>
      <c r="K12" s="360"/>
      <c r="L12" s="359"/>
      <c r="M12" s="359"/>
      <c r="N12" s="349"/>
      <c r="O12" s="349"/>
      <c r="P12" s="16"/>
      <c r="Q12" s="16"/>
      <c r="R12" s="821" t="s">
        <v>358</v>
      </c>
      <c r="S12" s="835" t="s">
        <v>542</v>
      </c>
      <c r="T12" s="836"/>
      <c r="U12" s="837"/>
      <c r="V12" s="273">
        <f>Temperatura!$BA$36</f>
        <v>0.12</v>
      </c>
      <c r="W12" s="351" t="s">
        <v>71</v>
      </c>
      <c r="X12" s="561" t="s">
        <v>202</v>
      </c>
      <c r="Y12" s="562">
        <f>SQRT(3)</f>
        <v>1.7320508075688772</v>
      </c>
      <c r="Z12" s="354">
        <f>V12/Y12</f>
        <v>6.9282032302755092E-2</v>
      </c>
      <c r="AA12" s="355">
        <v>1</v>
      </c>
      <c r="AB12" s="351" t="s">
        <v>71</v>
      </c>
      <c r="AC12" s="354">
        <f>Z12*AA12</f>
        <v>6.9282032302755092E-2</v>
      </c>
      <c r="AD12" s="352" t="s">
        <v>181</v>
      </c>
      <c r="AE12" s="352">
        <f>AC12^4/(IF(AD12="∞",100000,AD12))</f>
        <v>2.3040000000000003E-10</v>
      </c>
      <c r="AF12" s="16"/>
      <c r="AG12" s="16"/>
      <c r="AH12" s="16"/>
      <c r="AI12" s="16"/>
      <c r="AJ12" s="16"/>
      <c r="AK12" s="16"/>
      <c r="AL12" s="16"/>
      <c r="AM12" s="16"/>
      <c r="AN12" s="16"/>
      <c r="AO12" s="16"/>
      <c r="AP12" s="16"/>
      <c r="AQ12" s="16"/>
      <c r="AR12" s="16"/>
      <c r="AS12" s="16"/>
      <c r="AT12" s="16"/>
      <c r="AU12" s="16"/>
      <c r="AV12" s="16"/>
      <c r="AW12" s="16"/>
      <c r="AX12" s="16"/>
      <c r="AY12" s="16"/>
      <c r="AZ12" s="16"/>
      <c r="BA12" s="16"/>
      <c r="BB12" s="16"/>
      <c r="BC12" s="16"/>
      <c r="BD12" s="16"/>
      <c r="BE12" s="16"/>
      <c r="BF12" s="16"/>
      <c r="BG12" s="16"/>
      <c r="BH12" s="16"/>
      <c r="BI12" s="16"/>
      <c r="BJ12" s="16"/>
    </row>
    <row r="13" spans="1:62" ht="15" customHeight="1" x14ac:dyDescent="0.2">
      <c r="A13" s="16"/>
      <c r="B13" s="822"/>
      <c r="C13" s="818"/>
      <c r="D13" s="819"/>
      <c r="E13" s="820"/>
      <c r="F13" s="361"/>
      <c r="G13" s="362"/>
      <c r="H13" s="349"/>
      <c r="I13" s="358"/>
      <c r="J13" s="359"/>
      <c r="K13" s="360"/>
      <c r="L13" s="359"/>
      <c r="M13" s="359"/>
      <c r="N13" s="349"/>
      <c r="O13" s="349"/>
      <c r="P13" s="16"/>
      <c r="Q13" s="16"/>
      <c r="R13" s="822"/>
      <c r="S13" s="824" t="s">
        <v>447</v>
      </c>
      <c r="T13" s="825"/>
      <c r="U13" s="826"/>
      <c r="V13" s="273">
        <f>IFERROR(IF(Resumo!$F$9="Manual","",IF(Resumo!$F$9="Software",Temperatura!$AI$11,"")),"")</f>
        <v>6.8602454404168949E-3</v>
      </c>
      <c r="W13" s="351" t="s">
        <v>71</v>
      </c>
      <c r="X13" s="561" t="s">
        <v>541</v>
      </c>
      <c r="Y13" s="562">
        <f>IFERROR(IF(Resumo!$F$9="Manual","",IF(Resumo!$F$9="Software",SQRT(COUNT(Temperatura!$D$9:$D$3608)),"")),"")</f>
        <v>26.851443164195103</v>
      </c>
      <c r="Z13" s="354">
        <f>IFERROR(IF(Resumo!$F$9="Manual","",IF(Resumo!$F$9="Software",V13/Y13,"")),"")</f>
        <v>2.5548889117306915E-4</v>
      </c>
      <c r="AA13" s="355">
        <f>IFERROR(IF(Resumo!$F$9="Manual","",IF(Resumo!$F$9="Software",1,"")),"")</f>
        <v>1</v>
      </c>
      <c r="AB13" s="351" t="s">
        <v>71</v>
      </c>
      <c r="AC13" s="354">
        <f>IFERROR(IF(Resumo!$F$9="Manual","",IF(Resumo!$F$9="Software",Z13*AA13,"")),"")</f>
        <v>2.5548889117306915E-4</v>
      </c>
      <c r="AD13" s="352">
        <f>IFERROR(IF(Resumo!$F$9="Manual","",IF(Resumo!$F$9="Software",COUNT(Temperatura!$B$9:$B$3608)-1,"")),"")</f>
        <v>720</v>
      </c>
      <c r="AE13" s="352">
        <f>IFERROR(IF(Resumo!$F$9="Manual","",IF(Resumo!$F$9="Software",AC13^4/(IF(AD13="∞",100000,AD13)),"")),"")</f>
        <v>5.917736037894062E-18</v>
      </c>
      <c r="AF13" s="16"/>
      <c r="AG13" s="16"/>
      <c r="AH13" s="16"/>
      <c r="AI13" s="16"/>
      <c r="AJ13" s="16"/>
      <c r="AK13" s="16"/>
      <c r="AL13" s="16"/>
      <c r="AM13" s="16"/>
      <c r="AN13" s="16"/>
      <c r="AO13" s="16"/>
      <c r="AP13" s="16"/>
      <c r="AQ13" s="16"/>
      <c r="AR13" s="16"/>
      <c r="AS13" s="16"/>
      <c r="AT13" s="16"/>
      <c r="AU13" s="16"/>
      <c r="AV13" s="16"/>
      <c r="AW13" s="16"/>
      <c r="AX13" s="16"/>
      <c r="AY13" s="16"/>
      <c r="AZ13" s="16"/>
      <c r="BA13" s="16"/>
      <c r="BB13" s="16"/>
      <c r="BC13" s="16"/>
      <c r="BD13" s="16"/>
      <c r="BE13" s="16"/>
      <c r="BF13" s="16"/>
      <c r="BG13" s="16"/>
      <c r="BH13" s="16"/>
      <c r="BI13" s="16"/>
      <c r="BJ13" s="16"/>
    </row>
    <row r="14" spans="1:62" ht="15" customHeight="1" x14ac:dyDescent="0.2">
      <c r="A14" s="16"/>
      <c r="B14" s="823"/>
      <c r="C14" s="818"/>
      <c r="D14" s="819"/>
      <c r="E14" s="820"/>
      <c r="F14" s="274"/>
      <c r="G14" s="362"/>
      <c r="H14" s="349"/>
      <c r="I14" s="349"/>
      <c r="J14" s="359"/>
      <c r="K14" s="360"/>
      <c r="L14" s="359"/>
      <c r="M14" s="359"/>
      <c r="N14" s="349"/>
      <c r="O14" s="349"/>
      <c r="P14" s="16"/>
      <c r="Q14" s="16"/>
      <c r="R14" s="822"/>
      <c r="S14" s="835" t="s">
        <v>178</v>
      </c>
      <c r="T14" s="836"/>
      <c r="U14" s="837"/>
      <c r="V14" s="563">
        <f>0.01/2</f>
        <v>5.0000000000000001E-3</v>
      </c>
      <c r="W14" s="580" t="s">
        <v>71</v>
      </c>
      <c r="X14" s="561" t="s">
        <v>202</v>
      </c>
      <c r="Y14" s="562">
        <f>SQRT(3)</f>
        <v>1.7320508075688772</v>
      </c>
      <c r="Z14" s="603">
        <f>IFERROR(IF(Resumo!$F$9="Manual","",IF(Resumo!$F$9="Software",V14/Y14,"")),"")</f>
        <v>2.886751345948129E-3</v>
      </c>
      <c r="AA14" s="604">
        <f>IFERROR(IF(Resumo!$F$9="Manual","",IF(Resumo!$F$9="Software",1,"")),"")</f>
        <v>1</v>
      </c>
      <c r="AB14" s="580" t="s">
        <v>71</v>
      </c>
      <c r="AC14" s="603">
        <f>IFERROR(IF(Resumo!$F$9="Manual","",IF(Resumo!$F$9="Software",Z14*AA14,"")),"")</f>
        <v>2.886751345948129E-3</v>
      </c>
      <c r="AD14" s="575">
        <f>IFERROR(IF(Resumo!$F$9="Manual","",IF(Resumo!$F$9="Software",COUNT(Temperatura!$B$9:$B$3608)-1,"")),"")</f>
        <v>720</v>
      </c>
      <c r="AE14" s="575">
        <f>IFERROR(IF(Resumo!$F$9="Manual","",IF(Resumo!$F$9="Software",AC14^4/(IF(AD14="∞",100000,AD14)),"")),"")</f>
        <v>9.6450617283950626E-14</v>
      </c>
      <c r="AF14" s="16"/>
      <c r="AG14" s="16"/>
      <c r="AH14" s="16"/>
      <c r="AI14" s="16"/>
      <c r="AJ14" s="16"/>
      <c r="AK14" s="16"/>
      <c r="AL14" s="16"/>
      <c r="AM14" s="16"/>
      <c r="AN14" s="16"/>
      <c r="AO14" s="16"/>
      <c r="AP14" s="16"/>
      <c r="AQ14" s="16"/>
      <c r="AR14" s="16"/>
      <c r="AS14" s="16"/>
      <c r="AT14" s="16"/>
      <c r="AU14" s="16"/>
      <c r="AV14" s="16"/>
      <c r="AW14" s="16"/>
      <c r="AX14" s="16"/>
      <c r="AY14" s="16"/>
      <c r="AZ14" s="16"/>
      <c r="BA14" s="16"/>
      <c r="BB14" s="16"/>
      <c r="BC14" s="16"/>
      <c r="BD14" s="16"/>
      <c r="BE14" s="16"/>
      <c r="BF14" s="16"/>
      <c r="BG14" s="16"/>
      <c r="BH14" s="16"/>
      <c r="BI14" s="16"/>
      <c r="BJ14" s="16"/>
    </row>
    <row r="15" spans="1:62" ht="15" customHeight="1" thickBot="1" x14ac:dyDescent="0.3">
      <c r="A15" s="16"/>
      <c r="B15" s="164"/>
      <c r="C15" s="164"/>
      <c r="D15" s="164"/>
      <c r="E15" s="164"/>
      <c r="F15" s="164"/>
      <c r="G15" s="164"/>
      <c r="H15" s="164"/>
      <c r="I15" s="164"/>
      <c r="J15" s="164"/>
      <c r="K15" s="164"/>
      <c r="L15" s="164"/>
      <c r="M15" s="164"/>
      <c r="N15" s="164"/>
      <c r="O15" s="164"/>
      <c r="P15" s="16"/>
      <c r="Q15" s="16"/>
      <c r="R15" s="822"/>
      <c r="S15" s="818"/>
      <c r="T15" s="819"/>
      <c r="U15" s="820"/>
      <c r="V15" s="361"/>
      <c r="W15" s="362"/>
      <c r="X15" s="349"/>
      <c r="Y15" s="606"/>
      <c r="Z15" s="359"/>
      <c r="AA15" s="360"/>
      <c r="AB15" s="359"/>
      <c r="AC15" s="359"/>
      <c r="AD15" s="349"/>
      <c r="AE15" s="349"/>
      <c r="AF15" s="16"/>
      <c r="AG15" s="16"/>
      <c r="AH15" s="16"/>
      <c r="AI15" s="16"/>
      <c r="AJ15" s="16"/>
      <c r="AK15" s="16"/>
      <c r="AL15" s="16"/>
      <c r="AM15" s="16"/>
      <c r="AN15" s="16"/>
      <c r="AO15" s="16"/>
      <c r="AP15" s="16"/>
      <c r="AQ15" s="16"/>
      <c r="AR15" s="16"/>
      <c r="AS15" s="16"/>
      <c r="AT15" s="16"/>
      <c r="AU15" s="16"/>
      <c r="AV15" s="16"/>
      <c r="AW15" s="16"/>
      <c r="AX15" s="16"/>
      <c r="AY15" s="16"/>
      <c r="AZ15" s="16"/>
      <c r="BA15" s="16"/>
      <c r="BB15" s="16"/>
      <c r="BC15" s="16"/>
      <c r="BD15" s="16"/>
      <c r="BE15" s="16"/>
      <c r="BF15" s="16"/>
      <c r="BG15" s="16"/>
      <c r="BH15" s="16"/>
      <c r="BI15" s="16"/>
      <c r="BJ15" s="16"/>
    </row>
    <row r="16" spans="1:62" ht="15" customHeight="1" thickTop="1" thickBot="1" x14ac:dyDescent="0.3">
      <c r="A16" s="16"/>
      <c r="B16" s="164"/>
      <c r="C16" s="164"/>
      <c r="D16" s="164"/>
      <c r="E16" s="164"/>
      <c r="F16" s="164"/>
      <c r="G16" s="363" t="s">
        <v>183</v>
      </c>
      <c r="H16" s="364">
        <v>0.95450000000000002</v>
      </c>
      <c r="I16" s="363" t="s">
        <v>184</v>
      </c>
      <c r="J16" s="365">
        <f>TINV(1-H16,IF(N16="∞",100000,N16))</f>
        <v>2.0000274442871735</v>
      </c>
      <c r="K16" s="363"/>
      <c r="L16" s="363" t="s">
        <v>185</v>
      </c>
      <c r="M16" s="366">
        <f>SQRT(SUMSQ(M10:M14))</f>
        <v>0.4340093492634669</v>
      </c>
      <c r="N16" s="365" t="str">
        <f>IF((M16^4/O16)&gt;100000,"∞",(M16^4/O16))</f>
        <v>∞</v>
      </c>
      <c r="O16" s="363">
        <f>SUM(O10:O14)</f>
        <v>3.516848861000748E-7</v>
      </c>
      <c r="P16" s="16"/>
      <c r="Q16" s="16"/>
      <c r="R16" s="823"/>
      <c r="S16" s="818"/>
      <c r="T16" s="819"/>
      <c r="U16" s="820"/>
      <c r="V16" s="274"/>
      <c r="W16" s="362"/>
      <c r="X16" s="349"/>
      <c r="Y16" s="605"/>
      <c r="Z16" s="359"/>
      <c r="AA16" s="360"/>
      <c r="AB16" s="359"/>
      <c r="AC16" s="359"/>
      <c r="AD16" s="349"/>
      <c r="AE16" s="349"/>
      <c r="AF16" s="16"/>
      <c r="AG16" s="16"/>
      <c r="AH16" s="16"/>
      <c r="AI16" s="16"/>
      <c r="AJ16" s="16"/>
      <c r="AK16" s="16"/>
      <c r="AL16" s="16"/>
      <c r="AM16" s="16"/>
      <c r="AN16" s="16"/>
      <c r="AO16" s="16"/>
      <c r="AP16" s="16"/>
      <c r="AQ16" s="16"/>
      <c r="AR16" s="16"/>
      <c r="AS16" s="16"/>
      <c r="AT16" s="16"/>
      <c r="AU16" s="16"/>
      <c r="AV16" s="16"/>
      <c r="AW16" s="16"/>
      <c r="AX16" s="16"/>
      <c r="AY16" s="16"/>
      <c r="AZ16" s="16"/>
      <c r="BA16" s="16"/>
      <c r="BB16" s="16"/>
      <c r="BC16" s="16"/>
      <c r="BD16" s="16"/>
      <c r="BE16" s="16"/>
      <c r="BF16" s="16"/>
      <c r="BG16" s="16"/>
      <c r="BH16" s="16"/>
      <c r="BI16" s="16"/>
      <c r="BJ16" s="16"/>
    </row>
    <row r="17" spans="1:65" ht="15" customHeight="1" thickTop="1" thickBot="1" x14ac:dyDescent="0.3">
      <c r="A17" s="16"/>
      <c r="B17" s="44"/>
      <c r="C17" s="44"/>
      <c r="D17" s="44"/>
      <c r="E17" s="44"/>
      <c r="F17" s="44"/>
      <c r="G17" s="44"/>
      <c r="H17" s="44"/>
      <c r="I17" s="44"/>
      <c r="J17" s="44"/>
      <c r="K17" s="45"/>
      <c r="L17" s="46"/>
      <c r="M17" s="46"/>
      <c r="N17" s="46"/>
      <c r="O17" s="44"/>
      <c r="P17" s="16"/>
      <c r="Q17" s="16"/>
      <c r="R17" s="164"/>
      <c r="S17" s="164"/>
      <c r="T17" s="164"/>
      <c r="U17" s="164"/>
      <c r="V17" s="164"/>
      <c r="W17" s="164"/>
      <c r="X17" s="164"/>
      <c r="Y17" s="607"/>
      <c r="Z17" s="164"/>
      <c r="AA17" s="164"/>
      <c r="AB17" s="164"/>
      <c r="AC17" s="164"/>
      <c r="AD17" s="164"/>
      <c r="AE17" s="164"/>
      <c r="AF17" s="16"/>
      <c r="AG17" s="16"/>
      <c r="AH17" s="16"/>
      <c r="AI17" s="16"/>
      <c r="AJ17" s="16"/>
      <c r="AK17" s="16"/>
      <c r="AL17" s="16"/>
      <c r="AM17" s="16"/>
      <c r="AN17" s="16"/>
      <c r="AO17" s="16"/>
      <c r="AP17" s="16"/>
      <c r="AQ17" s="16"/>
      <c r="AR17" s="16"/>
      <c r="AS17" s="16"/>
      <c r="AT17" s="16"/>
      <c r="AU17" s="16"/>
      <c r="AV17" s="16"/>
      <c r="AW17" s="16"/>
      <c r="AX17" s="16"/>
      <c r="AY17" s="16"/>
      <c r="AZ17" s="16"/>
      <c r="BA17" s="16"/>
      <c r="BB17" s="16"/>
      <c r="BC17" s="16"/>
      <c r="BD17" s="16"/>
      <c r="BE17" s="16"/>
      <c r="BF17" s="16"/>
      <c r="BG17" s="16"/>
      <c r="BH17" s="16"/>
      <c r="BI17" s="16"/>
      <c r="BJ17" s="16"/>
    </row>
    <row r="18" spans="1:65" ht="15" customHeight="1" thickTop="1" thickBot="1" x14ac:dyDescent="0.3">
      <c r="A18" s="16"/>
      <c r="B18" s="44"/>
      <c r="C18" s="44"/>
      <c r="D18" s="44"/>
      <c r="E18" s="44"/>
      <c r="F18" s="44"/>
      <c r="G18" s="44"/>
      <c r="H18" s="44"/>
      <c r="I18" s="44"/>
      <c r="J18" s="44"/>
      <c r="K18" s="47"/>
      <c r="L18" s="48" t="s">
        <v>186</v>
      </c>
      <c r="M18" s="49" t="str">
        <f>IF(F11="","",IF(ROUNDUP(M16*J16,6)&lt;0.0001,FIXED(ROUNDUP(M16*J16*1,6),6),IF(ROUNDUP(M16*J16,5)&lt;0.001,FIXED(ROUNDUP(M16*J16*1,5),5),IF(ROUNDUP(M16*J16,4)&lt;0.01,FIXED(ROUNDUP(M16*J16*1,4),4),IF(ROUNDUP(M16*J16,3)&lt;0.1,FIXED(ROUNDUP(M16*J16*1,3),3),IF(ROUNDUP(M16*J16,2)&lt;1,FIXED(ROUNDUP(M16*J16*1,2),2),IF(ROUNDUP(M16*J16,1)&lt;10,FIXED(ROUNDUP(M16*J16*1,1),1),IF(M16*J16&lt;100,FIXED(M16*J16*1,0),"IM ALTA"))))))))</f>
        <v>0,87</v>
      </c>
      <c r="N18" s="50" t="s">
        <v>13</v>
      </c>
      <c r="O18" s="44"/>
      <c r="P18" s="16"/>
      <c r="Q18" s="16"/>
      <c r="R18" s="164"/>
      <c r="S18" s="164"/>
      <c r="T18" s="164"/>
      <c r="U18" s="164"/>
      <c r="V18" s="164"/>
      <c r="W18" s="363" t="s">
        <v>183</v>
      </c>
      <c r="X18" s="364">
        <v>0.95450000000000002</v>
      </c>
      <c r="Y18" s="608" t="s">
        <v>184</v>
      </c>
      <c r="Z18" s="365">
        <f>TINV(1-X18,IF(AD18="∞",100000,AD18))</f>
        <v>2.0000274442871735</v>
      </c>
      <c r="AA18" s="363"/>
      <c r="AB18" s="363" t="s">
        <v>185</v>
      </c>
      <c r="AC18" s="366">
        <f>SQRT(SUMSQ(AC12:AC16))</f>
        <v>6.9342617544384977E-2</v>
      </c>
      <c r="AD18" s="365" t="str">
        <f>IF((AC18^4/AE18)&gt;100000,"∞",(AC18^4/AE18))</f>
        <v>∞</v>
      </c>
      <c r="AE18" s="363">
        <f>SUM(AE12:AE16)</f>
        <v>2.3049645653502001E-10</v>
      </c>
      <c r="AF18" s="16"/>
      <c r="AG18" s="16"/>
      <c r="AH18" s="16"/>
      <c r="AI18" s="16"/>
      <c r="AJ18" s="16"/>
      <c r="AK18" s="16"/>
      <c r="AL18" s="16"/>
      <c r="AM18" s="16"/>
      <c r="AN18" s="16"/>
      <c r="AO18" s="16"/>
      <c r="AP18" s="16"/>
      <c r="AQ18" s="16"/>
      <c r="AR18" s="16"/>
      <c r="AS18" s="16"/>
      <c r="AT18" s="16"/>
      <c r="AU18" s="16"/>
      <c r="AV18" s="16"/>
      <c r="AW18" s="16"/>
      <c r="AX18" s="16"/>
      <c r="AY18" s="16"/>
      <c r="AZ18" s="16"/>
      <c r="BA18" s="16"/>
      <c r="BB18" s="16"/>
      <c r="BC18" s="16"/>
      <c r="BD18" s="16"/>
      <c r="BE18" s="16"/>
      <c r="BF18" s="16"/>
      <c r="BG18" s="16"/>
      <c r="BH18" s="16"/>
      <c r="BI18" s="16"/>
      <c r="BJ18" s="16"/>
    </row>
    <row r="19" spans="1:65" ht="15" customHeight="1" thickTop="1" thickBot="1" x14ac:dyDescent="0.3">
      <c r="A19" s="16"/>
      <c r="B19" s="44"/>
      <c r="C19" s="44"/>
      <c r="D19" s="44"/>
      <c r="E19" s="44"/>
      <c r="F19" s="44"/>
      <c r="G19" s="44"/>
      <c r="H19" s="44"/>
      <c r="I19" s="44"/>
      <c r="J19" s="44"/>
      <c r="K19" s="44"/>
      <c r="L19" s="51"/>
      <c r="M19" s="52"/>
      <c r="N19" s="53"/>
      <c r="O19" s="44"/>
      <c r="P19" s="16"/>
      <c r="Q19" s="16"/>
      <c r="R19" s="44"/>
      <c r="S19" s="44"/>
      <c r="T19" s="44"/>
      <c r="U19" s="44"/>
      <c r="V19" s="44"/>
      <c r="W19" s="44"/>
      <c r="X19" s="44"/>
      <c r="Y19" s="592"/>
      <c r="Z19" s="44"/>
      <c r="AA19" s="45"/>
      <c r="AB19" s="46"/>
      <c r="AC19" s="46"/>
      <c r="AD19" s="46"/>
      <c r="AE19" s="44"/>
      <c r="AF19" s="16"/>
      <c r="AG19" s="16"/>
      <c r="AH19" s="16"/>
      <c r="AI19" s="16"/>
      <c r="AJ19" s="16"/>
      <c r="AK19" s="16"/>
      <c r="AL19" s="16"/>
      <c r="AM19" s="16"/>
      <c r="AN19" s="16"/>
      <c r="AO19" s="16"/>
      <c r="AP19" s="16"/>
      <c r="AQ19" s="16"/>
      <c r="AR19" s="16"/>
      <c r="AS19" s="16"/>
      <c r="AT19" s="16"/>
      <c r="AU19" s="16"/>
      <c r="AV19" s="16"/>
      <c r="AW19" s="16"/>
      <c r="AX19" s="16"/>
      <c r="AY19" s="16"/>
      <c r="AZ19" s="16"/>
      <c r="BA19" s="16"/>
      <c r="BB19" s="16"/>
      <c r="BC19" s="16"/>
      <c r="BD19" s="16"/>
      <c r="BE19" s="16"/>
      <c r="BF19" s="16"/>
      <c r="BG19" s="16"/>
      <c r="BH19" s="16"/>
      <c r="BI19" s="16"/>
      <c r="BJ19" s="16"/>
    </row>
    <row r="20" spans="1:65" ht="15" customHeight="1" thickTop="1" thickBot="1" x14ac:dyDescent="0.3">
      <c r="A20" s="16"/>
      <c r="B20" s="54" t="s">
        <v>203</v>
      </c>
      <c r="C20" s="44"/>
      <c r="D20" s="44"/>
      <c r="E20" s="55"/>
      <c r="F20" s="44"/>
      <c r="G20" s="44"/>
      <c r="H20" s="44"/>
      <c r="I20" s="44"/>
      <c r="J20" s="44"/>
      <c r="K20" s="44"/>
      <c r="L20" s="51"/>
      <c r="M20" s="52"/>
      <c r="N20" s="53"/>
      <c r="O20" s="44"/>
      <c r="P20" s="16"/>
      <c r="Q20" s="16"/>
      <c r="R20" s="44"/>
      <c r="S20" s="44"/>
      <c r="T20" s="44"/>
      <c r="U20" s="44"/>
      <c r="V20" s="44"/>
      <c r="W20" s="44"/>
      <c r="X20" s="44"/>
      <c r="Y20" s="592"/>
      <c r="Z20" s="44"/>
      <c r="AA20" s="47"/>
      <c r="AB20" s="48" t="s">
        <v>186</v>
      </c>
      <c r="AC20" s="573" t="str">
        <f>IF(ROUNDUP(AC18*Z18,6)&lt;0.0001,FIXED(ROUNDUP(AC18*Z18*1,6),6),IF(ROUNDUP(AC18*Z18,5)&lt;0.001,FIXED(ROUNDUP(AC18*Z18*1,5),5),IF(ROUNDUP(AC18*Z18,4)&lt;0.01,FIXED(ROUNDUP(AC18*Z18*1,4),4),IF(ROUNDUP(AC18*Z18,3)&lt;0.1,FIXED(ROUNDUP(AC18*Z18*1,3),3),IF(ROUNDUP(AC18*Z18,2)&lt;1,FIXED(ROUNDUP(AC18*Z18*1,2),2),IF(ROUNDUP(AC18*Z18,1)&lt;10,FIXED(ROUNDUP(AC18*Z18*1,1),1),IF(AC18*Z18&lt;100,FIXED(AC18*Z18*1,0),"IM ALTA")))))))</f>
        <v>0,14</v>
      </c>
      <c r="AD20" s="50" t="s">
        <v>71</v>
      </c>
      <c r="AE20" s="44"/>
      <c r="AF20" s="16"/>
      <c r="AU20" s="16"/>
    </row>
    <row r="21" spans="1:65" ht="15" customHeight="1" thickTop="1" x14ac:dyDescent="0.25">
      <c r="A21" s="16"/>
      <c r="B21" s="44"/>
      <c r="C21" s="16"/>
      <c r="D21" s="56" t="s">
        <v>211</v>
      </c>
      <c r="E21" s="44"/>
      <c r="F21">
        <v>5</v>
      </c>
      <c r="G21" s="44" t="s">
        <v>71</v>
      </c>
      <c r="H21" s="44"/>
      <c r="I21" s="44"/>
      <c r="J21" s="44"/>
      <c r="K21" s="44"/>
      <c r="L21" s="51"/>
      <c r="M21" s="52"/>
      <c r="N21" s="53"/>
      <c r="O21" s="44"/>
      <c r="P21" s="16"/>
      <c r="Q21" s="16"/>
      <c r="R21" s="16"/>
      <c r="S21" s="16"/>
      <c r="T21" s="16"/>
      <c r="U21" s="16"/>
      <c r="V21" s="16"/>
      <c r="W21" s="16"/>
      <c r="X21" s="16"/>
      <c r="Y21" s="583"/>
      <c r="Z21" s="16"/>
      <c r="AA21" s="16"/>
      <c r="AB21" s="16"/>
      <c r="AC21" s="16"/>
      <c r="AD21" s="16"/>
      <c r="AE21" s="16"/>
      <c r="AF21" s="16"/>
      <c r="AU21" s="16"/>
    </row>
    <row r="22" spans="1:65" ht="15" customHeight="1" x14ac:dyDescent="0.25">
      <c r="A22" s="16"/>
      <c r="B22" s="16"/>
      <c r="C22"/>
      <c r="D22" s="56" t="s">
        <v>212</v>
      </c>
      <c r="E22" s="16"/>
      <c r="F22" s="16">
        <v>40</v>
      </c>
      <c r="G22" s="56" t="s">
        <v>71</v>
      </c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54" t="s">
        <v>208</v>
      </c>
      <c r="S22" s="44"/>
      <c r="T22" s="44"/>
      <c r="U22" s="55"/>
      <c r="V22" s="44"/>
      <c r="W22" s="44"/>
      <c r="X22" s="44"/>
      <c r="Y22" s="592"/>
      <c r="Z22" s="44"/>
      <c r="AA22" s="44"/>
      <c r="AB22" s="51"/>
      <c r="AC22" s="52"/>
      <c r="AD22" s="53"/>
      <c r="AE22" s="44"/>
      <c r="AF22" s="16"/>
      <c r="AU22" s="16"/>
    </row>
    <row r="23" spans="1:65" ht="15" customHeight="1" x14ac:dyDescent="0.25">
      <c r="A23" s="16"/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44"/>
      <c r="S23" s="16"/>
      <c r="T23" s="56" t="s">
        <v>211</v>
      </c>
      <c r="U23" s="44"/>
      <c r="V23">
        <v>5</v>
      </c>
      <c r="W23" s="44" t="s">
        <v>71</v>
      </c>
      <c r="X23" s="44"/>
      <c r="Y23" s="592"/>
      <c r="Z23" s="44"/>
      <c r="AA23" s="44"/>
      <c r="AB23" s="51"/>
      <c r="AC23" s="52"/>
      <c r="AD23" s="53"/>
      <c r="AE23" s="44"/>
      <c r="AF23" s="16"/>
      <c r="AU23" s="16"/>
    </row>
    <row r="24" spans="1:65" ht="15" customHeight="1" x14ac:dyDescent="0.2">
      <c r="A24" s="16"/>
      <c r="B24" s="349" t="s">
        <v>54</v>
      </c>
      <c r="C24" s="815" t="s">
        <v>168</v>
      </c>
      <c r="D24" s="816"/>
      <c r="E24" s="817"/>
      <c r="F24" s="349" t="s">
        <v>169</v>
      </c>
      <c r="G24" s="349" t="s">
        <v>65</v>
      </c>
      <c r="H24" s="349" t="s">
        <v>170</v>
      </c>
      <c r="I24" s="349" t="s">
        <v>171</v>
      </c>
      <c r="J24" s="349" t="s">
        <v>172</v>
      </c>
      <c r="K24" s="349" t="s">
        <v>173</v>
      </c>
      <c r="L24" s="349" t="s">
        <v>65</v>
      </c>
      <c r="M24" s="349" t="s">
        <v>174</v>
      </c>
      <c r="N24" s="349" t="s">
        <v>175</v>
      </c>
      <c r="O24" s="349" t="s">
        <v>176</v>
      </c>
      <c r="P24" s="16"/>
      <c r="Q24" s="16"/>
      <c r="R24" s="16"/>
      <c r="S24"/>
      <c r="T24" s="56" t="s">
        <v>212</v>
      </c>
      <c r="U24" s="16"/>
      <c r="V24" s="16">
        <v>40</v>
      </c>
      <c r="W24" s="56" t="s">
        <v>71</v>
      </c>
      <c r="X24" s="16"/>
      <c r="Y24" s="583"/>
      <c r="Z24" s="16"/>
      <c r="AA24" s="16"/>
      <c r="AB24" s="16"/>
      <c r="AC24" s="16"/>
      <c r="AD24" s="16"/>
      <c r="AE24" s="16"/>
      <c r="AF24" s="16"/>
      <c r="AU24" s="16"/>
    </row>
    <row r="25" spans="1:65" ht="15" customHeight="1" x14ac:dyDescent="0.2">
      <c r="A25" s="16"/>
      <c r="B25" s="821" t="s">
        <v>358</v>
      </c>
      <c r="C25" s="824" t="s">
        <v>542</v>
      </c>
      <c r="D25" s="825"/>
      <c r="E25" s="826"/>
      <c r="F25" s="563">
        <f>Temperatura!$BA$18</f>
        <v>0.12</v>
      </c>
      <c r="G25" s="351" t="s">
        <v>71</v>
      </c>
      <c r="H25" s="561" t="s">
        <v>202</v>
      </c>
      <c r="I25" s="562">
        <f>SQRT(3)</f>
        <v>1.7320508075688772</v>
      </c>
      <c r="J25" s="354">
        <f>F25/I25</f>
        <v>6.9282032302755092E-2</v>
      </c>
      <c r="K25" s="355">
        <v>1</v>
      </c>
      <c r="L25" s="351" t="s">
        <v>71</v>
      </c>
      <c r="M25" s="354">
        <f>J25*K25</f>
        <v>6.9282032302755092E-2</v>
      </c>
      <c r="N25" s="352" t="s">
        <v>181</v>
      </c>
      <c r="O25" s="352">
        <f>M25^4/(IF(N25="∞",100000,N25))</f>
        <v>2.3040000000000003E-10</v>
      </c>
      <c r="P25" s="16"/>
      <c r="Q25" s="16"/>
      <c r="R25" s="16"/>
      <c r="S25" s="16"/>
      <c r="T25" s="16"/>
      <c r="U25" s="16"/>
      <c r="V25" s="16"/>
      <c r="W25" s="16"/>
      <c r="X25" s="16"/>
      <c r="Y25" s="583"/>
      <c r="Z25" s="16"/>
      <c r="AA25" s="16"/>
      <c r="AB25" s="16"/>
      <c r="AC25" s="16"/>
      <c r="AD25" s="16"/>
      <c r="AE25" s="16"/>
      <c r="AF25" s="16"/>
      <c r="AU25" s="16"/>
    </row>
    <row r="26" spans="1:65" ht="15" customHeight="1" x14ac:dyDescent="0.2">
      <c r="A26" s="16"/>
      <c r="B26" s="822"/>
      <c r="C26" s="824" t="s">
        <v>447</v>
      </c>
      <c r="D26" s="825"/>
      <c r="E26" s="826"/>
      <c r="F26" s="273">
        <f>IFERROR(IF(Resumo!$F$9="Manual","",IF(Resumo!$F$9="Software",Temperatura!$AI$9,"")),"")</f>
        <v>2.4557280056116449E-2</v>
      </c>
      <c r="G26" s="351" t="s">
        <v>71</v>
      </c>
      <c r="H26" s="561" t="s">
        <v>541</v>
      </c>
      <c r="I26" s="574">
        <f>IFERROR(IF(Resumo!$F$9="Manual","",IF(Resumo!$F$9="Software",SQRT(COUNT(Temperatura!$B$9:$B$3608)),"")),"")</f>
        <v>26.851443164195103</v>
      </c>
      <c r="J26" s="354">
        <f>IFERROR(IF(Resumo!$F$9="Manual","",IF(Resumo!$F$9="Software",F26/I26,"")),"")</f>
        <v>9.1456090110129376E-4</v>
      </c>
      <c r="K26" s="355">
        <f>IFERROR(IF(Resumo!$F$9="Manual","",IF(Resumo!$F$9="Software",1,"")),"")</f>
        <v>1</v>
      </c>
      <c r="L26" s="351" t="s">
        <v>71</v>
      </c>
      <c r="M26" s="354">
        <f>IFERROR(IF(Resumo!$F$9="Manual","",IF(Resumo!$F$9="Software",J26*K26,"")),"")</f>
        <v>9.1456090110129376E-4</v>
      </c>
      <c r="N26" s="352">
        <f>IFERROR(IF(Resumo!$F$9="Manual","",IF(Resumo!$F$9="Software",COUNT(Temperatura!$B$9:$B$3608)-1,"")),"")</f>
        <v>720</v>
      </c>
      <c r="O26" s="352">
        <f>IFERROR(IF(Resumo!$F$9="Manual","",IF(Resumo!$F$9="Software",M26^4/(IF(N26="∞",100000,N26)),"")),"")</f>
        <v>9.7166828181977075E-16</v>
      </c>
      <c r="P26" s="16"/>
      <c r="Q26" s="16"/>
      <c r="R26" s="349" t="s">
        <v>54</v>
      </c>
      <c r="S26" s="815" t="s">
        <v>168</v>
      </c>
      <c r="T26" s="816"/>
      <c r="U26" s="817"/>
      <c r="V26" s="349" t="s">
        <v>169</v>
      </c>
      <c r="W26" s="349" t="s">
        <v>65</v>
      </c>
      <c r="X26" s="349" t="s">
        <v>170</v>
      </c>
      <c r="Y26" s="605" t="s">
        <v>171</v>
      </c>
      <c r="Z26" s="349" t="s">
        <v>172</v>
      </c>
      <c r="AA26" s="349" t="s">
        <v>173</v>
      </c>
      <c r="AB26" s="349" t="s">
        <v>65</v>
      </c>
      <c r="AC26" s="349" t="s">
        <v>174</v>
      </c>
      <c r="AD26" s="349" t="s">
        <v>175</v>
      </c>
      <c r="AE26" s="349" t="s">
        <v>176</v>
      </c>
      <c r="AF26" s="16"/>
      <c r="AU26" s="16"/>
    </row>
    <row r="27" spans="1:65" ht="15" customHeight="1" x14ac:dyDescent="0.2">
      <c r="A27" s="16"/>
      <c r="B27" s="822"/>
      <c r="C27" s="835" t="s">
        <v>178</v>
      </c>
      <c r="D27" s="836"/>
      <c r="E27" s="837"/>
      <c r="F27" s="563">
        <f>0.01/2</f>
        <v>5.0000000000000001E-3</v>
      </c>
      <c r="G27" s="580" t="s">
        <v>71</v>
      </c>
      <c r="H27" s="561" t="s">
        <v>202</v>
      </c>
      <c r="I27" s="562">
        <f>SQRT(3)</f>
        <v>1.7320508075688772</v>
      </c>
      <c r="J27" s="603">
        <f>IFERROR(IF(Resumo!$F$9="Manual","",IF(Resumo!$F$9="Software",F27/I27,"")),"")</f>
        <v>2.886751345948129E-3</v>
      </c>
      <c r="K27" s="604">
        <f>IFERROR(IF(Resumo!$F$9="Manual","",IF(Resumo!$F$9="Software",1,"")),"")</f>
        <v>1</v>
      </c>
      <c r="L27" s="580" t="s">
        <v>71</v>
      </c>
      <c r="M27" s="603">
        <f>IFERROR(IF(Resumo!$F$9="Manual","",IF(Resumo!$F$9="Software",J27*K27,"")),"")</f>
        <v>2.886751345948129E-3</v>
      </c>
      <c r="N27" s="575">
        <f>IFERROR(IF(Resumo!$F$9="Manual","",IF(Resumo!$F$9="Software",COUNT(Temperatura!$B$9:$B$3608)-1,"")),"")</f>
        <v>720</v>
      </c>
      <c r="O27" s="575">
        <f>IFERROR(IF(Resumo!$F$9="Manual","",IF(Resumo!$F$9="Software",M27^4/(IF(N27="∞",100000,N27)),"")),"")</f>
        <v>9.6450617283950626E-14</v>
      </c>
      <c r="P27" s="16"/>
      <c r="Q27" s="16"/>
      <c r="R27" s="821" t="s">
        <v>358</v>
      </c>
      <c r="S27" s="835" t="s">
        <v>542</v>
      </c>
      <c r="T27" s="836"/>
      <c r="U27" s="837"/>
      <c r="V27" s="273">
        <f>Temperatura!$BA$45</f>
        <v>0.12</v>
      </c>
      <c r="W27" s="351" t="s">
        <v>71</v>
      </c>
      <c r="X27" s="561" t="s">
        <v>202</v>
      </c>
      <c r="Y27" s="562">
        <f>SQRT(3)</f>
        <v>1.7320508075688772</v>
      </c>
      <c r="Z27" s="354">
        <f>V27/Y27</f>
        <v>6.9282032302755092E-2</v>
      </c>
      <c r="AA27" s="355">
        <v>1</v>
      </c>
      <c r="AB27" s="351" t="s">
        <v>71</v>
      </c>
      <c r="AC27" s="354">
        <f>Z27*AA27</f>
        <v>6.9282032302755092E-2</v>
      </c>
      <c r="AD27" s="352" t="s">
        <v>181</v>
      </c>
      <c r="AE27" s="352">
        <f>AC27^4/(IF(AD27="∞",100000,AD27))</f>
        <v>2.3040000000000003E-10</v>
      </c>
      <c r="AF27" s="16"/>
      <c r="AU27" s="16"/>
      <c r="BM27" s="161"/>
    </row>
    <row r="28" spans="1:65" ht="15" customHeight="1" x14ac:dyDescent="0.2">
      <c r="A28" s="16"/>
      <c r="B28" s="822"/>
      <c r="C28" s="818"/>
      <c r="D28" s="819"/>
      <c r="E28" s="820"/>
      <c r="F28" s="361"/>
      <c r="G28" s="362"/>
      <c r="H28" s="349"/>
      <c r="I28" s="358"/>
      <c r="J28" s="359"/>
      <c r="K28" s="360"/>
      <c r="L28" s="359"/>
      <c r="M28" s="359"/>
      <c r="N28" s="349"/>
      <c r="O28" s="349"/>
      <c r="P28" s="16"/>
      <c r="Q28" s="16"/>
      <c r="R28" s="822"/>
      <c r="S28" s="824" t="s">
        <v>447</v>
      </c>
      <c r="T28" s="825"/>
      <c r="U28" s="826"/>
      <c r="V28" s="273">
        <f>IFERROR(IF(Resumo!$F$9="Manual","",IF(Resumo!$F$9="Software",Temperatura!$AI$12,"")),"")</f>
        <v>9.2876068967716451E-3</v>
      </c>
      <c r="W28" s="351" t="s">
        <v>71</v>
      </c>
      <c r="X28" s="561" t="s">
        <v>541</v>
      </c>
      <c r="Y28" s="562">
        <f>IFERROR(IF(Resumo!$F$9="Manual","",IF(Resumo!$F$9="Software",SQRT(COUNT(Temperatura!$E$9:$E$3608)),"")),"")</f>
        <v>26.851443164195103</v>
      </c>
      <c r="Z28" s="354">
        <f>IFERROR(IF(Resumo!$F$9="Manual","",IF(Resumo!$F$9="Software",V28/Y28,"")),"")</f>
        <v>3.458885557837036E-4</v>
      </c>
      <c r="AA28" s="355">
        <f>IFERROR(IF(Resumo!$F$9="Manual","",IF(Resumo!$F$9="Software",1,"")),"")</f>
        <v>1</v>
      </c>
      <c r="AB28" s="351" t="s">
        <v>71</v>
      </c>
      <c r="AC28" s="354">
        <f>IFERROR(IF(Resumo!$F$9="Manual","",IF(Resumo!$F$9="Software",Z28*AA28,"")),"")</f>
        <v>3.458885557837036E-4</v>
      </c>
      <c r="AD28" s="352">
        <f>IFERROR(IF(Resumo!$F$9="Manual","",IF(Resumo!$F$9="Software",COUNT(Temperatura!$B$9:$B$3608)-1,"")),"")</f>
        <v>720</v>
      </c>
      <c r="AE28" s="352">
        <f>IFERROR(IF(Resumo!$F$9="Manual","",IF(Resumo!$F$9="Software",AC28^4/(IF(AD28="∞",100000,AD28)),"")),"")</f>
        <v>1.9879812116058555E-17</v>
      </c>
      <c r="AF28" s="16"/>
      <c r="AU28" s="16"/>
      <c r="BM28" s="161"/>
    </row>
    <row r="29" spans="1:65" ht="15" customHeight="1" x14ac:dyDescent="0.2">
      <c r="A29" s="16"/>
      <c r="B29" s="823"/>
      <c r="C29" s="818"/>
      <c r="D29" s="819"/>
      <c r="E29" s="820"/>
      <c r="F29" s="274"/>
      <c r="G29" s="362"/>
      <c r="H29" s="349"/>
      <c r="I29" s="349"/>
      <c r="J29" s="359"/>
      <c r="K29" s="360"/>
      <c r="L29" s="359"/>
      <c r="M29" s="359"/>
      <c r="N29" s="349"/>
      <c r="O29" s="349"/>
      <c r="P29" s="16"/>
      <c r="Q29" s="16"/>
      <c r="R29" s="822"/>
      <c r="S29" s="835" t="s">
        <v>178</v>
      </c>
      <c r="T29" s="836"/>
      <c r="U29" s="837"/>
      <c r="V29" s="563">
        <f>0.01/2</f>
        <v>5.0000000000000001E-3</v>
      </c>
      <c r="W29" s="580" t="s">
        <v>71</v>
      </c>
      <c r="X29" s="561" t="s">
        <v>202</v>
      </c>
      <c r="Y29" s="562">
        <f>SQRT(3)</f>
        <v>1.7320508075688772</v>
      </c>
      <c r="Z29" s="603">
        <f>IFERROR(IF(Resumo!$F$9="Manual","",IF(Resumo!$F$9="Software",V29/Y29,"")),"")</f>
        <v>2.886751345948129E-3</v>
      </c>
      <c r="AA29" s="604">
        <f>IFERROR(IF(Resumo!$F$9="Manual","",IF(Resumo!$F$9="Software",1,"")),"")</f>
        <v>1</v>
      </c>
      <c r="AB29" s="580" t="s">
        <v>71</v>
      </c>
      <c r="AC29" s="603">
        <f>IFERROR(IF(Resumo!$F$9="Manual","",IF(Resumo!$F$9="Software",Z29*AA29,"")),"")</f>
        <v>2.886751345948129E-3</v>
      </c>
      <c r="AD29" s="575">
        <f>IFERROR(IF(Resumo!$F$9="Manual","",IF(Resumo!$F$9="Software",COUNT(Temperatura!$B$9:$B$3608)-1,"")),"")</f>
        <v>720</v>
      </c>
      <c r="AE29" s="575">
        <f>IFERROR(IF(Resumo!$F$9="Manual","",IF(Resumo!$F$9="Software",AC29^4/(IF(AD29="∞",100000,AD29)),"")),"")</f>
        <v>9.6450617283950626E-14</v>
      </c>
      <c r="AF29" s="16"/>
      <c r="AU29" s="16"/>
      <c r="BM29" s="161"/>
    </row>
    <row r="30" spans="1:65" ht="15" customHeight="1" thickBot="1" x14ac:dyDescent="0.3">
      <c r="A30" s="16"/>
      <c r="B30" s="164"/>
      <c r="C30" s="164"/>
      <c r="D30" s="164"/>
      <c r="E30" s="164"/>
      <c r="F30" s="164"/>
      <c r="G30" s="164"/>
      <c r="H30" s="164"/>
      <c r="I30" s="164"/>
      <c r="J30" s="164"/>
      <c r="K30" s="164"/>
      <c r="L30" s="164"/>
      <c r="M30" s="164"/>
      <c r="N30" s="164"/>
      <c r="O30" s="164"/>
      <c r="P30" s="16"/>
      <c r="Q30" s="16"/>
      <c r="R30" s="822"/>
      <c r="S30" s="818"/>
      <c r="T30" s="819"/>
      <c r="U30" s="820"/>
      <c r="V30" s="361"/>
      <c r="W30" s="362"/>
      <c r="X30" s="349"/>
      <c r="Y30" s="606"/>
      <c r="Z30" s="359"/>
      <c r="AA30" s="360"/>
      <c r="AB30" s="359"/>
      <c r="AC30" s="359"/>
      <c r="AD30" s="349"/>
      <c r="AE30" s="349"/>
      <c r="AF30" s="16"/>
      <c r="AU30" s="16"/>
      <c r="BM30" s="161"/>
    </row>
    <row r="31" spans="1:65" ht="15" customHeight="1" thickTop="1" thickBot="1" x14ac:dyDescent="0.3">
      <c r="A31" s="16"/>
      <c r="B31" s="164"/>
      <c r="C31" s="164"/>
      <c r="D31" s="164"/>
      <c r="E31" s="164"/>
      <c r="F31" s="164"/>
      <c r="G31" s="363" t="s">
        <v>183</v>
      </c>
      <c r="H31" s="364">
        <v>0.95450000000000002</v>
      </c>
      <c r="I31" s="363" t="s">
        <v>184</v>
      </c>
      <c r="J31" s="365">
        <f>TINV(1-H31,IF(N31="∞",100000,N31))</f>
        <v>2.0000274442871735</v>
      </c>
      <c r="K31" s="363"/>
      <c r="L31" s="363" t="s">
        <v>185</v>
      </c>
      <c r="M31" s="366">
        <f>SQRT(SUMSQ(M25:M29))</f>
        <v>6.9348177733630154E-2</v>
      </c>
      <c r="N31" s="365" t="str">
        <f>IF((M31^4/O31)&gt;100000,"∞",(M31^4/O31))</f>
        <v>∞</v>
      </c>
      <c r="O31" s="363">
        <f>SUM(O25:O29)</f>
        <v>2.3049742228556581E-10</v>
      </c>
      <c r="P31" s="16"/>
      <c r="Q31" s="16"/>
      <c r="R31" s="823"/>
      <c r="S31" s="818"/>
      <c r="T31" s="819"/>
      <c r="U31" s="820"/>
      <c r="V31" s="274"/>
      <c r="W31" s="362"/>
      <c r="X31" s="349"/>
      <c r="Y31" s="605"/>
      <c r="Z31" s="359"/>
      <c r="AA31" s="360"/>
      <c r="AB31" s="359"/>
      <c r="AC31" s="359"/>
      <c r="AD31" s="349"/>
      <c r="AE31" s="349"/>
      <c r="AF31" s="16"/>
      <c r="AU31" s="16"/>
      <c r="BM31" s="161"/>
    </row>
    <row r="32" spans="1:65" ht="15" customHeight="1" thickTop="1" thickBot="1" x14ac:dyDescent="0.3">
      <c r="A32" s="16"/>
      <c r="B32" s="44"/>
      <c r="C32" s="44"/>
      <c r="D32" s="44"/>
      <c r="E32" s="44"/>
      <c r="F32" s="44"/>
      <c r="G32" s="44"/>
      <c r="H32" s="44"/>
      <c r="I32" s="44"/>
      <c r="J32" s="44"/>
      <c r="K32" s="45"/>
      <c r="L32" s="46"/>
      <c r="M32" s="46"/>
      <c r="N32" s="46"/>
      <c r="O32" s="44"/>
      <c r="P32" s="16"/>
      <c r="Q32" s="16"/>
      <c r="R32" s="164"/>
      <c r="S32" s="164"/>
      <c r="T32" s="164"/>
      <c r="U32" s="164"/>
      <c r="V32" s="164"/>
      <c r="W32" s="164"/>
      <c r="X32" s="164"/>
      <c r="Y32" s="607"/>
      <c r="Z32" s="164"/>
      <c r="AA32" s="164"/>
      <c r="AB32" s="164"/>
      <c r="AC32" s="164"/>
      <c r="AD32" s="164"/>
      <c r="AE32" s="164"/>
      <c r="AF32" s="16"/>
      <c r="AU32" s="16"/>
      <c r="BM32" s="161"/>
    </row>
    <row r="33" spans="1:65" ht="15" customHeight="1" thickTop="1" thickBot="1" x14ac:dyDescent="0.3">
      <c r="A33" s="16"/>
      <c r="B33" s="44"/>
      <c r="C33" s="44"/>
      <c r="D33" s="44"/>
      <c r="E33" s="44"/>
      <c r="F33" s="44"/>
      <c r="G33" s="44"/>
      <c r="H33" s="44"/>
      <c r="I33" s="44"/>
      <c r="J33" s="44"/>
      <c r="K33" s="47"/>
      <c r="L33" s="48" t="s">
        <v>186</v>
      </c>
      <c r="M33" s="49" t="str">
        <f>IF(ROUNDUP(M31*J31,6)&lt;0.0001,FIXED(ROUNDUP(M31*J31*1,6),6),IF(ROUNDUP(M31*J31,5)&lt;0.001,FIXED(ROUNDUP(M31*J31*1,5),5),IF(ROUNDUP(M31*J31,4)&lt;0.01,FIXED(ROUNDUP(M31*J31*1,4),4),IF(ROUNDUP(M31*J31,3)&lt;0.1,FIXED(ROUNDUP(M31*J31*1,3),3),IF(ROUNDUP(M31*J31,2)&lt;1,FIXED(ROUNDUP(M31*J31*1,2),2),IF(ROUNDUP(M31*J31,1)&lt;10,FIXED(ROUNDUP(M31*J31*1,1),1),IF(M31*J31&lt;100,FIXED(M31*J31*1,0),"IM ALTA")))))))</f>
        <v>0,14</v>
      </c>
      <c r="N33" s="50" t="s">
        <v>71</v>
      </c>
      <c r="O33" s="44"/>
      <c r="P33" s="16"/>
      <c r="Q33" s="16"/>
      <c r="R33" s="164"/>
      <c r="S33" s="164"/>
      <c r="T33" s="164"/>
      <c r="U33" s="164"/>
      <c r="V33" s="164"/>
      <c r="W33" s="363" t="s">
        <v>183</v>
      </c>
      <c r="X33" s="364">
        <v>0.95450000000000002</v>
      </c>
      <c r="Y33" s="608" t="s">
        <v>184</v>
      </c>
      <c r="Z33" s="365">
        <f>TINV(1-X33,IF(AD33="∞",100000,AD33))</f>
        <v>2.0000274442871735</v>
      </c>
      <c r="AA33" s="363"/>
      <c r="AB33" s="363" t="s">
        <v>185</v>
      </c>
      <c r="AC33" s="366">
        <f>SQRT(SUMSQ(AC27:AC31))</f>
        <v>6.9343009541166845E-2</v>
      </c>
      <c r="AD33" s="365" t="str">
        <f>IF((AC33^4/AE33)&gt;100000,"∞",(AC33^4/AE33))</f>
        <v>∞</v>
      </c>
      <c r="AE33" s="363">
        <f>SUM(AE27:AE31)</f>
        <v>2.304964704970961E-10</v>
      </c>
      <c r="AF33" s="16"/>
      <c r="AU33" s="16"/>
      <c r="BM33" s="161"/>
    </row>
    <row r="34" spans="1:65" ht="15" customHeight="1" thickTop="1" thickBot="1" x14ac:dyDescent="0.3">
      <c r="A34" s="16"/>
      <c r="B34" s="44"/>
      <c r="C34" s="44"/>
      <c r="D34" s="44"/>
      <c r="E34" s="44"/>
      <c r="F34" s="44"/>
      <c r="G34" s="44"/>
      <c r="H34" s="44"/>
      <c r="I34" s="44"/>
      <c r="J34" s="44"/>
      <c r="K34" s="44"/>
      <c r="L34" s="51"/>
      <c r="M34" s="57"/>
      <c r="N34" s="53"/>
      <c r="O34" s="44"/>
      <c r="P34" s="16"/>
      <c r="Q34" s="16"/>
      <c r="R34" s="44"/>
      <c r="S34" s="44"/>
      <c r="T34" s="44"/>
      <c r="U34" s="44"/>
      <c r="V34" s="44"/>
      <c r="W34" s="44"/>
      <c r="X34" s="44"/>
      <c r="Y34" s="592"/>
      <c r="Z34" s="44"/>
      <c r="AA34" s="45"/>
      <c r="AB34" s="46"/>
      <c r="AC34" s="46"/>
      <c r="AD34" s="46"/>
      <c r="AE34" s="44"/>
      <c r="AF34" s="16"/>
      <c r="AU34" s="16"/>
      <c r="BM34" s="161"/>
    </row>
    <row r="35" spans="1:65" ht="15" customHeight="1" thickTop="1" thickBot="1" x14ac:dyDescent="0.3">
      <c r="A35" s="16"/>
      <c r="B35" s="54" t="s">
        <v>207</v>
      </c>
      <c r="C35" s="44"/>
      <c r="D35" s="44"/>
      <c r="E35" s="44"/>
      <c r="F35" s="44"/>
      <c r="G35" s="44"/>
      <c r="H35" s="44"/>
      <c r="I35" s="44"/>
      <c r="J35" s="44"/>
      <c r="K35" s="44"/>
      <c r="L35" s="51"/>
      <c r="M35" s="52"/>
      <c r="N35" s="53"/>
      <c r="O35" s="44"/>
      <c r="P35" s="16"/>
      <c r="Q35" s="16"/>
      <c r="R35" s="44"/>
      <c r="S35" s="44"/>
      <c r="T35" s="44"/>
      <c r="U35" s="44"/>
      <c r="V35" s="44"/>
      <c r="W35" s="44"/>
      <c r="X35" s="44"/>
      <c r="Y35" s="592"/>
      <c r="Z35" s="44"/>
      <c r="AA35" s="47"/>
      <c r="AB35" s="48" t="s">
        <v>186</v>
      </c>
      <c r="AC35" s="573" t="str">
        <f>IF(ROUNDUP(AC33*Z33,6)&lt;0.0001,FIXED(ROUNDUP(AC33*Z33*1,6),6),IF(ROUNDUP(AC33*Z33,5)&lt;0.001,FIXED(ROUNDUP(AC33*Z33*1,5),5),IF(ROUNDUP(AC33*Z33,4)&lt;0.01,FIXED(ROUNDUP(AC33*Z33*1,4),4),IF(ROUNDUP(AC33*Z33,3)&lt;0.1,FIXED(ROUNDUP(AC33*Z33*1,3),3),IF(ROUNDUP(AC33*Z33,2)&lt;1,FIXED(ROUNDUP(AC33*Z33*1,2),2),IF(ROUNDUP(AC33*Z33,1)&lt;10,FIXED(ROUNDUP(AC33*Z33*1,1),1),IF(AC33*Z33&lt;100,FIXED(AC33*Z33*1,0),"IM ALTA")))))))</f>
        <v>0,14</v>
      </c>
      <c r="AD35" s="50" t="s">
        <v>71</v>
      </c>
      <c r="AE35" s="44"/>
      <c r="AF35" s="16"/>
      <c r="AU35" s="16"/>
    </row>
    <row r="36" spans="1:65" ht="15" customHeight="1" thickTop="1" x14ac:dyDescent="0.25">
      <c r="A36" s="16"/>
      <c r="B36" s="44"/>
      <c r="C36" s="16"/>
      <c r="D36" s="56" t="s">
        <v>211</v>
      </c>
      <c r="E36" s="44"/>
      <c r="F36">
        <v>5</v>
      </c>
      <c r="G36" s="44" t="s">
        <v>71</v>
      </c>
      <c r="H36" s="44"/>
      <c r="I36" s="44"/>
      <c r="J36" s="44"/>
      <c r="K36" s="44"/>
      <c r="L36" s="51"/>
      <c r="M36" s="52"/>
      <c r="N36" s="53"/>
      <c r="O36" s="44"/>
      <c r="P36" s="16"/>
      <c r="Q36" s="16"/>
      <c r="R36" s="16"/>
      <c r="S36" s="16"/>
      <c r="T36" s="16"/>
      <c r="U36" s="16"/>
      <c r="V36" s="16"/>
      <c r="W36" s="16"/>
      <c r="X36" s="16"/>
      <c r="Y36" s="583"/>
      <c r="Z36" s="16"/>
      <c r="AA36" s="16"/>
      <c r="AB36" s="16"/>
      <c r="AC36" s="16"/>
      <c r="AD36" s="16"/>
      <c r="AE36" s="16"/>
      <c r="AF36" s="16"/>
      <c r="AU36" s="16"/>
      <c r="BM36" s="161"/>
    </row>
    <row r="37" spans="1:65" ht="15" customHeight="1" x14ac:dyDescent="0.2">
      <c r="A37" s="16"/>
      <c r="B37" s="16"/>
      <c r="C37"/>
      <c r="D37" s="56" t="s">
        <v>212</v>
      </c>
      <c r="E37" s="16"/>
      <c r="F37" s="16">
        <v>40</v>
      </c>
      <c r="G37" s="56" t="s">
        <v>71</v>
      </c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  <c r="T37" s="16"/>
      <c r="U37" s="16"/>
      <c r="V37" s="16"/>
      <c r="W37" s="16"/>
      <c r="X37" s="16"/>
      <c r="Y37" s="583"/>
      <c r="Z37" s="16"/>
      <c r="AA37" s="16"/>
      <c r="AB37" s="16"/>
      <c r="AC37" s="16"/>
      <c r="AD37" s="16"/>
      <c r="AE37" s="16"/>
      <c r="AF37" s="16"/>
      <c r="AU37" s="16"/>
    </row>
    <row r="38" spans="1:65" ht="15" customHeight="1" x14ac:dyDescent="0.25">
      <c r="A38" s="16"/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54" t="s">
        <v>205</v>
      </c>
      <c r="S38" s="44"/>
      <c r="T38" s="44"/>
      <c r="U38" s="55"/>
      <c r="V38" s="44"/>
      <c r="W38" s="44"/>
      <c r="X38" s="44"/>
      <c r="Y38" s="592"/>
      <c r="Z38" s="44"/>
      <c r="AA38" s="44"/>
      <c r="AB38" s="51"/>
      <c r="AC38" s="52"/>
      <c r="AD38" s="53"/>
      <c r="AE38" s="44"/>
      <c r="AF38" s="16"/>
      <c r="AU38" s="16"/>
    </row>
    <row r="39" spans="1:65" ht="15" customHeight="1" x14ac:dyDescent="0.25">
      <c r="A39" s="16"/>
      <c r="B39" s="349" t="s">
        <v>54</v>
      </c>
      <c r="C39" s="815" t="s">
        <v>168</v>
      </c>
      <c r="D39" s="816"/>
      <c r="E39" s="817"/>
      <c r="F39" s="349" t="s">
        <v>169</v>
      </c>
      <c r="G39" s="349" t="s">
        <v>65</v>
      </c>
      <c r="H39" s="349" t="s">
        <v>170</v>
      </c>
      <c r="I39" s="349" t="s">
        <v>171</v>
      </c>
      <c r="J39" s="349" t="s">
        <v>172</v>
      </c>
      <c r="K39" s="349" t="s">
        <v>173</v>
      </c>
      <c r="L39" s="349" t="s">
        <v>65</v>
      </c>
      <c r="M39" s="349" t="s">
        <v>174</v>
      </c>
      <c r="N39" s="349" t="s">
        <v>175</v>
      </c>
      <c r="O39" s="349" t="s">
        <v>176</v>
      </c>
      <c r="P39" s="16"/>
      <c r="Q39" s="16"/>
      <c r="R39" s="44"/>
      <c r="S39" s="16"/>
      <c r="T39" s="56" t="s">
        <v>211</v>
      </c>
      <c r="U39" s="44"/>
      <c r="V39" s="16">
        <v>5</v>
      </c>
      <c r="W39" s="44" t="s">
        <v>71</v>
      </c>
      <c r="X39" s="44"/>
      <c r="Y39" s="592"/>
      <c r="Z39" s="44"/>
      <c r="AA39" s="44"/>
      <c r="AB39" s="51"/>
      <c r="AC39" s="52"/>
      <c r="AD39" s="53"/>
      <c r="AE39" s="44"/>
      <c r="AF39" s="16"/>
      <c r="AU39" s="16"/>
    </row>
    <row r="40" spans="1:65" ht="15" customHeight="1" x14ac:dyDescent="0.2">
      <c r="A40" s="16"/>
      <c r="B40" s="821" t="s">
        <v>358</v>
      </c>
      <c r="C40" s="824" t="s">
        <v>542</v>
      </c>
      <c r="D40" s="825"/>
      <c r="E40" s="826"/>
      <c r="F40" s="563">
        <f>Temperatura!$BA$27</f>
        <v>0.12</v>
      </c>
      <c r="G40" s="351" t="s">
        <v>71</v>
      </c>
      <c r="H40" s="561" t="s">
        <v>202</v>
      </c>
      <c r="I40" s="562">
        <f>SQRT(3)</f>
        <v>1.7320508075688772</v>
      </c>
      <c r="J40" s="354">
        <f>F40/I40</f>
        <v>6.9282032302755092E-2</v>
      </c>
      <c r="K40" s="355">
        <v>1</v>
      </c>
      <c r="L40" s="351" t="s">
        <v>71</v>
      </c>
      <c r="M40" s="354">
        <f>J40*K40</f>
        <v>6.9282032302755092E-2</v>
      </c>
      <c r="N40" s="352" t="s">
        <v>181</v>
      </c>
      <c r="O40" s="352">
        <f>M40^4/(IF(N40="∞",100000,N40))</f>
        <v>2.3040000000000003E-10</v>
      </c>
      <c r="P40" s="16"/>
      <c r="Q40" s="16"/>
      <c r="R40" s="16"/>
      <c r="S40" s="16"/>
      <c r="T40" s="56" t="s">
        <v>212</v>
      </c>
      <c r="U40" s="16"/>
      <c r="V40" s="16">
        <v>40</v>
      </c>
      <c r="W40" s="56" t="s">
        <v>71</v>
      </c>
      <c r="X40" s="16"/>
      <c r="Y40" s="583"/>
      <c r="Z40" s="16"/>
      <c r="AA40" s="16"/>
      <c r="AB40" s="16"/>
      <c r="AC40" s="16"/>
      <c r="AD40" s="16"/>
      <c r="AE40" s="16"/>
      <c r="AF40" s="16"/>
      <c r="AU40" s="16"/>
    </row>
    <row r="41" spans="1:65" ht="15" customHeight="1" x14ac:dyDescent="0.2">
      <c r="A41" s="16"/>
      <c r="B41" s="822"/>
      <c r="C41" s="824" t="s">
        <v>447</v>
      </c>
      <c r="D41" s="825"/>
      <c r="E41" s="826"/>
      <c r="F41" s="273">
        <f>IFERROR(IF(Resumo!$F$9="Manual","",IF(Resumo!$F$9="Software",Temperatura!$AI$10,"")),"")</f>
        <v>1.0740284691347787E-2</v>
      </c>
      <c r="G41" s="351" t="s">
        <v>71</v>
      </c>
      <c r="H41" s="561" t="s">
        <v>541</v>
      </c>
      <c r="I41" s="562">
        <f>IFERROR(IF(Resumo!$F$9="Manual","",IF(Resumo!$F$9="Software",SQRT(COUNT(Temperatura!$C$9:$C$3608)),"")),"")</f>
        <v>26.851443164195103</v>
      </c>
      <c r="J41" s="354">
        <f>IFERROR(IF(Resumo!$F$9="Manual","",IF(Resumo!$F$9="Software",F41/I41,"")),"")</f>
        <v>3.9998910396255185E-4</v>
      </c>
      <c r="K41" s="355">
        <f>IFERROR(IF(Resumo!$F$9="Manual","",IF(Resumo!$F$9="Software",1,"")),"")</f>
        <v>1</v>
      </c>
      <c r="L41" s="351" t="s">
        <v>71</v>
      </c>
      <c r="M41" s="354">
        <f>IFERROR(IF(Resumo!$F$9="Manual","",IF(Resumo!$F$9="Software",J41*K41,"")),"")</f>
        <v>3.9998910396255185E-4</v>
      </c>
      <c r="N41" s="352">
        <f>IFERROR(IF(Resumo!$F$9="Manual","",IF(Resumo!$F$9="Software",COUNT(Temperatura!$B$9:$B$3608)-1,"")),"")</f>
        <v>720</v>
      </c>
      <c r="O41" s="352">
        <f>IFERROR(IF(Resumo!$F$9="Manual","",IF(Resumo!$F$9="Software",M41^4/(IF(N41="∞",100000,N41)),"")),"")</f>
        <v>3.5551681567202627E-17</v>
      </c>
      <c r="P41" s="16"/>
      <c r="Q41" s="16"/>
      <c r="R41" s="16"/>
      <c r="S41" s="16"/>
      <c r="T41" s="16"/>
      <c r="U41" s="16"/>
      <c r="V41" s="16"/>
      <c r="W41" s="16"/>
      <c r="X41" s="16"/>
      <c r="Y41" s="583"/>
      <c r="Z41" s="16"/>
      <c r="AA41" s="16"/>
      <c r="AB41" s="16"/>
      <c r="AC41" s="16"/>
      <c r="AD41" s="16"/>
      <c r="AE41" s="16"/>
      <c r="AF41" s="16"/>
      <c r="AU41" s="16"/>
    </row>
    <row r="42" spans="1:65" ht="15" customHeight="1" x14ac:dyDescent="0.2">
      <c r="A42" s="16"/>
      <c r="B42" s="822"/>
      <c r="C42" s="835" t="s">
        <v>178</v>
      </c>
      <c r="D42" s="836"/>
      <c r="E42" s="837"/>
      <c r="F42" s="563">
        <f>0.01/2</f>
        <v>5.0000000000000001E-3</v>
      </c>
      <c r="G42" s="580" t="s">
        <v>71</v>
      </c>
      <c r="H42" s="561" t="s">
        <v>202</v>
      </c>
      <c r="I42" s="562">
        <f>SQRT(3)</f>
        <v>1.7320508075688772</v>
      </c>
      <c r="J42" s="603">
        <f>IFERROR(IF(Resumo!$F$9="Manual","",IF(Resumo!$F$9="Software",F42/I42,"")),"")</f>
        <v>2.886751345948129E-3</v>
      </c>
      <c r="K42" s="604">
        <f>IFERROR(IF(Resumo!$F$9="Manual","",IF(Resumo!$F$9="Software",1,"")),"")</f>
        <v>1</v>
      </c>
      <c r="L42" s="580" t="s">
        <v>71</v>
      </c>
      <c r="M42" s="603">
        <f>IFERROR(IF(Resumo!$F$9="Manual","",IF(Resumo!$F$9="Software",J42*K42,"")),"")</f>
        <v>2.886751345948129E-3</v>
      </c>
      <c r="N42" s="575">
        <f>IFERROR(IF(Resumo!$F$9="Manual","",IF(Resumo!$F$9="Software",COUNT(Temperatura!$B$9:$B$3608)-1,"")),"")</f>
        <v>720</v>
      </c>
      <c r="O42" s="575">
        <f>IFERROR(IF(Resumo!$F$9="Manual","",IF(Resumo!$F$9="Software",M42^4/(IF(N42="∞",100000,N42)),"")),"")</f>
        <v>9.6450617283950626E-14</v>
      </c>
      <c r="P42" s="16"/>
      <c r="Q42" s="16"/>
      <c r="R42" s="349" t="s">
        <v>54</v>
      </c>
      <c r="S42" s="815" t="s">
        <v>168</v>
      </c>
      <c r="T42" s="816"/>
      <c r="U42" s="817"/>
      <c r="V42" s="349" t="s">
        <v>169</v>
      </c>
      <c r="W42" s="349" t="s">
        <v>65</v>
      </c>
      <c r="X42" s="349" t="s">
        <v>170</v>
      </c>
      <c r="Y42" s="605" t="s">
        <v>171</v>
      </c>
      <c r="Z42" s="349" t="s">
        <v>172</v>
      </c>
      <c r="AA42" s="349" t="s">
        <v>173</v>
      </c>
      <c r="AB42" s="349" t="s">
        <v>65</v>
      </c>
      <c r="AC42" s="349" t="s">
        <v>174</v>
      </c>
      <c r="AD42" s="349" t="s">
        <v>175</v>
      </c>
      <c r="AE42" s="349" t="s">
        <v>176</v>
      </c>
      <c r="AF42" s="16"/>
      <c r="AU42" s="16"/>
    </row>
    <row r="43" spans="1:65" ht="15" customHeight="1" x14ac:dyDescent="0.2">
      <c r="A43" s="16"/>
      <c r="B43" s="822"/>
      <c r="C43" s="818"/>
      <c r="D43" s="819"/>
      <c r="E43" s="820"/>
      <c r="F43" s="361"/>
      <c r="G43" s="362"/>
      <c r="H43" s="349"/>
      <c r="I43" s="358"/>
      <c r="J43" s="359"/>
      <c r="K43" s="360"/>
      <c r="L43" s="359"/>
      <c r="M43" s="359"/>
      <c r="N43" s="349"/>
      <c r="O43" s="349"/>
      <c r="P43" s="16"/>
      <c r="Q43" s="16"/>
      <c r="R43" s="821" t="s">
        <v>358</v>
      </c>
      <c r="S43" s="835" t="s">
        <v>542</v>
      </c>
      <c r="T43" s="836"/>
      <c r="U43" s="837"/>
      <c r="V43" s="273">
        <f>Temperatura!BA54</f>
        <v>0.12</v>
      </c>
      <c r="W43" s="351" t="s">
        <v>71</v>
      </c>
      <c r="X43" s="561" t="s">
        <v>202</v>
      </c>
      <c r="Y43" s="562">
        <f>SQRT(3)</f>
        <v>1.7320508075688772</v>
      </c>
      <c r="Z43" s="354">
        <f>V43/Y43</f>
        <v>6.9282032302755092E-2</v>
      </c>
      <c r="AA43" s="355">
        <v>1</v>
      </c>
      <c r="AB43" s="351" t="s">
        <v>71</v>
      </c>
      <c r="AC43" s="354">
        <f>Z43*AA43</f>
        <v>6.9282032302755092E-2</v>
      </c>
      <c r="AD43" s="352" t="s">
        <v>181</v>
      </c>
      <c r="AE43" s="352">
        <f>AC43^4/(IF(AD43="∞",100000,AD43))</f>
        <v>2.3040000000000003E-10</v>
      </c>
      <c r="AF43" s="16"/>
      <c r="AU43" s="16"/>
    </row>
    <row r="44" spans="1:65" ht="15" customHeight="1" x14ac:dyDescent="0.2">
      <c r="A44" s="16"/>
      <c r="B44" s="823"/>
      <c r="C44" s="818"/>
      <c r="D44" s="819"/>
      <c r="E44" s="820"/>
      <c r="F44" s="274"/>
      <c r="G44" s="362"/>
      <c r="H44" s="349"/>
      <c r="I44" s="349"/>
      <c r="J44" s="359"/>
      <c r="K44" s="360"/>
      <c r="L44" s="359"/>
      <c r="M44" s="359"/>
      <c r="N44" s="349"/>
      <c r="O44" s="349"/>
      <c r="P44" s="16"/>
      <c r="Q44" s="16"/>
      <c r="R44" s="822"/>
      <c r="S44" s="824" t="s">
        <v>447</v>
      </c>
      <c r="T44" s="825"/>
      <c r="U44" s="826"/>
      <c r="V44" s="273">
        <f>IFERROR(IF(Resumo!$F$9="Manual","",IF(Resumo!$F$9="Software",Temperatura!$AI$13,"")),"")</f>
        <v>2.4557280056116449E-2</v>
      </c>
      <c r="W44" s="351" t="s">
        <v>71</v>
      </c>
      <c r="X44" s="561" t="s">
        <v>541</v>
      </c>
      <c r="Y44" s="562">
        <f>IFERROR(IF(Resumo!$F$9="Manual","",IF(Resumo!$F$9="Software",SQRT(COUNT(Temperatura!$F$9:$F$3608)),"")),"")</f>
        <v>26.851443164195103</v>
      </c>
      <c r="Z44" s="354">
        <f>IFERROR(IF(Resumo!$F$9="Manual","",IF(Resumo!$F$9="Software",V44/Y44,"")),"")</f>
        <v>9.1456090110129376E-4</v>
      </c>
      <c r="AA44" s="355">
        <f>IFERROR(IF(Resumo!$F$9="Manual","",IF(Resumo!$F$9="Software",1,"")),"")</f>
        <v>1</v>
      </c>
      <c r="AB44" s="351" t="s">
        <v>71</v>
      </c>
      <c r="AC44" s="354">
        <f>IFERROR(IF(Resumo!$F$9="Manual","",IF(Resumo!$F$9="Software",Z44*AA44,"")),"")</f>
        <v>9.1456090110129376E-4</v>
      </c>
      <c r="AD44" s="352">
        <f>IFERROR(IF(Resumo!$F$9="Manual","",IF(Resumo!$F$9="Software",COUNT(Temperatura!$B$9:$B$3608)-1,"")),"")</f>
        <v>720</v>
      </c>
      <c r="AE44" s="352">
        <f>IFERROR(IF(Resumo!$F$9="Manual","",IF(Resumo!$F$9="Software",AC44^4/(IF(AD44="∞",100000,AD44)),"")),"")</f>
        <v>9.7166828181977075E-16</v>
      </c>
      <c r="AF44" s="16"/>
      <c r="AU44" s="16"/>
    </row>
    <row r="45" spans="1:65" ht="15" customHeight="1" thickBot="1" x14ac:dyDescent="0.3">
      <c r="A45" s="16"/>
      <c r="B45" s="164"/>
      <c r="C45" s="164"/>
      <c r="D45" s="164"/>
      <c r="E45" s="164"/>
      <c r="F45" s="164"/>
      <c r="G45" s="164"/>
      <c r="H45" s="164"/>
      <c r="I45" s="164"/>
      <c r="J45" s="164"/>
      <c r="K45" s="164"/>
      <c r="L45" s="164"/>
      <c r="M45" s="164"/>
      <c r="N45" s="164"/>
      <c r="O45" s="164"/>
      <c r="P45" s="16"/>
      <c r="Q45" s="16"/>
      <c r="R45" s="822"/>
      <c r="S45" s="835" t="s">
        <v>178</v>
      </c>
      <c r="T45" s="836"/>
      <c r="U45" s="837"/>
      <c r="V45" s="563">
        <f>0.01/2</f>
        <v>5.0000000000000001E-3</v>
      </c>
      <c r="W45" s="580" t="s">
        <v>71</v>
      </c>
      <c r="X45" s="561" t="s">
        <v>202</v>
      </c>
      <c r="Y45" s="562">
        <f>SQRT(3)</f>
        <v>1.7320508075688772</v>
      </c>
      <c r="Z45" s="603">
        <f>IFERROR(IF(Resumo!$F$9="Manual","",IF(Resumo!$F$9="Software",V45/Y45,"")),"")</f>
        <v>2.886751345948129E-3</v>
      </c>
      <c r="AA45" s="604">
        <f>IFERROR(IF(Resumo!$F$9="Manual","",IF(Resumo!$F$9="Software",1,"")),"")</f>
        <v>1</v>
      </c>
      <c r="AB45" s="580" t="s">
        <v>71</v>
      </c>
      <c r="AC45" s="603">
        <f>IFERROR(IF(Resumo!$F$9="Manual","",IF(Resumo!$F$9="Software",Z45*AA45,"")),"")</f>
        <v>2.886751345948129E-3</v>
      </c>
      <c r="AD45" s="575">
        <f>IFERROR(IF(Resumo!$F$9="Manual","",IF(Resumo!$F$9="Software",COUNT(Temperatura!$B$9:$B$3608)-1,"")),"")</f>
        <v>720</v>
      </c>
      <c r="AE45" s="575">
        <f>IFERROR(IF(Resumo!$F$9="Manual","",IF(Resumo!$F$9="Software",AC45^4/(IF(AD45="∞",100000,AD45)),"")),"")</f>
        <v>9.6450617283950626E-14</v>
      </c>
      <c r="AF45" s="16"/>
      <c r="AU45" s="16"/>
    </row>
    <row r="46" spans="1:65" ht="15" customHeight="1" thickTop="1" thickBot="1" x14ac:dyDescent="0.3">
      <c r="A46" s="16"/>
      <c r="B46" s="164"/>
      <c r="C46" s="164"/>
      <c r="D46" s="164"/>
      <c r="E46" s="164"/>
      <c r="F46" s="164"/>
      <c r="G46" s="363" t="s">
        <v>183</v>
      </c>
      <c r="H46" s="364">
        <v>0.95450000000000002</v>
      </c>
      <c r="I46" s="363" t="s">
        <v>184</v>
      </c>
      <c r="J46" s="365">
        <f>TINV(1-H46,IF(N46="∞",100000,N46))</f>
        <v>2.0000274442871735</v>
      </c>
      <c r="K46" s="363"/>
      <c r="L46" s="363" t="s">
        <v>185</v>
      </c>
      <c r="M46" s="366">
        <f>SQRT(SUMSQ(M40:M44))</f>
        <v>6.9343300502763938E-2</v>
      </c>
      <c r="N46" s="365" t="str">
        <f>IF((M46^4/O46)&gt;100000,"∞",(M46^4/O46))</f>
        <v>∞</v>
      </c>
      <c r="O46" s="363">
        <f>SUM(O40:O44)</f>
        <v>2.3049648616896555E-10</v>
      </c>
      <c r="P46" s="16"/>
      <c r="Q46" s="16"/>
      <c r="R46" s="822"/>
      <c r="S46" s="818"/>
      <c r="T46" s="819"/>
      <c r="U46" s="820"/>
      <c r="V46" s="361"/>
      <c r="W46" s="362"/>
      <c r="X46" s="349"/>
      <c r="Y46" s="606"/>
      <c r="Z46" s="359"/>
      <c r="AA46" s="360"/>
      <c r="AB46" s="359"/>
      <c r="AC46" s="359"/>
      <c r="AD46" s="349"/>
      <c r="AE46" s="349"/>
      <c r="AF46" s="16"/>
      <c r="AU46" s="16"/>
    </row>
    <row r="47" spans="1:65" ht="15" customHeight="1" thickTop="1" thickBot="1" x14ac:dyDescent="0.3">
      <c r="A47" s="16"/>
      <c r="B47" s="44"/>
      <c r="C47" s="44"/>
      <c r="D47" s="44"/>
      <c r="E47" s="44"/>
      <c r="F47" s="44"/>
      <c r="G47" s="44"/>
      <c r="H47" s="44"/>
      <c r="I47" s="44"/>
      <c r="J47" s="44"/>
      <c r="K47" s="45"/>
      <c r="L47" s="46"/>
      <c r="M47" s="46"/>
      <c r="N47" s="46"/>
      <c r="O47" s="44"/>
      <c r="P47" s="16"/>
      <c r="Q47" s="16"/>
      <c r="R47" s="823"/>
      <c r="S47" s="818"/>
      <c r="T47" s="819"/>
      <c r="U47" s="820"/>
      <c r="V47" s="274"/>
      <c r="W47" s="362"/>
      <c r="X47" s="349"/>
      <c r="Y47" s="605"/>
      <c r="Z47" s="359"/>
      <c r="AA47" s="360"/>
      <c r="AB47" s="359"/>
      <c r="AC47" s="359"/>
      <c r="AD47" s="349"/>
      <c r="AE47" s="349"/>
      <c r="AF47" s="16"/>
      <c r="AU47" s="16"/>
    </row>
    <row r="48" spans="1:65" ht="15" customHeight="1" thickTop="1" thickBot="1" x14ac:dyDescent="0.3">
      <c r="A48" s="16"/>
      <c r="B48" s="44"/>
      <c r="C48" s="44"/>
      <c r="D48" s="44"/>
      <c r="E48" s="44"/>
      <c r="F48" s="44"/>
      <c r="G48" s="44"/>
      <c r="H48" s="44"/>
      <c r="I48" s="44"/>
      <c r="J48" s="44"/>
      <c r="K48" s="47"/>
      <c r="L48" s="48" t="s">
        <v>186</v>
      </c>
      <c r="M48" s="49" t="str">
        <f>IF(ROUNDUP(M46*J46,6)&lt;0.0001,FIXED(ROUNDUP(M46*J46*1,6),6),IF(ROUNDUP(M46*J46,5)&lt;0.001,FIXED(ROUNDUP(M46*J46*1,5),5),IF(ROUNDUP(M46*J46,4)&lt;0.01,FIXED(ROUNDUP(M46*J46*1,4),4),IF(ROUNDUP(M46*J46,3)&lt;0.1,FIXED(ROUNDUP(M46*J46*1,3),3),IF(ROUNDUP(M46*J46,2)&lt;1,FIXED(ROUNDUP(M46*J46*1,2),2),IF(ROUNDUP(M46*J46,1)&lt;10,FIXED(ROUNDUP(M46*J46*1,1),1),IF(M46*J46&lt;100,FIXED(M46*J46*1,0),"IM ALTA")))))))</f>
        <v>0,14</v>
      </c>
      <c r="N48" s="50" t="s">
        <v>71</v>
      </c>
      <c r="O48" s="44"/>
      <c r="P48" s="16"/>
      <c r="Q48" s="16"/>
      <c r="R48" s="164"/>
      <c r="S48" s="164"/>
      <c r="T48" s="164"/>
      <c r="U48" s="164"/>
      <c r="V48" s="164"/>
      <c r="W48" s="164"/>
      <c r="X48" s="164"/>
      <c r="Y48" s="607"/>
      <c r="Z48" s="164"/>
      <c r="AA48" s="164"/>
      <c r="AB48" s="164"/>
      <c r="AC48" s="164"/>
      <c r="AD48" s="164"/>
      <c r="AE48" s="164"/>
      <c r="AF48" s="16"/>
      <c r="AU48" s="16"/>
    </row>
    <row r="49" spans="1:62" ht="15" customHeight="1" thickTop="1" thickBot="1" x14ac:dyDescent="0.3">
      <c r="A49" s="16"/>
      <c r="B49" s="44"/>
      <c r="C49" s="44"/>
      <c r="D49" s="44"/>
      <c r="E49" s="44"/>
      <c r="F49" s="44"/>
      <c r="G49" s="44"/>
      <c r="H49" s="44"/>
      <c r="I49" s="44"/>
      <c r="J49" s="44"/>
      <c r="K49" s="44"/>
      <c r="L49" s="51"/>
      <c r="M49" s="57"/>
      <c r="N49" s="53"/>
      <c r="O49" s="44"/>
      <c r="P49" s="16"/>
      <c r="Q49" s="16"/>
      <c r="R49" s="164"/>
      <c r="S49" s="164"/>
      <c r="T49" s="164"/>
      <c r="U49" s="164"/>
      <c r="V49" s="164"/>
      <c r="W49" s="363" t="s">
        <v>183</v>
      </c>
      <c r="X49" s="364">
        <v>0.95450000000000002</v>
      </c>
      <c r="Y49" s="608" t="s">
        <v>184</v>
      </c>
      <c r="Z49" s="365">
        <f>TINV(1-X49,IF(AD49="∞",100000,AD49))</f>
        <v>2.0000274442871735</v>
      </c>
      <c r="AA49" s="363"/>
      <c r="AB49" s="363" t="s">
        <v>185</v>
      </c>
      <c r="AC49" s="366">
        <f>SQRT(SUMSQ(AC43:AC47))</f>
        <v>6.9348177733630154E-2</v>
      </c>
      <c r="AD49" s="365" t="str">
        <f>IF((AC49^4/AE49)&gt;100000,"∞",(AC49^4/AE49))</f>
        <v>∞</v>
      </c>
      <c r="AE49" s="363">
        <f>SUM(AE43:AE47)</f>
        <v>2.3049742228556581E-10</v>
      </c>
      <c r="AF49" s="16"/>
      <c r="AU49" s="16"/>
      <c r="AV49" s="16"/>
      <c r="AW49" s="16"/>
      <c r="AX49" s="16"/>
      <c r="AY49" s="16"/>
      <c r="AZ49" s="16"/>
      <c r="BA49" s="16"/>
      <c r="BB49" s="16"/>
      <c r="BC49" s="16"/>
      <c r="BD49" s="16"/>
      <c r="BE49" s="16"/>
      <c r="BF49" s="16"/>
      <c r="BG49" s="16"/>
      <c r="BH49" s="16"/>
      <c r="BI49" s="16"/>
      <c r="BJ49" s="16"/>
    </row>
    <row r="50" spans="1:62" ht="15" customHeight="1" thickTop="1" thickBot="1" x14ac:dyDescent="0.3">
      <c r="A50" s="56"/>
      <c r="B50" s="58" t="s">
        <v>213</v>
      </c>
      <c r="C50" s="59"/>
      <c r="D50" s="59"/>
      <c r="E50" s="850" t="s">
        <v>372</v>
      </c>
      <c r="F50" s="850"/>
      <c r="G50" s="850"/>
      <c r="H50" s="850"/>
      <c r="I50" s="59"/>
      <c r="J50" s="142"/>
      <c r="K50" s="142"/>
      <c r="L50" s="143"/>
      <c r="M50" s="144"/>
      <c r="N50" s="145"/>
      <c r="O50" s="142"/>
      <c r="P50" s="56"/>
      <c r="Q50" s="56"/>
      <c r="R50" s="44"/>
      <c r="S50" s="44"/>
      <c r="T50" s="44"/>
      <c r="U50" s="44"/>
      <c r="V50" s="44"/>
      <c r="W50" s="44"/>
      <c r="X50" s="44"/>
      <c r="Y50" s="592"/>
      <c r="Z50" s="44"/>
      <c r="AA50" s="45"/>
      <c r="AB50" s="46"/>
      <c r="AC50" s="46"/>
      <c r="AD50" s="46"/>
      <c r="AE50" s="44"/>
      <c r="AF50" s="16"/>
      <c r="AG50" s="16"/>
      <c r="AH50" s="16"/>
      <c r="AI50" s="16"/>
      <c r="AJ50" s="16"/>
      <c r="AK50" s="16"/>
      <c r="AL50" s="16"/>
      <c r="AM50" s="16"/>
      <c r="AN50" s="16"/>
      <c r="AO50" s="16"/>
      <c r="AP50" s="16"/>
      <c r="AQ50" s="16"/>
      <c r="AR50" s="16"/>
      <c r="AS50" s="16"/>
      <c r="AT50" s="16"/>
      <c r="AU50" s="16"/>
      <c r="AV50" s="16"/>
      <c r="AW50" s="16"/>
      <c r="AX50" s="16"/>
      <c r="AY50" s="16"/>
      <c r="AZ50" s="16"/>
      <c r="BA50" s="16"/>
      <c r="BB50" s="16"/>
      <c r="BC50" s="16"/>
      <c r="BD50" s="16"/>
      <c r="BE50" s="16"/>
      <c r="BF50" s="16"/>
      <c r="BG50" s="16"/>
      <c r="BH50" s="16"/>
      <c r="BI50" s="16"/>
      <c r="BJ50" s="16"/>
    </row>
    <row r="51" spans="1:62" ht="15" customHeight="1" thickTop="1" thickBot="1" x14ac:dyDescent="0.3">
      <c r="A51" s="56"/>
      <c r="B51" s="59"/>
      <c r="C51" s="367" t="s">
        <v>214</v>
      </c>
      <c r="D51" s="368"/>
      <c r="E51" s="369">
        <v>0</v>
      </c>
      <c r="F51" s="370" t="s">
        <v>215</v>
      </c>
      <c r="G51" s="369" t="str">
        <f>IF(Resumo!F37="","",Resumo!F37)</f>
        <v/>
      </c>
      <c r="H51" s="371" t="str">
        <f>G55</f>
        <v>mbar</v>
      </c>
      <c r="I51" s="59"/>
      <c r="J51" s="142"/>
      <c r="K51" s="142"/>
      <c r="L51" s="143"/>
      <c r="M51" s="144"/>
      <c r="N51" s="145"/>
      <c r="O51" s="142"/>
      <c r="P51" s="56"/>
      <c r="Q51" s="56"/>
      <c r="R51" s="44"/>
      <c r="S51" s="44"/>
      <c r="T51" s="44"/>
      <c r="U51" s="44"/>
      <c r="V51" s="44"/>
      <c r="W51" s="44"/>
      <c r="X51" s="44"/>
      <c r="Y51" s="592"/>
      <c r="Z51" s="44"/>
      <c r="AA51" s="47"/>
      <c r="AB51" s="48" t="s">
        <v>186</v>
      </c>
      <c r="AC51" s="573" t="str">
        <f>IF(ROUNDUP(AC49*Z49,6)&lt;0.0001,FIXED(ROUNDUP(AC49*Z49*1,6),6),IF(ROUNDUP(AC49*Z49,5)&lt;0.001,FIXED(ROUNDUP(AC49*Z49*1,5),5),IF(ROUNDUP(AC49*Z49,4)&lt;0.01,FIXED(ROUNDUP(AC49*Z49*1,4),4),IF(ROUNDUP(AC49*Z49,3)&lt;0.1,FIXED(ROUNDUP(AC49*Z49*1,3),3),IF(ROUNDUP(AC49*Z49,2)&lt;1,FIXED(ROUNDUP(AC49*Z49*1,2),2),IF(ROUNDUP(AC49*Z49,1)&lt;10,FIXED(ROUNDUP(AC49*Z49*1,1),1),IF(AC49*Z49&lt;100,FIXED(AC49*Z49*1,0),"IM ALTA")))))))</f>
        <v>0,14</v>
      </c>
      <c r="AD51" s="50" t="s">
        <v>71</v>
      </c>
      <c r="AE51" s="44"/>
      <c r="AF51" s="16"/>
      <c r="AG51" s="16"/>
      <c r="AH51" s="16"/>
      <c r="AI51" s="16"/>
      <c r="AJ51" s="16"/>
      <c r="AK51" s="16"/>
      <c r="AL51" s="16"/>
      <c r="AM51" s="16"/>
      <c r="AN51" s="16"/>
      <c r="AO51" s="16"/>
      <c r="AP51" s="16"/>
      <c r="AQ51" s="16"/>
      <c r="AR51" s="16"/>
      <c r="AS51" s="16"/>
      <c r="AT51" s="16"/>
      <c r="AU51" s="16"/>
      <c r="AV51" s="16"/>
      <c r="AW51" s="16"/>
      <c r="AX51" s="16"/>
      <c r="AY51" s="16"/>
      <c r="AZ51" s="16"/>
      <c r="BA51" s="16"/>
      <c r="BB51" s="16"/>
      <c r="BC51" s="16"/>
      <c r="BD51" s="16"/>
      <c r="BE51" s="16"/>
      <c r="BF51" s="16"/>
      <c r="BG51" s="16"/>
      <c r="BH51" s="16"/>
      <c r="BI51" s="16"/>
      <c r="BJ51" s="16"/>
    </row>
    <row r="52" spans="1:62" ht="15" customHeight="1" x14ac:dyDescent="0.2">
      <c r="A52" s="56"/>
      <c r="B52" s="64"/>
      <c r="C52" s="64"/>
      <c r="D52" s="64"/>
      <c r="E52" s="64"/>
      <c r="F52" s="64"/>
      <c r="G52" s="64"/>
      <c r="H52" s="64"/>
      <c r="I52" s="64"/>
      <c r="J52" s="64"/>
      <c r="K52" s="64"/>
      <c r="L52" s="64"/>
      <c r="M52" s="64"/>
      <c r="N52" s="64"/>
      <c r="O52" s="64"/>
      <c r="P52" s="56"/>
      <c r="Q52" s="56"/>
      <c r="R52" s="16"/>
      <c r="S52" s="16"/>
      <c r="T52" s="16"/>
      <c r="U52" s="16"/>
      <c r="V52" s="16"/>
      <c r="W52" s="16"/>
      <c r="X52" s="16"/>
      <c r="Y52" s="583"/>
      <c r="Z52" s="16"/>
      <c r="AA52" s="16"/>
      <c r="AB52" s="16"/>
      <c r="AC52" s="16"/>
      <c r="AD52" s="16"/>
      <c r="AE52" s="16"/>
      <c r="AF52" s="16"/>
      <c r="AG52" s="16"/>
      <c r="AH52" s="16"/>
      <c r="AI52" s="16"/>
      <c r="AJ52" s="16"/>
      <c r="AK52" s="16"/>
      <c r="AL52" s="16"/>
      <c r="AM52" s="16"/>
      <c r="AN52" s="16"/>
      <c r="AO52" s="16"/>
      <c r="AP52" s="16"/>
      <c r="AQ52" s="16"/>
      <c r="AR52" s="16"/>
      <c r="AS52" s="16"/>
      <c r="AT52" s="16"/>
      <c r="AU52" s="16"/>
      <c r="AV52" s="16"/>
      <c r="AW52" s="16"/>
      <c r="AX52" s="16"/>
      <c r="AY52" s="16"/>
      <c r="AZ52" s="16"/>
      <c r="BA52" s="16"/>
      <c r="BB52" s="16"/>
      <c r="BC52" s="16"/>
      <c r="BD52" s="16"/>
      <c r="BE52" s="16"/>
      <c r="BF52" s="16"/>
      <c r="BG52" s="16"/>
      <c r="BH52" s="16"/>
      <c r="BI52" s="16"/>
      <c r="BJ52" s="16"/>
    </row>
    <row r="53" spans="1:62" ht="15" customHeight="1" x14ac:dyDescent="0.25">
      <c r="A53" s="56"/>
      <c r="B53" s="64"/>
      <c r="C53" s="64"/>
      <c r="D53" s="64"/>
      <c r="E53" s="64"/>
      <c r="F53" s="64"/>
      <c r="G53" s="64"/>
      <c r="H53" s="64"/>
      <c r="I53" s="64"/>
      <c r="J53" s="64"/>
      <c r="K53" s="64"/>
      <c r="L53" s="64"/>
      <c r="M53" s="64"/>
      <c r="N53" s="64"/>
      <c r="O53" s="64"/>
      <c r="P53" s="56"/>
      <c r="Q53" s="56"/>
      <c r="R53" s="54" t="s">
        <v>209</v>
      </c>
      <c r="S53" s="44"/>
      <c r="T53" s="44"/>
      <c r="U53" s="55"/>
      <c r="V53" s="44"/>
      <c r="W53" s="44"/>
      <c r="X53" s="44"/>
      <c r="Y53" s="592"/>
      <c r="Z53" s="44"/>
      <c r="AA53" s="44"/>
      <c r="AB53" s="51"/>
      <c r="AC53" s="52"/>
      <c r="AD53" s="53"/>
      <c r="AE53" s="44"/>
      <c r="AF53" s="16"/>
      <c r="AG53" s="16"/>
      <c r="AH53" s="16"/>
      <c r="AI53" s="16"/>
      <c r="AJ53" s="16"/>
      <c r="AK53" s="16"/>
      <c r="AL53" s="16"/>
      <c r="AM53" s="16"/>
      <c r="AN53" s="16"/>
      <c r="AO53" s="16"/>
      <c r="AP53" s="16"/>
      <c r="AQ53" s="16"/>
      <c r="AR53" s="16"/>
      <c r="AS53" s="16"/>
      <c r="AT53" s="16"/>
      <c r="AU53" s="16"/>
      <c r="AV53" s="16"/>
      <c r="AW53" s="16"/>
      <c r="AX53" s="16"/>
      <c r="AY53" s="16"/>
      <c r="AZ53" s="16"/>
      <c r="BA53" s="16"/>
      <c r="BB53" s="16"/>
      <c r="BC53" s="16"/>
      <c r="BD53" s="16"/>
      <c r="BE53" s="16"/>
      <c r="BF53" s="16"/>
      <c r="BG53" s="16"/>
      <c r="BH53" s="16"/>
      <c r="BI53" s="16"/>
      <c r="BJ53" s="16"/>
    </row>
    <row r="54" spans="1:62" ht="15" customHeight="1" x14ac:dyDescent="0.25">
      <c r="A54" s="56"/>
      <c r="B54" s="372" t="s">
        <v>54</v>
      </c>
      <c r="C54" s="841" t="s">
        <v>168</v>
      </c>
      <c r="D54" s="842"/>
      <c r="E54" s="843"/>
      <c r="F54" s="372" t="s">
        <v>169</v>
      </c>
      <c r="G54" s="372" t="s">
        <v>65</v>
      </c>
      <c r="H54" s="372" t="s">
        <v>170</v>
      </c>
      <c r="I54" s="372" t="s">
        <v>171</v>
      </c>
      <c r="J54" s="372" t="s">
        <v>172</v>
      </c>
      <c r="K54" s="372" t="s">
        <v>173</v>
      </c>
      <c r="L54" s="372" t="s">
        <v>65</v>
      </c>
      <c r="M54" s="372" t="s">
        <v>174</v>
      </c>
      <c r="N54" s="372" t="s">
        <v>175</v>
      </c>
      <c r="O54" s="372" t="s">
        <v>176</v>
      </c>
      <c r="P54" s="56"/>
      <c r="Q54" s="56"/>
      <c r="R54" s="44"/>
      <c r="S54" s="16"/>
      <c r="T54" s="56" t="s">
        <v>211</v>
      </c>
      <c r="U54" s="44"/>
      <c r="V54">
        <v>5</v>
      </c>
      <c r="W54" s="44" t="s">
        <v>71</v>
      </c>
      <c r="X54" s="44"/>
      <c r="Y54" s="592"/>
      <c r="Z54" s="44"/>
      <c r="AA54" s="44"/>
      <c r="AB54" s="51"/>
      <c r="AC54" s="52"/>
      <c r="AD54" s="53"/>
      <c r="AE54" s="44"/>
      <c r="AF54" s="16"/>
      <c r="AG54" s="16"/>
      <c r="AH54" s="16"/>
      <c r="AI54" s="16"/>
      <c r="AJ54" s="16"/>
      <c r="AK54" s="16"/>
      <c r="AL54" s="16"/>
      <c r="AM54" s="16"/>
      <c r="AN54" s="16"/>
      <c r="AO54" s="16"/>
      <c r="AP54" s="16"/>
      <c r="AQ54" s="16"/>
      <c r="AR54" s="16"/>
      <c r="AS54" s="16"/>
      <c r="AT54" s="16"/>
      <c r="AU54" s="16"/>
      <c r="AV54" s="16"/>
      <c r="AW54" s="16"/>
      <c r="AX54" s="16"/>
      <c r="AY54" s="16"/>
      <c r="AZ54" s="16"/>
      <c r="BA54" s="16"/>
      <c r="BB54" s="16"/>
      <c r="BC54" s="16"/>
      <c r="BD54" s="16"/>
      <c r="BE54" s="16"/>
      <c r="BF54" s="16"/>
      <c r="BG54" s="16"/>
      <c r="BH54" s="16"/>
      <c r="BI54" s="16"/>
      <c r="BJ54" s="16"/>
    </row>
    <row r="55" spans="1:62" ht="15" customHeight="1" x14ac:dyDescent="0.2">
      <c r="A55" s="56"/>
      <c r="B55" s="821" t="s">
        <v>373</v>
      </c>
      <c r="C55" s="824" t="s">
        <v>446</v>
      </c>
      <c r="D55" s="825"/>
      <c r="E55" s="826"/>
      <c r="F55" s="373">
        <f>IF(Resumo!$J$37="","",Resumo!$J$37)</f>
        <v>0.05</v>
      </c>
      <c r="G55" s="351" t="str">
        <f>Resumo!S16</f>
        <v>mbar</v>
      </c>
      <c r="H55" s="352" t="s">
        <v>202</v>
      </c>
      <c r="I55" s="353">
        <f>SQRT(3)</f>
        <v>1.7320508075688772</v>
      </c>
      <c r="J55" s="354">
        <f>F55/I55</f>
        <v>2.8867513459481291E-2</v>
      </c>
      <c r="K55" s="355">
        <v>1</v>
      </c>
      <c r="L55" s="351" t="str">
        <f>G55</f>
        <v>mbar</v>
      </c>
      <c r="M55" s="354">
        <f>J55*K55</f>
        <v>2.8867513459481291E-2</v>
      </c>
      <c r="N55" s="352" t="s">
        <v>181</v>
      </c>
      <c r="O55" s="352">
        <f>M55^4/(IF(N55="∞",100000,N55))</f>
        <v>6.9444444444444466E-12</v>
      </c>
      <c r="P55" s="56"/>
      <c r="Q55" s="56"/>
      <c r="R55" s="16"/>
      <c r="S55"/>
      <c r="T55" s="56" t="s">
        <v>212</v>
      </c>
      <c r="U55" s="16"/>
      <c r="V55" s="16">
        <v>40</v>
      </c>
      <c r="W55" s="56" t="s">
        <v>71</v>
      </c>
      <c r="X55" s="16"/>
      <c r="Y55" s="583"/>
      <c r="Z55" s="16"/>
      <c r="AA55" s="16"/>
      <c r="AB55" s="16"/>
      <c r="AC55" s="16"/>
      <c r="AD55" s="16"/>
      <c r="AE55" s="16"/>
      <c r="AG55" s="16"/>
      <c r="AH55" s="16"/>
      <c r="AI55" s="16"/>
      <c r="AJ55" s="16"/>
      <c r="AK55" s="16"/>
      <c r="AL55" s="16"/>
      <c r="AM55" s="16"/>
      <c r="AN55" s="16"/>
      <c r="AO55" s="16"/>
      <c r="AP55" s="16"/>
      <c r="AQ55" s="16"/>
      <c r="AR55" s="16"/>
      <c r="AS55" s="16"/>
      <c r="AT55" s="16"/>
      <c r="AU55" s="16"/>
      <c r="AV55" s="16"/>
      <c r="AW55" s="16"/>
      <c r="AX55" s="16"/>
      <c r="AY55" s="16"/>
      <c r="AZ55" s="16"/>
      <c r="BA55" s="16"/>
      <c r="BB55" s="16"/>
      <c r="BC55" s="16"/>
      <c r="BD55" s="16"/>
      <c r="BE55" s="16"/>
      <c r="BF55" s="16"/>
      <c r="BG55" s="16"/>
      <c r="BH55" s="16"/>
      <c r="BI55" s="16"/>
      <c r="BJ55" s="16"/>
    </row>
    <row r="56" spans="1:62" ht="15" customHeight="1" x14ac:dyDescent="0.2">
      <c r="A56" s="56"/>
      <c r="B56" s="827"/>
      <c r="C56" s="824" t="s">
        <v>178</v>
      </c>
      <c r="D56" s="825"/>
      <c r="E56" s="826"/>
      <c r="F56" s="374">
        <f>IF(Resumo!$D$37="","",Resumo!$D$37/2)</f>
        <v>5.0000000000000001E-3</v>
      </c>
      <c r="G56" s="351" t="str">
        <f>G55</f>
        <v>mbar</v>
      </c>
      <c r="H56" s="352" t="s">
        <v>202</v>
      </c>
      <c r="I56" s="353">
        <f>SQRT(3)</f>
        <v>1.7320508075688772</v>
      </c>
      <c r="J56" s="354">
        <f>F56/I56</f>
        <v>2.886751345948129E-3</v>
      </c>
      <c r="K56" s="355">
        <v>1</v>
      </c>
      <c r="L56" s="351" t="str">
        <f>G55</f>
        <v>mbar</v>
      </c>
      <c r="M56" s="354">
        <f>J56*K56</f>
        <v>2.886751345948129E-3</v>
      </c>
      <c r="N56" s="352" t="s">
        <v>181</v>
      </c>
      <c r="O56" s="352">
        <f>M56^4/(IF(N56="∞",100000,N56))</f>
        <v>6.944444444444445E-16</v>
      </c>
      <c r="P56" s="56"/>
      <c r="Q56" s="56"/>
      <c r="R56" s="16"/>
      <c r="S56" s="16"/>
      <c r="T56" s="16"/>
      <c r="U56" s="16"/>
      <c r="V56" s="16"/>
      <c r="W56" s="16"/>
      <c r="X56" s="16"/>
      <c r="Y56" s="583"/>
      <c r="Z56" s="16"/>
      <c r="AA56" s="16"/>
      <c r="AB56" s="16"/>
      <c r="AC56" s="16"/>
      <c r="AD56" s="16"/>
      <c r="AE56" s="16"/>
      <c r="AG56" s="16"/>
      <c r="AH56" s="16"/>
      <c r="AI56" s="16"/>
      <c r="AJ56" s="16"/>
      <c r="AK56" s="16"/>
      <c r="AL56" s="16"/>
      <c r="AM56" s="16"/>
      <c r="AN56" s="16"/>
      <c r="AO56" s="16"/>
      <c r="AP56" s="16"/>
      <c r="AQ56" s="16"/>
      <c r="AR56" s="16"/>
      <c r="AS56" s="16"/>
      <c r="AT56" s="16"/>
      <c r="AU56" s="16"/>
      <c r="AV56" s="16"/>
      <c r="AW56" s="16"/>
      <c r="AX56" s="16"/>
      <c r="AY56" s="16"/>
      <c r="AZ56" s="16"/>
      <c r="BA56" s="16"/>
      <c r="BB56" s="16"/>
      <c r="BC56" s="16"/>
      <c r="BD56" s="16"/>
      <c r="BE56" s="16"/>
      <c r="BF56" s="16"/>
      <c r="BG56" s="16"/>
      <c r="BH56" s="16"/>
      <c r="BI56" s="16"/>
      <c r="BJ56" s="16"/>
    </row>
    <row r="57" spans="1:62" ht="15" customHeight="1" x14ac:dyDescent="0.2">
      <c r="A57" s="56"/>
      <c r="B57" s="827"/>
      <c r="C57" s="847"/>
      <c r="D57" s="848"/>
      <c r="E57" s="849"/>
      <c r="F57" s="375"/>
      <c r="G57" s="376"/>
      <c r="H57" s="372"/>
      <c r="I57" s="377"/>
      <c r="J57" s="378"/>
      <c r="K57" s="379"/>
      <c r="L57" s="378"/>
      <c r="M57" s="378"/>
      <c r="N57" s="372"/>
      <c r="O57" s="372"/>
      <c r="P57" s="56"/>
      <c r="Q57" s="56"/>
      <c r="R57" s="349" t="s">
        <v>54</v>
      </c>
      <c r="S57" s="815" t="s">
        <v>168</v>
      </c>
      <c r="T57" s="816"/>
      <c r="U57" s="817"/>
      <c r="V57" s="349" t="s">
        <v>169</v>
      </c>
      <c r="W57" s="349" t="s">
        <v>65</v>
      </c>
      <c r="X57" s="349" t="s">
        <v>170</v>
      </c>
      <c r="Y57" s="605" t="s">
        <v>171</v>
      </c>
      <c r="Z57" s="349" t="s">
        <v>172</v>
      </c>
      <c r="AA57" s="349" t="s">
        <v>173</v>
      </c>
      <c r="AB57" s="349" t="s">
        <v>65</v>
      </c>
      <c r="AC57" s="349" t="s">
        <v>174</v>
      </c>
      <c r="AD57" s="349" t="s">
        <v>175</v>
      </c>
      <c r="AE57" s="349" t="s">
        <v>176</v>
      </c>
      <c r="AG57" s="16"/>
      <c r="AH57" s="16"/>
      <c r="AI57" s="16"/>
      <c r="AJ57" s="16"/>
      <c r="AK57" s="16"/>
      <c r="AL57" s="16"/>
      <c r="AM57" s="16"/>
      <c r="AN57" s="16"/>
      <c r="AO57" s="16"/>
      <c r="AP57" s="16"/>
      <c r="AQ57" s="16"/>
      <c r="AR57" s="16"/>
      <c r="AS57" s="16"/>
      <c r="AT57" s="16"/>
      <c r="AU57" s="16"/>
      <c r="AV57" s="16"/>
      <c r="AW57" s="16"/>
      <c r="AX57" s="16"/>
      <c r="AY57" s="16"/>
      <c r="AZ57" s="16"/>
      <c r="BA57" s="16"/>
      <c r="BB57" s="16"/>
      <c r="BC57" s="16"/>
      <c r="BD57" s="16"/>
      <c r="BE57" s="16"/>
      <c r="BF57" s="16"/>
      <c r="BG57" s="16"/>
      <c r="BH57" s="16"/>
      <c r="BI57" s="16"/>
      <c r="BJ57" s="16"/>
    </row>
    <row r="58" spans="1:62" ht="15" customHeight="1" x14ac:dyDescent="0.2">
      <c r="A58" s="56"/>
      <c r="B58" s="827"/>
      <c r="C58" s="844"/>
      <c r="D58" s="845"/>
      <c r="E58" s="846"/>
      <c r="F58" s="361"/>
      <c r="G58" s="362"/>
      <c r="H58" s="372"/>
      <c r="I58" s="377"/>
      <c r="J58" s="378"/>
      <c r="K58" s="379"/>
      <c r="L58" s="378"/>
      <c r="M58" s="378"/>
      <c r="N58" s="372"/>
      <c r="O58" s="372"/>
      <c r="P58" s="56"/>
      <c r="Q58" s="56"/>
      <c r="R58" s="821" t="s">
        <v>358</v>
      </c>
      <c r="S58" s="835" t="s">
        <v>542</v>
      </c>
      <c r="T58" s="836"/>
      <c r="U58" s="837"/>
      <c r="V58" s="273">
        <f>Temperatura!$BA$63</f>
        <v>0.12</v>
      </c>
      <c r="W58" s="351" t="s">
        <v>71</v>
      </c>
      <c r="X58" s="561" t="s">
        <v>202</v>
      </c>
      <c r="Y58" s="562">
        <f>SQRT(3)</f>
        <v>1.7320508075688772</v>
      </c>
      <c r="Z58" s="354">
        <f>V58/Y58</f>
        <v>6.9282032302755092E-2</v>
      </c>
      <c r="AA58" s="355">
        <v>1</v>
      </c>
      <c r="AB58" s="351" t="s">
        <v>71</v>
      </c>
      <c r="AC58" s="354">
        <f>Z58*AA58</f>
        <v>6.9282032302755092E-2</v>
      </c>
      <c r="AD58" s="352" t="s">
        <v>181</v>
      </c>
      <c r="AE58" s="352">
        <f>AC58^4/(IF(AD58="∞",100000,AD58))</f>
        <v>2.3040000000000003E-10</v>
      </c>
      <c r="AG58" s="16"/>
      <c r="AH58" s="16"/>
      <c r="AI58" s="16"/>
      <c r="AJ58" s="16"/>
      <c r="AK58" s="16"/>
      <c r="AL58" s="16"/>
      <c r="AM58" s="16"/>
      <c r="AN58" s="16"/>
      <c r="AO58" s="16"/>
      <c r="AP58" s="16"/>
      <c r="AQ58" s="16"/>
      <c r="AR58" s="16"/>
      <c r="AS58" s="16"/>
      <c r="AT58" s="16"/>
      <c r="AU58" s="16"/>
      <c r="AV58" s="16"/>
      <c r="AW58" s="16"/>
      <c r="AX58" s="16"/>
      <c r="AY58" s="16"/>
      <c r="AZ58" s="16"/>
      <c r="BA58" s="16"/>
      <c r="BB58" s="16"/>
      <c r="BC58" s="16"/>
      <c r="BD58" s="16"/>
      <c r="BE58" s="16"/>
      <c r="BF58" s="16"/>
      <c r="BG58" s="16"/>
      <c r="BH58" s="16"/>
      <c r="BI58" s="16"/>
      <c r="BJ58" s="16"/>
    </row>
    <row r="59" spans="1:62" ht="15" customHeight="1" x14ac:dyDescent="0.2">
      <c r="A59" s="56"/>
      <c r="B59" s="828"/>
      <c r="C59" s="844"/>
      <c r="D59" s="845"/>
      <c r="E59" s="846"/>
      <c r="F59" s="274"/>
      <c r="G59" s="362"/>
      <c r="H59" s="372"/>
      <c r="I59" s="372"/>
      <c r="J59" s="378"/>
      <c r="K59" s="379"/>
      <c r="L59" s="378"/>
      <c r="M59" s="378"/>
      <c r="N59" s="372"/>
      <c r="O59" s="372"/>
      <c r="P59" s="56"/>
      <c r="Q59" s="56"/>
      <c r="R59" s="822"/>
      <c r="S59" s="824" t="s">
        <v>447</v>
      </c>
      <c r="T59" s="825"/>
      <c r="U59" s="826"/>
      <c r="V59" s="273">
        <f>IFERROR(IF(Resumo!$F$9="Manual","",IF(Resumo!$F$9="Software",Temperatura!$AI$14,"")),"")</f>
        <v>1.0688533387071687E-2</v>
      </c>
      <c r="W59" s="351" t="s">
        <v>71</v>
      </c>
      <c r="X59" s="561" t="s">
        <v>541</v>
      </c>
      <c r="Y59" s="562">
        <f>IFERROR(IF(Resumo!$F$9="Manual","",IF(Resumo!$F$9="Software",SQRT(COUNT(Temperatura!$G$9:$G$3608)),"")),"")</f>
        <v>26.851443164195103</v>
      </c>
      <c r="Z59" s="354">
        <f>IFERROR(IF(Resumo!$F$9="Manual","",IF(Resumo!$F$9="Software",V59/Y59,"")),"")</f>
        <v>3.9806178467622358E-4</v>
      </c>
      <c r="AA59" s="355">
        <f>IFERROR(IF(Resumo!$F$9="Manual","",IF(Resumo!$F$9="Software",1,"")),"")</f>
        <v>1</v>
      </c>
      <c r="AB59" s="351" t="s">
        <v>71</v>
      </c>
      <c r="AC59" s="354">
        <f>IFERROR(IF(Resumo!$F$9="Manual","",IF(Resumo!$F$9="Software",Z59*AA59,"")),"")</f>
        <v>3.9806178467622358E-4</v>
      </c>
      <c r="AD59" s="352">
        <f>IFERROR(IF(Resumo!$F$9="Manual","",IF(Resumo!$F$9="Software",COUNT(Temperatura!$B$9:$B$3608)-1,"")),"")</f>
        <v>720</v>
      </c>
      <c r="AE59" s="352">
        <f>IFERROR(IF(Resumo!$F$9="Manual","",IF(Resumo!$F$9="Software",AC59^4/(IF(AD59="∞",100000,AD59)),"")),"")</f>
        <v>3.4871405073219672E-17</v>
      </c>
      <c r="AG59" s="16"/>
      <c r="AH59" s="16"/>
      <c r="AI59" s="16"/>
      <c r="AJ59" s="16"/>
      <c r="AK59" s="16"/>
      <c r="AL59" s="16"/>
      <c r="AM59" s="16"/>
      <c r="AN59" s="16"/>
      <c r="AO59" s="16"/>
      <c r="AP59" s="16"/>
      <c r="AQ59" s="16"/>
      <c r="AR59" s="16"/>
      <c r="AS59" s="16"/>
      <c r="AT59" s="16"/>
      <c r="AU59" s="16"/>
      <c r="AV59" s="16"/>
      <c r="AW59" s="16"/>
      <c r="AX59" s="16"/>
      <c r="AY59" s="16"/>
      <c r="AZ59" s="16"/>
      <c r="BA59" s="16"/>
      <c r="BB59" s="16"/>
      <c r="BC59" s="16"/>
      <c r="BD59" s="16"/>
      <c r="BE59" s="16"/>
      <c r="BF59" s="16"/>
      <c r="BG59" s="16"/>
      <c r="BH59" s="16"/>
      <c r="BI59" s="16"/>
      <c r="BJ59" s="16"/>
    </row>
    <row r="60" spans="1:62" ht="15" customHeight="1" thickBot="1" x14ac:dyDescent="0.3">
      <c r="A60" s="56"/>
      <c r="B60" s="380"/>
      <c r="C60" s="380"/>
      <c r="D60" s="380"/>
      <c r="E60" s="380"/>
      <c r="F60" s="380"/>
      <c r="G60" s="380"/>
      <c r="H60" s="380"/>
      <c r="I60" s="380"/>
      <c r="J60" s="380"/>
      <c r="K60" s="380"/>
      <c r="L60" s="380"/>
      <c r="M60" s="380"/>
      <c r="N60" s="380"/>
      <c r="O60" s="380"/>
      <c r="P60" s="56"/>
      <c r="Q60" s="56"/>
      <c r="R60" s="822"/>
      <c r="S60" s="835" t="s">
        <v>178</v>
      </c>
      <c r="T60" s="836"/>
      <c r="U60" s="837"/>
      <c r="V60" s="563">
        <f>0.01/2</f>
        <v>5.0000000000000001E-3</v>
      </c>
      <c r="W60" s="580" t="s">
        <v>71</v>
      </c>
      <c r="X60" s="561" t="s">
        <v>202</v>
      </c>
      <c r="Y60" s="562">
        <f>SQRT(3)</f>
        <v>1.7320508075688772</v>
      </c>
      <c r="Z60" s="603">
        <f>IFERROR(IF(Resumo!$F$9="Manual","",IF(Resumo!$F$9="Software",V60/Y60,"")),"")</f>
        <v>2.886751345948129E-3</v>
      </c>
      <c r="AA60" s="604">
        <f>IFERROR(IF(Resumo!$F$9="Manual","",IF(Resumo!$F$9="Software",1,"")),"")</f>
        <v>1</v>
      </c>
      <c r="AB60" s="580" t="s">
        <v>71</v>
      </c>
      <c r="AC60" s="603">
        <f>IFERROR(IF(Resumo!$F$9="Manual","",IF(Resumo!$F$9="Software",Z60*AA60,"")),"")</f>
        <v>2.886751345948129E-3</v>
      </c>
      <c r="AD60" s="575">
        <f>IFERROR(IF(Resumo!$F$9="Manual","",IF(Resumo!$F$9="Software",COUNT(Temperatura!$B$9:$B$3608)-1,"")),"")</f>
        <v>720</v>
      </c>
      <c r="AE60" s="575">
        <f>IFERROR(IF(Resumo!$F$9="Manual","",IF(Resumo!$F$9="Software",AC60^4/(IF(AD60="∞",100000,AD60)),"")),"")</f>
        <v>9.6450617283950626E-14</v>
      </c>
      <c r="AG60" s="16"/>
      <c r="AH60" s="16"/>
      <c r="AI60" s="16"/>
      <c r="AJ60" s="16"/>
      <c r="AK60" s="16"/>
      <c r="AL60" s="16"/>
      <c r="AM60" s="16"/>
      <c r="AN60" s="16"/>
      <c r="AO60" s="16"/>
      <c r="AP60" s="16"/>
      <c r="AQ60" s="16"/>
      <c r="AR60" s="16"/>
      <c r="AS60" s="16"/>
      <c r="AT60" s="16"/>
      <c r="AU60" s="16"/>
      <c r="AV60" s="16"/>
      <c r="AW60" s="16"/>
      <c r="AX60" s="16"/>
      <c r="AY60" s="16"/>
      <c r="AZ60" s="16"/>
      <c r="BA60" s="16"/>
      <c r="BB60" s="16"/>
      <c r="BC60" s="16"/>
      <c r="BD60" s="16"/>
      <c r="BE60" s="16"/>
      <c r="BF60" s="16"/>
      <c r="BG60" s="16"/>
      <c r="BH60" s="16"/>
      <c r="BI60" s="16"/>
      <c r="BJ60" s="16"/>
    </row>
    <row r="61" spans="1:62" ht="15" customHeight="1" thickTop="1" thickBot="1" x14ac:dyDescent="0.3">
      <c r="A61" s="56"/>
      <c r="B61" s="380"/>
      <c r="C61" s="380"/>
      <c r="D61" s="380"/>
      <c r="E61" s="380"/>
      <c r="F61" s="380"/>
      <c r="G61" s="381" t="s">
        <v>183</v>
      </c>
      <c r="H61" s="382">
        <v>0.95450000000000002</v>
      </c>
      <c r="I61" s="381" t="s">
        <v>184</v>
      </c>
      <c r="J61" s="383">
        <f>TINV(1-H61,IF(N61="∞",100000,N61))</f>
        <v>2.0000274442871735</v>
      </c>
      <c r="K61" s="381"/>
      <c r="L61" s="381" t="s">
        <v>185</v>
      </c>
      <c r="M61" s="384">
        <f>SQRT(SUMSQ(M55:M59))</f>
        <v>2.9011491975882018E-2</v>
      </c>
      <c r="N61" s="383" t="str">
        <f>IF((M61^4/O61)&gt;100000,"∞",(M61^4/O61))</f>
        <v>∞</v>
      </c>
      <c r="O61" s="381">
        <f>SUM(O55:O59)</f>
        <v>6.945138888888891E-12</v>
      </c>
      <c r="P61" s="56"/>
      <c r="Q61" s="56"/>
      <c r="R61" s="822"/>
      <c r="S61" s="818"/>
      <c r="T61" s="819"/>
      <c r="U61" s="820"/>
      <c r="V61" s="361"/>
      <c r="W61" s="362"/>
      <c r="X61" s="349"/>
      <c r="Y61" s="606"/>
      <c r="Z61" s="359"/>
      <c r="AA61" s="360"/>
      <c r="AB61" s="359"/>
      <c r="AC61" s="359"/>
      <c r="AD61" s="349"/>
      <c r="AE61" s="349"/>
      <c r="AG61" s="16"/>
      <c r="AH61" s="16"/>
      <c r="AI61" s="16"/>
      <c r="AJ61" s="16"/>
      <c r="AK61" s="16"/>
      <c r="AL61" s="16"/>
      <c r="AM61" s="16"/>
      <c r="AN61" s="16"/>
      <c r="AO61" s="16"/>
      <c r="AP61" s="16"/>
      <c r="AQ61" s="16"/>
      <c r="AR61" s="16"/>
      <c r="AS61" s="16"/>
      <c r="AT61" s="16"/>
      <c r="AU61" s="16"/>
      <c r="AV61" s="16"/>
      <c r="AW61" s="16"/>
      <c r="AX61" s="16"/>
      <c r="AY61" s="16"/>
      <c r="AZ61" s="16"/>
      <c r="BA61" s="16"/>
      <c r="BB61" s="16"/>
      <c r="BC61" s="16"/>
      <c r="BD61" s="16"/>
      <c r="BE61" s="16"/>
      <c r="BF61" s="16"/>
      <c r="BG61" s="16"/>
      <c r="BH61" s="16"/>
      <c r="BI61" s="16"/>
      <c r="BJ61" s="16"/>
    </row>
    <row r="62" spans="1:62" ht="15" customHeight="1" thickTop="1" thickBot="1" x14ac:dyDescent="0.3">
      <c r="A62" s="56"/>
      <c r="B62" s="59"/>
      <c r="C62" s="59"/>
      <c r="D62" s="59"/>
      <c r="E62" s="59"/>
      <c r="F62" s="59"/>
      <c r="G62" s="59"/>
      <c r="H62" s="59"/>
      <c r="I62" s="59"/>
      <c r="J62" s="59"/>
      <c r="K62" s="60"/>
      <c r="L62" s="61"/>
      <c r="M62" s="61"/>
      <c r="N62" s="61"/>
      <c r="O62" s="59"/>
      <c r="P62" s="56"/>
      <c r="Q62" s="56"/>
      <c r="R62" s="823"/>
      <c r="S62" s="818"/>
      <c r="T62" s="819"/>
      <c r="U62" s="820"/>
      <c r="V62" s="274"/>
      <c r="W62" s="362"/>
      <c r="X62" s="349"/>
      <c r="Y62" s="605"/>
      <c r="Z62" s="359"/>
      <c r="AA62" s="360"/>
      <c r="AB62" s="359"/>
      <c r="AC62" s="359"/>
      <c r="AD62" s="349"/>
      <c r="AE62" s="349"/>
      <c r="AG62" s="16"/>
      <c r="AH62" s="16"/>
      <c r="AI62" s="16"/>
      <c r="AJ62" s="16"/>
      <c r="AK62" s="16"/>
      <c r="AL62" s="16"/>
      <c r="AM62" s="16"/>
      <c r="AN62" s="16"/>
      <c r="AO62" s="16"/>
      <c r="AP62" s="16"/>
      <c r="AQ62" s="16"/>
      <c r="AR62" s="16"/>
      <c r="AS62" s="16"/>
      <c r="AT62" s="16"/>
      <c r="AU62" s="16"/>
      <c r="AV62" s="16"/>
      <c r="AW62" s="16"/>
      <c r="AX62" s="16"/>
      <c r="AY62" s="16"/>
      <c r="AZ62" s="16"/>
      <c r="BA62" s="16"/>
      <c r="BB62" s="16"/>
      <c r="BC62" s="16"/>
      <c r="BD62" s="16"/>
      <c r="BE62" s="16"/>
      <c r="BF62" s="16"/>
      <c r="BG62" s="16"/>
      <c r="BH62" s="16"/>
      <c r="BI62" s="16"/>
      <c r="BJ62" s="16"/>
    </row>
    <row r="63" spans="1:62" ht="15" customHeight="1" thickTop="1" thickBot="1" x14ac:dyDescent="0.3">
      <c r="A63" s="56"/>
      <c r="B63" s="59"/>
      <c r="C63" s="59"/>
      <c r="D63" s="59"/>
      <c r="E63" s="59"/>
      <c r="F63" s="59"/>
      <c r="G63" s="59"/>
      <c r="H63" s="59"/>
      <c r="I63" s="59"/>
      <c r="J63" s="59"/>
      <c r="K63" s="62"/>
      <c r="L63" s="77" t="s">
        <v>186</v>
      </c>
      <c r="M63" s="63">
        <f>IF(F55="","",(J61*M61))</f>
        <v>5.8023780151481151E-2</v>
      </c>
      <c r="N63" s="190" t="str">
        <f>G55</f>
        <v>mbar</v>
      </c>
      <c r="O63" s="59"/>
      <c r="P63" s="56"/>
      <c r="Q63" s="56"/>
      <c r="R63" s="164"/>
      <c r="S63" s="164"/>
      <c r="T63" s="164"/>
      <c r="U63" s="164"/>
      <c r="V63" s="164"/>
      <c r="W63" s="164"/>
      <c r="X63" s="164"/>
      <c r="Y63" s="607"/>
      <c r="Z63" s="164"/>
      <c r="AA63" s="164"/>
      <c r="AB63" s="164"/>
      <c r="AC63" s="164"/>
      <c r="AD63" s="164"/>
      <c r="AE63" s="164"/>
      <c r="AF63" s="16"/>
      <c r="AG63" s="16"/>
      <c r="AH63" s="16"/>
      <c r="AI63" s="16"/>
      <c r="AJ63" s="16"/>
      <c r="AK63" s="16"/>
      <c r="AL63" s="16"/>
      <c r="AM63" s="16"/>
      <c r="AN63" s="16"/>
      <c r="AO63" s="16"/>
      <c r="AP63" s="16"/>
      <c r="AQ63" s="16"/>
      <c r="AR63" s="16"/>
      <c r="AS63" s="16"/>
      <c r="AT63" s="16"/>
      <c r="AU63" s="16"/>
      <c r="AV63" s="16"/>
      <c r="AW63" s="16"/>
      <c r="AX63" s="16"/>
      <c r="AY63" s="16"/>
      <c r="AZ63" s="16"/>
      <c r="BA63" s="16"/>
      <c r="BB63" s="16"/>
      <c r="BC63" s="16"/>
      <c r="BD63" s="16"/>
      <c r="BE63" s="16"/>
      <c r="BF63" s="16"/>
      <c r="BG63" s="16"/>
      <c r="BH63" s="16"/>
      <c r="BI63" s="16"/>
      <c r="BJ63" s="16"/>
    </row>
    <row r="64" spans="1:62" ht="15" customHeight="1" thickTop="1" thickBot="1" x14ac:dyDescent="0.3">
      <c r="A64" s="56"/>
      <c r="B64" s="56"/>
      <c r="C64" s="56"/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6"/>
      <c r="O64" s="56"/>
      <c r="P64" s="56"/>
      <c r="Q64" s="56"/>
      <c r="R64" s="164"/>
      <c r="S64" s="164"/>
      <c r="T64" s="164"/>
      <c r="U64" s="164"/>
      <c r="V64" s="164"/>
      <c r="W64" s="363" t="s">
        <v>183</v>
      </c>
      <c r="X64" s="364">
        <v>0.95450000000000002</v>
      </c>
      <c r="Y64" s="608" t="s">
        <v>184</v>
      </c>
      <c r="Z64" s="365">
        <f>TINV(1-X64,IF(AD64="∞",100000,AD64))</f>
        <v>2.0000274442871735</v>
      </c>
      <c r="AA64" s="363"/>
      <c r="AB64" s="363" t="s">
        <v>185</v>
      </c>
      <c r="AC64" s="366">
        <f>SQRT(SUMSQ(AC58:AC62))</f>
        <v>6.934328941229824E-2</v>
      </c>
      <c r="AD64" s="365" t="str">
        <f>IF((AC64^4/AE64)&gt;100000,"∞",(AC64^4/AE64))</f>
        <v>∞</v>
      </c>
      <c r="AE64" s="363">
        <f>SUM(AE58:AE62)</f>
        <v>2.3049648548868906E-10</v>
      </c>
      <c r="AF64" s="16"/>
      <c r="AG64" s="16"/>
      <c r="AH64" s="16"/>
      <c r="AI64" s="16"/>
      <c r="AJ64" s="16"/>
      <c r="AK64" s="16"/>
      <c r="AL64" s="16"/>
      <c r="AM64" s="16"/>
      <c r="AN64" s="16"/>
      <c r="AO64" s="16"/>
      <c r="AP64" s="16"/>
      <c r="AQ64" s="16"/>
      <c r="AR64" s="16"/>
      <c r="AS64" s="16"/>
      <c r="AT64" s="16"/>
      <c r="AU64" s="16"/>
      <c r="AV64" s="16"/>
      <c r="AW64" s="16"/>
      <c r="AX64" s="16"/>
      <c r="AY64" s="16"/>
      <c r="AZ64" s="16"/>
      <c r="BA64" s="16"/>
      <c r="BB64" s="16"/>
      <c r="BC64" s="16"/>
      <c r="BD64" s="16"/>
      <c r="BE64" s="16"/>
      <c r="BF64" s="16"/>
      <c r="BG64" s="16"/>
      <c r="BH64" s="16"/>
      <c r="BI64" s="16"/>
      <c r="BJ64" s="16"/>
    </row>
    <row r="65" spans="1:62" ht="15" customHeight="1" thickTop="1" thickBot="1" x14ac:dyDescent="0.3">
      <c r="A65" s="56"/>
      <c r="B65" s="56"/>
      <c r="C65" s="56"/>
      <c r="D65" s="56"/>
      <c r="E65" s="56"/>
      <c r="F65" s="56"/>
      <c r="G65" s="56"/>
      <c r="H65" s="56"/>
      <c r="I65" s="56"/>
      <c r="J65" s="56"/>
      <c r="K65" s="56"/>
      <c r="L65" s="56"/>
      <c r="M65" s="56"/>
      <c r="N65" s="56"/>
      <c r="O65" s="56"/>
      <c r="P65" s="56"/>
      <c r="Q65" s="56"/>
      <c r="R65" s="44"/>
      <c r="S65" s="44"/>
      <c r="T65" s="44"/>
      <c r="U65" s="44"/>
      <c r="V65" s="44"/>
      <c r="W65" s="44"/>
      <c r="X65" s="44"/>
      <c r="Y65" s="592"/>
      <c r="Z65" s="44"/>
      <c r="AA65" s="45"/>
      <c r="AB65" s="46"/>
      <c r="AC65" s="46"/>
      <c r="AD65" s="46"/>
      <c r="AE65" s="44"/>
      <c r="AF65" s="16"/>
      <c r="AG65" s="16"/>
      <c r="AH65" s="16"/>
      <c r="AI65" s="16"/>
      <c r="AJ65" s="16"/>
      <c r="AK65" s="16"/>
      <c r="AL65" s="16"/>
      <c r="AM65" s="16"/>
      <c r="AN65" s="16"/>
      <c r="AO65" s="16"/>
      <c r="AP65" s="16"/>
      <c r="AQ65" s="16"/>
      <c r="AR65" s="16"/>
      <c r="AS65" s="16"/>
      <c r="AT65" s="16"/>
      <c r="AU65" s="16"/>
      <c r="AV65" s="16"/>
      <c r="AW65" s="16"/>
      <c r="AX65" s="16"/>
      <c r="AY65" s="16"/>
      <c r="AZ65" s="16"/>
      <c r="BA65" s="16"/>
      <c r="BB65" s="16"/>
      <c r="BC65" s="16"/>
      <c r="BD65" s="16"/>
      <c r="BE65" s="16"/>
      <c r="BF65" s="16"/>
      <c r="BG65" s="16"/>
      <c r="BH65" s="16"/>
      <c r="BI65" s="16"/>
      <c r="BJ65" s="16"/>
    </row>
    <row r="66" spans="1:62" ht="15" customHeight="1" thickTop="1" thickBot="1" x14ac:dyDescent="0.3">
      <c r="A66" s="56"/>
      <c r="B66" s="56"/>
      <c r="C66" s="56"/>
      <c r="D66" s="56"/>
      <c r="E66" s="56"/>
      <c r="F66" s="56"/>
      <c r="G66" s="56"/>
      <c r="H66" s="56"/>
      <c r="I66" s="56"/>
      <c r="J66" s="56"/>
      <c r="K66" s="56"/>
      <c r="L66" s="56"/>
      <c r="M66" s="56"/>
      <c r="N66" s="56"/>
      <c r="O66" s="56"/>
      <c r="P66" s="56"/>
      <c r="Q66" s="56"/>
      <c r="R66" s="44"/>
      <c r="S66" s="44"/>
      <c r="T66" s="44"/>
      <c r="U66" s="44"/>
      <c r="V66" s="44"/>
      <c r="W66" s="44"/>
      <c r="X66" s="44"/>
      <c r="Y66" s="592"/>
      <c r="Z66" s="44"/>
      <c r="AA66" s="47"/>
      <c r="AB66" s="48" t="s">
        <v>186</v>
      </c>
      <c r="AC66" s="49" t="str">
        <f>IF(ROUNDUP(AC64*Z64,6)&lt;0.0001,FIXED(ROUNDUP(AC64*Z64*1,6),6),IF(ROUNDUP(AC64*Z64,5)&lt;0.001,FIXED(ROUNDUP(AC64*Z64*1,5),5),IF(ROUNDUP(AC64*Z64,4)&lt;0.01,FIXED(ROUNDUP(AC64*Z64*1,4),4),IF(ROUNDUP(AC64*Z64,3)&lt;0.1,FIXED(ROUNDUP(AC64*Z64*1,3),3),IF(ROUNDUP(AC64*Z64,2)&lt;1,FIXED(ROUNDUP(AC64*Z64*1,2),2),IF(ROUNDUP(AC64*Z64,1)&lt;10,FIXED(ROUNDUP(AC64*Z64*1,1),1),IF(AC64*Z64&lt;100,FIXED(AC64*Z64*1,0),"IM ALTA")))))))</f>
        <v>0,14</v>
      </c>
      <c r="AD66" s="50" t="s">
        <v>71</v>
      </c>
      <c r="AE66" s="44"/>
      <c r="AF66" s="16"/>
      <c r="AG66" s="16"/>
      <c r="AH66" s="16"/>
      <c r="AI66" s="16"/>
      <c r="AJ66" s="16"/>
      <c r="AK66" s="16"/>
      <c r="AL66" s="16"/>
      <c r="AM66" s="16"/>
      <c r="AN66" s="16"/>
      <c r="AO66" s="16"/>
      <c r="AP66" s="16"/>
      <c r="AQ66" s="16"/>
      <c r="AR66" s="16"/>
      <c r="AS66" s="16"/>
      <c r="AT66" s="16"/>
      <c r="AU66" s="16"/>
      <c r="AV66" s="16"/>
      <c r="AW66" s="16"/>
      <c r="AX66" s="16"/>
      <c r="AY66" s="16"/>
      <c r="AZ66" s="16"/>
      <c r="BA66" s="16"/>
      <c r="BB66" s="16"/>
      <c r="BC66" s="16"/>
      <c r="BD66" s="16"/>
      <c r="BE66" s="16"/>
      <c r="BF66" s="16"/>
      <c r="BG66" s="16"/>
      <c r="BH66" s="16"/>
      <c r="BI66" s="16"/>
      <c r="BJ66" s="16"/>
    </row>
    <row r="67" spans="1:62" ht="13.5" thickTop="1" x14ac:dyDescent="0.2">
      <c r="A67" s="16"/>
      <c r="B67" s="16"/>
      <c r="C67" s="16"/>
      <c r="D67" s="16"/>
      <c r="E67" s="16"/>
      <c r="F67" s="16"/>
      <c r="G67" s="16"/>
      <c r="H67" s="16"/>
      <c r="I67" s="16"/>
      <c r="J67" s="16"/>
      <c r="K67" s="16"/>
      <c r="L67" s="16"/>
      <c r="M67" s="16"/>
      <c r="N67" s="16"/>
      <c r="O67" s="16"/>
      <c r="P67" s="16"/>
      <c r="Q67" s="16"/>
      <c r="R67" s="56"/>
      <c r="S67" s="56"/>
      <c r="T67" s="56"/>
      <c r="U67" s="56"/>
      <c r="V67" s="56"/>
      <c r="W67" s="56"/>
      <c r="X67" s="56"/>
      <c r="Y67" s="609"/>
      <c r="Z67" s="56"/>
      <c r="AA67" s="56"/>
      <c r="AB67" s="56"/>
      <c r="AC67" s="56"/>
      <c r="AD67" s="56"/>
      <c r="AE67" s="56"/>
      <c r="AF67" s="16"/>
      <c r="AG67" s="16"/>
      <c r="AH67" s="16"/>
      <c r="AI67" s="16"/>
      <c r="AJ67" s="16"/>
      <c r="AK67" s="16"/>
      <c r="AL67" s="16"/>
      <c r="AM67" s="16"/>
      <c r="AN67" s="16"/>
      <c r="AO67" s="16"/>
      <c r="AP67" s="16"/>
      <c r="AQ67" s="16"/>
      <c r="AR67" s="16"/>
      <c r="AS67" s="16"/>
      <c r="AT67" s="16"/>
      <c r="AU67" s="16"/>
      <c r="AV67" s="16"/>
      <c r="AW67" s="16"/>
      <c r="AX67" s="16"/>
      <c r="AY67" s="16"/>
      <c r="AZ67" s="16"/>
      <c r="BA67" s="16"/>
      <c r="BB67" s="16"/>
      <c r="BC67" s="16"/>
      <c r="BD67" s="16"/>
      <c r="BE67" s="16"/>
      <c r="BF67" s="16"/>
      <c r="BG67" s="16"/>
      <c r="BH67" s="16"/>
      <c r="BI67" s="16"/>
      <c r="BJ67" s="16"/>
    </row>
    <row r="68" spans="1:62" x14ac:dyDescent="0.2">
      <c r="A68" s="16"/>
      <c r="B68" s="16"/>
      <c r="C68" s="16"/>
      <c r="D68" s="16"/>
      <c r="E68" s="16"/>
      <c r="F68" s="16"/>
      <c r="G68" s="16"/>
      <c r="H68" s="16"/>
      <c r="I68" s="16"/>
      <c r="J68" s="16"/>
      <c r="K68" s="16"/>
      <c r="L68" s="16"/>
      <c r="M68" s="16"/>
      <c r="N68" s="16"/>
      <c r="O68" s="16"/>
      <c r="P68" s="16"/>
      <c r="Q68" s="16"/>
      <c r="R68" s="56"/>
      <c r="S68" s="56"/>
      <c r="T68" s="56"/>
      <c r="U68" s="56"/>
      <c r="V68" s="56"/>
      <c r="W68" s="56"/>
      <c r="X68" s="56"/>
      <c r="Y68" s="609"/>
      <c r="Z68" s="56"/>
      <c r="AA68" s="56"/>
      <c r="AB68" s="56"/>
      <c r="AC68" s="56"/>
      <c r="AD68" s="56"/>
      <c r="AE68" s="56"/>
      <c r="AF68" s="16"/>
      <c r="AG68" s="16"/>
      <c r="AH68" s="16"/>
      <c r="AI68" s="16"/>
      <c r="AJ68" s="16"/>
      <c r="AK68" s="16"/>
      <c r="AL68" s="16"/>
      <c r="AM68" s="16"/>
      <c r="AN68" s="16"/>
      <c r="AO68" s="16"/>
      <c r="AP68" s="16"/>
      <c r="AQ68" s="16"/>
      <c r="AR68" s="16"/>
      <c r="AS68" s="16"/>
      <c r="AT68" s="16"/>
      <c r="AU68" s="16"/>
      <c r="AV68" s="16"/>
      <c r="AW68" s="16"/>
      <c r="AX68" s="16"/>
      <c r="AY68" s="16"/>
      <c r="AZ68" s="16"/>
      <c r="BA68" s="16"/>
      <c r="BB68" s="16"/>
      <c r="BC68" s="16"/>
      <c r="BD68" s="16"/>
      <c r="BE68" s="16"/>
      <c r="BF68" s="16"/>
      <c r="BG68" s="16"/>
      <c r="BH68" s="16"/>
      <c r="BI68" s="16"/>
      <c r="BJ68" s="16"/>
    </row>
    <row r="69" spans="1:62" x14ac:dyDescent="0.2">
      <c r="A69" s="16"/>
      <c r="B69" s="649" t="s">
        <v>467</v>
      </c>
      <c r="C69" s="650"/>
      <c r="D69" s="650"/>
      <c r="E69" s="650"/>
      <c r="F69" s="650"/>
      <c r="G69" s="650"/>
      <c r="H69" s="650"/>
      <c r="I69" s="650"/>
      <c r="J69" s="650"/>
      <c r="K69" s="650"/>
      <c r="L69" s="650"/>
      <c r="M69" s="650"/>
      <c r="N69" s="650"/>
      <c r="O69" s="651"/>
      <c r="P69" s="16"/>
      <c r="Q69" s="16"/>
      <c r="R69" s="649" t="s">
        <v>466</v>
      </c>
      <c r="S69" s="650"/>
      <c r="T69" s="650"/>
      <c r="U69" s="650"/>
      <c r="V69" s="650"/>
      <c r="W69" s="650"/>
      <c r="X69" s="650"/>
      <c r="Y69" s="650"/>
      <c r="Z69" s="650"/>
      <c r="AA69" s="650"/>
      <c r="AB69" s="650"/>
      <c r="AC69" s="650"/>
      <c r="AD69" s="650"/>
      <c r="AE69" s="651"/>
      <c r="AF69" s="16"/>
      <c r="AG69" s="16"/>
      <c r="AH69" s="16"/>
      <c r="AI69" s="16"/>
      <c r="AJ69" s="16"/>
      <c r="AK69" s="16"/>
      <c r="AL69" s="16"/>
      <c r="AM69" s="16"/>
      <c r="AN69" s="16"/>
      <c r="AO69" s="16"/>
      <c r="AP69" s="16"/>
      <c r="AQ69" s="16"/>
      <c r="AR69" s="16"/>
      <c r="AS69" s="16"/>
      <c r="AT69" s="16"/>
      <c r="AU69" s="16"/>
      <c r="AV69" s="16"/>
      <c r="AW69" s="16"/>
      <c r="AX69" s="16"/>
      <c r="AY69" s="16"/>
      <c r="AZ69" s="16"/>
      <c r="BA69" s="16"/>
      <c r="BB69" s="16"/>
      <c r="BC69" s="16"/>
      <c r="BD69" s="16"/>
      <c r="BE69" s="16"/>
      <c r="BF69" s="16"/>
      <c r="BG69" s="16"/>
      <c r="BH69" s="16"/>
      <c r="BI69" s="16"/>
      <c r="BJ69" s="16"/>
    </row>
    <row r="70" spans="1:62" x14ac:dyDescent="0.2">
      <c r="A70" s="16"/>
      <c r="B70" s="652"/>
      <c r="C70" s="653"/>
      <c r="D70" s="653"/>
      <c r="E70" s="653"/>
      <c r="F70" s="653"/>
      <c r="G70" s="653"/>
      <c r="H70" s="653"/>
      <c r="I70" s="653"/>
      <c r="J70" s="653"/>
      <c r="K70" s="653"/>
      <c r="L70" s="653"/>
      <c r="M70" s="653"/>
      <c r="N70" s="653"/>
      <c r="O70" s="654"/>
      <c r="P70" s="16"/>
      <c r="Q70" s="16"/>
      <c r="R70" s="652"/>
      <c r="S70" s="653"/>
      <c r="T70" s="653"/>
      <c r="U70" s="653"/>
      <c r="V70" s="653"/>
      <c r="W70" s="653"/>
      <c r="X70" s="653"/>
      <c r="Y70" s="653"/>
      <c r="Z70" s="653"/>
      <c r="AA70" s="653"/>
      <c r="AB70" s="653"/>
      <c r="AC70" s="653"/>
      <c r="AD70" s="653"/>
      <c r="AE70" s="654"/>
      <c r="AF70" s="16"/>
      <c r="AG70" s="16"/>
      <c r="AH70" s="16"/>
      <c r="AI70" s="16"/>
      <c r="AJ70" s="16"/>
      <c r="AK70" s="16"/>
      <c r="AL70" s="16"/>
      <c r="AM70" s="16"/>
      <c r="AN70" s="16"/>
      <c r="AO70" s="16"/>
      <c r="AP70" s="16"/>
      <c r="AQ70" s="16"/>
      <c r="AR70" s="16"/>
      <c r="AS70" s="16"/>
      <c r="AT70" s="16"/>
      <c r="AU70" s="16"/>
      <c r="AV70" s="16"/>
      <c r="AW70" s="16"/>
      <c r="AX70" s="16"/>
      <c r="AY70" s="16"/>
      <c r="AZ70" s="16"/>
      <c r="BA70" s="16"/>
      <c r="BB70" s="16"/>
      <c r="BC70" s="16"/>
      <c r="BD70" s="16"/>
      <c r="BE70" s="16"/>
      <c r="BF70" s="16"/>
      <c r="BG70" s="16"/>
      <c r="BH70" s="16"/>
      <c r="BI70" s="16"/>
      <c r="BJ70" s="16"/>
    </row>
    <row r="71" spans="1:62" x14ac:dyDescent="0.2">
      <c r="A71" s="16"/>
      <c r="B71" s="652"/>
      <c r="C71" s="653"/>
      <c r="D71" s="653"/>
      <c r="E71" s="653"/>
      <c r="F71" s="653"/>
      <c r="G71" s="653"/>
      <c r="H71" s="653"/>
      <c r="I71" s="653"/>
      <c r="J71" s="653"/>
      <c r="K71" s="653"/>
      <c r="L71" s="653"/>
      <c r="M71" s="653"/>
      <c r="N71" s="653"/>
      <c r="O71" s="654"/>
      <c r="P71" s="16"/>
      <c r="Q71" s="16"/>
      <c r="R71" s="652"/>
      <c r="S71" s="653"/>
      <c r="T71" s="653"/>
      <c r="U71" s="653"/>
      <c r="V71" s="653"/>
      <c r="W71" s="653"/>
      <c r="X71" s="653"/>
      <c r="Y71" s="653"/>
      <c r="Z71" s="653"/>
      <c r="AA71" s="653"/>
      <c r="AB71" s="653"/>
      <c r="AC71" s="653"/>
      <c r="AD71" s="653"/>
      <c r="AE71" s="654"/>
      <c r="AF71" s="16"/>
      <c r="AG71" s="16"/>
      <c r="AH71" s="16"/>
      <c r="AI71" s="16"/>
      <c r="AJ71" s="16"/>
      <c r="AK71" s="16"/>
      <c r="AL71" s="16"/>
      <c r="AM71" s="16"/>
      <c r="AN71" s="16"/>
      <c r="AO71" s="16"/>
      <c r="AP71" s="16"/>
      <c r="AQ71" s="16"/>
      <c r="AR71" s="16"/>
      <c r="AS71" s="16"/>
      <c r="AT71" s="16"/>
      <c r="AU71" s="16"/>
      <c r="AV71" s="16"/>
      <c r="AW71" s="16"/>
      <c r="AX71" s="16"/>
      <c r="AY71" s="16"/>
      <c r="AZ71" s="16"/>
      <c r="BA71" s="16"/>
      <c r="BB71" s="16"/>
      <c r="BC71" s="16"/>
      <c r="BD71" s="16"/>
      <c r="BE71" s="16"/>
      <c r="BF71" s="16"/>
      <c r="BG71" s="16"/>
      <c r="BH71" s="16"/>
      <c r="BI71" s="16"/>
      <c r="BJ71" s="16"/>
    </row>
    <row r="72" spans="1:62" x14ac:dyDescent="0.2">
      <c r="A72" s="16"/>
      <c r="B72" s="655"/>
      <c r="C72" s="656"/>
      <c r="D72" s="656"/>
      <c r="E72" s="656"/>
      <c r="F72" s="656"/>
      <c r="G72" s="656"/>
      <c r="H72" s="656"/>
      <c r="I72" s="656"/>
      <c r="J72" s="656"/>
      <c r="K72" s="656"/>
      <c r="L72" s="656"/>
      <c r="M72" s="656"/>
      <c r="N72" s="656"/>
      <c r="O72" s="657"/>
      <c r="P72" s="16"/>
      <c r="Q72" s="16"/>
      <c r="R72" s="655"/>
      <c r="S72" s="656"/>
      <c r="T72" s="656"/>
      <c r="U72" s="656"/>
      <c r="V72" s="656"/>
      <c r="W72" s="656"/>
      <c r="X72" s="656"/>
      <c r="Y72" s="656"/>
      <c r="Z72" s="656"/>
      <c r="AA72" s="656"/>
      <c r="AB72" s="656"/>
      <c r="AC72" s="656"/>
      <c r="AD72" s="656"/>
      <c r="AE72" s="657"/>
      <c r="AF72" s="16"/>
      <c r="AG72" s="16"/>
      <c r="AH72" s="16"/>
      <c r="AI72" s="16"/>
      <c r="AJ72" s="16"/>
      <c r="AK72" s="16"/>
      <c r="AL72" s="16"/>
      <c r="AM72" s="16"/>
      <c r="AN72" s="16"/>
      <c r="AO72" s="16"/>
      <c r="AP72" s="16"/>
      <c r="AQ72" s="16"/>
      <c r="AR72" s="16"/>
      <c r="AS72" s="16"/>
      <c r="AT72" s="16"/>
      <c r="AU72" s="16"/>
      <c r="AV72" s="16"/>
      <c r="AW72" s="16"/>
      <c r="AX72" s="16"/>
      <c r="AY72" s="16"/>
      <c r="AZ72" s="16"/>
      <c r="BA72" s="16"/>
      <c r="BB72" s="16"/>
      <c r="BC72" s="16"/>
      <c r="BD72" s="16"/>
      <c r="BE72" s="16"/>
      <c r="BF72" s="16"/>
      <c r="BG72" s="16"/>
      <c r="BH72" s="16"/>
      <c r="BI72" s="16"/>
      <c r="BJ72" s="16"/>
    </row>
    <row r="73" spans="1:62" ht="12.75" customHeight="1" x14ac:dyDescent="0.2">
      <c r="A73" s="16"/>
      <c r="B73" s="16"/>
      <c r="C73" s="16"/>
      <c r="D73" s="16"/>
      <c r="E73" s="16"/>
      <c r="F73" s="16"/>
      <c r="G73" s="16"/>
      <c r="H73" s="16"/>
      <c r="I73" s="16"/>
      <c r="J73" s="16"/>
      <c r="K73" s="16"/>
      <c r="L73" s="16"/>
      <c r="M73" s="16"/>
      <c r="N73" s="16"/>
      <c r="O73" s="16"/>
      <c r="P73" s="16"/>
      <c r="Q73" s="16"/>
      <c r="R73" s="653"/>
      <c r="S73" s="653"/>
      <c r="T73" s="653"/>
      <c r="U73" s="653"/>
      <c r="V73" s="653"/>
      <c r="W73" s="653"/>
      <c r="X73" s="653"/>
      <c r="Y73" s="653"/>
      <c r="Z73" s="653"/>
      <c r="AA73" s="653"/>
      <c r="AB73" s="653"/>
      <c r="AC73" s="653"/>
      <c r="AD73" s="653"/>
      <c r="AE73" s="653"/>
      <c r="AF73" s="16"/>
      <c r="AG73" s="16"/>
      <c r="AH73" s="16"/>
      <c r="AI73" s="16"/>
      <c r="AJ73" s="16"/>
      <c r="AK73" s="16"/>
      <c r="AL73" s="16"/>
      <c r="AM73" s="16"/>
      <c r="AN73" s="16"/>
      <c r="AO73" s="16"/>
      <c r="AP73" s="16"/>
      <c r="AQ73" s="16"/>
      <c r="AR73" s="16"/>
      <c r="AS73" s="16"/>
      <c r="AT73" s="16"/>
      <c r="AU73" s="16"/>
      <c r="AV73" s="16"/>
      <c r="AW73" s="16"/>
      <c r="AX73" s="16"/>
      <c r="AY73" s="16"/>
      <c r="AZ73" s="16"/>
      <c r="BA73" s="16"/>
      <c r="BB73" s="16"/>
      <c r="BC73" s="16"/>
      <c r="BD73" s="16"/>
      <c r="BE73" s="16"/>
      <c r="BF73" s="16"/>
      <c r="BG73" s="16"/>
      <c r="BH73" s="16"/>
      <c r="BI73" s="16"/>
      <c r="BJ73" s="16"/>
    </row>
    <row r="74" spans="1:62" ht="12.75" customHeight="1" thickBot="1" x14ac:dyDescent="0.25">
      <c r="A74" s="16"/>
      <c r="B74" s="611" t="s">
        <v>322</v>
      </c>
      <c r="C74" s="16"/>
      <c r="D74" s="16"/>
      <c r="E74" s="16"/>
      <c r="F74" s="16"/>
      <c r="G74" s="16"/>
      <c r="H74" s="16"/>
      <c r="I74" s="16"/>
      <c r="J74" s="16"/>
      <c r="K74" s="16"/>
      <c r="L74" s="16"/>
      <c r="M74" s="16"/>
      <c r="N74" s="16"/>
      <c r="O74" s="16"/>
      <c r="P74" s="16"/>
      <c r="Q74" s="16"/>
      <c r="R74" s="653"/>
      <c r="S74" s="653"/>
      <c r="T74" s="653"/>
      <c r="U74" s="653"/>
      <c r="V74" s="653"/>
      <c r="W74" s="653"/>
      <c r="X74" s="653"/>
      <c r="Y74" s="653"/>
      <c r="Z74" s="653"/>
      <c r="AA74" s="653"/>
      <c r="AB74" s="653"/>
      <c r="AC74" s="653"/>
      <c r="AD74" s="653"/>
      <c r="AE74" s="653"/>
      <c r="AF74" s="16"/>
      <c r="AG74" s="16"/>
      <c r="AH74" s="16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  <c r="BA74" s="16"/>
      <c r="BB74" s="16"/>
      <c r="BC74" s="16"/>
      <c r="BD74" s="16"/>
      <c r="BE74" s="16"/>
      <c r="BF74" s="16"/>
      <c r="BG74" s="16"/>
      <c r="BH74" s="16"/>
      <c r="BI74" s="16"/>
      <c r="BJ74" s="16"/>
    </row>
    <row r="75" spans="1:62" ht="12.75" customHeight="1" thickBot="1" x14ac:dyDescent="0.25">
      <c r="A75" s="16"/>
      <c r="B75" s="854" t="s">
        <v>217</v>
      </c>
      <c r="C75" s="854"/>
      <c r="D75" s="854"/>
      <c r="E75" s="854"/>
      <c r="F75" s="56">
        <v>0</v>
      </c>
      <c r="G75" s="65" t="s">
        <v>215</v>
      </c>
      <c r="H75" s="66">
        <v>220</v>
      </c>
      <c r="I75" s="67" t="s">
        <v>218</v>
      </c>
      <c r="J75"/>
      <c r="K75" s="68" t="s">
        <v>224</v>
      </c>
      <c r="L75" s="69">
        <f>'Condicionador de ar'!O25</f>
        <v>789.74614157951999</v>
      </c>
      <c r="M75" s="70" t="s">
        <v>34</v>
      </c>
      <c r="N75" s="71"/>
      <c r="O75" s="71"/>
      <c r="P75" s="16"/>
      <c r="Q75" s="16"/>
      <c r="R75" s="653"/>
      <c r="S75" s="653"/>
      <c r="T75" s="653"/>
      <c r="U75" s="653"/>
      <c r="V75" s="653"/>
      <c r="W75" s="653"/>
      <c r="X75" s="653"/>
      <c r="Y75" s="653"/>
      <c r="Z75" s="653"/>
      <c r="AA75" s="653"/>
      <c r="AB75" s="653"/>
      <c r="AC75" s="653"/>
      <c r="AD75" s="653"/>
      <c r="AE75" s="653"/>
      <c r="AF75" s="16"/>
      <c r="AG75" s="16"/>
      <c r="AH75" s="16"/>
      <c r="AI75" s="16"/>
      <c r="AJ75" s="16"/>
      <c r="AK75" s="16"/>
      <c r="AL75" s="16"/>
      <c r="AM75" s="16"/>
      <c r="AN75" s="16"/>
      <c r="AO75" s="16"/>
      <c r="AP75" s="16"/>
      <c r="AQ75" s="16"/>
      <c r="AR75" s="16"/>
      <c r="AS75" s="16"/>
      <c r="AT75" s="16"/>
      <c r="AU75" s="16"/>
      <c r="AV75" s="16"/>
      <c r="AW75" s="16"/>
      <c r="AX75" s="16"/>
      <c r="AY75" s="16"/>
      <c r="AZ75" s="16"/>
      <c r="BA75" s="16"/>
      <c r="BB75" s="16"/>
      <c r="BC75" s="16"/>
      <c r="BD75" s="16"/>
      <c r="BE75" s="16"/>
      <c r="BF75" s="16"/>
      <c r="BG75" s="16"/>
      <c r="BH75" s="16"/>
      <c r="BI75" s="16"/>
      <c r="BJ75" s="16"/>
    </row>
    <row r="76" spans="1:62" ht="12.75" customHeight="1" x14ac:dyDescent="0.2">
      <c r="A76" s="16"/>
      <c r="B76" s="854" t="s">
        <v>219</v>
      </c>
      <c r="C76" s="854"/>
      <c r="D76" s="854"/>
      <c r="E76" s="854"/>
      <c r="F76" s="56">
        <v>0</v>
      </c>
      <c r="G76" s="65" t="s">
        <v>215</v>
      </c>
      <c r="H76" s="66">
        <v>20</v>
      </c>
      <c r="I76" s="67" t="s">
        <v>220</v>
      </c>
      <c r="J76" s="71"/>
      <c r="K76" s="71"/>
      <c r="L76" s="71"/>
      <c r="M76" s="71"/>
      <c r="N76" s="71"/>
      <c r="O76" s="71"/>
      <c r="P76" s="16"/>
      <c r="Q76" s="16"/>
      <c r="R76" s="653"/>
      <c r="S76" s="653"/>
      <c r="T76" s="653"/>
      <c r="U76" s="653"/>
      <c r="V76" s="653"/>
      <c r="W76" s="653"/>
      <c r="X76" s="653"/>
      <c r="Y76" s="653"/>
      <c r="Z76" s="653"/>
      <c r="AA76" s="653"/>
      <c r="AB76" s="653"/>
      <c r="AC76" s="653"/>
      <c r="AD76" s="653"/>
      <c r="AE76" s="653"/>
      <c r="AF76" s="16"/>
      <c r="AG76" s="16"/>
      <c r="AH76" s="16"/>
      <c r="AI76" s="16"/>
      <c r="AJ76" s="16"/>
      <c r="AK76" s="16"/>
      <c r="AL76" s="16"/>
      <c r="AM76" s="16"/>
      <c r="AN76" s="16"/>
      <c r="AO76" s="16"/>
      <c r="AP76" s="16"/>
      <c r="AQ76" s="16"/>
      <c r="AR76" s="16"/>
      <c r="AS76" s="16"/>
      <c r="AT76" s="16"/>
      <c r="AU76" s="16"/>
      <c r="AV76" s="16"/>
      <c r="AW76" s="16"/>
      <c r="AX76" s="16"/>
      <c r="AY76" s="16"/>
      <c r="AZ76" s="16"/>
      <c r="BA76" s="16"/>
      <c r="BB76" s="16"/>
      <c r="BC76" s="16"/>
      <c r="BD76" s="16"/>
      <c r="BE76" s="16"/>
      <c r="BF76" s="16"/>
      <c r="BG76" s="16"/>
      <c r="BH76" s="16"/>
      <c r="BI76" s="16"/>
      <c r="BJ76" s="16"/>
    </row>
    <row r="77" spans="1:62" x14ac:dyDescent="0.2">
      <c r="A77" s="16"/>
      <c r="B77" s="854" t="s">
        <v>221</v>
      </c>
      <c r="C77" s="854"/>
      <c r="D77" s="854"/>
      <c r="E77" s="854"/>
      <c r="F77" s="56">
        <v>1</v>
      </c>
      <c r="G77" s="65" t="s">
        <v>222</v>
      </c>
      <c r="H77" s="66"/>
      <c r="I77" s="67"/>
      <c r="J77" s="71"/>
      <c r="K77" s="71"/>
      <c r="L77" s="71"/>
      <c r="M77" s="71"/>
      <c r="N77" s="71"/>
      <c r="O77" s="71"/>
      <c r="P77" s="16"/>
      <c r="Q77" s="16"/>
      <c r="R77" s="56"/>
      <c r="S77" s="56"/>
      <c r="T77" s="56"/>
      <c r="U77" s="56"/>
      <c r="V77" s="56"/>
      <c r="W77" s="56"/>
      <c r="X77" s="56"/>
      <c r="Y77" s="609"/>
      <c r="Z77" s="56"/>
      <c r="AA77" s="56"/>
      <c r="AB77" s="56"/>
      <c r="AC77" s="56"/>
      <c r="AD77" s="56"/>
      <c r="AE77" s="56"/>
      <c r="AF77" s="16"/>
      <c r="AG77" s="16"/>
      <c r="AH77" s="16"/>
      <c r="AI77" s="16"/>
      <c r="AJ77" s="16"/>
      <c r="AK77" s="16"/>
      <c r="AL77" s="16"/>
      <c r="AM77" s="16"/>
      <c r="AN77" s="16"/>
      <c r="AO77" s="16"/>
      <c r="AP77" s="16"/>
      <c r="AQ77" s="16"/>
      <c r="AR77" s="16"/>
      <c r="AS77" s="16"/>
      <c r="AT77" s="16"/>
      <c r="AU77" s="16"/>
      <c r="AV77" s="16"/>
      <c r="AW77" s="16"/>
      <c r="AX77" s="16"/>
      <c r="AY77" s="16"/>
      <c r="AZ77" s="16"/>
      <c r="BA77" s="16"/>
      <c r="BB77" s="16"/>
      <c r="BC77" s="16"/>
      <c r="BD77" s="16"/>
      <c r="BE77" s="16"/>
      <c r="BF77" s="16"/>
      <c r="BG77" s="16"/>
      <c r="BH77" s="16"/>
      <c r="BI77" s="16"/>
      <c r="BJ77" s="16"/>
    </row>
    <row r="78" spans="1:62" ht="15" customHeight="1" x14ac:dyDescent="0.2">
      <c r="A78" s="16"/>
      <c r="B78" s="854" t="s">
        <v>223</v>
      </c>
      <c r="C78" s="854"/>
      <c r="D78" s="854"/>
      <c r="E78" s="854"/>
      <c r="F78" s="72">
        <v>15</v>
      </c>
      <c r="G78" s="65" t="s">
        <v>215</v>
      </c>
      <c r="H78" s="66">
        <v>25</v>
      </c>
      <c r="I78" s="56" t="s">
        <v>71</v>
      </c>
      <c r="J78" s="71"/>
      <c r="K78" s="71"/>
      <c r="L78" s="71"/>
      <c r="M78" s="71"/>
      <c r="N78" s="71"/>
      <c r="O78" s="71"/>
      <c r="P78" s="16"/>
      <c r="Q78" s="16"/>
      <c r="R78" s="16"/>
      <c r="S78" s="16"/>
      <c r="T78" s="16"/>
      <c r="U78" s="16"/>
      <c r="V78" s="16"/>
      <c r="W78" s="16"/>
      <c r="X78" s="16"/>
      <c r="Y78" s="583"/>
      <c r="Z78" s="16"/>
      <c r="AA78" s="16"/>
      <c r="AB78" s="16"/>
      <c r="AC78" s="16"/>
      <c r="AD78" s="16"/>
      <c r="AE78" s="16"/>
      <c r="AF78" s="16"/>
      <c r="AG78" s="16"/>
      <c r="AH78" s="16"/>
      <c r="AI78" s="16"/>
      <c r="AJ78" s="16"/>
      <c r="AK78" s="16"/>
      <c r="AL78" s="16"/>
      <c r="AM78" s="16"/>
      <c r="AN78" s="16"/>
      <c r="AO78" s="16"/>
      <c r="AP78" s="16"/>
      <c r="AQ78" s="16"/>
      <c r="AR78" s="16"/>
      <c r="AS78" s="16"/>
      <c r="AT78" s="16"/>
      <c r="AU78" s="16"/>
      <c r="AV78" s="16"/>
      <c r="AW78" s="16"/>
      <c r="AX78" s="16"/>
      <c r="AY78" s="16"/>
      <c r="AZ78" s="16"/>
      <c r="BA78" s="16"/>
      <c r="BB78" s="16"/>
      <c r="BC78" s="16"/>
      <c r="BD78" s="16"/>
      <c r="BE78" s="16"/>
      <c r="BF78" s="16"/>
      <c r="BG78" s="16"/>
      <c r="BH78" s="16"/>
      <c r="BI78" s="16"/>
      <c r="BJ78" s="16"/>
    </row>
    <row r="79" spans="1:62" ht="15" customHeight="1" x14ac:dyDescent="0.25">
      <c r="A79" s="16"/>
      <c r="B79" s="71"/>
      <c r="C79" s="71"/>
      <c r="D79" s="71"/>
      <c r="E79" s="71"/>
      <c r="F79" s="71"/>
      <c r="G79" s="71"/>
      <c r="H79" s="71"/>
      <c r="I79" s="71"/>
      <c r="J79" s="71"/>
      <c r="K79" s="71"/>
      <c r="L79" s="71"/>
      <c r="M79" s="71"/>
      <c r="N79" s="71"/>
      <c r="O79" s="71"/>
      <c r="P79" s="16"/>
      <c r="Q79" s="16"/>
      <c r="R79" s="54" t="s">
        <v>206</v>
      </c>
      <c r="S79" s="44"/>
      <c r="T79" s="44"/>
      <c r="U79" s="55"/>
      <c r="V79" s="44"/>
      <c r="W79" s="44"/>
      <c r="X79" s="44"/>
      <c r="Y79" s="592"/>
      <c r="Z79" s="44"/>
      <c r="AA79" s="44"/>
      <c r="AB79" s="51"/>
      <c r="AC79" s="52"/>
      <c r="AD79" s="53"/>
      <c r="AE79" s="44"/>
      <c r="AF79" s="16"/>
      <c r="AG79" s="16"/>
      <c r="AH79" s="16"/>
      <c r="AI79" s="16"/>
      <c r="AJ79" s="16"/>
      <c r="AK79" s="16"/>
      <c r="AL79" s="16"/>
      <c r="AM79" s="16"/>
      <c r="AN79" s="16"/>
      <c r="AO79" s="16"/>
      <c r="AP79" s="16"/>
      <c r="AQ79" s="16"/>
      <c r="AR79" s="16"/>
      <c r="AS79" s="16"/>
      <c r="AT79" s="16"/>
      <c r="AU79" s="16"/>
      <c r="AV79" s="16"/>
      <c r="AW79" s="16"/>
      <c r="AX79" s="16"/>
      <c r="AY79" s="16"/>
      <c r="AZ79" s="16"/>
      <c r="BA79" s="16"/>
      <c r="BB79" s="16"/>
      <c r="BC79" s="16"/>
      <c r="BD79" s="16"/>
      <c r="BE79" s="16"/>
      <c r="BF79" s="16"/>
      <c r="BG79" s="16"/>
      <c r="BH79" s="16"/>
      <c r="BI79" s="16"/>
      <c r="BJ79" s="16"/>
    </row>
    <row r="80" spans="1:62" ht="15" customHeight="1" x14ac:dyDescent="0.25">
      <c r="A80" s="16"/>
      <c r="B80" s="349" t="s">
        <v>54</v>
      </c>
      <c r="C80" s="815" t="s">
        <v>168</v>
      </c>
      <c r="D80" s="816"/>
      <c r="E80" s="817"/>
      <c r="F80" s="349" t="s">
        <v>169</v>
      </c>
      <c r="G80" s="349" t="s">
        <v>65</v>
      </c>
      <c r="H80" s="349" t="s">
        <v>170</v>
      </c>
      <c r="I80" s="349" t="s">
        <v>171</v>
      </c>
      <c r="J80" s="349" t="s">
        <v>172</v>
      </c>
      <c r="K80" s="349" t="s">
        <v>173</v>
      </c>
      <c r="L80" s="349" t="s">
        <v>65</v>
      </c>
      <c r="M80" s="349" t="s">
        <v>174</v>
      </c>
      <c r="N80" s="349" t="s">
        <v>175</v>
      </c>
      <c r="O80" s="349" t="s">
        <v>176</v>
      </c>
      <c r="P80" s="16"/>
      <c r="Q80" s="16"/>
      <c r="R80" s="44"/>
      <c r="S80" s="16"/>
      <c r="T80" s="56" t="s">
        <v>211</v>
      </c>
      <c r="U80" s="44"/>
      <c r="V80" s="16">
        <v>5</v>
      </c>
      <c r="W80" s="44" t="s">
        <v>71</v>
      </c>
      <c r="X80" s="44"/>
      <c r="Y80" s="592"/>
      <c r="Z80" s="44"/>
      <c r="AA80" s="44"/>
      <c r="AB80" s="51"/>
      <c r="AC80" s="52"/>
      <c r="AD80" s="53"/>
      <c r="AE80" s="44"/>
      <c r="AF80" s="16"/>
      <c r="AG80" s="16"/>
      <c r="AH80" s="16"/>
      <c r="AI80" s="16"/>
      <c r="AJ80" s="16"/>
      <c r="AK80" s="16"/>
      <c r="AL80" s="16"/>
      <c r="AM80" s="16"/>
      <c r="AN80" s="16"/>
      <c r="AO80" s="16"/>
      <c r="AP80" s="16"/>
      <c r="AQ80" s="16"/>
      <c r="AR80" s="16"/>
      <c r="AS80" s="16"/>
      <c r="AT80" s="16"/>
      <c r="AU80" s="16"/>
      <c r="AV80" s="16"/>
      <c r="AW80" s="16"/>
      <c r="AX80" s="16"/>
      <c r="AY80" s="16"/>
      <c r="AZ80" s="16"/>
      <c r="BA80" s="16"/>
      <c r="BB80" s="16"/>
      <c r="BC80" s="16"/>
      <c r="BD80" s="16"/>
      <c r="BE80" s="16"/>
      <c r="BF80" s="16"/>
      <c r="BG80" s="16"/>
      <c r="BH80" s="16"/>
      <c r="BI80" s="16"/>
      <c r="BJ80" s="16"/>
    </row>
    <row r="81" spans="1:62" ht="15" customHeight="1" x14ac:dyDescent="0.2">
      <c r="A81" s="16"/>
      <c r="B81" s="821" t="s">
        <v>357</v>
      </c>
      <c r="C81" s="829" t="s">
        <v>542</v>
      </c>
      <c r="D81" s="830"/>
      <c r="E81" s="831"/>
      <c r="F81" s="350">
        <f>IF(Resumo!$J$38="","",Resumo!$J$38)</f>
        <v>1.4814000000000001E-3</v>
      </c>
      <c r="G81" s="351" t="s">
        <v>36</v>
      </c>
      <c r="H81" s="352" t="s">
        <v>202</v>
      </c>
      <c r="I81" s="353">
        <f>SQRT(3)</f>
        <v>1.7320508075688772</v>
      </c>
      <c r="J81" s="354">
        <f>F81/I81</f>
        <v>8.5528668877751172E-4</v>
      </c>
      <c r="K81" s="355">
        <v>1</v>
      </c>
      <c r="L81" s="351" t="s">
        <v>34</v>
      </c>
      <c r="M81" s="354">
        <f>J81*K81</f>
        <v>8.5528668877751172E-4</v>
      </c>
      <c r="N81" s="352" t="s">
        <v>181</v>
      </c>
      <c r="O81" s="352">
        <f>M81^4/(IF(N81="∞",100000,N81))</f>
        <v>5.3511466339470267E-18</v>
      </c>
      <c r="P81" s="16"/>
      <c r="Q81" s="16"/>
      <c r="R81" s="16"/>
      <c r="S81" s="16"/>
      <c r="T81" s="56" t="s">
        <v>212</v>
      </c>
      <c r="U81" s="16"/>
      <c r="V81" s="16">
        <v>40</v>
      </c>
      <c r="W81" s="56" t="s">
        <v>71</v>
      </c>
      <c r="X81" s="16"/>
      <c r="Y81" s="583"/>
      <c r="Z81" s="16"/>
      <c r="AA81" s="16"/>
      <c r="AB81" s="16"/>
      <c r="AC81" s="16"/>
      <c r="AD81" s="16"/>
      <c r="AE81" s="16"/>
      <c r="AF81" s="16"/>
      <c r="AG81" s="16"/>
      <c r="AH81" s="16"/>
      <c r="AI81" s="16"/>
      <c r="AJ81" s="16"/>
      <c r="AK81" s="16"/>
      <c r="AL81" s="16"/>
      <c r="AM81" s="16"/>
      <c r="AN81" s="16"/>
      <c r="AO81" s="16"/>
      <c r="AP81" s="16"/>
      <c r="AQ81" s="16"/>
      <c r="AR81" s="16"/>
      <c r="AS81" s="16"/>
      <c r="AT81" s="16"/>
      <c r="AU81" s="16"/>
      <c r="AV81" s="16"/>
      <c r="AW81" s="16"/>
      <c r="AX81" s="16"/>
      <c r="AY81" s="16"/>
      <c r="AZ81" s="16"/>
      <c r="BA81" s="16"/>
      <c r="BB81" s="16"/>
      <c r="BC81" s="16"/>
      <c r="BD81" s="16"/>
      <c r="BE81" s="16"/>
      <c r="BF81" s="16"/>
      <c r="BG81" s="16"/>
      <c r="BH81" s="16"/>
      <c r="BI81" s="16"/>
      <c r="BJ81" s="16"/>
    </row>
    <row r="82" spans="1:62" ht="15" customHeight="1" x14ac:dyDescent="0.2">
      <c r="A82" s="16"/>
      <c r="B82" s="822"/>
      <c r="C82" s="829" t="s">
        <v>178</v>
      </c>
      <c r="D82" s="830"/>
      <c r="E82" s="831"/>
      <c r="F82" s="350">
        <f>IF(Resumo!$D$38="","",Resumo!$D$38/2)</f>
        <v>0.05</v>
      </c>
      <c r="G82" s="351" t="s">
        <v>36</v>
      </c>
      <c r="H82" s="352" t="s">
        <v>202</v>
      </c>
      <c r="I82" s="353">
        <f>SQRT(3)</f>
        <v>1.7320508075688772</v>
      </c>
      <c r="J82" s="354">
        <f>F82/I82</f>
        <v>2.8867513459481291E-2</v>
      </c>
      <c r="K82" s="355">
        <v>1</v>
      </c>
      <c r="L82" s="351" t="s">
        <v>34</v>
      </c>
      <c r="M82" s="354">
        <f>J82*K82</f>
        <v>2.8867513459481291E-2</v>
      </c>
      <c r="N82" s="352" t="s">
        <v>181</v>
      </c>
      <c r="O82" s="352">
        <f>M82^4/(IF(N82="∞",100000,N82))</f>
        <v>6.9444444444444466E-12</v>
      </c>
      <c r="P82" s="16"/>
      <c r="Q82" s="16"/>
      <c r="R82" s="16"/>
      <c r="S82" s="16"/>
      <c r="T82" s="16"/>
      <c r="U82" s="16"/>
      <c r="V82" s="16"/>
      <c r="W82" s="16"/>
      <c r="X82" s="16"/>
      <c r="Y82" s="583"/>
      <c r="Z82" s="16"/>
      <c r="AA82" s="16"/>
      <c r="AB82" s="16"/>
      <c r="AC82" s="16"/>
      <c r="AD82" s="16"/>
      <c r="AE82" s="16"/>
      <c r="AF82" s="16"/>
      <c r="AG82" s="16"/>
      <c r="AH82" s="16"/>
      <c r="AI82" s="16"/>
      <c r="AJ82" s="16"/>
      <c r="AK82" s="16"/>
      <c r="AL82" s="16"/>
      <c r="AM82" s="16"/>
      <c r="AN82" s="16"/>
      <c r="AO82" s="16"/>
      <c r="AP82" s="16"/>
      <c r="AQ82" s="16"/>
      <c r="AR82" s="16"/>
      <c r="AS82" s="16"/>
      <c r="AT82" s="16"/>
      <c r="AU82" s="16"/>
      <c r="AV82" s="16"/>
      <c r="AW82" s="16"/>
      <c r="AX82" s="16"/>
      <c r="AY82" s="16"/>
      <c r="AZ82" s="16"/>
      <c r="BA82" s="16"/>
      <c r="BB82" s="16"/>
      <c r="BC82" s="16"/>
      <c r="BD82" s="16"/>
      <c r="BE82" s="16"/>
      <c r="BF82" s="16"/>
      <c r="BG82" s="16"/>
      <c r="BH82" s="16"/>
      <c r="BI82" s="16"/>
      <c r="BJ82" s="16"/>
    </row>
    <row r="83" spans="1:62" ht="15" customHeight="1" x14ac:dyDescent="0.2">
      <c r="A83" s="16"/>
      <c r="B83" s="822"/>
      <c r="C83" s="835" t="s">
        <v>551</v>
      </c>
      <c r="D83" s="836"/>
      <c r="E83" s="837"/>
      <c r="F83" s="564">
        <f>(((1-0.914)/(35-29)*(35+0.5)+(0.914-((1-0.914)/(35-29))*29))-(((1-0.914)/(35-29))*(35-0.5)+(0.914-((1-0.914)/(35-29))*29)))*Pressão!G23</f>
        <v>1.4155599999999867E-2</v>
      </c>
      <c r="G83" s="564" t="s">
        <v>36</v>
      </c>
      <c r="H83" s="561" t="s">
        <v>202</v>
      </c>
      <c r="I83" s="562">
        <f>SQRT(3)</f>
        <v>1.7320508075688772</v>
      </c>
      <c r="J83" s="565">
        <f>F83/I83</f>
        <v>8.1727394705405909E-3</v>
      </c>
      <c r="K83" s="566">
        <v>1</v>
      </c>
      <c r="L83" s="567" t="s">
        <v>34</v>
      </c>
      <c r="M83" s="565">
        <f>J83*K83</f>
        <v>8.1727394705405909E-3</v>
      </c>
      <c r="N83" s="561" t="s">
        <v>181</v>
      </c>
      <c r="O83" s="561">
        <f>M83^4/(IF(N83="∞",100000,N83))</f>
        <v>4.4613944126283298E-14</v>
      </c>
      <c r="P83" s="16"/>
      <c r="Q83" s="16"/>
      <c r="R83" s="349" t="s">
        <v>54</v>
      </c>
      <c r="S83" s="815" t="s">
        <v>168</v>
      </c>
      <c r="T83" s="816"/>
      <c r="U83" s="817"/>
      <c r="V83" s="349" t="s">
        <v>169</v>
      </c>
      <c r="W83" s="349" t="s">
        <v>65</v>
      </c>
      <c r="X83" s="349" t="s">
        <v>170</v>
      </c>
      <c r="Y83" s="605" t="s">
        <v>171</v>
      </c>
      <c r="Z83" s="349" t="s">
        <v>172</v>
      </c>
      <c r="AA83" s="349" t="s">
        <v>173</v>
      </c>
      <c r="AB83" s="349" t="s">
        <v>65</v>
      </c>
      <c r="AC83" s="349" t="s">
        <v>174</v>
      </c>
      <c r="AD83" s="349" t="s">
        <v>175</v>
      </c>
      <c r="AE83" s="349" t="s">
        <v>176</v>
      </c>
      <c r="AF83" s="16"/>
      <c r="AG83" s="16"/>
      <c r="AH83" s="16"/>
      <c r="AI83" s="16"/>
      <c r="AJ83" s="16"/>
      <c r="AK83" s="16"/>
      <c r="AL83" s="16"/>
      <c r="AM83" s="16"/>
      <c r="AN83" s="16"/>
      <c r="AO83" s="16"/>
      <c r="AP83" s="16"/>
      <c r="AQ83" s="16"/>
      <c r="AR83" s="16"/>
      <c r="AS83" s="16"/>
      <c r="AT83" s="16"/>
      <c r="AU83" s="16"/>
      <c r="AV83" s="16"/>
      <c r="AW83" s="16"/>
      <c r="AX83" s="16"/>
      <c r="AY83" s="16"/>
      <c r="AZ83" s="16"/>
      <c r="BA83" s="16"/>
      <c r="BB83" s="16"/>
      <c r="BC83" s="16"/>
      <c r="BD83" s="16"/>
      <c r="BE83" s="16"/>
      <c r="BF83" s="16"/>
      <c r="BG83" s="16"/>
      <c r="BH83" s="16"/>
      <c r="BI83" s="16"/>
      <c r="BJ83" s="16"/>
    </row>
    <row r="84" spans="1:62" ht="15" customHeight="1" x14ac:dyDescent="0.2">
      <c r="A84" s="16"/>
      <c r="B84" s="822"/>
      <c r="C84" s="835" t="s">
        <v>556</v>
      </c>
      <c r="D84" s="836"/>
      <c r="E84" s="837"/>
      <c r="F84" s="564">
        <f>_xlfn.STDEV.S('[1]GIQ_R&amp;R'!$C$15:$L$15)</f>
        <v>7.2818896411142546</v>
      </c>
      <c r="G84" s="564" t="s">
        <v>36</v>
      </c>
      <c r="H84" s="561" t="s">
        <v>202</v>
      </c>
      <c r="I84" s="562">
        <f>SQRT(3)</f>
        <v>1.7320508075688772</v>
      </c>
      <c r="J84" s="565">
        <f>F84/I84</f>
        <v>4.2042009445064625</v>
      </c>
      <c r="K84" s="566">
        <v>1</v>
      </c>
      <c r="L84" s="567" t="s">
        <v>34</v>
      </c>
      <c r="M84" s="565">
        <f>J84*K84</f>
        <v>4.2042009445064625</v>
      </c>
      <c r="N84" s="561" t="s">
        <v>181</v>
      </c>
      <c r="O84" s="561">
        <f>M84^4/(IF(N84="∞",100000,N84))</f>
        <v>3.1241642740962253E-3</v>
      </c>
      <c r="P84" s="16"/>
      <c r="Q84" s="16"/>
      <c r="R84" s="821" t="s">
        <v>358</v>
      </c>
      <c r="S84" s="835" t="s">
        <v>542</v>
      </c>
      <c r="T84" s="836"/>
      <c r="U84" s="837"/>
      <c r="V84" s="273">
        <f>Temperatura!$BA$72</f>
        <v>0.12</v>
      </c>
      <c r="W84" s="351" t="s">
        <v>71</v>
      </c>
      <c r="X84" s="561" t="s">
        <v>202</v>
      </c>
      <c r="Y84" s="562">
        <f>SQRT(3)</f>
        <v>1.7320508075688772</v>
      </c>
      <c r="Z84" s="354">
        <f>V84/Y84</f>
        <v>6.9282032302755092E-2</v>
      </c>
      <c r="AA84" s="355">
        <v>1</v>
      </c>
      <c r="AB84" s="351" t="s">
        <v>71</v>
      </c>
      <c r="AC84" s="354">
        <f>Z84*AA84</f>
        <v>6.9282032302755092E-2</v>
      </c>
      <c r="AD84" s="352" t="s">
        <v>181</v>
      </c>
      <c r="AE84" s="352">
        <f>AC84^4/(IF(AD84="∞",100000,AD84))</f>
        <v>2.3040000000000003E-10</v>
      </c>
      <c r="AF84" s="16"/>
      <c r="AG84" s="16"/>
      <c r="AH84" s="16"/>
      <c r="AI84" s="16"/>
      <c r="AJ84" s="16"/>
      <c r="AK84" s="16"/>
      <c r="AL84" s="16"/>
      <c r="AM84" s="16"/>
      <c r="AN84" s="16"/>
      <c r="AO84" s="16"/>
      <c r="AP84" s="16"/>
      <c r="AQ84" s="16"/>
      <c r="AR84" s="16"/>
      <c r="AS84" s="16"/>
      <c r="AT84" s="16"/>
      <c r="AU84" s="16"/>
      <c r="AV84" s="16"/>
      <c r="AW84" s="16"/>
      <c r="AX84" s="16"/>
      <c r="AY84" s="16"/>
      <c r="AZ84" s="16"/>
      <c r="BA84" s="16"/>
      <c r="BB84" s="16"/>
      <c r="BC84" s="16"/>
      <c r="BD84" s="16"/>
      <c r="BE84" s="16"/>
      <c r="BF84" s="16"/>
      <c r="BG84" s="16"/>
      <c r="BH84" s="16"/>
      <c r="BI84" s="16"/>
      <c r="BJ84" s="16"/>
    </row>
    <row r="85" spans="1:62" ht="15" customHeight="1" x14ac:dyDescent="0.2">
      <c r="A85" s="16"/>
      <c r="B85" s="823"/>
      <c r="C85" s="851"/>
      <c r="D85" s="852"/>
      <c r="E85" s="853"/>
      <c r="F85" s="274"/>
      <c r="G85" s="362"/>
      <c r="H85" s="349"/>
      <c r="I85" s="349"/>
      <c r="J85" s="359"/>
      <c r="K85" s="360"/>
      <c r="L85" s="359"/>
      <c r="M85" s="359"/>
      <c r="N85" s="349"/>
      <c r="O85" s="349"/>
      <c r="P85" s="16"/>
      <c r="Q85" s="16"/>
      <c r="R85" s="822"/>
      <c r="S85" s="824" t="s">
        <v>447</v>
      </c>
      <c r="T85" s="825"/>
      <c r="U85" s="826"/>
      <c r="V85" s="273">
        <f>IFERROR(IF(Resumo!$F$9="Manual","",IF(Resumo!$F$9="Software",Temperatura!$AI$15,"")),"")</f>
        <v>2.403219140675E-2</v>
      </c>
      <c r="W85" s="351" t="s">
        <v>71</v>
      </c>
      <c r="X85" s="561" t="s">
        <v>541</v>
      </c>
      <c r="Y85" s="562">
        <f>IFERROR(IF(Resumo!$F$9="Manual","",IF(Resumo!$F$9="Software",SQRT(COUNT(Temperatura!$H$9:$H$3608)),"")),"")</f>
        <v>26.851443164195103</v>
      </c>
      <c r="Z85" s="354">
        <f>IFERROR(IF(Resumo!$F$9="Manual","",IF(Resumo!$F$9="Software",V85/Y85,"")),"")</f>
        <v>8.9500557790486213E-4</v>
      </c>
      <c r="AA85" s="355">
        <f>IFERROR(IF(Resumo!$F$9="Manual","",IF(Resumo!$F$9="Software",1,"")),"")</f>
        <v>1</v>
      </c>
      <c r="AB85" s="351" t="s">
        <v>71</v>
      </c>
      <c r="AC85" s="354">
        <f>IFERROR(IF(Resumo!$F$9="Manual","",IF(Resumo!$F$9="Software",Z85*AA85,"")),"")</f>
        <v>8.9500557790486213E-4</v>
      </c>
      <c r="AD85" s="352">
        <f>IFERROR(IF(Resumo!$F$9="Manual","",IF(Resumo!$F$9="Software",COUNT(Temperatura!$B$9:$B$3608)-1,"")),"")</f>
        <v>720</v>
      </c>
      <c r="AE85" s="352">
        <f>IFERROR(IF(Resumo!$F$9="Manual","",IF(Resumo!$F$9="Software",AC85^4/(IF(AD85="∞",100000,AD85)),"")),"")</f>
        <v>8.9119034216969657E-16</v>
      </c>
      <c r="AF85" s="16"/>
      <c r="AG85" s="16"/>
      <c r="AH85" s="16"/>
      <c r="AI85" s="16"/>
      <c r="AJ85" s="16"/>
      <c r="AK85" s="16"/>
      <c r="AL85" s="16"/>
      <c r="AM85" s="16"/>
      <c r="AN85" s="16"/>
      <c r="AO85" s="16"/>
      <c r="AP85" s="16"/>
      <c r="AQ85" s="16"/>
      <c r="AR85" s="16"/>
      <c r="AS85" s="16"/>
      <c r="AT85" s="16"/>
      <c r="AU85" s="16"/>
      <c r="AV85" s="16"/>
      <c r="AW85" s="16"/>
      <c r="AX85" s="16"/>
      <c r="AY85" s="16"/>
      <c r="AZ85" s="16"/>
      <c r="BA85" s="16"/>
      <c r="BB85" s="16"/>
      <c r="BC85" s="16"/>
      <c r="BD85" s="16"/>
      <c r="BE85" s="16"/>
      <c r="BF85" s="16"/>
      <c r="BG85" s="16"/>
      <c r="BH85" s="16"/>
      <c r="BI85" s="16"/>
      <c r="BJ85" s="16"/>
    </row>
    <row r="86" spans="1:62" ht="15" customHeight="1" thickBot="1" x14ac:dyDescent="0.3">
      <c r="A86" s="16"/>
      <c r="B86" s="164"/>
      <c r="C86" s="519"/>
      <c r="D86" s="271"/>
      <c r="E86" s="164"/>
      <c r="F86" s="164"/>
      <c r="G86" s="164"/>
      <c r="H86" s="164"/>
      <c r="I86" s="164"/>
      <c r="J86" s="164"/>
      <c r="K86" s="164"/>
      <c r="L86" s="164"/>
      <c r="M86" s="164"/>
      <c r="N86" s="164"/>
      <c r="O86" s="164"/>
      <c r="P86" s="16"/>
      <c r="Q86" s="16"/>
      <c r="R86" s="822"/>
      <c r="S86" s="835" t="s">
        <v>178</v>
      </c>
      <c r="T86" s="836"/>
      <c r="U86" s="837"/>
      <c r="V86" s="563">
        <f>0.01/2</f>
        <v>5.0000000000000001E-3</v>
      </c>
      <c r="W86" s="580" t="s">
        <v>71</v>
      </c>
      <c r="X86" s="561" t="s">
        <v>202</v>
      </c>
      <c r="Y86" s="562">
        <f>SQRT(3)</f>
        <v>1.7320508075688772</v>
      </c>
      <c r="Z86" s="603">
        <f>IFERROR(IF(Resumo!$F$9="Manual","",IF(Resumo!$F$9="Software",V86/Y86,"")),"")</f>
        <v>2.886751345948129E-3</v>
      </c>
      <c r="AA86" s="604">
        <f>IFERROR(IF(Resumo!$F$9="Manual","",IF(Resumo!$F$9="Software",1,"")),"")</f>
        <v>1</v>
      </c>
      <c r="AB86" s="580" t="s">
        <v>71</v>
      </c>
      <c r="AC86" s="603">
        <f>IFERROR(IF(Resumo!$F$9="Manual","",IF(Resumo!$F$9="Software",Z86*AA86,"")),"")</f>
        <v>2.886751345948129E-3</v>
      </c>
      <c r="AD86" s="575">
        <f>IFERROR(IF(Resumo!$F$9="Manual","",IF(Resumo!$F$9="Software",COUNT(Temperatura!$B$9:$B$3608)-1,"")),"")</f>
        <v>720</v>
      </c>
      <c r="AE86" s="575">
        <f>IFERROR(IF(Resumo!$F$9="Manual","",IF(Resumo!$F$9="Software",AC86^4/(IF(AD86="∞",100000,AD86)),"")),"")</f>
        <v>9.6450617283950626E-14</v>
      </c>
      <c r="AF86" s="16"/>
      <c r="AG86" s="16"/>
      <c r="AH86" s="16"/>
      <c r="AI86" s="16"/>
      <c r="AJ86" s="16"/>
      <c r="AK86" s="16"/>
      <c r="AL86" s="16"/>
      <c r="AM86" s="16"/>
      <c r="AN86" s="16"/>
      <c r="AO86" s="16"/>
      <c r="AP86" s="16"/>
      <c r="AQ86" s="16"/>
      <c r="AR86" s="16"/>
      <c r="AS86" s="16"/>
      <c r="AT86" s="16"/>
      <c r="AU86" s="16"/>
      <c r="AV86" s="16"/>
      <c r="AW86" s="16"/>
      <c r="AX86" s="16"/>
      <c r="AY86" s="16"/>
      <c r="AZ86" s="16"/>
      <c r="BA86" s="16"/>
      <c r="BB86" s="16"/>
      <c r="BC86" s="16"/>
      <c r="BD86" s="16"/>
      <c r="BE86" s="16"/>
      <c r="BF86" s="16"/>
      <c r="BG86" s="16"/>
      <c r="BH86" s="16"/>
      <c r="BI86" s="16"/>
      <c r="BJ86" s="16"/>
    </row>
    <row r="87" spans="1:62" ht="15" customHeight="1" thickTop="1" thickBot="1" x14ac:dyDescent="0.3">
      <c r="A87" s="16"/>
      <c r="B87" s="812" t="s">
        <v>552</v>
      </c>
      <c r="C87" s="587" t="s">
        <v>545</v>
      </c>
      <c r="D87" s="588">
        <f>(1-0.914)/(35-29)</f>
        <v>1.4333333333333328E-2</v>
      </c>
      <c r="E87" s="589"/>
      <c r="F87" s="164"/>
      <c r="G87" s="363" t="s">
        <v>183</v>
      </c>
      <c r="H87" s="364">
        <v>0.95450000000000002</v>
      </c>
      <c r="I87" s="363" t="s">
        <v>184</v>
      </c>
      <c r="J87" s="391">
        <f>TINV(1-H87,IF(N87="∞",100000,N87))</f>
        <v>2.0000274442871735</v>
      </c>
      <c r="K87" s="363"/>
      <c r="L87" s="363" t="s">
        <v>185</v>
      </c>
      <c r="M87" s="391">
        <f>SQRT(SUMSQ(M81:M85))</f>
        <v>4.2043080810411766</v>
      </c>
      <c r="N87" s="365" t="str">
        <f>IF((M87^4/O87)&gt;100000,"∞",(M87^4/O87))</f>
        <v>∞</v>
      </c>
      <c r="O87" s="363">
        <f>SUM(O81:O85)</f>
        <v>3.1241642810852892E-3</v>
      </c>
      <c r="P87" s="16"/>
      <c r="Q87" s="16"/>
      <c r="R87" s="822"/>
      <c r="S87" s="818"/>
      <c r="T87" s="819"/>
      <c r="U87" s="820"/>
      <c r="V87" s="361"/>
      <c r="W87" s="362"/>
      <c r="X87" s="349"/>
      <c r="Y87" s="606"/>
      <c r="Z87" s="359"/>
      <c r="AA87" s="360"/>
      <c r="AB87" s="359"/>
      <c r="AC87" s="359"/>
      <c r="AD87" s="349"/>
      <c r="AE87" s="349"/>
      <c r="AF87" s="16"/>
      <c r="AG87" s="16"/>
      <c r="AH87" s="16"/>
      <c r="AI87" s="16"/>
      <c r="AJ87" s="16"/>
      <c r="AK87" s="16"/>
      <c r="AL87" s="16"/>
      <c r="AM87" s="16"/>
      <c r="AN87" s="16"/>
      <c r="AO87" s="16"/>
      <c r="AP87" s="16"/>
      <c r="AQ87" s="16"/>
      <c r="AR87" s="16"/>
      <c r="AS87" s="16"/>
      <c r="AT87" s="16"/>
      <c r="AU87" s="16"/>
      <c r="AV87" s="16"/>
      <c r="AW87" s="16"/>
      <c r="AX87" s="16"/>
      <c r="AY87" s="16"/>
      <c r="AZ87" s="16"/>
      <c r="BA87" s="16"/>
      <c r="BB87" s="16"/>
      <c r="BC87" s="16"/>
      <c r="BD87" s="16"/>
      <c r="BE87" s="16"/>
      <c r="BF87" s="16"/>
      <c r="BG87" s="16"/>
      <c r="BH87" s="16"/>
      <c r="BI87" s="16"/>
      <c r="BJ87" s="16"/>
    </row>
    <row r="88" spans="1:62" ht="15" customHeight="1" thickTop="1" thickBot="1" x14ac:dyDescent="0.3">
      <c r="A88" s="16"/>
      <c r="B88" s="813"/>
      <c r="C88" s="590" t="s">
        <v>546</v>
      </c>
      <c r="D88" s="583">
        <f>0.914-D87*29</f>
        <v>0.49833333333333352</v>
      </c>
      <c r="E88" s="591"/>
      <c r="F88" s="44"/>
      <c r="G88" s="44"/>
      <c r="H88" s="44"/>
      <c r="I88" s="44"/>
      <c r="J88" s="44"/>
      <c r="K88" s="45"/>
      <c r="L88" s="46"/>
      <c r="M88" s="46"/>
      <c r="N88" s="46"/>
      <c r="O88" s="44"/>
      <c r="P88" s="16"/>
      <c r="Q88" s="16"/>
      <c r="R88" s="823"/>
      <c r="S88" s="818"/>
      <c r="T88" s="819"/>
      <c r="U88" s="820"/>
      <c r="V88" s="274"/>
      <c r="W88" s="362"/>
      <c r="X88" s="349"/>
      <c r="Y88" s="605"/>
      <c r="Z88" s="359"/>
      <c r="AA88" s="360"/>
      <c r="AB88" s="359"/>
      <c r="AC88" s="359"/>
      <c r="AD88" s="349"/>
      <c r="AE88" s="349"/>
      <c r="AF88" s="16"/>
      <c r="AG88" s="16"/>
      <c r="AH88" s="16"/>
      <c r="AI88" s="16"/>
      <c r="AJ88" s="16"/>
      <c r="AK88" s="16"/>
      <c r="AL88" s="16"/>
      <c r="AM88" s="16"/>
      <c r="AN88" s="16"/>
      <c r="AO88" s="16"/>
      <c r="AP88" s="16"/>
      <c r="AQ88" s="16"/>
      <c r="AR88" s="16"/>
      <c r="AS88" s="16"/>
      <c r="AT88" s="16"/>
      <c r="AU88" s="16"/>
      <c r="AV88" s="16"/>
      <c r="AW88" s="16"/>
      <c r="AX88" s="16"/>
      <c r="AY88" s="16"/>
      <c r="AZ88" s="16"/>
      <c r="BA88" s="16"/>
      <c r="BB88" s="16"/>
      <c r="BC88" s="16"/>
      <c r="BD88" s="16"/>
      <c r="BE88" s="16"/>
      <c r="BF88" s="16"/>
      <c r="BG88" s="16"/>
      <c r="BH88" s="16"/>
      <c r="BI88" s="16"/>
      <c r="BJ88" s="16"/>
    </row>
    <row r="89" spans="1:62" ht="15" customHeight="1" thickTop="1" thickBot="1" x14ac:dyDescent="0.3">
      <c r="A89" s="16"/>
      <c r="B89" s="813"/>
      <c r="C89" s="592"/>
      <c r="D89" s="592"/>
      <c r="E89" s="591"/>
      <c r="F89" s="44"/>
      <c r="G89" s="44"/>
      <c r="H89" s="44"/>
      <c r="I89" s="44"/>
      <c r="J89" s="44"/>
      <c r="K89" s="47"/>
      <c r="L89" s="48" t="s">
        <v>186</v>
      </c>
      <c r="M89" s="49" t="str">
        <f>IF(ROUNDUP(M87*J87,6)&lt;0.0001,FIXED(ROUNDUP(M87*J87*1,6),6),IF(ROUNDUP(M87*J87,5)&lt;0.001,FIXED(ROUNDUP(M87*J87*1,5),5),IF(ROUNDUP(M87*J87,4)&lt;0.01,FIXED(ROUNDUP(M87*J87*1,4),4),IF(ROUNDUP(M87*J87,3)&lt;0.1,FIXED(ROUNDUP(M87*J87*1,3),3),IF(ROUNDUP(M87*J87,2)&lt;1,FIXED(ROUNDUP(M87*J87*1,2),2),IF(ROUNDUP(M87*J87,1)&lt;10,FIXED(ROUNDUP(M87*J87*1,1),1),IF(M87*J87&lt;100,FIXED(M87*J87*1,0),"IM ALTA")))))))</f>
        <v>8,5</v>
      </c>
      <c r="N89" s="78" t="s">
        <v>36</v>
      </c>
      <c r="O89" s="44"/>
      <c r="P89" s="16"/>
      <c r="Q89" s="16"/>
      <c r="R89" s="164"/>
      <c r="S89" s="164"/>
      <c r="T89" s="164"/>
      <c r="U89" s="164"/>
      <c r="V89" s="164"/>
      <c r="W89" s="164"/>
      <c r="X89" s="164"/>
      <c r="Y89" s="607"/>
      <c r="Z89" s="164"/>
      <c r="AA89" s="164"/>
      <c r="AB89" s="164"/>
      <c r="AC89" s="164"/>
      <c r="AD89" s="164"/>
      <c r="AE89" s="164"/>
      <c r="AF89" s="16"/>
      <c r="AG89" s="16"/>
      <c r="AH89" s="16"/>
      <c r="AI89" s="16"/>
      <c r="AJ89" s="16"/>
      <c r="AK89" s="16"/>
      <c r="AL89" s="16"/>
      <c r="AM89" s="16"/>
      <c r="AN89" s="16"/>
      <c r="AO89" s="16"/>
      <c r="AP89" s="16"/>
      <c r="AQ89" s="16"/>
      <c r="AR89" s="16"/>
      <c r="AS89" s="16"/>
      <c r="AT89" s="16"/>
      <c r="AU89" s="16"/>
      <c r="AV89" s="16"/>
      <c r="AW89" s="16"/>
      <c r="AX89" s="16"/>
      <c r="AY89" s="16"/>
      <c r="AZ89" s="16"/>
      <c r="BA89" s="16"/>
      <c r="BB89" s="16"/>
      <c r="BC89" s="16"/>
      <c r="BD89" s="16"/>
      <c r="BE89" s="16"/>
      <c r="BF89" s="16"/>
    </row>
    <row r="90" spans="1:62" ht="15" customHeight="1" thickTop="1" thickBot="1" x14ac:dyDescent="0.3">
      <c r="A90" s="16"/>
      <c r="B90" s="813"/>
      <c r="C90" s="593" t="s">
        <v>547</v>
      </c>
      <c r="D90" s="594">
        <f>($D$87*(35-0.5)+$D$88)*Pressão!G23</f>
        <v>0.98052220000000001</v>
      </c>
      <c r="E90" s="595"/>
      <c r="F90" s="16"/>
      <c r="G90" s="16"/>
      <c r="H90" s="16"/>
      <c r="I90" s="16"/>
      <c r="J90" s="16"/>
      <c r="K90" s="16"/>
      <c r="L90" s="16"/>
      <c r="M90" s="16"/>
      <c r="N90" s="16"/>
      <c r="O90" s="16"/>
      <c r="P90" s="16"/>
      <c r="Q90" s="16"/>
      <c r="R90" s="164"/>
      <c r="S90" s="164"/>
      <c r="T90" s="164"/>
      <c r="U90" s="164"/>
      <c r="V90" s="164"/>
      <c r="W90" s="363" t="s">
        <v>183</v>
      </c>
      <c r="X90" s="364">
        <v>0.95450000000000002</v>
      </c>
      <c r="Y90" s="608" t="s">
        <v>184</v>
      </c>
      <c r="Z90" s="365">
        <f>TINV(1-X90,IF(AD90="∞",100000,AD90))</f>
        <v>2.0000274442871735</v>
      </c>
      <c r="AA90" s="363"/>
      <c r="AB90" s="363" t="s">
        <v>185</v>
      </c>
      <c r="AC90" s="366">
        <f>SQRT(SUMSQ(AC84:AC88))</f>
        <v>6.9347922595545813E-2</v>
      </c>
      <c r="AD90" s="365" t="str">
        <f>IF((AC90^4/AE90)&gt;100000,"∞",(AC90^4/AE90))</f>
        <v>∞</v>
      </c>
      <c r="AE90" s="363">
        <f>SUM(AE84:AE88)</f>
        <v>2.3049734180762616E-10</v>
      </c>
      <c r="AF90" s="16"/>
      <c r="AG90" s="16"/>
      <c r="AH90" s="16"/>
      <c r="AI90" s="16"/>
      <c r="AJ90" s="16"/>
      <c r="AK90" s="16"/>
      <c r="AL90" s="16"/>
      <c r="AM90" s="16"/>
      <c r="AN90" s="16"/>
      <c r="AO90" s="16"/>
      <c r="AP90" s="16"/>
      <c r="AQ90" s="16"/>
      <c r="AR90" s="16"/>
      <c r="AS90" s="16"/>
      <c r="AT90" s="16"/>
      <c r="AU90" s="16"/>
      <c r="AV90" s="16"/>
      <c r="AW90" s="16"/>
      <c r="AX90" s="16"/>
      <c r="AY90" s="16"/>
      <c r="AZ90" s="16"/>
      <c r="BA90" s="16"/>
      <c r="BB90" s="16"/>
      <c r="BC90" s="16"/>
      <c r="BD90" s="16"/>
      <c r="BE90" s="16"/>
      <c r="BF90" s="16"/>
    </row>
    <row r="91" spans="1:62" ht="15" customHeight="1" thickTop="1" thickBot="1" x14ac:dyDescent="0.3">
      <c r="A91" s="16"/>
      <c r="B91" s="813"/>
      <c r="C91" s="593" t="s">
        <v>548</v>
      </c>
      <c r="D91" s="594">
        <f>($D$87*(35+0.5)+$D$88)*Pressão!G23</f>
        <v>0.99467779999999995</v>
      </c>
      <c r="E91" s="595"/>
      <c r="F91" s="16"/>
      <c r="G91" s="16"/>
      <c r="H91" s="16"/>
      <c r="I91" s="16"/>
      <c r="J91" s="16"/>
      <c r="K91" s="16"/>
      <c r="L91" s="16"/>
      <c r="M91" s="16"/>
      <c r="N91" s="16"/>
      <c r="O91" s="16"/>
      <c r="P91" s="16"/>
      <c r="Q91" s="16"/>
      <c r="R91" s="164"/>
      <c r="S91" s="164"/>
      <c r="T91" s="164"/>
      <c r="U91" s="164"/>
      <c r="V91" s="164"/>
      <c r="W91" s="420"/>
      <c r="X91" s="599"/>
      <c r="Y91" s="610"/>
      <c r="Z91" s="600"/>
      <c r="AA91" s="45"/>
      <c r="AB91" s="46"/>
      <c r="AC91" s="46"/>
      <c r="AD91" s="46"/>
      <c r="AE91" s="420"/>
      <c r="AF91" s="16"/>
      <c r="AG91" s="16"/>
      <c r="AH91" s="16"/>
      <c r="AI91" s="16"/>
      <c r="AJ91" s="16"/>
      <c r="AK91" s="16"/>
      <c r="AL91" s="16"/>
      <c r="AM91" s="16"/>
      <c r="AN91" s="16"/>
      <c r="AO91" s="16"/>
      <c r="AP91" s="16"/>
      <c r="AQ91" s="16"/>
      <c r="AR91" s="16"/>
      <c r="AS91" s="16"/>
      <c r="AT91" s="16"/>
      <c r="AU91" s="16"/>
      <c r="AV91" s="16"/>
      <c r="AW91" s="16"/>
      <c r="AX91" s="16"/>
      <c r="AY91" s="16"/>
      <c r="AZ91" s="16"/>
      <c r="BA91" s="16"/>
      <c r="BB91" s="16"/>
      <c r="BC91" s="16"/>
      <c r="BD91" s="16"/>
      <c r="BE91" s="16"/>
      <c r="BF91" s="16"/>
    </row>
    <row r="92" spans="1:62" ht="15" customHeight="1" thickTop="1" thickBot="1" x14ac:dyDescent="0.3">
      <c r="A92" s="16"/>
      <c r="B92" s="814"/>
      <c r="C92" s="596" t="s">
        <v>549</v>
      </c>
      <c r="D92" s="597">
        <f>D91-D90</f>
        <v>1.4155599999999935E-2</v>
      </c>
      <c r="E92" s="598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44"/>
      <c r="S92" s="44"/>
      <c r="T92" s="44"/>
      <c r="U92" s="44"/>
      <c r="V92" s="44"/>
      <c r="W92" s="44"/>
      <c r="X92" s="44"/>
      <c r="Y92" s="592"/>
      <c r="Z92" s="44"/>
      <c r="AA92" s="47"/>
      <c r="AB92" s="48" t="s">
        <v>186</v>
      </c>
      <c r="AC92" s="49" t="str">
        <f>IF(ROUNDUP(AC90*Z90,6)&lt;0.0001,FIXED(ROUNDUP(AC90*Z90*1,6),6),IF(ROUNDUP(AC90*Z90,5)&lt;0.001,FIXED(ROUNDUP(AC90*Z90*1,5),5),IF(ROUNDUP(AC90*Z90,4)&lt;0.01,FIXED(ROUNDUP(AC90*Z90*1,4),4),IF(ROUNDUP(AC90*Z90,3)&lt;0.1,FIXED(ROUNDUP(AC90*Z90*1,3),3),IF(ROUNDUP(AC90*Z90,2)&lt;1,FIXED(ROUNDUP(AC90*Z90*1,2),2),IF(ROUNDUP(AC90*Z90,1)&lt;10,FIXED(ROUNDUP(AC90*Z90*1,1),1),IF(AC90*Z90&lt;100,FIXED(AC90*Z90*1,0),"IM ALTA")))))))</f>
        <v>0,14</v>
      </c>
      <c r="AD92" s="50" t="s">
        <v>71</v>
      </c>
      <c r="AE92" s="44"/>
      <c r="AF92" s="16"/>
      <c r="AG92" s="16"/>
      <c r="AH92" s="16"/>
      <c r="AI92" s="16"/>
      <c r="AJ92" s="16"/>
      <c r="AK92" s="16"/>
      <c r="AL92" s="16"/>
      <c r="AM92" s="16"/>
      <c r="AN92" s="16"/>
      <c r="AO92" s="16"/>
      <c r="AP92" s="16"/>
      <c r="AQ92" s="16"/>
      <c r="AR92" s="16"/>
      <c r="AS92" s="16"/>
      <c r="AT92" s="16"/>
      <c r="AU92" s="16"/>
      <c r="AV92" s="16"/>
      <c r="AW92" s="16"/>
      <c r="AX92" s="16"/>
      <c r="AY92" s="16"/>
      <c r="AZ92" s="16"/>
      <c r="BA92" s="16"/>
      <c r="BB92" s="16"/>
      <c r="BC92" s="16"/>
      <c r="BD92" s="16"/>
      <c r="BE92" s="16"/>
      <c r="BF92" s="16"/>
    </row>
    <row r="93" spans="1:62" ht="15" customHeight="1" thickTop="1" x14ac:dyDescent="0.25">
      <c r="A93" s="16"/>
      <c r="B93" s="16"/>
      <c r="C93" s="16"/>
      <c r="D93" s="16"/>
      <c r="E93" s="16"/>
      <c r="F93" s="16"/>
      <c r="G93" s="16"/>
      <c r="H93" s="16"/>
      <c r="I93" s="16"/>
      <c r="J93" s="16"/>
      <c r="K93" s="16"/>
      <c r="L93" s="16"/>
      <c r="M93" s="16"/>
      <c r="N93" s="16"/>
      <c r="O93" s="16"/>
      <c r="P93" s="16"/>
      <c r="Q93" s="16"/>
      <c r="R93" s="44"/>
      <c r="S93" s="44"/>
      <c r="T93" s="44"/>
      <c r="U93" s="44"/>
      <c r="V93" s="44"/>
      <c r="W93" s="44"/>
      <c r="X93" s="44"/>
      <c r="Y93" s="592"/>
      <c r="Z93" s="44"/>
      <c r="AA93" s="16"/>
      <c r="AB93" s="16"/>
      <c r="AC93" s="16"/>
      <c r="AD93" s="16"/>
      <c r="AE93" s="44"/>
      <c r="AF93" s="16"/>
      <c r="AG93" s="16"/>
      <c r="AH93" s="16"/>
      <c r="AI93" s="16"/>
      <c r="AJ93" s="16"/>
      <c r="AK93" s="16"/>
      <c r="AL93" s="16"/>
      <c r="AM93" s="16"/>
      <c r="AN93" s="16"/>
      <c r="AO93" s="16"/>
      <c r="AP93" s="16"/>
      <c r="AQ93" s="16"/>
      <c r="AR93" s="16"/>
      <c r="AS93" s="16"/>
      <c r="AT93" s="16"/>
      <c r="AU93" s="16"/>
      <c r="AV93" s="16"/>
      <c r="AW93" s="16"/>
      <c r="AX93" s="16"/>
      <c r="AY93" s="16"/>
      <c r="AZ93" s="16"/>
      <c r="BA93" s="16"/>
      <c r="BB93" s="16"/>
      <c r="BC93" s="16"/>
      <c r="BD93" s="16"/>
      <c r="BE93" s="16"/>
      <c r="BF93" s="16"/>
    </row>
    <row r="94" spans="1:62" ht="15" customHeight="1" x14ac:dyDescent="0.2">
      <c r="A94" s="16"/>
      <c r="B94" s="372" t="s">
        <v>54</v>
      </c>
      <c r="C94" s="841" t="s">
        <v>168</v>
      </c>
      <c r="D94" s="842"/>
      <c r="E94" s="843"/>
      <c r="F94" s="372" t="s">
        <v>169</v>
      </c>
      <c r="G94" s="372" t="s">
        <v>65</v>
      </c>
      <c r="H94" s="372" t="s">
        <v>170</v>
      </c>
      <c r="I94" s="372" t="s">
        <v>171</v>
      </c>
      <c r="J94" s="372" t="s">
        <v>172</v>
      </c>
      <c r="K94" s="372" t="s">
        <v>173</v>
      </c>
      <c r="L94" s="372" t="s">
        <v>65</v>
      </c>
      <c r="M94" s="372" t="s">
        <v>174</v>
      </c>
      <c r="N94" s="372" t="s">
        <v>175</v>
      </c>
      <c r="O94" s="372" t="s">
        <v>176</v>
      </c>
      <c r="P94" s="16"/>
      <c r="Q94" s="16"/>
      <c r="R94" s="16"/>
      <c r="S94" s="16"/>
      <c r="T94" s="16"/>
      <c r="U94" s="16"/>
      <c r="V94" s="16"/>
      <c r="W94" s="16"/>
      <c r="X94" s="16"/>
      <c r="Y94" s="583"/>
      <c r="Z94" s="16"/>
      <c r="AE94" s="16"/>
      <c r="AF94" s="16"/>
      <c r="AG94" s="16"/>
      <c r="AH94" s="16"/>
      <c r="AI94" s="16"/>
      <c r="AJ94" s="16"/>
      <c r="AK94" s="16"/>
      <c r="AL94" s="16"/>
      <c r="AM94" s="16"/>
      <c r="AN94" s="16"/>
      <c r="AO94" s="16"/>
      <c r="AP94" s="16"/>
      <c r="AQ94" s="16"/>
      <c r="AR94" s="16"/>
      <c r="AS94" s="16"/>
      <c r="AT94" s="16"/>
      <c r="AU94" s="16"/>
      <c r="AV94" s="16"/>
      <c r="AW94" s="16"/>
      <c r="AX94" s="16"/>
      <c r="AY94" s="16"/>
      <c r="AZ94" s="16"/>
      <c r="BA94" s="16"/>
      <c r="BB94" s="16"/>
      <c r="BC94" s="16"/>
      <c r="BD94" s="16"/>
      <c r="BE94" s="16"/>
      <c r="BF94" s="16"/>
    </row>
    <row r="95" spans="1:62" ht="15" customHeight="1" x14ac:dyDescent="0.25">
      <c r="A95" s="16"/>
      <c r="B95" s="821" t="s">
        <v>356</v>
      </c>
      <c r="C95" s="829" t="s">
        <v>446</v>
      </c>
      <c r="D95" s="830"/>
      <c r="E95" s="831"/>
      <c r="F95" s="273">
        <f>IF(Resumo!$J$39="","",Resumo!$J$39)</f>
        <v>4</v>
      </c>
      <c r="G95" s="351" t="s">
        <v>216</v>
      </c>
      <c r="H95" s="352" t="s">
        <v>202</v>
      </c>
      <c r="I95" s="353">
        <f>SQRT(3)</f>
        <v>1.7320508075688772</v>
      </c>
      <c r="J95" s="354">
        <f>F95/I95</f>
        <v>2.3094010767585034</v>
      </c>
      <c r="K95" s="355">
        <v>1</v>
      </c>
      <c r="L95" s="351" t="s">
        <v>216</v>
      </c>
      <c r="M95" s="354">
        <f>J95*K95</f>
        <v>2.3094010767585034</v>
      </c>
      <c r="N95" s="352" t="s">
        <v>181</v>
      </c>
      <c r="O95" s="352">
        <f>M95^4/(IF(N95="∞",100000,N95))</f>
        <v>2.8444444444444459E-4</v>
      </c>
      <c r="P95" s="16"/>
      <c r="Q95" s="16"/>
      <c r="R95" s="54" t="s">
        <v>210</v>
      </c>
      <c r="S95" s="44"/>
      <c r="T95" s="44"/>
      <c r="U95" s="55"/>
      <c r="V95" s="44"/>
      <c r="W95" s="44"/>
      <c r="X95" s="44"/>
      <c r="Y95" s="592"/>
      <c r="Z95" s="44"/>
      <c r="AE95" s="44"/>
      <c r="AF95" s="16"/>
      <c r="AG95" s="16"/>
      <c r="AH95" s="16"/>
      <c r="AI95" s="16"/>
      <c r="AJ95" s="16"/>
      <c r="AK95" s="16"/>
      <c r="AL95" s="16"/>
      <c r="AM95" s="16"/>
      <c r="AN95" s="16"/>
      <c r="AO95" s="16"/>
      <c r="AP95" s="16"/>
      <c r="AQ95" s="16"/>
      <c r="AR95" s="16"/>
      <c r="AS95" s="16"/>
      <c r="AT95" s="16"/>
      <c r="AU95" s="16"/>
      <c r="AV95" s="16"/>
      <c r="AW95" s="16"/>
      <c r="AX95" s="16"/>
      <c r="AY95" s="16"/>
      <c r="AZ95" s="16"/>
      <c r="BA95" s="16"/>
      <c r="BB95" s="16"/>
      <c r="BC95" s="16"/>
      <c r="BD95" s="16"/>
      <c r="BE95" s="16"/>
      <c r="BF95" s="16"/>
    </row>
    <row r="96" spans="1:62" ht="15" customHeight="1" x14ac:dyDescent="0.25">
      <c r="A96" s="16"/>
      <c r="B96" s="827"/>
      <c r="C96" s="824" t="s">
        <v>178</v>
      </c>
      <c r="D96" s="825"/>
      <c r="E96" s="826"/>
      <c r="F96" s="350">
        <f>IF(Resumo!$D$39="","",Resumo!$D$39/2)</f>
        <v>0.5</v>
      </c>
      <c r="G96" s="351" t="s">
        <v>216</v>
      </c>
      <c r="H96" s="352" t="s">
        <v>202</v>
      </c>
      <c r="I96" s="353">
        <f>SQRT(3)</f>
        <v>1.7320508075688772</v>
      </c>
      <c r="J96" s="354">
        <f>F96/I96</f>
        <v>0.28867513459481292</v>
      </c>
      <c r="K96" s="355">
        <v>1</v>
      </c>
      <c r="L96" s="351" t="s">
        <v>216</v>
      </c>
      <c r="M96" s="354">
        <f>J96*K96</f>
        <v>0.28867513459481292</v>
      </c>
      <c r="N96" s="352" t="s">
        <v>181</v>
      </c>
      <c r="O96" s="352">
        <f>M96^4/(IF(N96="∞",100000,N96))</f>
        <v>6.944444444444448E-8</v>
      </c>
      <c r="P96" s="16"/>
      <c r="Q96" s="16"/>
      <c r="R96" s="44"/>
      <c r="S96" s="16"/>
      <c r="T96" s="56" t="s">
        <v>211</v>
      </c>
      <c r="U96" s="44"/>
      <c r="V96" s="16">
        <v>5</v>
      </c>
      <c r="W96" s="44" t="s">
        <v>71</v>
      </c>
      <c r="X96" s="44"/>
      <c r="Y96" s="592"/>
      <c r="Z96" s="44"/>
      <c r="AE96" s="44"/>
      <c r="AF96" s="16"/>
      <c r="AG96" s="16"/>
      <c r="AH96" s="16"/>
      <c r="AI96" s="16"/>
      <c r="AJ96" s="16"/>
      <c r="AK96" s="16"/>
      <c r="AL96" s="16"/>
      <c r="AM96" s="16"/>
      <c r="AN96" s="16"/>
      <c r="AO96" s="16"/>
      <c r="AP96" s="16"/>
      <c r="AQ96" s="16"/>
      <c r="AR96" s="16"/>
      <c r="AS96" s="16"/>
      <c r="AT96" s="16"/>
      <c r="AU96" s="16"/>
      <c r="AV96" s="16"/>
      <c r="AW96" s="16"/>
      <c r="AX96" s="16"/>
      <c r="AY96" s="16"/>
      <c r="AZ96" s="16"/>
      <c r="BA96" s="16"/>
      <c r="BB96" s="16"/>
      <c r="BC96" s="16"/>
      <c r="BD96" s="16"/>
      <c r="BE96" s="16"/>
      <c r="BF96" s="16"/>
      <c r="BG96" s="16"/>
      <c r="BH96" s="16"/>
      <c r="BI96" s="16"/>
      <c r="BJ96" s="16"/>
    </row>
    <row r="97" spans="1:62" ht="15" customHeight="1" x14ac:dyDescent="0.2">
      <c r="A97" s="16"/>
      <c r="B97" s="827"/>
      <c r="C97" s="855"/>
      <c r="D97" s="856"/>
      <c r="E97" s="857"/>
      <c r="F97" s="385"/>
      <c r="G97" s="376"/>
      <c r="H97" s="372"/>
      <c r="I97" s="377"/>
      <c r="J97" s="378"/>
      <c r="K97" s="379"/>
      <c r="L97" s="378"/>
      <c r="M97" s="378"/>
      <c r="N97" s="372"/>
      <c r="O97" s="372"/>
      <c r="P97" s="16"/>
      <c r="Q97" s="16"/>
      <c r="R97" s="16"/>
      <c r="S97" s="16"/>
      <c r="T97" s="56" t="s">
        <v>212</v>
      </c>
      <c r="U97" s="16"/>
      <c r="V97" s="16">
        <v>40</v>
      </c>
      <c r="W97" s="56" t="s">
        <v>71</v>
      </c>
      <c r="X97" s="16"/>
      <c r="Y97" s="583"/>
      <c r="Z97" s="16"/>
      <c r="AE97" s="16"/>
      <c r="AF97" s="16"/>
      <c r="AG97" s="16"/>
      <c r="AH97" s="16"/>
      <c r="AI97" s="16"/>
      <c r="AJ97" s="16"/>
      <c r="AK97" s="16"/>
      <c r="AL97" s="16"/>
      <c r="AM97" s="16"/>
      <c r="AN97" s="16"/>
      <c r="AO97" s="16"/>
      <c r="AP97" s="16"/>
      <c r="AQ97" s="16"/>
      <c r="AR97" s="16"/>
      <c r="AS97" s="16"/>
      <c r="AT97" s="16"/>
      <c r="AU97" s="16"/>
      <c r="AV97" s="16"/>
      <c r="AW97" s="16"/>
      <c r="AX97" s="16"/>
      <c r="AY97" s="16"/>
      <c r="AZ97" s="16"/>
      <c r="BA97" s="16"/>
      <c r="BB97" s="16"/>
      <c r="BC97" s="16"/>
      <c r="BD97" s="16"/>
      <c r="BE97" s="16"/>
      <c r="BF97" s="16"/>
      <c r="BG97" s="16"/>
      <c r="BH97" s="16"/>
      <c r="BI97" s="16"/>
      <c r="BJ97" s="16"/>
    </row>
    <row r="98" spans="1:62" ht="15" customHeight="1" x14ac:dyDescent="0.2">
      <c r="A98" s="16"/>
      <c r="B98" s="827"/>
      <c r="C98" s="844"/>
      <c r="D98" s="845"/>
      <c r="E98" s="846"/>
      <c r="F98" s="361"/>
      <c r="G98" s="362"/>
      <c r="H98" s="372"/>
      <c r="I98" s="377"/>
      <c r="J98" s="378"/>
      <c r="K98" s="379"/>
      <c r="L98" s="378"/>
      <c r="M98" s="378"/>
      <c r="N98" s="372"/>
      <c r="O98" s="372"/>
      <c r="P98" s="16"/>
      <c r="Q98" s="16"/>
      <c r="R98" s="16"/>
      <c r="S98" s="16"/>
      <c r="T98" s="16"/>
      <c r="U98" s="16"/>
      <c r="V98" s="16"/>
      <c r="W98" s="16"/>
      <c r="X98" s="16"/>
      <c r="Y98" s="583"/>
      <c r="Z98" s="16"/>
      <c r="AA98" s="16"/>
      <c r="AB98" s="16"/>
      <c r="AC98" s="16"/>
      <c r="AD98" s="16"/>
      <c r="AE98" s="16"/>
      <c r="AF98" s="16"/>
      <c r="AG98" s="16"/>
      <c r="AH98" s="16"/>
      <c r="AI98" s="16"/>
      <c r="AJ98" s="16"/>
      <c r="AK98" s="16"/>
      <c r="AL98" s="16"/>
      <c r="AM98" s="16"/>
      <c r="AN98" s="16"/>
      <c r="AO98" s="16"/>
      <c r="AP98" s="16"/>
      <c r="AQ98" s="16"/>
      <c r="AR98" s="16"/>
      <c r="AS98" s="16"/>
      <c r="AT98" s="16"/>
      <c r="AU98" s="16"/>
      <c r="AV98" s="16"/>
      <c r="AW98" s="16"/>
      <c r="AX98" s="16"/>
      <c r="AY98" s="16"/>
      <c r="AZ98" s="16"/>
      <c r="BA98" s="16"/>
      <c r="BB98" s="16"/>
      <c r="BC98" s="16"/>
      <c r="BD98" s="16"/>
      <c r="BE98" s="16"/>
      <c r="BF98" s="16"/>
      <c r="BG98" s="16"/>
      <c r="BH98" s="16"/>
      <c r="BI98" s="16"/>
      <c r="BJ98" s="16"/>
    </row>
    <row r="99" spans="1:62" ht="15" customHeight="1" x14ac:dyDescent="0.2">
      <c r="A99" s="16"/>
      <c r="B99" s="828"/>
      <c r="C99" s="844"/>
      <c r="D99" s="845"/>
      <c r="E99" s="846"/>
      <c r="F99" s="274"/>
      <c r="G99" s="362"/>
      <c r="H99" s="372"/>
      <c r="I99" s="372"/>
      <c r="J99" s="378"/>
      <c r="K99" s="379"/>
      <c r="L99" s="378"/>
      <c r="M99" s="378"/>
      <c r="N99" s="372"/>
      <c r="O99" s="372"/>
      <c r="P99" s="16"/>
      <c r="Q99" s="16"/>
      <c r="R99" s="349" t="s">
        <v>54</v>
      </c>
      <c r="S99" s="815" t="s">
        <v>168</v>
      </c>
      <c r="T99" s="816"/>
      <c r="U99" s="817"/>
      <c r="V99" s="349" t="s">
        <v>169</v>
      </c>
      <c r="W99" s="349" t="s">
        <v>65</v>
      </c>
      <c r="X99" s="349" t="s">
        <v>170</v>
      </c>
      <c r="Y99" s="605" t="s">
        <v>171</v>
      </c>
      <c r="Z99" s="349" t="s">
        <v>172</v>
      </c>
      <c r="AA99" s="349" t="s">
        <v>173</v>
      </c>
      <c r="AB99" s="349" t="s">
        <v>65</v>
      </c>
      <c r="AC99" s="349" t="s">
        <v>174</v>
      </c>
      <c r="AD99" s="349" t="s">
        <v>175</v>
      </c>
      <c r="AE99" s="349" t="s">
        <v>176</v>
      </c>
      <c r="AF99" s="16"/>
      <c r="AG99" s="16"/>
      <c r="AH99" s="16"/>
      <c r="AI99" s="16"/>
      <c r="AJ99" s="16"/>
      <c r="AK99" s="16"/>
      <c r="AL99" s="16"/>
      <c r="AM99" s="16"/>
      <c r="AN99" s="16"/>
      <c r="AO99" s="16"/>
      <c r="AP99" s="16"/>
      <c r="AQ99" s="16"/>
      <c r="AR99" s="16"/>
      <c r="AS99" s="16"/>
      <c r="AT99" s="16"/>
      <c r="AU99" s="16"/>
      <c r="AV99" s="16"/>
      <c r="AW99" s="16"/>
      <c r="AX99" s="16"/>
      <c r="AY99" s="16"/>
      <c r="AZ99" s="16"/>
      <c r="BA99" s="16"/>
      <c r="BB99" s="16"/>
      <c r="BC99" s="16"/>
      <c r="BD99" s="16"/>
      <c r="BE99" s="16"/>
      <c r="BF99" s="16"/>
      <c r="BG99" s="16"/>
      <c r="BH99" s="16"/>
      <c r="BI99" s="16"/>
      <c r="BJ99" s="16"/>
    </row>
    <row r="100" spans="1:62" ht="15" customHeight="1" thickBot="1" x14ac:dyDescent="0.3">
      <c r="A100" s="16"/>
      <c r="B100" s="386"/>
      <c r="C100" s="386"/>
      <c r="D100" s="386"/>
      <c r="E100" s="386"/>
      <c r="F100" s="386"/>
      <c r="G100" s="386"/>
      <c r="H100" s="386"/>
      <c r="I100" s="386"/>
      <c r="J100" s="386"/>
      <c r="K100" s="386"/>
      <c r="L100" s="386"/>
      <c r="M100" s="386"/>
      <c r="N100" s="386"/>
      <c r="O100" s="386"/>
      <c r="P100" s="16"/>
      <c r="Q100" s="16"/>
      <c r="R100" s="821" t="s">
        <v>358</v>
      </c>
      <c r="S100" s="835" t="s">
        <v>542</v>
      </c>
      <c r="T100" s="836"/>
      <c r="U100" s="837"/>
      <c r="V100" s="273">
        <f>Temperatura!$BA$81</f>
        <v>0.12</v>
      </c>
      <c r="W100" s="351" t="s">
        <v>71</v>
      </c>
      <c r="X100" s="561" t="s">
        <v>202</v>
      </c>
      <c r="Y100" s="562">
        <f>SQRT(3)</f>
        <v>1.7320508075688772</v>
      </c>
      <c r="Z100" s="354">
        <f>V100/Y100</f>
        <v>6.9282032302755092E-2</v>
      </c>
      <c r="AA100" s="355">
        <v>1</v>
      </c>
      <c r="AB100" s="351" t="s">
        <v>71</v>
      </c>
      <c r="AC100" s="354">
        <f>Z100*AA100</f>
        <v>6.9282032302755092E-2</v>
      </c>
      <c r="AD100" s="352" t="s">
        <v>181</v>
      </c>
      <c r="AE100" s="352">
        <f>AC100^4/(IF(AD100="∞",100000,AD100))</f>
        <v>2.3040000000000003E-10</v>
      </c>
      <c r="AF100" s="16"/>
      <c r="AG100" s="16"/>
      <c r="AH100" s="16"/>
      <c r="AI100" s="16"/>
      <c r="AJ100" s="16"/>
      <c r="AK100" s="16"/>
      <c r="AL100" s="16"/>
      <c r="AM100" s="16"/>
      <c r="AN100" s="16"/>
      <c r="AO100" s="16"/>
      <c r="AP100" s="16"/>
      <c r="AQ100" s="16"/>
      <c r="AR100" s="16"/>
      <c r="AS100" s="16"/>
      <c r="AT100" s="16"/>
      <c r="AU100" s="16"/>
      <c r="AV100" s="16"/>
      <c r="AW100" s="16"/>
      <c r="AX100" s="16"/>
      <c r="AY100" s="16"/>
      <c r="AZ100" s="16"/>
      <c r="BA100" s="16"/>
      <c r="BB100" s="16"/>
      <c r="BC100" s="16"/>
      <c r="BD100" s="16"/>
      <c r="BE100" s="16"/>
      <c r="BF100" s="16"/>
      <c r="BG100" s="16"/>
      <c r="BH100" s="16"/>
      <c r="BI100" s="16"/>
      <c r="BJ100" s="16"/>
    </row>
    <row r="101" spans="1:62" ht="15" customHeight="1" thickTop="1" thickBot="1" x14ac:dyDescent="0.3">
      <c r="A101" s="16"/>
      <c r="B101" s="386"/>
      <c r="C101" s="386"/>
      <c r="D101" s="386"/>
      <c r="E101" s="386"/>
      <c r="F101" s="386"/>
      <c r="G101" s="387" t="s">
        <v>183</v>
      </c>
      <c r="H101" s="388">
        <v>0.95450000000000002</v>
      </c>
      <c r="I101" s="387" t="s">
        <v>184</v>
      </c>
      <c r="J101" s="389">
        <f>TINV(1-H101,IF(N101="∞",100000,N101))</f>
        <v>2.0000274442871735</v>
      </c>
      <c r="K101" s="387"/>
      <c r="L101" s="387" t="s">
        <v>185</v>
      </c>
      <c r="M101" s="392">
        <f>SQRT(SUMSQ(M95:M99))</f>
        <v>2.3273733406281569</v>
      </c>
      <c r="N101" s="389" t="str">
        <f>IF((M101^4/O101)&gt;100000,"∞",(M101^4/O101))</f>
        <v>∞</v>
      </c>
      <c r="O101" s="387">
        <f>SUM(O95:O99)</f>
        <v>2.8451388888888905E-4</v>
      </c>
      <c r="P101" s="16"/>
      <c r="Q101" s="16"/>
      <c r="R101" s="822"/>
      <c r="S101" s="824" t="s">
        <v>447</v>
      </c>
      <c r="T101" s="825"/>
      <c r="U101" s="826"/>
      <c r="V101" s="273">
        <f>IFERROR(IF(Resumo!$F$9="Manual","",IF(Resumo!$F$9="Software",Temperatura!$AI$16,"")),"")</f>
        <v>2.0936474106343656E-2</v>
      </c>
      <c r="W101" s="351" t="s">
        <v>71</v>
      </c>
      <c r="X101" s="561" t="s">
        <v>541</v>
      </c>
      <c r="Y101" s="562">
        <f>IFERROR(IF(Resumo!$F$9="Manual","",IF(Resumo!$F$9="Software",SQRT(COUNT(Temperatura!$I$9:$I$3608)),"")),"")</f>
        <v>26.851443164195103</v>
      </c>
      <c r="Z101" s="354">
        <f>IFERROR(IF(Resumo!$F$9="Manual","",IF(Resumo!$F$9="Software",V101/Y101,"")),"")</f>
        <v>7.7971504095024856E-4</v>
      </c>
      <c r="AA101" s="355">
        <f>IFERROR(IF(Resumo!$F$9="Manual","",IF(Resumo!$F$9="Software",1,"")),"")</f>
        <v>1</v>
      </c>
      <c r="AB101" s="351" t="s">
        <v>71</v>
      </c>
      <c r="AC101" s="354">
        <f>IFERROR(IF(Resumo!$F$9="Manual","",IF(Resumo!$F$9="Software",Z101*AA101,"")),"")</f>
        <v>7.7971504095024856E-4</v>
      </c>
      <c r="AD101" s="352">
        <f>IFERROR(IF(Resumo!$F$9="Manual","",IF(Resumo!$F$9="Software",COUNT(Temperatura!$B$9:$B$3608)-1,"")),"")</f>
        <v>720</v>
      </c>
      <c r="AE101" s="352">
        <f>IFERROR(IF(Resumo!$F$9="Manual","",IF(Resumo!$F$9="Software",AC101^4/(IF(AD101="∞",100000,AD101)),"")),"")</f>
        <v>5.1334714555339132E-16</v>
      </c>
      <c r="AF101" s="16"/>
      <c r="AG101" s="16"/>
      <c r="AH101" s="16"/>
      <c r="AI101" s="16"/>
      <c r="AJ101" s="16"/>
      <c r="AK101" s="16"/>
      <c r="AL101" s="16"/>
      <c r="AM101" s="16"/>
      <c r="AN101" s="16"/>
      <c r="AO101" s="16"/>
      <c r="AP101" s="16"/>
      <c r="AQ101" s="16"/>
      <c r="AR101" s="16"/>
      <c r="AS101" s="16"/>
      <c r="AT101" s="16"/>
      <c r="AU101" s="16"/>
      <c r="AV101" s="16"/>
      <c r="AW101" s="16"/>
      <c r="AX101" s="16"/>
      <c r="AY101" s="16"/>
      <c r="AZ101" s="16"/>
      <c r="BA101" s="16"/>
      <c r="BB101" s="16"/>
      <c r="BC101" s="16"/>
      <c r="BD101" s="16"/>
      <c r="BE101" s="16"/>
      <c r="BF101" s="16"/>
      <c r="BG101" s="16"/>
      <c r="BH101" s="16"/>
      <c r="BI101" s="16"/>
      <c r="BJ101" s="16"/>
    </row>
    <row r="102" spans="1:62" ht="15" customHeight="1" thickTop="1" thickBot="1" x14ac:dyDescent="0.3">
      <c r="A102" s="16"/>
      <c r="B102" s="73"/>
      <c r="C102" s="73"/>
      <c r="D102" s="73"/>
      <c r="E102" s="73"/>
      <c r="F102" s="73"/>
      <c r="G102" s="73"/>
      <c r="H102" s="73"/>
      <c r="I102" s="73"/>
      <c r="J102" s="73"/>
      <c r="K102" s="74"/>
      <c r="L102" s="75"/>
      <c r="M102" s="75"/>
      <c r="N102" s="75"/>
      <c r="O102" s="73"/>
      <c r="P102" s="16"/>
      <c r="Q102" s="16"/>
      <c r="R102" s="822"/>
      <c r="S102" s="835" t="s">
        <v>178</v>
      </c>
      <c r="T102" s="836"/>
      <c r="U102" s="837"/>
      <c r="V102" s="563">
        <f>0.01/2</f>
        <v>5.0000000000000001E-3</v>
      </c>
      <c r="W102" s="580" t="s">
        <v>71</v>
      </c>
      <c r="X102" s="561" t="s">
        <v>202</v>
      </c>
      <c r="Y102" s="562">
        <f>SQRT(3)</f>
        <v>1.7320508075688772</v>
      </c>
      <c r="Z102" s="603">
        <f>IFERROR(IF(Resumo!$F$9="Manual","",IF(Resumo!$F$9="Software",V102/Y102,"")),"")</f>
        <v>2.886751345948129E-3</v>
      </c>
      <c r="AA102" s="604">
        <f>IFERROR(IF(Resumo!$F$9="Manual","",IF(Resumo!$F$9="Software",1,"")),"")</f>
        <v>1</v>
      </c>
      <c r="AB102" s="580" t="s">
        <v>71</v>
      </c>
      <c r="AC102" s="603">
        <f>IFERROR(IF(Resumo!$F$9="Manual","",IF(Resumo!$F$9="Software",Z102*AA102,"")),"")</f>
        <v>2.886751345948129E-3</v>
      </c>
      <c r="AD102" s="575">
        <f>IFERROR(IF(Resumo!$F$9="Manual","",IF(Resumo!$F$9="Software",COUNT(Temperatura!$B$9:$B$3608)-1,"")),"")</f>
        <v>720</v>
      </c>
      <c r="AE102" s="575">
        <f>IFERROR(IF(Resumo!$F$9="Manual","",IF(Resumo!$F$9="Software",AC102^4/(IF(AD102="∞",100000,AD102)),"")),"")</f>
        <v>9.6450617283950626E-14</v>
      </c>
      <c r="AF102" s="16"/>
      <c r="AG102" s="16"/>
      <c r="AH102" s="16"/>
      <c r="AI102" s="16"/>
      <c r="AJ102" s="16"/>
      <c r="AK102" s="16"/>
      <c r="AL102" s="16"/>
      <c r="AM102" s="16"/>
      <c r="AN102" s="16"/>
      <c r="AO102" s="16"/>
      <c r="AP102" s="16"/>
      <c r="AQ102" s="16"/>
      <c r="AR102" s="16"/>
      <c r="AS102" s="16"/>
      <c r="AT102" s="16"/>
      <c r="AU102" s="16"/>
      <c r="AV102" s="16"/>
      <c r="AW102" s="16"/>
      <c r="AX102" s="16"/>
      <c r="AY102" s="16"/>
      <c r="AZ102" s="16"/>
      <c r="BA102" s="16"/>
      <c r="BB102" s="16"/>
      <c r="BC102" s="16"/>
      <c r="BD102" s="16"/>
      <c r="BE102" s="16"/>
      <c r="BF102" s="16"/>
      <c r="BG102" s="16"/>
      <c r="BH102" s="16"/>
      <c r="BI102" s="16"/>
      <c r="BJ102" s="16"/>
    </row>
    <row r="103" spans="1:62" ht="15" customHeight="1" thickTop="1" thickBot="1" x14ac:dyDescent="0.3">
      <c r="A103" s="16"/>
      <c r="B103" s="73"/>
      <c r="C103" s="73"/>
      <c r="D103" s="73"/>
      <c r="E103" s="73"/>
      <c r="F103" s="73"/>
      <c r="G103" s="73"/>
      <c r="H103" s="73"/>
      <c r="I103" s="73"/>
      <c r="J103" s="73"/>
      <c r="K103" s="76"/>
      <c r="L103" s="77" t="s">
        <v>186</v>
      </c>
      <c r="M103" s="393" t="str">
        <f>IF(ROUNDUP(M101*J101,6)&lt;0.0001,FIXED(ROUNDUP(M101*J101*1,6),6),IF(ROUNDUP(M101*J101,5)&lt;0.001,FIXED(ROUNDUP(M101*J101*1,5),5),IF(ROUNDUP(M101*J101,4)&lt;0.01,FIXED(ROUNDUP(M101*J101*1,4),4),IF(ROUNDUP(M101*J101,3)&lt;0.1,FIXED(ROUNDUP(M101*J101*1,3),3),IF(ROUNDUP(M101*J101,2)&lt;1,FIXED(ROUNDUP(M101*J101*1,2),2),IF(ROUNDUP(M101*J101,1)&lt;10,FIXED(ROUNDUP(M101*J101*1,1),1),IF(M101*J101&lt;100,FIXED(M101*J101*1,0),"IM ALTA")))))))</f>
        <v>4,7</v>
      </c>
      <c r="N103" s="78" t="s">
        <v>216</v>
      </c>
      <c r="O103" s="73"/>
      <c r="P103" s="16"/>
      <c r="Q103" s="16"/>
      <c r="R103" s="822"/>
      <c r="S103" s="818"/>
      <c r="T103" s="819"/>
      <c r="U103" s="820"/>
      <c r="V103" s="361"/>
      <c r="W103" s="362"/>
      <c r="X103" s="349"/>
      <c r="Y103" s="606"/>
      <c r="Z103" s="359"/>
      <c r="AA103" s="360"/>
      <c r="AB103" s="359"/>
      <c r="AC103" s="359"/>
      <c r="AD103" s="349"/>
      <c r="AE103" s="349"/>
      <c r="AF103" s="16"/>
      <c r="AG103" s="16"/>
      <c r="AH103" s="16"/>
      <c r="AI103" s="16"/>
      <c r="AJ103" s="16"/>
      <c r="AK103" s="16"/>
      <c r="AL103" s="16"/>
      <c r="AM103" s="16"/>
      <c r="AN103" s="16"/>
      <c r="AO103" s="16"/>
      <c r="AP103" s="16"/>
      <c r="AQ103" s="16"/>
      <c r="AR103" s="16"/>
      <c r="AS103" s="16"/>
      <c r="AT103" s="16"/>
      <c r="AU103" s="16"/>
      <c r="AV103" s="16"/>
      <c r="AW103" s="16"/>
      <c r="AX103" s="16"/>
      <c r="AY103" s="16"/>
      <c r="AZ103" s="16"/>
      <c r="BA103" s="16"/>
      <c r="BB103" s="16"/>
      <c r="BC103" s="16"/>
      <c r="BD103" s="16"/>
      <c r="BE103" s="16"/>
      <c r="BF103" s="16"/>
      <c r="BG103" s="16"/>
      <c r="BH103" s="16"/>
      <c r="BI103" s="16"/>
      <c r="BJ103" s="16"/>
    </row>
    <row r="104" spans="1:62" ht="15" customHeight="1" thickTop="1" x14ac:dyDescent="0.2">
      <c r="A104" s="16"/>
      <c r="B104" s="16"/>
      <c r="C104" s="16"/>
      <c r="D104" s="16"/>
      <c r="E104" s="16"/>
      <c r="F104" s="16"/>
      <c r="G104" s="16"/>
      <c r="H104" s="16"/>
      <c r="I104" s="16"/>
      <c r="J104" s="16"/>
      <c r="K104" s="16"/>
      <c r="L104" s="16"/>
      <c r="M104" s="16"/>
      <c r="N104" s="16"/>
      <c r="O104" s="16"/>
      <c r="P104" s="16"/>
      <c r="Q104" s="16"/>
      <c r="R104" s="823"/>
      <c r="S104" s="818"/>
      <c r="T104" s="819"/>
      <c r="U104" s="820"/>
      <c r="V104" s="274"/>
      <c r="W104" s="362"/>
      <c r="X104" s="349"/>
      <c r="Y104" s="605"/>
      <c r="Z104" s="359"/>
      <c r="AA104" s="360"/>
      <c r="AB104" s="359"/>
      <c r="AC104" s="359"/>
      <c r="AD104" s="349"/>
      <c r="AE104" s="349"/>
      <c r="AF104" s="16"/>
      <c r="AG104" s="16"/>
      <c r="AH104" s="16"/>
      <c r="AI104" s="16"/>
      <c r="AJ104" s="16"/>
      <c r="AK104" s="16"/>
      <c r="AL104" s="16"/>
      <c r="AM104" s="16"/>
      <c r="AN104" s="16"/>
      <c r="AO104" s="16"/>
      <c r="AP104" s="16"/>
      <c r="AQ104" s="16"/>
      <c r="AR104" s="16"/>
      <c r="AS104" s="16"/>
      <c r="AT104" s="16"/>
      <c r="AU104" s="16"/>
      <c r="AV104" s="16"/>
      <c r="AW104" s="16"/>
      <c r="AX104" s="16"/>
      <c r="AY104" s="16"/>
      <c r="AZ104" s="16"/>
      <c r="BA104" s="16"/>
      <c r="BB104" s="16"/>
      <c r="BC104" s="16"/>
      <c r="BD104" s="16"/>
      <c r="BE104" s="16"/>
      <c r="BF104" s="16"/>
      <c r="BG104" s="16"/>
      <c r="BH104" s="16"/>
      <c r="BI104" s="16"/>
      <c r="BJ104" s="16"/>
    </row>
    <row r="105" spans="1:62" ht="15" customHeight="1" thickBot="1" x14ac:dyDescent="0.3">
      <c r="A105" s="16"/>
      <c r="B105" s="16"/>
      <c r="C105" s="16"/>
      <c r="D105" s="16"/>
      <c r="E105" s="16"/>
      <c r="F105" s="16"/>
      <c r="G105" s="16"/>
      <c r="H105" s="16"/>
      <c r="I105" s="16"/>
      <c r="J105" s="16"/>
      <c r="K105" s="16"/>
      <c r="L105" s="16"/>
      <c r="M105" s="16"/>
      <c r="N105" s="16"/>
      <c r="O105" s="16"/>
      <c r="P105" s="16"/>
      <c r="Q105" s="16"/>
      <c r="R105" s="164"/>
      <c r="S105" s="164"/>
      <c r="T105" s="164"/>
      <c r="U105" s="164"/>
      <c r="V105" s="164"/>
      <c r="W105" s="164"/>
      <c r="X105" s="164"/>
      <c r="Y105" s="607"/>
      <c r="Z105" s="164"/>
      <c r="AA105" s="164"/>
      <c r="AB105" s="164"/>
      <c r="AC105" s="164"/>
      <c r="AD105" s="164"/>
      <c r="AE105" s="164"/>
      <c r="AF105" s="16"/>
      <c r="AG105" s="16"/>
      <c r="AH105" s="16"/>
      <c r="AI105" s="16"/>
      <c r="AJ105" s="16"/>
      <c r="AK105" s="16"/>
      <c r="AL105" s="16"/>
      <c r="AM105" s="16"/>
      <c r="AN105" s="16"/>
      <c r="AO105" s="16"/>
      <c r="AP105" s="16"/>
      <c r="AQ105" s="16"/>
      <c r="AR105" s="16"/>
      <c r="AS105" s="16"/>
      <c r="AT105" s="16"/>
      <c r="AU105" s="16"/>
      <c r="AV105" s="16"/>
      <c r="AW105" s="16"/>
      <c r="AX105" s="16"/>
      <c r="AY105" s="16"/>
      <c r="AZ105" s="16"/>
      <c r="BA105" s="16"/>
      <c r="BB105" s="16"/>
      <c r="BC105" s="16"/>
      <c r="BD105" s="16"/>
      <c r="BE105" s="16"/>
      <c r="BF105" s="16"/>
      <c r="BG105" s="16"/>
      <c r="BH105" s="16"/>
      <c r="BI105" s="16"/>
      <c r="BJ105" s="16"/>
    </row>
    <row r="106" spans="1:62" ht="15" customHeight="1" thickTop="1" thickBot="1" x14ac:dyDescent="0.3">
      <c r="A106" s="16"/>
      <c r="B106" s="16"/>
      <c r="C106" s="16"/>
      <c r="D106" s="16"/>
      <c r="E106" s="16"/>
      <c r="F106" s="16"/>
      <c r="G106" s="16"/>
      <c r="H106" s="16"/>
      <c r="I106" s="16"/>
      <c r="J106" s="16"/>
      <c r="K106" s="16"/>
      <c r="L106" s="16"/>
      <c r="M106" s="16"/>
      <c r="N106" s="16"/>
      <c r="O106" s="16"/>
      <c r="P106" s="16"/>
      <c r="Q106" s="16"/>
      <c r="R106" s="164"/>
      <c r="S106" s="164"/>
      <c r="T106" s="164"/>
      <c r="U106" s="164"/>
      <c r="V106" s="164"/>
      <c r="W106" s="363" t="s">
        <v>183</v>
      </c>
      <c r="X106" s="364">
        <v>0.95450000000000002</v>
      </c>
      <c r="Y106" s="608" t="s">
        <v>184</v>
      </c>
      <c r="Z106" s="365">
        <f>TINV(1-X106,IF(AD106="∞",100000,AD106))</f>
        <v>2.0000274442871735</v>
      </c>
      <c r="AA106" s="363"/>
      <c r="AB106" s="363" t="s">
        <v>185</v>
      </c>
      <c r="AC106" s="366">
        <f>SQRT(SUMSQ(AC100:AC104))</f>
        <v>6.9346530474699436E-2</v>
      </c>
      <c r="AD106" s="365" t="str">
        <f>IF((AC106^4/AE106)&gt;100000,"∞",(AC106^4/AE106))</f>
        <v>∞</v>
      </c>
      <c r="AE106" s="363">
        <f>SUM(AE100:AE104)</f>
        <v>2.3049696396442954E-10</v>
      </c>
      <c r="AF106" s="16"/>
      <c r="AG106" s="16"/>
      <c r="AH106" s="16"/>
      <c r="AI106" s="16"/>
      <c r="AJ106" s="16"/>
      <c r="AK106" s="16"/>
      <c r="AL106" s="16"/>
      <c r="AM106" s="16"/>
      <c r="AN106" s="16"/>
      <c r="AO106" s="16"/>
      <c r="AP106" s="16"/>
      <c r="AQ106" s="16"/>
      <c r="AR106" s="16"/>
      <c r="AS106" s="16"/>
      <c r="AT106" s="16"/>
      <c r="AU106" s="16"/>
      <c r="AV106" s="16"/>
      <c r="AW106" s="16"/>
      <c r="AX106" s="16"/>
      <c r="AY106" s="16"/>
      <c r="AZ106" s="16"/>
      <c r="BA106" s="16"/>
      <c r="BB106" s="16"/>
      <c r="BC106" s="16"/>
      <c r="BD106" s="16"/>
      <c r="BE106" s="16"/>
      <c r="BF106" s="16"/>
      <c r="BG106" s="16"/>
      <c r="BH106" s="16"/>
      <c r="BI106" s="16"/>
      <c r="BJ106" s="16"/>
    </row>
    <row r="107" spans="1:62" ht="15" customHeight="1" thickTop="1" thickBot="1" x14ac:dyDescent="0.3">
      <c r="A107" s="16"/>
      <c r="B107" s="16"/>
      <c r="C107" s="16"/>
      <c r="D107" s="16"/>
      <c r="E107" s="16"/>
      <c r="F107" s="16"/>
      <c r="G107" s="16"/>
      <c r="H107" s="16"/>
      <c r="I107" s="16"/>
      <c r="J107" s="16"/>
      <c r="K107" s="16"/>
      <c r="L107" s="16"/>
      <c r="M107" s="16"/>
      <c r="N107" s="16"/>
      <c r="O107" s="16"/>
      <c r="P107" s="16"/>
      <c r="Q107" s="16"/>
      <c r="R107" s="44"/>
      <c r="S107" s="44"/>
      <c r="T107" s="44"/>
      <c r="U107" s="44"/>
      <c r="V107" s="44"/>
      <c r="W107" s="44"/>
      <c r="X107" s="44"/>
      <c r="Y107" s="592"/>
      <c r="Z107" s="44"/>
      <c r="AA107" s="45"/>
      <c r="AB107" s="46"/>
      <c r="AC107" s="46"/>
      <c r="AD107" s="46"/>
      <c r="AE107" s="44"/>
      <c r="AF107" s="16"/>
      <c r="AG107" s="16"/>
      <c r="AH107" s="16"/>
      <c r="AI107" s="16"/>
      <c r="AJ107" s="16"/>
      <c r="AK107" s="16"/>
      <c r="AL107" s="16"/>
      <c r="AM107" s="16"/>
      <c r="AN107" s="16"/>
      <c r="AO107" s="16"/>
      <c r="AP107" s="16"/>
      <c r="AQ107" s="16"/>
      <c r="AR107" s="16"/>
      <c r="AS107" s="16"/>
      <c r="AT107" s="16"/>
      <c r="AU107" s="16"/>
      <c r="AV107" s="16"/>
      <c r="AW107" s="16"/>
      <c r="AX107" s="16"/>
      <c r="AY107" s="16"/>
      <c r="AZ107" s="16"/>
      <c r="BA107" s="16"/>
      <c r="BB107" s="16"/>
      <c r="BC107" s="16"/>
      <c r="BD107" s="16"/>
      <c r="BE107" s="16"/>
      <c r="BF107" s="16"/>
      <c r="BG107" s="16"/>
      <c r="BH107" s="16"/>
      <c r="BI107" s="16"/>
      <c r="BJ107" s="16"/>
    </row>
    <row r="108" spans="1:62" ht="15" customHeight="1" thickTop="1" thickBot="1" x14ac:dyDescent="0.3">
      <c r="A108" s="16"/>
      <c r="B108" s="349" t="s">
        <v>54</v>
      </c>
      <c r="C108" s="815" t="s">
        <v>168</v>
      </c>
      <c r="D108" s="816"/>
      <c r="E108" s="817"/>
      <c r="F108" s="349" t="s">
        <v>169</v>
      </c>
      <c r="G108" s="349" t="s">
        <v>65</v>
      </c>
      <c r="H108" s="349" t="s">
        <v>170</v>
      </c>
      <c r="I108" s="349" t="s">
        <v>171</v>
      </c>
      <c r="J108" s="349" t="s">
        <v>172</v>
      </c>
      <c r="K108" s="349" t="s">
        <v>173</v>
      </c>
      <c r="L108" s="349" t="s">
        <v>65</v>
      </c>
      <c r="M108" s="349" t="s">
        <v>174</v>
      </c>
      <c r="N108" s="349" t="s">
        <v>175</v>
      </c>
      <c r="O108" s="349" t="s">
        <v>176</v>
      </c>
      <c r="P108" s="16"/>
      <c r="Q108" s="16"/>
      <c r="R108" s="44"/>
      <c r="S108" s="44"/>
      <c r="T108" s="44"/>
      <c r="U108" s="44"/>
      <c r="V108" s="44"/>
      <c r="W108" s="44"/>
      <c r="X108" s="44"/>
      <c r="Y108" s="592"/>
      <c r="Z108" s="44"/>
      <c r="AA108" s="47"/>
      <c r="AB108" s="48" t="s">
        <v>186</v>
      </c>
      <c r="AC108" s="49" t="str">
        <f>IF(ROUNDUP(AC106*Z106,6)&lt;0.0001,FIXED(ROUNDUP(AC106*Z106*1,6),6),IF(ROUNDUP(AC106*Z106,5)&lt;0.001,FIXED(ROUNDUP(AC106*Z106*1,5),5),IF(ROUNDUP(AC106*Z106,4)&lt;0.01,FIXED(ROUNDUP(AC106*Z106*1,4),4),IF(ROUNDUP(AC106*Z106,3)&lt;0.1,FIXED(ROUNDUP(AC106*Z106*1,3),3),IF(ROUNDUP(AC106*Z106,2)&lt;1,FIXED(ROUNDUP(AC106*Z106*1,2),2),IF(ROUNDUP(AC106*Z106,1)&lt;10,FIXED(ROUNDUP(AC106*Z106*1,1),1),IF(AC106*Z106&lt;100,FIXED(AC106*Z106*1,0),"IM ALTA")))))))</f>
        <v>0,14</v>
      </c>
      <c r="AD108" s="50" t="s">
        <v>71</v>
      </c>
      <c r="AE108" s="44"/>
      <c r="AF108" s="16"/>
      <c r="AG108" s="16"/>
      <c r="AH108" s="16"/>
      <c r="AI108" s="16"/>
      <c r="AJ108" s="16"/>
      <c r="AK108" s="16"/>
      <c r="AL108" s="16"/>
      <c r="AM108" s="16"/>
      <c r="AN108" s="16"/>
      <c r="AO108" s="16"/>
      <c r="AP108" s="16"/>
      <c r="AQ108" s="16"/>
      <c r="AR108" s="16"/>
      <c r="AS108" s="16"/>
      <c r="AT108" s="16"/>
      <c r="AU108" s="16"/>
      <c r="AV108" s="16"/>
      <c r="AW108" s="16"/>
      <c r="AX108" s="16"/>
      <c r="AY108" s="16"/>
      <c r="AZ108" s="16"/>
      <c r="BA108" s="16"/>
      <c r="BB108" s="16"/>
      <c r="BC108" s="16"/>
      <c r="BD108" s="16"/>
      <c r="BE108" s="16"/>
      <c r="BF108" s="16"/>
      <c r="BG108" s="16"/>
      <c r="BH108" s="16"/>
      <c r="BI108" s="16"/>
      <c r="BJ108" s="16"/>
    </row>
    <row r="109" spans="1:62" ht="15" customHeight="1" thickTop="1" x14ac:dyDescent="0.2">
      <c r="A109" s="16"/>
      <c r="B109" s="821" t="s">
        <v>355</v>
      </c>
      <c r="C109" s="838" t="s">
        <v>542</v>
      </c>
      <c r="D109" s="839"/>
      <c r="E109" s="840"/>
      <c r="F109" s="568">
        <v>0.04</v>
      </c>
      <c r="G109" s="569" t="s">
        <v>352</v>
      </c>
      <c r="H109" s="570" t="s">
        <v>202</v>
      </c>
      <c r="I109" s="571">
        <f>SQRT(3)</f>
        <v>1.7320508075688772</v>
      </c>
      <c r="J109" s="571">
        <f>F109/I109</f>
        <v>2.3094010767585032E-2</v>
      </c>
      <c r="K109" s="570">
        <f>1/1000</f>
        <v>1E-3</v>
      </c>
      <c r="L109" s="570" t="s">
        <v>438</v>
      </c>
      <c r="M109" s="572">
        <f>J109*K109</f>
        <v>2.3094010767585031E-5</v>
      </c>
      <c r="N109" s="561" t="s">
        <v>181</v>
      </c>
      <c r="O109" s="561">
        <f>M109^4/(IF(N109="∞",100000,N109))</f>
        <v>2.8444444444444447E-24</v>
      </c>
      <c r="P109" s="16"/>
      <c r="Q109" s="16"/>
      <c r="R109" s="16"/>
      <c r="S109" s="16"/>
      <c r="T109" s="16"/>
      <c r="U109" s="16"/>
      <c r="V109" s="16"/>
      <c r="W109" s="16"/>
      <c r="X109" s="16"/>
      <c r="Y109" s="583"/>
      <c r="Z109" s="16"/>
      <c r="AA109" s="16"/>
      <c r="AB109" s="16"/>
      <c r="AC109" s="16"/>
      <c r="AD109" s="16"/>
      <c r="AE109" s="16"/>
      <c r="AF109" s="16"/>
      <c r="AG109" s="16"/>
      <c r="AH109" s="16"/>
      <c r="AI109" s="16"/>
      <c r="AJ109" s="16"/>
      <c r="AK109" s="16"/>
      <c r="AL109" s="16"/>
      <c r="AM109" s="16"/>
      <c r="AN109" s="16"/>
      <c r="AO109" s="16"/>
      <c r="AP109" s="16"/>
      <c r="AQ109" s="16"/>
      <c r="AR109" s="16"/>
      <c r="AS109" s="16"/>
      <c r="AT109" s="16"/>
      <c r="AU109" s="16"/>
      <c r="AV109" s="16"/>
      <c r="AW109" s="16"/>
      <c r="AX109" s="16"/>
      <c r="AY109" s="16"/>
      <c r="AZ109" s="16"/>
      <c r="BA109" s="16"/>
      <c r="BB109" s="16"/>
      <c r="BC109" s="16"/>
      <c r="BD109" s="16"/>
      <c r="BE109" s="16"/>
      <c r="BF109" s="16"/>
      <c r="BG109" s="16"/>
      <c r="BH109" s="16"/>
      <c r="BI109" s="16"/>
      <c r="BJ109" s="16"/>
    </row>
    <row r="110" spans="1:62" ht="15" customHeight="1" x14ac:dyDescent="0.2">
      <c r="A110" s="16"/>
      <c r="B110" s="827"/>
      <c r="C110" s="838" t="s">
        <v>178</v>
      </c>
      <c r="D110" s="839"/>
      <c r="E110" s="840"/>
      <c r="F110" s="568">
        <v>0.01</v>
      </c>
      <c r="G110" s="569" t="s">
        <v>352</v>
      </c>
      <c r="H110" s="570" t="s">
        <v>202</v>
      </c>
      <c r="I110" s="571">
        <f>SQRT(3)</f>
        <v>1.7320508075688772</v>
      </c>
      <c r="J110" s="571">
        <f>F110/I110</f>
        <v>5.773502691896258E-3</v>
      </c>
      <c r="K110" s="570">
        <f>1/1000</f>
        <v>1E-3</v>
      </c>
      <c r="L110" s="570" t="s">
        <v>438</v>
      </c>
      <c r="M110" s="572">
        <f>J110*K110</f>
        <v>5.7735026918962578E-6</v>
      </c>
      <c r="N110" s="561" t="s">
        <v>181</v>
      </c>
      <c r="O110" s="561">
        <f>M110^4/(IF(N110="∞",100000,N110))</f>
        <v>1.1111111111111112E-26</v>
      </c>
      <c r="P110" s="16"/>
      <c r="Q110" s="16"/>
      <c r="R110" s="16"/>
      <c r="S110" s="16"/>
      <c r="T110" s="16"/>
      <c r="U110" s="16"/>
      <c r="V110" s="16"/>
      <c r="W110" s="16"/>
      <c r="X110" s="16"/>
      <c r="Y110" s="583"/>
      <c r="Z110" s="16"/>
      <c r="AA110" s="16"/>
      <c r="AB110" s="16"/>
      <c r="AC110" s="16"/>
      <c r="AD110" s="16"/>
      <c r="AE110" s="16"/>
      <c r="AF110" s="16"/>
      <c r="AG110" s="16"/>
      <c r="AH110" s="16"/>
      <c r="AI110" s="16"/>
      <c r="AJ110" s="16"/>
      <c r="AK110" s="16"/>
      <c r="AL110" s="16"/>
      <c r="AM110" s="16"/>
      <c r="AN110" s="16"/>
      <c r="AO110" s="16"/>
      <c r="AP110" s="16"/>
      <c r="AQ110" s="16"/>
      <c r="AR110" s="16"/>
      <c r="AS110" s="16"/>
      <c r="AT110" s="16"/>
      <c r="AU110" s="16"/>
      <c r="AV110" s="16"/>
      <c r="AW110" s="16"/>
      <c r="AX110" s="16"/>
      <c r="AY110" s="16"/>
      <c r="AZ110" s="16"/>
      <c r="BA110" s="16"/>
      <c r="BB110" s="16"/>
      <c r="BC110" s="16"/>
      <c r="BD110" s="16"/>
      <c r="BE110" s="16"/>
      <c r="BF110" s="16"/>
      <c r="BG110" s="16"/>
      <c r="BH110" s="16"/>
      <c r="BI110" s="16"/>
      <c r="BJ110" s="16"/>
    </row>
    <row r="111" spans="1:62" ht="15" customHeight="1" x14ac:dyDescent="0.2">
      <c r="A111" s="16"/>
      <c r="B111" s="828"/>
      <c r="C111" s="838" t="s">
        <v>543</v>
      </c>
      <c r="D111" s="839"/>
      <c r="E111" s="840"/>
      <c r="F111" s="568">
        <v>0.98</v>
      </c>
      <c r="G111" s="569" t="s">
        <v>352</v>
      </c>
      <c r="H111" s="570" t="s">
        <v>541</v>
      </c>
      <c r="I111" s="571">
        <f>SQRT(8)</f>
        <v>2.8284271247461903</v>
      </c>
      <c r="J111" s="571">
        <f>F111/I111</f>
        <v>0.34648232278140828</v>
      </c>
      <c r="K111" s="570">
        <f>1/1000</f>
        <v>1E-3</v>
      </c>
      <c r="L111" s="570" t="s">
        <v>438</v>
      </c>
      <c r="M111" s="572">
        <f>J111*K111</f>
        <v>3.4648232278140827E-4</v>
      </c>
      <c r="N111" s="561" t="s">
        <v>181</v>
      </c>
      <c r="O111" s="561">
        <f>M111^4/(IF(N111="∞",100000,N111))</f>
        <v>1.4412002499999999E-19</v>
      </c>
      <c r="P111" s="16"/>
      <c r="Q111" s="16"/>
      <c r="R111" s="16"/>
      <c r="S111" s="16"/>
      <c r="T111" s="16"/>
      <c r="U111" s="16"/>
      <c r="V111" s="16"/>
      <c r="W111" s="16"/>
      <c r="X111" s="16"/>
      <c r="Y111" s="583"/>
      <c r="Z111" s="16"/>
      <c r="AA111" s="16"/>
      <c r="AB111" s="16"/>
      <c r="AC111" s="16"/>
      <c r="AD111" s="16"/>
      <c r="AE111" s="16"/>
      <c r="AF111" s="16"/>
      <c r="AG111" s="16"/>
      <c r="AH111" s="16"/>
      <c r="AI111" s="16"/>
      <c r="AJ111" s="16"/>
      <c r="AK111" s="16"/>
      <c r="AL111" s="16"/>
      <c r="AM111" s="16"/>
      <c r="AN111" s="16"/>
      <c r="AO111" s="16"/>
      <c r="AP111" s="16"/>
      <c r="AQ111" s="16"/>
      <c r="AR111" s="16"/>
      <c r="AS111" s="16"/>
      <c r="AT111" s="16"/>
      <c r="AU111" s="16"/>
      <c r="AV111" s="16"/>
      <c r="AW111" s="16"/>
      <c r="AX111" s="16"/>
      <c r="AY111" s="16"/>
      <c r="AZ111" s="16"/>
      <c r="BA111" s="16"/>
      <c r="BB111" s="16"/>
      <c r="BC111" s="16"/>
      <c r="BD111" s="16"/>
      <c r="BE111" s="16"/>
      <c r="BF111" s="16"/>
      <c r="BG111" s="16"/>
      <c r="BH111" s="16"/>
      <c r="BI111" s="16"/>
      <c r="BJ111" s="16"/>
    </row>
    <row r="112" spans="1:62" ht="15" customHeight="1" thickBot="1" x14ac:dyDescent="0.3">
      <c r="A112" s="16"/>
      <c r="B112" s="164"/>
      <c r="C112" s="164"/>
      <c r="D112" s="164"/>
      <c r="E112" s="164"/>
      <c r="F112" s="164"/>
      <c r="G112" s="164"/>
      <c r="H112" s="164"/>
      <c r="I112" s="164"/>
      <c r="J112" s="164"/>
      <c r="K112" s="164"/>
      <c r="L112" s="164"/>
      <c r="M112" s="164"/>
      <c r="N112" s="164"/>
      <c r="O112" s="164"/>
      <c r="P112" s="16"/>
      <c r="Q112" s="16"/>
      <c r="R112" s="16"/>
      <c r="S112" s="16"/>
      <c r="T112" s="16"/>
      <c r="U112" s="16"/>
      <c r="V112" s="16"/>
      <c r="W112" s="16"/>
      <c r="X112" s="16"/>
      <c r="Y112" s="583"/>
      <c r="Z112" s="16"/>
      <c r="AA112" s="16"/>
      <c r="AB112" s="16"/>
      <c r="AC112" s="16"/>
      <c r="AD112" s="16"/>
      <c r="AE112" s="16"/>
      <c r="AF112" s="16"/>
      <c r="AG112" s="16"/>
      <c r="AH112" s="16"/>
      <c r="AI112" s="16"/>
      <c r="AJ112" s="16"/>
      <c r="AK112" s="16"/>
      <c r="AL112" s="16"/>
      <c r="AM112" s="16"/>
      <c r="AN112" s="16"/>
      <c r="AO112" s="16"/>
      <c r="AP112" s="16"/>
      <c r="AQ112" s="16"/>
      <c r="AR112" s="16"/>
      <c r="AS112" s="16"/>
      <c r="AT112" s="16"/>
      <c r="AU112" s="16"/>
      <c r="AV112" s="16"/>
      <c r="AW112" s="16"/>
      <c r="AX112" s="16"/>
      <c r="AY112" s="16"/>
      <c r="AZ112" s="16"/>
      <c r="BA112" s="16"/>
      <c r="BB112" s="16"/>
      <c r="BC112" s="16"/>
      <c r="BD112" s="16"/>
      <c r="BE112" s="16"/>
      <c r="BF112" s="16"/>
      <c r="BG112" s="16"/>
      <c r="BH112" s="16"/>
      <c r="BI112" s="16"/>
      <c r="BJ112" s="16"/>
    </row>
    <row r="113" spans="1:62" ht="15" customHeight="1" thickTop="1" thickBot="1" x14ac:dyDescent="0.3">
      <c r="A113" s="16"/>
      <c r="B113" s="164"/>
      <c r="C113" s="164"/>
      <c r="D113" s="164"/>
      <c r="E113" s="164"/>
      <c r="F113" s="164"/>
      <c r="G113" s="363" t="s">
        <v>183</v>
      </c>
      <c r="H113" s="364">
        <v>0.95450000000000002</v>
      </c>
      <c r="I113" s="363" t="s">
        <v>184</v>
      </c>
      <c r="J113" s="365">
        <f>TINV(1-H113,IF(N113="∞",100000,N113))</f>
        <v>2.0000274442871735</v>
      </c>
      <c r="K113" s="363"/>
      <c r="L113" s="363" t="s">
        <v>185</v>
      </c>
      <c r="M113" s="366">
        <f>SQRT(SUMSQ(M109:M111))</f>
        <v>3.4729910259985794E-4</v>
      </c>
      <c r="N113" s="365" t="str">
        <f>IF((M113^4/O113)&gt;100000,"∞",(M113^4/O113))</f>
        <v>∞</v>
      </c>
      <c r="O113" s="363">
        <f>SUM(O109:O111)</f>
        <v>1.4412288055555555E-19</v>
      </c>
      <c r="P113" s="16"/>
      <c r="Q113" s="16"/>
      <c r="R113" s="16"/>
      <c r="S113" s="16"/>
      <c r="T113" s="16"/>
      <c r="U113" s="16"/>
      <c r="V113" s="16"/>
      <c r="W113" s="16"/>
      <c r="X113" s="16"/>
      <c r="Y113" s="583"/>
      <c r="Z113" s="16"/>
      <c r="AA113" s="16"/>
      <c r="AB113" s="16"/>
      <c r="AC113" s="16"/>
      <c r="AD113" s="16"/>
      <c r="AE113" s="16"/>
      <c r="AF113" s="16"/>
      <c r="AG113" s="16"/>
      <c r="AH113" s="16"/>
      <c r="AI113" s="16"/>
      <c r="AJ113" s="16"/>
      <c r="AK113" s="16"/>
      <c r="AL113" s="16"/>
      <c r="AM113" s="16"/>
      <c r="AN113" s="16"/>
      <c r="AO113" s="16"/>
      <c r="AP113" s="16"/>
      <c r="AQ113" s="16"/>
      <c r="AR113" s="16"/>
      <c r="AS113" s="16"/>
      <c r="AT113" s="16"/>
      <c r="AU113" s="16"/>
      <c r="AV113" s="16"/>
      <c r="AW113" s="16"/>
      <c r="AX113" s="16"/>
      <c r="AY113" s="16"/>
      <c r="AZ113" s="16"/>
      <c r="BA113" s="16"/>
      <c r="BB113" s="16"/>
      <c r="BC113" s="16"/>
      <c r="BD113" s="16"/>
      <c r="BE113" s="16"/>
      <c r="BF113" s="16"/>
      <c r="BG113" s="16"/>
      <c r="BH113" s="16"/>
      <c r="BI113" s="16"/>
      <c r="BJ113" s="16"/>
    </row>
    <row r="114" spans="1:62" ht="15" customHeight="1" thickTop="1" thickBot="1" x14ac:dyDescent="0.3">
      <c r="A114" s="16"/>
      <c r="B114" s="44"/>
      <c r="C114" s="44"/>
      <c r="D114" s="44"/>
      <c r="E114" s="44"/>
      <c r="F114" s="44"/>
      <c r="G114" s="44"/>
      <c r="H114" s="44"/>
      <c r="I114" s="44"/>
      <c r="J114" s="44"/>
      <c r="K114" s="45"/>
      <c r="L114" s="46"/>
      <c r="M114" s="46"/>
      <c r="N114" s="46"/>
      <c r="O114" s="44"/>
      <c r="P114" s="16"/>
      <c r="Q114" s="16"/>
      <c r="R114" s="16"/>
      <c r="S114" s="16"/>
      <c r="T114" s="16"/>
      <c r="U114" s="16"/>
      <c r="V114" s="16"/>
      <c r="W114" s="16"/>
      <c r="X114" s="16"/>
      <c r="Y114" s="583"/>
      <c r="Z114" s="16"/>
      <c r="AA114" s="16"/>
      <c r="AB114" s="16"/>
      <c r="AC114" s="16"/>
      <c r="AD114" s="16"/>
      <c r="AE114" s="16"/>
      <c r="AF114" s="16"/>
      <c r="AG114" s="16"/>
      <c r="AH114" s="16"/>
      <c r="AI114" s="16"/>
      <c r="AJ114" s="16"/>
      <c r="AK114" s="16"/>
      <c r="AL114" s="16"/>
      <c r="AM114" s="16"/>
      <c r="AN114" s="16"/>
      <c r="AO114" s="16"/>
      <c r="AP114" s="16"/>
      <c r="AQ114" s="16"/>
      <c r="AR114" s="16"/>
      <c r="AS114" s="16"/>
      <c r="AT114" s="16"/>
      <c r="AU114" s="16"/>
      <c r="AV114" s="16"/>
      <c r="AW114" s="16"/>
      <c r="AX114" s="16"/>
      <c r="AY114" s="16"/>
      <c r="AZ114" s="16"/>
      <c r="BA114" s="16"/>
      <c r="BB114" s="16"/>
      <c r="BC114" s="16"/>
      <c r="BD114" s="16"/>
      <c r="BE114" s="16"/>
      <c r="BF114" s="16"/>
      <c r="BG114" s="16"/>
      <c r="BH114" s="16"/>
      <c r="BI114" s="16"/>
      <c r="BJ114" s="16"/>
    </row>
    <row r="115" spans="1:62" ht="15" customHeight="1" thickTop="1" thickBot="1" x14ac:dyDescent="0.3">
      <c r="A115" s="16"/>
      <c r="B115" s="44"/>
      <c r="C115" s="44"/>
      <c r="D115" s="44"/>
      <c r="E115" s="44"/>
      <c r="F115" s="44"/>
      <c r="G115" s="44"/>
      <c r="H115" s="44"/>
      <c r="I115" s="44"/>
      <c r="J115" s="44"/>
      <c r="K115" s="47"/>
      <c r="L115" s="48" t="s">
        <v>186</v>
      </c>
      <c r="M115" s="573" t="str">
        <f>IF(ROUNDUP(M113*J113,6)&lt;0.0001,FIXED(ROUNDUP(M113*J113*1,6),6),IF(ROUNDUP(M113*J113,5)&lt;0.001,FIXED(ROUNDUP(M113*J113*1,5),5),IF(ROUNDUP(M113*J113,4)&lt;0.01,FIXED(ROUNDUP(M113*J113*1,4),4),IF(ROUNDUP(M113*J113,3)&lt;0.1,FIXED(ROUNDUP(M113*J113*1,3),3),IF(ROUNDUP(M113*J113,2)&lt;1,FIXED(ROUNDUP(M113*J113*1,2),2),IF(ROUNDUP(M113*J113,1)&lt;10,FIXED(ROUNDUP(M113*J113*1,1),1),IF(M113*J113&lt;100,FIXED(M113*J113*1,0),"IM ALTA")))))))</f>
        <v>0,00070</v>
      </c>
      <c r="N115" s="78" t="s">
        <v>438</v>
      </c>
      <c r="O115" s="44"/>
      <c r="P115" s="16"/>
      <c r="Q115" s="16"/>
      <c r="R115" s="16"/>
      <c r="S115" s="16"/>
      <c r="T115" s="16"/>
      <c r="U115" s="16"/>
      <c r="V115" s="16"/>
      <c r="W115" s="16"/>
      <c r="X115" s="16"/>
      <c r="Y115" s="583"/>
      <c r="Z115" s="16"/>
      <c r="AA115" s="16"/>
      <c r="AB115" s="16"/>
      <c r="AC115" s="16"/>
      <c r="AD115" s="16"/>
      <c r="AE115" s="16"/>
      <c r="AF115" s="16"/>
      <c r="AG115" s="16"/>
      <c r="AH115" s="16"/>
      <c r="AI115" s="16"/>
      <c r="AJ115" s="16"/>
      <c r="AK115" s="16"/>
      <c r="AL115" s="16"/>
      <c r="AM115" s="16"/>
      <c r="AN115" s="16"/>
      <c r="AO115" s="16"/>
      <c r="AP115" s="16"/>
      <c r="AQ115" s="16"/>
      <c r="AR115" s="16"/>
      <c r="AS115" s="16"/>
      <c r="AT115" s="16"/>
      <c r="AU115" s="16"/>
      <c r="AV115" s="16"/>
      <c r="AW115" s="16"/>
      <c r="AX115" s="16"/>
      <c r="AY115" s="16"/>
      <c r="AZ115" s="16"/>
      <c r="BA115" s="16"/>
      <c r="BB115" s="16"/>
      <c r="BC115" s="16"/>
      <c r="BD115" s="16"/>
      <c r="BE115" s="16"/>
      <c r="BF115" s="16"/>
      <c r="BG115" s="16"/>
      <c r="BH115" s="16"/>
      <c r="BI115" s="16"/>
      <c r="BJ115" s="16"/>
    </row>
    <row r="116" spans="1:62" ht="15" customHeight="1" thickTop="1" x14ac:dyDescent="0.2">
      <c r="A116" s="16"/>
      <c r="B116" s="16"/>
      <c r="C116" s="16"/>
      <c r="D116" s="16"/>
      <c r="E116" s="16"/>
      <c r="F116" s="16"/>
      <c r="G116" s="16"/>
      <c r="H116" s="16"/>
      <c r="I116" s="16"/>
      <c r="J116" s="16"/>
      <c r="K116" s="16"/>
      <c r="L116" s="16"/>
      <c r="M116" s="16"/>
      <c r="N116" s="16"/>
      <c r="O116" s="16"/>
      <c r="P116" s="16"/>
      <c r="Q116" s="16"/>
      <c r="R116" s="16"/>
      <c r="S116" s="16"/>
      <c r="T116" s="16"/>
      <c r="U116" s="16"/>
      <c r="V116" s="16"/>
      <c r="W116" s="16"/>
      <c r="X116" s="16"/>
      <c r="Y116" s="583"/>
      <c r="Z116" s="16"/>
      <c r="AA116" s="16"/>
      <c r="AB116" s="16"/>
      <c r="AC116" s="16"/>
      <c r="AD116" s="16"/>
      <c r="AE116" s="16"/>
      <c r="AF116" s="16"/>
      <c r="AG116" s="16"/>
      <c r="AH116" s="16"/>
      <c r="AI116" s="16"/>
      <c r="AJ116" s="16"/>
      <c r="AK116" s="16"/>
      <c r="AL116" s="16"/>
      <c r="AM116" s="16"/>
      <c r="AN116" s="16"/>
      <c r="AO116" s="16"/>
      <c r="AP116" s="16"/>
      <c r="AQ116" s="16"/>
      <c r="AR116" s="16"/>
      <c r="AS116" s="16"/>
      <c r="AT116" s="16"/>
      <c r="AU116" s="16"/>
      <c r="AV116" s="16"/>
      <c r="AW116" s="16"/>
      <c r="AX116" s="16"/>
      <c r="AY116" s="16"/>
      <c r="AZ116" s="16"/>
      <c r="BA116" s="16"/>
      <c r="BB116" s="16"/>
      <c r="BC116" s="16"/>
      <c r="BD116" s="16"/>
      <c r="BE116" s="16"/>
      <c r="BF116" s="16"/>
      <c r="BG116" s="16"/>
      <c r="BH116" s="16"/>
      <c r="BI116" s="16"/>
      <c r="BJ116" s="16"/>
    </row>
    <row r="117" spans="1:62" ht="15" customHeight="1" x14ac:dyDescent="0.2">
      <c r="A117" s="16"/>
      <c r="B117" s="16"/>
      <c r="C117" s="16"/>
      <c r="D117" s="16"/>
      <c r="E117" s="16"/>
      <c r="F117" s="16"/>
      <c r="G117" s="16"/>
      <c r="H117" s="16"/>
      <c r="I117" s="16"/>
      <c r="J117" s="16"/>
      <c r="K117" s="16"/>
      <c r="L117" s="16"/>
      <c r="M117" s="16"/>
      <c r="N117" s="16"/>
      <c r="O117" s="16"/>
      <c r="P117" s="16"/>
      <c r="Q117" s="16"/>
      <c r="R117" s="16"/>
      <c r="S117" s="16"/>
      <c r="T117" s="16"/>
      <c r="U117" s="16"/>
      <c r="V117" s="16"/>
      <c r="W117" s="16"/>
      <c r="X117" s="16"/>
      <c r="Y117" s="583"/>
      <c r="Z117" s="16"/>
      <c r="AA117" s="16"/>
      <c r="AB117" s="16"/>
      <c r="AC117" s="16"/>
      <c r="AD117" s="16"/>
      <c r="AE117" s="16"/>
      <c r="AF117" s="16"/>
      <c r="AG117" s="16"/>
      <c r="AH117" s="16"/>
      <c r="AI117" s="16"/>
      <c r="AJ117" s="16"/>
      <c r="AK117" s="16"/>
      <c r="AL117" s="16"/>
      <c r="AM117" s="16"/>
      <c r="AN117" s="16"/>
      <c r="AO117" s="16"/>
      <c r="AP117" s="16"/>
      <c r="AQ117" s="16"/>
      <c r="AR117" s="16"/>
      <c r="AS117" s="16"/>
      <c r="AT117" s="16"/>
      <c r="AU117" s="16"/>
      <c r="AV117" s="16"/>
      <c r="AW117" s="16"/>
      <c r="AX117" s="16"/>
      <c r="AY117" s="16"/>
      <c r="AZ117" s="16"/>
      <c r="BA117" s="16"/>
      <c r="BB117" s="16"/>
      <c r="BC117" s="16"/>
      <c r="BD117" s="16"/>
      <c r="BE117" s="16"/>
      <c r="BF117" s="16"/>
      <c r="BG117" s="16"/>
      <c r="BH117" s="16"/>
      <c r="BI117" s="16"/>
      <c r="BJ117" s="16"/>
    </row>
    <row r="118" spans="1:62" ht="15" customHeight="1" x14ac:dyDescent="0.2">
      <c r="A118" s="16"/>
      <c r="B118" s="16"/>
      <c r="C118" s="16"/>
      <c r="D118" s="16"/>
      <c r="E118" s="16"/>
      <c r="F118" s="16"/>
      <c r="G118" s="16"/>
      <c r="H118" s="16"/>
      <c r="I118" s="16"/>
      <c r="J118" s="16"/>
      <c r="K118" s="16"/>
      <c r="L118" s="16"/>
      <c r="M118" s="16"/>
      <c r="N118" s="16"/>
      <c r="O118" s="16"/>
      <c r="P118" s="16"/>
      <c r="Q118" s="16"/>
      <c r="R118" s="16"/>
      <c r="S118" s="16"/>
      <c r="T118" s="16"/>
      <c r="U118" s="16"/>
      <c r="V118" s="16"/>
      <c r="W118" s="16"/>
      <c r="X118" s="16"/>
      <c r="Y118" s="583"/>
      <c r="Z118" s="16"/>
      <c r="AA118" s="16"/>
      <c r="AB118" s="16"/>
      <c r="AC118" s="16"/>
      <c r="AD118" s="16"/>
      <c r="AE118" s="16"/>
      <c r="AF118" s="16"/>
      <c r="AG118" s="16"/>
      <c r="AH118" s="16"/>
      <c r="AI118" s="16"/>
      <c r="AJ118" s="16"/>
      <c r="AK118" s="16"/>
      <c r="AL118" s="16"/>
      <c r="AM118" s="16"/>
      <c r="AN118" s="16"/>
      <c r="AO118" s="16"/>
      <c r="AP118" s="16"/>
      <c r="AQ118" s="16"/>
      <c r="AR118" s="16"/>
      <c r="AS118" s="16"/>
      <c r="AT118" s="16"/>
      <c r="AU118" s="16"/>
      <c r="AV118" s="16"/>
      <c r="AW118" s="16"/>
      <c r="AX118" s="16"/>
      <c r="AY118" s="16"/>
      <c r="AZ118" s="16"/>
      <c r="BA118" s="16"/>
      <c r="BB118" s="16"/>
      <c r="BC118" s="16"/>
      <c r="BD118" s="16"/>
      <c r="BE118" s="16"/>
      <c r="BF118" s="16"/>
      <c r="BG118" s="16"/>
      <c r="BH118" s="16"/>
      <c r="BI118" s="16"/>
      <c r="BJ118" s="16"/>
    </row>
    <row r="119" spans="1:62" ht="15" customHeight="1" x14ac:dyDescent="0.2">
      <c r="A119" s="16"/>
      <c r="B119" s="16"/>
      <c r="C119" s="16"/>
      <c r="D119" s="16"/>
      <c r="E119" s="16"/>
      <c r="F119" s="16"/>
      <c r="G119" s="16"/>
      <c r="H119" s="16"/>
      <c r="I119" s="16"/>
      <c r="J119" s="16"/>
      <c r="K119" s="16"/>
      <c r="L119" s="16"/>
      <c r="M119" s="16"/>
      <c r="N119" s="16"/>
      <c r="O119" s="16"/>
      <c r="P119" s="16"/>
      <c r="Q119" s="16"/>
      <c r="R119" s="16"/>
      <c r="S119" s="16"/>
      <c r="T119" s="16"/>
      <c r="U119" s="16"/>
      <c r="V119" s="16"/>
      <c r="W119" s="16"/>
      <c r="X119" s="16"/>
      <c r="Y119" s="583"/>
      <c r="Z119" s="16"/>
      <c r="AA119" s="16"/>
      <c r="AB119" s="16"/>
      <c r="AC119" s="16"/>
      <c r="AD119" s="16"/>
      <c r="AE119" s="16"/>
      <c r="AF119" s="16"/>
      <c r="AG119" s="16"/>
      <c r="AH119" s="16"/>
      <c r="AI119" s="16"/>
      <c r="AJ119" s="16"/>
      <c r="AK119" s="16"/>
      <c r="AL119" s="16"/>
      <c r="AM119" s="16"/>
      <c r="AN119" s="16"/>
      <c r="AO119" s="16"/>
      <c r="AP119" s="16"/>
      <c r="AQ119" s="16"/>
      <c r="AR119" s="16"/>
      <c r="AS119" s="16"/>
      <c r="AT119" s="16"/>
      <c r="AU119" s="16"/>
      <c r="AV119" s="16"/>
      <c r="AW119" s="16"/>
      <c r="AX119" s="16"/>
      <c r="AY119" s="16"/>
      <c r="AZ119" s="16"/>
      <c r="BA119" s="16"/>
      <c r="BB119" s="16"/>
      <c r="BC119" s="16"/>
      <c r="BD119" s="16"/>
      <c r="BE119" s="16"/>
      <c r="BF119" s="16"/>
      <c r="BG119" s="16"/>
      <c r="BH119" s="16"/>
      <c r="BI119" s="16"/>
      <c r="BJ119" s="16"/>
    </row>
    <row r="120" spans="1:62" ht="15" customHeight="1" x14ac:dyDescent="0.2">
      <c r="A120" s="16"/>
      <c r="B120" s="16"/>
      <c r="C120" s="16"/>
      <c r="D120" s="16"/>
      <c r="E120" s="16"/>
      <c r="F120" s="16"/>
      <c r="G120" s="16"/>
      <c r="H120" s="16"/>
      <c r="I120" s="16"/>
      <c r="J120" s="16"/>
      <c r="K120" s="16"/>
      <c r="L120" s="16"/>
      <c r="M120" s="16"/>
      <c r="N120" s="16"/>
      <c r="O120" s="16"/>
      <c r="P120" s="16"/>
      <c r="Q120" s="16"/>
      <c r="R120" s="16"/>
      <c r="S120" s="16"/>
      <c r="T120" s="16"/>
      <c r="U120" s="16"/>
      <c r="V120" s="16"/>
      <c r="W120" s="16"/>
      <c r="X120" s="16"/>
      <c r="Y120" s="583"/>
      <c r="Z120" s="16"/>
      <c r="AA120" s="16"/>
      <c r="AB120" s="16"/>
      <c r="AC120" s="16"/>
      <c r="AD120" s="16"/>
      <c r="AE120" s="16"/>
      <c r="AF120" s="16"/>
      <c r="AG120" s="16"/>
      <c r="AH120" s="16"/>
      <c r="AI120" s="16"/>
      <c r="AJ120" s="16"/>
      <c r="AK120" s="16"/>
      <c r="AL120" s="16"/>
      <c r="AM120" s="16"/>
      <c r="AN120" s="16"/>
      <c r="AO120" s="16"/>
      <c r="AP120" s="16"/>
      <c r="AQ120" s="16"/>
      <c r="AR120" s="16"/>
      <c r="AS120" s="16"/>
      <c r="AT120" s="16"/>
      <c r="AU120" s="16"/>
      <c r="AV120" s="16"/>
      <c r="AW120" s="16"/>
      <c r="AX120" s="16"/>
      <c r="AY120" s="16"/>
      <c r="AZ120" s="16"/>
      <c r="BA120" s="16"/>
      <c r="BB120" s="16"/>
      <c r="BC120" s="16"/>
      <c r="BD120" s="16"/>
      <c r="BE120" s="16"/>
      <c r="BF120" s="16"/>
      <c r="BG120" s="16"/>
      <c r="BH120" s="16"/>
      <c r="BI120" s="16"/>
      <c r="BJ120" s="16"/>
    </row>
    <row r="121" spans="1:62" ht="15" customHeight="1" x14ac:dyDescent="0.2">
      <c r="A121" s="16"/>
      <c r="B121" s="16"/>
      <c r="C121" s="16"/>
      <c r="D121" s="16"/>
      <c r="E121" s="16"/>
      <c r="F121" s="16"/>
      <c r="G121" s="16"/>
      <c r="H121" s="16"/>
      <c r="I121" s="16"/>
      <c r="J121" s="16"/>
      <c r="K121" s="16"/>
      <c r="L121" s="16"/>
      <c r="M121" s="16"/>
      <c r="N121" s="16"/>
      <c r="O121" s="16"/>
      <c r="P121" s="16"/>
      <c r="Q121" s="16"/>
      <c r="R121" s="16"/>
      <c r="S121" s="16"/>
      <c r="T121" s="16"/>
      <c r="U121" s="16"/>
      <c r="V121" s="16"/>
      <c r="W121" s="16"/>
      <c r="X121" s="16"/>
      <c r="Y121" s="583"/>
      <c r="Z121" s="16"/>
      <c r="AA121" s="16"/>
      <c r="AB121" s="16"/>
      <c r="AC121" s="16"/>
      <c r="AD121" s="16"/>
      <c r="AE121" s="16"/>
      <c r="AF121" s="16"/>
      <c r="AG121" s="16"/>
      <c r="AH121" s="16"/>
      <c r="AI121" s="16"/>
      <c r="AJ121" s="16"/>
      <c r="AK121" s="16"/>
      <c r="AL121" s="16"/>
      <c r="AM121" s="16"/>
      <c r="AN121" s="16"/>
      <c r="AO121" s="16"/>
      <c r="AP121" s="16"/>
      <c r="AQ121" s="16"/>
      <c r="AR121" s="16"/>
      <c r="AS121" s="16"/>
      <c r="AT121" s="16"/>
      <c r="AU121" s="16"/>
      <c r="AV121" s="16"/>
      <c r="AW121" s="16"/>
      <c r="AX121" s="16"/>
      <c r="AY121" s="16"/>
      <c r="AZ121" s="16"/>
      <c r="BA121" s="16"/>
      <c r="BB121" s="16"/>
      <c r="BC121" s="16"/>
      <c r="BD121" s="16"/>
      <c r="BE121" s="16"/>
      <c r="BF121" s="16"/>
      <c r="BG121" s="16"/>
      <c r="BH121" s="16"/>
      <c r="BI121" s="16"/>
      <c r="BJ121" s="16"/>
    </row>
    <row r="122" spans="1:62" ht="15" customHeight="1" x14ac:dyDescent="0.2">
      <c r="A122" s="16"/>
      <c r="B122" s="16"/>
      <c r="C122" s="16"/>
      <c r="D122" s="16"/>
      <c r="E122" s="16"/>
      <c r="F122" s="16"/>
      <c r="G122" s="16"/>
      <c r="H122" s="16"/>
      <c r="I122" s="16"/>
      <c r="J122" s="16"/>
      <c r="K122" s="16"/>
      <c r="L122" s="16"/>
      <c r="M122" s="16"/>
      <c r="N122" s="16"/>
      <c r="O122" s="16"/>
      <c r="P122" s="16"/>
      <c r="Q122" s="16"/>
      <c r="R122" s="16"/>
      <c r="S122" s="16"/>
      <c r="T122" s="16"/>
      <c r="U122" s="16"/>
      <c r="V122" s="16"/>
      <c r="W122" s="16"/>
      <c r="X122" s="16"/>
      <c r="Y122" s="583"/>
      <c r="Z122" s="16"/>
      <c r="AA122" s="16"/>
      <c r="AB122" s="16"/>
      <c r="AC122" s="16"/>
      <c r="AD122" s="16"/>
      <c r="AE122" s="16"/>
      <c r="AF122" s="16"/>
      <c r="AG122" s="16"/>
      <c r="AH122" s="16"/>
      <c r="AI122" s="16"/>
      <c r="AJ122" s="16"/>
      <c r="AK122" s="16"/>
      <c r="AL122" s="16"/>
      <c r="AM122" s="16"/>
      <c r="AN122" s="16"/>
      <c r="AO122" s="16"/>
      <c r="AP122" s="16"/>
      <c r="AQ122" s="16"/>
      <c r="AR122" s="16"/>
      <c r="AS122" s="16"/>
      <c r="AT122" s="16"/>
      <c r="AU122" s="16"/>
      <c r="AV122" s="16"/>
      <c r="AW122" s="16"/>
      <c r="AX122" s="16"/>
      <c r="AY122" s="16"/>
      <c r="AZ122" s="16"/>
      <c r="BA122" s="16"/>
      <c r="BB122" s="16"/>
      <c r="BC122" s="16"/>
      <c r="BD122" s="16"/>
      <c r="BE122" s="16"/>
      <c r="BF122" s="16"/>
      <c r="BG122" s="16"/>
      <c r="BH122" s="16"/>
      <c r="BI122" s="16"/>
      <c r="BJ122" s="16"/>
    </row>
    <row r="123" spans="1:62" ht="15" customHeight="1" x14ac:dyDescent="0.2">
      <c r="A123" s="16"/>
      <c r="B123" s="16"/>
      <c r="C123" s="16"/>
      <c r="D123" s="16"/>
      <c r="E123" s="16"/>
      <c r="F123" s="16"/>
      <c r="G123" s="16"/>
      <c r="H123" s="16"/>
      <c r="I123" s="16"/>
      <c r="J123" s="16"/>
      <c r="K123" s="16"/>
      <c r="L123" s="16"/>
      <c r="M123" s="16"/>
      <c r="N123" s="16"/>
      <c r="O123" s="16"/>
      <c r="P123" s="16"/>
      <c r="Q123" s="16"/>
      <c r="R123" s="16"/>
      <c r="S123" s="16"/>
      <c r="T123" s="16"/>
      <c r="U123" s="16"/>
      <c r="V123" s="16"/>
      <c r="W123" s="16"/>
      <c r="X123" s="16"/>
      <c r="Y123" s="583"/>
      <c r="Z123" s="16"/>
      <c r="AA123" s="16"/>
      <c r="AB123" s="16"/>
      <c r="AC123" s="16"/>
      <c r="AD123" s="16"/>
      <c r="AE123" s="16"/>
      <c r="AF123" s="16"/>
      <c r="AG123" s="16"/>
      <c r="AH123" s="16"/>
      <c r="AI123" s="16"/>
      <c r="AJ123" s="16"/>
      <c r="AK123" s="16"/>
      <c r="AL123" s="16"/>
      <c r="AM123" s="16"/>
      <c r="AN123" s="16"/>
      <c r="AO123" s="16"/>
      <c r="AP123" s="16"/>
      <c r="AQ123" s="16"/>
      <c r="AR123" s="16"/>
      <c r="AS123" s="16"/>
      <c r="AT123" s="16"/>
      <c r="AU123" s="16"/>
      <c r="AV123" s="16"/>
      <c r="AW123" s="16"/>
      <c r="AX123" s="16"/>
      <c r="AY123" s="16"/>
      <c r="AZ123" s="16"/>
      <c r="BA123" s="16"/>
      <c r="BB123" s="16"/>
      <c r="BC123" s="16"/>
      <c r="BD123" s="16"/>
      <c r="BE123" s="16"/>
      <c r="BF123" s="16"/>
      <c r="BG123" s="16"/>
      <c r="BH123" s="16"/>
      <c r="BI123" s="16"/>
      <c r="BJ123" s="16"/>
    </row>
    <row r="124" spans="1:62" ht="15" customHeight="1" x14ac:dyDescent="0.2">
      <c r="A124" s="16"/>
      <c r="B124" s="16"/>
      <c r="C124" s="16"/>
      <c r="D124" s="16"/>
      <c r="E124" s="16"/>
      <c r="F124" s="16"/>
      <c r="G124" s="16"/>
      <c r="H124" s="16"/>
      <c r="I124" s="16"/>
      <c r="J124" s="16"/>
      <c r="K124" s="16"/>
      <c r="L124" s="16"/>
      <c r="M124" s="16"/>
      <c r="N124" s="16"/>
      <c r="O124" s="16"/>
      <c r="P124" s="16"/>
      <c r="Q124" s="16"/>
      <c r="R124" s="16"/>
      <c r="S124" s="16"/>
      <c r="T124" s="16"/>
      <c r="U124" s="16"/>
      <c r="V124" s="16"/>
      <c r="W124" s="16"/>
      <c r="X124" s="16"/>
      <c r="Y124" s="583"/>
      <c r="Z124" s="16"/>
      <c r="AA124" s="16"/>
      <c r="AB124" s="16"/>
      <c r="AC124" s="16"/>
      <c r="AD124" s="16"/>
      <c r="AE124" s="16"/>
      <c r="AF124" s="16"/>
      <c r="AG124" s="16"/>
      <c r="AH124" s="16"/>
      <c r="AI124" s="16"/>
      <c r="AJ124" s="16"/>
      <c r="AK124" s="16"/>
      <c r="AL124" s="16"/>
      <c r="AM124" s="16"/>
      <c r="AN124" s="16"/>
      <c r="AO124" s="16"/>
      <c r="AP124" s="16"/>
      <c r="AQ124" s="16"/>
      <c r="AR124" s="16"/>
      <c r="AS124" s="16"/>
      <c r="AT124" s="16"/>
      <c r="AU124" s="16"/>
      <c r="AV124" s="16"/>
      <c r="AW124" s="16"/>
      <c r="AX124" s="16"/>
      <c r="AY124" s="16"/>
      <c r="AZ124" s="16"/>
      <c r="BA124" s="16"/>
      <c r="BB124" s="16"/>
      <c r="BC124" s="16"/>
      <c r="BD124" s="16"/>
      <c r="BE124" s="16"/>
      <c r="BF124" s="16"/>
      <c r="BG124" s="16"/>
      <c r="BH124" s="16"/>
      <c r="BI124" s="16"/>
      <c r="BJ124" s="16"/>
    </row>
    <row r="125" spans="1:62" ht="15" customHeight="1" x14ac:dyDescent="0.2">
      <c r="A125" s="16"/>
      <c r="B125" s="16"/>
      <c r="C125" s="16"/>
      <c r="D125" s="16"/>
      <c r="E125" s="16"/>
      <c r="F125" s="16"/>
      <c r="G125" s="16"/>
      <c r="H125" s="16"/>
      <c r="I125" s="16"/>
      <c r="J125" s="16"/>
      <c r="K125" s="16"/>
      <c r="L125" s="16"/>
      <c r="M125" s="16"/>
      <c r="N125" s="16"/>
      <c r="O125" s="16"/>
      <c r="P125" s="16"/>
      <c r="Q125" s="16"/>
      <c r="R125" s="16"/>
      <c r="S125" s="16"/>
      <c r="T125" s="16"/>
      <c r="U125" s="16"/>
      <c r="V125" s="16"/>
      <c r="W125" s="16"/>
      <c r="X125" s="16"/>
      <c r="Y125" s="583"/>
      <c r="Z125" s="16"/>
      <c r="AA125" s="16"/>
      <c r="AB125" s="16"/>
      <c r="AC125" s="16"/>
      <c r="AD125" s="16"/>
      <c r="AE125" s="16"/>
      <c r="AF125" s="16"/>
      <c r="AG125" s="16"/>
      <c r="AH125" s="16"/>
      <c r="AI125" s="16"/>
      <c r="AJ125" s="16"/>
      <c r="AK125" s="16"/>
      <c r="AL125" s="16"/>
      <c r="AM125" s="16"/>
      <c r="AN125" s="16"/>
      <c r="AO125" s="16"/>
      <c r="AP125" s="16"/>
      <c r="AQ125" s="16"/>
      <c r="AR125" s="16"/>
      <c r="AS125" s="16"/>
      <c r="AT125" s="16"/>
      <c r="AU125" s="16"/>
      <c r="AV125" s="16"/>
      <c r="AW125" s="16"/>
      <c r="AX125" s="16"/>
      <c r="AY125" s="16"/>
      <c r="AZ125" s="16"/>
      <c r="BA125" s="16"/>
      <c r="BB125" s="16"/>
      <c r="BC125" s="16"/>
      <c r="BD125" s="16"/>
      <c r="BE125" s="16"/>
      <c r="BF125" s="16"/>
      <c r="BG125" s="16"/>
      <c r="BH125" s="16"/>
      <c r="BI125" s="16"/>
      <c r="BJ125" s="16"/>
    </row>
    <row r="126" spans="1:62" ht="15" customHeight="1" x14ac:dyDescent="0.2">
      <c r="A126" s="16"/>
      <c r="B126" s="16"/>
      <c r="C126" s="16"/>
      <c r="D126" s="16"/>
      <c r="E126" s="16"/>
      <c r="F126" s="16"/>
      <c r="G126" s="16"/>
      <c r="H126" s="16"/>
      <c r="I126" s="16"/>
      <c r="J126" s="16"/>
      <c r="K126" s="16"/>
      <c r="L126" s="16"/>
      <c r="M126" s="16"/>
      <c r="N126" s="16"/>
      <c r="O126" s="16"/>
      <c r="P126" s="16"/>
      <c r="Q126" s="16"/>
      <c r="R126" s="16"/>
      <c r="S126" s="16"/>
      <c r="T126" s="16"/>
      <c r="U126" s="16"/>
      <c r="V126" s="16"/>
      <c r="W126" s="16"/>
      <c r="X126" s="16"/>
      <c r="Y126" s="583"/>
      <c r="Z126" s="16"/>
      <c r="AA126" s="16"/>
      <c r="AB126" s="16"/>
      <c r="AC126" s="16"/>
      <c r="AD126" s="16"/>
      <c r="AE126" s="16"/>
      <c r="AF126" s="16"/>
      <c r="AG126" s="16"/>
      <c r="AH126" s="16"/>
      <c r="AI126" s="16"/>
      <c r="AJ126" s="16"/>
      <c r="AK126" s="16"/>
      <c r="AL126" s="16"/>
      <c r="AM126" s="16"/>
      <c r="AN126" s="16"/>
      <c r="AO126" s="16"/>
      <c r="AP126" s="16"/>
      <c r="AQ126" s="16"/>
      <c r="AR126" s="16"/>
      <c r="AS126" s="16"/>
      <c r="AT126" s="16"/>
      <c r="AU126" s="16"/>
      <c r="AV126" s="16"/>
      <c r="AW126" s="16"/>
      <c r="AX126" s="16"/>
      <c r="AY126" s="16"/>
      <c r="AZ126" s="16"/>
      <c r="BA126" s="16"/>
      <c r="BB126" s="16"/>
      <c r="BC126" s="16"/>
      <c r="BD126" s="16"/>
      <c r="BE126" s="16"/>
      <c r="BF126" s="16"/>
      <c r="BG126" s="16"/>
      <c r="BH126" s="16"/>
      <c r="BI126" s="16"/>
      <c r="BJ126" s="16"/>
    </row>
    <row r="127" spans="1:62" ht="15" customHeight="1" x14ac:dyDescent="0.2">
      <c r="A127" s="16"/>
      <c r="B127" s="16"/>
      <c r="C127" s="16"/>
      <c r="D127" s="16"/>
      <c r="E127" s="16"/>
      <c r="F127" s="16"/>
      <c r="G127" s="16"/>
      <c r="H127" s="16"/>
      <c r="I127" s="16"/>
      <c r="J127" s="16"/>
      <c r="K127" s="16"/>
      <c r="L127" s="16"/>
      <c r="M127" s="16"/>
      <c r="N127" s="16"/>
      <c r="O127" s="16"/>
      <c r="P127" s="16"/>
      <c r="Q127" s="16"/>
      <c r="R127" s="16"/>
      <c r="S127" s="16"/>
      <c r="T127" s="16"/>
      <c r="U127" s="16"/>
      <c r="V127" s="16"/>
      <c r="W127" s="16"/>
      <c r="X127" s="16"/>
      <c r="Y127" s="583"/>
      <c r="Z127" s="16"/>
      <c r="AA127" s="16"/>
      <c r="AB127" s="16"/>
      <c r="AC127" s="16"/>
      <c r="AD127" s="16"/>
      <c r="AE127" s="16"/>
      <c r="AF127" s="16"/>
      <c r="AG127" s="16"/>
      <c r="AH127" s="16"/>
      <c r="AI127" s="16"/>
      <c r="AJ127" s="16"/>
      <c r="AK127" s="16"/>
      <c r="AL127" s="16"/>
      <c r="AM127" s="16"/>
      <c r="AN127" s="16"/>
      <c r="AO127" s="16"/>
      <c r="AP127" s="16"/>
      <c r="AQ127" s="16"/>
      <c r="AR127" s="16"/>
      <c r="AS127" s="16"/>
      <c r="AT127" s="16"/>
      <c r="AU127" s="16"/>
      <c r="AV127" s="16"/>
      <c r="AW127" s="16"/>
      <c r="AX127" s="16"/>
      <c r="AY127" s="16"/>
      <c r="AZ127" s="16"/>
      <c r="BA127" s="16"/>
      <c r="BB127" s="16"/>
      <c r="BC127" s="16"/>
      <c r="BD127" s="16"/>
      <c r="BE127" s="16"/>
      <c r="BF127" s="16"/>
      <c r="BG127" s="16"/>
      <c r="BH127" s="16"/>
      <c r="BI127" s="16"/>
      <c r="BJ127" s="16"/>
    </row>
    <row r="128" spans="1:62" ht="15" customHeight="1" x14ac:dyDescent="0.2">
      <c r="A128" s="16"/>
      <c r="B128" s="16"/>
      <c r="C128" s="16"/>
      <c r="D128" s="16"/>
      <c r="E128" s="16"/>
      <c r="F128" s="16"/>
      <c r="G128" s="16"/>
      <c r="H128" s="16"/>
      <c r="I128" s="16"/>
      <c r="J128" s="16"/>
      <c r="K128" s="16"/>
      <c r="L128" s="16"/>
      <c r="M128" s="16"/>
      <c r="N128" s="16"/>
      <c r="O128" s="16"/>
      <c r="P128" s="16"/>
      <c r="Q128" s="16"/>
      <c r="R128" s="16"/>
      <c r="S128" s="16"/>
      <c r="T128" s="16"/>
      <c r="U128" s="16"/>
      <c r="V128" s="16"/>
      <c r="W128" s="16"/>
      <c r="X128" s="16"/>
      <c r="Y128" s="583"/>
      <c r="Z128" s="16"/>
      <c r="AA128" s="16"/>
      <c r="AB128" s="16"/>
      <c r="AC128" s="16"/>
      <c r="AD128" s="16"/>
      <c r="AE128" s="16"/>
      <c r="AF128" s="16"/>
      <c r="AG128" s="16"/>
      <c r="AH128" s="16"/>
      <c r="AI128" s="16"/>
      <c r="AJ128" s="16"/>
      <c r="AK128" s="16"/>
      <c r="AL128" s="16"/>
      <c r="AM128" s="16"/>
      <c r="AN128" s="16"/>
      <c r="AO128" s="16"/>
      <c r="AP128" s="16"/>
      <c r="AQ128" s="16"/>
      <c r="AR128" s="16"/>
      <c r="AS128" s="16"/>
      <c r="AT128" s="16"/>
      <c r="AU128" s="16"/>
      <c r="AV128" s="16"/>
      <c r="AW128" s="16"/>
      <c r="AX128" s="16"/>
      <c r="AY128" s="16"/>
      <c r="AZ128" s="16"/>
      <c r="BA128" s="16"/>
      <c r="BB128" s="16"/>
      <c r="BC128" s="16"/>
      <c r="BD128" s="16"/>
      <c r="BE128" s="16"/>
      <c r="BF128" s="16"/>
      <c r="BG128" s="16"/>
      <c r="BH128" s="16"/>
      <c r="BI128" s="16"/>
      <c r="BJ128" s="16"/>
    </row>
    <row r="129" spans="1:62" ht="15" customHeight="1" x14ac:dyDescent="0.2">
      <c r="A129" s="16"/>
      <c r="B129" s="16"/>
      <c r="C129" s="16"/>
      <c r="D129" s="16"/>
      <c r="E129" s="16"/>
      <c r="F129" s="16"/>
      <c r="G129" s="16"/>
      <c r="H129" s="16"/>
      <c r="I129" s="16"/>
      <c r="J129" s="16"/>
      <c r="K129" s="16"/>
      <c r="L129" s="16"/>
      <c r="M129" s="16"/>
      <c r="N129" s="16"/>
      <c r="O129" s="16"/>
      <c r="P129" s="16"/>
      <c r="Q129" s="16"/>
      <c r="R129" s="16"/>
      <c r="S129" s="16"/>
      <c r="T129" s="16"/>
      <c r="U129" s="16"/>
      <c r="V129" s="16"/>
      <c r="W129" s="16"/>
      <c r="X129" s="16"/>
      <c r="Y129" s="583"/>
      <c r="Z129" s="16"/>
      <c r="AA129" s="16"/>
      <c r="AB129" s="16"/>
      <c r="AC129" s="16"/>
      <c r="AD129" s="16"/>
      <c r="AE129" s="16"/>
      <c r="AF129" s="16"/>
      <c r="AG129" s="16"/>
      <c r="AH129" s="16"/>
      <c r="AI129" s="16"/>
      <c r="AJ129" s="16"/>
      <c r="AK129" s="16"/>
      <c r="AL129" s="16"/>
      <c r="AM129" s="16"/>
      <c r="AN129" s="16"/>
      <c r="AO129" s="16"/>
      <c r="AP129" s="16"/>
      <c r="AQ129" s="16"/>
      <c r="AR129" s="16"/>
      <c r="AS129" s="16"/>
      <c r="AT129" s="16"/>
      <c r="AU129" s="16"/>
      <c r="AV129" s="16"/>
      <c r="AW129" s="16"/>
      <c r="AX129" s="16"/>
      <c r="AY129" s="16"/>
      <c r="AZ129" s="16"/>
      <c r="BA129" s="16"/>
      <c r="BB129" s="16"/>
      <c r="BC129" s="16"/>
      <c r="BD129" s="16"/>
      <c r="BE129" s="16"/>
      <c r="BF129" s="16"/>
      <c r="BG129" s="16"/>
      <c r="BH129" s="16"/>
      <c r="BI129" s="16"/>
      <c r="BJ129" s="16"/>
    </row>
    <row r="130" spans="1:62" ht="15" customHeight="1" x14ac:dyDescent="0.2">
      <c r="A130" s="16"/>
      <c r="B130" s="16"/>
      <c r="C130" s="16"/>
      <c r="D130" s="16"/>
      <c r="E130" s="16"/>
      <c r="F130" s="16"/>
      <c r="G130" s="16"/>
      <c r="H130" s="16"/>
      <c r="I130" s="16"/>
      <c r="J130" s="16"/>
      <c r="K130" s="16"/>
      <c r="L130" s="16"/>
      <c r="M130" s="16"/>
      <c r="N130" s="16"/>
      <c r="O130" s="16"/>
      <c r="P130" s="16"/>
      <c r="Q130" s="16"/>
      <c r="R130" s="16"/>
      <c r="S130" s="16"/>
      <c r="T130" s="16"/>
      <c r="U130" s="16"/>
      <c r="V130" s="16"/>
      <c r="W130" s="16"/>
      <c r="X130" s="16"/>
      <c r="Y130" s="583"/>
      <c r="Z130" s="16"/>
      <c r="AA130" s="16"/>
      <c r="AB130" s="16"/>
      <c r="AC130" s="16"/>
      <c r="AD130" s="16"/>
      <c r="AE130" s="16"/>
      <c r="AF130" s="16"/>
      <c r="AG130" s="16"/>
      <c r="AH130" s="16"/>
      <c r="AI130" s="16"/>
      <c r="AJ130" s="16"/>
      <c r="AK130" s="16"/>
      <c r="AL130" s="16"/>
      <c r="AM130" s="16"/>
      <c r="AN130" s="16"/>
      <c r="AO130" s="16"/>
      <c r="AP130" s="16"/>
      <c r="AQ130" s="16"/>
      <c r="AR130" s="16"/>
      <c r="AS130" s="16"/>
      <c r="AT130" s="16"/>
      <c r="AU130" s="16"/>
      <c r="AV130" s="16"/>
      <c r="AW130" s="16"/>
      <c r="AX130" s="16"/>
      <c r="AY130" s="16"/>
      <c r="AZ130" s="16"/>
      <c r="BA130" s="16"/>
      <c r="BB130" s="16"/>
      <c r="BC130" s="16"/>
      <c r="BD130" s="16"/>
      <c r="BE130" s="16"/>
      <c r="BF130" s="16"/>
      <c r="BG130" s="16"/>
      <c r="BH130" s="16"/>
      <c r="BI130" s="16"/>
      <c r="BJ130" s="16"/>
    </row>
    <row r="131" spans="1:62" ht="15" customHeight="1" x14ac:dyDescent="0.2">
      <c r="A131" s="16"/>
      <c r="B131" s="16"/>
      <c r="C131" s="16"/>
      <c r="D131" s="16"/>
      <c r="E131" s="16"/>
      <c r="F131" s="16"/>
      <c r="G131" s="16"/>
      <c r="H131" s="16"/>
      <c r="I131" s="16"/>
      <c r="J131" s="16"/>
      <c r="K131" s="16"/>
      <c r="L131" s="16"/>
      <c r="M131" s="16"/>
      <c r="N131" s="16"/>
      <c r="O131" s="16"/>
      <c r="P131" s="16"/>
      <c r="Q131" s="16"/>
      <c r="AF131" s="16"/>
      <c r="AG131" s="16"/>
      <c r="AH131" s="16"/>
      <c r="AI131" s="16"/>
      <c r="AJ131" s="16"/>
      <c r="AK131" s="16"/>
      <c r="AL131" s="16"/>
      <c r="AM131" s="16"/>
      <c r="AN131" s="16"/>
      <c r="AO131" s="16"/>
      <c r="AP131" s="16"/>
      <c r="AQ131" s="16"/>
      <c r="AR131" s="16"/>
      <c r="AS131" s="16"/>
      <c r="AT131" s="16"/>
      <c r="AU131" s="16"/>
      <c r="AV131" s="16"/>
      <c r="AW131" s="16"/>
      <c r="AX131" s="16"/>
      <c r="AY131" s="16"/>
      <c r="AZ131" s="16"/>
      <c r="BA131" s="16"/>
      <c r="BB131" s="16"/>
      <c r="BC131" s="16"/>
      <c r="BD131" s="16"/>
      <c r="BE131" s="16"/>
      <c r="BF131" s="16"/>
      <c r="BG131" s="16"/>
      <c r="BH131" s="16"/>
      <c r="BI131" s="16"/>
      <c r="BJ131" s="16"/>
    </row>
    <row r="132" spans="1:62" ht="15" customHeight="1" x14ac:dyDescent="0.2">
      <c r="A132" s="16"/>
      <c r="B132" s="16"/>
      <c r="C132" s="16"/>
      <c r="D132" s="16"/>
      <c r="E132" s="16"/>
      <c r="F132" s="16"/>
      <c r="G132" s="16"/>
      <c r="H132" s="16"/>
      <c r="I132" s="16"/>
      <c r="J132" s="16"/>
      <c r="K132" s="16"/>
      <c r="L132" s="16"/>
      <c r="M132" s="16"/>
      <c r="N132" s="16"/>
      <c r="O132" s="16"/>
      <c r="P132" s="16"/>
      <c r="Q132" s="16"/>
      <c r="AF132" s="16"/>
      <c r="AG132" s="16"/>
      <c r="AH132" s="16"/>
      <c r="AI132" s="16"/>
      <c r="AJ132" s="16"/>
      <c r="AK132" s="16"/>
      <c r="AL132" s="16"/>
      <c r="AM132" s="16"/>
      <c r="AN132" s="16"/>
      <c r="AO132" s="16"/>
      <c r="AP132" s="16"/>
      <c r="AQ132" s="16"/>
      <c r="AR132" s="16"/>
      <c r="AS132" s="16"/>
      <c r="AT132" s="16"/>
      <c r="AU132" s="16"/>
      <c r="AV132" s="16"/>
      <c r="AW132" s="16"/>
      <c r="AX132" s="16"/>
      <c r="AY132" s="16"/>
      <c r="AZ132" s="16"/>
      <c r="BA132" s="16"/>
      <c r="BB132" s="16"/>
      <c r="BC132" s="16"/>
      <c r="BD132" s="16"/>
      <c r="BE132" s="16"/>
      <c r="BF132" s="16"/>
      <c r="BG132" s="16"/>
      <c r="BH132" s="16"/>
      <c r="BI132" s="16"/>
      <c r="BJ132" s="16"/>
    </row>
    <row r="133" spans="1:62" ht="15" customHeight="1" x14ac:dyDescent="0.2">
      <c r="A133" s="16"/>
      <c r="B133" s="16"/>
      <c r="C133" s="16"/>
      <c r="D133" s="16"/>
      <c r="E133" s="16"/>
      <c r="F133" s="16"/>
      <c r="G133" s="16"/>
      <c r="H133" s="16"/>
      <c r="I133" s="16"/>
      <c r="J133" s="16"/>
      <c r="K133" s="16"/>
      <c r="L133" s="16"/>
      <c r="M133" s="16"/>
      <c r="N133" s="16"/>
      <c r="O133" s="16"/>
      <c r="P133" s="16"/>
      <c r="Q133" s="16"/>
      <c r="AF133" s="16"/>
      <c r="AG133" s="16"/>
      <c r="AH133" s="16"/>
      <c r="AI133" s="16"/>
      <c r="AJ133" s="16"/>
      <c r="AK133" s="16"/>
      <c r="AL133" s="16"/>
      <c r="AM133" s="16"/>
      <c r="AN133" s="16"/>
      <c r="AO133" s="16"/>
      <c r="AP133" s="16"/>
      <c r="AQ133" s="16"/>
      <c r="AR133" s="16"/>
      <c r="AS133" s="16"/>
      <c r="AT133" s="16"/>
      <c r="AU133" s="16"/>
      <c r="AV133" s="16"/>
      <c r="AW133" s="16"/>
      <c r="AX133" s="16"/>
      <c r="AY133" s="16"/>
      <c r="AZ133" s="16"/>
      <c r="BA133" s="16"/>
      <c r="BB133" s="16"/>
      <c r="BC133" s="16"/>
      <c r="BD133" s="16"/>
      <c r="BE133" s="16"/>
      <c r="BF133" s="16"/>
      <c r="BG133" s="16"/>
      <c r="BH133" s="16"/>
      <c r="BI133" s="16"/>
      <c r="BJ133" s="16"/>
    </row>
    <row r="134" spans="1:62" ht="15" customHeight="1" x14ac:dyDescent="0.2">
      <c r="A134" s="16"/>
      <c r="B134" s="16"/>
      <c r="C134" s="16"/>
      <c r="D134" s="16"/>
      <c r="E134" s="16"/>
      <c r="F134" s="16"/>
      <c r="G134" s="16"/>
      <c r="H134" s="16"/>
      <c r="I134" s="16"/>
      <c r="J134" s="16"/>
      <c r="K134" s="16"/>
      <c r="L134" s="16"/>
      <c r="M134" s="16"/>
      <c r="N134" s="16"/>
      <c r="O134" s="16"/>
      <c r="P134" s="16"/>
      <c r="Q134" s="16"/>
      <c r="AF134" s="16"/>
      <c r="AG134" s="16"/>
      <c r="AH134" s="16"/>
      <c r="AI134" s="16"/>
      <c r="AJ134" s="16"/>
      <c r="AK134" s="16"/>
      <c r="AL134" s="16"/>
      <c r="AM134" s="16"/>
      <c r="AN134" s="16"/>
      <c r="AO134" s="16"/>
      <c r="AP134" s="16"/>
      <c r="AQ134" s="16"/>
      <c r="AR134" s="16"/>
      <c r="AS134" s="16"/>
      <c r="AT134" s="16"/>
      <c r="AU134" s="16"/>
      <c r="AV134" s="16"/>
      <c r="AW134" s="16"/>
      <c r="AX134" s="16"/>
      <c r="AY134" s="16"/>
      <c r="AZ134" s="16"/>
      <c r="BA134" s="16"/>
      <c r="BB134" s="16"/>
      <c r="BC134" s="16"/>
      <c r="BD134" s="16"/>
      <c r="BE134" s="16"/>
      <c r="BF134" s="16"/>
      <c r="BG134" s="16"/>
      <c r="BH134" s="16"/>
      <c r="BI134" s="16"/>
      <c r="BJ134" s="16"/>
    </row>
    <row r="135" spans="1:62" ht="15" customHeight="1" x14ac:dyDescent="0.2">
      <c r="A135" s="16"/>
      <c r="B135" s="16"/>
      <c r="C135" s="16"/>
      <c r="D135" s="16"/>
      <c r="E135" s="16"/>
      <c r="F135" s="16"/>
      <c r="G135" s="16"/>
      <c r="H135" s="16"/>
      <c r="I135" s="16"/>
      <c r="J135" s="16"/>
      <c r="K135" s="16"/>
      <c r="L135" s="16"/>
      <c r="M135" s="16"/>
      <c r="N135" s="16"/>
      <c r="O135" s="16"/>
      <c r="P135" s="16"/>
      <c r="Q135" s="16"/>
      <c r="AF135" s="16"/>
      <c r="AG135" s="16"/>
      <c r="AH135" s="16"/>
      <c r="AI135" s="16"/>
      <c r="AJ135" s="16"/>
      <c r="AK135" s="16"/>
      <c r="AL135" s="16"/>
      <c r="AM135" s="16"/>
      <c r="AN135" s="16"/>
      <c r="AO135" s="16"/>
      <c r="AP135" s="16"/>
      <c r="AQ135" s="16"/>
      <c r="AR135" s="16"/>
      <c r="AS135" s="16"/>
      <c r="AT135" s="16"/>
      <c r="AU135" s="16"/>
      <c r="AV135" s="16"/>
      <c r="AW135" s="16"/>
      <c r="AX135" s="16"/>
      <c r="AY135" s="16"/>
      <c r="AZ135" s="16"/>
      <c r="BA135" s="16"/>
      <c r="BB135" s="16"/>
      <c r="BC135" s="16"/>
      <c r="BD135" s="16"/>
      <c r="BE135" s="16"/>
      <c r="BF135" s="16"/>
      <c r="BG135" s="16"/>
      <c r="BH135" s="16"/>
      <c r="BI135" s="16"/>
      <c r="BJ135" s="16"/>
    </row>
    <row r="136" spans="1:62" ht="15" customHeight="1" x14ac:dyDescent="0.2">
      <c r="A136" s="16"/>
      <c r="B136" s="16"/>
      <c r="C136" s="16"/>
      <c r="D136" s="16"/>
      <c r="E136" s="16"/>
      <c r="F136" s="16"/>
      <c r="G136" s="16"/>
      <c r="H136" s="16"/>
      <c r="I136" s="16"/>
      <c r="J136" s="16"/>
      <c r="K136" s="16"/>
      <c r="L136" s="16"/>
      <c r="M136" s="16"/>
      <c r="N136" s="16"/>
      <c r="O136" s="16"/>
      <c r="P136" s="16"/>
      <c r="Q136" s="16"/>
      <c r="AF136" s="16"/>
      <c r="AG136" s="16"/>
      <c r="AH136" s="16"/>
      <c r="AI136" s="16"/>
      <c r="AJ136" s="16"/>
      <c r="AK136" s="16"/>
      <c r="AL136" s="16"/>
      <c r="AM136" s="16"/>
      <c r="AN136" s="16"/>
      <c r="AO136" s="16"/>
      <c r="AP136" s="16"/>
      <c r="AQ136" s="16"/>
      <c r="AR136" s="16"/>
      <c r="AS136" s="16"/>
      <c r="AT136" s="16"/>
      <c r="AU136" s="16"/>
      <c r="AV136" s="16"/>
      <c r="AW136" s="16"/>
      <c r="AX136" s="16"/>
      <c r="AY136" s="16"/>
      <c r="AZ136" s="16"/>
      <c r="BA136" s="16"/>
      <c r="BB136" s="16"/>
      <c r="BC136" s="16"/>
      <c r="BD136" s="16"/>
      <c r="BE136" s="16"/>
      <c r="BF136" s="16"/>
      <c r="BG136" s="16"/>
      <c r="BH136" s="16"/>
      <c r="BI136" s="16"/>
      <c r="BJ136" s="16"/>
    </row>
    <row r="137" spans="1:62" ht="15" customHeight="1" x14ac:dyDescent="0.2">
      <c r="A137" s="16"/>
      <c r="B137" s="16"/>
      <c r="C137" s="16"/>
      <c r="D137" s="16"/>
      <c r="E137" s="16"/>
      <c r="F137" s="16"/>
      <c r="G137" s="16"/>
      <c r="H137" s="16"/>
      <c r="I137" s="16"/>
      <c r="J137" s="16"/>
      <c r="K137" s="16"/>
      <c r="L137" s="16"/>
      <c r="M137" s="16"/>
      <c r="N137" s="16"/>
      <c r="O137" s="16"/>
      <c r="P137" s="16"/>
      <c r="Q137" s="16"/>
      <c r="AF137" s="16"/>
      <c r="AG137" s="16"/>
      <c r="AH137" s="16"/>
      <c r="AI137" s="16"/>
      <c r="AJ137" s="16"/>
      <c r="AK137" s="16"/>
      <c r="AL137" s="16"/>
      <c r="AM137" s="16"/>
      <c r="AN137" s="16"/>
      <c r="AO137" s="16"/>
      <c r="AP137" s="16"/>
      <c r="AQ137" s="16"/>
      <c r="AR137" s="16"/>
      <c r="AS137" s="16"/>
      <c r="AT137" s="16"/>
      <c r="AU137" s="16"/>
      <c r="AV137" s="16"/>
      <c r="AW137" s="16"/>
      <c r="AX137" s="16"/>
      <c r="AY137" s="16"/>
      <c r="AZ137" s="16"/>
      <c r="BA137" s="16"/>
      <c r="BB137" s="16"/>
      <c r="BC137" s="16"/>
      <c r="BD137" s="16"/>
      <c r="BE137" s="16"/>
      <c r="BF137" s="16"/>
      <c r="BG137" s="16"/>
      <c r="BH137" s="16"/>
      <c r="BI137" s="16"/>
      <c r="BJ137" s="16"/>
    </row>
    <row r="138" spans="1:62" ht="15" customHeight="1" x14ac:dyDescent="0.2">
      <c r="A138" s="16"/>
      <c r="B138" s="16"/>
      <c r="C138" s="16"/>
      <c r="D138" s="16"/>
      <c r="E138" s="16"/>
      <c r="F138" s="16"/>
      <c r="G138" s="16"/>
      <c r="H138" s="16"/>
      <c r="I138" s="16"/>
      <c r="J138" s="16"/>
      <c r="K138" s="16"/>
      <c r="L138" s="16"/>
      <c r="M138" s="16"/>
      <c r="N138" s="16"/>
      <c r="O138" s="16"/>
      <c r="P138" s="16"/>
      <c r="Q138" s="16"/>
      <c r="AF138" s="16"/>
      <c r="AG138" s="16"/>
      <c r="AH138" s="16"/>
      <c r="AI138" s="16"/>
      <c r="AJ138" s="16"/>
      <c r="AK138" s="16"/>
      <c r="AL138" s="16"/>
      <c r="AM138" s="16"/>
      <c r="AN138" s="16"/>
      <c r="AO138" s="16"/>
      <c r="AP138" s="16"/>
      <c r="AQ138" s="16"/>
      <c r="AR138" s="16"/>
      <c r="AS138" s="16"/>
      <c r="AT138" s="16"/>
      <c r="AU138" s="16"/>
      <c r="AV138" s="16"/>
      <c r="AW138" s="16"/>
      <c r="AX138" s="16"/>
      <c r="AY138" s="16"/>
      <c r="AZ138" s="16"/>
      <c r="BA138" s="16"/>
      <c r="BB138" s="16"/>
      <c r="BC138" s="16"/>
      <c r="BD138" s="16"/>
      <c r="BE138" s="16"/>
      <c r="BF138" s="16"/>
      <c r="BG138" s="16"/>
      <c r="BH138" s="16"/>
      <c r="BI138" s="16"/>
      <c r="BJ138" s="16"/>
    </row>
    <row r="139" spans="1:62" ht="15" customHeight="1" x14ac:dyDescent="0.2">
      <c r="A139" s="16"/>
      <c r="B139" s="16"/>
      <c r="C139" s="16"/>
      <c r="D139" s="16"/>
      <c r="E139" s="16"/>
      <c r="F139" s="16"/>
      <c r="G139" s="16"/>
      <c r="H139" s="16"/>
      <c r="I139" s="16"/>
      <c r="J139" s="16"/>
      <c r="K139" s="16"/>
      <c r="L139" s="16"/>
      <c r="M139" s="16"/>
      <c r="N139" s="16"/>
      <c r="O139" s="16"/>
      <c r="P139" s="16"/>
      <c r="Q139" s="16"/>
      <c r="AF139" s="16"/>
      <c r="AG139" s="16"/>
      <c r="AH139" s="16"/>
      <c r="AI139" s="16"/>
      <c r="AJ139" s="16"/>
      <c r="AK139" s="16"/>
      <c r="AL139" s="16"/>
      <c r="AM139" s="16"/>
      <c r="AN139" s="16"/>
      <c r="AO139" s="16"/>
      <c r="AP139" s="16"/>
      <c r="AQ139" s="16"/>
      <c r="AR139" s="16"/>
      <c r="AS139" s="16"/>
      <c r="AT139" s="16"/>
      <c r="AU139" s="16"/>
      <c r="AV139" s="16"/>
      <c r="AW139" s="16"/>
      <c r="AX139" s="16"/>
      <c r="AY139" s="16"/>
      <c r="AZ139" s="16"/>
      <c r="BA139" s="16"/>
      <c r="BB139" s="16"/>
      <c r="BC139" s="16"/>
      <c r="BD139" s="16"/>
      <c r="BE139" s="16"/>
      <c r="BF139" s="16"/>
      <c r="BG139" s="16"/>
      <c r="BH139" s="16"/>
      <c r="BI139" s="16"/>
      <c r="BJ139" s="16"/>
    </row>
    <row r="140" spans="1:62" ht="15" customHeight="1" x14ac:dyDescent="0.2">
      <c r="A140" s="16"/>
      <c r="P140" s="16"/>
      <c r="Q140" s="16"/>
      <c r="AF140" s="16"/>
      <c r="AG140" s="16"/>
      <c r="AH140" s="16"/>
      <c r="AI140" s="16"/>
      <c r="AJ140" s="16"/>
      <c r="AK140" s="16"/>
      <c r="AL140" s="16"/>
      <c r="AM140" s="16"/>
      <c r="AN140" s="16"/>
      <c r="AO140" s="16"/>
      <c r="AP140" s="16"/>
      <c r="AQ140" s="16"/>
      <c r="AR140" s="16"/>
      <c r="AS140" s="16"/>
      <c r="AT140" s="16"/>
      <c r="AU140" s="16"/>
      <c r="AV140" s="16"/>
      <c r="AW140" s="16"/>
      <c r="AX140" s="16"/>
      <c r="AY140" s="16"/>
      <c r="AZ140" s="16"/>
      <c r="BA140" s="16"/>
      <c r="BB140" s="16"/>
      <c r="BC140" s="16"/>
      <c r="BD140" s="16"/>
      <c r="BE140" s="16"/>
      <c r="BF140" s="16"/>
      <c r="BG140" s="16"/>
      <c r="BH140" s="16"/>
      <c r="BI140" s="16"/>
      <c r="BJ140" s="16"/>
    </row>
    <row r="141" spans="1:62" ht="15" customHeight="1" x14ac:dyDescent="0.2">
      <c r="A141" s="16"/>
      <c r="P141" s="16"/>
      <c r="Q141" s="16"/>
      <c r="AF141" s="16"/>
      <c r="AG141" s="16"/>
      <c r="AH141" s="16"/>
      <c r="AI141" s="16"/>
      <c r="AJ141" s="16"/>
      <c r="AK141" s="16"/>
      <c r="AL141" s="16"/>
      <c r="AM141" s="16"/>
      <c r="AN141" s="16"/>
      <c r="AO141" s="16"/>
      <c r="AP141" s="16"/>
      <c r="AQ141" s="16"/>
      <c r="AR141" s="16"/>
      <c r="AS141" s="16"/>
      <c r="AT141" s="16"/>
      <c r="AU141" s="16"/>
      <c r="AV141" s="16"/>
      <c r="AW141" s="16"/>
      <c r="AX141" s="16"/>
      <c r="AY141" s="16"/>
      <c r="AZ141" s="16"/>
      <c r="BA141" s="16"/>
      <c r="BB141" s="16"/>
      <c r="BC141" s="16"/>
      <c r="BD141" s="16"/>
      <c r="BE141" s="16"/>
      <c r="BF141" s="16"/>
      <c r="BG141" s="16"/>
      <c r="BH141" s="16"/>
      <c r="BI141" s="16"/>
      <c r="BJ141" s="16"/>
    </row>
    <row r="142" spans="1:62" ht="15" customHeight="1" x14ac:dyDescent="0.2">
      <c r="A142" s="16"/>
      <c r="P142" s="16"/>
      <c r="Q142" s="16"/>
      <c r="AF142" s="16"/>
      <c r="AG142" s="16"/>
      <c r="AH142" s="16"/>
      <c r="AI142" s="16"/>
      <c r="AJ142" s="16"/>
      <c r="AK142" s="16"/>
      <c r="AL142" s="16"/>
      <c r="AM142" s="16"/>
      <c r="AN142" s="16"/>
      <c r="AO142" s="16"/>
      <c r="AP142" s="16"/>
      <c r="AQ142" s="16"/>
      <c r="AR142" s="16"/>
      <c r="AS142" s="16"/>
      <c r="AT142" s="16"/>
      <c r="AU142" s="16"/>
      <c r="AV142" s="16"/>
      <c r="AW142" s="16"/>
      <c r="AX142" s="16"/>
      <c r="AY142" s="16"/>
      <c r="AZ142" s="16"/>
      <c r="BA142" s="16"/>
      <c r="BB142" s="16"/>
      <c r="BC142" s="16"/>
      <c r="BD142" s="16"/>
      <c r="BE142" s="16"/>
      <c r="BF142" s="16"/>
      <c r="BG142" s="16"/>
      <c r="BH142" s="16"/>
      <c r="BI142" s="16"/>
      <c r="BJ142" s="16"/>
    </row>
    <row r="143" spans="1:62" x14ac:dyDescent="0.2">
      <c r="A143" s="16"/>
      <c r="P143" s="16"/>
      <c r="Q143" s="16"/>
      <c r="AF143" s="16"/>
      <c r="AG143" s="16"/>
      <c r="AH143" s="16"/>
      <c r="AI143" s="16"/>
      <c r="AJ143" s="16"/>
      <c r="AK143" s="16"/>
      <c r="AL143" s="16"/>
      <c r="AM143" s="16"/>
      <c r="AN143" s="16"/>
      <c r="AO143" s="16"/>
      <c r="AP143" s="16"/>
      <c r="AQ143" s="16"/>
      <c r="AR143" s="16"/>
      <c r="AS143" s="16"/>
      <c r="AT143" s="16"/>
      <c r="AU143" s="16"/>
      <c r="AV143" s="16"/>
      <c r="AW143" s="16"/>
      <c r="AX143" s="16"/>
      <c r="AY143" s="16"/>
      <c r="AZ143" s="16"/>
      <c r="BA143" s="16"/>
      <c r="BB143" s="16"/>
      <c r="BC143" s="16"/>
      <c r="BD143" s="16"/>
      <c r="BE143" s="16"/>
      <c r="BF143" s="16"/>
      <c r="BG143" s="16"/>
      <c r="BH143" s="16"/>
      <c r="BI143" s="16"/>
      <c r="BJ143" s="16"/>
    </row>
  </sheetData>
  <mergeCells count="100">
    <mergeCell ref="B2:O5"/>
    <mergeCell ref="R2:AE5"/>
    <mergeCell ref="C109:E109"/>
    <mergeCell ref="E50:H50"/>
    <mergeCell ref="C108:E108"/>
    <mergeCell ref="C83:E83"/>
    <mergeCell ref="C84:E84"/>
    <mergeCell ref="C85:E85"/>
    <mergeCell ref="B75:E75"/>
    <mergeCell ref="B76:E76"/>
    <mergeCell ref="C58:E58"/>
    <mergeCell ref="C94:E94"/>
    <mergeCell ref="C97:E97"/>
    <mergeCell ref="C81:E81"/>
    <mergeCell ref="B77:E77"/>
    <mergeCell ref="B78:E78"/>
    <mergeCell ref="C110:E110"/>
    <mergeCell ref="B81:B85"/>
    <mergeCell ref="C54:E54"/>
    <mergeCell ref="C96:E96"/>
    <mergeCell ref="B109:B111"/>
    <mergeCell ref="C59:E59"/>
    <mergeCell ref="C95:E95"/>
    <mergeCell ref="B95:B99"/>
    <mergeCell ref="C98:E98"/>
    <mergeCell ref="C99:E99"/>
    <mergeCell ref="C80:E80"/>
    <mergeCell ref="C111:E111"/>
    <mergeCell ref="C57:E57"/>
    <mergeCell ref="C55:E55"/>
    <mergeCell ref="C56:E56"/>
    <mergeCell ref="C82:E82"/>
    <mergeCell ref="S57:U57"/>
    <mergeCell ref="R58:R62"/>
    <mergeCell ref="S58:U58"/>
    <mergeCell ref="S59:U59"/>
    <mergeCell ref="S60:U60"/>
    <mergeCell ref="S61:U61"/>
    <mergeCell ref="S62:U62"/>
    <mergeCell ref="S83:U83"/>
    <mergeCell ref="R84:R88"/>
    <mergeCell ref="S84:U84"/>
    <mergeCell ref="S85:U85"/>
    <mergeCell ref="S86:U86"/>
    <mergeCell ref="S87:U87"/>
    <mergeCell ref="S88:U88"/>
    <mergeCell ref="S101:U101"/>
    <mergeCell ref="S102:U102"/>
    <mergeCell ref="S99:U99"/>
    <mergeCell ref="R100:R104"/>
    <mergeCell ref="S103:U103"/>
    <mergeCell ref="S100:U100"/>
    <mergeCell ref="S104:U104"/>
    <mergeCell ref="S26:U26"/>
    <mergeCell ref="S42:U42"/>
    <mergeCell ref="R43:R47"/>
    <mergeCell ref="S43:U43"/>
    <mergeCell ref="S44:U44"/>
    <mergeCell ref="S45:U45"/>
    <mergeCell ref="S46:U46"/>
    <mergeCell ref="S47:U47"/>
    <mergeCell ref="R27:R31"/>
    <mergeCell ref="S27:U27"/>
    <mergeCell ref="S28:U28"/>
    <mergeCell ref="S29:U29"/>
    <mergeCell ref="S30:U30"/>
    <mergeCell ref="S31:U31"/>
    <mergeCell ref="S11:U11"/>
    <mergeCell ref="R12:R16"/>
    <mergeCell ref="S12:U12"/>
    <mergeCell ref="S13:U13"/>
    <mergeCell ref="S14:U14"/>
    <mergeCell ref="S15:U15"/>
    <mergeCell ref="S16:U16"/>
    <mergeCell ref="C12:E12"/>
    <mergeCell ref="C27:E27"/>
    <mergeCell ref="C39:E39"/>
    <mergeCell ref="B40:B44"/>
    <mergeCell ref="C40:E40"/>
    <mergeCell ref="C41:E41"/>
    <mergeCell ref="C42:E42"/>
    <mergeCell ref="C43:E43"/>
    <mergeCell ref="C44:E44"/>
    <mergeCell ref="C26:E26"/>
    <mergeCell ref="B87:B92"/>
    <mergeCell ref="B69:O72"/>
    <mergeCell ref="R73:AE76"/>
    <mergeCell ref="R69:AE72"/>
    <mergeCell ref="C9:E9"/>
    <mergeCell ref="C28:E28"/>
    <mergeCell ref="C29:E29"/>
    <mergeCell ref="C13:E13"/>
    <mergeCell ref="C14:E14"/>
    <mergeCell ref="C24:E24"/>
    <mergeCell ref="B25:B29"/>
    <mergeCell ref="C25:E25"/>
    <mergeCell ref="B55:B59"/>
    <mergeCell ref="B10:B14"/>
    <mergeCell ref="C10:E10"/>
    <mergeCell ref="C11:E11"/>
  </mergeCells>
  <phoneticPr fontId="44" type="noConversion"/>
  <pageMargins left="0.51181102362204722" right="0.51181102362204722" top="0.78740157480314965" bottom="0.78740157480314965" header="0.31496062992125984" footer="0.31496062992125984"/>
  <pageSetup paperSize="9" scale="46" orientation="portrait" r:id="rId1"/>
  <headerFooter>
    <oddHeader>&amp;RPágina &amp;P de &amp;N</oddHeader>
    <oddFooter>&amp;CRevisão 00 - 25/10/2018 - Pagina &amp;P de &amp;N
Elaborado por: Leonardo de Andrea João - Aprovado por: Leandro Weschenfelder</oddFooter>
  </headerFooter>
  <rowBreaks count="1" manualBreakCount="1">
    <brk id="67" max="31" man="1"/>
  </rowBreaks>
  <colBreaks count="1" manualBreakCount="1">
    <brk id="16" max="110" man="1"/>
  </colBreaks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8"/>
  <dimension ref="A2:T309"/>
  <sheetViews>
    <sheetView zoomScale="85" zoomScaleNormal="85" zoomScaleSheetLayoutView="40" zoomScalePageLayoutView="40" workbookViewId="0">
      <selection activeCell="H303" sqref="H303"/>
    </sheetView>
  </sheetViews>
  <sheetFormatPr defaultRowHeight="12.75" x14ac:dyDescent="0.2"/>
  <cols>
    <col min="1" max="1" width="3.140625" style="9" customWidth="1"/>
    <col min="2" max="2" width="29.7109375" style="9" bestFit="1" customWidth="1"/>
    <col min="3" max="3" width="10.7109375" style="9" bestFit="1" customWidth="1"/>
    <col min="4" max="4" width="9.5703125" style="9" bestFit="1" customWidth="1"/>
    <col min="5" max="5" width="8.7109375" style="9" bestFit="1" customWidth="1"/>
    <col min="6" max="6" width="9.5703125" style="9" bestFit="1" customWidth="1"/>
    <col min="7" max="7" width="10.140625" style="9" bestFit="1" customWidth="1"/>
    <col min="8" max="8" width="11.140625" style="9" bestFit="1" customWidth="1"/>
    <col min="9" max="9" width="9.5703125" style="9" bestFit="1" customWidth="1"/>
    <col min="10" max="10" width="10.85546875" style="9" bestFit="1" customWidth="1"/>
    <col min="11" max="11" width="9.5703125" style="9" bestFit="1" customWidth="1"/>
    <col min="12" max="12" width="9.140625" style="9"/>
    <col min="13" max="13" width="11" style="9" bestFit="1" customWidth="1"/>
    <col min="14" max="14" width="11.42578125" style="9" bestFit="1" customWidth="1"/>
    <col min="15" max="15" width="18.140625" style="9" customWidth="1"/>
    <col min="16" max="16" width="1.85546875" style="9" customWidth="1"/>
    <col min="17" max="17" width="9.140625" style="9"/>
    <col min="18" max="18" width="29.85546875" style="9" bestFit="1" customWidth="1"/>
    <col min="19" max="23" width="9.140625" style="9"/>
    <col min="24" max="24" width="10.7109375" style="9" bestFit="1" customWidth="1"/>
    <col min="25" max="16384" width="9.140625" style="9"/>
  </cols>
  <sheetData>
    <row r="2" spans="1:17" x14ac:dyDescent="0.2">
      <c r="A2" s="16"/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</row>
    <row r="3" spans="1:17" ht="18" x14ac:dyDescent="0.2">
      <c r="A3" s="16"/>
      <c r="B3" s="649" t="s">
        <v>477</v>
      </c>
      <c r="C3" s="650"/>
      <c r="D3" s="650"/>
      <c r="E3" s="650"/>
      <c r="F3" s="650"/>
      <c r="G3" s="650"/>
      <c r="H3" s="650"/>
      <c r="I3" s="650"/>
      <c r="J3" s="650"/>
      <c r="K3" s="650"/>
      <c r="L3" s="650"/>
      <c r="M3" s="650"/>
      <c r="N3" s="650"/>
      <c r="O3" s="651"/>
      <c r="P3" s="488"/>
      <c r="Q3" s="16"/>
    </row>
    <row r="4" spans="1:17" ht="18" x14ac:dyDescent="0.2">
      <c r="A4" s="16"/>
      <c r="B4" s="652"/>
      <c r="C4" s="653"/>
      <c r="D4" s="653"/>
      <c r="E4" s="653"/>
      <c r="F4" s="653"/>
      <c r="G4" s="653"/>
      <c r="H4" s="653"/>
      <c r="I4" s="653"/>
      <c r="J4" s="653"/>
      <c r="K4" s="653"/>
      <c r="L4" s="653"/>
      <c r="M4" s="653"/>
      <c r="N4" s="653"/>
      <c r="O4" s="654"/>
      <c r="P4" s="488"/>
      <c r="Q4" s="16"/>
    </row>
    <row r="5" spans="1:17" ht="18" x14ac:dyDescent="0.2">
      <c r="A5" s="16"/>
      <c r="B5" s="652"/>
      <c r="C5" s="653"/>
      <c r="D5" s="653"/>
      <c r="E5" s="653"/>
      <c r="F5" s="653"/>
      <c r="G5" s="653"/>
      <c r="H5" s="653"/>
      <c r="I5" s="653"/>
      <c r="J5" s="653"/>
      <c r="K5" s="653"/>
      <c r="L5" s="653"/>
      <c r="M5" s="653"/>
      <c r="N5" s="653"/>
      <c r="O5" s="654"/>
      <c r="P5" s="488"/>
      <c r="Q5" s="16"/>
    </row>
    <row r="6" spans="1:17" ht="18" x14ac:dyDescent="0.2">
      <c r="A6" s="16"/>
      <c r="B6" s="655"/>
      <c r="C6" s="656"/>
      <c r="D6" s="656"/>
      <c r="E6" s="656"/>
      <c r="F6" s="656"/>
      <c r="G6" s="656"/>
      <c r="H6" s="656"/>
      <c r="I6" s="656"/>
      <c r="J6" s="656"/>
      <c r="K6" s="656"/>
      <c r="L6" s="656"/>
      <c r="M6" s="656"/>
      <c r="N6" s="656"/>
      <c r="O6" s="657"/>
      <c r="P6" s="488"/>
      <c r="Q6" s="16"/>
    </row>
    <row r="7" spans="1:17" ht="13.5" thickBot="1" x14ac:dyDescent="0.25">
      <c r="A7" s="16"/>
      <c r="B7" s="16"/>
      <c r="C7" s="16"/>
      <c r="D7" s="16"/>
      <c r="E7" s="16"/>
      <c r="F7" s="16"/>
      <c r="G7" s="16"/>
      <c r="H7" s="16"/>
      <c r="I7" s="16"/>
      <c r="J7" s="16"/>
      <c r="K7" s="16"/>
      <c r="L7" s="16"/>
      <c r="M7" s="16"/>
      <c r="N7" s="16"/>
      <c r="O7" s="16"/>
      <c r="P7" s="16"/>
      <c r="Q7" s="16"/>
    </row>
    <row r="8" spans="1:17" ht="13.5" thickBot="1" x14ac:dyDescent="0.25">
      <c r="A8" s="16"/>
      <c r="B8" s="43" t="s">
        <v>229</v>
      </c>
      <c r="C8" s="444" t="s">
        <v>412</v>
      </c>
      <c r="D8" s="445">
        <f>'Condicionador de ar'!G14</f>
        <v>299.95430545316356</v>
      </c>
      <c r="E8" s="16"/>
      <c r="F8" s="16"/>
      <c r="G8" s="16"/>
      <c r="H8" s="16"/>
      <c r="I8" s="16"/>
      <c r="J8" s="16"/>
      <c r="K8" s="16"/>
      <c r="L8" s="16"/>
      <c r="M8" s="16"/>
      <c r="N8" s="16"/>
      <c r="O8" s="16"/>
      <c r="P8" s="16"/>
      <c r="Q8" s="16"/>
    </row>
    <row r="9" spans="1:17" x14ac:dyDescent="0.2">
      <c r="A9" s="16"/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  <c r="M9" s="16"/>
      <c r="N9" s="16"/>
      <c r="O9" s="16"/>
      <c r="P9" s="16"/>
      <c r="Q9" s="16"/>
    </row>
    <row r="10" spans="1:17" ht="14.25" x14ac:dyDescent="0.2">
      <c r="A10" s="16"/>
      <c r="B10" s="349" t="s">
        <v>54</v>
      </c>
      <c r="C10" s="815" t="s">
        <v>168</v>
      </c>
      <c r="D10" s="816"/>
      <c r="E10" s="817"/>
      <c r="F10" s="349" t="s">
        <v>169</v>
      </c>
      <c r="G10" s="349" t="s">
        <v>65</v>
      </c>
      <c r="H10" s="349" t="s">
        <v>170</v>
      </c>
      <c r="I10" s="349" t="s">
        <v>171</v>
      </c>
      <c r="J10" s="349" t="s">
        <v>172</v>
      </c>
      <c r="K10" s="349" t="s">
        <v>173</v>
      </c>
      <c r="L10" s="349" t="s">
        <v>65</v>
      </c>
      <c r="M10" s="349" t="s">
        <v>174</v>
      </c>
      <c r="N10" s="349" t="s">
        <v>175</v>
      </c>
      <c r="O10" s="349" t="s">
        <v>176</v>
      </c>
      <c r="P10" s="466"/>
      <c r="Q10" s="16"/>
    </row>
    <row r="11" spans="1:17" x14ac:dyDescent="0.2">
      <c r="A11" s="16"/>
      <c r="B11" s="870" t="s">
        <v>22</v>
      </c>
      <c r="C11" s="829" t="s">
        <v>407</v>
      </c>
      <c r="D11" s="830"/>
      <c r="E11" s="831"/>
      <c r="F11" s="563" t="str">
        <f>'i.m. instrumentos'!$M$33</f>
        <v>0,14</v>
      </c>
      <c r="G11" s="351" t="s">
        <v>71</v>
      </c>
      <c r="H11" s="575" t="s">
        <v>541</v>
      </c>
      <c r="I11" s="574">
        <f>'i.m. instrumentos'!$J$31</f>
        <v>2.0000274442871735</v>
      </c>
      <c r="J11" s="354">
        <f>F11/I11</f>
        <v>6.9999039463129561E-2</v>
      </c>
      <c r="K11" s="446">
        <f>(-1/((D8^2)))</f>
        <v>-1.1114496665845565E-5</v>
      </c>
      <c r="L11" s="351"/>
      <c r="M11" s="354">
        <f>J11*K11</f>
        <v>-7.7800409072534567E-7</v>
      </c>
      <c r="N11" s="352" t="s">
        <v>181</v>
      </c>
      <c r="O11" s="352">
        <f>M11^4/(IF(N11="∞",100000,N11))</f>
        <v>3.6637642618624094E-30</v>
      </c>
      <c r="P11" s="490"/>
      <c r="Q11" s="16"/>
    </row>
    <row r="12" spans="1:17" x14ac:dyDescent="0.2">
      <c r="A12" s="16"/>
      <c r="B12" s="823"/>
      <c r="C12" s="818"/>
      <c r="D12" s="819"/>
      <c r="E12" s="820"/>
      <c r="F12" s="274"/>
      <c r="G12" s="362"/>
      <c r="H12" s="349"/>
      <c r="I12" s="349"/>
      <c r="J12" s="359"/>
      <c r="K12" s="360"/>
      <c r="L12" s="359"/>
      <c r="M12" s="359"/>
      <c r="N12" s="349"/>
      <c r="O12" s="349"/>
      <c r="P12" s="466"/>
      <c r="Q12" s="16"/>
    </row>
    <row r="13" spans="1:17" ht="15.75" thickBot="1" x14ac:dyDescent="0.3">
      <c r="A13" s="16"/>
      <c r="B13" s="44"/>
      <c r="C13" s="44"/>
      <c r="D13" s="44"/>
      <c r="E13" s="44"/>
      <c r="F13" s="44"/>
      <c r="G13" s="44"/>
      <c r="H13" s="44"/>
      <c r="I13" s="44"/>
      <c r="J13" s="44"/>
      <c r="K13" s="44"/>
      <c r="L13" s="44"/>
      <c r="M13" s="44"/>
      <c r="N13" s="44"/>
      <c r="O13" s="44"/>
      <c r="P13" s="44"/>
      <c r="Q13" s="16"/>
    </row>
    <row r="14" spans="1:17" ht="16.5" thickTop="1" thickBot="1" x14ac:dyDescent="0.3">
      <c r="A14" s="16"/>
      <c r="B14" s="44"/>
      <c r="C14" s="44"/>
      <c r="D14" s="44"/>
      <c r="E14" s="44"/>
      <c r="F14" s="44"/>
      <c r="G14" s="107" t="s">
        <v>183</v>
      </c>
      <c r="H14" s="108">
        <v>0.95450000000000002</v>
      </c>
      <c r="I14" s="107" t="s">
        <v>184</v>
      </c>
      <c r="J14" s="109">
        <f>TINV(1-H14,IF(N14="∞",100000,N14))</f>
        <v>2.0000274442871735</v>
      </c>
      <c r="K14" s="107"/>
      <c r="L14" s="107" t="s">
        <v>185</v>
      </c>
      <c r="M14" s="110">
        <f>SQRT(SUMSQ(M11:M12))</f>
        <v>7.7800409072534567E-7</v>
      </c>
      <c r="N14" s="109">
        <f>IF((M14^4/O14)&gt;100000,"∞",(M14^4/O14))</f>
        <v>100000</v>
      </c>
      <c r="O14" s="107">
        <f>SUM(O11:O12)</f>
        <v>3.6637642618624094E-30</v>
      </c>
      <c r="P14" s="491"/>
      <c r="Q14" s="16"/>
    </row>
    <row r="15" spans="1:17" ht="16.5" thickTop="1" thickBot="1" x14ac:dyDescent="0.3">
      <c r="A15" s="16"/>
      <c r="B15" s="44"/>
      <c r="C15" s="44"/>
      <c r="D15" s="44"/>
      <c r="E15" s="44"/>
      <c r="F15" s="44"/>
      <c r="G15" s="44"/>
      <c r="H15" s="44"/>
      <c r="I15" s="44"/>
      <c r="J15" s="44"/>
      <c r="K15" s="45"/>
      <c r="L15" s="46"/>
      <c r="M15" s="46"/>
      <c r="N15" s="46"/>
      <c r="O15" s="44"/>
      <c r="P15" s="44"/>
      <c r="Q15" s="16"/>
    </row>
    <row r="16" spans="1:17" ht="16.5" thickTop="1" thickBot="1" x14ac:dyDescent="0.3">
      <c r="A16" s="16"/>
      <c r="B16" s="44"/>
      <c r="C16" s="44"/>
      <c r="D16" s="44"/>
      <c r="E16" s="44"/>
      <c r="F16" s="44"/>
      <c r="G16" s="44"/>
      <c r="H16" s="44"/>
      <c r="I16" s="44"/>
      <c r="J16" s="44"/>
      <c r="K16" s="47"/>
      <c r="L16" s="48" t="s">
        <v>186</v>
      </c>
      <c r="M16" s="447">
        <f>(J14*M14)</f>
        <v>1.5560295332183794E-6</v>
      </c>
      <c r="N16" s="50" t="s">
        <v>13</v>
      </c>
      <c r="O16" s="44"/>
      <c r="P16" s="44"/>
      <c r="Q16" s="16"/>
    </row>
    <row r="17" spans="1:17" ht="13.5" thickTop="1" x14ac:dyDescent="0.2">
      <c r="A17" s="16"/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</row>
    <row r="18" spans="1:17" x14ac:dyDescent="0.2">
      <c r="A18" s="16"/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</row>
    <row r="19" spans="1:17" ht="13.5" thickBot="1" x14ac:dyDescent="0.25">
      <c r="A19" s="16"/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</row>
    <row r="20" spans="1:17" ht="13.5" thickBot="1" x14ac:dyDescent="0.25">
      <c r="A20" s="16"/>
      <c r="B20" s="43" t="s">
        <v>230</v>
      </c>
      <c r="C20" s="444" t="s">
        <v>413</v>
      </c>
      <c r="D20" s="445">
        <f>'Condicionador de ar'!K14</f>
        <v>292.00648697419479</v>
      </c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</row>
    <row r="21" spans="1:17" x14ac:dyDescent="0.2">
      <c r="A21" s="16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  <row r="22" spans="1:17" ht="14.25" x14ac:dyDescent="0.2">
      <c r="A22" s="16"/>
      <c r="B22" s="349" t="s">
        <v>54</v>
      </c>
      <c r="C22" s="815" t="s">
        <v>168</v>
      </c>
      <c r="D22" s="816"/>
      <c r="E22" s="817"/>
      <c r="F22" s="349" t="s">
        <v>169</v>
      </c>
      <c r="G22" s="349" t="s">
        <v>65</v>
      </c>
      <c r="H22" s="349" t="s">
        <v>170</v>
      </c>
      <c r="I22" s="349" t="s">
        <v>171</v>
      </c>
      <c r="J22" s="349" t="s">
        <v>172</v>
      </c>
      <c r="K22" s="349" t="s">
        <v>173</v>
      </c>
      <c r="L22" s="349" t="s">
        <v>65</v>
      </c>
      <c r="M22" s="349" t="s">
        <v>174</v>
      </c>
      <c r="N22" s="349" t="s">
        <v>175</v>
      </c>
      <c r="O22" s="349" t="s">
        <v>176</v>
      </c>
      <c r="P22" s="466"/>
      <c r="Q22" s="16"/>
    </row>
    <row r="23" spans="1:17" x14ac:dyDescent="0.2">
      <c r="A23" s="16"/>
      <c r="B23" s="870" t="s">
        <v>22</v>
      </c>
      <c r="C23" s="829" t="s">
        <v>557</v>
      </c>
      <c r="D23" s="830"/>
      <c r="E23" s="831"/>
      <c r="F23" s="563" t="str">
        <f>'i.m. instrumentos'!$M$48</f>
        <v>0,14</v>
      </c>
      <c r="G23" s="351" t="s">
        <v>71</v>
      </c>
      <c r="H23" s="575" t="s">
        <v>541</v>
      </c>
      <c r="I23" s="576">
        <f>'i.m. instrumentos'!$J$46</f>
        <v>2.0000274442871735</v>
      </c>
      <c r="J23" s="354">
        <f>F23/I23</f>
        <v>6.9999039463129561E-2</v>
      </c>
      <c r="K23" s="390">
        <f>(-1/((D20^2)))</f>
        <v>-1.1727758141190446E-5</v>
      </c>
      <c r="L23" s="351"/>
      <c r="M23" s="354">
        <f>J23*K23</f>
        <v>-8.20931804939229E-7</v>
      </c>
      <c r="N23" s="352" t="s">
        <v>181</v>
      </c>
      <c r="O23" s="352">
        <f>M23^4/(IF(N23="∞",100000,N23))</f>
        <v>4.5418033526730552E-30</v>
      </c>
      <c r="P23" s="490"/>
      <c r="Q23" s="16"/>
    </row>
    <row r="24" spans="1:17" x14ac:dyDescent="0.2">
      <c r="A24" s="16"/>
      <c r="B24" s="823"/>
      <c r="C24" s="818"/>
      <c r="D24" s="819"/>
      <c r="E24" s="820"/>
      <c r="F24" s="274"/>
      <c r="G24" s="362"/>
      <c r="H24" s="349"/>
      <c r="I24" s="349"/>
      <c r="J24" s="359"/>
      <c r="K24" s="360"/>
      <c r="L24" s="359"/>
      <c r="M24" s="359"/>
      <c r="N24" s="349"/>
      <c r="O24" s="349"/>
      <c r="P24" s="466"/>
      <c r="Q24" s="16"/>
    </row>
    <row r="25" spans="1:17" ht="15.75" thickBot="1" x14ac:dyDescent="0.3">
      <c r="A25" s="16"/>
      <c r="B25" s="44"/>
      <c r="C25" s="44"/>
      <c r="D25" s="44"/>
      <c r="E25" s="44"/>
      <c r="F25" s="44"/>
      <c r="G25" s="44"/>
      <c r="H25" s="44"/>
      <c r="I25" s="44"/>
      <c r="J25" s="44"/>
      <c r="K25" s="44"/>
      <c r="L25" s="44"/>
      <c r="M25" s="44"/>
      <c r="N25" s="44"/>
      <c r="O25" s="44"/>
      <c r="P25" s="44"/>
      <c r="Q25" s="16"/>
    </row>
    <row r="26" spans="1:17" ht="16.5" thickTop="1" thickBot="1" x14ac:dyDescent="0.3">
      <c r="A26" s="16"/>
      <c r="B26" s="44"/>
      <c r="C26" s="44"/>
      <c r="D26" s="44"/>
      <c r="E26" s="44"/>
      <c r="F26" s="44"/>
      <c r="G26" s="107" t="s">
        <v>183</v>
      </c>
      <c r="H26" s="108">
        <v>0.95450000000000002</v>
      </c>
      <c r="I26" s="107" t="s">
        <v>184</v>
      </c>
      <c r="J26" s="109">
        <f>TINV(1-H26,IF(N26="∞",100000,N26))</f>
        <v>2.0000274442871735</v>
      </c>
      <c r="K26" s="107"/>
      <c r="L26" s="107" t="s">
        <v>185</v>
      </c>
      <c r="M26" s="110">
        <f>SQRT(SUMSQ(M23:M24))</f>
        <v>8.20931804939229E-7</v>
      </c>
      <c r="N26" s="109">
        <f>IF((M26^4/O26)&gt;100000,"∞",(M26^4/O26))</f>
        <v>100000</v>
      </c>
      <c r="O26" s="107">
        <f>SUM(O23:O24)</f>
        <v>4.5418033526730552E-30</v>
      </c>
      <c r="P26" s="491"/>
      <c r="Q26" s="16"/>
    </row>
    <row r="27" spans="1:17" ht="16.5" thickTop="1" thickBot="1" x14ac:dyDescent="0.3">
      <c r="A27" s="16"/>
      <c r="B27" s="44"/>
      <c r="C27" s="44"/>
      <c r="D27" s="44"/>
      <c r="E27" s="44"/>
      <c r="F27" s="44"/>
      <c r="G27" s="44"/>
      <c r="H27" s="44"/>
      <c r="I27" s="44"/>
      <c r="J27" s="44"/>
      <c r="K27" s="45"/>
      <c r="L27" s="46"/>
      <c r="M27" s="46"/>
      <c r="N27" s="46"/>
      <c r="O27" s="44"/>
      <c r="P27" s="44"/>
      <c r="Q27" s="16"/>
    </row>
    <row r="28" spans="1:17" ht="16.5" thickTop="1" thickBot="1" x14ac:dyDescent="0.3">
      <c r="A28"/>
      <c r="B28" s="44"/>
      <c r="C28" s="44"/>
      <c r="D28" s="44"/>
      <c r="E28" s="44"/>
      <c r="F28" s="44"/>
      <c r="G28" s="44"/>
      <c r="H28" s="44"/>
      <c r="I28" s="44"/>
      <c r="J28" s="44"/>
      <c r="K28" s="47"/>
      <c r="L28" s="48" t="s">
        <v>186</v>
      </c>
      <c r="M28" s="447">
        <f>(J26*M26)</f>
        <v>1.6418861397666626E-6</v>
      </c>
      <c r="N28" s="50" t="s">
        <v>13</v>
      </c>
      <c r="O28" s="44"/>
      <c r="P28" s="44"/>
      <c r="Q28"/>
    </row>
    <row r="29" spans="1:17" ht="13.5" thickTop="1" x14ac:dyDescent="0.2">
      <c r="A29" s="16"/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</row>
    <row r="30" spans="1:17" ht="13.5" thickBot="1" x14ac:dyDescent="0.25">
      <c r="A30" s="16"/>
      <c r="B30" s="43" t="s">
        <v>231</v>
      </c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/>
      <c r="P30"/>
      <c r="Q30" s="16"/>
    </row>
    <row r="31" spans="1:17" ht="13.5" thickBot="1" x14ac:dyDescent="0.25">
      <c r="A31" s="16"/>
      <c r="B31" s="43"/>
      <c r="C31" s="444" t="s">
        <v>421</v>
      </c>
      <c r="D31" s="448">
        <f>'Condicionador de ar'!C14</f>
        <v>756.3620784179451</v>
      </c>
      <c r="E31" s="16"/>
      <c r="F31" s="16"/>
      <c r="G31" s="16"/>
      <c r="H31" s="16"/>
      <c r="I31" s="16"/>
      <c r="J31" s="16"/>
      <c r="K31" s="16"/>
      <c r="L31" s="16"/>
      <c r="M31" s="16"/>
      <c r="N31" s="16"/>
      <c r="Q31" s="16"/>
    </row>
    <row r="32" spans="1:17" ht="13.5" thickBot="1" x14ac:dyDescent="0.25">
      <c r="A32" s="16"/>
      <c r="B32" s="43"/>
      <c r="C32" s="444" t="s">
        <v>414</v>
      </c>
      <c r="D32" s="449">
        <f>'Condicionador de ar'!M14</f>
        <v>16.416075864692381</v>
      </c>
      <c r="E32" s="16"/>
      <c r="F32" s="16"/>
      <c r="G32" s="16"/>
      <c r="H32" s="16"/>
      <c r="I32" s="16"/>
      <c r="J32" s="16"/>
      <c r="K32" s="16"/>
      <c r="L32" s="16"/>
      <c r="M32" s="16"/>
      <c r="N32" s="16"/>
      <c r="Q32" s="16"/>
    </row>
    <row r="33" spans="1:17" ht="13.5" thickBot="1" x14ac:dyDescent="0.25">
      <c r="A33" s="16"/>
      <c r="B33" s="43"/>
      <c r="C33" s="444" t="s">
        <v>412</v>
      </c>
      <c r="D33" s="450">
        <f>'Condicionador de ar'!G14</f>
        <v>299.95430545316356</v>
      </c>
      <c r="E33" s="16"/>
      <c r="F33" s="16"/>
      <c r="G33" s="16"/>
      <c r="H33" s="16"/>
      <c r="I33" s="16"/>
      <c r="J33" s="16"/>
      <c r="K33" s="16"/>
      <c r="L33" s="16"/>
      <c r="M33" s="16"/>
      <c r="N33" s="16"/>
      <c r="Q33" s="16"/>
    </row>
    <row r="34" spans="1:17" ht="13.5" thickBot="1" x14ac:dyDescent="0.25">
      <c r="A34" s="16"/>
      <c r="B34" s="43"/>
      <c r="C34" s="444" t="s">
        <v>413</v>
      </c>
      <c r="D34" s="449">
        <f>'Condicionador de ar'!K14</f>
        <v>292.00648697419479</v>
      </c>
      <c r="E34" s="16"/>
      <c r="F34" s="16"/>
      <c r="G34" s="16"/>
      <c r="H34" s="16"/>
      <c r="I34" s="16"/>
      <c r="J34" s="16"/>
      <c r="K34" s="16"/>
      <c r="L34" s="16"/>
      <c r="M34" s="16"/>
      <c r="N34" s="16"/>
      <c r="Q34" s="16"/>
    </row>
    <row r="35" spans="1:17" x14ac:dyDescent="0.2">
      <c r="A35" s="16"/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</row>
    <row r="36" spans="1:17" ht="14.25" x14ac:dyDescent="0.2">
      <c r="A36" s="16"/>
      <c r="B36" s="83" t="s">
        <v>54</v>
      </c>
      <c r="C36" s="864" t="s">
        <v>168</v>
      </c>
      <c r="D36" s="865"/>
      <c r="E36" s="866"/>
      <c r="F36" s="83" t="s">
        <v>169</v>
      </c>
      <c r="G36" s="83" t="s">
        <v>65</v>
      </c>
      <c r="H36" s="83" t="s">
        <v>170</v>
      </c>
      <c r="I36" s="83" t="s">
        <v>171</v>
      </c>
      <c r="J36" s="83" t="s">
        <v>172</v>
      </c>
      <c r="K36" s="83" t="s">
        <v>173</v>
      </c>
      <c r="L36" s="83" t="s">
        <v>65</v>
      </c>
      <c r="M36" s="83" t="s">
        <v>174</v>
      </c>
      <c r="N36" s="83" t="s">
        <v>175</v>
      </c>
      <c r="O36" s="83" t="s">
        <v>176</v>
      </c>
      <c r="P36" s="51"/>
      <c r="Q36" s="16"/>
    </row>
    <row r="37" spans="1:17" x14ac:dyDescent="0.2">
      <c r="A37" s="16"/>
      <c r="B37" s="867" t="s">
        <v>22</v>
      </c>
      <c r="C37" s="861" t="s">
        <v>408</v>
      </c>
      <c r="D37" s="862"/>
      <c r="E37" s="863"/>
      <c r="F37" s="577" t="str">
        <f>'i.m. instrumentos'!M18</f>
        <v>0,87</v>
      </c>
      <c r="G37" s="90" t="s">
        <v>13</v>
      </c>
      <c r="H37" s="575" t="s">
        <v>544</v>
      </c>
      <c r="I37" s="574">
        <f>'i.m. instrumentos'!$J$16</f>
        <v>2.0000274442871735</v>
      </c>
      <c r="J37" s="93">
        <f>F37/I37</f>
        <v>0.43499403094944794</v>
      </c>
      <c r="K37" s="451">
        <f>-(D33-D34)*1/755/2</f>
        <v>-5.2634559463369335E-3</v>
      </c>
      <c r="L37" s="90"/>
      <c r="M37" s="93">
        <f>J37*K37</f>
        <v>-2.2895719188219437E-3</v>
      </c>
      <c r="N37" s="91" t="s">
        <v>181</v>
      </c>
      <c r="O37" s="91">
        <f>M37^4/(IF(N37="∞",100000,N37))</f>
        <v>2.7480027286645838E-16</v>
      </c>
      <c r="P37" s="492"/>
      <c r="Q37" s="16"/>
    </row>
    <row r="38" spans="1:17" x14ac:dyDescent="0.2">
      <c r="A38" s="16"/>
      <c r="B38" s="868"/>
      <c r="C38" s="861" t="s">
        <v>558</v>
      </c>
      <c r="D38" s="862"/>
      <c r="E38" s="863"/>
      <c r="F38" s="577">
        <f>$M$28</f>
        <v>1.6418861397666626E-6</v>
      </c>
      <c r="G38" s="90" t="s">
        <v>13</v>
      </c>
      <c r="H38" s="575" t="s">
        <v>544</v>
      </c>
      <c r="I38" s="574">
        <f>J26</f>
        <v>2.0000274442871735</v>
      </c>
      <c r="J38" s="93">
        <f>F38/I38</f>
        <v>8.20931804939229E-7</v>
      </c>
      <c r="K38" s="451">
        <v>1</v>
      </c>
      <c r="L38" s="90"/>
      <c r="M38" s="93">
        <f>J38*K38</f>
        <v>8.20931804939229E-7</v>
      </c>
      <c r="N38" s="91" t="s">
        <v>181</v>
      </c>
      <c r="O38" s="91">
        <f>M38^4/(IF(N38="∞",100000,N38))</f>
        <v>4.5418033526730552E-30</v>
      </c>
      <c r="P38" s="492"/>
      <c r="Q38" s="16"/>
    </row>
    <row r="39" spans="1:17" x14ac:dyDescent="0.2">
      <c r="A39" s="16"/>
      <c r="B39" s="868"/>
      <c r="C39" s="861" t="s">
        <v>409</v>
      </c>
      <c r="D39" s="862"/>
      <c r="E39" s="863"/>
      <c r="F39" s="577" t="str">
        <f>'i.m. instrumentos'!$M$33</f>
        <v>0,14</v>
      </c>
      <c r="G39" s="90" t="s">
        <v>71</v>
      </c>
      <c r="H39" s="575" t="s">
        <v>544</v>
      </c>
      <c r="I39" s="574">
        <f>'i.m. instrumentos'!$J$31</f>
        <v>2.0000274442871735</v>
      </c>
      <c r="J39" s="93">
        <f>F39/I39</f>
        <v>6.9999039463129561E-2</v>
      </c>
      <c r="K39" s="451">
        <f>-D31/377.5</f>
        <v>-2.0036081547495233</v>
      </c>
      <c r="L39" s="90"/>
      <c r="M39" s="93">
        <f>J39*K39</f>
        <v>-0.14025064629296008</v>
      </c>
      <c r="N39" s="91" t="s">
        <v>181</v>
      </c>
      <c r="O39" s="91">
        <f>M39^4/(IF(N39="∞",100000,N39))</f>
        <v>3.8691849058465994E-9</v>
      </c>
      <c r="P39" s="492"/>
      <c r="Q39" s="16"/>
    </row>
    <row r="40" spans="1:17" x14ac:dyDescent="0.2">
      <c r="A40" s="16"/>
      <c r="B40" s="869"/>
      <c r="C40" s="861" t="s">
        <v>410</v>
      </c>
      <c r="D40" s="862"/>
      <c r="E40" s="863"/>
      <c r="F40" s="577" t="str">
        <f>'i.m. instrumentos'!$M$48</f>
        <v>0,14</v>
      </c>
      <c r="G40" s="90" t="s">
        <v>71</v>
      </c>
      <c r="H40" s="575" t="s">
        <v>544</v>
      </c>
      <c r="I40" s="574">
        <f>'i.m. instrumentos'!$J$46</f>
        <v>2.0000274442871735</v>
      </c>
      <c r="J40" s="93">
        <f>F40/I40</f>
        <v>6.9999039463129561E-2</v>
      </c>
      <c r="K40" s="451">
        <f>-D31/755*-1/2</f>
        <v>0.50090203868738081</v>
      </c>
      <c r="L40" s="90"/>
      <c r="M40" s="93">
        <f>J40*K40</f>
        <v>3.506266157324002E-2</v>
      </c>
      <c r="N40" s="91" t="s">
        <v>181</v>
      </c>
      <c r="O40" s="91">
        <f>M40^4/(IF(N40="∞",100000,N40))</f>
        <v>1.5114003538463279E-11</v>
      </c>
      <c r="P40" s="492"/>
      <c r="Q40" s="16"/>
    </row>
    <row r="41" spans="1:17" ht="15.75" thickBot="1" x14ac:dyDescent="0.3">
      <c r="A41" s="16"/>
      <c r="B41" s="44"/>
      <c r="C41" s="44"/>
      <c r="D41" s="44"/>
      <c r="E41" s="44"/>
      <c r="F41" s="44"/>
      <c r="G41" s="44"/>
      <c r="H41" s="44"/>
      <c r="I41" s="44"/>
      <c r="J41" s="44"/>
      <c r="K41" s="44"/>
      <c r="L41" s="44"/>
      <c r="M41" s="44"/>
      <c r="N41" s="44"/>
      <c r="O41" s="44"/>
      <c r="P41" s="44"/>
      <c r="Q41" s="16"/>
    </row>
    <row r="42" spans="1:17" ht="16.5" thickTop="1" thickBot="1" x14ac:dyDescent="0.3">
      <c r="A42" s="16"/>
      <c r="B42" s="44"/>
      <c r="C42" s="44"/>
      <c r="D42" s="44"/>
      <c r="E42" s="44"/>
      <c r="F42" s="44"/>
      <c r="G42" s="107" t="s">
        <v>183</v>
      </c>
      <c r="H42" s="108">
        <v>0.95450000000000002</v>
      </c>
      <c r="I42" s="107" t="s">
        <v>184</v>
      </c>
      <c r="J42" s="109">
        <f>TINV(1-H42,IF(N42="∞",100000,N42))</f>
        <v>2.0000274442871735</v>
      </c>
      <c r="K42" s="107"/>
      <c r="L42" s="107" t="s">
        <v>185</v>
      </c>
      <c r="M42" s="110">
        <f>SQRT(SUMSQ(M37:M40))</f>
        <v>0.14458518652489247</v>
      </c>
      <c r="N42" s="109" t="str">
        <f>IF((M42^4/O42)&gt;100000,"∞",(M42^4/O42))</f>
        <v>∞</v>
      </c>
      <c r="O42" s="107">
        <f>SUM(O37:O40)</f>
        <v>3.8842991841853354E-9</v>
      </c>
      <c r="P42" s="491"/>
      <c r="Q42" s="16"/>
    </row>
    <row r="43" spans="1:17" ht="16.5" thickTop="1" thickBot="1" x14ac:dyDescent="0.3">
      <c r="A43" s="16"/>
      <c r="B43" s="44"/>
      <c r="C43" s="44"/>
      <c r="D43" s="44"/>
      <c r="E43" s="44"/>
      <c r="F43" s="44"/>
      <c r="G43" s="44"/>
      <c r="H43" s="44"/>
      <c r="I43" s="44"/>
      <c r="J43" s="44"/>
      <c r="K43" s="45"/>
      <c r="L43" s="46"/>
      <c r="M43" s="46"/>
      <c r="N43" s="46"/>
      <c r="O43" s="44"/>
      <c r="P43" s="44"/>
      <c r="Q43" s="16"/>
    </row>
    <row r="44" spans="1:17" ht="16.5" thickTop="1" thickBot="1" x14ac:dyDescent="0.3">
      <c r="A44" s="16"/>
      <c r="B44" s="44"/>
      <c r="C44" s="44"/>
      <c r="D44" s="44"/>
      <c r="E44" s="44"/>
      <c r="F44" s="44"/>
      <c r="G44" s="44"/>
      <c r="H44" s="44"/>
      <c r="I44" s="44"/>
      <c r="J44" s="44"/>
      <c r="K44" s="47"/>
      <c r="L44" s="48" t="s">
        <v>186</v>
      </c>
      <c r="M44" s="452">
        <f>(J42*M42)</f>
        <v>0.28917434108716494</v>
      </c>
      <c r="N44" s="50" t="s">
        <v>13</v>
      </c>
      <c r="O44" s="44"/>
      <c r="P44" s="44"/>
      <c r="Q44" s="16"/>
    </row>
    <row r="45" spans="1:17" ht="13.5" thickTop="1" x14ac:dyDescent="0.2">
      <c r="A45" s="16"/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</row>
    <row r="46" spans="1:17" x14ac:dyDescent="0.2">
      <c r="A46" s="16"/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</row>
    <row r="47" spans="1:17" ht="13.5" thickBot="1" x14ac:dyDescent="0.25">
      <c r="A47" s="16"/>
      <c r="B47" s="16"/>
      <c r="C47" s="16"/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</row>
    <row r="48" spans="1:17" ht="13.5" thickBot="1" x14ac:dyDescent="0.25">
      <c r="A48" s="16"/>
      <c r="B48" s="43" t="s">
        <v>232</v>
      </c>
      <c r="C48" s="56" t="s">
        <v>84</v>
      </c>
      <c r="D48" s="448">
        <f>'Condicionador de ar'!L14</f>
        <v>26.633236639718206</v>
      </c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</row>
    <row r="49" spans="1:17" ht="13.5" thickBot="1" x14ac:dyDescent="0.25">
      <c r="A49" s="16"/>
      <c r="B49" s="43"/>
      <c r="C49" s="56" t="s">
        <v>1</v>
      </c>
      <c r="D49" s="449">
        <f>'Condicionador de ar'!N14</f>
        <v>12.434997385459686</v>
      </c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</row>
    <row r="50" spans="1:17" x14ac:dyDescent="0.2">
      <c r="A50" s="16"/>
      <c r="B50" s="16"/>
      <c r="C50" s="16"/>
      <c r="D50" s="16"/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</row>
    <row r="51" spans="1:17" ht="14.25" x14ac:dyDescent="0.2">
      <c r="A51" s="16"/>
      <c r="B51" s="83" t="s">
        <v>54</v>
      </c>
      <c r="C51" s="864" t="s">
        <v>168</v>
      </c>
      <c r="D51" s="865"/>
      <c r="E51" s="866"/>
      <c r="F51" s="83" t="s">
        <v>169</v>
      </c>
      <c r="G51" s="83" t="s">
        <v>65</v>
      </c>
      <c r="H51" s="83" t="s">
        <v>170</v>
      </c>
      <c r="I51" s="83" t="s">
        <v>171</v>
      </c>
      <c r="J51" s="83" t="s">
        <v>172</v>
      </c>
      <c r="K51" s="83" t="s">
        <v>173</v>
      </c>
      <c r="L51" s="83" t="s">
        <v>65</v>
      </c>
      <c r="M51" s="83" t="s">
        <v>174</v>
      </c>
      <c r="N51" s="83" t="s">
        <v>175</v>
      </c>
      <c r="O51" s="83" t="s">
        <v>176</v>
      </c>
      <c r="P51" s="51"/>
      <c r="Q51" s="16"/>
    </row>
    <row r="52" spans="1:17" x14ac:dyDescent="0.2">
      <c r="A52" s="16"/>
      <c r="B52" s="867" t="s">
        <v>22</v>
      </c>
      <c r="C52" s="861" t="s">
        <v>233</v>
      </c>
      <c r="D52" s="862"/>
      <c r="E52" s="863"/>
      <c r="F52" s="577">
        <f>$M$44</f>
        <v>0.28917434108716494</v>
      </c>
      <c r="G52" s="90" t="s">
        <v>13</v>
      </c>
      <c r="H52" s="575" t="s">
        <v>544</v>
      </c>
      <c r="I52" s="574">
        <f>J42</f>
        <v>2.0000274442871735</v>
      </c>
      <c r="J52" s="93">
        <f>F52/I52</f>
        <v>0.14458518652489247</v>
      </c>
      <c r="K52" s="451">
        <f>100*1/D48</f>
        <v>3.7547069983551973</v>
      </c>
      <c r="L52" s="90"/>
      <c r="M52" s="93">
        <f>J52*K52</f>
        <v>0.54287501170350527</v>
      </c>
      <c r="N52" s="91" t="s">
        <v>181</v>
      </c>
      <c r="O52" s="91">
        <f>M52^4/(IF(N52="∞",100000,N52))</f>
        <v>8.6855916425242633E-7</v>
      </c>
      <c r="P52" s="492"/>
      <c r="Q52" s="16"/>
    </row>
    <row r="53" spans="1:17" x14ac:dyDescent="0.2">
      <c r="A53" s="16"/>
      <c r="B53" s="869"/>
      <c r="C53" s="861" t="s">
        <v>234</v>
      </c>
      <c r="D53" s="862"/>
      <c r="E53" s="863"/>
      <c r="F53" s="577">
        <f>$M$16</f>
        <v>1.5560295332183794E-6</v>
      </c>
      <c r="G53" s="90" t="s">
        <v>13</v>
      </c>
      <c r="H53" s="575" t="s">
        <v>544</v>
      </c>
      <c r="I53" s="574">
        <f>J14</f>
        <v>2.0000274442871735</v>
      </c>
      <c r="J53" s="93">
        <f>F53/I53</f>
        <v>7.7800409072534567E-7</v>
      </c>
      <c r="K53" s="451">
        <f>(100*-D49)/D48^2</f>
        <v>-1.753064125825605</v>
      </c>
      <c r="L53" s="90"/>
      <c r="M53" s="93">
        <f>J53*K53</f>
        <v>-1.3638910611961729E-6</v>
      </c>
      <c r="N53" s="91" t="s">
        <v>181</v>
      </c>
      <c r="O53" s="91">
        <f>M53^4/(IF(N53="∞",100000,N53))</f>
        <v>3.4603396752683602E-29</v>
      </c>
      <c r="P53" s="492"/>
      <c r="Q53" s="16"/>
    </row>
    <row r="54" spans="1:17" ht="15.75" thickBot="1" x14ac:dyDescent="0.3">
      <c r="A54" s="16"/>
      <c r="B54" s="44"/>
      <c r="C54" s="44"/>
      <c r="D54" s="44"/>
      <c r="E54" s="44"/>
      <c r="F54" s="44"/>
      <c r="G54" s="44"/>
      <c r="H54" s="44"/>
      <c r="I54" s="44"/>
      <c r="J54" s="44"/>
      <c r="K54" s="44"/>
      <c r="L54" s="44"/>
      <c r="M54" s="44"/>
      <c r="N54" s="44"/>
      <c r="O54" s="44"/>
      <c r="P54" s="44"/>
      <c r="Q54" s="16"/>
    </row>
    <row r="55" spans="1:17" ht="16.5" thickTop="1" thickBot="1" x14ac:dyDescent="0.3">
      <c r="A55" s="16"/>
      <c r="B55" s="44"/>
      <c r="C55" s="44"/>
      <c r="D55" s="44"/>
      <c r="E55" s="44"/>
      <c r="F55" s="44"/>
      <c r="G55" s="107" t="s">
        <v>183</v>
      </c>
      <c r="H55" s="108">
        <v>0.95450000000000002</v>
      </c>
      <c r="I55" s="107" t="s">
        <v>184</v>
      </c>
      <c r="J55" s="109">
        <f>TINV(1-H55,IF(N55="∞",100000,N55))</f>
        <v>2.0000274442871735</v>
      </c>
      <c r="K55" s="107"/>
      <c r="L55" s="107" t="s">
        <v>185</v>
      </c>
      <c r="M55" s="110">
        <f>SQRT(SUMSQ(M52:M53))</f>
        <v>0.54287501170521857</v>
      </c>
      <c r="N55" s="109" t="str">
        <f>IF((M55^4/O55)&gt;100000,"∞",(M55^4/O55))</f>
        <v>∞</v>
      </c>
      <c r="O55" s="107">
        <f>SUM(O52:O53)</f>
        <v>8.6855916425242633E-7</v>
      </c>
      <c r="P55" s="491"/>
      <c r="Q55" s="16"/>
    </row>
    <row r="56" spans="1:17" ht="16.5" thickTop="1" thickBot="1" x14ac:dyDescent="0.3">
      <c r="A56" s="16"/>
      <c r="B56" s="44"/>
      <c r="C56" s="44"/>
      <c r="D56" s="44"/>
      <c r="E56" s="44"/>
      <c r="F56" s="44"/>
      <c r="G56" s="44"/>
      <c r="H56" s="44"/>
      <c r="I56" s="44"/>
      <c r="J56" s="44"/>
      <c r="K56" s="45"/>
      <c r="L56" s="46"/>
      <c r="M56" s="46"/>
      <c r="N56" s="46"/>
      <c r="O56" s="44"/>
      <c r="P56" s="44"/>
      <c r="Q56" s="16"/>
    </row>
    <row r="57" spans="1:17" ht="16.5" thickTop="1" thickBot="1" x14ac:dyDescent="0.3">
      <c r="A57" s="16"/>
      <c r="B57" s="44"/>
      <c r="C57" s="44"/>
      <c r="D57" s="44"/>
      <c r="E57" s="44"/>
      <c r="F57" s="44"/>
      <c r="G57" s="44"/>
      <c r="H57" s="44"/>
      <c r="I57" s="44"/>
      <c r="J57" s="44"/>
      <c r="K57" s="47"/>
      <c r="L57" s="48" t="s">
        <v>186</v>
      </c>
      <c r="M57" s="117">
        <f>(J55*M55)</f>
        <v>1.0857649222281578</v>
      </c>
      <c r="N57" s="50" t="s">
        <v>14</v>
      </c>
      <c r="O57" s="44"/>
      <c r="P57" s="44"/>
      <c r="Q57" s="16"/>
    </row>
    <row r="58" spans="1:17" ht="13.5" thickTop="1" x14ac:dyDescent="0.2">
      <c r="A58" s="16"/>
      <c r="B58" s="16"/>
      <c r="C58" s="16"/>
      <c r="D58" s="16"/>
      <c r="E58" s="16"/>
      <c r="F58" s="16"/>
      <c r="G58" s="16"/>
      <c r="H58" s="16"/>
      <c r="I58" s="16"/>
      <c r="J58" s="16"/>
      <c r="K58" s="16"/>
      <c r="L58" s="16"/>
      <c r="M58" s="16"/>
      <c r="N58" s="16"/>
      <c r="O58" s="16"/>
      <c r="P58" s="16"/>
      <c r="Q58" s="16"/>
    </row>
    <row r="59" spans="1:17" x14ac:dyDescent="0.2">
      <c r="A59" s="16"/>
      <c r="B59" s="16"/>
      <c r="C59" s="16"/>
      <c r="D59" s="16"/>
      <c r="E59" s="16"/>
      <c r="F59" s="16"/>
      <c r="G59" s="16"/>
      <c r="H59" s="16"/>
      <c r="I59" s="16"/>
      <c r="J59" s="16"/>
      <c r="K59" s="16"/>
      <c r="L59" s="16"/>
      <c r="M59" s="16"/>
      <c r="N59" s="16"/>
      <c r="O59" s="16"/>
      <c r="P59" s="16"/>
      <c r="Q59" s="16"/>
    </row>
    <row r="60" spans="1:17" ht="13.5" thickBot="1" x14ac:dyDescent="0.25">
      <c r="A60" s="16"/>
      <c r="B60" s="16"/>
      <c r="C60" s="16"/>
      <c r="D60" s="16"/>
      <c r="E60" s="16"/>
      <c r="F60" s="16"/>
      <c r="G60" s="16"/>
      <c r="H60" s="16"/>
      <c r="I60" s="16"/>
      <c r="J60" s="16"/>
      <c r="K60" s="16"/>
      <c r="L60" s="16"/>
      <c r="M60" s="16"/>
      <c r="N60" s="16"/>
      <c r="O60" s="16"/>
      <c r="P60" s="16"/>
      <c r="Q60" s="16"/>
    </row>
    <row r="61" spans="1:17" ht="13.5" thickBot="1" x14ac:dyDescent="0.25">
      <c r="A61" s="16"/>
      <c r="B61" s="43" t="s">
        <v>235</v>
      </c>
      <c r="C61" s="56" t="s">
        <v>84</v>
      </c>
      <c r="D61" s="448">
        <f>'Condicionador de ar'!L14</f>
        <v>26.633236639718206</v>
      </c>
      <c r="E61" s="16"/>
      <c r="F61" s="16"/>
      <c r="G61" s="16"/>
      <c r="H61" s="16"/>
      <c r="I61" s="16"/>
      <c r="J61" s="16"/>
      <c r="K61" s="16"/>
      <c r="L61" s="16"/>
      <c r="M61" s="16"/>
      <c r="N61" s="16"/>
      <c r="O61" s="16"/>
      <c r="P61" s="16"/>
      <c r="Q61" s="16"/>
    </row>
    <row r="62" spans="1:17" ht="13.5" thickBot="1" x14ac:dyDescent="0.25">
      <c r="A62" s="16"/>
      <c r="B62" s="43"/>
      <c r="C62" s="56" t="s">
        <v>236</v>
      </c>
      <c r="D62" s="449">
        <f>'Condicionador de ar'!C14</f>
        <v>756.3620784179451</v>
      </c>
      <c r="E62" s="16"/>
      <c r="F62" s="16"/>
      <c r="G62" s="16"/>
      <c r="H62" s="16"/>
      <c r="I62" s="16"/>
      <c r="J62" s="16"/>
      <c r="K62" s="16"/>
      <c r="L62" s="16"/>
      <c r="M62" s="16"/>
      <c r="N62" s="16"/>
      <c r="O62" s="16"/>
      <c r="P62" s="16"/>
      <c r="Q62" s="16"/>
    </row>
    <row r="63" spans="1:17" x14ac:dyDescent="0.2">
      <c r="A63" s="16"/>
      <c r="B63" s="16"/>
      <c r="C63" s="16"/>
      <c r="D63" s="16"/>
      <c r="E63" s="16"/>
      <c r="F63" s="16"/>
      <c r="G63" s="16"/>
      <c r="H63" s="16"/>
      <c r="I63" s="16"/>
      <c r="J63" s="16"/>
      <c r="K63" s="16"/>
      <c r="L63" s="16"/>
      <c r="M63" s="16"/>
      <c r="N63" s="16"/>
      <c r="O63" s="16"/>
      <c r="P63" s="16"/>
      <c r="Q63" s="16"/>
    </row>
    <row r="64" spans="1:17" ht="14.25" x14ac:dyDescent="0.2">
      <c r="A64" s="16"/>
      <c r="B64" s="83" t="s">
        <v>54</v>
      </c>
      <c r="C64" s="864" t="s">
        <v>168</v>
      </c>
      <c r="D64" s="865"/>
      <c r="E64" s="866"/>
      <c r="F64" s="83" t="s">
        <v>169</v>
      </c>
      <c r="G64" s="83" t="s">
        <v>65</v>
      </c>
      <c r="H64" s="83" t="s">
        <v>170</v>
      </c>
      <c r="I64" s="83" t="s">
        <v>171</v>
      </c>
      <c r="J64" s="83" t="s">
        <v>172</v>
      </c>
      <c r="K64" s="83" t="s">
        <v>173</v>
      </c>
      <c r="L64" s="83" t="s">
        <v>65</v>
      </c>
      <c r="M64" s="83" t="s">
        <v>174</v>
      </c>
      <c r="N64" s="83" t="s">
        <v>175</v>
      </c>
      <c r="O64" s="83" t="s">
        <v>176</v>
      </c>
      <c r="P64" s="51"/>
      <c r="Q64" s="16"/>
    </row>
    <row r="65" spans="1:17" x14ac:dyDescent="0.2">
      <c r="A65" s="16"/>
      <c r="B65" s="867" t="s">
        <v>22</v>
      </c>
      <c r="C65" s="861" t="s">
        <v>408</v>
      </c>
      <c r="D65" s="862"/>
      <c r="E65" s="863"/>
      <c r="F65" s="577" t="str">
        <f>'i.m. instrumentos'!$M$18</f>
        <v>0,87</v>
      </c>
      <c r="G65" s="90" t="s">
        <v>13</v>
      </c>
      <c r="H65" s="575" t="s">
        <v>544</v>
      </c>
      <c r="I65" s="574">
        <f>'i.m. instrumentos'!J16</f>
        <v>2.0000274442871735</v>
      </c>
      <c r="J65" s="93">
        <f>F65/I65</f>
        <v>0.43499403094944794</v>
      </c>
      <c r="K65" s="451">
        <f>1000*0.622*-D61/((D62-D61)^2)</f>
        <v>-3.1109376665204767E-2</v>
      </c>
      <c r="L65" s="90"/>
      <c r="M65" s="93">
        <f>J65*K65</f>
        <v>-1.3532393155922116E-2</v>
      </c>
      <c r="N65" s="91" t="s">
        <v>181</v>
      </c>
      <c r="O65" s="91">
        <f>M65^4/(IF(N65="∞",100000,N65))</f>
        <v>3.3535009008253076E-13</v>
      </c>
      <c r="P65" s="492"/>
      <c r="Q65" s="16"/>
    </row>
    <row r="66" spans="1:17" x14ac:dyDescent="0.2">
      <c r="A66" s="16"/>
      <c r="B66" s="869"/>
      <c r="C66" s="861" t="s">
        <v>234</v>
      </c>
      <c r="D66" s="862"/>
      <c r="E66" s="863"/>
      <c r="F66" s="577">
        <f>$M$16</f>
        <v>1.5560295332183794E-6</v>
      </c>
      <c r="G66" s="90" t="s">
        <v>13</v>
      </c>
      <c r="H66" s="575" t="s">
        <v>544</v>
      </c>
      <c r="I66" s="574">
        <f>J14</f>
        <v>2.0000274442871735</v>
      </c>
      <c r="J66" s="93">
        <f>F66/I66</f>
        <v>7.7800409072534567E-7</v>
      </c>
      <c r="K66" s="451">
        <f>1000*0.622*(1/(D62-D61))+(-D61*-1)/((D62-D61)^2)</f>
        <v>0.85242142263004217</v>
      </c>
      <c r="L66" s="90"/>
      <c r="M66" s="93">
        <f>J66*K66</f>
        <v>6.6318735382809152E-7</v>
      </c>
      <c r="N66" s="91" t="s">
        <v>181</v>
      </c>
      <c r="O66" s="91">
        <f>M66^4/(IF(N66="∞",100000,N66))</f>
        <v>1.9343940364276535E-30</v>
      </c>
      <c r="P66" s="492"/>
      <c r="Q66" s="16"/>
    </row>
    <row r="67" spans="1:17" ht="15.75" thickBot="1" x14ac:dyDescent="0.3">
      <c r="A67" s="16"/>
      <c r="B67" s="44"/>
      <c r="C67" s="44"/>
      <c r="D67" s="44"/>
      <c r="E67" s="44"/>
      <c r="F67" s="44"/>
      <c r="G67" s="44"/>
      <c r="H67" s="44"/>
      <c r="I67" s="44"/>
      <c r="J67" s="44"/>
      <c r="K67" s="44"/>
      <c r="L67" s="44"/>
      <c r="M67" s="44"/>
      <c r="N67" s="44"/>
      <c r="O67" s="44"/>
      <c r="P67" s="44"/>
      <c r="Q67" s="16"/>
    </row>
    <row r="68" spans="1:17" ht="16.5" thickTop="1" thickBot="1" x14ac:dyDescent="0.3">
      <c r="A68" s="16"/>
      <c r="B68" s="44"/>
      <c r="C68" s="44"/>
      <c r="D68" s="44"/>
      <c r="E68" s="44"/>
      <c r="F68" s="44"/>
      <c r="G68" s="107" t="s">
        <v>183</v>
      </c>
      <c r="H68" s="108">
        <v>0.95450000000000002</v>
      </c>
      <c r="I68" s="107" t="s">
        <v>184</v>
      </c>
      <c r="J68" s="109">
        <f>TINV(1-H68,IF(N68="∞",100000,N68))</f>
        <v>2.0000274442871735</v>
      </c>
      <c r="K68" s="107"/>
      <c r="L68" s="107" t="s">
        <v>185</v>
      </c>
      <c r="M68" s="110">
        <f>SQRT(SUMSQ(M65:M66))</f>
        <v>1.3532393172172658E-2</v>
      </c>
      <c r="N68" s="109" t="str">
        <f>IF((M68^4/O68)&gt;100000,"∞",(M68^4/O68))</f>
        <v>∞</v>
      </c>
      <c r="O68" s="107">
        <f>SUM(O65:O66)</f>
        <v>3.3535009008253076E-13</v>
      </c>
      <c r="P68" s="491"/>
      <c r="Q68" s="16"/>
    </row>
    <row r="69" spans="1:17" ht="16.5" thickTop="1" thickBot="1" x14ac:dyDescent="0.3">
      <c r="A69" s="16"/>
      <c r="B69" s="44"/>
      <c r="C69" s="44"/>
      <c r="D69" s="44"/>
      <c r="E69" s="44"/>
      <c r="F69" s="44"/>
      <c r="G69" s="44"/>
      <c r="H69" s="44"/>
      <c r="I69" s="44"/>
      <c r="J69" s="44"/>
      <c r="K69" s="45"/>
      <c r="L69" s="46"/>
      <c r="M69" s="46"/>
      <c r="N69" s="46"/>
      <c r="O69" s="44"/>
      <c r="P69" s="44"/>
      <c r="Q69" s="16"/>
    </row>
    <row r="70" spans="1:17" ht="16.5" thickTop="1" thickBot="1" x14ac:dyDescent="0.3">
      <c r="A70" s="16"/>
      <c r="B70" s="44"/>
      <c r="C70" s="44"/>
      <c r="D70" s="44"/>
      <c r="E70" s="44"/>
      <c r="F70" s="44"/>
      <c r="G70" s="44"/>
      <c r="H70" s="44"/>
      <c r="I70" s="44"/>
      <c r="J70" s="44"/>
      <c r="K70" s="47"/>
      <c r="L70" s="48" t="s">
        <v>186</v>
      </c>
      <c r="M70" s="453">
        <f>(J68*M68)</f>
        <v>2.7065157731229677E-2</v>
      </c>
      <c r="N70" s="50" t="s">
        <v>237</v>
      </c>
      <c r="O70" s="44"/>
      <c r="P70" s="44"/>
      <c r="Q70" s="16"/>
    </row>
    <row r="71" spans="1:17" ht="13.5" thickTop="1" x14ac:dyDescent="0.2">
      <c r="A71" s="16"/>
      <c r="B71" s="16"/>
      <c r="C71" s="16"/>
      <c r="D71" s="16"/>
      <c r="E71" s="16"/>
      <c r="F71" s="16"/>
      <c r="G71" s="16"/>
      <c r="H71" s="16"/>
      <c r="I71" s="16"/>
      <c r="J71" s="16"/>
      <c r="K71" s="16"/>
      <c r="L71" s="16"/>
      <c r="M71" s="16"/>
      <c r="N71" s="16"/>
      <c r="O71" s="16"/>
      <c r="P71" s="16"/>
      <c r="Q71" s="16"/>
    </row>
    <row r="72" spans="1:17" x14ac:dyDescent="0.2">
      <c r="A72" s="16"/>
      <c r="B72" s="16"/>
      <c r="C72" s="16"/>
      <c r="D72" s="16"/>
      <c r="E72" s="16"/>
      <c r="F72" s="16"/>
      <c r="G72" s="16"/>
      <c r="H72" s="16"/>
      <c r="I72" s="16"/>
      <c r="J72" s="16"/>
      <c r="K72" s="16"/>
      <c r="L72" s="16"/>
      <c r="M72" s="16"/>
      <c r="N72" s="16"/>
      <c r="O72" s="16"/>
      <c r="P72" s="16"/>
      <c r="Q72" s="16"/>
    </row>
    <row r="73" spans="1:17" x14ac:dyDescent="0.2">
      <c r="A73" s="16"/>
      <c r="B73" s="16"/>
      <c r="C73" s="16"/>
      <c r="D73" s="16"/>
      <c r="E73" s="16"/>
      <c r="F73" s="16"/>
      <c r="G73" s="16"/>
      <c r="H73" s="16"/>
      <c r="I73" s="16"/>
      <c r="J73" s="16"/>
      <c r="K73" s="16"/>
      <c r="L73" s="16"/>
      <c r="M73" s="16"/>
      <c r="N73" s="16"/>
      <c r="O73" s="16"/>
      <c r="P73" s="16"/>
      <c r="Q73" s="16"/>
    </row>
    <row r="74" spans="1:17" x14ac:dyDescent="0.2">
      <c r="A74" s="16"/>
      <c r="B74" s="649" t="s">
        <v>466</v>
      </c>
      <c r="C74" s="650"/>
      <c r="D74" s="650"/>
      <c r="E74" s="650"/>
      <c r="F74" s="650"/>
      <c r="G74" s="650"/>
      <c r="H74" s="650"/>
      <c r="I74" s="650"/>
      <c r="J74" s="650"/>
      <c r="K74" s="650"/>
      <c r="L74" s="650"/>
      <c r="M74" s="650"/>
      <c r="N74" s="650"/>
      <c r="O74" s="651"/>
      <c r="P74" s="16"/>
      <c r="Q74" s="16"/>
    </row>
    <row r="75" spans="1:17" ht="12.75" customHeight="1" x14ac:dyDescent="0.2">
      <c r="A75" s="16"/>
      <c r="B75" s="652"/>
      <c r="C75" s="653"/>
      <c r="D75" s="653"/>
      <c r="E75" s="653"/>
      <c r="F75" s="653"/>
      <c r="G75" s="653"/>
      <c r="H75" s="653"/>
      <c r="I75" s="653"/>
      <c r="J75" s="653"/>
      <c r="K75" s="653"/>
      <c r="L75" s="653"/>
      <c r="M75" s="653"/>
      <c r="N75" s="653"/>
      <c r="O75" s="654"/>
      <c r="P75" s="16"/>
      <c r="Q75" s="16"/>
    </row>
    <row r="76" spans="1:17" ht="12.75" customHeight="1" x14ac:dyDescent="0.2">
      <c r="A76" s="16"/>
      <c r="B76" s="652"/>
      <c r="C76" s="653"/>
      <c r="D76" s="653"/>
      <c r="E76" s="653"/>
      <c r="F76" s="653"/>
      <c r="G76" s="653"/>
      <c r="H76" s="653"/>
      <c r="I76" s="653"/>
      <c r="J76" s="653"/>
      <c r="K76" s="653"/>
      <c r="L76" s="653"/>
      <c r="M76" s="653"/>
      <c r="N76" s="653"/>
      <c r="O76" s="654"/>
      <c r="P76" s="16"/>
      <c r="Q76" s="16"/>
    </row>
    <row r="77" spans="1:17" ht="12.75" customHeight="1" x14ac:dyDescent="0.2">
      <c r="A77" s="16"/>
      <c r="B77" s="655"/>
      <c r="C77" s="656"/>
      <c r="D77" s="656"/>
      <c r="E77" s="656"/>
      <c r="F77" s="656"/>
      <c r="G77" s="656"/>
      <c r="H77" s="656"/>
      <c r="I77" s="656"/>
      <c r="J77" s="656"/>
      <c r="K77" s="656"/>
      <c r="L77" s="656"/>
      <c r="M77" s="656"/>
      <c r="N77" s="656"/>
      <c r="O77" s="657"/>
      <c r="P77" s="16"/>
      <c r="Q77" s="16"/>
    </row>
    <row r="78" spans="1:17" ht="12.75" customHeight="1" x14ac:dyDescent="0.2">
      <c r="A78" s="16"/>
      <c r="B78" s="494"/>
      <c r="C78" s="494"/>
      <c r="D78" s="494"/>
      <c r="E78" s="494"/>
      <c r="F78" s="494"/>
      <c r="G78" s="494"/>
      <c r="H78" s="494"/>
      <c r="I78" s="494"/>
      <c r="J78" s="494"/>
      <c r="K78" s="494"/>
      <c r="L78" s="494"/>
      <c r="M78" s="494"/>
      <c r="N78" s="494"/>
      <c r="O78" s="494"/>
      <c r="P78" s="16"/>
      <c r="Q78" s="16"/>
    </row>
    <row r="79" spans="1:17" ht="12.75" customHeight="1" thickBot="1" x14ac:dyDescent="0.25">
      <c r="A79" s="16"/>
      <c r="B79" s="16"/>
      <c r="C79" s="16"/>
      <c r="D79" s="16"/>
      <c r="E79" s="16"/>
      <c r="F79" s="16"/>
      <c r="G79" s="16"/>
      <c r="H79" s="16"/>
      <c r="I79" s="16"/>
      <c r="J79" s="16"/>
      <c r="K79" s="16"/>
      <c r="L79" s="16"/>
      <c r="M79" s="16"/>
      <c r="N79" s="16"/>
      <c r="O79" s="16"/>
      <c r="P79" s="16"/>
      <c r="Q79" s="16"/>
    </row>
    <row r="80" spans="1:17" ht="13.5" thickBot="1" x14ac:dyDescent="0.25">
      <c r="A80" s="16"/>
      <c r="B80" s="43" t="s">
        <v>238</v>
      </c>
      <c r="C80" s="56" t="s">
        <v>239</v>
      </c>
      <c r="D80" s="448">
        <f>'Condicionador de ar'!N14</f>
        <v>12.434997385459686</v>
      </c>
      <c r="E80" s="16"/>
      <c r="F80" s="16"/>
      <c r="G80" s="16"/>
      <c r="H80" s="16"/>
      <c r="I80" s="16"/>
      <c r="J80" s="16"/>
      <c r="K80" s="16"/>
      <c r="L80" s="16"/>
      <c r="M80" s="16"/>
      <c r="N80" s="16"/>
      <c r="O80" s="16"/>
      <c r="P80" s="16"/>
      <c r="Q80" s="16"/>
    </row>
    <row r="81" spans="1:17" ht="13.5" thickBot="1" x14ac:dyDescent="0.25">
      <c r="A81" s="16"/>
      <c r="B81" s="43"/>
      <c r="C81" s="56" t="s">
        <v>236</v>
      </c>
      <c r="D81" s="449">
        <f>'Condicionador de ar'!C14</f>
        <v>756.3620784179451</v>
      </c>
      <c r="E81" s="16"/>
      <c r="F81" s="16"/>
      <c r="G81" s="16"/>
      <c r="H81" s="16"/>
      <c r="I81" s="16"/>
      <c r="J81" s="16"/>
      <c r="K81" s="16"/>
      <c r="L81" s="16"/>
      <c r="M81" s="16"/>
      <c r="N81" s="16"/>
      <c r="O81" s="16"/>
      <c r="P81" s="16"/>
      <c r="Q81" s="16"/>
    </row>
    <row r="82" spans="1:17" x14ac:dyDescent="0.2">
      <c r="A82" s="16"/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</row>
    <row r="83" spans="1:17" ht="14.25" x14ac:dyDescent="0.2">
      <c r="A83" s="16"/>
      <c r="B83" s="83" t="s">
        <v>54</v>
      </c>
      <c r="C83" s="864" t="s">
        <v>168</v>
      </c>
      <c r="D83" s="865"/>
      <c r="E83" s="866"/>
      <c r="F83" s="83" t="s">
        <v>169</v>
      </c>
      <c r="G83" s="83" t="s">
        <v>65</v>
      </c>
      <c r="H83" s="83" t="s">
        <v>170</v>
      </c>
      <c r="I83" s="83" t="s">
        <v>171</v>
      </c>
      <c r="J83" s="83" t="s">
        <v>172</v>
      </c>
      <c r="K83" s="83" t="s">
        <v>173</v>
      </c>
      <c r="L83" s="83" t="s">
        <v>65</v>
      </c>
      <c r="M83" s="83" t="s">
        <v>174</v>
      </c>
      <c r="N83" s="83" t="s">
        <v>175</v>
      </c>
      <c r="O83" s="83" t="s">
        <v>176</v>
      </c>
      <c r="P83" s="51"/>
      <c r="Q83" s="16"/>
    </row>
    <row r="84" spans="1:17" x14ac:dyDescent="0.2">
      <c r="A84" s="16"/>
      <c r="B84" s="867" t="s">
        <v>22</v>
      </c>
      <c r="C84" s="861" t="s">
        <v>408</v>
      </c>
      <c r="D84" s="862"/>
      <c r="E84" s="863"/>
      <c r="F84" s="577" t="str">
        <f>'i.m. instrumentos'!$M$18</f>
        <v>0,87</v>
      </c>
      <c r="G84" s="90" t="s">
        <v>13</v>
      </c>
      <c r="H84" s="575" t="s">
        <v>544</v>
      </c>
      <c r="I84" s="574">
        <f>'i.m. instrumentos'!J16</f>
        <v>2.0000274442871735</v>
      </c>
      <c r="J84" s="93">
        <f>F84/I84</f>
        <v>0.43499403094944794</v>
      </c>
      <c r="K84" s="451">
        <f>1000*0.622*(-D80)/((D81-D80)^2)</f>
        <v>-1.3975757162939377E-2</v>
      </c>
      <c r="L84" s="90"/>
      <c r="M84" s="93">
        <f>J84*K84</f>
        <v>-6.0793709438776199E-3</v>
      </c>
      <c r="N84" s="91" t="s">
        <v>181</v>
      </c>
      <c r="O84" s="91">
        <f>M84^4/(IF(N84="∞",100000,N84))</f>
        <v>1.3659492808954534E-14</v>
      </c>
      <c r="P84" s="492"/>
      <c r="Q84" s="16"/>
    </row>
    <row r="85" spans="1:17" x14ac:dyDescent="0.2">
      <c r="A85" s="16"/>
      <c r="B85" s="869"/>
      <c r="C85" s="861" t="s">
        <v>233</v>
      </c>
      <c r="D85" s="862"/>
      <c r="E85" s="863"/>
      <c r="F85" s="577">
        <f>$M$44</f>
        <v>0.28917434108716494</v>
      </c>
      <c r="G85" s="90" t="s">
        <v>13</v>
      </c>
      <c r="H85" s="575" t="s">
        <v>544</v>
      </c>
      <c r="I85" s="574">
        <f>J42</f>
        <v>2.0000274442871735</v>
      </c>
      <c r="J85" s="93">
        <f>F85/I85</f>
        <v>0.14458518652489247</v>
      </c>
      <c r="K85" s="451">
        <f>1000*0.622*(1/(D81-D80))+(-D80*-1)/((D81-D80)^2)</f>
        <v>0.83612592040759659</v>
      </c>
      <c r="L85" s="90"/>
      <c r="M85" s="93">
        <f>J85*K85</f>
        <v>0.12089142216042975</v>
      </c>
      <c r="N85" s="91" t="s">
        <v>181</v>
      </c>
      <c r="O85" s="91">
        <f>M85^4/(IF(N85="∞",100000,N85))</f>
        <v>2.1359050694584085E-9</v>
      </c>
      <c r="P85" s="492"/>
      <c r="Q85" s="16"/>
    </row>
    <row r="86" spans="1:17" ht="15.75" thickBot="1" x14ac:dyDescent="0.3">
      <c r="A86" s="16"/>
      <c r="B86" s="44"/>
      <c r="C86" s="44"/>
      <c r="D86" s="44"/>
      <c r="E86" s="44"/>
      <c r="F86" s="44"/>
      <c r="G86" s="44"/>
      <c r="H86" s="44"/>
      <c r="I86" s="44"/>
      <c r="J86" s="44"/>
      <c r="K86" s="44"/>
      <c r="L86" s="44"/>
      <c r="M86" s="44"/>
      <c r="N86" s="44"/>
      <c r="O86" s="44"/>
      <c r="P86" s="44"/>
      <c r="Q86" s="16"/>
    </row>
    <row r="87" spans="1:17" ht="16.5" thickTop="1" thickBot="1" x14ac:dyDescent="0.3">
      <c r="A87" s="16"/>
      <c r="B87" s="44"/>
      <c r="C87" s="44"/>
      <c r="D87" s="44"/>
      <c r="E87" s="44"/>
      <c r="F87" s="44"/>
      <c r="G87" s="107" t="s">
        <v>183</v>
      </c>
      <c r="H87" s="108">
        <v>0.95450000000000002</v>
      </c>
      <c r="I87" s="107" t="s">
        <v>184</v>
      </c>
      <c r="J87" s="109">
        <f>TINV(1-H87,IF(N87="∞",100000,N87))</f>
        <v>2.0000274442871735</v>
      </c>
      <c r="K87" s="107"/>
      <c r="L87" s="107" t="s">
        <v>185</v>
      </c>
      <c r="M87" s="110">
        <f>SQRT(SUMSQ(M84:M85))</f>
        <v>0.12104418492040214</v>
      </c>
      <c r="N87" s="109" t="str">
        <f>IF((M87^4/O87)&gt;100000,"∞",(M87^4/O87))</f>
        <v>∞</v>
      </c>
      <c r="O87" s="107">
        <f>SUM(O84:O85)</f>
        <v>2.1359187289512174E-9</v>
      </c>
      <c r="P87" s="491"/>
      <c r="Q87" s="16"/>
    </row>
    <row r="88" spans="1:17" ht="16.5" thickTop="1" thickBot="1" x14ac:dyDescent="0.3">
      <c r="A88" s="16"/>
      <c r="B88" s="44"/>
      <c r="C88" s="44"/>
      <c r="D88" s="44"/>
      <c r="E88" s="44"/>
      <c r="F88" s="44"/>
      <c r="G88" s="44"/>
      <c r="H88" s="44"/>
      <c r="I88" s="44"/>
      <c r="J88" s="44"/>
      <c r="K88" s="45"/>
      <c r="L88" s="46"/>
      <c r="M88" s="46"/>
      <c r="N88" s="46"/>
      <c r="O88" s="44"/>
      <c r="P88" s="44"/>
      <c r="Q88" s="16"/>
    </row>
    <row r="89" spans="1:17" ht="16.5" thickTop="1" thickBot="1" x14ac:dyDescent="0.3">
      <c r="A89" s="16"/>
      <c r="B89" s="44"/>
      <c r="C89" s="44"/>
      <c r="D89" s="44"/>
      <c r="E89" s="44"/>
      <c r="F89" s="44"/>
      <c r="G89" s="44"/>
      <c r="H89" s="44"/>
      <c r="I89" s="44"/>
      <c r="J89" s="44"/>
      <c r="K89" s="47"/>
      <c r="L89" s="48" t="s">
        <v>186</v>
      </c>
      <c r="M89" s="454">
        <f>(J87*M87)</f>
        <v>0.24209169181217594</v>
      </c>
      <c r="N89" s="50" t="s">
        <v>237</v>
      </c>
      <c r="O89" s="44"/>
      <c r="P89" s="44"/>
      <c r="Q89" s="16"/>
    </row>
    <row r="90" spans="1:17" ht="13.5" thickTop="1" x14ac:dyDescent="0.2">
      <c r="A90" s="16"/>
      <c r="B90" s="16"/>
      <c r="C90" s="16"/>
      <c r="D90" s="16"/>
      <c r="E90" s="16"/>
      <c r="F90" s="16"/>
      <c r="G90" s="16"/>
      <c r="H90" s="16"/>
      <c r="I90" s="16"/>
      <c r="J90" s="16"/>
      <c r="K90" s="16"/>
      <c r="L90" s="16"/>
      <c r="M90" s="16"/>
      <c r="N90" s="16"/>
      <c r="O90" s="16"/>
      <c r="P90" s="16"/>
      <c r="Q90" s="16"/>
    </row>
    <row r="91" spans="1:17" x14ac:dyDescent="0.2">
      <c r="A91" s="16"/>
      <c r="B91" s="16"/>
      <c r="C91" s="16"/>
      <c r="D91" s="16"/>
      <c r="E91" s="16"/>
      <c r="F91" s="16"/>
      <c r="G91" s="16"/>
      <c r="H91" s="16"/>
      <c r="I91" s="16"/>
      <c r="J91" s="16"/>
      <c r="K91" s="16"/>
      <c r="L91" s="16"/>
      <c r="M91" s="16"/>
      <c r="N91" s="16"/>
      <c r="O91" s="16"/>
      <c r="P91" s="16"/>
      <c r="Q91" s="16"/>
    </row>
    <row r="92" spans="1:17" ht="13.5" thickBot="1" x14ac:dyDescent="0.25">
      <c r="A92" s="16"/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</row>
    <row r="93" spans="1:17" ht="13.5" thickBot="1" x14ac:dyDescent="0.25">
      <c r="A93" s="16"/>
      <c r="B93" s="43" t="s">
        <v>241</v>
      </c>
      <c r="C93" s="56" t="s">
        <v>242</v>
      </c>
      <c r="D93" s="448">
        <f>'Condicionador de ar'!P14</f>
        <v>22.701409402342478</v>
      </c>
      <c r="E93" s="16"/>
      <c r="F93" s="16"/>
      <c r="G93" s="16"/>
      <c r="H93" s="16"/>
      <c r="I93" s="16"/>
      <c r="J93" s="16"/>
      <c r="K93" s="16"/>
      <c r="L93" s="16"/>
      <c r="M93" s="16"/>
      <c r="N93" s="16"/>
      <c r="O93" s="16"/>
      <c r="P93" s="16"/>
      <c r="Q93" s="16"/>
    </row>
    <row r="94" spans="1:17" ht="13.5" thickBot="1" x14ac:dyDescent="0.25">
      <c r="A94" s="16"/>
      <c r="B94" s="43"/>
      <c r="C94" s="444" t="s">
        <v>416</v>
      </c>
      <c r="D94" s="449">
        <f>'Condicionador de ar'!G14</f>
        <v>299.95430545316356</v>
      </c>
      <c r="E94" s="16"/>
      <c r="F94" s="16"/>
      <c r="G94" s="16"/>
      <c r="H94" s="16"/>
      <c r="I94" s="16"/>
      <c r="J94" s="16"/>
      <c r="K94" s="16"/>
      <c r="L94" s="16"/>
      <c r="M94" s="16"/>
      <c r="N94" s="16"/>
      <c r="O94" s="16"/>
      <c r="P94" s="16"/>
      <c r="Q94" s="16"/>
    </row>
    <row r="95" spans="1:17" ht="13.5" thickBot="1" x14ac:dyDescent="0.25">
      <c r="A95" s="16"/>
      <c r="B95" s="43"/>
      <c r="C95" s="56" t="s">
        <v>236</v>
      </c>
      <c r="D95" s="449">
        <f>'Condicionador de ar'!C14</f>
        <v>756.3620784179451</v>
      </c>
      <c r="E95" s="16"/>
      <c r="F95" s="16"/>
      <c r="G95" s="16"/>
      <c r="H95" s="16"/>
      <c r="I95" s="16"/>
      <c r="J95" s="16"/>
      <c r="K95" s="16"/>
      <c r="L95" s="16"/>
      <c r="M95" s="16"/>
      <c r="N95" s="16"/>
      <c r="O95" s="16"/>
      <c r="P95" s="16"/>
      <c r="Q95" s="16"/>
    </row>
    <row r="96" spans="1:17" x14ac:dyDescent="0.2">
      <c r="A96" s="16"/>
      <c r="B96" s="16"/>
      <c r="C96" s="16"/>
      <c r="D96" s="16"/>
      <c r="E96" s="16"/>
      <c r="F96" s="16"/>
      <c r="G96" s="16"/>
      <c r="H96" s="16"/>
      <c r="I96" s="16"/>
      <c r="J96" s="16"/>
      <c r="K96" s="16"/>
      <c r="L96" s="16"/>
      <c r="M96" s="16"/>
      <c r="N96" s="16"/>
      <c r="O96" s="16"/>
      <c r="P96" s="16"/>
      <c r="Q96" s="16"/>
    </row>
    <row r="97" spans="1:17" ht="14.25" x14ac:dyDescent="0.2">
      <c r="A97" s="16"/>
      <c r="B97" s="83" t="s">
        <v>54</v>
      </c>
      <c r="C97" s="864" t="s">
        <v>168</v>
      </c>
      <c r="D97" s="865"/>
      <c r="E97" s="866"/>
      <c r="F97" s="83" t="s">
        <v>169</v>
      </c>
      <c r="G97" s="83" t="s">
        <v>65</v>
      </c>
      <c r="H97" s="83" t="s">
        <v>170</v>
      </c>
      <c r="I97" s="83" t="s">
        <v>171</v>
      </c>
      <c r="J97" s="83" t="s">
        <v>172</v>
      </c>
      <c r="K97" s="83" t="s">
        <v>173</v>
      </c>
      <c r="L97" s="83" t="s">
        <v>65</v>
      </c>
      <c r="M97" s="83" t="s">
        <v>174</v>
      </c>
      <c r="N97" s="83" t="s">
        <v>175</v>
      </c>
      <c r="O97" s="83" t="s">
        <v>176</v>
      </c>
      <c r="P97" s="51"/>
      <c r="Q97" s="16"/>
    </row>
    <row r="98" spans="1:17" x14ac:dyDescent="0.2">
      <c r="A98" s="16"/>
      <c r="B98" s="867" t="s">
        <v>22</v>
      </c>
      <c r="C98" s="861" t="s">
        <v>243</v>
      </c>
      <c r="D98" s="862"/>
      <c r="E98" s="863"/>
      <c r="F98" s="577">
        <f>$M$70</f>
        <v>2.7065157731229677E-2</v>
      </c>
      <c r="G98" s="90" t="s">
        <v>237</v>
      </c>
      <c r="H98" s="575" t="s">
        <v>541</v>
      </c>
      <c r="I98" s="574">
        <f>J68</f>
        <v>2.0000274442871735</v>
      </c>
      <c r="J98" s="93">
        <f>F98/I98</f>
        <v>1.3532393172172658E-2</v>
      </c>
      <c r="K98" s="451">
        <f>D94/D95*(3.461*1/1000/1 + 1/1000)</f>
        <v>1.7691211587780938E-3</v>
      </c>
      <c r="L98" s="90"/>
      <c r="M98" s="93">
        <f>J98*K98</f>
        <v>2.3940443089794857E-5</v>
      </c>
      <c r="N98" s="91" t="s">
        <v>181</v>
      </c>
      <c r="O98" s="91">
        <f>M98^4/(IF(N98="∞",100000,N98))</f>
        <v>3.2849497934620087E-24</v>
      </c>
      <c r="P98" s="492"/>
      <c r="Q98" s="16"/>
    </row>
    <row r="99" spans="1:17" x14ac:dyDescent="0.2">
      <c r="A99" s="16"/>
      <c r="B99" s="868"/>
      <c r="C99" s="861" t="s">
        <v>411</v>
      </c>
      <c r="D99" s="862"/>
      <c r="E99" s="863"/>
      <c r="F99" s="577" t="str">
        <f>'i.m. instrumentos'!$M$33</f>
        <v>0,14</v>
      </c>
      <c r="G99" s="90" t="s">
        <v>71</v>
      </c>
      <c r="H99" s="575" t="s">
        <v>541</v>
      </c>
      <c r="I99" s="574">
        <f>'i.m. instrumentos'!J31</f>
        <v>2.0000274442871735</v>
      </c>
      <c r="J99" s="93">
        <f>F99/I99</f>
        <v>6.9999039463129561E-2</v>
      </c>
      <c r="K99" s="451">
        <f>((2.153+3.461*D93/1000)/1+D93/1000)*1/D95</f>
        <v>2.9804124924652834E-3</v>
      </c>
      <c r="L99" s="90"/>
      <c r="M99" s="93">
        <f>J99*K99</f>
        <v>2.086260116764817E-4</v>
      </c>
      <c r="N99" s="91" t="s">
        <v>181</v>
      </c>
      <c r="O99" s="91">
        <f>M99^4/(IF(N99="∞",100000,N99))</f>
        <v>1.8944093247515516E-20</v>
      </c>
      <c r="P99" s="492"/>
      <c r="Q99" s="16"/>
    </row>
    <row r="100" spans="1:17" x14ac:dyDescent="0.2">
      <c r="A100" s="16"/>
      <c r="B100" s="869"/>
      <c r="C100" s="861" t="s">
        <v>408</v>
      </c>
      <c r="D100" s="862"/>
      <c r="E100" s="863"/>
      <c r="F100" s="577" t="str">
        <f>'i.m. instrumentos'!$M$18</f>
        <v>0,87</v>
      </c>
      <c r="G100" s="90" t="s">
        <v>13</v>
      </c>
      <c r="H100" s="575" t="s">
        <v>541</v>
      </c>
      <c r="I100" s="574">
        <f>'i.m. instrumentos'!J16</f>
        <v>2.0000274442871735</v>
      </c>
      <c r="J100" s="93">
        <f>F100/I100</f>
        <v>0.43499403094944794</v>
      </c>
      <c r="K100" s="451">
        <f>((2.153 + 3.461*D93/1000)/1+D93/1000)*(-D94)/(D95^2)</f>
        <v>-1.1819571401719099E-3</v>
      </c>
      <c r="L100" s="90"/>
      <c r="M100" s="93">
        <f>J100*K100</f>
        <v>-5.1414430081286075E-4</v>
      </c>
      <c r="N100" s="91" t="s">
        <v>181</v>
      </c>
      <c r="O100" s="91">
        <f>M100^4/(IF(N100="∞",100000,N100))</f>
        <v>6.9877941752033604E-19</v>
      </c>
      <c r="P100" s="492"/>
      <c r="Q100" s="16"/>
    </row>
    <row r="101" spans="1:17" ht="15.75" thickBot="1" x14ac:dyDescent="0.3">
      <c r="A101" s="16"/>
      <c r="B101" s="44"/>
      <c r="C101" s="44"/>
      <c r="D101" s="44"/>
      <c r="E101" s="44"/>
      <c r="F101" s="44"/>
      <c r="G101" s="44"/>
      <c r="H101" s="44"/>
      <c r="I101" s="44"/>
      <c r="J101" s="44"/>
      <c r="K101" s="44"/>
      <c r="L101" s="44"/>
      <c r="M101" s="44"/>
      <c r="N101" s="44"/>
      <c r="O101" s="44"/>
      <c r="P101" s="44"/>
      <c r="Q101" s="16"/>
    </row>
    <row r="102" spans="1:17" ht="16.5" thickTop="1" thickBot="1" x14ac:dyDescent="0.3">
      <c r="A102" s="16"/>
      <c r="B102" s="44"/>
      <c r="C102" s="44"/>
      <c r="D102" s="44"/>
      <c r="E102" s="44"/>
      <c r="F102" s="44"/>
      <c r="G102" s="107" t="s">
        <v>183</v>
      </c>
      <c r="H102" s="108">
        <v>0.95450000000000002</v>
      </c>
      <c r="I102" s="107" t="s">
        <v>184</v>
      </c>
      <c r="J102" s="109">
        <f>TINV(1-H102,IF(N102="∞",100000,N102))</f>
        <v>2.0000274442871735</v>
      </c>
      <c r="K102" s="107"/>
      <c r="L102" s="107" t="s">
        <v>185</v>
      </c>
      <c r="M102" s="110">
        <f>SQRT(SUMSQ(M98:M100))</f>
        <v>5.5537583636823507E-4</v>
      </c>
      <c r="N102" s="109" t="str">
        <f>IF((M102^4/O102)&gt;100000,"∞",(M102^4/O102))</f>
        <v>∞</v>
      </c>
      <c r="O102" s="107">
        <f>SUM(O98:O100)</f>
        <v>7.1772679571764498E-19</v>
      </c>
      <c r="P102" s="491"/>
      <c r="Q102" s="16"/>
    </row>
    <row r="103" spans="1:17" ht="16.5" thickTop="1" thickBot="1" x14ac:dyDescent="0.3">
      <c r="A103" s="16"/>
      <c r="B103" s="44"/>
      <c r="C103" s="44"/>
      <c r="D103" s="44"/>
      <c r="E103" s="44"/>
      <c r="F103" s="44"/>
      <c r="G103" s="44"/>
      <c r="H103" s="44"/>
      <c r="I103" s="44"/>
      <c r="J103" s="44"/>
      <c r="K103" s="45"/>
      <c r="L103" s="46"/>
      <c r="M103" s="46"/>
      <c r="N103" s="46"/>
      <c r="O103" s="44"/>
      <c r="P103" s="44"/>
      <c r="Q103" s="16"/>
    </row>
    <row r="104" spans="1:17" ht="16.5" thickTop="1" thickBot="1" x14ac:dyDescent="0.3">
      <c r="A104" s="16"/>
      <c r="B104" s="44"/>
      <c r="C104" s="44"/>
      <c r="D104" s="44"/>
      <c r="E104" s="44"/>
      <c r="F104" s="44"/>
      <c r="G104" s="44"/>
      <c r="H104" s="44"/>
      <c r="I104" s="44"/>
      <c r="J104" s="44"/>
      <c r="K104" s="47"/>
      <c r="L104" s="48" t="s">
        <v>186</v>
      </c>
      <c r="M104" s="453">
        <f>(J102*M102)</f>
        <v>1.1107669146304127E-3</v>
      </c>
      <c r="N104" s="50" t="s">
        <v>237</v>
      </c>
      <c r="O104" s="44"/>
      <c r="P104" s="44"/>
      <c r="Q104" s="16"/>
    </row>
    <row r="105" spans="1:17" ht="13.5" thickTop="1" x14ac:dyDescent="0.2">
      <c r="A105" s="16"/>
      <c r="B105" s="16"/>
      <c r="C105" s="16"/>
      <c r="D105" s="16"/>
      <c r="E105" s="16"/>
      <c r="F105" s="16"/>
      <c r="G105" s="16"/>
      <c r="H105" s="16"/>
      <c r="I105" s="16"/>
      <c r="J105" s="16"/>
      <c r="K105" s="16"/>
      <c r="L105" s="16"/>
      <c r="M105" s="16"/>
      <c r="N105" s="16"/>
      <c r="O105" s="16"/>
      <c r="P105" s="16"/>
      <c r="Q105" s="16"/>
    </row>
    <row r="106" spans="1:17" ht="13.5" thickBot="1" x14ac:dyDescent="0.25">
      <c r="A106" s="16"/>
      <c r="B106" s="16"/>
      <c r="C106" s="16"/>
      <c r="D106" s="16"/>
      <c r="E106" s="16"/>
      <c r="F106" s="16"/>
      <c r="G106" s="16"/>
      <c r="H106" s="16"/>
      <c r="I106" s="16"/>
      <c r="J106" s="16"/>
      <c r="K106" s="16"/>
      <c r="L106" s="16"/>
      <c r="M106" s="16"/>
      <c r="N106" s="16"/>
      <c r="O106" s="16"/>
      <c r="P106" s="16"/>
      <c r="Q106" s="16"/>
    </row>
    <row r="107" spans="1:17" ht="13.5" thickBot="1" x14ac:dyDescent="0.25">
      <c r="A107" s="16"/>
      <c r="B107" s="43" t="s">
        <v>240</v>
      </c>
      <c r="C107" s="56" t="s">
        <v>244</v>
      </c>
      <c r="D107" s="448">
        <f>'Condicionador de ar'!Q14</f>
        <v>10.396944231444339</v>
      </c>
      <c r="E107" s="16"/>
      <c r="F107" s="16"/>
      <c r="G107" s="16"/>
      <c r="H107" s="16"/>
      <c r="I107" s="16"/>
      <c r="J107" s="16"/>
      <c r="K107" s="16"/>
      <c r="L107" s="16"/>
      <c r="M107" s="16"/>
      <c r="N107" s="16"/>
      <c r="O107" s="16"/>
      <c r="P107" s="16"/>
      <c r="Q107" s="16"/>
    </row>
    <row r="108" spans="1:17" ht="13.5" thickBot="1" x14ac:dyDescent="0.25">
      <c r="A108" s="16"/>
      <c r="B108" s="43"/>
      <c r="C108" s="444" t="s">
        <v>418</v>
      </c>
      <c r="D108" s="449">
        <f>'Condicionador de ar'!K14</f>
        <v>292.00648697419479</v>
      </c>
      <c r="E108" s="16"/>
      <c r="F108" s="16"/>
      <c r="G108" s="16"/>
      <c r="H108" s="16"/>
      <c r="I108" s="16"/>
      <c r="J108" s="16"/>
      <c r="K108" s="16"/>
      <c r="L108" s="16"/>
      <c r="M108" s="16"/>
      <c r="N108" s="16"/>
      <c r="O108" s="16"/>
      <c r="P108" s="16"/>
      <c r="Q108" s="16"/>
    </row>
    <row r="109" spans="1:17" ht="13.5" thickBot="1" x14ac:dyDescent="0.25">
      <c r="A109" s="16"/>
      <c r="B109" s="43"/>
      <c r="C109" s="56" t="s">
        <v>236</v>
      </c>
      <c r="D109" s="449">
        <f>'Condicionador de ar'!C14</f>
        <v>756.3620784179451</v>
      </c>
      <c r="E109" s="16"/>
      <c r="F109" s="16"/>
      <c r="G109" s="16"/>
      <c r="H109" s="16"/>
      <c r="I109" s="16"/>
      <c r="J109" s="16"/>
      <c r="K109" s="16"/>
      <c r="L109" s="16"/>
      <c r="M109" s="16"/>
      <c r="N109" s="16"/>
      <c r="O109" s="16"/>
      <c r="P109" s="16"/>
      <c r="Q109" s="16"/>
    </row>
    <row r="110" spans="1:17" x14ac:dyDescent="0.2">
      <c r="A110" s="16"/>
      <c r="B110" s="16"/>
      <c r="C110" s="16"/>
      <c r="D110" s="16"/>
      <c r="E110" s="16"/>
      <c r="F110" s="16"/>
      <c r="G110" s="16"/>
      <c r="H110" s="16"/>
      <c r="I110" s="16"/>
      <c r="J110" s="16"/>
      <c r="K110" s="16"/>
      <c r="L110" s="16"/>
      <c r="M110" s="16"/>
      <c r="N110" s="16"/>
      <c r="O110" s="16"/>
      <c r="P110" s="16"/>
      <c r="Q110" s="16"/>
    </row>
    <row r="111" spans="1:17" ht="14.25" x14ac:dyDescent="0.2">
      <c r="A111" s="16"/>
      <c r="B111" s="83" t="s">
        <v>54</v>
      </c>
      <c r="C111" s="864" t="s">
        <v>168</v>
      </c>
      <c r="D111" s="865"/>
      <c r="E111" s="866"/>
      <c r="F111" s="83" t="s">
        <v>169</v>
      </c>
      <c r="G111" s="83" t="s">
        <v>65</v>
      </c>
      <c r="H111" s="83" t="s">
        <v>170</v>
      </c>
      <c r="I111" s="83" t="s">
        <v>171</v>
      </c>
      <c r="J111" s="83" t="s">
        <v>172</v>
      </c>
      <c r="K111" s="83" t="s">
        <v>173</v>
      </c>
      <c r="L111" s="83" t="s">
        <v>65</v>
      </c>
      <c r="M111" s="83" t="s">
        <v>174</v>
      </c>
      <c r="N111" s="83" t="s">
        <v>175</v>
      </c>
      <c r="O111" s="83" t="s">
        <v>176</v>
      </c>
      <c r="P111" s="51"/>
      <c r="Q111" s="16"/>
    </row>
    <row r="112" spans="1:17" x14ac:dyDescent="0.2">
      <c r="A112" s="16"/>
      <c r="B112" s="867" t="s">
        <v>22</v>
      </c>
      <c r="C112" s="861" t="s">
        <v>245</v>
      </c>
      <c r="D112" s="862"/>
      <c r="E112" s="863"/>
      <c r="F112" s="577">
        <f>M89</f>
        <v>0.24209169181217594</v>
      </c>
      <c r="G112" s="90" t="s">
        <v>237</v>
      </c>
      <c r="H112" s="575" t="s">
        <v>541</v>
      </c>
      <c r="I112" s="574">
        <f>J87</f>
        <v>2.0000274442871735</v>
      </c>
      <c r="J112" s="93">
        <f>F112/I112</f>
        <v>0.12104418492040214</v>
      </c>
      <c r="K112" s="451">
        <f>D108/D109*(3.461*1/1000/1+1/1000)</f>
        <v>1.7222451727307235E-3</v>
      </c>
      <c r="L112" s="90"/>
      <c r="M112" s="93">
        <f>J112*K112</f>
        <v>2.0846776316628762E-4</v>
      </c>
      <c r="N112" s="91" t="s">
        <v>181</v>
      </c>
      <c r="O112" s="91">
        <f>M112^4/(IF(N112="∞",100000,N112))</f>
        <v>1.8886680170791516E-20</v>
      </c>
      <c r="P112" s="492"/>
      <c r="Q112" s="16"/>
    </row>
    <row r="113" spans="1:17" x14ac:dyDescent="0.2">
      <c r="A113" s="16"/>
      <c r="B113" s="868"/>
      <c r="C113" s="861" t="s">
        <v>422</v>
      </c>
      <c r="D113" s="862"/>
      <c r="E113" s="863"/>
      <c r="F113" s="577" t="str">
        <f>'i.m. instrumentos'!$M$48</f>
        <v>0,14</v>
      </c>
      <c r="G113" s="90" t="s">
        <v>71</v>
      </c>
      <c r="H113" s="575" t="s">
        <v>541</v>
      </c>
      <c r="I113" s="574">
        <f>'i.m. instrumentos'!J46</f>
        <v>2.0000274442871735</v>
      </c>
      <c r="J113" s="93">
        <f>F113/I113</f>
        <v>6.9999039463129561E-2</v>
      </c>
      <c r="K113" s="451">
        <f xml:space="preserve"> ((2.153 + 3.461*D107/1000)/1+D107/1000)*1/D109</f>
        <v>2.9078411398107606E-3</v>
      </c>
      <c r="L113" s="90"/>
      <c r="M113" s="93">
        <f>J113*K113</f>
        <v>2.0354608669812508E-4</v>
      </c>
      <c r="N113" s="91" t="s">
        <v>181</v>
      </c>
      <c r="O113" s="91">
        <f>M113^4/(IF(N113="∞",100000,N113))</f>
        <v>1.7165285407415064E-20</v>
      </c>
      <c r="P113" s="492"/>
      <c r="Q113" s="16"/>
    </row>
    <row r="114" spans="1:17" x14ac:dyDescent="0.2">
      <c r="A114" s="16"/>
      <c r="B114" s="869"/>
      <c r="C114" s="861" t="s">
        <v>408</v>
      </c>
      <c r="D114" s="862"/>
      <c r="E114" s="863"/>
      <c r="F114" s="577" t="str">
        <f>'i.m. instrumentos'!$M$18</f>
        <v>0,87</v>
      </c>
      <c r="G114" s="90" t="s">
        <v>13</v>
      </c>
      <c r="H114" s="575" t="s">
        <v>541</v>
      </c>
      <c r="I114" s="574">
        <f>'i.m. instrumentos'!J16</f>
        <v>2.0000274442871735</v>
      </c>
      <c r="J114" s="93">
        <f>F114/I114</f>
        <v>0.43499403094944794</v>
      </c>
      <c r="K114" s="451">
        <f>((2.153 + 3.461*D107/1000)/1+D107/1000)*(-D108)/(D109^2)</f>
        <v>-1.1226216915729405E-3</v>
      </c>
      <c r="L114" s="90"/>
      <c r="M114" s="93">
        <f>J114*K114</f>
        <v>-4.8833373484860132E-4</v>
      </c>
      <c r="N114" s="91" t="s">
        <v>181</v>
      </c>
      <c r="O114" s="91">
        <f>M114^4/(IF(N114="∞",100000,N114))</f>
        <v>5.6867862963826036E-19</v>
      </c>
      <c r="P114" s="492"/>
      <c r="Q114" s="16"/>
    </row>
    <row r="115" spans="1:17" ht="15.75" thickBot="1" x14ac:dyDescent="0.3">
      <c r="A115" s="16"/>
      <c r="B115" s="44"/>
      <c r="C115" s="44"/>
      <c r="D115" s="44"/>
      <c r="E115" s="44"/>
      <c r="F115" s="44"/>
      <c r="G115" s="44"/>
      <c r="H115" s="44"/>
      <c r="I115" s="44"/>
      <c r="J115" s="44"/>
      <c r="K115" s="44"/>
      <c r="L115" s="44"/>
      <c r="M115" s="44"/>
      <c r="N115" s="44"/>
      <c r="O115" s="44"/>
      <c r="P115" s="44"/>
      <c r="Q115" s="16"/>
    </row>
    <row r="116" spans="1:17" ht="16.5" thickTop="1" thickBot="1" x14ac:dyDescent="0.3">
      <c r="A116" s="16"/>
      <c r="B116" s="44"/>
      <c r="C116" s="44"/>
      <c r="D116" s="44"/>
      <c r="E116" s="44"/>
      <c r="F116" s="44"/>
      <c r="G116" s="107" t="s">
        <v>183</v>
      </c>
      <c r="H116" s="108">
        <v>0.95450000000000002</v>
      </c>
      <c r="I116" s="107" t="s">
        <v>184</v>
      </c>
      <c r="J116" s="109">
        <f>TINV(1-H116,IF(N116="∞",100000,N116))</f>
        <v>2.0000274442871735</v>
      </c>
      <c r="K116" s="107"/>
      <c r="L116" s="107" t="s">
        <v>185</v>
      </c>
      <c r="M116" s="110">
        <f>SQRT(SUMSQ(M112:M114))</f>
        <v>5.6864721425578101E-4</v>
      </c>
      <c r="N116" s="109" t="str">
        <f>IF((M116^4/O116)&gt;100000,"∞",(M116^4/O116))</f>
        <v>∞</v>
      </c>
      <c r="O116" s="107">
        <f>SUM(O112:O114)</f>
        <v>6.0473059521646699E-19</v>
      </c>
      <c r="P116" s="491"/>
      <c r="Q116" s="16"/>
    </row>
    <row r="117" spans="1:17" ht="16.5" thickTop="1" thickBot="1" x14ac:dyDescent="0.3">
      <c r="A117" s="16"/>
      <c r="B117" s="44"/>
      <c r="C117" s="44"/>
      <c r="D117" s="44"/>
      <c r="E117" s="44"/>
      <c r="F117" s="44"/>
      <c r="G117" s="44"/>
      <c r="H117" s="44"/>
      <c r="I117" s="44"/>
      <c r="J117" s="44"/>
      <c r="K117" s="45"/>
      <c r="L117" s="46"/>
      <c r="M117" s="46"/>
      <c r="N117" s="46"/>
      <c r="O117" s="44"/>
      <c r="P117" s="44"/>
      <c r="Q117" s="16"/>
    </row>
    <row r="118" spans="1:17" ht="16.5" thickTop="1" thickBot="1" x14ac:dyDescent="0.3">
      <c r="A118" s="16"/>
      <c r="B118" s="44"/>
      <c r="C118" s="44"/>
      <c r="D118" s="44"/>
      <c r="E118" s="44"/>
      <c r="F118" s="44"/>
      <c r="G118" s="44"/>
      <c r="H118" s="44"/>
      <c r="I118" s="44"/>
      <c r="J118" s="44"/>
      <c r="K118" s="47"/>
      <c r="L118" s="48" t="s">
        <v>186</v>
      </c>
      <c r="M118" s="455">
        <f>(J116*M116)</f>
        <v>1.1373100346290105E-3</v>
      </c>
      <c r="N118" s="50" t="s">
        <v>237</v>
      </c>
      <c r="O118" s="44"/>
      <c r="P118" s="44"/>
      <c r="Q118" s="16"/>
    </row>
    <row r="119" spans="1:17" ht="13.5" thickTop="1" x14ac:dyDescent="0.2">
      <c r="A119" s="16"/>
      <c r="B119" s="16"/>
      <c r="C119" s="16"/>
      <c r="D119" s="16"/>
      <c r="E119" s="16"/>
      <c r="F119" s="16"/>
      <c r="G119" s="16"/>
      <c r="H119" s="16"/>
      <c r="I119" s="16"/>
      <c r="J119" s="16"/>
      <c r="K119" s="16"/>
      <c r="L119" s="16"/>
      <c r="M119" s="16"/>
      <c r="N119" s="16"/>
      <c r="O119" s="16"/>
      <c r="P119" s="16"/>
      <c r="Q119" s="16"/>
    </row>
    <row r="120" spans="1:17" x14ac:dyDescent="0.2">
      <c r="A120" s="16"/>
      <c r="B120" s="16"/>
      <c r="C120" s="16"/>
      <c r="D120" s="16"/>
      <c r="E120" s="16"/>
      <c r="F120" s="16"/>
      <c r="G120" s="16"/>
      <c r="H120" s="16"/>
      <c r="I120" s="16"/>
      <c r="J120" s="16"/>
      <c r="K120" s="16"/>
      <c r="L120" s="16"/>
      <c r="M120" s="16"/>
      <c r="N120" s="16"/>
      <c r="O120" s="16"/>
      <c r="P120" s="16"/>
      <c r="Q120" s="16"/>
    </row>
    <row r="121" spans="1:17" ht="13.5" thickBot="1" x14ac:dyDescent="0.25">
      <c r="A121" s="16"/>
      <c r="B121" s="16"/>
      <c r="C121" s="16"/>
      <c r="D121" s="16"/>
      <c r="E121" s="16"/>
      <c r="F121" s="16"/>
      <c r="G121" s="16"/>
      <c r="H121" s="16"/>
      <c r="I121" s="16"/>
      <c r="J121" s="16"/>
      <c r="K121" s="16"/>
      <c r="L121" s="16"/>
      <c r="M121" s="16"/>
      <c r="N121" s="16"/>
      <c r="O121" s="16"/>
      <c r="P121" s="16"/>
      <c r="Q121" s="16"/>
    </row>
    <row r="122" spans="1:17" ht="13.5" thickBot="1" x14ac:dyDescent="0.25">
      <c r="A122" s="16"/>
      <c r="B122" s="43" t="s">
        <v>247</v>
      </c>
      <c r="C122" s="72" t="s">
        <v>241</v>
      </c>
      <c r="D122" s="445">
        <f>'Condicionador de ar'!R14</f>
        <v>0.89398755914135608</v>
      </c>
      <c r="E122" s="16"/>
      <c r="F122" s="16"/>
      <c r="G122" s="16"/>
      <c r="H122" s="16"/>
      <c r="I122" s="16"/>
      <c r="J122" s="16"/>
      <c r="K122" s="16"/>
      <c r="L122" s="16"/>
      <c r="M122" s="16"/>
      <c r="N122" s="16"/>
      <c r="O122" s="16"/>
      <c r="P122" s="16"/>
      <c r="Q122" s="16"/>
    </row>
    <row r="123" spans="1:17" x14ac:dyDescent="0.2">
      <c r="A123" s="16"/>
      <c r="B123" s="16"/>
      <c r="C123" s="16"/>
      <c r="D123" s="16"/>
      <c r="E123" s="16"/>
      <c r="F123" s="16"/>
      <c r="G123" s="16"/>
      <c r="H123" s="16"/>
      <c r="I123" s="16"/>
      <c r="J123" s="16"/>
      <c r="K123" s="16"/>
      <c r="L123" s="16"/>
      <c r="M123" s="16"/>
      <c r="N123" s="16"/>
      <c r="O123" s="16"/>
      <c r="P123" s="16"/>
      <c r="Q123" s="16"/>
    </row>
    <row r="124" spans="1:17" ht="14.25" x14ac:dyDescent="0.2">
      <c r="A124" s="16"/>
      <c r="B124" s="83" t="s">
        <v>54</v>
      </c>
      <c r="C124" s="864" t="s">
        <v>168</v>
      </c>
      <c r="D124" s="865"/>
      <c r="E124" s="866"/>
      <c r="F124" s="83" t="s">
        <v>169</v>
      </c>
      <c r="G124" s="83" t="s">
        <v>65</v>
      </c>
      <c r="H124" s="83" t="s">
        <v>170</v>
      </c>
      <c r="I124" s="83" t="s">
        <v>171</v>
      </c>
      <c r="J124" s="83" t="s">
        <v>172</v>
      </c>
      <c r="K124" s="83" t="s">
        <v>173</v>
      </c>
      <c r="L124" s="83" t="s">
        <v>65</v>
      </c>
      <c r="M124" s="83" t="s">
        <v>174</v>
      </c>
      <c r="N124" s="83" t="s">
        <v>175</v>
      </c>
      <c r="O124" s="83" t="s">
        <v>176</v>
      </c>
      <c r="P124" s="51"/>
      <c r="Q124" s="16"/>
    </row>
    <row r="125" spans="1:17" x14ac:dyDescent="0.2">
      <c r="A125" s="16"/>
      <c r="B125" s="867" t="s">
        <v>22</v>
      </c>
      <c r="C125" s="861" t="s">
        <v>246</v>
      </c>
      <c r="D125" s="862"/>
      <c r="E125" s="863"/>
      <c r="F125" s="578">
        <f>$M$104</f>
        <v>1.1107669146304127E-3</v>
      </c>
      <c r="G125" s="90" t="s">
        <v>237</v>
      </c>
      <c r="H125" s="575" t="s">
        <v>541</v>
      </c>
      <c r="I125" s="574">
        <f>J102</f>
        <v>2.0000274442871735</v>
      </c>
      <c r="J125" s="93">
        <f>F125/I125</f>
        <v>5.5537583636823507E-4</v>
      </c>
      <c r="K125" s="451">
        <f>-1/(D122^2)</f>
        <v>-1.2512297149771832</v>
      </c>
      <c r="L125" s="90"/>
      <c r="M125" s="93">
        <f>J125*K125</f>
        <v>-6.9490274944424154E-4</v>
      </c>
      <c r="N125" s="91" t="s">
        <v>181</v>
      </c>
      <c r="O125" s="91">
        <f>M125^4/(IF(N125="∞",100000,N125))</f>
        <v>2.3318258906203839E-18</v>
      </c>
      <c r="P125" s="492"/>
      <c r="Q125" s="16"/>
    </row>
    <row r="126" spans="1:17" x14ac:dyDescent="0.2">
      <c r="A126" s="16"/>
      <c r="B126" s="869"/>
      <c r="C126" s="876"/>
      <c r="D126" s="877"/>
      <c r="E126" s="878"/>
      <c r="F126" s="331"/>
      <c r="G126" s="106"/>
      <c r="H126" s="83"/>
      <c r="I126" s="83"/>
      <c r="J126" s="102"/>
      <c r="K126" s="103"/>
      <c r="L126" s="102"/>
      <c r="M126" s="102"/>
      <c r="N126" s="83"/>
      <c r="O126" s="83"/>
      <c r="P126" s="51"/>
      <c r="Q126" s="16"/>
    </row>
    <row r="127" spans="1:17" ht="15.75" thickBot="1" x14ac:dyDescent="0.3">
      <c r="A127" s="16"/>
      <c r="B127" s="44"/>
      <c r="C127" s="44"/>
      <c r="D127" s="44"/>
      <c r="E127" s="44"/>
      <c r="F127" s="44"/>
      <c r="G127" s="44"/>
      <c r="H127" s="44"/>
      <c r="I127" s="44"/>
      <c r="J127" s="44"/>
      <c r="K127" s="44"/>
      <c r="L127" s="44"/>
      <c r="M127" s="44"/>
      <c r="N127" s="44"/>
      <c r="O127" s="44"/>
      <c r="P127" s="44"/>
      <c r="Q127" s="16"/>
    </row>
    <row r="128" spans="1:17" ht="16.5" thickTop="1" thickBot="1" x14ac:dyDescent="0.3">
      <c r="A128" s="16"/>
      <c r="B128" s="44"/>
      <c r="C128" s="44"/>
      <c r="D128" s="44"/>
      <c r="E128" s="44"/>
      <c r="F128" s="44"/>
      <c r="G128" s="107" t="s">
        <v>183</v>
      </c>
      <c r="H128" s="108">
        <v>0.95450000000000002</v>
      </c>
      <c r="I128" s="107" t="s">
        <v>184</v>
      </c>
      <c r="J128" s="109">
        <f>TINV(1-H128,IF(N128="∞",100000,N128))</f>
        <v>2.0000274442871735</v>
      </c>
      <c r="K128" s="107"/>
      <c r="L128" s="107" t="s">
        <v>185</v>
      </c>
      <c r="M128" s="110">
        <f>SQRT(SUMSQ(M125:M126))</f>
        <v>6.9490274944424154E-4</v>
      </c>
      <c r="N128" s="109">
        <f>IF((M128^4/O128)&gt;100000,"∞",(M128^4/O128))</f>
        <v>100000</v>
      </c>
      <c r="O128" s="107">
        <f>SUM(O125:O126)</f>
        <v>2.3318258906203839E-18</v>
      </c>
      <c r="P128" s="491"/>
      <c r="Q128" s="16"/>
    </row>
    <row r="129" spans="1:17" ht="16.5" thickTop="1" thickBot="1" x14ac:dyDescent="0.3">
      <c r="A129" s="16"/>
      <c r="B129" s="44"/>
      <c r="C129" s="44"/>
      <c r="D129" s="44"/>
      <c r="E129" s="44"/>
      <c r="F129" s="44"/>
      <c r="G129" s="44"/>
      <c r="H129" s="44"/>
      <c r="I129" s="44"/>
      <c r="J129" s="44"/>
      <c r="K129" s="45"/>
      <c r="L129" s="46"/>
      <c r="M129" s="46"/>
      <c r="N129" s="46"/>
      <c r="O129" s="44"/>
      <c r="P129" s="44"/>
      <c r="Q129" s="16"/>
    </row>
    <row r="130" spans="1:17" ht="16.5" thickTop="1" thickBot="1" x14ac:dyDescent="0.3">
      <c r="A130" s="16"/>
      <c r="B130" s="44"/>
      <c r="C130" s="44"/>
      <c r="D130" s="44"/>
      <c r="E130" s="44"/>
      <c r="F130" s="44"/>
      <c r="G130" s="44"/>
      <c r="H130" s="44"/>
      <c r="I130" s="44"/>
      <c r="J130" s="44"/>
      <c r="K130" s="47"/>
      <c r="L130" s="48" t="s">
        <v>186</v>
      </c>
      <c r="M130" s="453">
        <f>(J128*M128)</f>
        <v>1.3898245699990965E-3</v>
      </c>
      <c r="N130" s="50" t="s">
        <v>226</v>
      </c>
      <c r="O130" s="44"/>
      <c r="P130" s="44"/>
      <c r="Q130" s="16"/>
    </row>
    <row r="131" spans="1:17" ht="13.5" thickTop="1" x14ac:dyDescent="0.2">
      <c r="A131" s="16"/>
      <c r="B131" s="16"/>
      <c r="C131" s="16"/>
      <c r="D131" s="16"/>
      <c r="E131" s="16"/>
      <c r="F131" s="16"/>
      <c r="G131" s="16"/>
      <c r="H131" s="16"/>
      <c r="I131" s="16"/>
      <c r="J131" s="16"/>
      <c r="K131" s="16"/>
      <c r="L131" s="16"/>
      <c r="M131" s="16"/>
      <c r="N131" s="16"/>
      <c r="O131" s="16"/>
      <c r="P131" s="16"/>
      <c r="Q131" s="16"/>
    </row>
    <row r="132" spans="1:17" x14ac:dyDescent="0.2">
      <c r="A132" s="16"/>
      <c r="B132" s="16"/>
      <c r="C132" s="16"/>
      <c r="D132" s="16"/>
      <c r="E132" s="16"/>
      <c r="F132" s="16"/>
      <c r="G132" s="16"/>
      <c r="H132" s="16"/>
      <c r="I132" s="16"/>
      <c r="J132" s="16"/>
      <c r="K132" s="16"/>
      <c r="L132" s="16"/>
      <c r="M132" s="16"/>
      <c r="N132" s="16"/>
      <c r="O132" s="16"/>
      <c r="P132" s="16"/>
      <c r="Q132" s="16"/>
    </row>
    <row r="133" spans="1:17" ht="13.5" thickBot="1" x14ac:dyDescent="0.25">
      <c r="A133" s="16"/>
      <c r="B133" s="16"/>
      <c r="C133" s="16"/>
      <c r="D133" s="16"/>
      <c r="E133" s="16"/>
      <c r="F133" s="16"/>
      <c r="G133" s="16"/>
      <c r="H133" s="16"/>
      <c r="I133" s="16"/>
      <c r="J133" s="16"/>
      <c r="K133" s="16"/>
      <c r="L133" s="16"/>
      <c r="M133" s="16"/>
      <c r="N133" s="16"/>
      <c r="O133" s="16"/>
      <c r="P133" s="16"/>
      <c r="Q133" s="16"/>
    </row>
    <row r="134" spans="1:17" ht="13.5" thickBot="1" x14ac:dyDescent="0.25">
      <c r="A134" s="16"/>
      <c r="B134" s="43" t="s">
        <v>249</v>
      </c>
      <c r="C134" s="72" t="s">
        <v>240</v>
      </c>
      <c r="D134" s="445">
        <f>'Condicionador de ar'!S14</f>
        <v>0.84910847591517846</v>
      </c>
      <c r="E134" s="16"/>
      <c r="F134" s="16"/>
      <c r="G134" s="16"/>
      <c r="H134" s="16"/>
      <c r="I134" s="16"/>
      <c r="J134" s="16"/>
      <c r="K134" s="16"/>
      <c r="L134" s="16"/>
      <c r="M134" s="16"/>
      <c r="N134" s="16"/>
      <c r="O134" s="16"/>
      <c r="P134" s="16"/>
      <c r="Q134" s="16"/>
    </row>
    <row r="135" spans="1:17" x14ac:dyDescent="0.2">
      <c r="A135" s="16"/>
      <c r="B135" s="16"/>
      <c r="C135" s="16"/>
      <c r="D135" s="16"/>
      <c r="E135" s="16"/>
      <c r="F135" s="16"/>
      <c r="G135" s="16"/>
      <c r="H135" s="16"/>
      <c r="I135" s="16"/>
      <c r="J135" s="16"/>
      <c r="K135" s="16"/>
      <c r="L135" s="16"/>
      <c r="M135" s="16"/>
      <c r="N135" s="16"/>
      <c r="O135" s="16"/>
      <c r="P135" s="16"/>
      <c r="Q135" s="16"/>
    </row>
    <row r="136" spans="1:17" ht="14.25" x14ac:dyDescent="0.2">
      <c r="A136" s="16"/>
      <c r="B136" s="83" t="s">
        <v>54</v>
      </c>
      <c r="C136" s="864" t="s">
        <v>168</v>
      </c>
      <c r="D136" s="865"/>
      <c r="E136" s="866"/>
      <c r="F136" s="83" t="s">
        <v>169</v>
      </c>
      <c r="G136" s="83" t="s">
        <v>65</v>
      </c>
      <c r="H136" s="83" t="s">
        <v>170</v>
      </c>
      <c r="I136" s="83" t="s">
        <v>171</v>
      </c>
      <c r="J136" s="83" t="s">
        <v>172</v>
      </c>
      <c r="K136" s="83" t="s">
        <v>173</v>
      </c>
      <c r="L136" s="83" t="s">
        <v>65</v>
      </c>
      <c r="M136" s="83" t="s">
        <v>174</v>
      </c>
      <c r="N136" s="83" t="s">
        <v>175</v>
      </c>
      <c r="O136" s="83" t="s">
        <v>176</v>
      </c>
      <c r="P136" s="51"/>
      <c r="Q136" s="16"/>
    </row>
    <row r="137" spans="1:17" x14ac:dyDescent="0.2">
      <c r="A137" s="16"/>
      <c r="B137" s="867" t="s">
        <v>22</v>
      </c>
      <c r="C137" s="861" t="s">
        <v>248</v>
      </c>
      <c r="D137" s="862"/>
      <c r="E137" s="863"/>
      <c r="F137" s="577">
        <f>$M$118</f>
        <v>1.1373100346290105E-3</v>
      </c>
      <c r="G137" s="90" t="s">
        <v>237</v>
      </c>
      <c r="H137" s="575" t="s">
        <v>541</v>
      </c>
      <c r="I137" s="574">
        <f>J116</f>
        <v>2.0000274442871735</v>
      </c>
      <c r="J137" s="93">
        <f>F137/I137</f>
        <v>5.6864721425578101E-4</v>
      </c>
      <c r="K137" s="451">
        <f>-1/(D134^2)</f>
        <v>-1.3869910153924958</v>
      </c>
      <c r="L137" s="90"/>
      <c r="M137" s="93">
        <f>J137*K137</f>
        <v>-7.8870857710073986E-4</v>
      </c>
      <c r="N137" s="91" t="s">
        <v>181</v>
      </c>
      <c r="O137" s="91">
        <f>M137^4/(IF(N137="∞",100000,N137))</f>
        <v>3.8696016092062697E-18</v>
      </c>
      <c r="P137" s="492"/>
      <c r="Q137" s="16"/>
    </row>
    <row r="138" spans="1:17" x14ac:dyDescent="0.2">
      <c r="A138" s="16"/>
      <c r="B138" s="869"/>
      <c r="C138" s="876"/>
      <c r="D138" s="877"/>
      <c r="E138" s="878"/>
      <c r="F138" s="105"/>
      <c r="G138" s="106"/>
      <c r="H138" s="83"/>
      <c r="I138" s="83"/>
      <c r="J138" s="102"/>
      <c r="K138" s="103"/>
      <c r="L138" s="102"/>
      <c r="M138" s="102"/>
      <c r="N138" s="83"/>
      <c r="O138" s="83"/>
      <c r="P138" s="51"/>
      <c r="Q138" s="16"/>
    </row>
    <row r="139" spans="1:17" ht="15.75" thickBot="1" x14ac:dyDescent="0.3">
      <c r="A139" s="16"/>
      <c r="B139" s="44"/>
      <c r="C139" s="44"/>
      <c r="D139" s="44"/>
      <c r="E139" s="44"/>
      <c r="F139" s="44"/>
      <c r="G139" s="44"/>
      <c r="H139" s="44"/>
      <c r="I139" s="44"/>
      <c r="J139" s="44"/>
      <c r="K139" s="44"/>
      <c r="L139" s="44"/>
      <c r="M139" s="44"/>
      <c r="N139" s="44"/>
      <c r="O139" s="44"/>
      <c r="P139" s="44"/>
      <c r="Q139" s="16"/>
    </row>
    <row r="140" spans="1:17" ht="16.5" thickTop="1" thickBot="1" x14ac:dyDescent="0.3">
      <c r="A140" s="16"/>
      <c r="B140" s="44"/>
      <c r="C140" s="44"/>
      <c r="D140" s="44"/>
      <c r="E140" s="44"/>
      <c r="F140" s="44"/>
      <c r="G140" s="107" t="s">
        <v>183</v>
      </c>
      <c r="H140" s="108">
        <v>0.95450000000000002</v>
      </c>
      <c r="I140" s="107" t="s">
        <v>184</v>
      </c>
      <c r="J140" s="109">
        <f>TINV(1-H140,IF(N140="∞",100000,N140))</f>
        <v>2.0000274442871735</v>
      </c>
      <c r="K140" s="107"/>
      <c r="L140" s="107" t="s">
        <v>185</v>
      </c>
      <c r="M140" s="110">
        <f>SQRT(SUMSQ(M137:M138))</f>
        <v>7.8870857710073986E-4</v>
      </c>
      <c r="N140" s="109">
        <f>IF((M140^4/O140)&gt;100000,"∞",(M140^4/O140))</f>
        <v>100000</v>
      </c>
      <c r="O140" s="107">
        <f>SUM(O137:O138)</f>
        <v>3.8696016092062697E-18</v>
      </c>
      <c r="P140" s="491"/>
      <c r="Q140" s="16"/>
    </row>
    <row r="141" spans="1:17" ht="16.5" thickTop="1" thickBot="1" x14ac:dyDescent="0.3">
      <c r="A141" s="16"/>
      <c r="B141" s="44"/>
      <c r="C141" s="44"/>
      <c r="D141" s="44"/>
      <c r="E141" s="44"/>
      <c r="F141" s="44"/>
      <c r="G141" s="44"/>
      <c r="H141" s="44"/>
      <c r="I141" s="44"/>
      <c r="J141" s="44"/>
      <c r="K141" s="45"/>
      <c r="L141" s="46"/>
      <c r="M141" s="46"/>
      <c r="N141" s="46"/>
      <c r="O141" s="44"/>
      <c r="P141" s="44"/>
      <c r="Q141" s="16"/>
    </row>
    <row r="142" spans="1:17" ht="16.5" thickTop="1" thickBot="1" x14ac:dyDescent="0.3">
      <c r="A142" s="16"/>
      <c r="B142" s="44"/>
      <c r="C142" s="44"/>
      <c r="D142" s="44"/>
      <c r="E142" s="44"/>
      <c r="F142" s="44"/>
      <c r="G142" s="44"/>
      <c r="H142" s="44"/>
      <c r="I142" s="44"/>
      <c r="J142" s="44"/>
      <c r="K142" s="47"/>
      <c r="L142" s="48" t="s">
        <v>186</v>
      </c>
      <c r="M142" s="453">
        <f>(J140*M140)</f>
        <v>1.5774387997461658E-3</v>
      </c>
      <c r="N142" s="50" t="s">
        <v>226</v>
      </c>
      <c r="O142" s="44"/>
      <c r="P142" s="44"/>
      <c r="Q142" s="16"/>
    </row>
    <row r="143" spans="1:17" ht="13.5" thickTop="1" x14ac:dyDescent="0.2">
      <c r="A143" s="16"/>
      <c r="B143" s="16"/>
      <c r="C143" s="16"/>
      <c r="D143" s="16"/>
      <c r="E143" s="16"/>
      <c r="F143" s="16"/>
      <c r="G143" s="16"/>
      <c r="H143" s="16"/>
      <c r="I143" s="16"/>
      <c r="J143" s="16"/>
      <c r="K143" s="16"/>
      <c r="L143" s="16"/>
      <c r="M143" s="16"/>
      <c r="N143" s="16"/>
      <c r="O143" s="16"/>
      <c r="P143" s="16"/>
      <c r="Q143" s="16"/>
    </row>
    <row r="144" spans="1:17" x14ac:dyDescent="0.2">
      <c r="A144" s="16"/>
      <c r="B144" s="16"/>
      <c r="C144" s="16"/>
      <c r="D144" s="16"/>
      <c r="E144" s="16"/>
      <c r="F144" s="16"/>
      <c r="G144" s="16"/>
      <c r="H144" s="16"/>
      <c r="I144" s="16"/>
      <c r="J144" s="16"/>
      <c r="K144" s="16"/>
      <c r="L144" s="16"/>
      <c r="M144" s="16"/>
      <c r="N144" s="16"/>
      <c r="O144" s="16"/>
      <c r="P144" s="16"/>
      <c r="Q144" s="16"/>
    </row>
    <row r="145" spans="1:17" x14ac:dyDescent="0.2">
      <c r="A145" s="16"/>
      <c r="B145" s="16"/>
      <c r="C145" s="16"/>
      <c r="D145" s="16"/>
      <c r="E145" s="16"/>
      <c r="F145" s="16"/>
      <c r="G145" s="16"/>
      <c r="H145" s="16"/>
      <c r="I145" s="16"/>
      <c r="J145" s="16"/>
      <c r="K145" s="16"/>
      <c r="L145" s="16"/>
      <c r="M145" s="16"/>
      <c r="N145" s="16"/>
      <c r="O145" s="16"/>
      <c r="P145" s="16"/>
      <c r="Q145" s="16"/>
    </row>
    <row r="146" spans="1:17" x14ac:dyDescent="0.2">
      <c r="A146" s="16"/>
      <c r="B146" s="649" t="s">
        <v>466</v>
      </c>
      <c r="C146" s="650"/>
      <c r="D146" s="650"/>
      <c r="E146" s="650"/>
      <c r="F146" s="650"/>
      <c r="G146" s="650"/>
      <c r="H146" s="650"/>
      <c r="I146" s="650"/>
      <c r="J146" s="650"/>
      <c r="K146" s="650"/>
      <c r="L146" s="650"/>
      <c r="M146" s="650"/>
      <c r="N146" s="650"/>
      <c r="O146" s="651"/>
      <c r="P146" s="16"/>
      <c r="Q146" s="16"/>
    </row>
    <row r="147" spans="1:17" x14ac:dyDescent="0.2">
      <c r="A147" s="16"/>
      <c r="B147" s="652"/>
      <c r="C147" s="653"/>
      <c r="D147" s="653"/>
      <c r="E147" s="653"/>
      <c r="F147" s="653"/>
      <c r="G147" s="653"/>
      <c r="H147" s="653"/>
      <c r="I147" s="653"/>
      <c r="J147" s="653"/>
      <c r="K147" s="653"/>
      <c r="L147" s="653"/>
      <c r="M147" s="653"/>
      <c r="N147" s="653"/>
      <c r="O147" s="654"/>
      <c r="P147" s="16"/>
      <c r="Q147" s="16"/>
    </row>
    <row r="148" spans="1:17" x14ac:dyDescent="0.2">
      <c r="A148" s="16"/>
      <c r="B148" s="652"/>
      <c r="C148" s="653"/>
      <c r="D148" s="653"/>
      <c r="E148" s="653"/>
      <c r="F148" s="653"/>
      <c r="G148" s="653"/>
      <c r="H148" s="653"/>
      <c r="I148" s="653"/>
      <c r="J148" s="653"/>
      <c r="K148" s="653"/>
      <c r="L148" s="653"/>
      <c r="M148" s="653"/>
      <c r="N148" s="653"/>
      <c r="O148" s="654"/>
      <c r="P148" s="16"/>
      <c r="Q148" s="16"/>
    </row>
    <row r="149" spans="1:17" x14ac:dyDescent="0.2">
      <c r="A149" s="16"/>
      <c r="B149" s="655"/>
      <c r="C149" s="656"/>
      <c r="D149" s="656"/>
      <c r="E149" s="656"/>
      <c r="F149" s="656"/>
      <c r="G149" s="656"/>
      <c r="H149" s="656"/>
      <c r="I149" s="656"/>
      <c r="J149" s="656"/>
      <c r="K149" s="656"/>
      <c r="L149" s="656"/>
      <c r="M149" s="656"/>
      <c r="N149" s="656"/>
      <c r="O149" s="657"/>
      <c r="P149" s="16"/>
      <c r="Q149" s="16"/>
    </row>
    <row r="150" spans="1:17" ht="13.5" thickBot="1" x14ac:dyDescent="0.25">
      <c r="A150" s="16"/>
      <c r="B150" s="16"/>
      <c r="C150" s="16"/>
      <c r="D150" s="16"/>
      <c r="E150" s="16"/>
      <c r="F150" s="16"/>
      <c r="G150" s="16"/>
      <c r="H150" s="16"/>
      <c r="I150" s="16"/>
      <c r="J150" s="16"/>
      <c r="K150" s="16"/>
      <c r="L150" s="16"/>
      <c r="M150" s="16"/>
      <c r="N150" s="16"/>
      <c r="O150" s="16"/>
      <c r="P150" s="16"/>
      <c r="Q150" s="16"/>
    </row>
    <row r="151" spans="1:17" ht="13.5" thickBot="1" x14ac:dyDescent="0.25">
      <c r="A151" s="16"/>
      <c r="B151" s="43" t="s">
        <v>250</v>
      </c>
      <c r="C151" s="72" t="s">
        <v>241</v>
      </c>
      <c r="D151" s="445">
        <f>'Condicionador de ar'!R14</f>
        <v>0.89398755914135608</v>
      </c>
      <c r="E151" s="16"/>
      <c r="F151" s="16"/>
      <c r="G151" s="16"/>
      <c r="H151" s="16"/>
      <c r="I151" s="16"/>
      <c r="J151" s="16"/>
      <c r="K151" s="16"/>
      <c r="L151" s="16"/>
      <c r="M151" s="16"/>
      <c r="N151" s="16"/>
      <c r="O151" s="16"/>
      <c r="P151" s="16"/>
      <c r="Q151" s="16"/>
    </row>
    <row r="152" spans="1:17" ht="13.5" thickBot="1" x14ac:dyDescent="0.25">
      <c r="A152" s="16"/>
      <c r="B152" s="43"/>
      <c r="C152" s="72" t="s">
        <v>235</v>
      </c>
      <c r="D152" s="445">
        <f>'Condicionador de ar'!P14</f>
        <v>22.701409402342478</v>
      </c>
      <c r="E152" s="16"/>
      <c r="F152" s="16"/>
      <c r="G152" s="16"/>
      <c r="H152" s="16"/>
      <c r="I152" s="16"/>
      <c r="J152" s="16"/>
      <c r="K152" s="16"/>
      <c r="L152" s="16"/>
      <c r="M152" s="16"/>
      <c r="N152" s="16"/>
      <c r="O152" s="16"/>
      <c r="P152" s="16"/>
      <c r="Q152" s="16"/>
    </row>
    <row r="153" spans="1:17" x14ac:dyDescent="0.2">
      <c r="A153" s="16"/>
      <c r="B153" s="16"/>
      <c r="C153" s="16"/>
      <c r="D153" s="16"/>
      <c r="E153" s="16"/>
      <c r="F153" s="16"/>
      <c r="G153" s="16"/>
      <c r="H153" s="16"/>
      <c r="I153" s="16"/>
      <c r="J153" s="16"/>
      <c r="K153" s="16"/>
      <c r="L153" s="16"/>
      <c r="M153" s="16"/>
      <c r="N153" s="16"/>
      <c r="O153" s="16"/>
      <c r="P153" s="16"/>
      <c r="Q153" s="16"/>
    </row>
    <row r="154" spans="1:17" ht="14.25" x14ac:dyDescent="0.2">
      <c r="A154" s="16"/>
      <c r="B154" s="83" t="s">
        <v>54</v>
      </c>
      <c r="C154" s="864" t="s">
        <v>168</v>
      </c>
      <c r="D154" s="865"/>
      <c r="E154" s="866"/>
      <c r="F154" s="83" t="s">
        <v>169</v>
      </c>
      <c r="G154" s="83" t="s">
        <v>65</v>
      </c>
      <c r="H154" s="83" t="s">
        <v>170</v>
      </c>
      <c r="I154" s="83" t="s">
        <v>171</v>
      </c>
      <c r="J154" s="83" t="s">
        <v>172</v>
      </c>
      <c r="K154" s="83" t="s">
        <v>173</v>
      </c>
      <c r="L154" s="83" t="s">
        <v>65</v>
      </c>
      <c r="M154" s="83" t="s">
        <v>174</v>
      </c>
      <c r="N154" s="83" t="s">
        <v>175</v>
      </c>
      <c r="O154" s="83" t="s">
        <v>176</v>
      </c>
      <c r="P154" s="51"/>
      <c r="Q154" s="16"/>
    </row>
    <row r="155" spans="1:17" x14ac:dyDescent="0.2">
      <c r="A155" s="16"/>
      <c r="B155" s="867" t="s">
        <v>22</v>
      </c>
      <c r="C155" s="861" t="s">
        <v>243</v>
      </c>
      <c r="D155" s="862"/>
      <c r="E155" s="863"/>
      <c r="F155" s="577">
        <f>$M$70</f>
        <v>2.7065157731229677E-2</v>
      </c>
      <c r="G155" s="90" t="s">
        <v>237</v>
      </c>
      <c r="H155" s="575" t="s">
        <v>541</v>
      </c>
      <c r="I155" s="574">
        <f>J68</f>
        <v>2.0000274442871735</v>
      </c>
      <c r="J155" s="93">
        <f>F155/I155</f>
        <v>1.3532393172172658E-2</v>
      </c>
      <c r="K155" s="451">
        <f>1/D151</f>
        <v>1.1185837988175866</v>
      </c>
      <c r="L155" s="90"/>
      <c r="M155" s="93">
        <f>J155*K155</f>
        <v>1.5137115761622064E-2</v>
      </c>
      <c r="N155" s="91" t="s">
        <v>181</v>
      </c>
      <c r="O155" s="91">
        <f>M155^4/(IF(N155="∞",100000,N155))</f>
        <v>5.2501598796282343E-13</v>
      </c>
      <c r="P155" s="492"/>
      <c r="Q155" s="16"/>
    </row>
    <row r="156" spans="1:17" x14ac:dyDescent="0.2">
      <c r="A156" s="16"/>
      <c r="B156" s="869"/>
      <c r="C156" s="861" t="s">
        <v>246</v>
      </c>
      <c r="D156" s="862"/>
      <c r="E156" s="863"/>
      <c r="F156" s="577">
        <f>$M$104</f>
        <v>1.1107669146304127E-3</v>
      </c>
      <c r="G156" s="90" t="s">
        <v>237</v>
      </c>
      <c r="H156" s="575" t="s">
        <v>541</v>
      </c>
      <c r="I156" s="574">
        <f>J102</f>
        <v>2.0000274442871735</v>
      </c>
      <c r="J156" s="93">
        <f>F156/I156</f>
        <v>5.5537583636823507E-4</v>
      </c>
      <c r="K156" s="451">
        <f>-D152/(D151^2)</f>
        <v>-28.404678016073326</v>
      </c>
      <c r="L156" s="90"/>
      <c r="M156" s="93">
        <f>J156*K156</f>
        <v>-1.5775271809947145E-2</v>
      </c>
      <c r="N156" s="91" t="s">
        <v>181</v>
      </c>
      <c r="O156" s="91">
        <f>M156^4/(IF(N156="∞",100000,N156))</f>
        <v>6.1930901761950245E-13</v>
      </c>
      <c r="P156" s="492"/>
      <c r="Q156" s="16"/>
    </row>
    <row r="157" spans="1:17" ht="15.75" thickBot="1" x14ac:dyDescent="0.3">
      <c r="A157" s="16"/>
      <c r="B157" s="44"/>
      <c r="C157" s="44"/>
      <c r="D157" s="44"/>
      <c r="E157" s="44"/>
      <c r="F157" s="44"/>
      <c r="G157" s="44"/>
      <c r="H157" s="44"/>
      <c r="I157" s="44"/>
      <c r="J157" s="44"/>
      <c r="K157" s="44"/>
      <c r="L157" s="44"/>
      <c r="M157" s="44"/>
      <c r="N157" s="44"/>
      <c r="O157" s="44"/>
      <c r="P157" s="44"/>
      <c r="Q157" s="16"/>
    </row>
    <row r="158" spans="1:17" ht="16.5" thickTop="1" thickBot="1" x14ac:dyDescent="0.3">
      <c r="A158" s="16"/>
      <c r="B158" s="44"/>
      <c r="C158" s="44"/>
      <c r="D158" s="44"/>
      <c r="E158" s="44"/>
      <c r="F158" s="44"/>
      <c r="G158" s="107" t="s">
        <v>183</v>
      </c>
      <c r="H158" s="108">
        <v>0.95450000000000002</v>
      </c>
      <c r="I158" s="107" t="s">
        <v>184</v>
      </c>
      <c r="J158" s="109">
        <f>TINV(1-H158,IF(N158="∞",100000,N158))</f>
        <v>2.0000274442871735</v>
      </c>
      <c r="K158" s="107"/>
      <c r="L158" s="107" t="s">
        <v>185</v>
      </c>
      <c r="M158" s="110">
        <f>SQRT(SUMSQ(M155:M156))</f>
        <v>2.1863016129035358E-2</v>
      </c>
      <c r="N158" s="109" t="str">
        <f>IF((M158^4/O158)&gt;100000,"∞",(M158^4/O158))</f>
        <v>∞</v>
      </c>
      <c r="O158" s="107">
        <f>SUM(O155:O156)</f>
        <v>1.1443250055823259E-12</v>
      </c>
      <c r="P158" s="491"/>
      <c r="Q158" s="16"/>
    </row>
    <row r="159" spans="1:17" ht="16.5" thickTop="1" thickBot="1" x14ac:dyDescent="0.3">
      <c r="A159" s="16"/>
      <c r="B159" s="44"/>
      <c r="C159" s="44"/>
      <c r="D159" s="44"/>
      <c r="E159" s="44"/>
      <c r="F159" s="44"/>
      <c r="G159" s="44"/>
      <c r="H159" s="44"/>
      <c r="I159" s="44"/>
      <c r="J159" s="44"/>
      <c r="K159" s="45"/>
      <c r="L159" s="46"/>
      <c r="M159" s="46"/>
      <c r="N159" s="46"/>
      <c r="O159" s="44"/>
      <c r="P159" s="44"/>
      <c r="Q159" s="16"/>
    </row>
    <row r="160" spans="1:17" ht="16.5" thickTop="1" thickBot="1" x14ac:dyDescent="0.3">
      <c r="A160" s="16"/>
      <c r="B160" s="44"/>
      <c r="C160" s="44"/>
      <c r="D160" s="44"/>
      <c r="E160" s="44"/>
      <c r="F160" s="44"/>
      <c r="G160" s="44"/>
      <c r="H160" s="44"/>
      <c r="I160" s="44"/>
      <c r="J160" s="44"/>
      <c r="K160" s="47"/>
      <c r="L160" s="48" t="s">
        <v>186</v>
      </c>
      <c r="M160" s="453">
        <f>(J158*M158)</f>
        <v>4.372663227296384E-2</v>
      </c>
      <c r="N160" s="50" t="s">
        <v>227</v>
      </c>
      <c r="O160" s="44"/>
      <c r="P160" s="44"/>
      <c r="Q160" s="16"/>
    </row>
    <row r="161" spans="1:17" ht="13.5" thickTop="1" x14ac:dyDescent="0.2">
      <c r="A161" s="16"/>
      <c r="B161" s="16"/>
      <c r="C161" s="16"/>
      <c r="D161" s="16"/>
      <c r="E161" s="16"/>
      <c r="F161" s="16"/>
      <c r="G161" s="16"/>
      <c r="H161" s="16"/>
      <c r="I161" s="16"/>
      <c r="J161" s="16"/>
      <c r="K161" s="16"/>
      <c r="L161" s="16"/>
      <c r="M161" s="16"/>
      <c r="N161" s="16"/>
      <c r="O161" s="16"/>
      <c r="P161" s="16"/>
      <c r="Q161" s="16"/>
    </row>
    <row r="162" spans="1:17" x14ac:dyDescent="0.2">
      <c r="A162" s="16"/>
      <c r="B162" s="16"/>
      <c r="C162" s="16"/>
      <c r="D162" s="16"/>
      <c r="E162" s="16"/>
      <c r="F162" s="16"/>
      <c r="G162" s="16"/>
      <c r="H162" s="16"/>
      <c r="I162" s="16"/>
      <c r="J162" s="16"/>
      <c r="K162" s="16"/>
      <c r="L162" s="16"/>
      <c r="M162" s="16"/>
      <c r="N162" s="16"/>
      <c r="O162" s="16"/>
      <c r="P162" s="16"/>
      <c r="Q162" s="16"/>
    </row>
    <row r="163" spans="1:17" ht="13.5" thickBot="1" x14ac:dyDescent="0.25">
      <c r="A163" s="16"/>
      <c r="B163" s="16"/>
      <c r="C163" s="16"/>
      <c r="D163" s="16"/>
      <c r="E163" s="16"/>
      <c r="F163" s="16"/>
      <c r="G163" s="16"/>
      <c r="H163" s="16"/>
      <c r="I163" s="16"/>
      <c r="J163" s="16"/>
      <c r="K163" s="16"/>
      <c r="L163" s="16"/>
      <c r="M163" s="16"/>
      <c r="N163" s="16"/>
      <c r="O163" s="16"/>
      <c r="P163" s="16"/>
      <c r="Q163" s="16"/>
    </row>
    <row r="164" spans="1:17" ht="13.5" thickBot="1" x14ac:dyDescent="0.25">
      <c r="A164" s="16"/>
      <c r="B164" s="43" t="s">
        <v>251</v>
      </c>
      <c r="C164" s="72" t="s">
        <v>252</v>
      </c>
      <c r="D164" s="445">
        <f>'Condicionador de ar'!V14</f>
        <v>25.393428767785529</v>
      </c>
      <c r="E164" s="16"/>
      <c r="F164" s="16"/>
      <c r="G164" s="16"/>
      <c r="H164" s="16"/>
      <c r="I164" s="16"/>
      <c r="J164" s="16"/>
      <c r="K164" s="16"/>
      <c r="L164" s="16"/>
      <c r="M164" s="16"/>
      <c r="N164" s="16"/>
      <c r="O164" s="16"/>
      <c r="P164" s="16"/>
      <c r="Q164" s="16"/>
    </row>
    <row r="165" spans="1:17" ht="13.5" thickBot="1" x14ac:dyDescent="0.25">
      <c r="A165" s="16"/>
      <c r="B165" s="43"/>
      <c r="C165" s="72" t="s">
        <v>2</v>
      </c>
      <c r="D165" s="445">
        <f>'Condicionador de ar'!O14</f>
        <v>46.689771707714058</v>
      </c>
      <c r="E165" s="16"/>
      <c r="F165" s="16"/>
      <c r="G165" s="16"/>
      <c r="H165" s="16"/>
      <c r="I165" s="16"/>
      <c r="J165" s="16"/>
      <c r="K165" s="16"/>
      <c r="L165" s="16"/>
      <c r="M165" s="16"/>
      <c r="N165" s="16"/>
      <c r="O165" s="16"/>
      <c r="P165" s="16"/>
      <c r="Q165" s="16"/>
    </row>
    <row r="166" spans="1:17" x14ac:dyDescent="0.2">
      <c r="A166" s="16"/>
      <c r="B166" s="16"/>
      <c r="C166" s="16"/>
      <c r="D166" s="16"/>
      <c r="E166" s="16"/>
      <c r="F166" s="16"/>
      <c r="G166" s="16"/>
      <c r="H166" s="16"/>
      <c r="I166" s="16"/>
      <c r="J166" s="16"/>
      <c r="K166" s="16"/>
      <c r="L166" s="16"/>
      <c r="M166" s="16"/>
      <c r="N166" s="16"/>
      <c r="O166" s="16"/>
      <c r="P166" s="16"/>
      <c r="Q166" s="16"/>
    </row>
    <row r="167" spans="1:17" ht="14.25" x14ac:dyDescent="0.2">
      <c r="A167" s="16"/>
      <c r="B167" s="83" t="s">
        <v>54</v>
      </c>
      <c r="C167" s="864" t="s">
        <v>168</v>
      </c>
      <c r="D167" s="865"/>
      <c r="E167" s="866"/>
      <c r="F167" s="83" t="s">
        <v>169</v>
      </c>
      <c r="G167" s="83" t="s">
        <v>65</v>
      </c>
      <c r="H167" s="83" t="s">
        <v>170</v>
      </c>
      <c r="I167" s="83" t="s">
        <v>171</v>
      </c>
      <c r="J167" s="83" t="s">
        <v>172</v>
      </c>
      <c r="K167" s="83" t="s">
        <v>173</v>
      </c>
      <c r="L167" s="83" t="s">
        <v>65</v>
      </c>
      <c r="M167" s="83" t="s">
        <v>174</v>
      </c>
      <c r="N167" s="83" t="s">
        <v>175</v>
      </c>
      <c r="O167" s="83" t="s">
        <v>176</v>
      </c>
      <c r="P167" s="51"/>
      <c r="Q167" s="16"/>
    </row>
    <row r="168" spans="1:17" x14ac:dyDescent="0.2">
      <c r="A168" s="16"/>
      <c r="B168" s="867" t="s">
        <v>22</v>
      </c>
      <c r="C168" s="861" t="s">
        <v>253</v>
      </c>
      <c r="D168" s="862"/>
      <c r="E168" s="863"/>
      <c r="F168" s="577">
        <f>$M$160</f>
        <v>4.372663227296384E-2</v>
      </c>
      <c r="G168" s="90" t="s">
        <v>227</v>
      </c>
      <c r="H168" s="575" t="s">
        <v>541</v>
      </c>
      <c r="I168" s="574">
        <f>J158</f>
        <v>2.0000274442871735</v>
      </c>
      <c r="J168" s="93">
        <f>F168/I168</f>
        <v>2.1863016129035358E-2</v>
      </c>
      <c r="K168" s="451">
        <f>D165/100</f>
        <v>0.46689771707714056</v>
      </c>
      <c r="L168" s="90"/>
      <c r="M168" s="93">
        <f>J168*K168</f>
        <v>1.0207792319067311E-2</v>
      </c>
      <c r="N168" s="91" t="s">
        <v>181</v>
      </c>
      <c r="O168" s="91">
        <f>M168^4/(IF(N168="∞",100000,N168))</f>
        <v>1.0857436608639798E-13</v>
      </c>
      <c r="P168" s="492"/>
      <c r="Q168" s="16"/>
    </row>
    <row r="169" spans="1:17" x14ac:dyDescent="0.2">
      <c r="A169" s="16"/>
      <c r="B169" s="869"/>
      <c r="C169" s="861" t="s">
        <v>254</v>
      </c>
      <c r="D169" s="862"/>
      <c r="E169" s="863"/>
      <c r="F169" s="577">
        <f>$M$57</f>
        <v>1.0857649222281578</v>
      </c>
      <c r="G169" s="90" t="s">
        <v>14</v>
      </c>
      <c r="H169" s="575" t="s">
        <v>541</v>
      </c>
      <c r="I169" s="574">
        <f>J55</f>
        <v>2.0000274442871735</v>
      </c>
      <c r="J169" s="93">
        <f>F169/I169</f>
        <v>0.54287501170521857</v>
      </c>
      <c r="K169" s="451">
        <f>D164*1/100</f>
        <v>0.25393428767785531</v>
      </c>
      <c r="L169" s="90"/>
      <c r="M169" s="93">
        <f>J169*K169</f>
        <v>0.13785457939547205</v>
      </c>
      <c r="N169" s="91" t="s">
        <v>181</v>
      </c>
      <c r="O169" s="91">
        <f>M169^4/(IF(N169="∞",100000,N169))</f>
        <v>3.6114764738518883E-9</v>
      </c>
      <c r="P169" s="492"/>
      <c r="Q169" s="16"/>
    </row>
    <row r="170" spans="1:17" ht="15.75" thickBot="1" x14ac:dyDescent="0.3">
      <c r="A170" s="16"/>
      <c r="B170" s="44"/>
      <c r="C170" s="44"/>
      <c r="D170" s="44"/>
      <c r="E170" s="44"/>
      <c r="F170" s="44"/>
      <c r="G170" s="44"/>
      <c r="H170" s="44"/>
      <c r="I170" s="44"/>
      <c r="J170" s="44"/>
      <c r="K170" s="44"/>
      <c r="L170" s="44"/>
      <c r="M170" s="44"/>
      <c r="N170" s="44"/>
      <c r="O170" s="44"/>
      <c r="P170" s="44"/>
      <c r="Q170" s="16"/>
    </row>
    <row r="171" spans="1:17" ht="16.5" thickTop="1" thickBot="1" x14ac:dyDescent="0.3">
      <c r="A171" s="16"/>
      <c r="B171" s="44"/>
      <c r="C171" s="44"/>
      <c r="D171" s="44"/>
      <c r="E171" s="44"/>
      <c r="F171" s="44"/>
      <c r="G171" s="107" t="s">
        <v>183</v>
      </c>
      <c r="H171" s="108">
        <v>0.95450000000000002</v>
      </c>
      <c r="I171" s="107" t="s">
        <v>184</v>
      </c>
      <c r="J171" s="109">
        <f>TINV(1-H171,IF(N171="∞",100000,N171))</f>
        <v>2.0000274442871735</v>
      </c>
      <c r="K171" s="107"/>
      <c r="L171" s="107" t="s">
        <v>185</v>
      </c>
      <c r="M171" s="110">
        <f>SQRT(SUMSQ(M168:M169))</f>
        <v>0.13823199370743272</v>
      </c>
      <c r="N171" s="109" t="str">
        <f>IF((M171^4/O171)&gt;100000,"∞",(M171^4/O171))</f>
        <v>∞</v>
      </c>
      <c r="O171" s="107">
        <f>SUM(O168:O169)</f>
        <v>3.6115850482179746E-9</v>
      </c>
      <c r="P171" s="491"/>
      <c r="Q171" s="16"/>
    </row>
    <row r="172" spans="1:17" ht="16.5" thickTop="1" thickBot="1" x14ac:dyDescent="0.3">
      <c r="A172" s="16"/>
      <c r="B172" s="44"/>
      <c r="C172" s="44"/>
      <c r="D172" s="44"/>
      <c r="E172" s="44"/>
      <c r="F172" s="44"/>
      <c r="G172" s="44"/>
      <c r="H172" s="44"/>
      <c r="I172" s="44"/>
      <c r="J172" s="44"/>
      <c r="K172" s="45"/>
      <c r="L172" s="46"/>
      <c r="M172" s="46"/>
      <c r="N172" s="46"/>
      <c r="O172" s="44"/>
      <c r="P172" s="44"/>
      <c r="Q172" s="16"/>
    </row>
    <row r="173" spans="1:17" ht="16.5" thickTop="1" thickBot="1" x14ac:dyDescent="0.3">
      <c r="A173" s="16"/>
      <c r="B173" s="44"/>
      <c r="C173" s="44"/>
      <c r="D173" s="44"/>
      <c r="E173" s="44"/>
      <c r="F173" s="44"/>
      <c r="G173" s="44"/>
      <c r="H173" s="44"/>
      <c r="I173" s="44"/>
      <c r="J173" s="44"/>
      <c r="K173" s="47"/>
      <c r="L173" s="48" t="s">
        <v>186</v>
      </c>
      <c r="M173" s="453">
        <f>(J171*M171)</f>
        <v>0.27646778109339731</v>
      </c>
      <c r="N173" s="50" t="s">
        <v>227</v>
      </c>
      <c r="O173" s="44"/>
      <c r="P173" s="44"/>
      <c r="Q173" s="16"/>
    </row>
    <row r="174" spans="1:17" ht="13.5" thickTop="1" x14ac:dyDescent="0.2">
      <c r="A174" s="16"/>
      <c r="B174" s="16"/>
      <c r="C174" s="16"/>
      <c r="D174" s="16"/>
      <c r="E174" s="16"/>
      <c r="F174" s="16"/>
      <c r="G174" s="16"/>
      <c r="H174" s="16"/>
      <c r="I174" s="16"/>
      <c r="J174" s="16"/>
      <c r="K174" s="16"/>
      <c r="L174" s="16"/>
      <c r="M174" s="16"/>
      <c r="N174" s="16"/>
      <c r="O174" s="16"/>
      <c r="P174" s="16"/>
      <c r="Q174" s="16"/>
    </row>
    <row r="175" spans="1:17" x14ac:dyDescent="0.2">
      <c r="A175" s="16"/>
      <c r="B175" s="16"/>
      <c r="C175" s="16"/>
      <c r="D175" s="16"/>
      <c r="E175" s="16"/>
      <c r="F175" s="16"/>
      <c r="G175" s="16"/>
      <c r="H175" s="16"/>
      <c r="I175" s="16"/>
      <c r="J175" s="16"/>
      <c r="K175" s="16"/>
      <c r="L175" s="16"/>
      <c r="M175" s="16"/>
      <c r="N175" s="16"/>
      <c r="O175" s="16"/>
      <c r="P175" s="16"/>
      <c r="Q175" s="16"/>
    </row>
    <row r="176" spans="1:17" ht="13.5" thickBot="1" x14ac:dyDescent="0.25">
      <c r="A176" s="16"/>
      <c r="B176" s="16"/>
      <c r="C176" s="16"/>
      <c r="D176" s="16"/>
      <c r="E176" s="16"/>
      <c r="F176" s="16"/>
      <c r="G176" s="16"/>
      <c r="H176" s="16"/>
      <c r="I176" s="16"/>
      <c r="J176" s="16"/>
      <c r="K176" s="16"/>
      <c r="L176" s="16"/>
      <c r="M176" s="16"/>
      <c r="N176" s="16"/>
      <c r="O176" s="16"/>
      <c r="P176" s="16"/>
      <c r="Q176" s="16"/>
    </row>
    <row r="177" spans="1:17" ht="13.5" thickBot="1" x14ac:dyDescent="0.25">
      <c r="A177" s="16"/>
      <c r="B177" s="43" t="s">
        <v>255</v>
      </c>
      <c r="C177" s="456" t="s">
        <v>415</v>
      </c>
      <c r="D177" s="445">
        <f>'Condicionador de ar'!F14</f>
        <v>26.95430545316357</v>
      </c>
      <c r="E177" s="16"/>
      <c r="F177" s="16"/>
      <c r="G177" s="16"/>
      <c r="H177" s="16"/>
      <c r="I177" s="16"/>
      <c r="J177" s="16"/>
      <c r="K177" s="16"/>
      <c r="L177" s="16"/>
      <c r="M177" s="16"/>
      <c r="N177" s="16"/>
      <c r="O177" s="16"/>
      <c r="P177" s="16"/>
      <c r="Q177" s="16"/>
    </row>
    <row r="178" spans="1:17" ht="13.5" thickBot="1" x14ac:dyDescent="0.25">
      <c r="A178" s="16"/>
      <c r="B178" s="43"/>
      <c r="C178" s="72" t="s">
        <v>235</v>
      </c>
      <c r="D178" s="445">
        <f>'Condicionador de ar'!P14</f>
        <v>22.701409402342478</v>
      </c>
      <c r="E178" s="16"/>
      <c r="F178" s="16"/>
      <c r="G178" s="16"/>
      <c r="H178" s="16"/>
      <c r="I178" s="16"/>
      <c r="J178" s="16"/>
      <c r="K178" s="16"/>
      <c r="L178" s="16"/>
      <c r="M178" s="16"/>
      <c r="N178" s="16"/>
      <c r="O178" s="16"/>
      <c r="P178" s="16"/>
      <c r="Q178" s="16"/>
    </row>
    <row r="179" spans="1:17" x14ac:dyDescent="0.2">
      <c r="A179" s="16"/>
      <c r="B179" s="16"/>
      <c r="C179" s="16"/>
      <c r="D179" s="16"/>
      <c r="E179" s="16"/>
      <c r="F179" s="16"/>
      <c r="G179" s="16"/>
      <c r="H179" s="16"/>
      <c r="I179" s="16"/>
      <c r="J179" s="16"/>
      <c r="K179" s="16"/>
      <c r="L179" s="16"/>
      <c r="M179" s="16"/>
      <c r="N179" s="16"/>
      <c r="O179" s="16"/>
      <c r="P179" s="16"/>
      <c r="Q179" s="16"/>
    </row>
    <row r="180" spans="1:17" ht="14.25" x14ac:dyDescent="0.2">
      <c r="A180" s="16"/>
      <c r="B180" s="83" t="s">
        <v>54</v>
      </c>
      <c r="C180" s="864" t="s">
        <v>168</v>
      </c>
      <c r="D180" s="865"/>
      <c r="E180" s="866"/>
      <c r="F180" s="83" t="s">
        <v>169</v>
      </c>
      <c r="G180" s="83" t="s">
        <v>65</v>
      </c>
      <c r="H180" s="83" t="s">
        <v>170</v>
      </c>
      <c r="I180" s="83" t="s">
        <v>171</v>
      </c>
      <c r="J180" s="83" t="s">
        <v>172</v>
      </c>
      <c r="K180" s="83" t="s">
        <v>173</v>
      </c>
      <c r="L180" s="83" t="s">
        <v>65</v>
      </c>
      <c r="M180" s="83" t="s">
        <v>174</v>
      </c>
      <c r="N180" s="83" t="s">
        <v>175</v>
      </c>
      <c r="O180" s="83" t="s">
        <v>176</v>
      </c>
      <c r="P180" s="51"/>
      <c r="Q180" s="16"/>
    </row>
    <row r="181" spans="1:17" x14ac:dyDescent="0.2">
      <c r="A181" s="16"/>
      <c r="B181" s="867" t="s">
        <v>22</v>
      </c>
      <c r="C181" s="861" t="s">
        <v>411</v>
      </c>
      <c r="D181" s="862"/>
      <c r="E181" s="863"/>
      <c r="F181" s="577" t="str">
        <f>'i.m. instrumentos'!$M$33</f>
        <v>0,14</v>
      </c>
      <c r="G181" s="90" t="s">
        <v>71</v>
      </c>
      <c r="H181" s="575" t="s">
        <v>541</v>
      </c>
      <c r="I181" s="574">
        <f>'i.m. instrumentos'!J31</f>
        <v>2.0000274442871735</v>
      </c>
      <c r="J181" s="93">
        <f>F181/I181</f>
        <v>6.9999039463129561E-2</v>
      </c>
      <c r="K181" s="451">
        <f>0.24+D178/1000*0.45</f>
        <v>0.25021563423105408</v>
      </c>
      <c r="L181" s="90"/>
      <c r="M181" s="93">
        <f>J181*K181</f>
        <v>1.7514854054831545E-2</v>
      </c>
      <c r="N181" s="91" t="s">
        <v>181</v>
      </c>
      <c r="O181" s="91">
        <f>M181^4/(IF(N181="∞",100000,N181))</f>
        <v>9.4107901961332241E-13</v>
      </c>
      <c r="P181" s="492"/>
      <c r="Q181" s="16"/>
    </row>
    <row r="182" spans="1:17" x14ac:dyDescent="0.2">
      <c r="A182" s="16"/>
      <c r="B182" s="869"/>
      <c r="C182" s="861" t="s">
        <v>243</v>
      </c>
      <c r="D182" s="862"/>
      <c r="E182" s="863"/>
      <c r="F182" s="577">
        <f>$M$70</f>
        <v>2.7065157731229677E-2</v>
      </c>
      <c r="G182" s="90" t="s">
        <v>237</v>
      </c>
      <c r="H182" s="575" t="s">
        <v>541</v>
      </c>
      <c r="I182" s="574">
        <f>J68</f>
        <v>2.0000274442871735</v>
      </c>
      <c r="J182" s="93">
        <f>F182/I182</f>
        <v>1.3532393172172658E-2</v>
      </c>
      <c r="K182" s="451">
        <f xml:space="preserve"> (597+0.45*D177)*1/1000</f>
        <v>0.60912943745392367</v>
      </c>
      <c r="L182" s="90"/>
      <c r="M182" s="93">
        <f>J182*K182</f>
        <v>8.2429790403708483E-3</v>
      </c>
      <c r="N182" s="91" t="s">
        <v>181</v>
      </c>
      <c r="O182" s="91">
        <f>M182^4/(IF(N182="∞",100000,N182))</f>
        <v>4.61675451108024E-14</v>
      </c>
      <c r="P182" s="492"/>
      <c r="Q182" s="16"/>
    </row>
    <row r="183" spans="1:17" ht="15.75" thickBot="1" x14ac:dyDescent="0.3">
      <c r="A183" s="16"/>
      <c r="B183" s="44"/>
      <c r="C183" s="44"/>
      <c r="D183" s="44"/>
      <c r="E183" s="44"/>
      <c r="F183" s="44"/>
      <c r="G183" s="44"/>
      <c r="H183" s="44"/>
      <c r="I183" s="44"/>
      <c r="J183" s="44"/>
      <c r="K183" s="44"/>
      <c r="L183" s="44"/>
      <c r="M183" s="44"/>
      <c r="N183" s="44"/>
      <c r="O183" s="44"/>
      <c r="P183" s="44"/>
      <c r="Q183" s="16"/>
    </row>
    <row r="184" spans="1:17" ht="16.5" thickTop="1" thickBot="1" x14ac:dyDescent="0.3">
      <c r="A184" s="16"/>
      <c r="B184" s="44"/>
      <c r="C184" s="44"/>
      <c r="D184" s="44"/>
      <c r="E184" s="44"/>
      <c r="F184" s="44"/>
      <c r="G184" s="107" t="s">
        <v>183</v>
      </c>
      <c r="H184" s="108">
        <v>0.95450000000000002</v>
      </c>
      <c r="I184" s="107" t="s">
        <v>184</v>
      </c>
      <c r="J184" s="109">
        <f>TINV(1-H184,IF(N184="∞",100000,N184))</f>
        <v>2.0000274442871735</v>
      </c>
      <c r="K184" s="107"/>
      <c r="L184" s="107" t="s">
        <v>185</v>
      </c>
      <c r="M184" s="110">
        <f>SQRT(SUMSQ(M181:M182))</f>
        <v>1.9357603571259593E-2</v>
      </c>
      <c r="N184" s="109" t="str">
        <f>IF((M184^4/O184)&gt;100000,"∞",(M184^4/O184))</f>
        <v>∞</v>
      </c>
      <c r="O184" s="107">
        <f>SUM(O181:O182)</f>
        <v>9.8724656472412478E-13</v>
      </c>
      <c r="P184" s="491"/>
      <c r="Q184" s="16"/>
    </row>
    <row r="185" spans="1:17" ht="16.5" thickTop="1" thickBot="1" x14ac:dyDescent="0.3">
      <c r="A185" s="16"/>
      <c r="B185" s="44"/>
      <c r="C185" s="44"/>
      <c r="D185" s="44"/>
      <c r="E185" s="44"/>
      <c r="F185" s="44"/>
      <c r="G185" s="44"/>
      <c r="H185" s="44"/>
      <c r="I185" s="44"/>
      <c r="J185" s="44"/>
      <c r="K185" s="45"/>
      <c r="L185" s="46"/>
      <c r="M185" s="46"/>
      <c r="N185" s="46"/>
      <c r="O185" s="44"/>
      <c r="P185" s="44"/>
      <c r="Q185" s="16"/>
    </row>
    <row r="186" spans="1:17" ht="16.5" thickTop="1" thickBot="1" x14ac:dyDescent="0.3">
      <c r="A186" s="16"/>
      <c r="B186" s="44"/>
      <c r="C186" s="44"/>
      <c r="D186" s="44"/>
      <c r="E186" s="44"/>
      <c r="F186" s="44"/>
      <c r="G186" s="44"/>
      <c r="H186" s="44"/>
      <c r="I186" s="44"/>
      <c r="J186" s="44"/>
      <c r="K186" s="47"/>
      <c r="L186" s="48" t="s">
        <v>186</v>
      </c>
      <c r="M186" s="455">
        <f>(J184*M184)</f>
        <v>3.8715738398150588E-2</v>
      </c>
      <c r="N186" s="50" t="s">
        <v>256</v>
      </c>
      <c r="O186" s="44"/>
      <c r="P186" s="44"/>
      <c r="Q186" s="16"/>
    </row>
    <row r="187" spans="1:17" ht="13.5" thickTop="1" x14ac:dyDescent="0.2">
      <c r="A187" s="16"/>
      <c r="B187" s="16"/>
      <c r="C187" s="16"/>
      <c r="D187" s="16"/>
      <c r="E187" s="16"/>
      <c r="F187" s="16"/>
      <c r="G187" s="16"/>
      <c r="H187" s="16"/>
      <c r="I187" s="16"/>
      <c r="J187" s="16"/>
      <c r="K187" s="16"/>
      <c r="L187" s="16"/>
      <c r="M187" s="16"/>
      <c r="N187" s="16"/>
      <c r="O187" s="16"/>
      <c r="P187" s="16"/>
      <c r="Q187" s="16"/>
    </row>
    <row r="188" spans="1:17" x14ac:dyDescent="0.2">
      <c r="A188" s="16"/>
      <c r="B188" s="16"/>
      <c r="C188" s="16"/>
      <c r="D188" s="16"/>
      <c r="E188" s="16"/>
      <c r="F188" s="16"/>
      <c r="G188" s="16"/>
      <c r="H188" s="16"/>
      <c r="I188" s="16"/>
      <c r="J188" s="16"/>
      <c r="K188" s="16"/>
      <c r="L188" s="16"/>
      <c r="M188" s="16"/>
      <c r="N188" s="16"/>
      <c r="O188" s="16"/>
      <c r="P188" s="16"/>
      <c r="Q188" s="16"/>
    </row>
    <row r="189" spans="1:17" x14ac:dyDescent="0.2">
      <c r="A189" s="16"/>
      <c r="B189" s="16"/>
      <c r="C189" s="16"/>
      <c r="D189" s="16"/>
      <c r="E189" s="16"/>
      <c r="F189" s="16"/>
      <c r="G189" s="16"/>
      <c r="H189" s="16"/>
      <c r="I189" s="16"/>
      <c r="J189" s="16"/>
      <c r="K189" s="16"/>
      <c r="L189" s="16"/>
      <c r="M189" s="16"/>
      <c r="N189" s="16"/>
      <c r="O189" s="16"/>
      <c r="P189" s="16"/>
      <c r="Q189" s="16"/>
    </row>
    <row r="190" spans="1:17" ht="13.5" thickBot="1" x14ac:dyDescent="0.25">
      <c r="A190" s="16"/>
      <c r="B190" s="16"/>
      <c r="C190" s="16"/>
      <c r="D190" s="16"/>
      <c r="E190" s="16"/>
      <c r="F190" s="16"/>
      <c r="G190" s="16"/>
      <c r="H190" s="16"/>
      <c r="I190" s="16"/>
      <c r="J190" s="16"/>
      <c r="K190" s="16"/>
      <c r="L190" s="16"/>
      <c r="M190" s="16"/>
      <c r="N190" s="16"/>
      <c r="O190" s="16"/>
      <c r="P190" s="16"/>
      <c r="Q190" s="16"/>
    </row>
    <row r="191" spans="1:17" ht="13.5" thickBot="1" x14ac:dyDescent="0.25">
      <c r="A191" s="16"/>
      <c r="B191" s="43" t="s">
        <v>257</v>
      </c>
      <c r="C191" s="456" t="s">
        <v>415</v>
      </c>
      <c r="D191" s="445">
        <f>'Condicionador de ar'!F14</f>
        <v>26.95430545316357</v>
      </c>
      <c r="E191" s="16"/>
      <c r="F191" s="16"/>
      <c r="G191" s="16"/>
      <c r="H191" s="16"/>
      <c r="I191" s="16"/>
      <c r="J191" s="16"/>
      <c r="K191" s="16"/>
      <c r="L191" s="16"/>
      <c r="M191" s="16"/>
      <c r="N191" s="16"/>
      <c r="O191" s="16"/>
      <c r="P191" s="16"/>
      <c r="Q191" s="16"/>
    </row>
    <row r="192" spans="1:17" ht="13.5" thickBot="1" x14ac:dyDescent="0.25">
      <c r="A192" s="16"/>
      <c r="B192" s="43" t="s">
        <v>280</v>
      </c>
      <c r="C192" s="72" t="s">
        <v>238</v>
      </c>
      <c r="D192" s="445">
        <f>'Condicionador de ar'!Q14</f>
        <v>10.396944231444339</v>
      </c>
      <c r="E192" s="16"/>
      <c r="F192" s="16"/>
      <c r="G192" s="16"/>
      <c r="H192" s="16"/>
      <c r="I192" s="16"/>
      <c r="J192" s="16"/>
      <c r="K192" s="16"/>
      <c r="L192" s="16"/>
      <c r="M192" s="16"/>
      <c r="N192" s="16"/>
      <c r="O192" s="16"/>
      <c r="P192" s="16"/>
      <c r="Q192" s="16"/>
    </row>
    <row r="193" spans="1:17" ht="13.5" thickBot="1" x14ac:dyDescent="0.25">
      <c r="A193" s="16"/>
      <c r="B193" s="43"/>
      <c r="C193" s="72" t="s">
        <v>258</v>
      </c>
      <c r="D193" s="445">
        <f>'Condicionador de ar'!U14</f>
        <v>1.1777058271879679</v>
      </c>
      <c r="E193" s="16"/>
      <c r="F193" s="16"/>
      <c r="G193" s="16"/>
      <c r="H193" s="16"/>
      <c r="I193" s="16"/>
      <c r="J193" s="16"/>
      <c r="K193" s="16"/>
      <c r="L193" s="16"/>
      <c r="M193" s="16"/>
      <c r="N193" s="16"/>
      <c r="O193" s="16"/>
      <c r="P193" s="16"/>
      <c r="Q193" s="16"/>
    </row>
    <row r="194" spans="1:17" x14ac:dyDescent="0.2">
      <c r="A194" s="16"/>
      <c r="B194" s="16"/>
      <c r="C194" s="16"/>
      <c r="D194" s="16"/>
      <c r="E194" s="16"/>
      <c r="F194" s="16"/>
      <c r="G194" s="16"/>
      <c r="H194" s="16"/>
      <c r="I194" s="16"/>
      <c r="J194" s="16"/>
      <c r="K194" s="16"/>
      <c r="L194" s="16"/>
      <c r="M194" s="16"/>
      <c r="N194" s="16"/>
      <c r="O194" s="16"/>
      <c r="P194" s="16"/>
      <c r="Q194" s="16"/>
    </row>
    <row r="195" spans="1:17" ht="14.25" x14ac:dyDescent="0.2">
      <c r="A195" s="16"/>
      <c r="B195" s="83" t="s">
        <v>54</v>
      </c>
      <c r="C195" s="864" t="s">
        <v>168</v>
      </c>
      <c r="D195" s="865"/>
      <c r="E195" s="866"/>
      <c r="F195" s="83" t="s">
        <v>169</v>
      </c>
      <c r="G195" s="83" t="s">
        <v>65</v>
      </c>
      <c r="H195" s="83" t="s">
        <v>170</v>
      </c>
      <c r="I195" s="83" t="s">
        <v>171</v>
      </c>
      <c r="J195" s="83" t="s">
        <v>172</v>
      </c>
      <c r="K195" s="83" t="s">
        <v>173</v>
      </c>
      <c r="L195" s="83" t="s">
        <v>65</v>
      </c>
      <c r="M195" s="83" t="s">
        <v>174</v>
      </c>
      <c r="N195" s="83" t="s">
        <v>175</v>
      </c>
      <c r="O195" s="83" t="s">
        <v>176</v>
      </c>
      <c r="P195" s="51"/>
      <c r="Q195" s="16"/>
    </row>
    <row r="196" spans="1:17" x14ac:dyDescent="0.2">
      <c r="A196" s="16"/>
      <c r="B196" s="867" t="s">
        <v>22</v>
      </c>
      <c r="C196" s="861" t="s">
        <v>411</v>
      </c>
      <c r="D196" s="862"/>
      <c r="E196" s="863"/>
      <c r="F196" s="577" t="str">
        <f>'i.m. instrumentos'!$M$33</f>
        <v>0,14</v>
      </c>
      <c r="G196" s="90" t="s">
        <v>71</v>
      </c>
      <c r="H196" s="575" t="s">
        <v>541</v>
      </c>
      <c r="I196" s="574">
        <f>'i.m. instrumentos'!J31</f>
        <v>2.0000274442871735</v>
      </c>
      <c r="J196" s="93">
        <f>F196/I196</f>
        <v>6.9999039463129561E-2</v>
      </c>
      <c r="K196" s="451">
        <f>D193*(0.24+D192/1000*0.45)</f>
        <v>0.28815944233795643</v>
      </c>
      <c r="L196" s="90"/>
      <c r="M196" s="93">
        <f>J196*K196</f>
        <v>2.0170884175888019E-2</v>
      </c>
      <c r="N196" s="91" t="s">
        <v>181</v>
      </c>
      <c r="O196" s="91">
        <f>M196^4/(IF(N196="∞",100000,N196))</f>
        <v>1.6553877704949924E-12</v>
      </c>
      <c r="P196" s="492"/>
      <c r="Q196" s="16"/>
    </row>
    <row r="197" spans="1:17" x14ac:dyDescent="0.2">
      <c r="A197" s="16"/>
      <c r="B197" s="868"/>
      <c r="C197" s="861" t="s">
        <v>245</v>
      </c>
      <c r="D197" s="862"/>
      <c r="E197" s="863"/>
      <c r="F197" s="577">
        <f>$M$89</f>
        <v>0.24209169181217594</v>
      </c>
      <c r="G197" s="90" t="s">
        <v>237</v>
      </c>
      <c r="H197" s="575" t="s">
        <v>541</v>
      </c>
      <c r="I197" s="574">
        <f>J87</f>
        <v>2.0000274442871735</v>
      </c>
      <c r="J197" s="93">
        <f>F197/I197</f>
        <v>0.12104418492040214</v>
      </c>
      <c r="K197" s="451">
        <f>D193*(597+0.45*D191)*1/1000</f>
        <v>0.71737528800121475</v>
      </c>
      <c r="L197" s="90"/>
      <c r="M197" s="93">
        <f>J197*K197</f>
        <v>8.6834107018145784E-2</v>
      </c>
      <c r="N197" s="91" t="s">
        <v>181</v>
      </c>
      <c r="O197" s="91">
        <f>M197^4/(IF(N197="∞",100000,N197))</f>
        <v>5.6854045122202941E-10</v>
      </c>
      <c r="P197" s="492"/>
      <c r="Q197" s="16"/>
    </row>
    <row r="198" spans="1:17" x14ac:dyDescent="0.2">
      <c r="A198" s="16"/>
      <c r="B198" s="869"/>
      <c r="C198" s="861" t="s">
        <v>259</v>
      </c>
      <c r="D198" s="862"/>
      <c r="E198" s="863"/>
      <c r="F198" s="577">
        <f>$M$142</f>
        <v>1.5774387997461658E-3</v>
      </c>
      <c r="G198" s="90" t="s">
        <v>226</v>
      </c>
      <c r="H198" s="575" t="s">
        <v>541</v>
      </c>
      <c r="I198" s="574">
        <f>J140</f>
        <v>2.0000274442871735</v>
      </c>
      <c r="J198" s="93">
        <f>F198/I198</f>
        <v>7.8870857710073986E-4</v>
      </c>
      <c r="K198" s="451">
        <f>0.24*D191+(597+0.45*D191)*D192/1000</f>
        <v>12.802118099698763</v>
      </c>
      <c r="L198" s="90"/>
      <c r="M198" s="93">
        <f>J198*K198</f>
        <v>1.0097140350289038E-2</v>
      </c>
      <c r="N198" s="91" t="s">
        <v>181</v>
      </c>
      <c r="O198" s="91">
        <f>M198^4/(IF(N198="∞",100000,N198))</f>
        <v>1.0394259904407591E-13</v>
      </c>
      <c r="P198" s="492"/>
      <c r="Q198" s="16"/>
    </row>
    <row r="199" spans="1:17" ht="15.75" thickBot="1" x14ac:dyDescent="0.3">
      <c r="A199" s="16"/>
      <c r="B199" s="44"/>
      <c r="C199" s="44"/>
      <c r="D199" s="44"/>
      <c r="E199" s="44"/>
      <c r="F199" s="44"/>
      <c r="G199" s="44"/>
      <c r="H199" s="44"/>
      <c r="I199" s="44"/>
      <c r="J199" s="44"/>
      <c r="K199" s="44"/>
      <c r="L199" s="44"/>
      <c r="M199" s="44"/>
      <c r="N199" s="44"/>
      <c r="O199" s="44"/>
      <c r="P199" s="44"/>
      <c r="Q199" s="16"/>
    </row>
    <row r="200" spans="1:17" ht="16.5" thickTop="1" thickBot="1" x14ac:dyDescent="0.3">
      <c r="A200" s="16"/>
      <c r="B200" s="44"/>
      <c r="C200" s="44"/>
      <c r="D200" s="44"/>
      <c r="E200" s="44"/>
      <c r="F200" s="44"/>
      <c r="G200" s="107" t="s">
        <v>183</v>
      </c>
      <c r="H200" s="108">
        <v>0.95450000000000002</v>
      </c>
      <c r="I200" s="107" t="s">
        <v>184</v>
      </c>
      <c r="J200" s="109">
        <f>TINV(1-H200,IF(N200="∞",100000,N200))</f>
        <v>2.0000274442871735</v>
      </c>
      <c r="K200" s="107"/>
      <c r="L200" s="107" t="s">
        <v>185</v>
      </c>
      <c r="M200" s="110">
        <f>SQRT(SUMSQ(M196:M198))</f>
        <v>8.9716101973555007E-2</v>
      </c>
      <c r="N200" s="109" t="str">
        <f>IF((M200^4/O200)&gt;100000,"∞",(M200^4/O200))</f>
        <v>∞</v>
      </c>
      <c r="O200" s="107">
        <f>SUM(O196:O198)</f>
        <v>5.7029978159156854E-10</v>
      </c>
      <c r="P200" s="491"/>
      <c r="Q200" s="16"/>
    </row>
    <row r="201" spans="1:17" ht="16.5" thickTop="1" thickBot="1" x14ac:dyDescent="0.3">
      <c r="A201" s="16"/>
      <c r="B201" s="44"/>
      <c r="C201" s="44"/>
      <c r="D201" s="44"/>
      <c r="E201" s="44"/>
      <c r="F201" s="44"/>
      <c r="G201" s="44"/>
      <c r="H201" s="44"/>
      <c r="I201" s="44"/>
      <c r="J201" s="44"/>
      <c r="K201" s="45"/>
      <c r="L201" s="46"/>
      <c r="M201" s="46"/>
      <c r="N201" s="46"/>
      <c r="O201" s="44"/>
      <c r="P201" s="44"/>
      <c r="Q201" s="16"/>
    </row>
    <row r="202" spans="1:17" ht="16.5" thickTop="1" thickBot="1" x14ac:dyDescent="0.3">
      <c r="A202" s="16"/>
      <c r="B202" s="44"/>
      <c r="C202" s="44"/>
      <c r="D202" s="44"/>
      <c r="E202" s="44"/>
      <c r="F202" s="44"/>
      <c r="G202" s="44"/>
      <c r="H202" s="44"/>
      <c r="I202" s="44"/>
      <c r="J202" s="44"/>
      <c r="K202" s="47"/>
      <c r="L202" s="48" t="s">
        <v>186</v>
      </c>
      <c r="M202" s="455">
        <f>(J200*M200)</f>
        <v>0.17943466614157666</v>
      </c>
      <c r="N202" s="50" t="s">
        <v>256</v>
      </c>
      <c r="O202" s="44"/>
      <c r="P202" s="44"/>
      <c r="Q202" s="16"/>
    </row>
    <row r="203" spans="1:17" ht="13.5" thickTop="1" x14ac:dyDescent="0.2">
      <c r="A203" s="16"/>
      <c r="B203" s="16"/>
      <c r="C203" s="16"/>
      <c r="D203" s="16"/>
      <c r="E203" s="16"/>
      <c r="F203" s="16"/>
      <c r="G203" s="16"/>
      <c r="H203" s="16"/>
      <c r="I203" s="16"/>
      <c r="J203" s="16"/>
      <c r="K203" s="16"/>
      <c r="L203" s="16"/>
      <c r="M203" s="16"/>
      <c r="N203" s="16"/>
      <c r="O203" s="16"/>
      <c r="P203" s="16"/>
    </row>
    <row r="204" spans="1:17" ht="13.5" thickBot="1" x14ac:dyDescent="0.25">
      <c r="A204" s="16"/>
      <c r="B204" s="16"/>
      <c r="C204" s="16"/>
      <c r="D204" s="16"/>
      <c r="E204" s="16"/>
      <c r="F204" s="16"/>
      <c r="G204" s="16"/>
      <c r="H204" s="16"/>
      <c r="I204" s="16"/>
      <c r="J204" s="16"/>
      <c r="K204" s="16"/>
      <c r="L204" s="16"/>
      <c r="M204" s="16"/>
      <c r="N204" s="16"/>
      <c r="O204" s="16"/>
      <c r="P204" s="16"/>
    </row>
    <row r="205" spans="1:17" ht="13.5" thickBot="1" x14ac:dyDescent="0.25">
      <c r="A205" s="16"/>
      <c r="B205" s="43" t="s">
        <v>257</v>
      </c>
      <c r="C205" s="456" t="s">
        <v>415</v>
      </c>
      <c r="D205" s="445">
        <f>'Condicionador de ar'!F15</f>
        <v>15.162053885170128</v>
      </c>
      <c r="E205" s="16"/>
      <c r="F205" s="16"/>
      <c r="G205" s="16"/>
      <c r="H205" s="16"/>
      <c r="I205" s="16"/>
      <c r="J205" s="16"/>
      <c r="K205" s="16"/>
      <c r="L205" s="16"/>
      <c r="M205" s="16"/>
      <c r="N205" s="16"/>
      <c r="O205" s="16"/>
      <c r="P205" s="16"/>
    </row>
    <row r="206" spans="1:17" ht="13.5" thickBot="1" x14ac:dyDescent="0.25">
      <c r="A206" s="16"/>
      <c r="B206" s="43" t="s">
        <v>281</v>
      </c>
      <c r="C206" s="72" t="s">
        <v>238</v>
      </c>
      <c r="D206" s="445">
        <f>'Condicionador de ar'!Q15</f>
        <v>9.0585235692026966</v>
      </c>
      <c r="E206" s="16"/>
      <c r="F206" s="16"/>
      <c r="G206" s="16"/>
      <c r="H206" s="16"/>
      <c r="I206" s="16"/>
      <c r="J206" s="16"/>
      <c r="K206" s="16"/>
      <c r="L206" s="16"/>
      <c r="M206" s="16"/>
      <c r="N206" s="16"/>
      <c r="O206" s="16"/>
      <c r="P206" s="16"/>
    </row>
    <row r="207" spans="1:17" ht="13.5" thickBot="1" x14ac:dyDescent="0.25">
      <c r="A207" s="16"/>
      <c r="B207" s="43"/>
      <c r="C207" s="72" t="s">
        <v>258</v>
      </c>
      <c r="D207" s="445">
        <f>'Condicionador de ar'!U15</f>
        <v>1.2031628499179001</v>
      </c>
      <c r="E207" s="16"/>
      <c r="F207" s="16"/>
      <c r="G207" s="16"/>
      <c r="H207" s="16"/>
      <c r="I207" s="16"/>
      <c r="J207" s="16"/>
      <c r="K207" s="16"/>
      <c r="L207" s="16"/>
      <c r="M207" s="16"/>
      <c r="N207" s="16"/>
      <c r="O207" s="16"/>
      <c r="P207" s="16"/>
    </row>
    <row r="208" spans="1:17" x14ac:dyDescent="0.2">
      <c r="A208" s="16"/>
      <c r="B208" s="16"/>
      <c r="C208" s="16"/>
      <c r="D208" s="16"/>
      <c r="E208" s="16"/>
      <c r="F208" s="16"/>
      <c r="G208" s="16"/>
      <c r="H208" s="16"/>
      <c r="I208" s="16"/>
      <c r="J208" s="16"/>
      <c r="K208" s="16"/>
      <c r="L208" s="16"/>
      <c r="M208" s="16"/>
      <c r="N208" s="16"/>
      <c r="O208" s="16"/>
      <c r="P208" s="16"/>
    </row>
    <row r="209" spans="1:17" ht="14.25" x14ac:dyDescent="0.2">
      <c r="A209" s="16"/>
      <c r="B209" s="83" t="s">
        <v>54</v>
      </c>
      <c r="C209" s="864" t="s">
        <v>168</v>
      </c>
      <c r="D209" s="865"/>
      <c r="E209" s="866"/>
      <c r="F209" s="83" t="s">
        <v>169</v>
      </c>
      <c r="G209" s="83" t="s">
        <v>65</v>
      </c>
      <c r="H209" s="83" t="s">
        <v>170</v>
      </c>
      <c r="I209" s="83" t="s">
        <v>171</v>
      </c>
      <c r="J209" s="83" t="s">
        <v>172</v>
      </c>
      <c r="K209" s="83" t="s">
        <v>173</v>
      </c>
      <c r="L209" s="83" t="s">
        <v>65</v>
      </c>
      <c r="M209" s="83" t="s">
        <v>174</v>
      </c>
      <c r="N209" s="83" t="s">
        <v>175</v>
      </c>
      <c r="O209" s="83" t="s">
        <v>176</v>
      </c>
      <c r="P209" s="51"/>
    </row>
    <row r="210" spans="1:17" x14ac:dyDescent="0.2">
      <c r="A210" s="16"/>
      <c r="B210" s="867" t="s">
        <v>22</v>
      </c>
      <c r="C210" s="861" t="s">
        <v>411</v>
      </c>
      <c r="D210" s="862"/>
      <c r="E210" s="863"/>
      <c r="F210" s="577" t="str">
        <f>'i.m. instrumentos'!$AC$20</f>
        <v>0,14</v>
      </c>
      <c r="G210" s="90" t="s">
        <v>71</v>
      </c>
      <c r="H210" s="575" t="s">
        <v>541</v>
      </c>
      <c r="I210" s="574">
        <f>'i.m. instrumentos'!Z18</f>
        <v>2.0000274442871735</v>
      </c>
      <c r="J210" s="93">
        <f>F210/I210</f>
        <v>6.9999039463129561E-2</v>
      </c>
      <c r="K210" s="451">
        <f>D207*(0.24+D206/1000*0.45)</f>
        <v>0.29366357954540268</v>
      </c>
      <c r="L210" s="90"/>
      <c r="M210" s="93">
        <f>J210*K210</f>
        <v>2.0556168493482529E-2</v>
      </c>
      <c r="N210" s="91" t="s">
        <v>181</v>
      </c>
      <c r="O210" s="91">
        <f>M210^4/(IF(N210="∞",100000,N210))</f>
        <v>1.7855362648998979E-12</v>
      </c>
      <c r="P210" s="492"/>
    </row>
    <row r="211" spans="1:17" x14ac:dyDescent="0.2">
      <c r="A211" s="16"/>
      <c r="B211" s="868"/>
      <c r="C211" s="861" t="s">
        <v>245</v>
      </c>
      <c r="D211" s="862"/>
      <c r="E211" s="863"/>
      <c r="F211" s="577">
        <f>$M$89</f>
        <v>0.24209169181217594</v>
      </c>
      <c r="G211" s="90" t="s">
        <v>237</v>
      </c>
      <c r="H211" s="575" t="s">
        <v>541</v>
      </c>
      <c r="I211" s="574">
        <f>J87</f>
        <v>2.0000274442871735</v>
      </c>
      <c r="J211" s="93">
        <f>F211/I211</f>
        <v>0.12104418492040214</v>
      </c>
      <c r="K211" s="451">
        <f>D207*(597+0.45*D205)*1/1000</f>
        <v>0.72649731038437693</v>
      </c>
      <c r="L211" s="90"/>
      <c r="M211" s="93">
        <f>J211*K211</f>
        <v>8.7938274782341314E-2</v>
      </c>
      <c r="N211" s="91" t="s">
        <v>181</v>
      </c>
      <c r="O211" s="91">
        <f>M211^4/(IF(N211="∞",100000,N211))</f>
        <v>5.9801456915076259E-10</v>
      </c>
      <c r="P211" s="492"/>
    </row>
    <row r="212" spans="1:17" x14ac:dyDescent="0.2">
      <c r="A212" s="16"/>
      <c r="B212" s="869"/>
      <c r="C212" s="861" t="s">
        <v>259</v>
      </c>
      <c r="D212" s="862"/>
      <c r="E212" s="863"/>
      <c r="F212" s="577">
        <f>$M$142</f>
        <v>1.5774387997461658E-3</v>
      </c>
      <c r="G212" s="90" t="s">
        <v>226</v>
      </c>
      <c r="H212" s="575" t="s">
        <v>541</v>
      </c>
      <c r="I212" s="574">
        <f>J140</f>
        <v>2.0000274442871735</v>
      </c>
      <c r="J212" s="93">
        <f>F212/I212</f>
        <v>7.8870857710073986E-4</v>
      </c>
      <c r="K212" s="451">
        <f>0.24*D205+(597+0.45*D205)*D206/1000</f>
        <v>9.1086371233691921</v>
      </c>
      <c r="L212" s="90"/>
      <c r="M212" s="93">
        <f>J212*K212</f>
        <v>7.1840602248994922E-3</v>
      </c>
      <c r="N212" s="91" t="s">
        <v>181</v>
      </c>
      <c r="O212" s="91">
        <f>M212^4/(IF(N212="∞",100000,N212))</f>
        <v>2.6636665546528349E-14</v>
      </c>
      <c r="P212" s="492"/>
    </row>
    <row r="213" spans="1:17" ht="15.75" thickBot="1" x14ac:dyDescent="0.3">
      <c r="A213" s="16"/>
      <c r="B213" s="44"/>
      <c r="C213" s="44"/>
      <c r="D213" s="44"/>
      <c r="E213" s="44"/>
      <c r="F213" s="44"/>
      <c r="G213" s="44"/>
      <c r="H213" s="44"/>
      <c r="I213" s="44"/>
      <c r="J213" s="44"/>
      <c r="K213" s="44"/>
      <c r="L213" s="44"/>
      <c r="M213" s="44"/>
      <c r="N213" s="44"/>
      <c r="O213" s="44"/>
      <c r="P213" s="44"/>
    </row>
    <row r="214" spans="1:17" ht="16.5" thickTop="1" thickBot="1" x14ac:dyDescent="0.3">
      <c r="A214" s="16"/>
      <c r="B214" s="44"/>
      <c r="C214" s="44"/>
      <c r="D214" s="44"/>
      <c r="E214" s="44"/>
      <c r="F214" s="44"/>
      <c r="G214" s="107" t="s">
        <v>183</v>
      </c>
      <c r="H214" s="108">
        <v>0.95450000000000002</v>
      </c>
      <c r="I214" s="107" t="s">
        <v>184</v>
      </c>
      <c r="J214" s="109">
        <f>TINV(1-H214,IF(N214="∞",100000,N214))</f>
        <v>2.0000274442871735</v>
      </c>
      <c r="K214" s="107"/>
      <c r="L214" s="107" t="s">
        <v>185</v>
      </c>
      <c r="M214" s="110">
        <f>SQRT(SUMSQ(M210:M212))</f>
        <v>9.0594188313279742E-2</v>
      </c>
      <c r="N214" s="109" t="str">
        <f>IF((M214^4/O214)&gt;100000,"∞",(M214^4/O214))</f>
        <v>∞</v>
      </c>
      <c r="O214" s="107">
        <f>SUM(O210:O212)</f>
        <v>5.99826742081209E-10</v>
      </c>
      <c r="P214" s="491"/>
    </row>
    <row r="215" spans="1:17" ht="16.5" thickTop="1" thickBot="1" x14ac:dyDescent="0.3">
      <c r="A215" s="16"/>
      <c r="B215" s="44"/>
      <c r="C215" s="44"/>
      <c r="D215" s="44"/>
      <c r="E215" s="44"/>
      <c r="F215" s="44"/>
      <c r="G215" s="44"/>
      <c r="H215" s="44"/>
      <c r="I215" s="44"/>
      <c r="J215" s="44"/>
      <c r="K215" s="45"/>
      <c r="L215" s="46"/>
      <c r="M215" s="46"/>
      <c r="N215" s="46"/>
      <c r="O215" s="44"/>
      <c r="P215" s="44"/>
    </row>
    <row r="216" spans="1:17" ht="16.5" thickTop="1" thickBot="1" x14ac:dyDescent="0.3">
      <c r="A216" s="16"/>
      <c r="B216" s="44"/>
      <c r="C216" s="44"/>
      <c r="D216" s="44"/>
      <c r="E216" s="44"/>
      <c r="F216" s="44"/>
      <c r="G216" s="44"/>
      <c r="H216" s="44"/>
      <c r="I216" s="44"/>
      <c r="J216" s="44"/>
      <c r="K216" s="47"/>
      <c r="L216" s="48" t="s">
        <v>186</v>
      </c>
      <c r="M216" s="455">
        <f>(J214*M214)</f>
        <v>0.18119086291947981</v>
      </c>
      <c r="N216" s="50" t="s">
        <v>256</v>
      </c>
      <c r="O216" s="44"/>
      <c r="P216" s="44"/>
    </row>
    <row r="217" spans="1:17" ht="13.5" thickTop="1" x14ac:dyDescent="0.2">
      <c r="A217" s="16"/>
      <c r="B217" s="16"/>
      <c r="C217" s="16"/>
      <c r="D217" s="16"/>
      <c r="E217" s="16"/>
      <c r="F217" s="16"/>
      <c r="G217" s="16"/>
      <c r="H217" s="16"/>
      <c r="I217" s="16"/>
      <c r="J217" s="16"/>
      <c r="K217" s="16"/>
      <c r="L217" s="16"/>
      <c r="M217" s="16"/>
      <c r="N217" s="16"/>
      <c r="O217" s="16"/>
      <c r="P217" s="16"/>
      <c r="Q217" s="16"/>
    </row>
    <row r="218" spans="1:17" ht="13.5" thickBot="1" x14ac:dyDescent="0.25">
      <c r="A218" s="16"/>
      <c r="B218" s="16"/>
      <c r="C218" s="16"/>
      <c r="D218" s="16"/>
      <c r="E218" s="16"/>
      <c r="F218" s="16"/>
      <c r="G218" s="16"/>
      <c r="H218" s="16"/>
      <c r="I218" s="16"/>
      <c r="J218" s="16"/>
      <c r="K218" s="16"/>
      <c r="L218" s="16"/>
      <c r="M218" s="16"/>
      <c r="N218" s="16"/>
      <c r="O218" s="16"/>
      <c r="P218" s="16"/>
      <c r="Q218" s="16"/>
    </row>
    <row r="219" spans="1:17" ht="13.5" thickBot="1" x14ac:dyDescent="0.25">
      <c r="A219" s="56"/>
      <c r="B219" s="43" t="s">
        <v>260</v>
      </c>
      <c r="C219" s="56"/>
      <c r="D219" s="56"/>
      <c r="E219" s="56"/>
      <c r="F219" s="72" t="s">
        <v>265</v>
      </c>
      <c r="G219" s="457">
        <f>Temperatura!BF22</f>
        <v>5.6145778141747475E-3</v>
      </c>
      <c r="H219" s="56"/>
      <c r="I219" s="444"/>
      <c r="J219" s="56"/>
      <c r="K219" s="56"/>
      <c r="L219" s="56"/>
      <c r="M219" s="56"/>
      <c r="N219" s="56"/>
      <c r="O219" s="56"/>
      <c r="P219" s="56"/>
      <c r="Q219" s="16"/>
    </row>
    <row r="220" spans="1:17" ht="13.5" thickBot="1" x14ac:dyDescent="0.25">
      <c r="A220" s="56"/>
      <c r="B220" s="43"/>
      <c r="C220" s="56"/>
      <c r="D220" s="56"/>
      <c r="E220" s="56"/>
      <c r="F220" s="72" t="s">
        <v>270</v>
      </c>
      <c r="G220" s="458">
        <f>'Condicionador de ar'!J21</f>
        <v>33.099659235887096</v>
      </c>
      <c r="H220" s="56"/>
      <c r="I220" s="56"/>
      <c r="J220" s="56"/>
      <c r="K220" s="56"/>
      <c r="L220" s="56"/>
      <c r="M220" s="56"/>
      <c r="N220" s="56"/>
      <c r="O220" s="56"/>
      <c r="P220" s="56"/>
      <c r="Q220" s="16"/>
    </row>
    <row r="221" spans="1:17" x14ac:dyDescent="0.2">
      <c r="A221" s="56"/>
      <c r="B221" s="56"/>
      <c r="C221" s="56"/>
      <c r="D221" s="56"/>
      <c r="E221" s="56"/>
      <c r="F221" s="56"/>
      <c r="G221" s="56"/>
      <c r="H221" s="56"/>
      <c r="I221" s="56"/>
      <c r="J221" s="56"/>
      <c r="K221" s="56"/>
      <c r="L221" s="56"/>
      <c r="M221" s="56"/>
      <c r="N221" s="56"/>
      <c r="O221" s="56"/>
      <c r="P221" s="56"/>
      <c r="Q221" s="16"/>
    </row>
    <row r="222" spans="1:17" ht="14.25" x14ac:dyDescent="0.2">
      <c r="A222" s="56"/>
      <c r="B222" s="349" t="s">
        <v>54</v>
      </c>
      <c r="C222" s="815" t="s">
        <v>168</v>
      </c>
      <c r="D222" s="816"/>
      <c r="E222" s="817"/>
      <c r="F222" s="349" t="s">
        <v>169</v>
      </c>
      <c r="G222" s="349" t="s">
        <v>65</v>
      </c>
      <c r="H222" s="349" t="s">
        <v>170</v>
      </c>
      <c r="I222" s="349" t="s">
        <v>171</v>
      </c>
      <c r="J222" s="349" t="s">
        <v>172</v>
      </c>
      <c r="K222" s="349" t="s">
        <v>173</v>
      </c>
      <c r="L222" s="349" t="s">
        <v>65</v>
      </c>
      <c r="M222" s="349" t="s">
        <v>174</v>
      </c>
      <c r="N222" s="349" t="s">
        <v>175</v>
      </c>
      <c r="O222" s="349" t="s">
        <v>176</v>
      </c>
      <c r="P222" s="466"/>
    </row>
    <row r="223" spans="1:17" x14ac:dyDescent="0.2">
      <c r="A223" s="56"/>
      <c r="B223" s="409"/>
      <c r="C223" s="858" t="s">
        <v>370</v>
      </c>
      <c r="D223" s="859"/>
      <c r="E223" s="860"/>
      <c r="F223" s="272">
        <f>IF('i.m. instrumentos'!H51="mbar",('i.m. instrumentos'!M63*10.1971621),'i.m. instrumentos'!M63)</f>
        <v>0.59167789185941588</v>
      </c>
      <c r="G223" s="351" t="s">
        <v>25</v>
      </c>
      <c r="H223" s="575" t="s">
        <v>541</v>
      </c>
      <c r="I223" s="574">
        <f>'i.m. instrumentos'!$J$61</f>
        <v>2.0000274442871735</v>
      </c>
      <c r="J223" s="354">
        <f>F223/I223</f>
        <v>0.29583488644091821</v>
      </c>
      <c r="K223" s="390">
        <f>3600*(G219^2)*3.96*0.5/SQRT(G220)</f>
        <v>3.9056213860311578E-2</v>
      </c>
      <c r="L223" s="351"/>
      <c r="M223" s="354">
        <f>J223*K223</f>
        <v>1.1554190592177492E-2</v>
      </c>
      <c r="N223" s="352" t="s">
        <v>181</v>
      </c>
      <c r="O223" s="352">
        <f>M223^4/(IF(N223="∞",100000,N223))</f>
        <v>1.7822068504638953E-13</v>
      </c>
      <c r="P223" s="490"/>
    </row>
    <row r="224" spans="1:17" x14ac:dyDescent="0.2">
      <c r="A224" s="56"/>
      <c r="B224" s="459"/>
      <c r="C224" s="858" t="s">
        <v>430</v>
      </c>
      <c r="D224" s="859"/>
      <c r="E224" s="860"/>
      <c r="F224" s="577" t="str">
        <f>'i.m. instrumentos'!$M$115</f>
        <v>0,00070</v>
      </c>
      <c r="G224" s="351" t="s">
        <v>264</v>
      </c>
      <c r="H224" s="575" t="s">
        <v>541</v>
      </c>
      <c r="I224" s="574">
        <f>'i.m. instrumentos'!$J$113</f>
        <v>2.0000274442871735</v>
      </c>
      <c r="J224" s="354">
        <f>F224/I224</f>
        <v>3.4999519731564773E-4</v>
      </c>
      <c r="K224" s="390">
        <f>3600*3.96*SQRT(G220)*2*G219</f>
        <v>920.99346565758265</v>
      </c>
      <c r="L224" s="351"/>
      <c r="M224" s="354">
        <f>J224*K224</f>
        <v>0.32234328973924786</v>
      </c>
      <c r="N224" s="352" t="s">
        <v>181</v>
      </c>
      <c r="O224" s="352">
        <f>M224^4/(IF(N224="∞",100000,N224))</f>
        <v>1.0796289847218509E-7</v>
      </c>
      <c r="P224" s="490"/>
    </row>
    <row r="225" spans="1:17" ht="15.75" thickBot="1" x14ac:dyDescent="0.3">
      <c r="A225" s="56"/>
      <c r="B225" s="173"/>
      <c r="C225" s="173"/>
      <c r="D225" s="173"/>
      <c r="E225" s="173"/>
      <c r="F225" s="173"/>
      <c r="G225" s="173"/>
      <c r="H225" s="173"/>
      <c r="I225" s="173"/>
      <c r="J225" s="173"/>
      <c r="K225" s="460"/>
      <c r="L225" s="173"/>
      <c r="M225" s="173"/>
      <c r="N225" s="173"/>
      <c r="O225" s="173"/>
      <c r="P225" s="173"/>
    </row>
    <row r="226" spans="1:17" ht="16.5" thickTop="1" thickBot="1" x14ac:dyDescent="0.3">
      <c r="A226" s="56"/>
      <c r="B226" s="173"/>
      <c r="C226" s="173"/>
      <c r="D226" s="173"/>
      <c r="E226" s="173"/>
      <c r="F226" s="173"/>
      <c r="G226" s="461" t="s">
        <v>183</v>
      </c>
      <c r="H226" s="462">
        <v>0.95450000000000002</v>
      </c>
      <c r="I226" s="461" t="s">
        <v>184</v>
      </c>
      <c r="J226" s="463">
        <f>TINV(1-H226,IF(N226="∞",100000,N226))</f>
        <v>2.0000274442871735</v>
      </c>
      <c r="K226" s="461"/>
      <c r="L226" s="461" t="s">
        <v>185</v>
      </c>
      <c r="M226" s="464">
        <f>SQRT(SUMSQ(M223:M223))</f>
        <v>1.1554190592177492E-2</v>
      </c>
      <c r="N226" s="463">
        <f>IF((M226^4/O226)&gt;100000,"∞",(M226^4/O226))</f>
        <v>100000</v>
      </c>
      <c r="O226" s="461">
        <f>SUM(O223:O223)</f>
        <v>1.7822068504638953E-13</v>
      </c>
      <c r="P226" s="493"/>
    </row>
    <row r="227" spans="1:17" ht="16.5" thickTop="1" thickBot="1" x14ac:dyDescent="0.3">
      <c r="A227" s="56"/>
      <c r="B227" s="130"/>
      <c r="C227" s="130"/>
      <c r="D227" s="130"/>
      <c r="E227" s="130"/>
      <c r="F227" s="130"/>
      <c r="G227" s="130"/>
      <c r="H227" s="130"/>
      <c r="I227" s="130"/>
      <c r="J227" s="130"/>
      <c r="K227" s="135"/>
      <c r="L227" s="136"/>
      <c r="M227" s="136"/>
      <c r="N227" s="136"/>
      <c r="O227" s="130"/>
      <c r="P227" s="130"/>
      <c r="Q227" s="16"/>
    </row>
    <row r="228" spans="1:17" ht="16.5" thickTop="1" thickBot="1" x14ac:dyDescent="0.3">
      <c r="A228" s="56"/>
      <c r="B228" s="130"/>
      <c r="C228" s="130"/>
      <c r="D228" s="130"/>
      <c r="E228" s="130"/>
      <c r="F228" s="130"/>
      <c r="G228" s="130"/>
      <c r="H228" s="130"/>
      <c r="I228" s="130"/>
      <c r="J228" s="130"/>
      <c r="K228" s="137"/>
      <c r="L228" s="48" t="s">
        <v>186</v>
      </c>
      <c r="M228" s="49" t="str">
        <f>IF(ROUNDUP(M226*J226,6)&lt;0.0001,FIXED(ROUNDUP(M226*J226*1,6),6),IF(ROUNDUP(M226*J226,5)&lt;0.001,FIXED(ROUNDUP(M226*J226*1,5),5),IF(ROUNDUP(M226*J226,4)&lt;0.01,FIXED(ROUNDUP(M226*J226*1,4),4),IF(ROUNDUP(M226*J226,3)&lt;0.1,FIXED(ROUNDUP(M226*J226*1,3),3),IF(ROUNDUP(M226*J226,2)&lt;1,FIXED(ROUNDUP(M226*J226*1,2),2),IF(ROUNDUP(M226*J226,1)&lt;10,FIXED(ROUNDUP(M226*J226*1,1),1),IF(M226*J226&lt;100,FIXED(M226*J226*1,0),"IM ALTA")))))))</f>
        <v>0,024</v>
      </c>
      <c r="N228" s="50" t="s">
        <v>261</v>
      </c>
      <c r="O228" s="130"/>
      <c r="P228" s="130"/>
      <c r="Q228" s="16"/>
    </row>
    <row r="229" spans="1:17" ht="13.5" thickTop="1" x14ac:dyDescent="0.2">
      <c r="A229" s="16"/>
      <c r="B229" s="16"/>
      <c r="C229" s="16"/>
      <c r="D229" s="16"/>
      <c r="E229" s="16"/>
      <c r="F229" s="16"/>
      <c r="G229" s="16"/>
      <c r="H229" s="16"/>
      <c r="I229" s="16"/>
      <c r="J229" s="16"/>
      <c r="K229" s="16"/>
      <c r="L229" s="16"/>
      <c r="M229" s="16"/>
      <c r="N229" s="16"/>
      <c r="O229" s="16"/>
      <c r="P229" s="16"/>
      <c r="Q229" s="16"/>
    </row>
    <row r="230" spans="1:17" x14ac:dyDescent="0.2">
      <c r="A230" s="16"/>
      <c r="B230" s="16"/>
      <c r="C230" s="16"/>
      <c r="D230" s="16"/>
      <c r="E230" s="16"/>
      <c r="F230" s="16"/>
      <c r="G230" s="16"/>
      <c r="H230" s="16"/>
      <c r="I230" s="16"/>
      <c r="J230" s="16"/>
      <c r="K230" s="16"/>
      <c r="L230" s="16"/>
      <c r="M230" s="16"/>
      <c r="N230" s="16"/>
      <c r="O230" s="16"/>
      <c r="P230" s="16"/>
      <c r="Q230" s="16"/>
    </row>
    <row r="231" spans="1:17" x14ac:dyDescent="0.2">
      <c r="A231" s="16"/>
      <c r="B231" s="649" t="s">
        <v>466</v>
      </c>
      <c r="C231" s="650"/>
      <c r="D231" s="650"/>
      <c r="E231" s="650"/>
      <c r="F231" s="650"/>
      <c r="G231" s="650"/>
      <c r="H231" s="650"/>
      <c r="I231" s="650"/>
      <c r="J231" s="650"/>
      <c r="K231" s="650"/>
      <c r="L231" s="650"/>
      <c r="M231" s="650"/>
      <c r="N231" s="650"/>
      <c r="O231" s="651"/>
      <c r="P231" s="16"/>
      <c r="Q231" s="16"/>
    </row>
    <row r="232" spans="1:17" x14ac:dyDescent="0.2">
      <c r="A232" s="16"/>
      <c r="B232" s="652"/>
      <c r="C232" s="653"/>
      <c r="D232" s="653"/>
      <c r="E232" s="653"/>
      <c r="F232" s="653"/>
      <c r="G232" s="653"/>
      <c r="H232" s="653"/>
      <c r="I232" s="653"/>
      <c r="J232" s="653"/>
      <c r="K232" s="653"/>
      <c r="L232" s="653"/>
      <c r="M232" s="653"/>
      <c r="N232" s="653"/>
      <c r="O232" s="654"/>
      <c r="P232" s="16"/>
      <c r="Q232" s="16"/>
    </row>
    <row r="233" spans="1:17" x14ac:dyDescent="0.2">
      <c r="A233" s="16"/>
      <c r="B233" s="652"/>
      <c r="C233" s="653"/>
      <c r="D233" s="653"/>
      <c r="E233" s="653"/>
      <c r="F233" s="653"/>
      <c r="G233" s="653"/>
      <c r="H233" s="653"/>
      <c r="I233" s="653"/>
      <c r="J233" s="653"/>
      <c r="K233" s="653"/>
      <c r="L233" s="653"/>
      <c r="M233" s="653"/>
      <c r="N233" s="653"/>
      <c r="O233" s="654"/>
      <c r="P233" s="16"/>
      <c r="Q233" s="16"/>
    </row>
    <row r="234" spans="1:17" x14ac:dyDescent="0.2">
      <c r="A234" s="16"/>
      <c r="B234" s="655"/>
      <c r="C234" s="656"/>
      <c r="D234" s="656"/>
      <c r="E234" s="656"/>
      <c r="F234" s="656"/>
      <c r="G234" s="656"/>
      <c r="H234" s="656"/>
      <c r="I234" s="656"/>
      <c r="J234" s="656"/>
      <c r="K234" s="656"/>
      <c r="L234" s="656"/>
      <c r="M234" s="656"/>
      <c r="N234" s="656"/>
      <c r="O234" s="657"/>
      <c r="P234" s="16"/>
      <c r="Q234" s="16"/>
    </row>
    <row r="235" spans="1:17" ht="13.5" thickBot="1" x14ac:dyDescent="0.25">
      <c r="A235" s="16"/>
      <c r="B235" s="16"/>
      <c r="C235" s="16"/>
      <c r="D235" s="16"/>
      <c r="E235" s="16"/>
      <c r="F235" s="16"/>
      <c r="G235" s="16"/>
      <c r="H235" s="16"/>
      <c r="I235" s="16"/>
      <c r="J235" s="16"/>
      <c r="K235" s="16"/>
      <c r="L235" s="16"/>
      <c r="M235" s="16"/>
      <c r="N235" s="16"/>
      <c r="O235" s="16"/>
      <c r="P235" s="16"/>
      <c r="Q235" s="16"/>
    </row>
    <row r="236" spans="1:17" ht="13.5" thickBot="1" x14ac:dyDescent="0.25">
      <c r="A236" s="16"/>
      <c r="B236" s="16"/>
      <c r="C236" s="456" t="s">
        <v>415</v>
      </c>
      <c r="D236" s="445">
        <f>D205</f>
        <v>15.162053885170128</v>
      </c>
      <c r="E236" s="16"/>
      <c r="F236" s="16"/>
      <c r="G236" s="16"/>
      <c r="H236" s="16"/>
      <c r="I236" s="16"/>
      <c r="J236" s="16"/>
      <c r="K236" s="16"/>
      <c r="L236" s="16"/>
      <c r="M236" s="16"/>
      <c r="N236" s="16"/>
      <c r="O236" s="16"/>
      <c r="P236" s="16"/>
      <c r="Q236" s="16"/>
    </row>
    <row r="237" spans="1:17" ht="13.5" thickBot="1" x14ac:dyDescent="0.25">
      <c r="A237" s="16"/>
      <c r="B237" s="43" t="s">
        <v>271</v>
      </c>
      <c r="C237" s="72" t="s">
        <v>238</v>
      </c>
      <c r="D237" s="445">
        <f>D192-D206</f>
        <v>1.3384206622416421</v>
      </c>
      <c r="E237" s="16"/>
      <c r="F237" s="16"/>
      <c r="G237" s="16"/>
      <c r="H237" s="16"/>
      <c r="I237" s="16"/>
      <c r="J237" s="16"/>
      <c r="K237" s="16"/>
      <c r="L237" s="16"/>
      <c r="M237" s="16"/>
      <c r="N237" s="16"/>
      <c r="O237" s="16"/>
      <c r="P237" s="16"/>
      <c r="Q237" s="16"/>
    </row>
    <row r="238" spans="1:17" ht="13.5" thickBot="1" x14ac:dyDescent="0.25">
      <c r="A238" s="16"/>
      <c r="B238" s="43"/>
      <c r="C238" s="72" t="s">
        <v>258</v>
      </c>
      <c r="D238" s="465">
        <f>D207-D193</f>
        <v>2.5457022729932222E-2</v>
      </c>
      <c r="E238" s="16"/>
      <c r="F238" s="16"/>
      <c r="G238" s="16"/>
      <c r="H238" s="16"/>
      <c r="I238" s="16"/>
      <c r="J238" s="16"/>
      <c r="K238" s="16"/>
      <c r="L238" s="16"/>
      <c r="M238" s="16"/>
      <c r="N238" s="16"/>
      <c r="O238" s="16"/>
      <c r="P238" s="16"/>
      <c r="Q238" s="16"/>
    </row>
    <row r="239" spans="1:17" x14ac:dyDescent="0.2">
      <c r="A239" s="16"/>
      <c r="B239" s="16"/>
      <c r="C239" s="16"/>
      <c r="D239" s="16"/>
      <c r="E239" s="16"/>
      <c r="F239" s="16"/>
      <c r="G239" s="16"/>
      <c r="H239" s="16"/>
      <c r="I239" s="16"/>
      <c r="J239" s="16"/>
      <c r="K239" s="16"/>
      <c r="L239" s="16"/>
      <c r="M239" s="16"/>
      <c r="N239" s="16"/>
      <c r="O239" s="16"/>
      <c r="P239" s="16"/>
      <c r="Q239" s="16"/>
    </row>
    <row r="240" spans="1:17" ht="14.25" x14ac:dyDescent="0.2">
      <c r="A240" s="16"/>
      <c r="B240" s="83" t="s">
        <v>54</v>
      </c>
      <c r="C240" s="864" t="s">
        <v>168</v>
      </c>
      <c r="D240" s="865"/>
      <c r="E240" s="866"/>
      <c r="F240" s="83" t="s">
        <v>169</v>
      </c>
      <c r="G240" s="83" t="s">
        <v>65</v>
      </c>
      <c r="H240" s="83" t="s">
        <v>170</v>
      </c>
      <c r="I240" s="83" t="s">
        <v>171</v>
      </c>
      <c r="J240" s="83" t="s">
        <v>172</v>
      </c>
      <c r="K240" s="83" t="s">
        <v>173</v>
      </c>
      <c r="L240" s="83" t="s">
        <v>65</v>
      </c>
      <c r="M240" s="83" t="s">
        <v>174</v>
      </c>
      <c r="N240" s="83" t="s">
        <v>175</v>
      </c>
      <c r="O240" s="83" t="s">
        <v>176</v>
      </c>
      <c r="P240" s="51"/>
      <c r="Q240" s="16"/>
    </row>
    <row r="241" spans="1:17" x14ac:dyDescent="0.2">
      <c r="A241" s="16"/>
      <c r="B241" s="867" t="s">
        <v>22</v>
      </c>
      <c r="C241" s="861" t="s">
        <v>411</v>
      </c>
      <c r="D241" s="862"/>
      <c r="E241" s="863"/>
      <c r="F241" s="577" t="str">
        <f>'i.m. instrumentos'!$AC$20</f>
        <v>0,14</v>
      </c>
      <c r="G241" s="90" t="s">
        <v>71</v>
      </c>
      <c r="H241" s="575" t="s">
        <v>541</v>
      </c>
      <c r="I241" s="574">
        <f>'i.m. instrumentos'!$Z$18</f>
        <v>2.0000274442871735</v>
      </c>
      <c r="J241" s="93">
        <f>F241/I241</f>
        <v>6.9999039463129561E-2</v>
      </c>
      <c r="K241" s="451">
        <f>D238*(0.24+D237/1000*0.45)</f>
        <v>6.1250179475331361E-3</v>
      </c>
      <c r="L241" s="90"/>
      <c r="M241" s="93">
        <f>J241*K241</f>
        <v>4.2874537302174881E-4</v>
      </c>
      <c r="N241" s="91" t="s">
        <v>181</v>
      </c>
      <c r="O241" s="91">
        <f>M241^4/(IF(N241="∞",100000,N241))</f>
        <v>3.379074639119546E-19</v>
      </c>
      <c r="P241" s="492"/>
      <c r="Q241" s="16"/>
    </row>
    <row r="242" spans="1:17" x14ac:dyDescent="0.2">
      <c r="A242" s="16"/>
      <c r="B242" s="874"/>
      <c r="C242" s="861" t="s">
        <v>245</v>
      </c>
      <c r="D242" s="862"/>
      <c r="E242" s="863"/>
      <c r="F242" s="577">
        <f>$M$89</f>
        <v>0.24209169181217594</v>
      </c>
      <c r="G242" s="90" t="s">
        <v>237</v>
      </c>
      <c r="H242" s="575" t="s">
        <v>541</v>
      </c>
      <c r="I242" s="574">
        <f>$J$87</f>
        <v>2.0000274442871735</v>
      </c>
      <c r="J242" s="93">
        <f>F242/I242</f>
        <v>0.12104418492040214</v>
      </c>
      <c r="K242" s="451">
        <f>D238*(597+0.45*D236)*1/1000</f>
        <v>1.537153390744379E-2</v>
      </c>
      <c r="L242" s="90"/>
      <c r="M242" s="93">
        <f>J242*K242</f>
        <v>1.8606347928028578E-3</v>
      </c>
      <c r="N242" s="91" t="s">
        <v>181</v>
      </c>
      <c r="O242" s="91">
        <f>M242^4/(IF(N242="∞",100000,N242))</f>
        <v>1.1985179727530188E-16</v>
      </c>
      <c r="P242" s="492"/>
      <c r="Q242" s="16"/>
    </row>
    <row r="243" spans="1:17" x14ac:dyDescent="0.2">
      <c r="A243" s="16"/>
      <c r="B243" s="875"/>
      <c r="C243" s="861" t="s">
        <v>259</v>
      </c>
      <c r="D243" s="862"/>
      <c r="E243" s="863"/>
      <c r="F243" s="577">
        <f>$M$142</f>
        <v>1.5774387997461658E-3</v>
      </c>
      <c r="G243" s="90" t="s">
        <v>226</v>
      </c>
      <c r="H243" s="575" t="s">
        <v>541</v>
      </c>
      <c r="I243" s="574">
        <f>$J$140</f>
        <v>2.0000274442871735</v>
      </c>
      <c r="J243" s="93">
        <f>F243/I243</f>
        <v>7.8870857710073986E-4</v>
      </c>
      <c r="K243" s="451">
        <f>0.24*D236+(597+0.45*D236)*D237/1000</f>
        <v>4.4470620105899608</v>
      </c>
      <c r="L243" s="90"/>
      <c r="M243" s="93">
        <f>J243*K243</f>
        <v>3.5074359506511634E-3</v>
      </c>
      <c r="N243" s="91" t="s">
        <v>181</v>
      </c>
      <c r="O243" s="91">
        <f>M243^4/(IF(N243="∞",100000,N243))</f>
        <v>1.5134183535806723E-15</v>
      </c>
      <c r="P243" s="492"/>
      <c r="Q243" s="16"/>
    </row>
    <row r="244" spans="1:17" ht="15.75" thickBot="1" x14ac:dyDescent="0.3">
      <c r="A244" s="16"/>
      <c r="B244" s="44"/>
      <c r="C244" s="44"/>
      <c r="D244" s="44"/>
      <c r="E244" s="44"/>
      <c r="F244" s="44"/>
      <c r="G244" s="44"/>
      <c r="H244" s="44"/>
      <c r="I244" s="44"/>
      <c r="J244" s="44"/>
      <c r="K244" s="44"/>
      <c r="L244" s="44"/>
      <c r="M244" s="44"/>
      <c r="N244" s="44"/>
      <c r="O244" s="44"/>
      <c r="P244" s="44"/>
      <c r="Q244" s="16"/>
    </row>
    <row r="245" spans="1:17" ht="16.5" thickTop="1" thickBot="1" x14ac:dyDescent="0.3">
      <c r="A245" s="16"/>
      <c r="B245" s="44"/>
      <c r="C245" s="44"/>
      <c r="D245" s="44"/>
      <c r="E245" s="44"/>
      <c r="F245" s="44"/>
      <c r="G245" s="107" t="s">
        <v>183</v>
      </c>
      <c r="H245" s="108">
        <v>0.95450000000000002</v>
      </c>
      <c r="I245" s="107" t="s">
        <v>184</v>
      </c>
      <c r="J245" s="109">
        <f>TINV(1-H245,IF(N245="∞",100000,N245))</f>
        <v>2.0000274442871735</v>
      </c>
      <c r="K245" s="107"/>
      <c r="L245" s="107" t="s">
        <v>185</v>
      </c>
      <c r="M245" s="110">
        <f>SQRT(SUMSQ(M241:M243))</f>
        <v>3.9934811098834965E-3</v>
      </c>
      <c r="N245" s="109" t="str">
        <f>IF((M245^4/O245)&gt;100000,"∞",(M245^4/O245))</f>
        <v>∞</v>
      </c>
      <c r="O245" s="107">
        <f>SUM(O241:O243)</f>
        <v>1.6336080583198861E-15</v>
      </c>
      <c r="P245" s="491"/>
      <c r="Q245" s="16"/>
    </row>
    <row r="246" spans="1:17" ht="16.5" thickTop="1" thickBot="1" x14ac:dyDescent="0.3">
      <c r="A246" s="16"/>
      <c r="B246" s="44"/>
      <c r="C246" s="44"/>
      <c r="D246" s="44"/>
      <c r="E246" s="44"/>
      <c r="F246" s="44"/>
      <c r="G246" s="44"/>
      <c r="H246" s="44"/>
      <c r="I246" s="44"/>
      <c r="J246" s="44"/>
      <c r="K246" s="45"/>
      <c r="L246" s="46"/>
      <c r="M246" s="46"/>
      <c r="N246" s="46"/>
      <c r="O246" s="44"/>
      <c r="P246" s="44"/>
      <c r="Q246" s="16"/>
    </row>
    <row r="247" spans="1:17" ht="16.5" thickTop="1" thickBot="1" x14ac:dyDescent="0.3">
      <c r="A247" s="16"/>
      <c r="B247" s="44"/>
      <c r="C247" s="44"/>
      <c r="D247" s="44"/>
      <c r="E247" s="44"/>
      <c r="F247" s="44"/>
      <c r="G247" s="44"/>
      <c r="H247" s="44"/>
      <c r="I247" s="44"/>
      <c r="J247" s="44"/>
      <c r="K247" s="47"/>
      <c r="L247" s="48" t="s">
        <v>186</v>
      </c>
      <c r="M247" s="455">
        <f>(J245*M245)</f>
        <v>7.9870718180093947E-3</v>
      </c>
      <c r="N247" s="50" t="s">
        <v>256</v>
      </c>
      <c r="O247" s="44"/>
      <c r="P247" s="44"/>
      <c r="Q247" s="16"/>
    </row>
    <row r="248" spans="1:17" ht="15.75" thickTop="1" x14ac:dyDescent="0.25">
      <c r="A248" s="16"/>
      <c r="B248" s="44"/>
      <c r="C248" s="44"/>
      <c r="D248" s="44"/>
      <c r="E248" s="44"/>
      <c r="F248" s="44"/>
      <c r="G248" s="44"/>
      <c r="H248" s="44"/>
      <c r="I248" s="44"/>
      <c r="J248" s="44"/>
      <c r="K248" s="44"/>
      <c r="L248" s="466"/>
      <c r="M248" s="467"/>
      <c r="N248" s="468"/>
      <c r="O248" s="44"/>
      <c r="P248" s="44"/>
      <c r="Q248" s="16"/>
    </row>
    <row r="249" spans="1:17" ht="15" x14ac:dyDescent="0.25">
      <c r="A249" s="16"/>
      <c r="B249" s="44"/>
      <c r="C249" s="44"/>
      <c r="D249" s="44"/>
      <c r="E249" s="44"/>
      <c r="F249" s="44"/>
      <c r="G249" s="44"/>
      <c r="H249" s="44"/>
      <c r="I249" s="44"/>
      <c r="J249" s="44"/>
      <c r="K249" s="44"/>
      <c r="L249" s="466"/>
      <c r="M249" s="467"/>
      <c r="N249" s="468"/>
      <c r="O249" s="44"/>
      <c r="P249" s="44"/>
      <c r="Q249" s="16"/>
    </row>
    <row r="250" spans="1:17" x14ac:dyDescent="0.2">
      <c r="A250" s="16"/>
      <c r="B250" s="43" t="s">
        <v>40</v>
      </c>
      <c r="C250" s="16"/>
      <c r="D250" s="444" t="s">
        <v>415</v>
      </c>
      <c r="E250" s="16">
        <f>'Condicionador de ar'!F16-'Condicionador de ar'!F15</f>
        <v>11.792251567993443</v>
      </c>
      <c r="F250" s="16"/>
      <c r="G250" s="16"/>
      <c r="H250" s="16"/>
      <c r="I250" s="16"/>
      <c r="J250" s="16"/>
      <c r="K250" s="16"/>
      <c r="L250" s="16"/>
      <c r="M250" s="16"/>
      <c r="N250" s="16"/>
      <c r="O250" s="16"/>
      <c r="P250" s="16"/>
      <c r="Q250" s="16"/>
    </row>
    <row r="251" spans="1:17" x14ac:dyDescent="0.2">
      <c r="A251" s="16"/>
      <c r="B251" s="16"/>
      <c r="C251" s="16"/>
      <c r="D251" s="16" t="s">
        <v>11</v>
      </c>
      <c r="E251" s="469">
        <f>'Condicionador de ar'!Y14-'Condicionador de ar'!Y16</f>
        <v>1.2637847450012174E-2</v>
      </c>
      <c r="F251" s="16"/>
      <c r="G251" s="16"/>
      <c r="H251" s="16"/>
      <c r="I251" s="16"/>
      <c r="J251" s="16"/>
      <c r="K251" s="16"/>
      <c r="L251" s="16"/>
      <c r="M251" s="16"/>
      <c r="N251" s="16"/>
      <c r="O251" s="16"/>
      <c r="P251" s="16"/>
      <c r="Q251" s="16"/>
    </row>
    <row r="252" spans="1:17" x14ac:dyDescent="0.2">
      <c r="A252" s="16"/>
      <c r="B252"/>
      <c r="C252" s="16"/>
      <c r="D252" s="16" t="s">
        <v>240</v>
      </c>
      <c r="E252" s="470">
        <f>'Condicionador de ar'!S14</f>
        <v>0.84910847591517846</v>
      </c>
      <c r="F252" s="16"/>
      <c r="G252" s="16"/>
      <c r="H252" s="16"/>
      <c r="I252" s="16"/>
      <c r="J252" s="16"/>
      <c r="K252" s="16"/>
      <c r="L252" s="16"/>
      <c r="M252" s="16"/>
      <c r="N252" s="16"/>
      <c r="O252" s="16"/>
      <c r="P252" s="16"/>
      <c r="Q252" s="16"/>
    </row>
    <row r="253" spans="1:17" x14ac:dyDescent="0.2">
      <c r="A253" s="16"/>
      <c r="B253" s="43"/>
      <c r="C253" s="16"/>
      <c r="D253" s="16" t="s">
        <v>23</v>
      </c>
      <c r="E253" s="471">
        <f>'Condicionador de ar'!O21</f>
        <v>458.5478629117722</v>
      </c>
      <c r="F253" s="16"/>
      <c r="G253" s="16"/>
      <c r="H253" s="16"/>
      <c r="I253" s="16"/>
      <c r="J253" s="16"/>
      <c r="K253" s="16"/>
      <c r="L253" s="16"/>
      <c r="M253" s="16"/>
      <c r="N253" s="16"/>
      <c r="O253" s="16"/>
      <c r="P253" s="16"/>
      <c r="Q253" s="16"/>
    </row>
    <row r="254" spans="1:17" x14ac:dyDescent="0.2">
      <c r="A254" s="16"/>
      <c r="B254" s="16"/>
      <c r="C254" s="16"/>
      <c r="D254" s="16"/>
      <c r="E254" s="16"/>
      <c r="F254" s="16"/>
      <c r="G254" s="16"/>
      <c r="H254" s="16"/>
      <c r="I254" s="16"/>
      <c r="J254" s="16"/>
      <c r="K254" s="16"/>
      <c r="L254" s="16"/>
      <c r="M254" s="16"/>
      <c r="N254" s="16"/>
      <c r="O254" s="16"/>
      <c r="P254" s="16"/>
      <c r="Q254" s="16"/>
    </row>
    <row r="255" spans="1:17" ht="14.25" x14ac:dyDescent="0.2">
      <c r="A255" s="16"/>
      <c r="B255" s="83" t="s">
        <v>54</v>
      </c>
      <c r="C255" s="864" t="s">
        <v>168</v>
      </c>
      <c r="D255" s="865"/>
      <c r="E255" s="866"/>
      <c r="F255" s="83" t="s">
        <v>169</v>
      </c>
      <c r="G255" s="83" t="s">
        <v>65</v>
      </c>
      <c r="H255" s="83" t="s">
        <v>170</v>
      </c>
      <c r="I255" s="83" t="s">
        <v>171</v>
      </c>
      <c r="J255" s="83" t="s">
        <v>172</v>
      </c>
      <c r="K255" s="83" t="s">
        <v>173</v>
      </c>
      <c r="L255" s="83" t="s">
        <v>65</v>
      </c>
      <c r="M255" s="83" t="s">
        <v>174</v>
      </c>
      <c r="N255" s="83" t="s">
        <v>175</v>
      </c>
      <c r="O255" s="83" t="s">
        <v>176</v>
      </c>
      <c r="P255" s="51"/>
      <c r="Q255" s="16"/>
    </row>
    <row r="256" spans="1:17" x14ac:dyDescent="0.2">
      <c r="A256" s="16"/>
      <c r="B256" s="867" t="s">
        <v>22</v>
      </c>
      <c r="C256" s="861" t="s">
        <v>423</v>
      </c>
      <c r="D256" s="862"/>
      <c r="E256" s="863"/>
      <c r="F256" s="577" t="str">
        <f>'i.m. instrumentos'!$M$33</f>
        <v>0,14</v>
      </c>
      <c r="G256" s="90" t="s">
        <v>71</v>
      </c>
      <c r="H256" s="575" t="s">
        <v>541</v>
      </c>
      <c r="I256" s="574">
        <f>'i.m. instrumentos'!$J$31</f>
        <v>2.0000274442871735</v>
      </c>
      <c r="J256" s="93">
        <f>F256/I256</f>
        <v>6.9999039463129561E-2</v>
      </c>
      <c r="K256" s="125">
        <f>E253/3600/E252*(-E251)/(E250^2)</f>
        <v>-1.36332260113414E-5</v>
      </c>
      <c r="L256" s="90"/>
      <c r="M256" s="93">
        <f>J256*K256</f>
        <v>-9.5431272557765107E-7</v>
      </c>
      <c r="N256" s="91" t="s">
        <v>181</v>
      </c>
      <c r="O256" s="91">
        <f>M256^4/(IF(N256="∞",100000,N256))</f>
        <v>8.2939776437575199E-30</v>
      </c>
      <c r="P256" s="492"/>
      <c r="Q256" s="16"/>
    </row>
    <row r="257" spans="1:17" x14ac:dyDescent="0.2">
      <c r="A257" s="16"/>
      <c r="B257" s="868"/>
      <c r="C257" s="421" t="s">
        <v>11</v>
      </c>
      <c r="D257" s="422"/>
      <c r="E257" s="423"/>
      <c r="F257" s="577">
        <f>$M$202</f>
        <v>0.17943466614157666</v>
      </c>
      <c r="G257" s="90" t="s">
        <v>256</v>
      </c>
      <c r="H257" s="575" t="s">
        <v>541</v>
      </c>
      <c r="I257" s="574">
        <f>$J$200</f>
        <v>2.0000274442871735</v>
      </c>
      <c r="J257" s="93">
        <f>F257/I257</f>
        <v>8.9716101973555007E-2</v>
      </c>
      <c r="K257" s="451">
        <f>E253/3600/E252*1/E250</f>
        <v>1.2721029545968663E-2</v>
      </c>
      <c r="L257" s="90"/>
      <c r="M257" s="93">
        <f>J257*K257</f>
        <v>1.1412811839547306E-3</v>
      </c>
      <c r="N257" s="91" t="s">
        <v>181</v>
      </c>
      <c r="O257" s="91">
        <f>M257^4/(IF(N257="∞",100000,N257))</f>
        <v>1.6965654904290823E-17</v>
      </c>
      <c r="P257" s="492"/>
      <c r="Q257" s="16"/>
    </row>
    <row r="258" spans="1:17" x14ac:dyDescent="0.2">
      <c r="A258" s="16"/>
      <c r="B258" s="868"/>
      <c r="C258" s="421" t="s">
        <v>240</v>
      </c>
      <c r="D258" s="422"/>
      <c r="E258" s="423"/>
      <c r="F258" s="577">
        <f>$M$118</f>
        <v>1.1373100346290105E-3</v>
      </c>
      <c r="G258" s="90" t="s">
        <v>237</v>
      </c>
      <c r="H258" s="575" t="s">
        <v>541</v>
      </c>
      <c r="I258" s="574">
        <f>$J$116</f>
        <v>2.0000274442871735</v>
      </c>
      <c r="J258" s="93">
        <f>F258/I258</f>
        <v>5.6864721425578101E-4</v>
      </c>
      <c r="K258" s="451">
        <f>E251/E250*(-E253/3600)/(E252^2)</f>
        <v>-1.8933556238002897E-4</v>
      </c>
      <c r="L258" s="90"/>
      <c r="M258" s="93">
        <f>J258*K258</f>
        <v>-1.0766514010695512E-7</v>
      </c>
      <c r="N258" s="91" t="s">
        <v>181</v>
      </c>
      <c r="O258" s="91">
        <f>M258^4/(IF(N258="∞",100000,N258))</f>
        <v>1.3436941907565068E-33</v>
      </c>
      <c r="P258" s="492"/>
      <c r="Q258" s="16"/>
    </row>
    <row r="259" spans="1:17" x14ac:dyDescent="0.2">
      <c r="A259" s="16"/>
      <c r="B259" s="869"/>
      <c r="C259" s="861" t="s">
        <v>23</v>
      </c>
      <c r="D259" s="862"/>
      <c r="E259" s="863"/>
      <c r="F259" s="577" t="str">
        <f>$M$228</f>
        <v>0,024</v>
      </c>
      <c r="G259" s="90" t="s">
        <v>261</v>
      </c>
      <c r="H259" s="575" t="s">
        <v>541</v>
      </c>
      <c r="I259" s="574">
        <f>$J$226</f>
        <v>2.0000274442871735</v>
      </c>
      <c r="J259" s="93">
        <f>F259/I259</f>
        <v>1.1999835336536495E-2</v>
      </c>
      <c r="K259" s="472">
        <f>E251/E250*1/3600/E252</f>
        <v>3.5059901879857235E-7</v>
      </c>
      <c r="L259" s="90"/>
      <c r="M259" s="93">
        <f>J259*K259</f>
        <v>4.2071304947341313E-9</v>
      </c>
      <c r="N259" s="91" t="s">
        <v>181</v>
      </c>
      <c r="O259" s="91">
        <f>M259^4/(IF(N259="∞",100000,N259))</f>
        <v>3.1328812379296269E-39</v>
      </c>
      <c r="P259" s="492"/>
      <c r="Q259" s="16"/>
    </row>
    <row r="260" spans="1:17" ht="15.75" thickBot="1" x14ac:dyDescent="0.3">
      <c r="A260" s="16"/>
      <c r="B260" s="44"/>
      <c r="C260" s="44"/>
      <c r="D260" s="44"/>
      <c r="E260" s="44"/>
      <c r="F260" s="44"/>
      <c r="G260" s="44"/>
      <c r="H260" s="44"/>
      <c r="I260" s="44"/>
      <c r="J260" s="44"/>
      <c r="K260" s="44"/>
      <c r="L260" s="44"/>
      <c r="M260" s="44"/>
      <c r="N260" s="44"/>
      <c r="O260" s="44"/>
      <c r="P260" s="44"/>
      <c r="Q260" s="16"/>
    </row>
    <row r="261" spans="1:17" ht="16.5" thickTop="1" thickBot="1" x14ac:dyDescent="0.3">
      <c r="A261" s="16"/>
      <c r="B261" s="44"/>
      <c r="C261" s="44"/>
      <c r="D261" s="44"/>
      <c r="E261" s="44"/>
      <c r="F261" s="44"/>
      <c r="G261" s="107" t="s">
        <v>183</v>
      </c>
      <c r="H261" s="108">
        <v>0.95450000000000002</v>
      </c>
      <c r="I261" s="107" t="s">
        <v>184</v>
      </c>
      <c r="J261" s="109">
        <f>TINV(1-H261,IF(N261="∞",100000,N261))</f>
        <v>2.0000274442871735</v>
      </c>
      <c r="K261" s="107"/>
      <c r="L261" s="107" t="s">
        <v>185</v>
      </c>
      <c r="M261" s="110">
        <f>SQRT(SUMSQ(M256:M259))</f>
        <v>1.1412815880278504E-3</v>
      </c>
      <c r="N261" s="109" t="str">
        <f>IF((M261^4/O261)&gt;100000,"∞",(M261^4/O261))</f>
        <v>∞</v>
      </c>
      <c r="O261" s="107">
        <f>SUM(O256:O259)</f>
        <v>1.6965654904299118E-17</v>
      </c>
      <c r="P261" s="491"/>
      <c r="Q261" s="16"/>
    </row>
    <row r="262" spans="1:17" ht="16.5" thickTop="1" thickBot="1" x14ac:dyDescent="0.3">
      <c r="A262" s="16"/>
      <c r="B262" s="44"/>
      <c r="C262" s="44"/>
      <c r="D262" s="44"/>
      <c r="E262" s="44"/>
      <c r="F262" s="44"/>
      <c r="G262" s="44"/>
      <c r="H262" s="44"/>
      <c r="I262" s="44"/>
      <c r="J262" s="44"/>
      <c r="K262" s="45"/>
      <c r="L262" s="46"/>
      <c r="M262" s="46"/>
      <c r="N262" s="46"/>
      <c r="O262" s="44"/>
      <c r="P262" s="44"/>
      <c r="Q262" s="16"/>
    </row>
    <row r="263" spans="1:17" ht="16.5" thickTop="1" thickBot="1" x14ac:dyDescent="0.3">
      <c r="A263" s="16"/>
      <c r="B263" s="44"/>
      <c r="C263" s="44"/>
      <c r="D263" s="44"/>
      <c r="E263" s="44"/>
      <c r="F263" s="44"/>
      <c r="G263" s="44"/>
      <c r="H263" s="44"/>
      <c r="I263" s="44"/>
      <c r="J263" s="44"/>
      <c r="K263" s="47"/>
      <c r="L263" s="48" t="s">
        <v>186</v>
      </c>
      <c r="M263" s="455">
        <f>(J261*M261)</f>
        <v>2.2825944977153487E-3</v>
      </c>
      <c r="N263" s="50" t="s">
        <v>275</v>
      </c>
      <c r="O263" s="44"/>
      <c r="P263" s="44"/>
      <c r="Q263" s="16"/>
    </row>
    <row r="264" spans="1:17" ht="13.5" thickTop="1" x14ac:dyDescent="0.2">
      <c r="A264" s="16"/>
      <c r="B264" s="16"/>
      <c r="C264" s="16"/>
      <c r="D264" s="16"/>
      <c r="E264" s="16"/>
      <c r="F264" s="16"/>
      <c r="G264" s="16"/>
      <c r="H264" s="16"/>
      <c r="I264" s="16"/>
      <c r="J264" s="16"/>
      <c r="K264" s="16"/>
      <c r="L264" s="16"/>
      <c r="M264" s="16"/>
      <c r="N264" s="16"/>
      <c r="O264" s="16"/>
      <c r="P264" s="16"/>
      <c r="Q264" s="16"/>
    </row>
    <row r="265" spans="1:17" x14ac:dyDescent="0.2">
      <c r="A265" s="16"/>
      <c r="B265" s="16"/>
      <c r="C265" s="16"/>
      <c r="D265" s="16"/>
      <c r="E265" s="16"/>
      <c r="F265" s="16"/>
      <c r="G265" s="16"/>
      <c r="H265" s="16"/>
      <c r="I265" s="16"/>
      <c r="J265" s="16"/>
      <c r="K265" s="16"/>
      <c r="L265" s="16"/>
      <c r="M265" s="16"/>
      <c r="N265" s="16"/>
      <c r="O265" s="16"/>
      <c r="P265" s="16"/>
      <c r="Q265" s="16"/>
    </row>
    <row r="266" spans="1:17" x14ac:dyDescent="0.2">
      <c r="A266" s="16"/>
      <c r="B266" s="16"/>
      <c r="C266" s="16"/>
      <c r="D266" s="16"/>
      <c r="E266" s="16"/>
      <c r="F266" s="16"/>
      <c r="G266" s="16"/>
      <c r="H266" s="16"/>
      <c r="I266" s="16"/>
      <c r="J266" s="16"/>
      <c r="K266" s="16"/>
      <c r="L266" s="16"/>
      <c r="M266" s="16"/>
      <c r="N266" s="16"/>
      <c r="O266" s="16"/>
      <c r="P266" s="16"/>
      <c r="Q266" s="16"/>
    </row>
    <row r="267" spans="1:17" x14ac:dyDescent="0.2">
      <c r="A267" s="16"/>
      <c r="B267" s="16"/>
      <c r="C267" s="16"/>
      <c r="D267" s="16"/>
      <c r="E267" s="16"/>
      <c r="F267" s="16"/>
      <c r="G267" s="16"/>
      <c r="H267" s="16"/>
      <c r="M267" s="16"/>
      <c r="N267" s="16"/>
      <c r="O267" s="16"/>
      <c r="P267" s="16"/>
      <c r="Q267" s="16"/>
    </row>
    <row r="268" spans="1:17" ht="13.5" thickBot="1" x14ac:dyDescent="0.25">
      <c r="A268" s="16"/>
      <c r="B268" s="43" t="s">
        <v>272</v>
      </c>
      <c r="C268" s="16"/>
      <c r="D268" s="16"/>
      <c r="E268" s="16"/>
      <c r="F268" s="16"/>
      <c r="G268" s="16"/>
      <c r="H268" s="16"/>
      <c r="M268" s="16"/>
      <c r="N268" s="16"/>
      <c r="O268" s="16"/>
      <c r="P268" s="16"/>
      <c r="Q268" s="16"/>
    </row>
    <row r="269" spans="1:17" ht="13.5" thickBot="1" x14ac:dyDescent="0.25">
      <c r="A269" s="16"/>
      <c r="B269" s="43"/>
      <c r="C269" s="16" t="s">
        <v>27</v>
      </c>
      <c r="D269" s="473">
        <f>'Condicionador de ar'!S21</f>
        <v>4.1179552861429283</v>
      </c>
      <c r="E269" s="16"/>
      <c r="F269" s="16"/>
      <c r="G269" s="16"/>
      <c r="H269" s="16"/>
      <c r="M269" s="16"/>
      <c r="N269" s="16"/>
      <c r="O269" s="16"/>
      <c r="P269" s="16"/>
      <c r="Q269" s="16"/>
    </row>
    <row r="270" spans="1:17" ht="13.5" thickBot="1" x14ac:dyDescent="0.25">
      <c r="A270" s="16"/>
      <c r="B270" s="43"/>
      <c r="C270" s="16" t="s">
        <v>23</v>
      </c>
      <c r="D270" s="474">
        <f>'Condicionador de ar'!O21</f>
        <v>458.5478629117722</v>
      </c>
      <c r="E270" s="16"/>
      <c r="F270" s="16"/>
      <c r="G270" s="16"/>
      <c r="H270" s="16"/>
      <c r="M270" s="16"/>
      <c r="N270" s="16"/>
      <c r="O270" s="16"/>
      <c r="P270" s="16"/>
      <c r="Q270" s="16"/>
    </row>
    <row r="271" spans="1:17" ht="13.5" thickBot="1" x14ac:dyDescent="0.25">
      <c r="A271" s="16"/>
      <c r="B271" s="43"/>
      <c r="C271" s="16" t="s">
        <v>40</v>
      </c>
      <c r="D271" s="475">
        <f>'Condicionador de ar'!B21</f>
        <v>5.3516965193864494E-2</v>
      </c>
      <c r="E271" s="16"/>
      <c r="F271" s="16"/>
      <c r="G271" s="16"/>
      <c r="H271" s="16"/>
      <c r="M271" s="16"/>
      <c r="N271" s="16"/>
      <c r="O271" s="16"/>
      <c r="P271" s="16"/>
      <c r="Q271" s="16"/>
    </row>
    <row r="272" spans="1:17" ht="13.5" thickBot="1" x14ac:dyDescent="0.25">
      <c r="A272" s="16"/>
      <c r="B272" s="43"/>
      <c r="C272" s="444" t="s">
        <v>424</v>
      </c>
      <c r="D272" s="445">
        <f>'Condicionador de ar'!F16</f>
        <v>26.95430545316357</v>
      </c>
      <c r="E272" s="16"/>
      <c r="F272" s="16"/>
      <c r="G272" s="16"/>
      <c r="H272" s="16"/>
      <c r="I272" s="16"/>
      <c r="J272"/>
      <c r="K272" s="16"/>
      <c r="L272" s="16"/>
      <c r="M272" s="16"/>
      <c r="N272" s="16"/>
      <c r="O272" s="16"/>
      <c r="P272" s="16"/>
      <c r="Q272" s="16"/>
    </row>
    <row r="273" spans="1:20" ht="13.5" thickBot="1" x14ac:dyDescent="0.25">
      <c r="A273" s="16"/>
      <c r="B273" s="43"/>
      <c r="C273" s="444" t="s">
        <v>425</v>
      </c>
      <c r="D273" s="476">
        <f>'Condicionador de ar'!F15</f>
        <v>15.162053885170128</v>
      </c>
      <c r="E273" s="16"/>
      <c r="F273" s="16"/>
      <c r="G273" s="16"/>
      <c r="H273" s="16"/>
      <c r="I273" s="16"/>
      <c r="J273" s="16"/>
      <c r="K273" s="16"/>
      <c r="L273" s="16"/>
      <c r="M273" s="16"/>
      <c r="N273" s="16"/>
      <c r="O273" s="16"/>
      <c r="P273" s="16"/>
      <c r="Q273" s="16"/>
    </row>
    <row r="274" spans="1:20" x14ac:dyDescent="0.2">
      <c r="A274" s="16"/>
      <c r="B274" s="16"/>
      <c r="C274" s="16"/>
      <c r="D274" s="16"/>
      <c r="E274" s="16"/>
      <c r="F274" s="16"/>
      <c r="G274" s="16"/>
      <c r="H274" s="16"/>
      <c r="I274" s="16"/>
      <c r="J274" s="16"/>
      <c r="K274" s="16"/>
      <c r="L274" s="16"/>
      <c r="M274" s="16"/>
      <c r="N274" s="16"/>
      <c r="O274" s="16"/>
      <c r="P274" s="16"/>
      <c r="Q274" s="16"/>
    </row>
    <row r="275" spans="1:20" ht="14.25" x14ac:dyDescent="0.2">
      <c r="A275" s="16"/>
      <c r="B275" s="349" t="s">
        <v>54</v>
      </c>
      <c r="C275" s="815" t="s">
        <v>168</v>
      </c>
      <c r="D275" s="816"/>
      <c r="E275" s="817"/>
      <c r="F275" s="349" t="s">
        <v>169</v>
      </c>
      <c r="G275" s="349" t="s">
        <v>65</v>
      </c>
      <c r="H275" s="349" t="s">
        <v>170</v>
      </c>
      <c r="I275" s="349" t="s">
        <v>171</v>
      </c>
      <c r="J275" s="349" t="s">
        <v>172</v>
      </c>
      <c r="K275" s="349" t="s">
        <v>173</v>
      </c>
      <c r="L275" s="349" t="s">
        <v>65</v>
      </c>
      <c r="M275" s="349" t="s">
        <v>174</v>
      </c>
      <c r="N275" s="349" t="s">
        <v>175</v>
      </c>
      <c r="O275" s="349" t="s">
        <v>176</v>
      </c>
      <c r="P275" s="466"/>
      <c r="Q275" s="16"/>
    </row>
    <row r="276" spans="1:20" x14ac:dyDescent="0.2">
      <c r="A276" s="16"/>
      <c r="B276" s="870" t="s">
        <v>22</v>
      </c>
      <c r="C276" s="829" t="s">
        <v>279</v>
      </c>
      <c r="D276" s="830"/>
      <c r="E276" s="831"/>
      <c r="F276" s="577">
        <f>$M$247</f>
        <v>7.9870718180093947E-3</v>
      </c>
      <c r="G276" s="351" t="s">
        <v>256</v>
      </c>
      <c r="H276" s="575" t="s">
        <v>541</v>
      </c>
      <c r="I276" s="574">
        <f>J245</f>
        <v>2.0000274442871735</v>
      </c>
      <c r="J276" s="354">
        <f t="shared" ref="J276:J282" si="0">F276/I276</f>
        <v>3.9934811098834965E-3</v>
      </c>
      <c r="K276" s="581">
        <f>$D$270*4*0.2928104</f>
        <v>537.07033263336473</v>
      </c>
      <c r="L276" s="351"/>
      <c r="M276" s="354">
        <f>J276*K276</f>
        <v>2.144780228050188</v>
      </c>
      <c r="N276" s="352" t="s">
        <v>181</v>
      </c>
      <c r="O276" s="352">
        <f t="shared" ref="O276:O282" si="1">M276^4/(IF(N276="∞",100000,N276))</f>
        <v>2.1160756491803368E-4</v>
      </c>
      <c r="P276" s="490"/>
      <c r="Q276" s="16"/>
    </row>
    <row r="277" spans="1:20" x14ac:dyDescent="0.2">
      <c r="A277" s="16"/>
      <c r="B277" s="822"/>
      <c r="C277" s="871" t="s">
        <v>273</v>
      </c>
      <c r="D277" s="872"/>
      <c r="E277" s="873"/>
      <c r="F277" s="577" t="str">
        <f>$M$228</f>
        <v>0,024</v>
      </c>
      <c r="G277" s="351" t="s">
        <v>261</v>
      </c>
      <c r="H277" s="575" t="s">
        <v>541</v>
      </c>
      <c r="I277" s="574">
        <f>J226</f>
        <v>2.0000274442871735</v>
      </c>
      <c r="J277" s="354">
        <f t="shared" si="0"/>
        <v>1.1999835336536495E-2</v>
      </c>
      <c r="K277" s="581">
        <f>$D$269*4*0.2928104</f>
        <v>4.8231205380705013</v>
      </c>
      <c r="L277" s="351"/>
      <c r="M277" s="354">
        <f t="shared" ref="M277:M282" si="2">J277*K277</f>
        <v>5.7876652265113314E-2</v>
      </c>
      <c r="N277" s="352" t="s">
        <v>181</v>
      </c>
      <c r="O277" s="352">
        <f t="shared" si="1"/>
        <v>1.1220536164613718E-10</v>
      </c>
      <c r="P277" s="490"/>
      <c r="Q277" s="16"/>
    </row>
    <row r="278" spans="1:20" x14ac:dyDescent="0.2">
      <c r="A278" s="16"/>
      <c r="B278" s="822"/>
      <c r="C278" s="871" t="s">
        <v>274</v>
      </c>
      <c r="D278" s="872"/>
      <c r="E278" s="873"/>
      <c r="F278" s="577">
        <f>$M$263</f>
        <v>2.2825944977153487E-3</v>
      </c>
      <c r="G278" s="351" t="s">
        <v>276</v>
      </c>
      <c r="H278" s="575" t="s">
        <v>541</v>
      </c>
      <c r="I278" s="574">
        <f>J261</f>
        <v>2.0000274442871735</v>
      </c>
      <c r="J278" s="354">
        <f t="shared" si="0"/>
        <v>1.1412815880278504E-3</v>
      </c>
      <c r="K278" s="581">
        <f>1000*0.86*($D$272-$D$273)*4*0.2928104</f>
        <v>11877.955010925269</v>
      </c>
      <c r="L278" s="351"/>
      <c r="M278" s="354">
        <f t="shared" si="2"/>
        <v>13.556091357392154</v>
      </c>
      <c r="N278" s="352" t="s">
        <v>181</v>
      </c>
      <c r="O278" s="352">
        <f t="shared" si="1"/>
        <v>0.33770535547275016</v>
      </c>
      <c r="P278" s="490"/>
      <c r="Q278" s="16"/>
    </row>
    <row r="279" spans="1:20" x14ac:dyDescent="0.2">
      <c r="A279" s="16"/>
      <c r="B279" s="822"/>
      <c r="C279" s="871" t="s">
        <v>426</v>
      </c>
      <c r="D279" s="872"/>
      <c r="E279" s="873"/>
      <c r="F279" s="577" t="str">
        <f>'i.m. instrumentos'!$AC$51</f>
        <v>0,14</v>
      </c>
      <c r="G279" s="351" t="s">
        <v>71</v>
      </c>
      <c r="H279" s="575" t="s">
        <v>541</v>
      </c>
      <c r="I279" s="574">
        <f>'i.m. instrumentos'!$Z$49</f>
        <v>2.0000274442871735</v>
      </c>
      <c r="J279" s="354">
        <f t="shared" si="0"/>
        <v>6.9999039463129561E-2</v>
      </c>
      <c r="K279" s="581">
        <f>1000*0.86*$D$271*4*0.2928104</f>
        <v>53.9059145090933</v>
      </c>
      <c r="L279" s="351"/>
      <c r="M279" s="354">
        <f t="shared" si="2"/>
        <v>3.7733622370181101</v>
      </c>
      <c r="N279" s="352" t="s">
        <v>181</v>
      </c>
      <c r="O279" s="352">
        <f t="shared" si="1"/>
        <v>2.0272812106221982E-3</v>
      </c>
      <c r="P279" s="490"/>
      <c r="Q279" s="16"/>
    </row>
    <row r="280" spans="1:20" x14ac:dyDescent="0.2">
      <c r="A280" s="16"/>
      <c r="B280" s="822"/>
      <c r="C280" s="871" t="s">
        <v>427</v>
      </c>
      <c r="D280" s="872"/>
      <c r="E280" s="873"/>
      <c r="F280" s="577" t="str">
        <f>'i.m. instrumentos'!$AC$20</f>
        <v>0,14</v>
      </c>
      <c r="G280" s="351" t="s">
        <v>71</v>
      </c>
      <c r="H280" s="575" t="s">
        <v>541</v>
      </c>
      <c r="I280" s="574">
        <f>'i.m. instrumentos'!$Z$18</f>
        <v>2.0000274442871735</v>
      </c>
      <c r="J280" s="354">
        <f t="shared" si="0"/>
        <v>6.9999039463129561E-2</v>
      </c>
      <c r="K280" s="581">
        <f>-1000*0.86*$D$271*4*0.2928104</f>
        <v>-53.9059145090933</v>
      </c>
      <c r="L280" s="351"/>
      <c r="M280" s="354">
        <f t="shared" si="2"/>
        <v>-3.7733622370181101</v>
      </c>
      <c r="N280" s="352" t="s">
        <v>181</v>
      </c>
      <c r="O280" s="352">
        <f t="shared" si="1"/>
        <v>2.0272812106221982E-3</v>
      </c>
      <c r="P280" s="490"/>
      <c r="Q280" s="16"/>
      <c r="S280" s="43"/>
    </row>
    <row r="281" spans="1:20" x14ac:dyDescent="0.2">
      <c r="A281" s="16"/>
      <c r="B281" s="822"/>
      <c r="C281" s="835" t="s">
        <v>550</v>
      </c>
      <c r="D281" s="836"/>
      <c r="E281" s="837"/>
      <c r="F281" s="586">
        <f>1000*_xlfn.STDEV.S('[2]GIQ_R&amp;R'!$C$15,'[2]GIQ_R&amp;R'!$C$17,'[2]GIQ_R&amp;R'!$C$19,'[2]GIQ_R&amp;R'!$C$21,'[2]GIQ_R&amp;R'!$C$23,'[2]GIQ_R&amp;R'!$C$25,'[2]GIQ_R&amp;R'!$C$27,'[2]GIQ_R&amp;R'!$C$29,'[2]GIQ_R&amp;R'!$C$31,'[2]GIQ_R&amp;R'!$C$33)</f>
        <v>47.053633700750929</v>
      </c>
      <c r="G281" s="580" t="s">
        <v>36</v>
      </c>
      <c r="H281" s="575" t="s">
        <v>541</v>
      </c>
      <c r="I281" s="574">
        <v>1</v>
      </c>
      <c r="J281" s="354">
        <f>F281/I281</f>
        <v>47.053633700750929</v>
      </c>
      <c r="K281" s="581">
        <f>1</f>
        <v>1</v>
      </c>
      <c r="L281" s="351"/>
      <c r="M281" s="354">
        <f t="shared" si="2"/>
        <v>47.053633700750929</v>
      </c>
      <c r="N281" s="352">
        <f>10-1</f>
        <v>9</v>
      </c>
      <c r="O281" s="352">
        <f t="shared" si="1"/>
        <v>544665.86688614485</v>
      </c>
      <c r="P281" s="490"/>
      <c r="Q281" s="16"/>
    </row>
    <row r="282" spans="1:20" x14ac:dyDescent="0.2">
      <c r="A282" s="16"/>
      <c r="B282" s="823"/>
      <c r="C282" s="835" t="s">
        <v>551</v>
      </c>
      <c r="D282" s="836"/>
      <c r="E282" s="837"/>
      <c r="F282" s="577">
        <f>((((1-1.077)/(35-29))*(35-0.5)+(1.077-((1-1.077)/(35-29))*29))*Resumo!G78)-((((1-1.077)/(35-29))*(35+0.5)+1.077-((1-1.077)/(35-29))*29)*Resumo!G78)</f>
        <v>0.12479200787426237</v>
      </c>
      <c r="G282" s="580" t="s">
        <v>318</v>
      </c>
      <c r="H282" s="575" t="s">
        <v>202</v>
      </c>
      <c r="I282" s="574">
        <f>SQRT(3)</f>
        <v>1.7320508075688772</v>
      </c>
      <c r="J282" s="354">
        <f t="shared" si="0"/>
        <v>7.2048699338919275E-2</v>
      </c>
      <c r="K282" s="581">
        <f>0.293071*1000</f>
        <v>293.07100000000003</v>
      </c>
      <c r="L282" s="351"/>
      <c r="M282" s="354">
        <f t="shared" si="2"/>
        <v>21.115384363956412</v>
      </c>
      <c r="N282" s="352" t="s">
        <v>181</v>
      </c>
      <c r="O282" s="352">
        <f t="shared" si="1"/>
        <v>1.9879065525153299</v>
      </c>
      <c r="P282" s="490"/>
      <c r="Q282" s="16"/>
      <c r="R282" s="584"/>
      <c r="T282" s="585"/>
    </row>
    <row r="283" spans="1:20" ht="15.75" thickBot="1" x14ac:dyDescent="0.3">
      <c r="A283" s="16"/>
      <c r="B283" s="173"/>
      <c r="C283" s="173"/>
      <c r="D283" s="173"/>
      <c r="E283" s="173"/>
      <c r="F283" s="173"/>
      <c r="G283" s="173"/>
      <c r="H283" s="173"/>
      <c r="I283" s="173"/>
      <c r="J283" s="173"/>
      <c r="K283" s="173"/>
      <c r="L283" s="173"/>
      <c r="M283" s="173"/>
      <c r="N283" s="173"/>
      <c r="O283" s="173"/>
      <c r="P283" s="173"/>
      <c r="Q283" s="16"/>
      <c r="R283" s="584"/>
      <c r="T283" s="585"/>
    </row>
    <row r="284" spans="1:20" ht="16.5" thickTop="1" thickBot="1" x14ac:dyDescent="0.3">
      <c r="A284" s="16"/>
      <c r="B284" s="812" t="s">
        <v>552</v>
      </c>
      <c r="C284" s="587" t="s">
        <v>545</v>
      </c>
      <c r="D284" s="588">
        <f>(1-1.077)/(35-29)</f>
        <v>-1.2833333333333327E-2</v>
      </c>
      <c r="E284" s="589"/>
      <c r="F284" s="173"/>
      <c r="G284" s="461" t="s">
        <v>183</v>
      </c>
      <c r="H284" s="462">
        <v>0.95450000000000002</v>
      </c>
      <c r="I284" s="461" t="s">
        <v>184</v>
      </c>
      <c r="J284" s="463">
        <f>TINV(1-H284,IF(N284="∞",100000,N284))</f>
        <v>2.1811656819040768</v>
      </c>
      <c r="K284" s="461"/>
      <c r="L284" s="461" t="s">
        <v>185</v>
      </c>
      <c r="M284" s="464">
        <f>SQRT(SUMSQ(M276:M282))</f>
        <v>53.635356540709616</v>
      </c>
      <c r="N284" s="463">
        <f>IF((M284^4/O284)&gt;100000,"∞",(M284^4/O284))</f>
        <v>15.194019178094084</v>
      </c>
      <c r="O284" s="461">
        <f>SUM(O276:O282)</f>
        <v>544668.19676422293</v>
      </c>
      <c r="P284" s="493"/>
      <c r="Q284" s="16"/>
      <c r="R284" s="584"/>
      <c r="T284" s="585"/>
    </row>
    <row r="285" spans="1:20" ht="16.5" thickTop="1" thickBot="1" x14ac:dyDescent="0.3">
      <c r="A285" s="16"/>
      <c r="B285" s="813"/>
      <c r="C285" s="590" t="s">
        <v>546</v>
      </c>
      <c r="D285" s="583">
        <f>1.077-D284*29</f>
        <v>1.4491666666666665</v>
      </c>
      <c r="E285" s="591"/>
      <c r="F285" s="130"/>
      <c r="G285" s="130"/>
      <c r="H285" s="130"/>
      <c r="I285" s="130"/>
      <c r="J285" s="130"/>
      <c r="K285" s="135"/>
      <c r="L285" s="136"/>
      <c r="M285" s="136"/>
      <c r="N285" s="136"/>
      <c r="O285" s="130"/>
      <c r="P285" s="130"/>
      <c r="Q285" s="16"/>
      <c r="R285" s="584"/>
      <c r="S285" s="584"/>
      <c r="T285" s="585"/>
    </row>
    <row r="286" spans="1:20" ht="16.5" thickTop="1" thickBot="1" x14ac:dyDescent="0.3">
      <c r="A286" s="16"/>
      <c r="B286" s="813"/>
      <c r="C286" s="592"/>
      <c r="D286" s="592"/>
      <c r="E286" s="591"/>
      <c r="F286" s="579"/>
      <c r="G286" s="130"/>
      <c r="H286" s="130"/>
      <c r="I286" s="130"/>
      <c r="J286" s="130"/>
      <c r="K286" s="137"/>
      <c r="L286" s="48" t="s">
        <v>186</v>
      </c>
      <c r="M286" s="582">
        <f>M284*J284</f>
        <v>116.98759902328517</v>
      </c>
      <c r="N286" s="50" t="s">
        <v>36</v>
      </c>
      <c r="O286" s="130"/>
      <c r="P286" s="130"/>
      <c r="Q286" s="16"/>
      <c r="R286" s="584"/>
      <c r="T286" s="585"/>
    </row>
    <row r="287" spans="1:20" ht="16.5" thickTop="1" thickBot="1" x14ac:dyDescent="0.3">
      <c r="A287" s="16"/>
      <c r="B287" s="813"/>
      <c r="C287" s="593" t="s">
        <v>553</v>
      </c>
      <c r="D287" s="594">
        <f>($D$284*(35+0.5)+$D$285)*Resumo!G78</f>
        <v>9.6616565576934708</v>
      </c>
      <c r="E287" s="595"/>
      <c r="F287" s="579"/>
      <c r="G287" s="601"/>
      <c r="H287" s="71"/>
      <c r="I287" s="71"/>
      <c r="J287" s="71"/>
      <c r="K287" s="71"/>
      <c r="L287" s="48" t="s">
        <v>186</v>
      </c>
      <c r="M287" s="477" t="str">
        <f>IF(ROUNDUP((M284*J284)/(0.293*1000),6)&lt;0.0001,FIXED(ROUNDUP((M284*J284)/(0.293*1000),6),6),IF(ROUNDUP((M284*J284)/(0.293*1000),5)&lt;0.001,FIXED(ROUNDUP((M284*J284)/(0.293*1000),5),5),IF(ROUNDUP((M284*J284)/(0.293*1000),4)&lt;0.01,FIXED(ROUNDUP((M284*J284)/(0.293*1000),4),4),IF(ROUNDUP((M284*J284)/(0.293*1000),3)&lt;0.1,FIXED(ROUNDUP((M284*J284)/(0.293*1000),3),3),IF(ROUNDUP((M284*J284)/(0.293*1000),2)&lt;1,FIXED(ROUNDUP((M284*J284)/(0.293*1000),2),2),IF(ROUNDUP((M284*J284)/(0.293*1000),1)&lt;10,FIXED(ROUNDUP((M284*J284)/(0.293*1000),1),1),IF((M284*J284)/(0.293*1000),FIXED((M284*J284)/(0.293*1000),0),"IM ALTA")))))))</f>
        <v>0,40</v>
      </c>
      <c r="N287" s="50" t="s">
        <v>318</v>
      </c>
      <c r="O287" s="71"/>
      <c r="P287" s="71"/>
      <c r="Q287" s="16"/>
      <c r="R287" s="584"/>
      <c r="T287" s="585"/>
    </row>
    <row r="288" spans="1:20" ht="16.5" thickTop="1" thickBot="1" x14ac:dyDescent="0.3">
      <c r="A288" s="16"/>
      <c r="B288" s="813"/>
      <c r="C288" s="593" t="s">
        <v>554</v>
      </c>
      <c r="D288" s="594">
        <f>($D$284*(35-0.5)+$D$285)*Resumo!G78</f>
        <v>9.7864485655677314</v>
      </c>
      <c r="E288" s="595"/>
      <c r="F288" s="579"/>
      <c r="G288" s="16"/>
      <c r="H288" s="16"/>
      <c r="I288" s="16"/>
      <c r="J288" s="16"/>
      <c r="K288" s="16"/>
      <c r="L288" s="48" t="s">
        <v>186</v>
      </c>
      <c r="M288" s="477" t="str">
        <f>IF(ROUNDUP((M284*J284)/(0.293*1000*1.055),6)&lt;0.0001,FIXED(ROUNDUP((M284*J284)/(0.293*1000*1.055),6),6),IF(ROUNDUP((M284*J284)/(0.293*1000*1.055),5)&lt;0.001,FIXED(ROUNDUP((M284*J284)/(0.293*1000*1.055),5),5),IF(ROUNDUP((M284*J284)/(0.293*1000*1.055),4)&lt;0.01,FIXED(ROUNDUP((M284*J284)/(0.293*1000*1.055),4),4),IF(ROUNDUP((M284*J284)/(0.293*1000*1.055),3)&lt;0.1,FIXED(ROUNDUP((M284*J284)/(0.293*1000*1.055),3),3),IF(ROUNDUP((M284*J284)/(0.293*1000*1.055),2)&lt;1,FIXED(ROUNDUP((M284*J284)/(0.293*1000*1.055),2),2),IF(ROUNDUP((M284*J284)/(0.293*1000*1.055),1)&lt;10,FIXED(ROUNDUP((M284*J284)/(0.293*1000*1.055),1),1),IF((M284*J284)/(0.293*1000),FIXED((0.293*1000*1.055)/(0.293*1000),0),"IM ALTA")))))))</f>
        <v>0,38</v>
      </c>
      <c r="N288" s="50" t="s">
        <v>319</v>
      </c>
      <c r="O288" s="16"/>
      <c r="P288" s="16"/>
      <c r="Q288" s="16"/>
      <c r="R288" s="584"/>
      <c r="T288" s="585"/>
    </row>
    <row r="289" spans="1:20" ht="15.75" thickTop="1" x14ac:dyDescent="0.25">
      <c r="A289" s="16"/>
      <c r="B289" s="814"/>
      <c r="C289" s="596" t="s">
        <v>555</v>
      </c>
      <c r="D289" s="602">
        <f>D288-D287</f>
        <v>0.12479200787426059</v>
      </c>
      <c r="E289" s="598"/>
      <c r="F289" s="16"/>
      <c r="G289" s="16"/>
      <c r="H289" s="16"/>
      <c r="I289" s="16"/>
      <c r="J289" s="16"/>
      <c r="K289" s="16"/>
      <c r="L289" s="466"/>
      <c r="M289" s="478"/>
      <c r="N289" s="468"/>
      <c r="O289" s="16"/>
      <c r="P289" s="16"/>
      <c r="Q289" s="16"/>
      <c r="R289" s="584"/>
      <c r="S289" s="584"/>
      <c r="T289" s="585"/>
    </row>
    <row r="290" spans="1:20" ht="15.75" thickBot="1" x14ac:dyDescent="0.3">
      <c r="A290" s="16"/>
      <c r="B290" s="43" t="s">
        <v>38</v>
      </c>
      <c r="C290" s="16"/>
      <c r="D290" s="16"/>
      <c r="E290" s="16"/>
      <c r="F290" s="16"/>
      <c r="G290" s="16"/>
      <c r="H290" s="16"/>
      <c r="I290" s="16"/>
      <c r="J290" s="16"/>
      <c r="K290" s="16"/>
      <c r="L290" s="466"/>
      <c r="M290" s="478"/>
      <c r="N290" s="468"/>
      <c r="O290" s="16"/>
      <c r="P290" s="16"/>
      <c r="Q290" s="16"/>
      <c r="R290" s="584"/>
      <c r="T290" s="585"/>
    </row>
    <row r="291" spans="1:20" ht="13.5" thickBot="1" x14ac:dyDescent="0.25">
      <c r="A291" s="16"/>
      <c r="B291" s="43"/>
      <c r="C291" s="16" t="s">
        <v>33</v>
      </c>
      <c r="D291" s="449">
        <f>'Condicionador de ar'!O25</f>
        <v>789.74614157951999</v>
      </c>
      <c r="E291" s="16"/>
      <c r="F291" s="16" t="s">
        <v>346</v>
      </c>
      <c r="G291" s="16"/>
      <c r="H291" s="479"/>
      <c r="I291" s="16"/>
      <c r="J291" s="16"/>
      <c r="K291" s="16"/>
      <c r="L291" s="16"/>
      <c r="M291"/>
      <c r="N291" s="16"/>
      <c r="O291" s="16"/>
      <c r="P291" s="16"/>
      <c r="Q291" s="16"/>
    </row>
    <row r="292" spans="1:20" ht="13.5" thickBot="1" x14ac:dyDescent="0.25">
      <c r="A292" s="16"/>
      <c r="B292" s="43"/>
      <c r="C292" s="16" t="s">
        <v>28</v>
      </c>
      <c r="D292" s="449">
        <f>'Condicionador de ar'!Y21</f>
        <v>2849.1474005577656</v>
      </c>
      <c r="E292" s="16"/>
      <c r="F292" s="16" t="s">
        <v>347</v>
      </c>
      <c r="G292" s="16"/>
      <c r="H292" s="479"/>
      <c r="I292" s="16"/>
      <c r="J292" s="16"/>
      <c r="K292" s="16"/>
      <c r="L292" s="16"/>
      <c r="M292" s="16"/>
      <c r="N292" s="16"/>
      <c r="O292" s="16"/>
      <c r="P292" s="16"/>
      <c r="Q292" s="16"/>
    </row>
    <row r="293" spans="1:20" x14ac:dyDescent="0.2">
      <c r="A293" s="16"/>
      <c r="B293" s="16"/>
      <c r="C293" s="16"/>
      <c r="D293" s="16"/>
      <c r="E293" s="16"/>
      <c r="F293" s="16"/>
      <c r="G293" s="16"/>
      <c r="H293" s="16"/>
      <c r="I293" s="16"/>
      <c r="J293" s="16"/>
      <c r="K293" s="16"/>
      <c r="L293" s="16"/>
      <c r="M293" s="16"/>
      <c r="N293" s="16"/>
      <c r="O293" s="16"/>
      <c r="P293" s="16"/>
      <c r="Q293" s="16"/>
    </row>
    <row r="294" spans="1:20" ht="14.25" x14ac:dyDescent="0.2">
      <c r="A294" s="16"/>
      <c r="B294" s="83" t="s">
        <v>54</v>
      </c>
      <c r="C294" s="864" t="s">
        <v>168</v>
      </c>
      <c r="D294" s="865"/>
      <c r="E294" s="866"/>
      <c r="F294" s="83" t="s">
        <v>169</v>
      </c>
      <c r="G294" s="83" t="s">
        <v>65</v>
      </c>
      <c r="H294" s="83" t="s">
        <v>170</v>
      </c>
      <c r="I294" s="83" t="s">
        <v>171</v>
      </c>
      <c r="J294" s="83" t="s">
        <v>172</v>
      </c>
      <c r="K294" s="83" t="s">
        <v>173</v>
      </c>
      <c r="L294" s="83" t="s">
        <v>65</v>
      </c>
      <c r="M294" s="83" t="s">
        <v>174</v>
      </c>
      <c r="N294" s="83" t="s">
        <v>175</v>
      </c>
      <c r="O294" s="83" t="s">
        <v>176</v>
      </c>
      <c r="P294" s="51"/>
      <c r="Q294" s="16"/>
    </row>
    <row r="295" spans="1:20" x14ac:dyDescent="0.2">
      <c r="A295" s="16"/>
      <c r="B295" s="867" t="s">
        <v>22</v>
      </c>
      <c r="C295" s="861" t="s">
        <v>428</v>
      </c>
      <c r="D295" s="862"/>
      <c r="E295" s="863"/>
      <c r="F295" s="577" t="str">
        <f>IF('i.m. instrumentos'!$M$89="","",'i.m. instrumentos'!$M$89)</f>
        <v>8,5</v>
      </c>
      <c r="G295" s="90" t="s">
        <v>34</v>
      </c>
      <c r="H295" s="575" t="s">
        <v>541</v>
      </c>
      <c r="I295" s="574">
        <f>'i.m. instrumentos'!J87</f>
        <v>2.0000274442871735</v>
      </c>
      <c r="J295" s="93">
        <f>F295/I295</f>
        <v>4.2499416816900082</v>
      </c>
      <c r="K295" s="125">
        <f>(-D292)/(D291^2)</f>
        <v>-4.5681451246515712E-3</v>
      </c>
      <c r="L295" s="90"/>
      <c r="M295" s="93">
        <f>J295*K295</f>
        <v>-1.941435037326571E-2</v>
      </c>
      <c r="N295" s="91" t="s">
        <v>181</v>
      </c>
      <c r="O295" s="91">
        <f>M295^4/(IF(N295="∞",100000,N295))</f>
        <v>1.4206642520253648E-12</v>
      </c>
      <c r="P295" s="492"/>
      <c r="Q295" s="16"/>
    </row>
    <row r="296" spans="1:20" x14ac:dyDescent="0.2">
      <c r="A296" s="16"/>
      <c r="B296" s="869"/>
      <c r="C296" s="861" t="s">
        <v>429</v>
      </c>
      <c r="D296" s="862"/>
      <c r="E296" s="863"/>
      <c r="F296" s="577" t="str">
        <f>M288</f>
        <v>0,38</v>
      </c>
      <c r="G296" s="90" t="s">
        <v>36</v>
      </c>
      <c r="H296" s="575" t="s">
        <v>541</v>
      </c>
      <c r="I296" s="574">
        <f>J284</f>
        <v>2.1811656819040768</v>
      </c>
      <c r="J296" s="93">
        <f>F296/I296</f>
        <v>0.17421876896040014</v>
      </c>
      <c r="K296" s="125">
        <f xml:space="preserve"> 1/D292</f>
        <v>3.5098219200741746E-4</v>
      </c>
      <c r="L296" s="90"/>
      <c r="M296" s="93">
        <f>J296*K296</f>
        <v>6.1147685418555059E-5</v>
      </c>
      <c r="N296" s="91" t="s">
        <v>181</v>
      </c>
      <c r="O296" s="91">
        <f>M296^4/(IF(N296="∞",100000,N296))</f>
        <v>1.3980415874399142E-22</v>
      </c>
      <c r="P296" s="492"/>
      <c r="Q296" s="16"/>
    </row>
    <row r="297" spans="1:20" ht="15.75" thickBot="1" x14ac:dyDescent="0.3">
      <c r="A297" s="16"/>
      <c r="B297" s="44"/>
      <c r="C297" s="44"/>
      <c r="D297" s="44"/>
      <c r="E297" s="44"/>
      <c r="F297" s="44"/>
      <c r="G297" s="44"/>
      <c r="H297" s="44"/>
      <c r="I297" s="44"/>
      <c r="J297" s="44"/>
      <c r="K297" s="44"/>
      <c r="L297" s="44"/>
      <c r="M297" s="44"/>
      <c r="N297" s="44"/>
      <c r="O297" s="44"/>
      <c r="P297" s="44"/>
      <c r="Q297" s="16"/>
    </row>
    <row r="298" spans="1:20" ht="16.5" thickTop="1" thickBot="1" x14ac:dyDescent="0.3">
      <c r="A298" s="16"/>
      <c r="B298" s="44"/>
      <c r="C298" s="44"/>
      <c r="D298" s="44"/>
      <c r="E298" s="44"/>
      <c r="F298" s="44"/>
      <c r="G298" s="107" t="s">
        <v>183</v>
      </c>
      <c r="H298" s="108">
        <v>0.95450000000000002</v>
      </c>
      <c r="I298" s="107" t="s">
        <v>184</v>
      </c>
      <c r="J298" s="109">
        <f>TINV(1-H298,IF(N298="∞",100000,N298))</f>
        <v>2.0000274442871735</v>
      </c>
      <c r="K298" s="107"/>
      <c r="L298" s="107" t="s">
        <v>185</v>
      </c>
      <c r="M298" s="110">
        <f>SQRT(SUMSQ(M295:M296))</f>
        <v>1.9414446668791632E-2</v>
      </c>
      <c r="N298" s="109" t="str">
        <f>IF((M298^4/O298)&gt;100000,"∞",(M298^4/O298))</f>
        <v>∞</v>
      </c>
      <c r="O298" s="107">
        <f>SUM(O295:O296)</f>
        <v>1.420664252165169E-12</v>
      </c>
      <c r="P298" s="491"/>
      <c r="Q298" s="16"/>
    </row>
    <row r="299" spans="1:20" ht="16.5" thickTop="1" thickBot="1" x14ac:dyDescent="0.3">
      <c r="A299" s="16"/>
      <c r="B299" s="44"/>
      <c r="C299" s="44"/>
      <c r="D299" s="44"/>
      <c r="E299" s="44"/>
      <c r="F299" s="44"/>
      <c r="G299" s="44"/>
      <c r="H299" s="44"/>
      <c r="I299" s="44"/>
      <c r="J299" s="44"/>
      <c r="K299" s="45"/>
      <c r="L299" s="46"/>
      <c r="M299" s="46"/>
      <c r="N299" s="46"/>
      <c r="O299" s="44"/>
      <c r="P299" s="44"/>
      <c r="Q299" s="16"/>
    </row>
    <row r="300" spans="1:20" ht="16.5" thickTop="1" thickBot="1" x14ac:dyDescent="0.3">
      <c r="A300" s="16"/>
      <c r="B300" s="44"/>
      <c r="C300" s="44"/>
      <c r="D300" s="44"/>
      <c r="E300" s="44"/>
      <c r="F300" s="44"/>
      <c r="G300" s="44"/>
      <c r="H300" s="44"/>
      <c r="I300" s="44"/>
      <c r="J300" s="44"/>
      <c r="K300" s="47"/>
      <c r="L300" s="48" t="s">
        <v>186</v>
      </c>
      <c r="M300" s="452">
        <f>(J298*M298)</f>
        <v>3.8829426153232954E-2</v>
      </c>
      <c r="N300" s="50" t="s">
        <v>237</v>
      </c>
      <c r="O300" s="44"/>
      <c r="P300" s="44"/>
      <c r="Q300" s="16"/>
    </row>
    <row r="301" spans="1:20" ht="14.25" thickTop="1" thickBot="1" x14ac:dyDescent="0.25">
      <c r="A301" s="16"/>
      <c r="B301" s="16"/>
      <c r="C301" s="16"/>
      <c r="D301" s="16"/>
      <c r="E301" s="16"/>
      <c r="F301" s="16"/>
      <c r="G301" s="16"/>
      <c r="H301" s="16"/>
      <c r="I301" s="16"/>
      <c r="J301" s="16"/>
      <c r="K301" s="16"/>
      <c r="L301" s="16"/>
      <c r="M301" s="16"/>
      <c r="N301" s="16"/>
      <c r="O301" s="16"/>
      <c r="P301" s="16"/>
      <c r="Q301" s="16"/>
    </row>
    <row r="302" spans="1:20" ht="16.5" thickTop="1" thickBot="1" x14ac:dyDescent="0.3">
      <c r="A302" s="16"/>
      <c r="B302" s="16"/>
      <c r="C302" s="16"/>
      <c r="D302" s="16"/>
      <c r="E302" s="16"/>
      <c r="F302" s="16"/>
      <c r="G302" s="16"/>
      <c r="H302" s="16"/>
      <c r="I302" s="16"/>
      <c r="J302" s="16"/>
      <c r="K302" s="16"/>
      <c r="L302" s="48" t="s">
        <v>186</v>
      </c>
      <c r="M302" s="117">
        <f>('i.m. equação'!M300/'Condicionador de ar'!D29)*100</f>
        <v>1.0763005619947708</v>
      </c>
      <c r="N302" s="50" t="s">
        <v>14</v>
      </c>
      <c r="O302" s="16"/>
      <c r="P302" s="16"/>
      <c r="Q302" s="16"/>
    </row>
    <row r="303" spans="1:20" ht="13.5" thickTop="1" x14ac:dyDescent="0.2">
      <c r="A303" s="16"/>
      <c r="B303" s="16"/>
      <c r="C303" s="16"/>
      <c r="D303" s="16"/>
      <c r="E303" s="16"/>
      <c r="F303" s="16"/>
      <c r="G303" s="16"/>
      <c r="H303" s="16"/>
      <c r="I303" s="16"/>
      <c r="J303" s="16"/>
      <c r="K303" s="16"/>
      <c r="L303" s="16"/>
      <c r="M303" s="16"/>
      <c r="N303" s="16"/>
      <c r="O303" s="16"/>
      <c r="P303" s="16"/>
      <c r="Q303" s="16"/>
    </row>
    <row r="304" spans="1:20" x14ac:dyDescent="0.2">
      <c r="A304" s="16"/>
      <c r="B304" s="16"/>
      <c r="C304" s="16"/>
      <c r="D304" s="16"/>
      <c r="E304" s="16"/>
      <c r="F304" s="16"/>
      <c r="G304" s="16"/>
      <c r="H304" s="16"/>
      <c r="I304" s="480"/>
      <c r="J304" s="16"/>
      <c r="K304" s="16"/>
      <c r="L304" s="16"/>
      <c r="M304"/>
      <c r="N304" s="16"/>
      <c r="O304" s="16"/>
      <c r="P304" s="16"/>
      <c r="Q304" s="16"/>
    </row>
    <row r="305" spans="1:17" x14ac:dyDescent="0.2">
      <c r="A305" s="16"/>
      <c r="B305" s="16"/>
      <c r="C305" s="16"/>
      <c r="D305" s="16"/>
      <c r="E305" s="16"/>
      <c r="F305" s="16"/>
      <c r="G305" s="16"/>
      <c r="H305" s="16"/>
      <c r="I305" s="16"/>
      <c r="J305" s="16"/>
      <c r="K305" s="16"/>
      <c r="L305" s="16"/>
      <c r="M305" s="16"/>
      <c r="N305" s="16"/>
      <c r="O305" s="16"/>
      <c r="P305" s="16"/>
      <c r="Q305" s="16"/>
    </row>
    <row r="306" spans="1:17" x14ac:dyDescent="0.2">
      <c r="A306" s="16"/>
      <c r="B306" s="16"/>
      <c r="C306" s="16"/>
      <c r="D306" s="16"/>
      <c r="E306" s="16"/>
      <c r="F306" s="16"/>
      <c r="G306" s="16"/>
      <c r="H306" s="16"/>
      <c r="I306" s="16"/>
      <c r="J306" s="16"/>
      <c r="K306" s="16"/>
      <c r="L306" s="16"/>
      <c r="M306" s="16"/>
      <c r="N306" s="16"/>
      <c r="O306" s="16"/>
      <c r="P306" s="16"/>
      <c r="Q306" s="16"/>
    </row>
    <row r="307" spans="1:17" x14ac:dyDescent="0.2">
      <c r="A307" s="16"/>
      <c r="B307" s="16"/>
      <c r="C307" s="16"/>
      <c r="D307" s="16"/>
      <c r="E307" s="16"/>
      <c r="F307" s="16"/>
      <c r="G307" s="16"/>
      <c r="H307" s="16"/>
      <c r="I307" s="16"/>
      <c r="J307" s="16"/>
      <c r="K307" s="16"/>
      <c r="L307" s="16"/>
      <c r="M307" s="16"/>
      <c r="N307" s="16"/>
      <c r="O307" s="16"/>
      <c r="P307" s="16"/>
      <c r="Q307" s="16"/>
    </row>
    <row r="308" spans="1:17" x14ac:dyDescent="0.2">
      <c r="A308" s="16"/>
      <c r="B308" s="16"/>
      <c r="C308" s="16"/>
      <c r="D308" s="16"/>
      <c r="E308" s="16"/>
      <c r="F308" s="16"/>
      <c r="G308" s="16"/>
      <c r="H308" s="16"/>
      <c r="I308" s="16"/>
      <c r="J308" s="16"/>
      <c r="K308" s="16"/>
      <c r="L308" s="16"/>
      <c r="M308" s="16"/>
      <c r="N308" s="16"/>
      <c r="O308" s="16"/>
      <c r="P308" s="16"/>
      <c r="Q308" s="16"/>
    </row>
    <row r="309" spans="1:17" x14ac:dyDescent="0.2">
      <c r="A309" s="16"/>
      <c r="B309" s="16"/>
      <c r="C309" s="16"/>
      <c r="D309" s="16"/>
      <c r="E309" s="16"/>
      <c r="F309" s="16"/>
      <c r="G309" s="16"/>
      <c r="H309" s="16"/>
      <c r="I309" s="16"/>
      <c r="J309" s="16"/>
      <c r="K309" s="16"/>
      <c r="L309" s="16"/>
      <c r="M309" s="16"/>
      <c r="N309" s="16"/>
      <c r="O309" s="16"/>
      <c r="P309" s="16"/>
      <c r="Q309" s="16"/>
    </row>
  </sheetData>
  <mergeCells count="96">
    <mergeCell ref="C169:E169"/>
    <mergeCell ref="B168:B169"/>
    <mergeCell ref="C209:E209"/>
    <mergeCell ref="B210:B212"/>
    <mergeCell ref="C210:E210"/>
    <mergeCell ref="C211:E211"/>
    <mergeCell ref="C212:E212"/>
    <mergeCell ref="B196:B198"/>
    <mergeCell ref="C196:E196"/>
    <mergeCell ref="C198:E198"/>
    <mergeCell ref="C197:E197"/>
    <mergeCell ref="C195:E195"/>
    <mergeCell ref="C222:E222"/>
    <mergeCell ref="C223:E223"/>
    <mergeCell ref="C180:E180"/>
    <mergeCell ref="B181:B182"/>
    <mergeCell ref="C181:E181"/>
    <mergeCell ref="C182:E182"/>
    <mergeCell ref="B112:B114"/>
    <mergeCell ref="C112:E112"/>
    <mergeCell ref="C113:E113"/>
    <mergeCell ref="C114:E114"/>
    <mergeCell ref="B155:B156"/>
    <mergeCell ref="B125:B126"/>
    <mergeCell ref="C125:E125"/>
    <mergeCell ref="C126:E126"/>
    <mergeCell ref="C136:E136"/>
    <mergeCell ref="C154:E154"/>
    <mergeCell ref="B137:B138"/>
    <mergeCell ref="C97:E97"/>
    <mergeCell ref="C124:E124"/>
    <mergeCell ref="C168:E168"/>
    <mergeCell ref="C155:E155"/>
    <mergeCell ref="C156:E156"/>
    <mergeCell ref="C137:E137"/>
    <mergeCell ref="C138:E138"/>
    <mergeCell ref="C111:E111"/>
    <mergeCell ref="C167:E167"/>
    <mergeCell ref="C39:E39"/>
    <mergeCell ref="B11:B12"/>
    <mergeCell ref="C22:E22"/>
    <mergeCell ref="B23:B24"/>
    <mergeCell ref="C23:E23"/>
    <mergeCell ref="C24:E24"/>
    <mergeCell ref="C240:E240"/>
    <mergeCell ref="C276:E276"/>
    <mergeCell ref="B256:B259"/>
    <mergeCell ref="C51:E51"/>
    <mergeCell ref="B98:B100"/>
    <mergeCell ref="C98:E98"/>
    <mergeCell ref="C100:E100"/>
    <mergeCell ref="C99:E99"/>
    <mergeCell ref="B84:B85"/>
    <mergeCell ref="C83:E83"/>
    <mergeCell ref="B52:B53"/>
    <mergeCell ref="C52:E52"/>
    <mergeCell ref="C53:E53"/>
    <mergeCell ref="C64:E64"/>
    <mergeCell ref="B65:B66"/>
    <mergeCell ref="C65:E65"/>
    <mergeCell ref="C242:E242"/>
    <mergeCell ref="C255:E255"/>
    <mergeCell ref="C256:E256"/>
    <mergeCell ref="C259:E259"/>
    <mergeCell ref="B241:B243"/>
    <mergeCell ref="C241:E241"/>
    <mergeCell ref="C243:E243"/>
    <mergeCell ref="C294:E294"/>
    <mergeCell ref="B295:B296"/>
    <mergeCell ref="C295:E295"/>
    <mergeCell ref="C296:E296"/>
    <mergeCell ref="C275:E275"/>
    <mergeCell ref="B276:B282"/>
    <mergeCell ref="C282:E282"/>
    <mergeCell ref="C277:E277"/>
    <mergeCell ref="C278:E278"/>
    <mergeCell ref="C280:E280"/>
    <mergeCell ref="C279:E279"/>
    <mergeCell ref="C281:E281"/>
    <mergeCell ref="B284:B289"/>
    <mergeCell ref="B3:O6"/>
    <mergeCell ref="B74:O77"/>
    <mergeCell ref="B146:O149"/>
    <mergeCell ref="B231:O234"/>
    <mergeCell ref="C224:E224"/>
    <mergeCell ref="C66:E66"/>
    <mergeCell ref="C84:E84"/>
    <mergeCell ref="C85:E85"/>
    <mergeCell ref="C10:E10"/>
    <mergeCell ref="C11:E11"/>
    <mergeCell ref="C12:E12"/>
    <mergeCell ref="C36:E36"/>
    <mergeCell ref="B37:B40"/>
    <mergeCell ref="C37:E37"/>
    <mergeCell ref="C40:E40"/>
    <mergeCell ref="C38:E38"/>
  </mergeCells>
  <phoneticPr fontId="44" type="noConversion"/>
  <pageMargins left="0.51181102362204722" right="0.51181102362204722" top="0.78740157480314965" bottom="0.78740157480314965" header="0.31496062992125984" footer="0.31496062992125984"/>
  <pageSetup paperSize="9" scale="44" orientation="portrait" r:id="rId1"/>
  <headerFooter>
    <oddHeader>&amp;RPágina &amp;P de &amp;N</oddHeader>
    <oddFooter>&amp;CRevisão 00 - 25/10/2018 - Pagina &amp;P de &amp;N
Elaborado por: Leonardo de Andrea João - Aprovado por: Leandro Weschenfelder</oddFooter>
  </headerFooter>
  <rowBreaks count="3" manualBreakCount="3">
    <brk id="229" min="1" max="15" man="1"/>
    <brk id="303" min="1" max="15" man="1"/>
    <brk id="304" min="1" max="30" man="1"/>
  </rowBreaks>
  <ignoredErrors>
    <ignoredError sqref="F226:O227 G228:L228 O228 F225:J225 L225:O225" evalError="1"/>
  </ignoredError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3"/>
  <dimension ref="B2:Q63"/>
  <sheetViews>
    <sheetView topLeftCell="A5" zoomScale="55" zoomScaleNormal="55" zoomScalePageLayoutView="70" workbookViewId="0">
      <selection activeCell="G41" sqref="G41"/>
    </sheetView>
  </sheetViews>
  <sheetFormatPr defaultRowHeight="12.75" x14ac:dyDescent="0.2"/>
  <cols>
    <col min="1" max="1" width="3.28515625" style="9" customWidth="1"/>
    <col min="2" max="2" width="3" style="9" bestFit="1" customWidth="1"/>
    <col min="3" max="3" width="15.85546875" style="9" customWidth="1"/>
    <col min="4" max="4" width="23.28515625" style="147" bestFit="1" customWidth="1"/>
    <col min="5" max="5" width="10.85546875" style="9" customWidth="1"/>
    <col min="6" max="6" width="29.7109375" style="9" customWidth="1"/>
    <col min="7" max="7" width="22.140625" style="9" bestFit="1" customWidth="1"/>
    <col min="8" max="8" width="11.28515625" style="9" customWidth="1"/>
    <col min="9" max="9" width="2.42578125" style="9" customWidth="1"/>
    <col min="10" max="15" width="9.140625" style="9"/>
    <col min="16" max="16" width="9.5703125" style="9" bestFit="1" customWidth="1"/>
    <col min="17" max="17" width="4.28515625" style="9" customWidth="1"/>
    <col min="18" max="16384" width="9.140625" style="9"/>
  </cols>
  <sheetData>
    <row r="2" spans="2:17" ht="12.75" customHeight="1" x14ac:dyDescent="0.2">
      <c r="C2" s="649" t="s">
        <v>477</v>
      </c>
      <c r="D2" s="650"/>
      <c r="E2" s="650"/>
      <c r="F2" s="650"/>
      <c r="G2" s="650"/>
      <c r="H2" s="650"/>
      <c r="I2" s="650"/>
      <c r="J2" s="650"/>
      <c r="K2" s="650"/>
      <c r="L2" s="650"/>
      <c r="M2" s="650"/>
      <c r="N2" s="650"/>
      <c r="O2" s="650"/>
      <c r="P2" s="650"/>
      <c r="Q2" s="651"/>
    </row>
    <row r="3" spans="2:17" ht="12.75" customHeight="1" x14ac:dyDescent="0.2">
      <c r="C3" s="652"/>
      <c r="D3" s="653"/>
      <c r="E3" s="653"/>
      <c r="F3" s="653"/>
      <c r="G3" s="653"/>
      <c r="H3" s="653"/>
      <c r="I3" s="653"/>
      <c r="J3" s="653"/>
      <c r="K3" s="653"/>
      <c r="L3" s="653"/>
      <c r="M3" s="653"/>
      <c r="N3" s="653"/>
      <c r="O3" s="653"/>
      <c r="P3" s="653"/>
      <c r="Q3" s="654"/>
    </row>
    <row r="4" spans="2:17" ht="12.75" customHeight="1" x14ac:dyDescent="0.2">
      <c r="C4" s="652"/>
      <c r="D4" s="653"/>
      <c r="E4" s="653"/>
      <c r="F4" s="653"/>
      <c r="G4" s="653"/>
      <c r="H4" s="653"/>
      <c r="I4" s="653"/>
      <c r="J4" s="653"/>
      <c r="K4" s="653"/>
      <c r="L4" s="653"/>
      <c r="M4" s="653"/>
      <c r="N4" s="653"/>
      <c r="O4" s="653"/>
      <c r="P4" s="653"/>
      <c r="Q4" s="654"/>
    </row>
    <row r="5" spans="2:17" ht="12.75" customHeight="1" x14ac:dyDescent="0.2">
      <c r="C5" s="655"/>
      <c r="D5" s="656"/>
      <c r="E5" s="656"/>
      <c r="F5" s="656"/>
      <c r="G5" s="656"/>
      <c r="H5" s="656"/>
      <c r="I5" s="656"/>
      <c r="J5" s="656"/>
      <c r="K5" s="656"/>
      <c r="L5" s="656"/>
      <c r="M5" s="656"/>
      <c r="N5" s="656"/>
      <c r="O5" s="656"/>
      <c r="P5" s="656"/>
      <c r="Q5" s="657"/>
    </row>
    <row r="7" spans="2:17" x14ac:dyDescent="0.2">
      <c r="C7" s="284" t="s">
        <v>63</v>
      </c>
      <c r="D7" s="284" t="s">
        <v>64</v>
      </c>
      <c r="E7" s="284" t="s">
        <v>65</v>
      </c>
      <c r="F7" s="284" t="s">
        <v>66</v>
      </c>
      <c r="G7" s="284" t="s">
        <v>201</v>
      </c>
      <c r="H7" s="284" t="s">
        <v>225</v>
      </c>
    </row>
    <row r="8" spans="2:17" ht="14.25" x14ac:dyDescent="0.2">
      <c r="B8" s="162">
        <v>1</v>
      </c>
      <c r="C8" s="285" t="s">
        <v>67</v>
      </c>
      <c r="D8" s="276" t="s">
        <v>68</v>
      </c>
      <c r="E8" s="275" t="s">
        <v>13</v>
      </c>
      <c r="F8" s="276" t="s">
        <v>69</v>
      </c>
      <c r="G8" s="276" t="s">
        <v>22</v>
      </c>
      <c r="H8" s="277">
        <v>8.6719045337784906E-2</v>
      </c>
    </row>
    <row r="9" spans="2:17" ht="25.5" x14ac:dyDescent="0.2">
      <c r="B9" s="162">
        <v>2</v>
      </c>
      <c r="C9" s="286" t="s">
        <v>431</v>
      </c>
      <c r="D9" s="276" t="s">
        <v>70</v>
      </c>
      <c r="E9" s="275" t="s">
        <v>71</v>
      </c>
      <c r="F9" s="276" t="s">
        <v>72</v>
      </c>
      <c r="G9" s="276" t="s">
        <v>22</v>
      </c>
      <c r="H9" s="277" t="str">
        <f>'i.m. instrumentos'!AC20</f>
        <v>0,14</v>
      </c>
    </row>
    <row r="10" spans="2:17" x14ac:dyDescent="0.2">
      <c r="B10" s="162">
        <v>3</v>
      </c>
      <c r="C10" s="285" t="s">
        <v>432</v>
      </c>
      <c r="D10" s="276" t="s">
        <v>70</v>
      </c>
      <c r="E10" s="275" t="s">
        <v>40</v>
      </c>
      <c r="F10" s="278" t="s">
        <v>74</v>
      </c>
      <c r="G10" s="287" t="s">
        <v>75</v>
      </c>
      <c r="H10" s="288" t="str">
        <f>'i.m. instrumentos'!AC35</f>
        <v>0,14</v>
      </c>
    </row>
    <row r="11" spans="2:17" ht="25.5" x14ac:dyDescent="0.2">
      <c r="B11" s="162">
        <v>4</v>
      </c>
      <c r="C11" s="286" t="s">
        <v>433</v>
      </c>
      <c r="D11" s="276" t="s">
        <v>76</v>
      </c>
      <c r="E11" s="275" t="s">
        <v>71</v>
      </c>
      <c r="F11" s="279" t="s">
        <v>72</v>
      </c>
      <c r="G11" s="279" t="s">
        <v>22</v>
      </c>
      <c r="H11" s="277" t="str">
        <f>'i.m. instrumentos'!AC20</f>
        <v>0,14</v>
      </c>
    </row>
    <row r="12" spans="2:17" ht="25.5" x14ac:dyDescent="0.2">
      <c r="B12" s="162">
        <v>5</v>
      </c>
      <c r="C12" s="285" t="s">
        <v>434</v>
      </c>
      <c r="D12" s="276" t="s">
        <v>76</v>
      </c>
      <c r="E12" s="275" t="s">
        <v>40</v>
      </c>
      <c r="F12" s="278" t="s">
        <v>74</v>
      </c>
      <c r="G12" s="287" t="s">
        <v>78</v>
      </c>
      <c r="H12" s="288" t="str">
        <f>'i.m. instrumentos'!AC35</f>
        <v>0,14</v>
      </c>
    </row>
    <row r="13" spans="2:17" x14ac:dyDescent="0.2">
      <c r="B13" s="162">
        <v>6</v>
      </c>
      <c r="C13" s="289" t="s">
        <v>0</v>
      </c>
      <c r="D13" s="277" t="s">
        <v>79</v>
      </c>
      <c r="E13" s="275" t="s">
        <v>13</v>
      </c>
      <c r="F13" s="278" t="s">
        <v>74</v>
      </c>
      <c r="G13" s="287" t="s">
        <v>73</v>
      </c>
      <c r="H13" s="290"/>
      <c r="N13" s="163">
        <v>0.45</v>
      </c>
      <c r="P13" s="163">
        <v>0.55000000000000004</v>
      </c>
    </row>
    <row r="14" spans="2:17" x14ac:dyDescent="0.2">
      <c r="B14" s="162">
        <v>7</v>
      </c>
      <c r="C14" s="289" t="s">
        <v>435</v>
      </c>
      <c r="D14" s="277" t="s">
        <v>79</v>
      </c>
      <c r="E14" s="275" t="s">
        <v>13</v>
      </c>
      <c r="F14" s="278" t="s">
        <v>74</v>
      </c>
      <c r="G14" s="287" t="s">
        <v>77</v>
      </c>
      <c r="H14" s="290"/>
    </row>
    <row r="15" spans="2:17" ht="15.75" x14ac:dyDescent="0.2">
      <c r="B15" s="928">
        <v>8</v>
      </c>
      <c r="C15" s="291" t="s">
        <v>1</v>
      </c>
      <c r="D15" s="414" t="s">
        <v>81</v>
      </c>
      <c r="E15" s="411" t="s">
        <v>13</v>
      </c>
      <c r="F15" s="280" t="s">
        <v>74</v>
      </c>
      <c r="G15" s="292" t="s">
        <v>82</v>
      </c>
      <c r="H15" s="885"/>
    </row>
    <row r="16" spans="2:17" x14ac:dyDescent="0.2">
      <c r="B16" s="928"/>
      <c r="C16" s="293"/>
      <c r="D16" s="294"/>
      <c r="E16" s="412"/>
      <c r="F16" s="295"/>
      <c r="G16" s="296" t="s">
        <v>80</v>
      </c>
      <c r="H16" s="886"/>
    </row>
    <row r="17" spans="2:17" x14ac:dyDescent="0.2">
      <c r="B17" s="928"/>
      <c r="C17" s="293"/>
      <c r="D17" s="294"/>
      <c r="E17" s="412"/>
      <c r="F17" s="412"/>
      <c r="G17" s="297" t="s">
        <v>73</v>
      </c>
      <c r="H17" s="886"/>
    </row>
    <row r="18" spans="2:17" x14ac:dyDescent="0.2">
      <c r="B18" s="928"/>
      <c r="C18" s="293"/>
      <c r="D18" s="298"/>
      <c r="E18" s="413"/>
      <c r="F18" s="410"/>
      <c r="G18" s="299" t="s">
        <v>77</v>
      </c>
      <c r="H18" s="887"/>
    </row>
    <row r="19" spans="2:17" x14ac:dyDescent="0.2">
      <c r="B19" s="928">
        <v>9</v>
      </c>
      <c r="C19" s="883" t="s">
        <v>2</v>
      </c>
      <c r="D19" s="881" t="s">
        <v>83</v>
      </c>
      <c r="E19" s="879" t="s">
        <v>14</v>
      </c>
      <c r="F19" s="879" t="s">
        <v>74</v>
      </c>
      <c r="G19" s="292" t="s">
        <v>1</v>
      </c>
      <c r="H19" s="885"/>
    </row>
    <row r="20" spans="2:17" x14ac:dyDescent="0.2">
      <c r="B20" s="928"/>
      <c r="C20" s="884"/>
      <c r="D20" s="882"/>
      <c r="E20" s="880"/>
      <c r="F20" s="880"/>
      <c r="G20" s="297" t="s">
        <v>84</v>
      </c>
      <c r="H20" s="886"/>
    </row>
    <row r="21" spans="2:17" ht="15.75" x14ac:dyDescent="0.2">
      <c r="B21" s="928">
        <v>10</v>
      </c>
      <c r="C21" s="896" t="s">
        <v>3</v>
      </c>
      <c r="D21" s="894" t="s">
        <v>85</v>
      </c>
      <c r="E21" s="892" t="s">
        <v>15</v>
      </c>
      <c r="F21" s="892" t="s">
        <v>74</v>
      </c>
      <c r="G21" s="300" t="s">
        <v>86</v>
      </c>
      <c r="H21" s="926"/>
    </row>
    <row r="22" spans="2:17" x14ac:dyDescent="0.2">
      <c r="B22" s="928"/>
      <c r="C22" s="897"/>
      <c r="D22" s="895"/>
      <c r="E22" s="893"/>
      <c r="F22" s="893"/>
      <c r="G22" s="301" t="s">
        <v>84</v>
      </c>
      <c r="H22" s="927"/>
      <c r="L22" s="147"/>
      <c r="M22" s="147"/>
      <c r="N22" s="147"/>
      <c r="O22" s="148"/>
      <c r="P22" s="148"/>
      <c r="Q22" s="148"/>
    </row>
    <row r="23" spans="2:17" ht="15.75" x14ac:dyDescent="0.2">
      <c r="B23" s="928">
        <v>11</v>
      </c>
      <c r="C23" s="896" t="s">
        <v>4</v>
      </c>
      <c r="D23" s="894" t="s">
        <v>85</v>
      </c>
      <c r="E23" s="892" t="s">
        <v>15</v>
      </c>
      <c r="F23" s="892" t="s">
        <v>74</v>
      </c>
      <c r="G23" s="300" t="s">
        <v>86</v>
      </c>
      <c r="H23" s="926"/>
    </row>
    <row r="24" spans="2:17" x14ac:dyDescent="0.2">
      <c r="B24" s="928"/>
      <c r="C24" s="897"/>
      <c r="D24" s="895"/>
      <c r="E24" s="893"/>
      <c r="F24" s="893"/>
      <c r="G24" s="301" t="s">
        <v>1</v>
      </c>
      <c r="H24" s="927"/>
    </row>
    <row r="25" spans="2:17" ht="14.25" customHeight="1" x14ac:dyDescent="0.2">
      <c r="B25" s="928">
        <v>12</v>
      </c>
      <c r="C25" s="900" t="s">
        <v>5</v>
      </c>
      <c r="D25" s="894" t="s">
        <v>85</v>
      </c>
      <c r="E25" s="879" t="s">
        <v>87</v>
      </c>
      <c r="F25" s="879" t="s">
        <v>74</v>
      </c>
      <c r="G25" s="281" t="s">
        <v>3</v>
      </c>
      <c r="H25" s="914"/>
    </row>
    <row r="26" spans="2:17" x14ac:dyDescent="0.2">
      <c r="B26" s="928"/>
      <c r="C26" s="901"/>
      <c r="D26" s="899"/>
      <c r="E26" s="898"/>
      <c r="F26" s="898"/>
      <c r="G26" s="281" t="s">
        <v>73</v>
      </c>
      <c r="H26" s="914"/>
    </row>
    <row r="27" spans="2:17" ht="15.75" x14ac:dyDescent="0.2">
      <c r="B27" s="928"/>
      <c r="C27" s="902"/>
      <c r="D27" s="895"/>
      <c r="E27" s="880"/>
      <c r="F27" s="880"/>
      <c r="G27" s="299" t="s">
        <v>82</v>
      </c>
      <c r="H27" s="909"/>
    </row>
    <row r="28" spans="2:17" ht="14.25" customHeight="1" x14ac:dyDescent="0.2">
      <c r="B28" s="928">
        <v>13</v>
      </c>
      <c r="C28" s="900" t="s">
        <v>6</v>
      </c>
      <c r="D28" s="894" t="s">
        <v>85</v>
      </c>
      <c r="E28" s="879" t="s">
        <v>87</v>
      </c>
      <c r="F28" s="879" t="s">
        <v>74</v>
      </c>
      <c r="G28" s="282" t="s">
        <v>4</v>
      </c>
      <c r="H28" s="908"/>
    </row>
    <row r="29" spans="2:17" x14ac:dyDescent="0.2">
      <c r="B29" s="928"/>
      <c r="C29" s="901"/>
      <c r="D29" s="899"/>
      <c r="E29" s="898"/>
      <c r="F29" s="898"/>
      <c r="G29" s="281" t="s">
        <v>77</v>
      </c>
      <c r="H29" s="914"/>
    </row>
    <row r="30" spans="2:17" ht="15.75" x14ac:dyDescent="0.2">
      <c r="B30" s="928"/>
      <c r="C30" s="902"/>
      <c r="D30" s="895"/>
      <c r="E30" s="880"/>
      <c r="F30" s="880"/>
      <c r="G30" s="299" t="s">
        <v>82</v>
      </c>
      <c r="H30" s="909"/>
    </row>
    <row r="31" spans="2:17" x14ac:dyDescent="0.2">
      <c r="B31" s="162">
        <v>14</v>
      </c>
      <c r="C31" s="419" t="s">
        <v>7</v>
      </c>
      <c r="D31" s="415" t="s">
        <v>88</v>
      </c>
      <c r="E31" s="413" t="s">
        <v>89</v>
      </c>
      <c r="F31" s="413" t="s">
        <v>74</v>
      </c>
      <c r="G31" s="283" t="s">
        <v>90</v>
      </c>
      <c r="H31" s="410"/>
    </row>
    <row r="32" spans="2:17" x14ac:dyDescent="0.2">
      <c r="B32" s="162">
        <v>15</v>
      </c>
      <c r="C32" s="324" t="s">
        <v>8</v>
      </c>
      <c r="D32" s="277" t="s">
        <v>91</v>
      </c>
      <c r="E32" s="275" t="s">
        <v>89</v>
      </c>
      <c r="F32" s="275" t="s">
        <v>74</v>
      </c>
      <c r="G32" s="279" t="s">
        <v>92</v>
      </c>
      <c r="H32" s="276"/>
    </row>
    <row r="33" spans="2:8" ht="25.5" customHeight="1" x14ac:dyDescent="0.2">
      <c r="B33" s="928">
        <v>16</v>
      </c>
      <c r="C33" s="888" t="s">
        <v>9</v>
      </c>
      <c r="D33" s="890" t="s">
        <v>93</v>
      </c>
      <c r="E33" s="879" t="s">
        <v>16</v>
      </c>
      <c r="F33" s="879" t="s">
        <v>74</v>
      </c>
      <c r="G33" s="282" t="s">
        <v>3</v>
      </c>
      <c r="H33" s="908"/>
    </row>
    <row r="34" spans="2:8" x14ac:dyDescent="0.2">
      <c r="B34" s="928"/>
      <c r="C34" s="889"/>
      <c r="D34" s="891"/>
      <c r="E34" s="880"/>
      <c r="F34" s="880"/>
      <c r="G34" s="283" t="s">
        <v>90</v>
      </c>
      <c r="H34" s="909"/>
    </row>
    <row r="35" spans="2:8" x14ac:dyDescent="0.2">
      <c r="B35" s="928">
        <v>17</v>
      </c>
      <c r="C35" s="888" t="s">
        <v>10</v>
      </c>
      <c r="D35" s="890" t="s">
        <v>94</v>
      </c>
      <c r="E35" s="879" t="s">
        <v>16</v>
      </c>
      <c r="F35" s="879" t="s">
        <v>74</v>
      </c>
      <c r="G35" s="302" t="s">
        <v>2</v>
      </c>
      <c r="H35" s="919"/>
    </row>
    <row r="36" spans="2:8" x14ac:dyDescent="0.2">
      <c r="B36" s="928"/>
      <c r="C36" s="889"/>
      <c r="D36" s="891"/>
      <c r="E36" s="880"/>
      <c r="F36" s="880"/>
      <c r="G36" s="283" t="s">
        <v>9</v>
      </c>
      <c r="H36" s="920"/>
    </row>
    <row r="37" spans="2:8" ht="25.5" customHeight="1" x14ac:dyDescent="0.2">
      <c r="B37" s="928">
        <v>18</v>
      </c>
      <c r="C37" s="888" t="s">
        <v>12</v>
      </c>
      <c r="D37" s="890" t="s">
        <v>95</v>
      </c>
      <c r="E37" s="879" t="s">
        <v>96</v>
      </c>
      <c r="F37" s="879" t="s">
        <v>74</v>
      </c>
      <c r="G37" s="282" t="s">
        <v>75</v>
      </c>
      <c r="H37" s="908"/>
    </row>
    <row r="38" spans="2:8" x14ac:dyDescent="0.2">
      <c r="B38" s="928"/>
      <c r="C38" s="889"/>
      <c r="D38" s="891"/>
      <c r="E38" s="880"/>
      <c r="F38" s="880"/>
      <c r="G38" s="283" t="s">
        <v>3</v>
      </c>
      <c r="H38" s="909"/>
    </row>
    <row r="39" spans="2:8" ht="14.25" customHeight="1" x14ac:dyDescent="0.2">
      <c r="B39" s="928">
        <v>19</v>
      </c>
      <c r="C39" s="888" t="s">
        <v>11</v>
      </c>
      <c r="D39" s="890" t="s">
        <v>97</v>
      </c>
      <c r="E39" s="879" t="s">
        <v>96</v>
      </c>
      <c r="F39" s="879" t="s">
        <v>74</v>
      </c>
      <c r="G39" s="282" t="s">
        <v>78</v>
      </c>
      <c r="H39" s="908"/>
    </row>
    <row r="40" spans="2:8" x14ac:dyDescent="0.2">
      <c r="B40" s="928"/>
      <c r="C40" s="903"/>
      <c r="D40" s="910"/>
      <c r="E40" s="898"/>
      <c r="F40" s="898"/>
      <c r="G40" s="281" t="s">
        <v>4</v>
      </c>
      <c r="H40" s="914"/>
    </row>
    <row r="41" spans="2:8" x14ac:dyDescent="0.2">
      <c r="B41" s="928"/>
      <c r="C41" s="889"/>
      <c r="D41" s="891"/>
      <c r="E41" s="880"/>
      <c r="F41" s="880"/>
      <c r="G41" s="281" t="s">
        <v>98</v>
      </c>
      <c r="H41" s="909"/>
    </row>
    <row r="42" spans="2:8" ht="38.25" x14ac:dyDescent="0.2">
      <c r="B42" s="162">
        <v>20</v>
      </c>
      <c r="C42" s="303" t="s">
        <v>24</v>
      </c>
      <c r="D42" s="276" t="s">
        <v>99</v>
      </c>
      <c r="E42" s="303" t="s">
        <v>25</v>
      </c>
      <c r="F42" s="304" t="s">
        <v>200</v>
      </c>
      <c r="G42" s="305" t="s">
        <v>22</v>
      </c>
      <c r="H42" s="306"/>
    </row>
    <row r="43" spans="2:8" ht="13.5" x14ac:dyDescent="0.2">
      <c r="B43" s="162">
        <v>21</v>
      </c>
      <c r="C43" s="325" t="s">
        <v>23</v>
      </c>
      <c r="D43" s="276" t="s">
        <v>100</v>
      </c>
      <c r="E43" s="307" t="s">
        <v>53</v>
      </c>
      <c r="F43" s="308" t="s">
        <v>101</v>
      </c>
      <c r="G43" s="308" t="s">
        <v>24</v>
      </c>
      <c r="H43" s="309"/>
    </row>
    <row r="44" spans="2:8" ht="25.5" customHeight="1" x14ac:dyDescent="0.2">
      <c r="B44" s="928">
        <v>22</v>
      </c>
      <c r="C44" s="904" t="s">
        <v>26</v>
      </c>
      <c r="D44" s="908" t="s">
        <v>102</v>
      </c>
      <c r="E44" s="904" t="s">
        <v>16</v>
      </c>
      <c r="F44" s="904" t="s">
        <v>74</v>
      </c>
      <c r="G44" s="310" t="s">
        <v>103</v>
      </c>
      <c r="H44" s="921"/>
    </row>
    <row r="45" spans="2:8" x14ac:dyDescent="0.2">
      <c r="B45" s="928"/>
      <c r="C45" s="905"/>
      <c r="D45" s="909"/>
      <c r="E45" s="905"/>
      <c r="F45" s="905"/>
      <c r="G45" s="311" t="s">
        <v>104</v>
      </c>
      <c r="H45" s="922"/>
    </row>
    <row r="46" spans="2:8" ht="25.5" customHeight="1" x14ac:dyDescent="0.2">
      <c r="B46" s="928">
        <v>23</v>
      </c>
      <c r="C46" s="904" t="s">
        <v>27</v>
      </c>
      <c r="D46" s="890" t="s">
        <v>105</v>
      </c>
      <c r="E46" s="906" t="s">
        <v>51</v>
      </c>
      <c r="F46" s="906" t="s">
        <v>74</v>
      </c>
      <c r="G46" s="312" t="s">
        <v>106</v>
      </c>
      <c r="H46" s="923"/>
    </row>
    <row r="47" spans="2:8" x14ac:dyDescent="0.2">
      <c r="B47" s="928"/>
      <c r="C47" s="905"/>
      <c r="D47" s="891"/>
      <c r="E47" s="907"/>
      <c r="F47" s="907"/>
      <c r="G47" s="313" t="s">
        <v>107</v>
      </c>
      <c r="H47" s="924"/>
    </row>
    <row r="48" spans="2:8" x14ac:dyDescent="0.2">
      <c r="B48" s="928">
        <v>24</v>
      </c>
      <c r="C48" s="904" t="s">
        <v>28</v>
      </c>
      <c r="D48" s="908" t="s">
        <v>108</v>
      </c>
      <c r="E48" s="904" t="s">
        <v>29</v>
      </c>
      <c r="F48" s="904" t="s">
        <v>74</v>
      </c>
      <c r="G48" s="310" t="s">
        <v>40</v>
      </c>
      <c r="H48" s="921"/>
    </row>
    <row r="49" spans="2:8" x14ac:dyDescent="0.2">
      <c r="B49" s="928"/>
      <c r="C49" s="915"/>
      <c r="D49" s="914"/>
      <c r="E49" s="915"/>
      <c r="F49" s="915"/>
      <c r="G49" s="314" t="s">
        <v>27</v>
      </c>
      <c r="H49" s="925"/>
    </row>
    <row r="50" spans="2:8" x14ac:dyDescent="0.2">
      <c r="B50" s="928"/>
      <c r="C50" s="915"/>
      <c r="D50" s="914"/>
      <c r="E50" s="915"/>
      <c r="F50" s="915"/>
      <c r="G50" s="314" t="s">
        <v>23</v>
      </c>
      <c r="H50" s="925"/>
    </row>
    <row r="51" spans="2:8" ht="24" x14ac:dyDescent="0.2">
      <c r="B51" s="928"/>
      <c r="C51" s="915"/>
      <c r="D51" s="914"/>
      <c r="E51" s="915"/>
      <c r="F51" s="915"/>
      <c r="G51" s="315" t="s">
        <v>109</v>
      </c>
      <c r="H51" s="925"/>
    </row>
    <row r="52" spans="2:8" ht="24" x14ac:dyDescent="0.2">
      <c r="B52" s="928"/>
      <c r="C52" s="905"/>
      <c r="D52" s="909"/>
      <c r="E52" s="905"/>
      <c r="F52" s="905"/>
      <c r="G52" s="316" t="s">
        <v>110</v>
      </c>
      <c r="H52" s="922"/>
    </row>
    <row r="53" spans="2:8" x14ac:dyDescent="0.2">
      <c r="B53" s="162">
        <v>25</v>
      </c>
      <c r="C53" s="418" t="s">
        <v>28</v>
      </c>
      <c r="D53" s="410" t="str">
        <f>D48</f>
        <v>Capacidade térmica</v>
      </c>
      <c r="E53" s="317" t="s">
        <v>41</v>
      </c>
      <c r="F53" s="318" t="s">
        <v>74</v>
      </c>
      <c r="G53" s="319" t="s">
        <v>111</v>
      </c>
      <c r="H53" s="320"/>
    </row>
    <row r="54" spans="2:8" x14ac:dyDescent="0.2">
      <c r="B54" s="162">
        <v>26</v>
      </c>
      <c r="C54" s="317" t="s">
        <v>28</v>
      </c>
      <c r="D54" s="276" t="str">
        <f>D48</f>
        <v>Capacidade térmica</v>
      </c>
      <c r="E54" s="418" t="s">
        <v>36</v>
      </c>
      <c r="F54" s="321" t="s">
        <v>74</v>
      </c>
      <c r="G54" s="319" t="s">
        <v>111</v>
      </c>
      <c r="H54" s="320"/>
    </row>
    <row r="55" spans="2:8" ht="25.5" x14ac:dyDescent="0.2">
      <c r="B55" s="162">
        <v>27</v>
      </c>
      <c r="C55" s="325" t="s">
        <v>33</v>
      </c>
      <c r="D55" s="276" t="s">
        <v>112</v>
      </c>
      <c r="E55" s="307" t="s">
        <v>34</v>
      </c>
      <c r="F55" s="322" t="s">
        <v>113</v>
      </c>
      <c r="G55" s="308" t="s">
        <v>22</v>
      </c>
      <c r="H55" s="309">
        <v>0.3</v>
      </c>
    </row>
    <row r="56" spans="2:8" ht="25.5" x14ac:dyDescent="0.2">
      <c r="B56" s="162">
        <v>28</v>
      </c>
      <c r="C56" s="417" t="s">
        <v>114</v>
      </c>
      <c r="D56" s="416" t="str">
        <f>D55</f>
        <v>Consumo de energia elétrica</v>
      </c>
      <c r="E56" s="417" t="s">
        <v>35</v>
      </c>
      <c r="F56" s="321" t="s">
        <v>74</v>
      </c>
      <c r="G56" s="319" t="s">
        <v>33</v>
      </c>
      <c r="H56" s="320"/>
    </row>
    <row r="57" spans="2:8" x14ac:dyDescent="0.2">
      <c r="B57" s="928">
        <v>29</v>
      </c>
      <c r="C57" s="911" t="s">
        <v>40</v>
      </c>
      <c r="D57" s="908" t="s">
        <v>115</v>
      </c>
      <c r="E57" s="911" t="s">
        <v>39</v>
      </c>
      <c r="F57" s="911" t="s">
        <v>74</v>
      </c>
      <c r="G57" s="323" t="s">
        <v>23</v>
      </c>
      <c r="H57" s="916"/>
    </row>
    <row r="58" spans="2:8" x14ac:dyDescent="0.2">
      <c r="B58" s="928"/>
      <c r="C58" s="912"/>
      <c r="D58" s="914"/>
      <c r="E58" s="912"/>
      <c r="F58" s="912"/>
      <c r="G58" s="314" t="s">
        <v>116</v>
      </c>
      <c r="H58" s="917"/>
    </row>
    <row r="59" spans="2:8" x14ac:dyDescent="0.2">
      <c r="B59" s="928"/>
      <c r="C59" s="912"/>
      <c r="D59" s="914"/>
      <c r="E59" s="912"/>
      <c r="F59" s="912"/>
      <c r="G59" s="314" t="s">
        <v>106</v>
      </c>
      <c r="H59" s="917"/>
    </row>
    <row r="60" spans="2:8" x14ac:dyDescent="0.2">
      <c r="B60" s="928"/>
      <c r="C60" s="912"/>
      <c r="D60" s="914"/>
      <c r="E60" s="912"/>
      <c r="F60" s="912"/>
      <c r="G60" s="314" t="s">
        <v>107</v>
      </c>
      <c r="H60" s="917"/>
    </row>
    <row r="61" spans="2:8" ht="24" x14ac:dyDescent="0.2">
      <c r="B61" s="928"/>
      <c r="C61" s="912"/>
      <c r="D61" s="914"/>
      <c r="E61" s="912"/>
      <c r="F61" s="912"/>
      <c r="G61" s="315" t="s">
        <v>109</v>
      </c>
      <c r="H61" s="917"/>
    </row>
    <row r="62" spans="2:8" ht="24" x14ac:dyDescent="0.2">
      <c r="B62" s="928"/>
      <c r="C62" s="913"/>
      <c r="D62" s="909"/>
      <c r="E62" s="913"/>
      <c r="F62" s="913"/>
      <c r="G62" s="315" t="s">
        <v>110</v>
      </c>
      <c r="H62" s="918"/>
    </row>
    <row r="63" spans="2:8" ht="25.5" x14ac:dyDescent="0.2">
      <c r="B63" s="162">
        <v>30</v>
      </c>
      <c r="C63" s="396" t="s">
        <v>117</v>
      </c>
      <c r="D63" s="276" t="s">
        <v>118</v>
      </c>
      <c r="E63" s="396" t="s">
        <v>216</v>
      </c>
      <c r="F63" s="290" t="s">
        <v>119</v>
      </c>
      <c r="G63" s="319" t="s">
        <v>22</v>
      </c>
      <c r="H63" s="320">
        <v>1.2</v>
      </c>
    </row>
  </sheetData>
  <mergeCells count="81">
    <mergeCell ref="B25:B27"/>
    <mergeCell ref="B28:B30"/>
    <mergeCell ref="B15:B18"/>
    <mergeCell ref="B19:B20"/>
    <mergeCell ref="B21:B22"/>
    <mergeCell ref="B23:B24"/>
    <mergeCell ref="B57:B62"/>
    <mergeCell ref="B33:B34"/>
    <mergeCell ref="B35:B36"/>
    <mergeCell ref="B37:B38"/>
    <mergeCell ref="B39:B41"/>
    <mergeCell ref="B48:B52"/>
    <mergeCell ref="B44:B45"/>
    <mergeCell ref="B46:B47"/>
    <mergeCell ref="H57:H62"/>
    <mergeCell ref="H19:H20"/>
    <mergeCell ref="H35:H36"/>
    <mergeCell ref="H37:H38"/>
    <mergeCell ref="H39:H41"/>
    <mergeCell ref="H44:H45"/>
    <mergeCell ref="H46:H47"/>
    <mergeCell ref="H48:H52"/>
    <mergeCell ref="H28:H30"/>
    <mergeCell ref="H33:H34"/>
    <mergeCell ref="H21:H22"/>
    <mergeCell ref="H23:H24"/>
    <mergeCell ref="H25:H27"/>
    <mergeCell ref="F57:F62"/>
    <mergeCell ref="E57:E62"/>
    <mergeCell ref="D57:D62"/>
    <mergeCell ref="C57:C62"/>
    <mergeCell ref="F48:F52"/>
    <mergeCell ref="E48:E52"/>
    <mergeCell ref="D48:D52"/>
    <mergeCell ref="C48:C52"/>
    <mergeCell ref="C39:C41"/>
    <mergeCell ref="C44:C45"/>
    <mergeCell ref="F44:F45"/>
    <mergeCell ref="F46:F47"/>
    <mergeCell ref="E46:E47"/>
    <mergeCell ref="E44:E45"/>
    <mergeCell ref="C46:C47"/>
    <mergeCell ref="D46:D47"/>
    <mergeCell ref="D44:D45"/>
    <mergeCell ref="E39:E41"/>
    <mergeCell ref="F39:F41"/>
    <mergeCell ref="D39:D41"/>
    <mergeCell ref="F21:F22"/>
    <mergeCell ref="E21:E22"/>
    <mergeCell ref="D21:D22"/>
    <mergeCell ref="C21:C22"/>
    <mergeCell ref="F28:F30"/>
    <mergeCell ref="E28:E30"/>
    <mergeCell ref="D28:D30"/>
    <mergeCell ref="C28:C30"/>
    <mergeCell ref="F25:F27"/>
    <mergeCell ref="E25:E27"/>
    <mergeCell ref="D25:D27"/>
    <mergeCell ref="C25:C27"/>
    <mergeCell ref="F33:F34"/>
    <mergeCell ref="E33:E34"/>
    <mergeCell ref="D33:D34"/>
    <mergeCell ref="C33:C34"/>
    <mergeCell ref="F23:F24"/>
    <mergeCell ref="E23:E24"/>
    <mergeCell ref="D23:D24"/>
    <mergeCell ref="C23:C24"/>
    <mergeCell ref="C37:C38"/>
    <mergeCell ref="D37:D38"/>
    <mergeCell ref="E37:E38"/>
    <mergeCell ref="F37:F38"/>
    <mergeCell ref="F35:F36"/>
    <mergeCell ref="E35:E36"/>
    <mergeCell ref="D35:D36"/>
    <mergeCell ref="C35:C36"/>
    <mergeCell ref="C2:Q5"/>
    <mergeCell ref="F19:F20"/>
    <mergeCell ref="E19:E20"/>
    <mergeCell ref="D19:D20"/>
    <mergeCell ref="C19:C20"/>
    <mergeCell ref="H15:H18"/>
  </mergeCells>
  <phoneticPr fontId="44" type="noConversion"/>
  <pageMargins left="0.51181102362204722" right="0.51181102362204722" top="0.78740157480314965" bottom="0.78740157480314965" header="0.31496062992125984" footer="0.31496062992125984"/>
  <pageSetup paperSize="9" scale="46" orientation="portrait" r:id="rId1"/>
  <headerFooter>
    <oddHeader>&amp;RPágina &amp;P de &amp;N</oddHeader>
    <oddFooter>&amp;CRevisão 00 - 25/10/2018 - Pagina &amp;P de &amp;N
Elaborado por: Leonardo de Andrea João - Aprovado por: Leandro Weschenfelder</oddFooter>
  </headerFooter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5"/>
  <dimension ref="B2:AR45"/>
  <sheetViews>
    <sheetView topLeftCell="Q2" zoomScale="55" zoomScaleNormal="55" zoomScaleSheetLayoutView="40" zoomScalePageLayoutView="40" workbookViewId="0">
      <selection activeCell="V9" sqref="V9"/>
    </sheetView>
  </sheetViews>
  <sheetFormatPr defaultRowHeight="15" x14ac:dyDescent="0.25"/>
  <cols>
    <col min="1" max="1" width="3.42578125" style="164" customWidth="1"/>
    <col min="2" max="2" width="30.140625" style="164" bestFit="1" customWidth="1"/>
    <col min="3" max="3" width="9.28515625" style="164" bestFit="1" customWidth="1"/>
    <col min="4" max="4" width="9.140625" style="164"/>
    <col min="5" max="5" width="3.140625" style="164" customWidth="1"/>
    <col min="6" max="6" width="11.85546875" style="164" bestFit="1" customWidth="1"/>
    <col min="7" max="9" width="9.140625" style="164"/>
    <col min="10" max="10" width="10.140625" style="164" customWidth="1"/>
    <col min="11" max="11" width="9.140625" style="164"/>
    <col min="12" max="12" width="10.85546875" style="164" bestFit="1" customWidth="1"/>
    <col min="13" max="15" width="9.42578125" style="164" bestFit="1" customWidth="1"/>
    <col min="16" max="16" width="9.140625" style="164"/>
    <col min="17" max="17" width="9.85546875" style="164" bestFit="1" customWidth="1"/>
    <col min="18" max="18" width="9.140625" style="164"/>
    <col min="19" max="19" width="13" style="164" customWidth="1"/>
    <col min="20" max="20" width="2.28515625" style="164" customWidth="1"/>
    <col min="21" max="21" width="9.42578125" style="164" customWidth="1"/>
    <col min="22" max="22" width="30.28515625" style="164" bestFit="1" customWidth="1"/>
    <col min="23" max="24" width="9.140625" style="164"/>
    <col min="25" max="26" width="9.7109375" style="164" bestFit="1" customWidth="1"/>
    <col min="27" max="30" width="9.140625" style="164"/>
    <col min="31" max="31" width="24.7109375" style="164" bestFit="1" customWidth="1"/>
    <col min="32" max="33" width="22.140625" style="164" bestFit="1" customWidth="1"/>
    <col min="34" max="34" width="7.85546875" style="164" customWidth="1"/>
    <col min="35" max="42" width="9.140625" style="164"/>
    <col min="43" max="44" width="9.140625" style="164" customWidth="1"/>
    <col min="45" max="16384" width="9.140625" style="164"/>
  </cols>
  <sheetData>
    <row r="2" spans="2:44" ht="15" customHeight="1" x14ac:dyDescent="0.25">
      <c r="B2" s="929" t="s">
        <v>467</v>
      </c>
      <c r="C2" s="929"/>
      <c r="D2" s="929"/>
      <c r="E2" s="929"/>
      <c r="F2" s="929"/>
      <c r="G2" s="929"/>
      <c r="H2" s="929"/>
      <c r="I2" s="929"/>
      <c r="J2" s="929"/>
      <c r="K2" s="929"/>
      <c r="L2" s="929"/>
      <c r="M2" s="929"/>
      <c r="N2" s="929"/>
      <c r="O2" s="929"/>
      <c r="P2" s="929"/>
      <c r="Q2" s="929"/>
      <c r="R2" s="929"/>
      <c r="S2" s="929"/>
      <c r="V2" s="929" t="s">
        <v>477</v>
      </c>
      <c r="W2" s="929"/>
      <c r="X2" s="929"/>
      <c r="Y2" s="929"/>
      <c r="Z2" s="929"/>
      <c r="AA2" s="929"/>
      <c r="AB2" s="929"/>
      <c r="AC2" s="929"/>
      <c r="AD2" s="929"/>
      <c r="AE2" s="929"/>
      <c r="AF2" s="929"/>
      <c r="AG2" s="929"/>
      <c r="AH2" s="929"/>
      <c r="AI2" s="929"/>
      <c r="AJ2" s="929"/>
      <c r="AK2" s="929"/>
      <c r="AL2" s="929"/>
      <c r="AM2" s="929"/>
      <c r="AN2" s="929"/>
      <c r="AO2" s="929"/>
      <c r="AP2" s="929"/>
      <c r="AQ2" s="929"/>
    </row>
    <row r="3" spans="2:44" ht="15" customHeight="1" x14ac:dyDescent="0.25">
      <c r="B3" s="929"/>
      <c r="C3" s="929"/>
      <c r="D3" s="929"/>
      <c r="E3" s="929"/>
      <c r="F3" s="929"/>
      <c r="G3" s="929"/>
      <c r="H3" s="929"/>
      <c r="I3" s="929"/>
      <c r="J3" s="929"/>
      <c r="K3" s="929"/>
      <c r="L3" s="929"/>
      <c r="M3" s="929"/>
      <c r="N3" s="929"/>
      <c r="O3" s="929"/>
      <c r="P3" s="929"/>
      <c r="Q3" s="929"/>
      <c r="R3" s="929"/>
      <c r="S3" s="929"/>
      <c r="V3" s="929"/>
      <c r="W3" s="929"/>
      <c r="X3" s="929"/>
      <c r="Y3" s="929"/>
      <c r="Z3" s="929"/>
      <c r="AA3" s="929"/>
      <c r="AB3" s="929"/>
      <c r="AC3" s="929"/>
      <c r="AD3" s="929"/>
      <c r="AE3" s="929"/>
      <c r="AF3" s="929"/>
      <c r="AG3" s="929"/>
      <c r="AH3" s="929"/>
      <c r="AI3" s="929"/>
      <c r="AJ3" s="929"/>
      <c r="AK3" s="929"/>
      <c r="AL3" s="929"/>
      <c r="AM3" s="929"/>
      <c r="AN3" s="929"/>
      <c r="AO3" s="929"/>
      <c r="AP3" s="929"/>
      <c r="AQ3" s="929"/>
    </row>
    <row r="4" spans="2:44" ht="15" customHeight="1" x14ac:dyDescent="0.25">
      <c r="B4" s="929"/>
      <c r="C4" s="929"/>
      <c r="D4" s="929"/>
      <c r="E4" s="929"/>
      <c r="F4" s="929"/>
      <c r="G4" s="929"/>
      <c r="H4" s="929"/>
      <c r="I4" s="929"/>
      <c r="J4" s="929"/>
      <c r="K4" s="929"/>
      <c r="L4" s="929"/>
      <c r="M4" s="929"/>
      <c r="N4" s="929"/>
      <c r="O4" s="929"/>
      <c r="P4" s="929"/>
      <c r="Q4" s="929"/>
      <c r="R4" s="929"/>
      <c r="S4" s="929"/>
      <c r="V4" s="929"/>
      <c r="W4" s="929"/>
      <c r="X4" s="929"/>
      <c r="Y4" s="929"/>
      <c r="Z4" s="929"/>
      <c r="AA4" s="929"/>
      <c r="AB4" s="929"/>
      <c r="AC4" s="929"/>
      <c r="AD4" s="929"/>
      <c r="AE4" s="929"/>
      <c r="AF4" s="929"/>
      <c r="AG4" s="929"/>
      <c r="AH4" s="929"/>
      <c r="AI4" s="929"/>
      <c r="AJ4" s="929"/>
      <c r="AK4" s="929"/>
      <c r="AL4" s="929"/>
      <c r="AM4" s="929"/>
      <c r="AN4" s="929"/>
      <c r="AO4" s="929"/>
      <c r="AP4" s="929"/>
      <c r="AQ4" s="929"/>
    </row>
    <row r="5" spans="2:44" ht="15" customHeight="1" x14ac:dyDescent="0.25">
      <c r="B5" s="929"/>
      <c r="C5" s="929"/>
      <c r="D5" s="929"/>
      <c r="E5" s="929"/>
      <c r="F5" s="929"/>
      <c r="G5" s="929"/>
      <c r="H5" s="929"/>
      <c r="I5" s="929"/>
      <c r="J5" s="929"/>
      <c r="K5" s="929"/>
      <c r="L5" s="929"/>
      <c r="M5" s="929"/>
      <c r="N5" s="929"/>
      <c r="O5" s="929"/>
      <c r="P5" s="929"/>
      <c r="Q5" s="929"/>
      <c r="R5" s="929"/>
      <c r="S5" s="929"/>
      <c r="V5" s="929"/>
      <c r="W5" s="929"/>
      <c r="X5" s="929"/>
      <c r="Y5" s="929"/>
      <c r="Z5" s="929"/>
      <c r="AA5" s="929"/>
      <c r="AB5" s="929"/>
      <c r="AC5" s="929"/>
      <c r="AD5" s="929"/>
      <c r="AE5" s="929"/>
      <c r="AF5" s="929"/>
      <c r="AG5" s="929"/>
      <c r="AH5" s="929"/>
      <c r="AI5" s="929"/>
      <c r="AJ5" s="929"/>
      <c r="AK5" s="929"/>
      <c r="AL5" s="929"/>
      <c r="AM5" s="929"/>
      <c r="AN5" s="929"/>
      <c r="AO5" s="929"/>
      <c r="AP5" s="929"/>
      <c r="AQ5" s="929"/>
    </row>
    <row r="7" spans="2:44" x14ac:dyDescent="0.25">
      <c r="F7" s="44"/>
      <c r="G7" s="44"/>
      <c r="H7" s="44"/>
      <c r="I7" s="44"/>
      <c r="J7" s="44"/>
      <c r="K7" s="44"/>
      <c r="L7" s="44"/>
      <c r="M7" s="44"/>
      <c r="N7" s="44"/>
      <c r="O7" s="44"/>
      <c r="P7" s="44"/>
      <c r="Q7" s="44"/>
      <c r="R7" s="44"/>
      <c r="S7" s="44"/>
      <c r="T7" s="44"/>
      <c r="V7" s="164" t="s">
        <v>122</v>
      </c>
      <c r="W7" s="420" t="s">
        <v>123</v>
      </c>
      <c r="X7" s="166">
        <v>1.0049999999999999</v>
      </c>
      <c r="AI7" s="940" t="s">
        <v>124</v>
      </c>
      <c r="AJ7" s="940"/>
      <c r="AK7" s="940"/>
      <c r="AL7" s="940"/>
      <c r="AM7" s="940"/>
      <c r="AN7" s="940"/>
      <c r="AO7" s="940"/>
      <c r="AP7" s="940"/>
      <c r="AQ7" s="940"/>
      <c r="AR7" s="489"/>
    </row>
    <row r="8" spans="2:44" ht="15.75" thickBot="1" x14ac:dyDescent="0.3">
      <c r="B8" s="165" t="s">
        <v>295</v>
      </c>
      <c r="F8" s="80"/>
      <c r="G8" s="81"/>
      <c r="H8" s="82"/>
      <c r="I8" s="82"/>
      <c r="J8" s="82"/>
      <c r="K8" s="82"/>
      <c r="L8" s="82"/>
      <c r="M8" s="82"/>
      <c r="N8" s="82"/>
      <c r="O8" s="82"/>
      <c r="P8" s="82"/>
      <c r="Q8" s="82"/>
      <c r="R8" s="82"/>
      <c r="S8" s="82"/>
      <c r="T8" s="44"/>
      <c r="V8" s="164" t="s">
        <v>125</v>
      </c>
      <c r="W8" s="420" t="s">
        <v>126</v>
      </c>
      <c r="X8" s="166">
        <v>2546.5</v>
      </c>
      <c r="AD8" s="170" t="s">
        <v>71</v>
      </c>
      <c r="AE8" s="170" t="s">
        <v>127</v>
      </c>
      <c r="AF8" s="170" t="s">
        <v>128</v>
      </c>
      <c r="AG8" s="170" t="s">
        <v>129</v>
      </c>
      <c r="AI8" s="171"/>
      <c r="AJ8" s="170" t="s">
        <v>130</v>
      </c>
      <c r="AK8" s="170" t="s">
        <v>131</v>
      </c>
      <c r="AL8" s="170" t="s">
        <v>132</v>
      </c>
      <c r="AM8" s="170" t="s">
        <v>133</v>
      </c>
      <c r="AN8" s="170" t="s">
        <v>134</v>
      </c>
      <c r="AO8" s="170" t="s">
        <v>135</v>
      </c>
      <c r="AP8" s="170" t="s">
        <v>136</v>
      </c>
      <c r="AQ8" s="170" t="s">
        <v>137</v>
      </c>
      <c r="AR8" s="495"/>
    </row>
    <row r="9" spans="2:44" ht="15.75" thickBot="1" x14ac:dyDescent="0.3">
      <c r="F9" s="83" t="s">
        <v>54</v>
      </c>
      <c r="G9" s="864" t="s">
        <v>168</v>
      </c>
      <c r="H9" s="865"/>
      <c r="I9" s="866"/>
      <c r="J9" s="83" t="s">
        <v>169</v>
      </c>
      <c r="K9" s="83" t="s">
        <v>65</v>
      </c>
      <c r="L9" s="83" t="s">
        <v>170</v>
      </c>
      <c r="M9" s="83" t="s">
        <v>171</v>
      </c>
      <c r="N9" s="83" t="s">
        <v>172</v>
      </c>
      <c r="O9" s="83" t="s">
        <v>173</v>
      </c>
      <c r="P9" s="83" t="s">
        <v>65</v>
      </c>
      <c r="Q9" s="83" t="s">
        <v>174</v>
      </c>
      <c r="R9" s="83" t="s">
        <v>175</v>
      </c>
      <c r="S9" s="83" t="s">
        <v>176</v>
      </c>
      <c r="T9" s="44"/>
      <c r="V9" s="84" t="s">
        <v>138</v>
      </c>
      <c r="W9" s="85" t="s">
        <v>139</v>
      </c>
      <c r="X9" s="86">
        <f>C10</f>
        <v>26.7</v>
      </c>
      <c r="AD9" s="170">
        <v>15</v>
      </c>
      <c r="AE9" s="170">
        <v>1.7050000000000001</v>
      </c>
      <c r="AF9" s="170">
        <v>62.99</v>
      </c>
      <c r="AG9" s="170">
        <v>2465.9</v>
      </c>
      <c r="AI9" s="171" t="s">
        <v>140</v>
      </c>
      <c r="AJ9" s="170">
        <f>IF((AND($X$11&gt;=15,$X$11&lt;=20)),15,0)</f>
        <v>15</v>
      </c>
      <c r="AK9" s="170">
        <f>IF((AND(X11&gt;=15,X11&lt;=20)),20,0)</f>
        <v>20</v>
      </c>
      <c r="AL9" s="170">
        <f>IF((AND($X$11&gt;=15,$X$11&lt;=20)),AE9,0)</f>
        <v>1.7050000000000001</v>
      </c>
      <c r="AM9" s="170">
        <f>IF((AND($X$11&gt;=15,$X$11&lt;=20)),AE10,0)</f>
        <v>2.339</v>
      </c>
      <c r="AN9" s="170">
        <f>IF((AND($X$11&gt;=15,$X$11&lt;=20)),AF9,0)</f>
        <v>62.99</v>
      </c>
      <c r="AO9" s="170">
        <f>IF((AND($X$11&gt;=15,$X$11&lt;=20)),AF10,0)</f>
        <v>83.96</v>
      </c>
      <c r="AP9" s="170">
        <f>IF((AND($X$11&gt;=15,$X$11&lt;=20)),AG9,0)</f>
        <v>2465.9</v>
      </c>
      <c r="AQ9" s="170">
        <f>IF((AND($X$11&gt;=15,$X$11&lt;=20)),AG10,0)</f>
        <v>2454.1</v>
      </c>
      <c r="AR9" s="495"/>
    </row>
    <row r="10" spans="2:44" ht="15.75" thickBot="1" x14ac:dyDescent="0.3">
      <c r="B10" s="87" t="s">
        <v>138</v>
      </c>
      <c r="C10" s="88">
        <v>26.7</v>
      </c>
      <c r="D10" s="89" t="s">
        <v>71</v>
      </c>
      <c r="F10" s="867" t="s">
        <v>177</v>
      </c>
      <c r="G10" s="861" t="s">
        <v>178</v>
      </c>
      <c r="H10" s="862"/>
      <c r="I10" s="863"/>
      <c r="J10" s="1">
        <v>0.05</v>
      </c>
      <c r="K10" s="90" t="s">
        <v>179</v>
      </c>
      <c r="L10" s="91" t="s">
        <v>180</v>
      </c>
      <c r="M10" s="92">
        <f>SQRT(3)</f>
        <v>1.7320508075688772</v>
      </c>
      <c r="N10" s="93">
        <f>J10/M10</f>
        <v>2.8867513459481291E-2</v>
      </c>
      <c r="O10" s="94">
        <v>1</v>
      </c>
      <c r="P10" s="90" t="s">
        <v>179</v>
      </c>
      <c r="Q10" s="93">
        <f>N10*O10</f>
        <v>2.8867513459481291E-2</v>
      </c>
      <c r="R10" s="91" t="s">
        <v>181</v>
      </c>
      <c r="S10" s="91">
        <f>Q10^4/(IF(R10="∞",100000,R10))</f>
        <v>6.9444444444444466E-12</v>
      </c>
      <c r="T10" s="44"/>
      <c r="V10" s="164" t="s">
        <v>141</v>
      </c>
      <c r="W10" s="420" t="s">
        <v>142</v>
      </c>
      <c r="X10" s="167">
        <f>AJ45</f>
        <v>3.5351800000000004</v>
      </c>
      <c r="AD10" s="170">
        <v>20</v>
      </c>
      <c r="AE10" s="170">
        <v>2.339</v>
      </c>
      <c r="AF10" s="170">
        <v>83.96</v>
      </c>
      <c r="AG10" s="170">
        <v>2454.1</v>
      </c>
      <c r="AI10" s="171" t="s">
        <v>143</v>
      </c>
      <c r="AJ10" s="170">
        <f>IF((AND($X$11&gt;20,$X$11&lt;=25)),20,0)</f>
        <v>0</v>
      </c>
      <c r="AK10" s="170">
        <f>IF((AND($X$11&gt;20,$X$11&lt;=25)),25,0)</f>
        <v>0</v>
      </c>
      <c r="AL10" s="170">
        <f>IF((AND($X$11&gt;20,$X$11&lt;=25)),AE10,0)</f>
        <v>0</v>
      </c>
      <c r="AM10" s="170">
        <f>IF((AND($X$11&gt;20,$X$11&lt;=25)),AE11,0)</f>
        <v>0</v>
      </c>
      <c r="AN10" s="170">
        <f>IF((AND($X$11&gt;20,$X$11&lt;=25)),AF10,0)</f>
        <v>0</v>
      </c>
      <c r="AO10" s="170">
        <f>IF((AND($X$11&gt;20,$X$11&lt;=25)),AF11,0)</f>
        <v>0</v>
      </c>
      <c r="AP10" s="170">
        <f>IF((AND($X$11&gt;20,$X$11&lt;=25)),AG10,0)</f>
        <v>0</v>
      </c>
      <c r="AQ10" s="170">
        <f>IF((AND($X$11&gt;20,$X$11&lt;=25)),AG11,0)</f>
        <v>0</v>
      </c>
      <c r="AR10" s="495"/>
    </row>
    <row r="11" spans="2:44" ht="15.75" thickBot="1" x14ac:dyDescent="0.3">
      <c r="B11" s="95" t="s">
        <v>144</v>
      </c>
      <c r="C11" s="88">
        <v>19.399999999999999</v>
      </c>
      <c r="D11" s="96" t="s">
        <v>71</v>
      </c>
      <c r="F11" s="868"/>
      <c r="G11" s="930" t="s">
        <v>182</v>
      </c>
      <c r="H11" s="931"/>
      <c r="I11" s="932"/>
      <c r="J11" s="1">
        <v>1</v>
      </c>
      <c r="K11" s="90" t="s">
        <v>179</v>
      </c>
      <c r="L11" s="91" t="s">
        <v>180</v>
      </c>
      <c r="M11" s="92">
        <f>SQRT(3)</f>
        <v>1.7320508075688772</v>
      </c>
      <c r="N11" s="93">
        <f>J11/M11</f>
        <v>0.57735026918962584</v>
      </c>
      <c r="O11" s="94">
        <v>1</v>
      </c>
      <c r="P11" s="90" t="s">
        <v>179</v>
      </c>
      <c r="Q11" s="93">
        <f>N11*O11</f>
        <v>0.57735026918962584</v>
      </c>
      <c r="R11" s="91" t="s">
        <v>181</v>
      </c>
      <c r="S11" s="91">
        <f>Q11^4/(IF(R11="∞",100000,R11))</f>
        <v>1.1111111111111117E-6</v>
      </c>
      <c r="T11" s="44"/>
      <c r="V11" s="84" t="s">
        <v>144</v>
      </c>
      <c r="W11" s="85" t="s">
        <v>145</v>
      </c>
      <c r="X11" s="97">
        <f>C11</f>
        <v>19.399999999999999</v>
      </c>
      <c r="AD11" s="170">
        <v>25</v>
      </c>
      <c r="AE11" s="170">
        <v>3.169</v>
      </c>
      <c r="AF11" s="170">
        <v>104.89</v>
      </c>
      <c r="AG11" s="170">
        <v>2442.3000000000002</v>
      </c>
      <c r="AI11" s="171" t="s">
        <v>146</v>
      </c>
      <c r="AJ11" s="170">
        <f>IF((AND($X$11&gt;25,$X$11&lt;=30)),25,0)</f>
        <v>0</v>
      </c>
      <c r="AK11" s="170">
        <f>IF((AND($X$11&gt;25,$X$11&lt;=30)),30,0)</f>
        <v>0</v>
      </c>
      <c r="AL11" s="170">
        <f>IF((AND($X$11&gt;25,$X$11&lt;=30)),AE11,0)</f>
        <v>0</v>
      </c>
      <c r="AM11" s="170">
        <f>IF((AND($X$11&gt;25,$X$11&lt;=30)),AE12,0)</f>
        <v>0</v>
      </c>
      <c r="AN11" s="170">
        <f>IF((AND($X$11&gt;25,$X$11&lt;=30)),AF11,0)</f>
        <v>0</v>
      </c>
      <c r="AO11" s="170">
        <f>IF((AND($X$11&gt;25,$X$11&lt;=30)),AF12,0)</f>
        <v>0</v>
      </c>
      <c r="AP11" s="170">
        <f>IF((AND($X$11&gt;25,$X$11&lt;=30)),AG11,0)</f>
        <v>0</v>
      </c>
      <c r="AQ11" s="170">
        <f>IF((AND($X$11&gt;25,$X$11&lt;=30)),AG12,0)</f>
        <v>0</v>
      </c>
      <c r="AR11" s="495"/>
    </row>
    <row r="12" spans="2:44" ht="15.75" thickBot="1" x14ac:dyDescent="0.3">
      <c r="B12" s="98" t="s">
        <v>68</v>
      </c>
      <c r="C12" s="88">
        <v>101.3</v>
      </c>
      <c r="D12" s="99" t="s">
        <v>193</v>
      </c>
      <c r="F12" s="868"/>
      <c r="G12" s="933"/>
      <c r="H12" s="934"/>
      <c r="I12" s="935"/>
      <c r="J12" s="2"/>
      <c r="K12" s="100"/>
      <c r="L12" s="83"/>
      <c r="M12" s="101"/>
      <c r="N12" s="102"/>
      <c r="O12" s="103"/>
      <c r="P12" s="102"/>
      <c r="Q12" s="102"/>
      <c r="R12" s="83"/>
      <c r="S12" s="83"/>
      <c r="T12" s="44"/>
      <c r="V12" s="84" t="s">
        <v>68</v>
      </c>
      <c r="W12" s="85" t="s">
        <v>147</v>
      </c>
      <c r="X12" s="104">
        <f>C12</f>
        <v>101.3</v>
      </c>
      <c r="AD12" s="170">
        <v>30</v>
      </c>
      <c r="AE12" s="170">
        <v>4.2460000000000004</v>
      </c>
      <c r="AF12" s="170">
        <v>125.79</v>
      </c>
      <c r="AG12" s="170">
        <v>2430.5</v>
      </c>
      <c r="AI12" s="171" t="s">
        <v>148</v>
      </c>
      <c r="AJ12" s="170">
        <f>IF((AND($X$11&gt;30,$X$11&lt;=35)),30,0)</f>
        <v>0</v>
      </c>
      <c r="AK12" s="170">
        <f>IF((AND($X$11&gt;30,$X$11&lt;=35)),35,0)</f>
        <v>0</v>
      </c>
      <c r="AL12" s="170">
        <f>IF((AND($X$11&gt;30,$X$11&lt;=35)),AE12,0)</f>
        <v>0</v>
      </c>
      <c r="AM12" s="170">
        <f>IF((AND($X$11&gt;30,$X$11&lt;=35)),AE13,0)</f>
        <v>0</v>
      </c>
      <c r="AN12" s="170">
        <f>IF((AND($X$11&gt;30,$X$11&lt;=35)),AF12,0)</f>
        <v>0</v>
      </c>
      <c r="AO12" s="170">
        <f>IF((AND($X$11&gt;30,$X$11&lt;=35)),AF13,0)</f>
        <v>0</v>
      </c>
      <c r="AP12" s="170">
        <f>IF((AND($X$11&gt;30,$X$11&lt;=35)),AG12,0)</f>
        <v>0</v>
      </c>
      <c r="AQ12" s="170">
        <f>IF((AND($X$11&gt;30,$X$11&lt;=35)),AI13,0)</f>
        <v>0</v>
      </c>
      <c r="AR12" s="495"/>
    </row>
    <row r="13" spans="2:44" x14ac:dyDescent="0.25">
      <c r="F13" s="868"/>
      <c r="G13" s="876"/>
      <c r="H13" s="877"/>
      <c r="I13" s="878"/>
      <c r="J13" s="105"/>
      <c r="K13" s="106"/>
      <c r="L13" s="83"/>
      <c r="M13" s="101"/>
      <c r="N13" s="102"/>
      <c r="O13" s="103"/>
      <c r="P13" s="102"/>
      <c r="Q13" s="102"/>
      <c r="R13" s="83"/>
      <c r="S13" s="83"/>
      <c r="T13" s="44"/>
      <c r="V13" s="164" t="s">
        <v>149</v>
      </c>
      <c r="W13" s="420" t="s">
        <v>150</v>
      </c>
      <c r="X13" s="168">
        <f>((X7*(X11-X9))+(X14*AP24))/(X8-AM24)</f>
        <v>1.1181010092356603E-2</v>
      </c>
      <c r="AD13" s="170">
        <v>35</v>
      </c>
      <c r="AE13" s="170">
        <v>5.6280000000000001</v>
      </c>
      <c r="AF13" s="170">
        <v>146.68</v>
      </c>
      <c r="AG13" s="170">
        <v>2418.6</v>
      </c>
      <c r="AI13" s="171" t="s">
        <v>151</v>
      </c>
      <c r="AJ13" s="170">
        <f>IF((AND($X$11&gt;35,$X$11&lt;=40)),35,0)</f>
        <v>0</v>
      </c>
      <c r="AK13" s="170">
        <f>IF((AND($X$11&gt;35,$X$11&lt;=40)),40,0)</f>
        <v>0</v>
      </c>
      <c r="AL13" s="170">
        <f>IF((AND($X$11&gt;35,$X$11&lt;=40)),AE13,0)</f>
        <v>0</v>
      </c>
      <c r="AM13" s="170">
        <f>IF((AND($X$11&gt;35,$X$11&lt;=40)),AE14,0)</f>
        <v>0</v>
      </c>
      <c r="AN13" s="170">
        <f>IF((AND($X$11&gt;35,$X$11&lt;=40)),AF13,0)</f>
        <v>0</v>
      </c>
      <c r="AO13" s="170">
        <f>IF((AND($X$11&gt;35,$X$11&lt;=40)),AF14,0)</f>
        <v>0</v>
      </c>
      <c r="AP13" s="170">
        <f>IF((AND($X$11&gt;35,$X$11&lt;=40)),AG13,0)</f>
        <v>0</v>
      </c>
      <c r="AQ13" s="170">
        <f>IF((AND($X$11&gt;35,$X$11&lt;=40)),AI14,0)</f>
        <v>0</v>
      </c>
      <c r="AR13" s="495"/>
    </row>
    <row r="14" spans="2:44" x14ac:dyDescent="0.25">
      <c r="F14" s="869"/>
      <c r="G14" s="876"/>
      <c r="H14" s="877"/>
      <c r="I14" s="878"/>
      <c r="J14" s="3"/>
      <c r="K14" s="106"/>
      <c r="L14" s="83"/>
      <c r="M14" s="83"/>
      <c r="N14" s="102"/>
      <c r="O14" s="103"/>
      <c r="P14" s="102"/>
      <c r="Q14" s="102"/>
      <c r="R14" s="83"/>
      <c r="S14" s="83"/>
      <c r="T14" s="44"/>
      <c r="V14" s="164" t="s">
        <v>152</v>
      </c>
      <c r="W14" s="420" t="s">
        <v>153</v>
      </c>
      <c r="X14" s="168">
        <f>(0.622*AJ24)/(X12-AJ24)</f>
        <v>1.4212214657378829E-2</v>
      </c>
      <c r="AD14" s="170">
        <v>40</v>
      </c>
      <c r="AE14" s="170">
        <v>7.3840000000000003</v>
      </c>
      <c r="AF14" s="170">
        <v>167.57</v>
      </c>
      <c r="AG14" s="170">
        <v>2406.6999999999998</v>
      </c>
      <c r="AI14" s="171" t="s">
        <v>154</v>
      </c>
      <c r="AJ14" s="170">
        <f>IF((AND($X$11&gt;40,$X$11&lt;=45)),40,0)</f>
        <v>0</v>
      </c>
      <c r="AK14" s="170">
        <f>IF((AND($X$11&gt;40,$X$11&lt;=45)),45,0)</f>
        <v>0</v>
      </c>
      <c r="AL14" s="170">
        <f>IF((AND($X$11&gt;40,$X$11&lt;=45)),AE14,0)</f>
        <v>0</v>
      </c>
      <c r="AM14" s="170">
        <f>IF((AND($X$11&gt;40,$X$11&lt;=45)),AE15,0)</f>
        <v>0</v>
      </c>
      <c r="AN14" s="170">
        <f>IF((AND($X$11&gt;40,$X$11&lt;=45)),AF14,0)</f>
        <v>0</v>
      </c>
      <c r="AO14" s="170">
        <f>IF((AND($X$11&gt;40,$X$11&lt;=45)),AF15,0)</f>
        <v>0</v>
      </c>
      <c r="AP14" s="170">
        <f>IF((AND($X$11&gt;40,$X$11&lt;=45)),AG14,0)</f>
        <v>0</v>
      </c>
      <c r="AQ14" s="170">
        <f>IF((AND($X$11&gt;40,$X$11&lt;=45)),AI15,0)</f>
        <v>0</v>
      </c>
      <c r="AR14" s="495"/>
    </row>
    <row r="15" spans="2:44" ht="15.75" thickBot="1" x14ac:dyDescent="0.3">
      <c r="B15" s="165" t="s">
        <v>294</v>
      </c>
      <c r="F15" s="44"/>
      <c r="G15" s="44"/>
      <c r="H15" s="44"/>
      <c r="I15" s="44"/>
      <c r="J15" s="44"/>
      <c r="K15" s="44"/>
      <c r="L15" s="44"/>
      <c r="M15" s="44"/>
      <c r="N15" s="44"/>
      <c r="O15" s="44"/>
      <c r="P15" s="44"/>
      <c r="Q15" s="44"/>
      <c r="R15" s="44"/>
      <c r="S15" s="44"/>
      <c r="T15" s="44"/>
      <c r="V15" s="164" t="s">
        <v>155</v>
      </c>
      <c r="W15" s="169" t="s">
        <v>156</v>
      </c>
      <c r="X15" s="166">
        <f>(X13*X12)/((0.622+X13)*X10)</f>
        <v>0.50600064673932543</v>
      </c>
      <c r="AD15" s="170">
        <v>45</v>
      </c>
      <c r="AE15" s="170">
        <v>9.593</v>
      </c>
      <c r="AF15" s="170">
        <v>188.45</v>
      </c>
      <c r="AG15" s="170">
        <v>2394.8000000000002</v>
      </c>
      <c r="AI15" s="171" t="s">
        <v>157</v>
      </c>
      <c r="AJ15" s="170">
        <f>IF((AND($X$11&gt;45,$X$11&lt;=50)),45,0)</f>
        <v>0</v>
      </c>
      <c r="AK15" s="170">
        <f>IF((AND($X$11&gt;45,$X$11&lt;=50)),50,0)</f>
        <v>0</v>
      </c>
      <c r="AL15" s="170">
        <f>IF((AND($X$11&gt;45,$X$11&lt;=50)),AE15,0)</f>
        <v>0</v>
      </c>
      <c r="AM15" s="170">
        <f>IF((AND($X$11&gt;45,$X$11&lt;=50)),AE16,0)</f>
        <v>0</v>
      </c>
      <c r="AN15" s="170">
        <f>IF((AND($X$11&gt;45,$X$11&lt;=50)),AF15,0)</f>
        <v>0</v>
      </c>
      <c r="AO15" s="170">
        <f>IF((AND($X$11&gt;45,$X$11&lt;=50)),AF16,0)</f>
        <v>0</v>
      </c>
      <c r="AP15" s="170">
        <f>IF((AND($X$11&gt;45,$X$11&lt;=50)),AG15,0)</f>
        <v>0</v>
      </c>
      <c r="AQ15" s="170">
        <f>IF((AND($X$11&gt;45,$X$11&lt;=50)),AI16,0)</f>
        <v>0</v>
      </c>
      <c r="AR15" s="495"/>
    </row>
    <row r="16" spans="2:44" ht="16.5" thickTop="1" thickBot="1" x14ac:dyDescent="0.3">
      <c r="F16" s="44"/>
      <c r="G16" s="44"/>
      <c r="H16" s="44"/>
      <c r="I16" s="44"/>
      <c r="J16" s="44"/>
      <c r="K16" s="107" t="s">
        <v>183</v>
      </c>
      <c r="L16" s="108">
        <v>0.95450000000000002</v>
      </c>
      <c r="M16" s="107" t="s">
        <v>184</v>
      </c>
      <c r="N16" s="109">
        <f>TINV(1-L16,IF(R16="∞",100000,R16))</f>
        <v>2.0000274442871735</v>
      </c>
      <c r="O16" s="107"/>
      <c r="P16" s="107" t="s">
        <v>185</v>
      </c>
      <c r="Q16" s="110">
        <f>SQRT(SUMSQ(Q10:Q14))</f>
        <v>0.57807150653415429</v>
      </c>
      <c r="R16" s="109" t="str">
        <f>IF((Q16^4/S16)&gt;100000,"∞",(Q16^4/S16))</f>
        <v>∞</v>
      </c>
      <c r="S16" s="107">
        <f>SUM(S10:S14)</f>
        <v>1.1111180555555562E-6</v>
      </c>
      <c r="T16" s="44"/>
      <c r="AD16" s="170">
        <v>50</v>
      </c>
      <c r="AE16" s="170">
        <v>12.35</v>
      </c>
      <c r="AF16" s="170">
        <v>209.33</v>
      </c>
      <c r="AG16" s="170">
        <v>2382.6999999999998</v>
      </c>
      <c r="AI16" s="171" t="s">
        <v>159</v>
      </c>
      <c r="AJ16" s="170">
        <f>IF((AND($X$11&gt;50,$X$11&lt;=55)),50,0)</f>
        <v>0</v>
      </c>
      <c r="AK16" s="170">
        <f>IF((AND($X$11&gt;50,$X$11&lt;=55)),55,0)</f>
        <v>0</v>
      </c>
      <c r="AL16" s="170">
        <f>IF((AND($X$11&gt;50,$X$11&lt;=55)),AE16,0)</f>
        <v>0</v>
      </c>
      <c r="AM16" s="170">
        <f>IF((AND($X$11&gt;50,$X$11&lt;=55)),AE17,0)</f>
        <v>0</v>
      </c>
      <c r="AN16" s="170">
        <f>IF((AND($X$11&gt;50,$X$11&lt;=55)),AF16,0)</f>
        <v>0</v>
      </c>
      <c r="AO16" s="170">
        <f>IF((AND($X$11&gt;50,$X$11&lt;=55)),AF17,0)</f>
        <v>0</v>
      </c>
      <c r="AP16" s="170">
        <f>IF((AND($X$11&gt;50,$X$11&lt;=55)),AG16,0)</f>
        <v>0</v>
      </c>
      <c r="AQ16" s="170">
        <f>IF((AND($X$11&gt;50,$X$11&lt;=55)),AI17,0)</f>
        <v>0</v>
      </c>
      <c r="AR16" s="495"/>
    </row>
    <row r="17" spans="2:44" ht="16.5" thickTop="1" thickBot="1" x14ac:dyDescent="0.3">
      <c r="B17" s="111" t="s">
        <v>158</v>
      </c>
      <c r="C17" s="112">
        <f>X15*100</f>
        <v>50.600064673932543</v>
      </c>
      <c r="D17" s="113" t="s">
        <v>14</v>
      </c>
      <c r="F17" s="44"/>
      <c r="G17" s="44"/>
      <c r="H17" s="44"/>
      <c r="I17" s="44"/>
      <c r="J17" s="44"/>
      <c r="K17" s="44"/>
      <c r="L17" s="44"/>
      <c r="M17" s="44"/>
      <c r="N17" s="44"/>
      <c r="O17" s="45"/>
      <c r="P17" s="46"/>
      <c r="Q17" s="46"/>
      <c r="R17" s="46"/>
      <c r="S17" s="44"/>
      <c r="T17" s="44"/>
      <c r="AD17" s="170">
        <v>55</v>
      </c>
      <c r="AE17" s="170">
        <v>15.76</v>
      </c>
      <c r="AF17" s="170">
        <v>230.23</v>
      </c>
      <c r="AG17" s="170">
        <v>2370.6999999999998</v>
      </c>
      <c r="AI17" s="171"/>
      <c r="AJ17" s="170">
        <f t="shared" ref="AJ17:AQ17" si="0">SUM(AJ9:AJ16)</f>
        <v>15</v>
      </c>
      <c r="AK17" s="170">
        <f t="shared" si="0"/>
        <v>20</v>
      </c>
      <c r="AL17" s="170">
        <f>SUM(AL9:AL16)</f>
        <v>1.7050000000000001</v>
      </c>
      <c r="AM17" s="170">
        <f t="shared" si="0"/>
        <v>2.339</v>
      </c>
      <c r="AN17" s="170">
        <f t="shared" si="0"/>
        <v>62.99</v>
      </c>
      <c r="AO17" s="170">
        <f t="shared" si="0"/>
        <v>83.96</v>
      </c>
      <c r="AP17" s="170">
        <f t="shared" si="0"/>
        <v>2465.9</v>
      </c>
      <c r="AQ17" s="170">
        <f t="shared" si="0"/>
        <v>2454.1</v>
      </c>
      <c r="AR17" s="495"/>
    </row>
    <row r="18" spans="2:44" ht="16.5" thickTop="1" thickBot="1" x14ac:dyDescent="0.3">
      <c r="B18" s="114" t="s">
        <v>199</v>
      </c>
      <c r="C18" s="115">
        <f>'Cálculo cond ambiental'!Q41</f>
        <v>1.2394325718909618</v>
      </c>
      <c r="D18" s="116" t="s">
        <v>14</v>
      </c>
      <c r="F18" s="44"/>
      <c r="G18" s="44"/>
      <c r="H18" s="44"/>
      <c r="I18" s="44"/>
      <c r="J18" s="44"/>
      <c r="K18" s="44"/>
      <c r="L18" s="44"/>
      <c r="M18" s="44"/>
      <c r="N18" s="44"/>
      <c r="O18" s="47"/>
      <c r="P18" s="48" t="s">
        <v>186</v>
      </c>
      <c r="Q18" s="117">
        <f>(N16*Q16)</f>
        <v>1.1561588778287406</v>
      </c>
      <c r="R18" s="50" t="s">
        <v>179</v>
      </c>
      <c r="S18" s="44"/>
      <c r="T18" s="44"/>
    </row>
    <row r="19" spans="2:44" ht="15.75" thickBot="1" x14ac:dyDescent="0.3">
      <c r="B19" s="118" t="s">
        <v>292</v>
      </c>
      <c r="C19" s="119">
        <f>(31.9*AP32)/(1-(0.131*AP32))</f>
        <v>16.555548048484919</v>
      </c>
      <c r="D19" s="120" t="s">
        <v>71</v>
      </c>
      <c r="F19" s="44"/>
      <c r="G19" s="44"/>
      <c r="H19" s="44"/>
      <c r="I19" s="44"/>
      <c r="J19" s="44"/>
      <c r="K19" s="44"/>
      <c r="L19" s="44"/>
      <c r="M19" s="44"/>
      <c r="N19" s="44"/>
      <c r="O19" s="44"/>
      <c r="P19" s="44"/>
      <c r="Q19" s="44"/>
      <c r="R19" s="44"/>
      <c r="S19" s="44"/>
      <c r="T19" s="44"/>
      <c r="AI19" s="181" t="s">
        <v>160</v>
      </c>
      <c r="AJ19" s="179">
        <f>X11</f>
        <v>19.399999999999999</v>
      </c>
      <c r="AL19" s="183" t="s">
        <v>160</v>
      </c>
      <c r="AM19" s="185">
        <f>X11</f>
        <v>19.399999999999999</v>
      </c>
      <c r="AN19" s="173"/>
      <c r="AO19" s="183" t="s">
        <v>160</v>
      </c>
      <c r="AP19" s="185">
        <f>X11</f>
        <v>19.399999999999999</v>
      </c>
    </row>
    <row r="20" spans="2:44" x14ac:dyDescent="0.25">
      <c r="F20" s="44"/>
      <c r="G20" s="44"/>
      <c r="H20" s="44"/>
      <c r="I20" s="44"/>
      <c r="J20" s="44"/>
      <c r="K20" s="44"/>
      <c r="L20" s="44"/>
      <c r="M20" s="44"/>
      <c r="N20" s="44"/>
      <c r="O20" s="44"/>
      <c r="P20" s="44"/>
      <c r="Q20" s="44"/>
      <c r="R20" s="44"/>
      <c r="S20" s="44"/>
      <c r="T20" s="44"/>
      <c r="AI20" s="182" t="s">
        <v>130</v>
      </c>
      <c r="AJ20" s="180">
        <f>AJ17</f>
        <v>15</v>
      </c>
      <c r="AL20" s="184" t="s">
        <v>130</v>
      </c>
      <c r="AM20" s="186">
        <f>AJ17</f>
        <v>15</v>
      </c>
      <c r="AN20" s="173"/>
      <c r="AO20" s="184" t="s">
        <v>130</v>
      </c>
      <c r="AP20" s="186">
        <f>AJ17</f>
        <v>15</v>
      </c>
    </row>
    <row r="21" spans="2:44" x14ac:dyDescent="0.25">
      <c r="F21" s="83"/>
      <c r="G21" s="864" t="s">
        <v>168</v>
      </c>
      <c r="H21" s="865"/>
      <c r="I21" s="866"/>
      <c r="J21" s="83" t="s">
        <v>169</v>
      </c>
      <c r="K21" s="83" t="s">
        <v>65</v>
      </c>
      <c r="L21" s="83" t="s">
        <v>170</v>
      </c>
      <c r="M21" s="83" t="s">
        <v>171</v>
      </c>
      <c r="N21" s="83" t="s">
        <v>172</v>
      </c>
      <c r="O21" s="83" t="s">
        <v>173</v>
      </c>
      <c r="P21" s="83" t="s">
        <v>65</v>
      </c>
      <c r="Q21" s="83" t="s">
        <v>174</v>
      </c>
      <c r="R21" s="83" t="s">
        <v>175</v>
      </c>
      <c r="S21" s="83" t="s">
        <v>176</v>
      </c>
      <c r="T21" s="44"/>
      <c r="AI21" s="182" t="s">
        <v>161</v>
      </c>
      <c r="AJ21" s="180">
        <f>AK17</f>
        <v>20</v>
      </c>
      <c r="AL21" s="184" t="s">
        <v>161</v>
      </c>
      <c r="AM21" s="186">
        <f>AK17</f>
        <v>20</v>
      </c>
      <c r="AN21" s="173"/>
      <c r="AO21" s="184" t="s">
        <v>161</v>
      </c>
      <c r="AP21" s="186">
        <f>AK17</f>
        <v>20</v>
      </c>
    </row>
    <row r="22" spans="2:44" x14ac:dyDescent="0.25">
      <c r="F22" s="867" t="s">
        <v>187</v>
      </c>
      <c r="G22" s="861" t="s">
        <v>188</v>
      </c>
      <c r="H22" s="862"/>
      <c r="I22" s="863"/>
      <c r="J22" s="1">
        <f>0.35/2</f>
        <v>0.17499999999999999</v>
      </c>
      <c r="K22" s="90" t="s">
        <v>71</v>
      </c>
      <c r="L22" s="91" t="s">
        <v>189</v>
      </c>
      <c r="M22" s="92">
        <v>1</v>
      </c>
      <c r="N22" s="93">
        <f>J22/M22</f>
        <v>0.17499999999999999</v>
      </c>
      <c r="O22" s="94">
        <v>1</v>
      </c>
      <c r="P22" s="90" t="s">
        <v>190</v>
      </c>
      <c r="Q22" s="93">
        <f>N22*O22</f>
        <v>0.17499999999999999</v>
      </c>
      <c r="R22" s="91" t="s">
        <v>181</v>
      </c>
      <c r="S22" s="91">
        <f>Q22^4/(IF(R22="∞",100000,R22))</f>
        <v>9.3789062499999966E-9</v>
      </c>
      <c r="T22" s="44"/>
      <c r="AI22" s="182" t="s">
        <v>132</v>
      </c>
      <c r="AJ22" s="180">
        <f>AL17</f>
        <v>1.7050000000000001</v>
      </c>
      <c r="AL22" s="184" t="s">
        <v>134</v>
      </c>
      <c r="AM22" s="186">
        <f>AN17</f>
        <v>62.99</v>
      </c>
      <c r="AN22" s="173"/>
      <c r="AO22" s="184" t="s">
        <v>136</v>
      </c>
      <c r="AP22" s="186">
        <f>AP17</f>
        <v>2465.9</v>
      </c>
    </row>
    <row r="23" spans="2:44" ht="15.75" thickBot="1" x14ac:dyDescent="0.3">
      <c r="F23" s="868"/>
      <c r="G23" s="930" t="s">
        <v>191</v>
      </c>
      <c r="H23" s="931"/>
      <c r="I23" s="932"/>
      <c r="J23" s="1">
        <f>0.35/2</f>
        <v>0.17499999999999999</v>
      </c>
      <c r="K23" s="90" t="s">
        <v>71</v>
      </c>
      <c r="L23" s="91" t="s">
        <v>189</v>
      </c>
      <c r="M23" s="92">
        <v>1</v>
      </c>
      <c r="N23" s="93">
        <f>J23/M23</f>
        <v>0.17499999999999999</v>
      </c>
      <c r="O23" s="94">
        <v>-1</v>
      </c>
      <c r="P23" s="90" t="s">
        <v>190</v>
      </c>
      <c r="Q23" s="93">
        <f>N23*O23</f>
        <v>-0.17499999999999999</v>
      </c>
      <c r="R23" s="91" t="s">
        <v>181</v>
      </c>
      <c r="S23" s="91">
        <f>Q23^4/(IF(R23="∞",100000,R23))</f>
        <v>9.3789062499999966E-9</v>
      </c>
      <c r="T23" s="44"/>
      <c r="AI23" s="182" t="s">
        <v>162</v>
      </c>
      <c r="AJ23" s="180">
        <f>AM17</f>
        <v>2.339</v>
      </c>
      <c r="AL23" s="184" t="s">
        <v>163</v>
      </c>
      <c r="AM23" s="186">
        <f>AO17</f>
        <v>83.96</v>
      </c>
      <c r="AN23" s="173"/>
      <c r="AO23" s="184" t="s">
        <v>164</v>
      </c>
      <c r="AP23" s="186">
        <f>AQ17</f>
        <v>2454.1</v>
      </c>
    </row>
    <row r="24" spans="2:44" ht="15.75" thickBot="1" x14ac:dyDescent="0.3">
      <c r="F24" s="868"/>
      <c r="G24" s="930" t="s">
        <v>192</v>
      </c>
      <c r="H24" s="931"/>
      <c r="I24" s="932"/>
      <c r="J24" s="4">
        <f>Q18/20</f>
        <v>5.7807943891437029E-2</v>
      </c>
      <c r="K24" s="90" t="s">
        <v>193</v>
      </c>
      <c r="L24" s="91" t="s">
        <v>189</v>
      </c>
      <c r="M24" s="92">
        <v>1</v>
      </c>
      <c r="N24" s="93">
        <f>J24/M24</f>
        <v>5.7807943891437029E-2</v>
      </c>
      <c r="O24" s="125">
        <f>(-('Cálculo cond ambiental'!AP24*0.622*'Cálculo cond ambiental'!AJ24)/('Cálculo cond ambiental'!X8-'Cálculo cond ambiental'!AM24))*(1/(('Cálculo cond ambiental'!X12-'Cálculo cond ambiental'!AJ24)^2))</f>
        <v>-1.4294857789043619E-4</v>
      </c>
      <c r="P24" s="90" t="s">
        <v>190</v>
      </c>
      <c r="Q24" s="93">
        <f>N24*O24</f>
        <v>-8.2635633700510514E-6</v>
      </c>
      <c r="R24" s="91" t="s">
        <v>181</v>
      </c>
      <c r="S24" s="91">
        <f>Q24^4/(IF(R24="∞",100000,R24))</f>
        <v>4.6630432921800442E-26</v>
      </c>
      <c r="T24" s="44"/>
      <c r="AI24" s="126" t="s">
        <v>165</v>
      </c>
      <c r="AJ24" s="127">
        <f>(((AJ20-AJ19)/(AJ20-AJ21))*AJ23)+(((AJ19-AJ21)/(AJ20-AJ21))*AJ22)</f>
        <v>2.2629199999999998</v>
      </c>
      <c r="AL24" s="128" t="s">
        <v>166</v>
      </c>
      <c r="AM24" s="129">
        <f>(((AM20-AM19)/(AM20-AM21))*AM23)+(((AM19-AM21)/(AM20-AM21))*AM22)</f>
        <v>81.443599999999989</v>
      </c>
      <c r="AN24" s="173"/>
      <c r="AO24" s="128" t="s">
        <v>11</v>
      </c>
      <c r="AP24" s="129">
        <f>(((AP20-AP19)/(AP20-AP21))*AP23)+(((AP19-AP21)/(AP20-AP21))*AP22)</f>
        <v>2455.5160000000001</v>
      </c>
    </row>
    <row r="25" spans="2:44" x14ac:dyDescent="0.25">
      <c r="F25" s="868"/>
      <c r="G25" s="876"/>
      <c r="H25" s="877"/>
      <c r="I25" s="878"/>
      <c r="J25" s="105"/>
      <c r="K25" s="106"/>
      <c r="L25" s="83"/>
      <c r="M25" s="101"/>
      <c r="N25" s="102"/>
      <c r="O25" s="103"/>
      <c r="P25" s="102"/>
      <c r="Q25" s="102"/>
      <c r="R25" s="83"/>
      <c r="S25" s="83"/>
      <c r="T25" s="44"/>
      <c r="AL25" s="172"/>
      <c r="AM25" s="172"/>
      <c r="AO25" s="173"/>
    </row>
    <row r="26" spans="2:44" x14ac:dyDescent="0.25">
      <c r="F26" s="869"/>
      <c r="G26" s="876"/>
      <c r="H26" s="877"/>
      <c r="I26" s="878"/>
      <c r="J26" s="3"/>
      <c r="K26" s="106"/>
      <c r="L26" s="83"/>
      <c r="M26" s="83"/>
      <c r="N26" s="102"/>
      <c r="O26" s="103"/>
      <c r="P26" s="102"/>
      <c r="Q26" s="102"/>
      <c r="R26" s="83"/>
      <c r="S26" s="83"/>
      <c r="T26" s="44"/>
    </row>
    <row r="27" spans="2:44" ht="15.75" thickBot="1" x14ac:dyDescent="0.3">
      <c r="F27" s="130"/>
      <c r="G27" s="130"/>
      <c r="H27" s="130"/>
      <c r="I27" s="130"/>
      <c r="J27" s="130"/>
      <c r="K27" s="130"/>
      <c r="L27" s="130"/>
      <c r="M27" s="130"/>
      <c r="N27" s="130"/>
      <c r="O27" s="130"/>
      <c r="P27" s="130"/>
      <c r="Q27" s="130"/>
      <c r="R27" s="130"/>
      <c r="S27" s="130"/>
      <c r="T27" s="44"/>
      <c r="AI27" s="936"/>
      <c r="AJ27" s="936"/>
      <c r="AK27" s="936"/>
      <c r="AL27" s="936"/>
      <c r="AM27" s="936"/>
    </row>
    <row r="28" spans="2:44" ht="16.5" thickTop="1" thickBot="1" x14ac:dyDescent="0.3">
      <c r="F28" s="130"/>
      <c r="G28" s="130"/>
      <c r="H28" s="130"/>
      <c r="I28" s="130"/>
      <c r="J28" s="130"/>
      <c r="K28" s="131" t="s">
        <v>183</v>
      </c>
      <c r="L28" s="132">
        <v>0.95450000000000002</v>
      </c>
      <c r="M28" s="131" t="s">
        <v>184</v>
      </c>
      <c r="N28" s="133">
        <f>TINV(1-L28,IF(R28="∞",100000,R28))</f>
        <v>2.0000274442871735</v>
      </c>
      <c r="O28" s="131"/>
      <c r="P28" s="131" t="s">
        <v>185</v>
      </c>
      <c r="Q28" s="134">
        <f>SQRT(SUMSQ(Q22:Q26))</f>
        <v>0.24748737355325115</v>
      </c>
      <c r="R28" s="133" t="str">
        <f>IF((Q28^4/S28)&gt;100000,"∞",(Q28^4/S28))</f>
        <v>∞</v>
      </c>
      <c r="S28" s="131">
        <f>SUM(S22:S26)</f>
        <v>1.8757812499999993E-8</v>
      </c>
      <c r="T28" s="44"/>
      <c r="AI28" s="79"/>
      <c r="AJ28" s="170" t="s">
        <v>130</v>
      </c>
      <c r="AK28" s="170" t="s">
        <v>131</v>
      </c>
      <c r="AL28" s="170" t="s">
        <v>132</v>
      </c>
      <c r="AM28" s="170" t="s">
        <v>133</v>
      </c>
    </row>
    <row r="29" spans="2:44" ht="16.5" thickTop="1" thickBot="1" x14ac:dyDescent="0.3">
      <c r="F29" s="130"/>
      <c r="G29" s="130"/>
      <c r="H29" s="130"/>
      <c r="I29" s="130"/>
      <c r="J29" s="130"/>
      <c r="K29" s="130"/>
      <c r="L29" s="130"/>
      <c r="M29" s="130"/>
      <c r="N29" s="130"/>
      <c r="O29" s="135"/>
      <c r="P29" s="136"/>
      <c r="Q29" s="136"/>
      <c r="R29" s="136"/>
      <c r="S29" s="130"/>
      <c r="T29" s="44"/>
      <c r="AI29" s="171" t="s">
        <v>140</v>
      </c>
      <c r="AJ29" s="170">
        <f>IF((AND($X$9&gt;=15,$X$9&lt;=20)),15,0)</f>
        <v>0</v>
      </c>
      <c r="AK29" s="170">
        <f>IF((AND($X$9&gt;=15,$X$9&lt;=20)),20,0)</f>
        <v>0</v>
      </c>
      <c r="AL29" s="170">
        <f>IF((AND($X$9&gt;=15,$X$9&lt;=20)),AE9,0)</f>
        <v>0</v>
      </c>
      <c r="AM29" s="170">
        <f>IF((AND($X$9&gt;=15,$X$9&lt;=20)),AE10,0)</f>
        <v>0</v>
      </c>
      <c r="AO29" s="937" t="s">
        <v>293</v>
      </c>
      <c r="AP29" s="938"/>
      <c r="AQ29" s="939"/>
    </row>
    <row r="30" spans="2:44" ht="16.5" thickTop="1" thickBot="1" x14ac:dyDescent="0.3">
      <c r="F30" s="130"/>
      <c r="G30" s="130"/>
      <c r="H30" s="130"/>
      <c r="I30" s="130"/>
      <c r="J30" s="130"/>
      <c r="K30" s="130"/>
      <c r="L30" s="130"/>
      <c r="M30" s="130"/>
      <c r="N30" s="130"/>
      <c r="O30" s="137"/>
      <c r="P30" s="48" t="s">
        <v>186</v>
      </c>
      <c r="Q30" s="49">
        <f>(N28*Q28)</f>
        <v>0.49498153922105392</v>
      </c>
      <c r="R30" s="50" t="s">
        <v>190</v>
      </c>
      <c r="S30" s="130"/>
      <c r="T30" s="44"/>
      <c r="AI30" s="171" t="s">
        <v>143</v>
      </c>
      <c r="AJ30" s="170">
        <f>IF((AND($X$9&gt;20,$X$9&lt;=25)),20,0)</f>
        <v>0</v>
      </c>
      <c r="AK30" s="170">
        <f>IF((AND($X$9&gt;20,$X$9&lt;=25)),25,0)</f>
        <v>0</v>
      </c>
      <c r="AL30" s="170">
        <f>IF((AND($X$9&gt;20,$X$9&lt;=25)),AE10,0)</f>
        <v>0</v>
      </c>
      <c r="AM30" s="170">
        <f>IF((AND($X$9&gt;20,$X$9&lt;=25)),AE11,0)</f>
        <v>0</v>
      </c>
      <c r="AO30" s="174"/>
      <c r="AP30" s="164">
        <f>LOG10(AJ24*10)</f>
        <v>1.3546692008072774</v>
      </c>
      <c r="AQ30" s="175"/>
    </row>
    <row r="31" spans="2:44" ht="15.75" thickTop="1" x14ac:dyDescent="0.25">
      <c r="F31" s="130"/>
      <c r="G31" s="130"/>
      <c r="H31" s="130"/>
      <c r="I31" s="130"/>
      <c r="J31" s="130"/>
      <c r="K31" s="130"/>
      <c r="L31" s="130"/>
      <c r="M31" s="130"/>
      <c r="N31" s="130"/>
      <c r="O31" s="130"/>
      <c r="P31" s="130"/>
      <c r="Q31" s="130"/>
      <c r="R31" s="130"/>
      <c r="S31" s="130"/>
      <c r="T31" s="44"/>
      <c r="AI31" s="171" t="s">
        <v>146</v>
      </c>
      <c r="AJ31" s="170">
        <f>IF((AND($X$9&gt;25,$X$9&lt;=30)),25,0)</f>
        <v>25</v>
      </c>
      <c r="AK31" s="170">
        <f>IF((AND($X$9&gt;25,$X$9&lt;=30)),30,0)</f>
        <v>30</v>
      </c>
      <c r="AL31" s="170">
        <f>IF((AND($X$9&gt;25,$X$9&lt;=30)),AE11,0)</f>
        <v>3.169</v>
      </c>
      <c r="AM31" s="170">
        <f>IF((AND($X$9&gt;25,$X$9&lt;=30)),AE12,0)</f>
        <v>4.2460000000000004</v>
      </c>
      <c r="AO31" s="174"/>
      <c r="AP31" s="164">
        <f>LOG10(613.34)</f>
        <v>2.7877012888564137</v>
      </c>
      <c r="AQ31" s="175"/>
    </row>
    <row r="32" spans="2:44" ht="15.75" thickBot="1" x14ac:dyDescent="0.3">
      <c r="F32" s="83"/>
      <c r="G32" s="864" t="s">
        <v>168</v>
      </c>
      <c r="H32" s="865"/>
      <c r="I32" s="866"/>
      <c r="J32" s="83" t="s">
        <v>169</v>
      </c>
      <c r="K32" s="83" t="s">
        <v>65</v>
      </c>
      <c r="L32" s="83" t="s">
        <v>170</v>
      </c>
      <c r="M32" s="83" t="s">
        <v>171</v>
      </c>
      <c r="N32" s="83" t="s">
        <v>172</v>
      </c>
      <c r="O32" s="83" t="s">
        <v>173</v>
      </c>
      <c r="P32" s="83" t="s">
        <v>65</v>
      </c>
      <c r="Q32" s="83" t="s">
        <v>174</v>
      </c>
      <c r="R32" s="83" t="s">
        <v>175</v>
      </c>
      <c r="S32" s="83" t="s">
        <v>176</v>
      </c>
      <c r="T32" s="44"/>
      <c r="AI32" s="171" t="s">
        <v>148</v>
      </c>
      <c r="AJ32" s="170">
        <f>IF((AND($X$9&gt;30,$X$9&lt;=35)),30,0)</f>
        <v>0</v>
      </c>
      <c r="AK32" s="170">
        <f>IF((AND($X$9&gt;30,$X$9&lt;=35)),35,0)</f>
        <v>0</v>
      </c>
      <c r="AL32" s="170">
        <f>IF((AND($X$9&gt;30,$X$9&lt;=35)),AE12,0)</f>
        <v>0</v>
      </c>
      <c r="AM32" s="170">
        <f>IF((AND($X$9&gt;30,$X$9&lt;=35)),AE13,0)</f>
        <v>0</v>
      </c>
      <c r="AO32" s="176"/>
      <c r="AP32" s="177">
        <f>AP30/AP31</f>
        <v>0.4859448916648445</v>
      </c>
      <c r="AQ32" s="178"/>
    </row>
    <row r="33" spans="6:39" x14ac:dyDescent="0.25">
      <c r="F33" s="867" t="s">
        <v>83</v>
      </c>
      <c r="G33" s="930" t="s">
        <v>195</v>
      </c>
      <c r="H33" s="931"/>
      <c r="I33" s="932"/>
      <c r="J33" s="4">
        <f>Q30/2</f>
        <v>0.24749076961052696</v>
      </c>
      <c r="K33" s="90" t="s">
        <v>196</v>
      </c>
      <c r="L33" s="91" t="s">
        <v>189</v>
      </c>
      <c r="M33" s="92">
        <v>1</v>
      </c>
      <c r="N33" s="93">
        <f>J33/M33</f>
        <v>0.24749076961052696</v>
      </c>
      <c r="O33" s="94">
        <f>((1/(0.622*'Cálculo cond ambiental'!X13))-('Cálculo cond ambiental'!X13/((0.622*'Cálculo cond ambiental'!X13)^2)))*(('Cálculo cond ambiental'!X12/10)/'Cálculo cond ambiental'!X10)</f>
        <v>-250.39629859226272</v>
      </c>
      <c r="P33" s="90" t="s">
        <v>197</v>
      </c>
      <c r="Q33" s="93">
        <f>N33*O33</f>
        <v>-61.970772646226408</v>
      </c>
      <c r="R33" s="91" t="s">
        <v>181</v>
      </c>
      <c r="S33" s="91">
        <f>Q33^4/(IF(R33="∞",100000,R33))</f>
        <v>147.48492908878316</v>
      </c>
      <c r="T33" s="44"/>
      <c r="AI33" s="171" t="s">
        <v>151</v>
      </c>
      <c r="AJ33" s="170">
        <f>IF((AND($X$9&gt;35,$X$9&lt;=40)),35,0)</f>
        <v>0</v>
      </c>
      <c r="AK33" s="170">
        <f>IF((AND($X$9&gt;35,$X$9&lt;=40)),40,0)</f>
        <v>0</v>
      </c>
      <c r="AL33" s="170">
        <f>IF((AND($X$9&gt;35,$X$9&lt;=40)),AE13,0)</f>
        <v>0</v>
      </c>
      <c r="AM33" s="170">
        <f>IF((AND($X$9&gt;35,$X$9&lt;=40)),AE14,0)</f>
        <v>0</v>
      </c>
    </row>
    <row r="34" spans="6:39" x14ac:dyDescent="0.25">
      <c r="F34" s="868"/>
      <c r="G34" s="930" t="s">
        <v>198</v>
      </c>
      <c r="H34" s="931"/>
      <c r="I34" s="932"/>
      <c r="J34" s="1">
        <f>J24</f>
        <v>5.7807943891437029E-2</v>
      </c>
      <c r="K34" s="90" t="s">
        <v>193</v>
      </c>
      <c r="L34" s="91" t="s">
        <v>189</v>
      </c>
      <c r="M34" s="92">
        <v>1</v>
      </c>
      <c r="N34" s="93">
        <f>J34/M34</f>
        <v>5.7807943891437029E-2</v>
      </c>
      <c r="O34" s="94">
        <f>'Cálculo cond ambiental'!X13/((0.622*'Cálculo cond ambiental'!X13)*'Cálculo cond ambiental'!X10)</f>
        <v>0.45477657199934457</v>
      </c>
      <c r="P34" s="90" t="s">
        <v>197</v>
      </c>
      <c r="Q34" s="93">
        <f>N34*O34</f>
        <v>2.6289698557278182E-2</v>
      </c>
      <c r="R34" s="91" t="s">
        <v>181</v>
      </c>
      <c r="S34" s="91">
        <f>Q34^4/(IF(R34="∞",100000,R34))</f>
        <v>4.776859037995218E-12</v>
      </c>
      <c r="T34" s="44"/>
      <c r="AI34" s="171" t="s">
        <v>154</v>
      </c>
      <c r="AJ34" s="170">
        <f>IF((AND($X$9&gt;40,$X$9&lt;=45)),40,0)</f>
        <v>0</v>
      </c>
      <c r="AK34" s="170">
        <f>IF((AND($X$9&gt;40,$X$9&lt;=45)),45,0)</f>
        <v>0</v>
      </c>
      <c r="AL34" s="170">
        <f>IF((AND($X$9&gt;40,$X$9&lt;=45)),AE14,0)</f>
        <v>0</v>
      </c>
      <c r="AM34" s="170">
        <f>IF((AND($X$9&gt;40,$X$9&lt;=45)),AE15,0)</f>
        <v>0</v>
      </c>
    </row>
    <row r="35" spans="6:39" x14ac:dyDescent="0.25">
      <c r="F35" s="868"/>
      <c r="G35" s="933"/>
      <c r="H35" s="934"/>
      <c r="I35" s="935"/>
      <c r="J35" s="5"/>
      <c r="K35" s="100"/>
      <c r="L35" s="83"/>
      <c r="M35" s="101"/>
      <c r="N35" s="102"/>
      <c r="O35" s="103"/>
      <c r="P35" s="100"/>
      <c r="Q35" s="102"/>
      <c r="R35" s="83"/>
      <c r="S35" s="83"/>
      <c r="T35" s="44"/>
      <c r="AI35" s="171" t="s">
        <v>157</v>
      </c>
      <c r="AJ35" s="170">
        <f>IF((AND($X$9&gt;45,$X$9&lt;=50)),45,0)</f>
        <v>0</v>
      </c>
      <c r="AK35" s="170">
        <f>IF((AND($X$9&gt;45,$X$9&lt;=50)),50,0)</f>
        <v>0</v>
      </c>
      <c r="AL35" s="170">
        <f>IF((AND($X$9&gt;45,$X$9&lt;=50)),AE15,0)</f>
        <v>0</v>
      </c>
      <c r="AM35" s="170">
        <f>IF((AND($X$9&gt;45,$X$9&lt;=50)),AE16,0)</f>
        <v>0</v>
      </c>
    </row>
    <row r="36" spans="6:39" x14ac:dyDescent="0.25">
      <c r="F36" s="868"/>
      <c r="G36" s="876"/>
      <c r="H36" s="877"/>
      <c r="I36" s="878"/>
      <c r="J36" s="105"/>
      <c r="K36" s="106"/>
      <c r="L36" s="83"/>
      <c r="M36" s="101"/>
      <c r="N36" s="102"/>
      <c r="O36" s="103"/>
      <c r="P36" s="102"/>
      <c r="Q36" s="102"/>
      <c r="R36" s="83"/>
      <c r="S36" s="83"/>
      <c r="T36" s="44"/>
      <c r="AI36" s="171" t="s">
        <v>159</v>
      </c>
      <c r="AJ36" s="170">
        <f>IF((AND($X$9&gt;50,$X$9&lt;=55)),50,0)</f>
        <v>0</v>
      </c>
      <c r="AK36" s="170">
        <f>IF((AND($X$9&gt;50,$X$9&lt;=55)),55,0)</f>
        <v>0</v>
      </c>
      <c r="AL36" s="170">
        <f>IF((AND($X$9&gt;50,$X$9&lt;=55)),AE16,0)</f>
        <v>0</v>
      </c>
      <c r="AM36" s="170">
        <f>IF((AND($X$9&gt;50,$X$9&lt;=55)),AE17,0)</f>
        <v>0</v>
      </c>
    </row>
    <row r="37" spans="6:39" x14ac:dyDescent="0.25">
      <c r="F37" s="869"/>
      <c r="G37" s="876"/>
      <c r="H37" s="877"/>
      <c r="I37" s="878"/>
      <c r="J37" s="3"/>
      <c r="K37" s="106"/>
      <c r="L37" s="83"/>
      <c r="M37" s="83"/>
      <c r="N37" s="102"/>
      <c r="O37" s="103"/>
      <c r="P37" s="102"/>
      <c r="Q37" s="102"/>
      <c r="R37" s="83"/>
      <c r="S37" s="83"/>
      <c r="T37" s="44"/>
      <c r="AI37" s="79"/>
      <c r="AJ37" s="170">
        <f>SUM(AJ29:AJ36)</f>
        <v>25</v>
      </c>
      <c r="AK37" s="170">
        <f>SUM(AK29:AK36)</f>
        <v>30</v>
      </c>
      <c r="AL37" s="170">
        <f>SUM(AL29:AL36)</f>
        <v>3.169</v>
      </c>
      <c r="AM37" s="170">
        <f>SUM(AM29:AM36)</f>
        <v>4.2460000000000004</v>
      </c>
    </row>
    <row r="38" spans="6:39" ht="15.75" thickBot="1" x14ac:dyDescent="0.3">
      <c r="F38" s="130"/>
      <c r="G38" s="130"/>
      <c r="H38" s="130"/>
      <c r="I38" s="130"/>
      <c r="J38" s="130"/>
      <c r="K38" s="130"/>
      <c r="L38" s="130"/>
      <c r="M38" s="130"/>
      <c r="N38" s="130"/>
      <c r="O38" s="130"/>
      <c r="P38" s="130"/>
      <c r="Q38" s="130"/>
      <c r="R38" s="130"/>
      <c r="S38" s="130"/>
      <c r="T38" s="44"/>
    </row>
    <row r="39" spans="6:39" ht="16.5" thickTop="1" thickBot="1" x14ac:dyDescent="0.3">
      <c r="F39" s="130"/>
      <c r="G39" s="130"/>
      <c r="H39" s="130"/>
      <c r="I39" s="130"/>
      <c r="J39" s="130"/>
      <c r="K39" s="131" t="s">
        <v>183</v>
      </c>
      <c r="L39" s="132">
        <v>0.95450000000000002</v>
      </c>
      <c r="M39" s="131" t="s">
        <v>184</v>
      </c>
      <c r="N39" s="133">
        <f>TINV(1-L39,IF(R39="∞",100000,R39))</f>
        <v>2.0000274442871735</v>
      </c>
      <c r="O39" s="131"/>
      <c r="P39" s="131" t="s">
        <v>185</v>
      </c>
      <c r="Q39" s="134">
        <f>SQRT(SUMSQ(Q33:Q37))</f>
        <v>61.970778222631132</v>
      </c>
      <c r="R39" s="133" t="str">
        <f>IF((Q39^4/S39)&gt;100000,"∞",(Q39^4/S39))</f>
        <v>∞</v>
      </c>
      <c r="S39" s="131">
        <f>SUM(S33:S37)</f>
        <v>147.48492908878794</v>
      </c>
      <c r="T39" s="44"/>
    </row>
    <row r="40" spans="6:39" ht="16.5" thickTop="1" thickBot="1" x14ac:dyDescent="0.3">
      <c r="F40" s="130"/>
      <c r="G40" s="130"/>
      <c r="H40" s="130"/>
      <c r="I40" s="130"/>
      <c r="J40" s="130"/>
      <c r="K40" s="130"/>
      <c r="L40" s="130"/>
      <c r="M40" s="130"/>
      <c r="N40" s="130"/>
      <c r="O40" s="135"/>
      <c r="P40" s="136"/>
      <c r="Q40" s="136"/>
      <c r="R40" s="136"/>
      <c r="S40" s="130"/>
      <c r="T40" s="44"/>
      <c r="AI40" s="121" t="s">
        <v>160</v>
      </c>
      <c r="AJ40" s="122">
        <f>X9</f>
        <v>26.7</v>
      </c>
    </row>
    <row r="41" spans="6:39" ht="16.5" thickTop="1" thickBot="1" x14ac:dyDescent="0.3">
      <c r="F41" s="130"/>
      <c r="G41" s="130"/>
      <c r="H41" s="130"/>
      <c r="I41" s="130"/>
      <c r="J41" s="130"/>
      <c r="K41" s="130"/>
      <c r="L41" s="130"/>
      <c r="M41" s="130"/>
      <c r="N41" s="130"/>
      <c r="O41" s="137"/>
      <c r="P41" s="48" t="s">
        <v>186</v>
      </c>
      <c r="Q41" s="49">
        <f>(N39*Q39)/100</f>
        <v>1.2394325718909618</v>
      </c>
      <c r="R41" s="50" t="s">
        <v>197</v>
      </c>
      <c r="S41" s="130"/>
      <c r="T41" s="44"/>
      <c r="AI41" s="123" t="s">
        <v>130</v>
      </c>
      <c r="AJ41" s="124">
        <f>AJ37</f>
        <v>25</v>
      </c>
    </row>
    <row r="42" spans="6:39" ht="15.75" thickTop="1" x14ac:dyDescent="0.25">
      <c r="F42" s="44"/>
      <c r="G42" s="44"/>
      <c r="H42" s="44"/>
      <c r="I42" s="44"/>
      <c r="J42" s="44"/>
      <c r="K42" s="44"/>
      <c r="L42" s="44"/>
      <c r="M42" s="44"/>
      <c r="N42" s="44"/>
      <c r="O42" s="44"/>
      <c r="P42" s="44"/>
      <c r="Q42" s="44"/>
      <c r="R42" s="44"/>
      <c r="S42" s="44"/>
      <c r="T42" s="44"/>
      <c r="AI42" s="123" t="s">
        <v>161</v>
      </c>
      <c r="AJ42" s="124">
        <f>AK37</f>
        <v>30</v>
      </c>
    </row>
    <row r="43" spans="6:39" x14ac:dyDescent="0.25">
      <c r="F43" s="44"/>
      <c r="G43" s="44"/>
      <c r="H43" s="44"/>
      <c r="I43" s="44"/>
      <c r="J43" s="44"/>
      <c r="K43" s="44"/>
      <c r="L43" s="44"/>
      <c r="M43" s="44"/>
      <c r="N43" s="44"/>
      <c r="O43" s="44"/>
      <c r="P43" s="44"/>
      <c r="Q43" s="44"/>
      <c r="R43" s="44"/>
      <c r="S43" s="44"/>
      <c r="T43" s="44"/>
      <c r="AI43" s="123" t="s">
        <v>132</v>
      </c>
      <c r="AJ43" s="124">
        <f>AL37</f>
        <v>3.169</v>
      </c>
    </row>
    <row r="44" spans="6:39" ht="15.75" thickBot="1" x14ac:dyDescent="0.3">
      <c r="F44" s="44"/>
      <c r="G44" s="44"/>
      <c r="H44" s="44"/>
      <c r="I44" s="44"/>
      <c r="J44" s="44"/>
      <c r="K44" s="44"/>
      <c r="L44" s="44"/>
      <c r="M44" s="44"/>
      <c r="N44" s="44"/>
      <c r="O44" s="44"/>
      <c r="P44" s="44"/>
      <c r="Q44" s="44"/>
      <c r="R44" s="44"/>
      <c r="S44" s="44"/>
      <c r="T44" s="44"/>
      <c r="AI44" s="123" t="s">
        <v>162</v>
      </c>
      <c r="AJ44" s="124">
        <f>AM37</f>
        <v>4.2460000000000004</v>
      </c>
    </row>
    <row r="45" spans="6:39" ht="15.75" thickBot="1" x14ac:dyDescent="0.3">
      <c r="AI45" s="138" t="s">
        <v>167</v>
      </c>
      <c r="AJ45" s="139">
        <f>(((AJ41-AJ40)/(AJ41-AJ42))*AJ44)+(((AJ40-AJ42)/(AJ41-AJ42))*AJ43)</f>
        <v>3.5351800000000004</v>
      </c>
    </row>
  </sheetData>
  <mergeCells count="26">
    <mergeCell ref="F22:F26"/>
    <mergeCell ref="G22:I22"/>
    <mergeCell ref="G23:I23"/>
    <mergeCell ref="G24:I24"/>
    <mergeCell ref="G25:I25"/>
    <mergeCell ref="G11:I11"/>
    <mergeCell ref="G12:I12"/>
    <mergeCell ref="G13:I13"/>
    <mergeCell ref="G14:I14"/>
    <mergeCell ref="G21:I21"/>
    <mergeCell ref="B2:S5"/>
    <mergeCell ref="V2:AQ5"/>
    <mergeCell ref="G26:I26"/>
    <mergeCell ref="G32:I32"/>
    <mergeCell ref="F33:F37"/>
    <mergeCell ref="G33:I33"/>
    <mergeCell ref="G34:I34"/>
    <mergeCell ref="G35:I35"/>
    <mergeCell ref="G36:I36"/>
    <mergeCell ref="G37:I37"/>
    <mergeCell ref="AI27:AM27"/>
    <mergeCell ref="AO29:AQ29"/>
    <mergeCell ref="AI7:AQ7"/>
    <mergeCell ref="G9:I9"/>
    <mergeCell ref="F10:F14"/>
    <mergeCell ref="G10:I10"/>
  </mergeCells>
  <phoneticPr fontId="44" type="noConversion"/>
  <pageMargins left="0.51181102362204722" right="0.51181102362204722" top="0.78740157480314965" bottom="0.78740157480314965" header="0.31496062992125984" footer="0.31496062992125984"/>
  <pageSetup paperSize="9" scale="34" orientation="portrait" r:id="rId1"/>
  <headerFooter>
    <oddHeader>&amp;RPágina &amp;P de &amp;N</oddHeader>
    <oddFooter>&amp;CRevisão 00 - 25/10/2018 - Pagina &amp;P de &amp;N
Elaborado por: Leonardo de Andrea João - Aprovado por: Leandro Weschenfelder</oddFooter>
  </headerFooter>
  <colBreaks count="1" manualBreakCount="1">
    <brk id="20" max="44" man="1"/>
  </colBreaks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9"/>
  <dimension ref="C5:K24"/>
  <sheetViews>
    <sheetView workbookViewId="0">
      <selection activeCell="F35" sqref="F35"/>
    </sheetView>
  </sheetViews>
  <sheetFormatPr defaultRowHeight="12.75" x14ac:dyDescent="0.2"/>
  <sheetData>
    <row r="5" spans="3:11" x14ac:dyDescent="0.2">
      <c r="E5" s="481"/>
    </row>
    <row r="6" spans="3:11" x14ac:dyDescent="0.2">
      <c r="E6" s="481"/>
    </row>
    <row r="7" spans="3:11" x14ac:dyDescent="0.2">
      <c r="K7" s="481"/>
    </row>
    <row r="9" spans="3:11" x14ac:dyDescent="0.2">
      <c r="E9" s="481"/>
    </row>
    <row r="11" spans="3:11" x14ac:dyDescent="0.2">
      <c r="C11" s="481"/>
    </row>
    <row r="14" spans="3:11" x14ac:dyDescent="0.2">
      <c r="D14" s="481"/>
      <c r="E14" s="481"/>
    </row>
    <row r="16" spans="3:11" x14ac:dyDescent="0.2">
      <c r="E16" s="481"/>
    </row>
    <row r="24" spans="7:7" x14ac:dyDescent="0.2">
      <c r="G24" s="481"/>
    </row>
  </sheetData>
  <sheetProtection algorithmName="SHA-512" hashValue="7ou55wOuWwPvpLrxOYOmyXKZcLONJnFcS8fgV32owZ2pK2aXokHy4q5Pac3qrlHXILpeQWa/q8QPvDSFjv+3yw==" saltValue="aVUa992pEAnnQIJpocAV2w==" spinCount="100000" sheet="1" objects="1" scenarios="1"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10">
    <pageSetUpPr fitToPage="1"/>
  </sheetPr>
  <dimension ref="A1:C50"/>
  <sheetViews>
    <sheetView showGridLines="0" showRowColHeaders="0" zoomScale="70" zoomScaleNormal="70" zoomScaleSheetLayoutView="25" workbookViewId="0">
      <selection activeCell="A5" sqref="A5"/>
    </sheetView>
  </sheetViews>
  <sheetFormatPr defaultColWidth="0" defaultRowHeight="15" zeroHeight="1" x14ac:dyDescent="0.25"/>
  <cols>
    <col min="1" max="3" width="32.140625" style="496" customWidth="1"/>
    <col min="4" max="16384" width="9.140625" style="496" hidden="1"/>
  </cols>
  <sheetData>
    <row r="1" spans="1:3" x14ac:dyDescent="0.25">
      <c r="A1" s="941" t="s">
        <v>468</v>
      </c>
      <c r="B1" s="941"/>
      <c r="C1" s="941"/>
    </row>
    <row r="2" spans="1:3" x14ac:dyDescent="0.25">
      <c r="A2" s="942"/>
      <c r="B2" s="942"/>
      <c r="C2" s="942"/>
    </row>
    <row r="3" spans="1:3" x14ac:dyDescent="0.25">
      <c r="A3" s="943" t="s">
        <v>469</v>
      </c>
      <c r="B3" s="944" t="s">
        <v>470</v>
      </c>
      <c r="C3" s="944" t="s">
        <v>471</v>
      </c>
    </row>
    <row r="4" spans="1:3" x14ac:dyDescent="0.25">
      <c r="A4" s="943"/>
      <c r="B4" s="944"/>
      <c r="C4" s="944"/>
    </row>
    <row r="5" spans="1:3" x14ac:dyDescent="0.25">
      <c r="A5" s="497"/>
      <c r="B5" s="498"/>
      <c r="C5" s="497"/>
    </row>
    <row r="6" spans="1:3" x14ac:dyDescent="0.25">
      <c r="A6" s="497"/>
      <c r="B6" s="498"/>
      <c r="C6" s="497"/>
    </row>
    <row r="7" spans="1:3" x14ac:dyDescent="0.25">
      <c r="A7" s="497"/>
      <c r="B7" s="498"/>
      <c r="C7" s="497"/>
    </row>
    <row r="8" spans="1:3" x14ac:dyDescent="0.25">
      <c r="A8" s="497"/>
      <c r="B8" s="498"/>
      <c r="C8" s="497"/>
    </row>
    <row r="9" spans="1:3" x14ac:dyDescent="0.25">
      <c r="A9" s="497"/>
      <c r="B9" s="498"/>
      <c r="C9" s="497"/>
    </row>
    <row r="10" spans="1:3" x14ac:dyDescent="0.25">
      <c r="A10" s="497"/>
      <c r="B10" s="498"/>
      <c r="C10" s="497"/>
    </row>
    <row r="11" spans="1:3" x14ac:dyDescent="0.25">
      <c r="A11" s="497"/>
      <c r="B11" s="498"/>
      <c r="C11" s="497"/>
    </row>
    <row r="12" spans="1:3" x14ac:dyDescent="0.25">
      <c r="A12" s="497"/>
      <c r="B12" s="498"/>
      <c r="C12" s="497"/>
    </row>
    <row r="13" spans="1:3" x14ac:dyDescent="0.25">
      <c r="A13" s="497"/>
      <c r="B13" s="498"/>
      <c r="C13" s="497"/>
    </row>
    <row r="14" spans="1:3" x14ac:dyDescent="0.25">
      <c r="A14" s="497"/>
      <c r="B14" s="498"/>
      <c r="C14" s="497"/>
    </row>
    <row r="15" spans="1:3" x14ac:dyDescent="0.25">
      <c r="A15" s="497"/>
      <c r="B15" s="498"/>
      <c r="C15" s="497"/>
    </row>
    <row r="16" spans="1:3" x14ac:dyDescent="0.25">
      <c r="A16" s="497"/>
      <c r="B16" s="498"/>
      <c r="C16" s="497"/>
    </row>
    <row r="17" spans="1:3" x14ac:dyDescent="0.25">
      <c r="A17" s="497"/>
      <c r="B17" s="498"/>
      <c r="C17" s="497"/>
    </row>
    <row r="18" spans="1:3" x14ac:dyDescent="0.25">
      <c r="A18" s="497"/>
      <c r="B18" s="498"/>
      <c r="C18" s="497"/>
    </row>
    <row r="19" spans="1:3" x14ac:dyDescent="0.25">
      <c r="A19" s="497"/>
      <c r="B19" s="498"/>
      <c r="C19" s="497"/>
    </row>
    <row r="20" spans="1:3" x14ac:dyDescent="0.25">
      <c r="A20" s="497"/>
      <c r="B20" s="498"/>
      <c r="C20" s="497"/>
    </row>
    <row r="21" spans="1:3" x14ac:dyDescent="0.25">
      <c r="A21" s="497"/>
      <c r="B21" s="498"/>
      <c r="C21" s="497"/>
    </row>
    <row r="22" spans="1:3" x14ac:dyDescent="0.25">
      <c r="A22" s="497"/>
      <c r="B22" s="498"/>
      <c r="C22" s="497"/>
    </row>
    <row r="23" spans="1:3" x14ac:dyDescent="0.25">
      <c r="A23" s="497"/>
      <c r="B23" s="498"/>
      <c r="C23" s="497"/>
    </row>
    <row r="24" spans="1:3" x14ac:dyDescent="0.25">
      <c r="A24" s="497"/>
      <c r="B24" s="498"/>
      <c r="C24" s="497"/>
    </row>
    <row r="25" spans="1:3" x14ac:dyDescent="0.25">
      <c r="A25" s="497"/>
      <c r="B25" s="498"/>
      <c r="C25" s="497"/>
    </row>
    <row r="26" spans="1:3" x14ac:dyDescent="0.25">
      <c r="A26" s="497"/>
      <c r="B26" s="498"/>
      <c r="C26" s="497"/>
    </row>
    <row r="27" spans="1:3" x14ac:dyDescent="0.25">
      <c r="A27" s="497"/>
      <c r="B27" s="498"/>
      <c r="C27" s="497"/>
    </row>
    <row r="28" spans="1:3" x14ac:dyDescent="0.25">
      <c r="A28" s="497"/>
      <c r="B28" s="498"/>
      <c r="C28" s="497"/>
    </row>
    <row r="29" spans="1:3" x14ac:dyDescent="0.25">
      <c r="A29" s="497"/>
      <c r="B29" s="498"/>
      <c r="C29" s="497"/>
    </row>
    <row r="30" spans="1:3" x14ac:dyDescent="0.25">
      <c r="A30" s="497"/>
      <c r="B30" s="498"/>
      <c r="C30" s="497"/>
    </row>
    <row r="31" spans="1:3" x14ac:dyDescent="0.25">
      <c r="A31" s="499"/>
      <c r="B31" s="499"/>
      <c r="C31" s="499"/>
    </row>
    <row r="32" spans="1:3" x14ac:dyDescent="0.25">
      <c r="A32" s="499"/>
      <c r="B32" s="499"/>
      <c r="C32" s="499"/>
    </row>
    <row r="33" spans="1:3" x14ac:dyDescent="0.25">
      <c r="A33" s="499"/>
      <c r="B33" s="499"/>
      <c r="C33" s="499"/>
    </row>
    <row r="34" spans="1:3" x14ac:dyDescent="0.25">
      <c r="A34" s="499"/>
      <c r="B34" s="499"/>
      <c r="C34" s="499"/>
    </row>
    <row r="35" spans="1:3" x14ac:dyDescent="0.25">
      <c r="A35" s="499"/>
      <c r="B35" s="499"/>
      <c r="C35" s="499"/>
    </row>
    <row r="36" spans="1:3" x14ac:dyDescent="0.25">
      <c r="A36" s="499"/>
      <c r="B36" s="499"/>
      <c r="C36" s="499"/>
    </row>
    <row r="37" spans="1:3" x14ac:dyDescent="0.25">
      <c r="A37" s="499"/>
      <c r="B37" s="499"/>
      <c r="C37" s="499"/>
    </row>
    <row r="38" spans="1:3" x14ac:dyDescent="0.25">
      <c r="A38" s="499"/>
      <c r="B38" s="499"/>
      <c r="C38" s="499"/>
    </row>
    <row r="39" spans="1:3" x14ac:dyDescent="0.25">
      <c r="A39" s="499"/>
      <c r="B39" s="499"/>
      <c r="C39" s="499"/>
    </row>
    <row r="40" spans="1:3" x14ac:dyDescent="0.25">
      <c r="A40" s="499"/>
      <c r="B40" s="499"/>
      <c r="C40" s="499"/>
    </row>
    <row r="41" spans="1:3" x14ac:dyDescent="0.25">
      <c r="A41" s="499"/>
      <c r="B41" s="499"/>
      <c r="C41" s="499"/>
    </row>
    <row r="42" spans="1:3" x14ac:dyDescent="0.25">
      <c r="A42" s="499"/>
      <c r="B42" s="499"/>
      <c r="C42" s="499"/>
    </row>
    <row r="43" spans="1:3" x14ac:dyDescent="0.25">
      <c r="A43" s="499"/>
      <c r="B43" s="499"/>
      <c r="C43" s="499"/>
    </row>
    <row r="44" spans="1:3" x14ac:dyDescent="0.25">
      <c r="A44" s="499"/>
      <c r="B44" s="499"/>
      <c r="C44" s="499"/>
    </row>
    <row r="45" spans="1:3" x14ac:dyDescent="0.25">
      <c r="A45" s="499"/>
      <c r="B45" s="499"/>
      <c r="C45" s="499"/>
    </row>
    <row r="46" spans="1:3" x14ac:dyDescent="0.25">
      <c r="A46" s="499"/>
      <c r="B46" s="499"/>
      <c r="C46" s="499"/>
    </row>
    <row r="47" spans="1:3" x14ac:dyDescent="0.25">
      <c r="A47" s="499"/>
      <c r="B47" s="499"/>
      <c r="C47" s="499"/>
    </row>
    <row r="48" spans="1:3" x14ac:dyDescent="0.25">
      <c r="A48" s="499"/>
      <c r="B48" s="499"/>
      <c r="C48" s="499"/>
    </row>
    <row r="49" spans="1:3" x14ac:dyDescent="0.25">
      <c r="A49" s="499"/>
      <c r="B49" s="499"/>
      <c r="C49" s="499"/>
    </row>
    <row r="50" spans="1:3" x14ac:dyDescent="0.25">
      <c r="A50" s="499"/>
      <c r="B50" s="499"/>
      <c r="C50" s="499"/>
    </row>
  </sheetData>
  <mergeCells count="4">
    <mergeCell ref="A1:C2"/>
    <mergeCell ref="A3:A4"/>
    <mergeCell ref="B3:B4"/>
    <mergeCell ref="C3:C4"/>
  </mergeCells>
  <pageMargins left="0.70866141732283472" right="0.70866141732283472" top="0.74803149606299213" bottom="0.74803149606299213" header="0.31496062992125984" footer="0.31496062992125984"/>
  <pageSetup paperSize="9" scale="90" orientation="portrait" r:id="rId1"/>
  <headerFooter>
    <oddFooter>&amp;CRevisão 00 - 15/03/2018 - Página &amp;P de &amp;N
Elaborado por:  Bruno Oliveira - Aprovado por: Leandro Weschenfelder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ilha1"/>
  <dimension ref="A1:G29"/>
  <sheetViews>
    <sheetView workbookViewId="0">
      <selection activeCell="C23" sqref="C23:D24"/>
    </sheetView>
  </sheetViews>
  <sheetFormatPr defaultRowHeight="12.75" x14ac:dyDescent="0.2"/>
  <cols>
    <col min="7" max="7" width="12.5703125" customWidth="1"/>
  </cols>
  <sheetData>
    <row r="1" spans="1:7" x14ac:dyDescent="0.2">
      <c r="A1" s="502" t="s">
        <v>478</v>
      </c>
      <c r="B1" s="502" t="s">
        <v>479</v>
      </c>
      <c r="C1" s="502" t="s">
        <v>480</v>
      </c>
      <c r="D1" s="502" t="s">
        <v>386</v>
      </c>
      <c r="E1" t="s">
        <v>481</v>
      </c>
    </row>
    <row r="2" spans="1:7" x14ac:dyDescent="0.2">
      <c r="A2">
        <v>127</v>
      </c>
      <c r="B2">
        <v>0.2</v>
      </c>
      <c r="C2">
        <v>1</v>
      </c>
      <c r="D2">
        <v>-0.105</v>
      </c>
      <c r="E2">
        <f t="shared" ref="E2:E29" si="0">A2*B2</f>
        <v>25.400000000000002</v>
      </c>
      <c r="G2" s="503">
        <f ca="1">TODAY()</f>
        <v>45093</v>
      </c>
    </row>
    <row r="3" spans="1:7" x14ac:dyDescent="0.2">
      <c r="A3">
        <v>127</v>
      </c>
      <c r="B3">
        <v>0.2</v>
      </c>
      <c r="C3">
        <v>0.5</v>
      </c>
      <c r="D3">
        <v>-7.4999999999999997E-2</v>
      </c>
      <c r="E3">
        <f t="shared" si="0"/>
        <v>25.400000000000002</v>
      </c>
      <c r="G3" s="503">
        <v>45169</v>
      </c>
    </row>
    <row r="4" spans="1:7" x14ac:dyDescent="0.2">
      <c r="A4">
        <v>127</v>
      </c>
      <c r="B4">
        <v>0.5</v>
      </c>
      <c r="C4">
        <v>1</v>
      </c>
      <c r="D4">
        <v>-0.18</v>
      </c>
      <c r="E4">
        <f t="shared" si="0"/>
        <v>63.5</v>
      </c>
    </row>
    <row r="5" spans="1:7" x14ac:dyDescent="0.2">
      <c r="A5">
        <v>127</v>
      </c>
      <c r="B5">
        <v>0.5</v>
      </c>
      <c r="C5">
        <v>0.5</v>
      </c>
      <c r="D5">
        <v>-0.129</v>
      </c>
      <c r="E5">
        <f t="shared" si="0"/>
        <v>63.5</v>
      </c>
      <c r="G5" s="504" t="str">
        <f ca="1">IF(G2&gt;G3,"Vencido","Valido")</f>
        <v>Valido</v>
      </c>
    </row>
    <row r="6" spans="1:7" x14ac:dyDescent="0.2">
      <c r="A6">
        <v>127</v>
      </c>
      <c r="B6">
        <v>1</v>
      </c>
      <c r="C6">
        <v>1</v>
      </c>
      <c r="D6">
        <v>-0.34799999999999998</v>
      </c>
      <c r="E6">
        <f t="shared" si="0"/>
        <v>127</v>
      </c>
    </row>
    <row r="7" spans="1:7" x14ac:dyDescent="0.2">
      <c r="A7">
        <v>127</v>
      </c>
      <c r="B7">
        <v>1</v>
      </c>
      <c r="C7">
        <v>0.5</v>
      </c>
      <c r="D7">
        <v>-0.193</v>
      </c>
      <c r="E7">
        <f t="shared" si="0"/>
        <v>127</v>
      </c>
    </row>
    <row r="8" spans="1:7" x14ac:dyDescent="0.2">
      <c r="A8">
        <v>127</v>
      </c>
      <c r="B8">
        <v>2</v>
      </c>
      <c r="C8">
        <v>1</v>
      </c>
      <c r="D8">
        <v>-0.28299999999999997</v>
      </c>
      <c r="E8">
        <f t="shared" si="0"/>
        <v>254</v>
      </c>
    </row>
    <row r="9" spans="1:7" x14ac:dyDescent="0.2">
      <c r="A9">
        <v>127</v>
      </c>
      <c r="B9">
        <v>2</v>
      </c>
      <c r="C9">
        <v>0.5</v>
      </c>
      <c r="D9">
        <v>-0.13800000000000001</v>
      </c>
      <c r="E9">
        <f t="shared" si="0"/>
        <v>254</v>
      </c>
    </row>
    <row r="10" spans="1:7" x14ac:dyDescent="0.2">
      <c r="A10">
        <v>127</v>
      </c>
      <c r="B10">
        <v>5</v>
      </c>
      <c r="C10">
        <v>1</v>
      </c>
      <c r="D10">
        <v>-0.33400000000000002</v>
      </c>
      <c r="E10">
        <f t="shared" si="0"/>
        <v>635</v>
      </c>
    </row>
    <row r="11" spans="1:7" x14ac:dyDescent="0.2">
      <c r="A11">
        <v>127</v>
      </c>
      <c r="B11">
        <v>5</v>
      </c>
      <c r="C11">
        <v>0.5</v>
      </c>
      <c r="D11">
        <v>-0.151</v>
      </c>
      <c r="E11">
        <f t="shared" si="0"/>
        <v>635</v>
      </c>
    </row>
    <row r="12" spans="1:7" x14ac:dyDescent="0.2">
      <c r="A12">
        <v>127</v>
      </c>
      <c r="B12">
        <v>10</v>
      </c>
      <c r="C12">
        <v>1</v>
      </c>
      <c r="D12">
        <v>-0.22</v>
      </c>
      <c r="E12">
        <f t="shared" si="0"/>
        <v>1270</v>
      </c>
    </row>
    <row r="13" spans="1:7" x14ac:dyDescent="0.2">
      <c r="A13">
        <v>127</v>
      </c>
      <c r="B13">
        <v>10</v>
      </c>
      <c r="C13">
        <v>0.5</v>
      </c>
      <c r="D13">
        <v>-0.2</v>
      </c>
      <c r="E13">
        <f t="shared" si="0"/>
        <v>1270</v>
      </c>
    </row>
    <row r="14" spans="1:7" x14ac:dyDescent="0.2">
      <c r="A14">
        <v>127</v>
      </c>
      <c r="B14">
        <v>20</v>
      </c>
      <c r="C14">
        <v>1</v>
      </c>
      <c r="D14">
        <v>-0.35399999999999998</v>
      </c>
      <c r="E14">
        <f t="shared" si="0"/>
        <v>2540</v>
      </c>
    </row>
    <row r="15" spans="1:7" x14ac:dyDescent="0.2">
      <c r="A15">
        <v>127</v>
      </c>
      <c r="B15">
        <v>20</v>
      </c>
      <c r="C15">
        <v>0.5</v>
      </c>
      <c r="D15">
        <v>-0.219</v>
      </c>
      <c r="E15">
        <f t="shared" si="0"/>
        <v>2540</v>
      </c>
    </row>
    <row r="16" spans="1:7" x14ac:dyDescent="0.2">
      <c r="A16">
        <v>220</v>
      </c>
      <c r="B16">
        <v>0.2</v>
      </c>
      <c r="C16">
        <v>1</v>
      </c>
      <c r="D16">
        <v>-0.156</v>
      </c>
      <c r="E16">
        <f t="shared" si="0"/>
        <v>44</v>
      </c>
    </row>
    <row r="17" spans="1:5" x14ac:dyDescent="0.2">
      <c r="A17">
        <v>220</v>
      </c>
      <c r="B17">
        <v>0.2</v>
      </c>
      <c r="C17">
        <v>0.5</v>
      </c>
      <c r="D17">
        <v>-6.3E-2</v>
      </c>
      <c r="E17">
        <f t="shared" si="0"/>
        <v>44</v>
      </c>
    </row>
    <row r="18" spans="1:5" x14ac:dyDescent="0.2">
      <c r="A18">
        <v>220</v>
      </c>
      <c r="B18">
        <v>0.5</v>
      </c>
      <c r="C18">
        <v>1</v>
      </c>
      <c r="D18">
        <v>-0.317</v>
      </c>
      <c r="E18">
        <f t="shared" si="0"/>
        <v>110</v>
      </c>
    </row>
    <row r="19" spans="1:5" x14ac:dyDescent="0.2">
      <c r="A19">
        <v>220</v>
      </c>
      <c r="B19">
        <v>0.5</v>
      </c>
      <c r="C19">
        <v>0.5</v>
      </c>
      <c r="D19">
        <v>-0.14099999999999999</v>
      </c>
      <c r="E19">
        <f t="shared" si="0"/>
        <v>110</v>
      </c>
    </row>
    <row r="20" spans="1:5" x14ac:dyDescent="0.2">
      <c r="A20">
        <v>220</v>
      </c>
      <c r="B20">
        <v>1</v>
      </c>
      <c r="C20">
        <v>1</v>
      </c>
      <c r="D20">
        <v>-0.17599999999999999</v>
      </c>
      <c r="E20">
        <f t="shared" si="0"/>
        <v>220</v>
      </c>
    </row>
    <row r="21" spans="1:5" x14ac:dyDescent="0.2">
      <c r="A21">
        <v>220</v>
      </c>
      <c r="B21">
        <v>1</v>
      </c>
      <c r="C21">
        <v>0.5</v>
      </c>
      <c r="D21">
        <v>-0.19800000000000001</v>
      </c>
      <c r="E21">
        <f t="shared" si="0"/>
        <v>220</v>
      </c>
    </row>
    <row r="22" spans="1:5" x14ac:dyDescent="0.2">
      <c r="A22">
        <v>220</v>
      </c>
      <c r="B22">
        <v>2</v>
      </c>
      <c r="C22">
        <v>1</v>
      </c>
      <c r="D22">
        <v>-0.247</v>
      </c>
      <c r="E22">
        <f t="shared" si="0"/>
        <v>440</v>
      </c>
    </row>
    <row r="23" spans="1:5" x14ac:dyDescent="0.2">
      <c r="A23">
        <v>220</v>
      </c>
      <c r="B23">
        <v>2</v>
      </c>
      <c r="C23">
        <v>0.5</v>
      </c>
      <c r="D23">
        <v>-0.192</v>
      </c>
      <c r="E23">
        <f t="shared" si="0"/>
        <v>440</v>
      </c>
    </row>
    <row r="24" spans="1:5" x14ac:dyDescent="0.2">
      <c r="A24">
        <v>220</v>
      </c>
      <c r="B24">
        <v>5</v>
      </c>
      <c r="C24">
        <v>1</v>
      </c>
      <c r="D24">
        <v>-0.20799999999999999</v>
      </c>
      <c r="E24">
        <f t="shared" si="0"/>
        <v>1100</v>
      </c>
    </row>
    <row r="25" spans="1:5" x14ac:dyDescent="0.2">
      <c r="A25">
        <v>220</v>
      </c>
      <c r="B25">
        <v>5</v>
      </c>
      <c r="C25">
        <v>0.5</v>
      </c>
      <c r="D25">
        <v>-0.17499999999999999</v>
      </c>
      <c r="E25">
        <f t="shared" si="0"/>
        <v>1100</v>
      </c>
    </row>
    <row r="26" spans="1:5" x14ac:dyDescent="0.2">
      <c r="A26">
        <v>220</v>
      </c>
      <c r="B26">
        <v>10</v>
      </c>
      <c r="C26">
        <v>1</v>
      </c>
      <c r="D26">
        <v>-0.26500000000000001</v>
      </c>
      <c r="E26">
        <f t="shared" si="0"/>
        <v>2200</v>
      </c>
    </row>
    <row r="27" spans="1:5" x14ac:dyDescent="0.2">
      <c r="A27">
        <v>220</v>
      </c>
      <c r="B27">
        <v>10</v>
      </c>
      <c r="C27">
        <v>0.5</v>
      </c>
      <c r="D27">
        <v>-0.21</v>
      </c>
      <c r="E27">
        <f t="shared" si="0"/>
        <v>2200</v>
      </c>
    </row>
    <row r="28" spans="1:5" x14ac:dyDescent="0.2">
      <c r="A28">
        <v>220</v>
      </c>
      <c r="B28">
        <v>20</v>
      </c>
      <c r="C28">
        <v>1</v>
      </c>
      <c r="D28">
        <v>-0.185</v>
      </c>
      <c r="E28">
        <f t="shared" si="0"/>
        <v>4400</v>
      </c>
    </row>
    <row r="29" spans="1:5" x14ac:dyDescent="0.2">
      <c r="A29">
        <v>220</v>
      </c>
      <c r="B29">
        <v>20</v>
      </c>
      <c r="C29">
        <v>0.5</v>
      </c>
      <c r="D29">
        <v>-0.20100000000000001</v>
      </c>
      <c r="E29">
        <f t="shared" si="0"/>
        <v>4400</v>
      </c>
    </row>
  </sheetData>
  <conditionalFormatting sqref="G5">
    <cfRule type="expression" dxfId="0" priority="1">
      <formula>$G$5="Valido"</formula>
    </cfRule>
  </conditionalFormatting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13</vt:i4>
      </vt:variant>
      <vt:variant>
        <vt:lpstr>Intervalos Nomeados</vt:lpstr>
      </vt:variant>
      <vt:variant>
        <vt:i4>12</vt:i4>
      </vt:variant>
    </vt:vector>
  </HeadingPairs>
  <TitlesOfParts>
    <vt:vector size="25" baseType="lpstr">
      <vt:lpstr>Resumo</vt:lpstr>
      <vt:lpstr>PBE</vt:lpstr>
      <vt:lpstr>ASHRAE</vt:lpstr>
      <vt:lpstr>Condicionador de ar</vt:lpstr>
      <vt:lpstr>Temperatura</vt:lpstr>
      <vt:lpstr>Pressão</vt:lpstr>
      <vt:lpstr>i.m. instrumentos</vt:lpstr>
      <vt:lpstr>i.m. equação</vt:lpstr>
      <vt:lpstr>descrição</vt:lpstr>
      <vt:lpstr>Cálculo cond ambiental</vt:lpstr>
      <vt:lpstr>Dados2</vt:lpstr>
      <vt:lpstr>Controle de atualização</vt:lpstr>
      <vt:lpstr>Wattimetro</vt:lpstr>
      <vt:lpstr>'Cálculo cond ambiental'!Area_de_impressao</vt:lpstr>
      <vt:lpstr>'Condicionador de ar'!Area_de_impressao</vt:lpstr>
      <vt:lpstr>'Controle de atualização'!Area_de_impressao</vt:lpstr>
      <vt:lpstr>'i.m. equação'!Area_de_impressao</vt:lpstr>
      <vt:lpstr>'i.m. instrumentos'!Area_de_impressao</vt:lpstr>
      <vt:lpstr>PBE!Area_de_impressao</vt:lpstr>
      <vt:lpstr>Pressão!Area_de_impressao</vt:lpstr>
      <vt:lpstr>Resumo!Area_de_impressao</vt:lpstr>
      <vt:lpstr>Temperatura!Area_de_impressao</vt:lpstr>
      <vt:lpstr>ASHRAE!excluir_1</vt:lpstr>
      <vt:lpstr>'Condicionador de ar'!OLE_LINK21</vt:lpstr>
      <vt:lpstr>Temperatura!Titulos_de_impressao</vt:lpstr>
    </vt:vector>
  </TitlesOfParts>
  <Company>PUCRS/FENG/DEMM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Condicionadores de Ar</dc:title>
  <dc:creator>Administrator</dc:creator>
  <cp:lastModifiedBy>Rodrigo Silveira da Silva</cp:lastModifiedBy>
  <cp:lastPrinted>2018-10-22T11:59:24Z</cp:lastPrinted>
  <dcterms:created xsi:type="dcterms:W3CDTF">2003-06-16T17:55:52Z</dcterms:created>
  <dcterms:modified xsi:type="dcterms:W3CDTF">2023-06-16T16:20:50Z</dcterms:modified>
</cp:coreProperties>
</file>